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5733BA-CA07-4F1D-83FB-7C12939D83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Лист1" sheetId="4" r:id="rId2"/>
    <sheet name="Setting" sheetId="3" state="hidden" r:id="rId3"/>
  </sheets>
  <definedNames>
    <definedName name="_xlnm._FilterDatabase" localSheetId="0" hidden="1">'Бланк заказа'!$A$18:$AF$563</definedName>
    <definedName name="_xlnm._FilterDatabase" localSheetId="1" hidden="1">Лист1!$A$18:$AC$563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60" i="4" l="1"/>
  <c r="X560" i="4"/>
  <c r="Y559" i="4"/>
  <c r="X559" i="4"/>
  <c r="X557" i="4"/>
  <c r="X556" i="4"/>
  <c r="Y555" i="4"/>
  <c r="Z555" i="4" s="1"/>
  <c r="Y554" i="4"/>
  <c r="P554" i="4"/>
  <c r="X551" i="4"/>
  <c r="X550" i="4"/>
  <c r="Y549" i="4"/>
  <c r="Z549" i="4" s="1"/>
  <c r="P549" i="4"/>
  <c r="Y548" i="4"/>
  <c r="P548" i="4"/>
  <c r="X546" i="4"/>
  <c r="X545" i="4"/>
  <c r="Y544" i="4"/>
  <c r="P544" i="4"/>
  <c r="X542" i="4"/>
  <c r="X541" i="4"/>
  <c r="Y540" i="4"/>
  <c r="P540" i="4"/>
  <c r="X538" i="4"/>
  <c r="X537" i="4"/>
  <c r="Y536" i="4"/>
  <c r="P536" i="4"/>
  <c r="X534" i="4"/>
  <c r="X533" i="4"/>
  <c r="Y532" i="4"/>
  <c r="P532" i="4"/>
  <c r="X528" i="4"/>
  <c r="X527" i="4"/>
  <c r="Y526" i="4"/>
  <c r="Z526" i="4" s="1"/>
  <c r="P526" i="4"/>
  <c r="Y525" i="4"/>
  <c r="Z525" i="4" s="1"/>
  <c r="P525" i="4"/>
  <c r="Y524" i="4"/>
  <c r="Z524" i="4" s="1"/>
  <c r="P524" i="4"/>
  <c r="Y523" i="4"/>
  <c r="Z523" i="4" s="1"/>
  <c r="P523" i="4"/>
  <c r="Y522" i="4"/>
  <c r="Z522" i="4" s="1"/>
  <c r="P522" i="4"/>
  <c r="Y521" i="4"/>
  <c r="Z521" i="4" s="1"/>
  <c r="P521" i="4"/>
  <c r="Y520" i="4"/>
  <c r="P520" i="4"/>
  <c r="X518" i="4"/>
  <c r="X517" i="4"/>
  <c r="Y516" i="4"/>
  <c r="Z516" i="4" s="1"/>
  <c r="P516" i="4"/>
  <c r="Y515" i="4"/>
  <c r="Z515" i="4" s="1"/>
  <c r="P515" i="4"/>
  <c r="Y514" i="4"/>
  <c r="P514" i="4"/>
  <c r="X512" i="4"/>
  <c r="X511" i="4"/>
  <c r="Y510" i="4"/>
  <c r="Z510" i="4" s="1"/>
  <c r="P510" i="4"/>
  <c r="Y509" i="4"/>
  <c r="Z509" i="4" s="1"/>
  <c r="P509" i="4"/>
  <c r="Y508" i="4"/>
  <c r="Z508" i="4" s="1"/>
  <c r="P508" i="4"/>
  <c r="Y507" i="4"/>
  <c r="Z507" i="4" s="1"/>
  <c r="P507" i="4"/>
  <c r="Y506" i="4"/>
  <c r="Z506" i="4" s="1"/>
  <c r="P506" i="4"/>
  <c r="Y505" i="4"/>
  <c r="Z505" i="4" s="1"/>
  <c r="P505" i="4"/>
  <c r="Y504" i="4"/>
  <c r="Z504" i="4" s="1"/>
  <c r="P504" i="4"/>
  <c r="Y503" i="4"/>
  <c r="Z503" i="4" s="1"/>
  <c r="P503" i="4"/>
  <c r="Y502" i="4"/>
  <c r="P502" i="4"/>
  <c r="X498" i="4"/>
  <c r="X497" i="4"/>
  <c r="Y496" i="4"/>
  <c r="Z496" i="4" s="1"/>
  <c r="P496" i="4"/>
  <c r="Y495" i="4"/>
  <c r="Z495" i="4" s="1"/>
  <c r="P495" i="4"/>
  <c r="Y494" i="4"/>
  <c r="P494" i="4"/>
  <c r="X492" i="4"/>
  <c r="X491" i="4"/>
  <c r="Y490" i="4"/>
  <c r="P490" i="4"/>
  <c r="X487" i="4"/>
  <c r="X486" i="4"/>
  <c r="Y485" i="4"/>
  <c r="Z485" i="4" s="1"/>
  <c r="P485" i="4"/>
  <c r="Y484" i="4"/>
  <c r="Y486" i="4" s="1"/>
  <c r="P484" i="4"/>
  <c r="X482" i="4"/>
  <c r="X481" i="4"/>
  <c r="Y480" i="4"/>
  <c r="Z480" i="4" s="1"/>
  <c r="P480" i="4"/>
  <c r="Y479" i="4"/>
  <c r="Z479" i="4" s="1"/>
  <c r="P479" i="4"/>
  <c r="Y478" i="4"/>
  <c r="Z478" i="4" s="1"/>
  <c r="P478" i="4"/>
  <c r="Y477" i="4"/>
  <c r="Z477" i="4" s="1"/>
  <c r="P477" i="4"/>
  <c r="Y476" i="4"/>
  <c r="Z476" i="4" s="1"/>
  <c r="P476" i="4"/>
  <c r="Y475" i="4"/>
  <c r="P475" i="4"/>
  <c r="X471" i="4"/>
  <c r="X470" i="4"/>
  <c r="Y469" i="4"/>
  <c r="Z469" i="4" s="1"/>
  <c r="P469" i="4"/>
  <c r="Y468" i="4"/>
  <c r="Z468" i="4" s="1"/>
  <c r="P468" i="4"/>
  <c r="Y467" i="4"/>
  <c r="P467" i="4"/>
  <c r="X465" i="4"/>
  <c r="X464" i="4"/>
  <c r="Y463" i="4"/>
  <c r="P463" i="4"/>
  <c r="X461" i="4"/>
  <c r="X460" i="4"/>
  <c r="Y459" i="4"/>
  <c r="Z459" i="4" s="1"/>
  <c r="P459" i="4"/>
  <c r="Y458" i="4"/>
  <c r="Z458" i="4" s="1"/>
  <c r="Z460" i="4" s="1"/>
  <c r="P458" i="4"/>
  <c r="X455" i="4"/>
  <c r="X454" i="4"/>
  <c r="Y453" i="4"/>
  <c r="Z453" i="4" s="1"/>
  <c r="P453" i="4"/>
  <c r="Y452" i="4"/>
  <c r="P452" i="4"/>
  <c r="X450" i="4"/>
  <c r="X449" i="4"/>
  <c r="Y448" i="4"/>
  <c r="Z448" i="4" s="1"/>
  <c r="P448" i="4"/>
  <c r="Y447" i="4"/>
  <c r="Z447" i="4" s="1"/>
  <c r="P447" i="4"/>
  <c r="Y446" i="4"/>
  <c r="P446" i="4"/>
  <c r="X444" i="4"/>
  <c r="X443" i="4"/>
  <c r="Y442" i="4"/>
  <c r="Z442" i="4" s="1"/>
  <c r="P442" i="4"/>
  <c r="Y441" i="4"/>
  <c r="Z441" i="4" s="1"/>
  <c r="P441" i="4"/>
  <c r="Y440" i="4"/>
  <c r="P440" i="4"/>
  <c r="X438" i="4"/>
  <c r="X437" i="4"/>
  <c r="Y436" i="4"/>
  <c r="Z436" i="4" s="1"/>
  <c r="P436" i="4"/>
  <c r="Y435" i="4"/>
  <c r="Z435" i="4" s="1"/>
  <c r="P435" i="4"/>
  <c r="Y434" i="4"/>
  <c r="Z434" i="4" s="1"/>
  <c r="P434" i="4"/>
  <c r="Y433" i="4"/>
  <c r="Z433" i="4" s="1"/>
  <c r="P433" i="4"/>
  <c r="Y432" i="4"/>
  <c r="Z432" i="4" s="1"/>
  <c r="P432" i="4"/>
  <c r="Y431" i="4"/>
  <c r="Z431" i="4" s="1"/>
  <c r="P431" i="4"/>
  <c r="Y430" i="4"/>
  <c r="Z430" i="4" s="1"/>
  <c r="P430" i="4"/>
  <c r="Y429" i="4"/>
  <c r="Y437" i="4" s="1"/>
  <c r="P429" i="4"/>
  <c r="X425" i="4"/>
  <c r="X424" i="4"/>
  <c r="Y423" i="4"/>
  <c r="Z423" i="4" s="1"/>
  <c r="P423" i="4"/>
  <c r="Y422" i="4"/>
  <c r="P422" i="4"/>
  <c r="Y421" i="4"/>
  <c r="Z421" i="4" s="1"/>
  <c r="P421" i="4"/>
  <c r="X418" i="4"/>
  <c r="X417" i="4"/>
  <c r="Y416" i="4"/>
  <c r="Z416" i="4" s="1"/>
  <c r="P416" i="4"/>
  <c r="Y415" i="4"/>
  <c r="Y417" i="4" s="1"/>
  <c r="P415" i="4"/>
  <c r="X412" i="4"/>
  <c r="X411" i="4"/>
  <c r="Y410" i="4"/>
  <c r="Z410" i="4" s="1"/>
  <c r="P410" i="4"/>
  <c r="Y409" i="4"/>
  <c r="Z409" i="4" s="1"/>
  <c r="P409" i="4"/>
  <c r="Y408" i="4"/>
  <c r="P408" i="4"/>
  <c r="X406" i="4"/>
  <c r="X405" i="4"/>
  <c r="Y404" i="4"/>
  <c r="Z404" i="4" s="1"/>
  <c r="P404" i="4"/>
  <c r="Y403" i="4"/>
  <c r="Z403" i="4" s="1"/>
  <c r="P403" i="4"/>
  <c r="Y402" i="4"/>
  <c r="P402" i="4"/>
  <c r="X400" i="4"/>
  <c r="X399" i="4"/>
  <c r="Y398" i="4"/>
  <c r="Z398" i="4" s="1"/>
  <c r="P398" i="4"/>
  <c r="Y397" i="4"/>
  <c r="Z397" i="4" s="1"/>
  <c r="P397" i="4"/>
  <c r="Y396" i="4"/>
  <c r="P396" i="4"/>
  <c r="Y395" i="4"/>
  <c r="Z395" i="4" s="1"/>
  <c r="P395" i="4"/>
  <c r="X393" i="4"/>
  <c r="X392" i="4"/>
  <c r="Y391" i="4"/>
  <c r="Z391" i="4" s="1"/>
  <c r="P391" i="4"/>
  <c r="Y390" i="4"/>
  <c r="Z390" i="4" s="1"/>
  <c r="P390" i="4"/>
  <c r="Y389" i="4"/>
  <c r="Z389" i="4" s="1"/>
  <c r="P389" i="4"/>
  <c r="X387" i="4"/>
  <c r="X386" i="4"/>
  <c r="Y385" i="4"/>
  <c r="Z385" i="4" s="1"/>
  <c r="P385" i="4"/>
  <c r="Y384" i="4"/>
  <c r="Z384" i="4" s="1"/>
  <c r="P384" i="4"/>
  <c r="Y383" i="4"/>
  <c r="Z383" i="4" s="1"/>
  <c r="P383" i="4"/>
  <c r="Y382" i="4"/>
  <c r="P382" i="4"/>
  <c r="X380" i="4"/>
  <c r="X379" i="4"/>
  <c r="Y378" i="4"/>
  <c r="Z378" i="4" s="1"/>
  <c r="P378" i="4"/>
  <c r="Y377" i="4"/>
  <c r="Z377" i="4" s="1"/>
  <c r="P377" i="4"/>
  <c r="Y376" i="4"/>
  <c r="Z376" i="4" s="1"/>
  <c r="P376" i="4"/>
  <c r="Y375" i="4"/>
  <c r="Z375" i="4" s="1"/>
  <c r="P375" i="4"/>
  <c r="Y374" i="4"/>
  <c r="Z374" i="4" s="1"/>
  <c r="P374" i="4"/>
  <c r="Y373" i="4"/>
  <c r="Z373" i="4" s="1"/>
  <c r="P373" i="4"/>
  <c r="Y372" i="4"/>
  <c r="Z372" i="4" s="1"/>
  <c r="P372" i="4"/>
  <c r="X370" i="4"/>
  <c r="X369" i="4"/>
  <c r="Y368" i="4"/>
  <c r="Z368" i="4" s="1"/>
  <c r="P368" i="4"/>
  <c r="Y367" i="4"/>
  <c r="Z367" i="4" s="1"/>
  <c r="P367" i="4"/>
  <c r="Y366" i="4"/>
  <c r="Z366" i="4" s="1"/>
  <c r="P366" i="4"/>
  <c r="Y365" i="4"/>
  <c r="Z365" i="4" s="1"/>
  <c r="P365" i="4"/>
  <c r="Y364" i="4"/>
  <c r="Z364" i="4" s="1"/>
  <c r="P364" i="4"/>
  <c r="Y363" i="4"/>
  <c r="P363" i="4"/>
  <c r="X360" i="4"/>
  <c r="X359" i="4"/>
  <c r="Y358" i="4"/>
  <c r="Z358" i="4" s="1"/>
  <c r="P358" i="4"/>
  <c r="Y357" i="4"/>
  <c r="Z357" i="4" s="1"/>
  <c r="P357" i="4"/>
  <c r="Y356" i="4"/>
  <c r="P356" i="4"/>
  <c r="X353" i="4"/>
  <c r="X352" i="4"/>
  <c r="Y351" i="4"/>
  <c r="Z351" i="4" s="1"/>
  <c r="P351" i="4"/>
  <c r="Y350" i="4"/>
  <c r="Z350" i="4" s="1"/>
  <c r="Z352" i="4" s="1"/>
  <c r="P350" i="4"/>
  <c r="X348" i="4"/>
  <c r="X347" i="4"/>
  <c r="Y346" i="4"/>
  <c r="Z346" i="4" s="1"/>
  <c r="P346" i="4"/>
  <c r="Y345" i="4"/>
  <c r="Z345" i="4" s="1"/>
  <c r="P345" i="4"/>
  <c r="Y344" i="4"/>
  <c r="Z344" i="4" s="1"/>
  <c r="P344" i="4"/>
  <c r="Y343" i="4"/>
  <c r="Z343" i="4" s="1"/>
  <c r="P343" i="4"/>
  <c r="Y342" i="4"/>
  <c r="Z342" i="4" s="1"/>
  <c r="P342" i="4"/>
  <c r="X339" i="4"/>
  <c r="X338" i="4"/>
  <c r="Y337" i="4"/>
  <c r="Z337" i="4" s="1"/>
  <c r="P337" i="4"/>
  <c r="Y336" i="4"/>
  <c r="Z336" i="4" s="1"/>
  <c r="P336" i="4"/>
  <c r="Y335" i="4"/>
  <c r="Y339" i="4" s="1"/>
  <c r="P335" i="4"/>
  <c r="X332" i="4"/>
  <c r="X331" i="4"/>
  <c r="Y330" i="4"/>
  <c r="Z330" i="4" s="1"/>
  <c r="P330" i="4"/>
  <c r="Y329" i="4"/>
  <c r="Z329" i="4" s="1"/>
  <c r="P329" i="4"/>
  <c r="Y328" i="4"/>
  <c r="Z328" i="4" s="1"/>
  <c r="P328" i="4"/>
  <c r="Y327" i="4"/>
  <c r="Z327" i="4" s="1"/>
  <c r="P327" i="4"/>
  <c r="Y326" i="4"/>
  <c r="Z326" i="4" s="1"/>
  <c r="P326" i="4"/>
  <c r="X323" i="4"/>
  <c r="X322" i="4"/>
  <c r="Y321" i="4"/>
  <c r="Z321" i="4" s="1"/>
  <c r="P321" i="4"/>
  <c r="Y320" i="4"/>
  <c r="Z320" i="4" s="1"/>
  <c r="P320" i="4"/>
  <c r="Y319" i="4"/>
  <c r="Z319" i="4" s="1"/>
  <c r="P319" i="4"/>
  <c r="X317" i="4"/>
  <c r="X316" i="4"/>
  <c r="Y315" i="4"/>
  <c r="Y317" i="4" s="1"/>
  <c r="P315" i="4"/>
  <c r="X313" i="4"/>
  <c r="X312" i="4"/>
  <c r="Y311" i="4"/>
  <c r="Y313" i="4" s="1"/>
  <c r="P311" i="4"/>
  <c r="X309" i="4"/>
  <c r="X308" i="4"/>
  <c r="Y307" i="4"/>
  <c r="Z307" i="4" s="1"/>
  <c r="P307" i="4"/>
  <c r="Y306" i="4"/>
  <c r="Z306" i="4" s="1"/>
  <c r="P306" i="4"/>
  <c r="Y305" i="4"/>
  <c r="Z305" i="4" s="1"/>
  <c r="P305" i="4"/>
  <c r="Y304" i="4"/>
  <c r="Z304" i="4" s="1"/>
  <c r="P304" i="4"/>
  <c r="Y303" i="4"/>
  <c r="Z303" i="4" s="1"/>
  <c r="P303" i="4"/>
  <c r="Y302" i="4"/>
  <c r="Z302" i="4" s="1"/>
  <c r="P302" i="4"/>
  <c r="Y301" i="4"/>
  <c r="Z301" i="4" s="1"/>
  <c r="P301" i="4"/>
  <c r="X298" i="4"/>
  <c r="X297" i="4"/>
  <c r="Y296" i="4"/>
  <c r="Z296" i="4" s="1"/>
  <c r="P296" i="4"/>
  <c r="Y295" i="4"/>
  <c r="P295" i="4"/>
  <c r="X293" i="4"/>
  <c r="X292" i="4"/>
  <c r="Y291" i="4"/>
  <c r="Z291" i="4" s="1"/>
  <c r="P291" i="4"/>
  <c r="Y290" i="4"/>
  <c r="Z290" i="4" s="1"/>
  <c r="P290" i="4"/>
  <c r="Y289" i="4"/>
  <c r="Z289" i="4" s="1"/>
  <c r="P289" i="4"/>
  <c r="Y288" i="4"/>
  <c r="Z288" i="4" s="1"/>
  <c r="P288" i="4"/>
  <c r="Y287" i="4"/>
  <c r="Z287" i="4" s="1"/>
  <c r="P287" i="4"/>
  <c r="Y286" i="4"/>
  <c r="Z286" i="4" s="1"/>
  <c r="P286" i="4"/>
  <c r="Y285" i="4"/>
  <c r="Z285" i="4" s="1"/>
  <c r="P285" i="4"/>
  <c r="Y284" i="4"/>
  <c r="Z284" i="4" s="1"/>
  <c r="P284" i="4"/>
  <c r="Y283" i="4"/>
  <c r="Z283" i="4" s="1"/>
  <c r="P283" i="4"/>
  <c r="Y282" i="4"/>
  <c r="Z282" i="4" s="1"/>
  <c r="P282" i="4"/>
  <c r="Y281" i="4"/>
  <c r="Z281" i="4" s="1"/>
  <c r="P281" i="4"/>
  <c r="Y280" i="4"/>
  <c r="Y292" i="4" s="1"/>
  <c r="P280" i="4"/>
  <c r="X278" i="4"/>
  <c r="X277" i="4"/>
  <c r="Y276" i="4"/>
  <c r="Z276" i="4" s="1"/>
  <c r="P276" i="4"/>
  <c r="Y275" i="4"/>
  <c r="Z275" i="4" s="1"/>
  <c r="P275" i="4"/>
  <c r="Y274" i="4"/>
  <c r="Z274" i="4" s="1"/>
  <c r="P274" i="4"/>
  <c r="Y273" i="4"/>
  <c r="Z273" i="4" s="1"/>
  <c r="P273" i="4"/>
  <c r="Y272" i="4"/>
  <c r="Z272" i="4" s="1"/>
  <c r="P272" i="4"/>
  <c r="Y271" i="4"/>
  <c r="Z271" i="4" s="1"/>
  <c r="P271" i="4"/>
  <c r="Y270" i="4"/>
  <c r="Z270" i="4" s="1"/>
  <c r="P270" i="4"/>
  <c r="Y269" i="4"/>
  <c r="P269" i="4"/>
  <c r="X267" i="4"/>
  <c r="X266" i="4"/>
  <c r="Y265" i="4"/>
  <c r="Z265" i="4" s="1"/>
  <c r="P265" i="4"/>
  <c r="Y264" i="4"/>
  <c r="Z264" i="4" s="1"/>
  <c r="Z266" i="4" s="1"/>
  <c r="P264" i="4"/>
  <c r="X262" i="4"/>
  <c r="X261" i="4"/>
  <c r="Y260" i="4"/>
  <c r="Z260" i="4" s="1"/>
  <c r="P260" i="4"/>
  <c r="Y259" i="4"/>
  <c r="P259" i="4"/>
  <c r="X256" i="4"/>
  <c r="X255" i="4"/>
  <c r="Y254" i="4"/>
  <c r="P254" i="4"/>
  <c r="X252" i="4"/>
  <c r="X251" i="4"/>
  <c r="Y250" i="4"/>
  <c r="Z250" i="4" s="1"/>
  <c r="P250" i="4"/>
  <c r="Y249" i="4"/>
  <c r="Z249" i="4" s="1"/>
  <c r="P249" i="4"/>
  <c r="Y248" i="4"/>
  <c r="P248" i="4"/>
  <c r="X246" i="4"/>
  <c r="X245" i="4"/>
  <c r="Y244" i="4"/>
  <c r="Z244" i="4" s="1"/>
  <c r="P244" i="4"/>
  <c r="Y243" i="4"/>
  <c r="Z243" i="4" s="1"/>
  <c r="P243" i="4"/>
  <c r="Y242" i="4"/>
  <c r="Z242" i="4" s="1"/>
  <c r="P242" i="4"/>
  <c r="Y241" i="4"/>
  <c r="Z241" i="4" s="1"/>
  <c r="P241" i="4"/>
  <c r="Y240" i="4"/>
  <c r="Z240" i="4" s="1"/>
  <c r="P240" i="4"/>
  <c r="Y239" i="4"/>
  <c r="Z239" i="4" s="1"/>
  <c r="P239" i="4"/>
  <c r="Y238" i="4"/>
  <c r="Z238" i="4" s="1"/>
  <c r="P238" i="4"/>
  <c r="Y237" i="4"/>
  <c r="Z237" i="4" s="1"/>
  <c r="P237" i="4"/>
  <c r="Y236" i="4"/>
  <c r="P236" i="4"/>
  <c r="X234" i="4"/>
  <c r="X233" i="4"/>
  <c r="Y232" i="4"/>
  <c r="Z232" i="4" s="1"/>
  <c r="P232" i="4"/>
  <c r="Y231" i="4"/>
  <c r="Z231" i="4" s="1"/>
  <c r="P231" i="4"/>
  <c r="Y230" i="4"/>
  <c r="Z230" i="4" s="1"/>
  <c r="P230" i="4"/>
  <c r="Y229" i="4"/>
  <c r="Z229" i="4" s="1"/>
  <c r="P229" i="4"/>
  <c r="Y228" i="4"/>
  <c r="Z228" i="4" s="1"/>
  <c r="P228" i="4"/>
  <c r="Y227" i="4"/>
  <c r="Z227" i="4" s="1"/>
  <c r="P227" i="4"/>
  <c r="Y226" i="4"/>
  <c r="Z226" i="4" s="1"/>
  <c r="P226" i="4"/>
  <c r="Y225" i="4"/>
  <c r="Z225" i="4" s="1"/>
  <c r="P225" i="4"/>
  <c r="Y224" i="4"/>
  <c r="Z224" i="4" s="1"/>
  <c r="P224" i="4"/>
  <c r="Y223" i="4"/>
  <c r="Z223" i="4" s="1"/>
  <c r="P223" i="4"/>
  <c r="Y222" i="4"/>
  <c r="Z222" i="4" s="1"/>
  <c r="P222" i="4"/>
  <c r="Y221" i="4"/>
  <c r="Z221" i="4" s="1"/>
  <c r="P221" i="4"/>
  <c r="Y220" i="4"/>
  <c r="Z220" i="4" s="1"/>
  <c r="P220" i="4"/>
  <c r="Y219" i="4"/>
  <c r="Z219" i="4" s="1"/>
  <c r="P219" i="4"/>
  <c r="Y218" i="4"/>
  <c r="P218" i="4"/>
  <c r="X216" i="4"/>
  <c r="X215" i="4"/>
  <c r="Y214" i="4"/>
  <c r="P214" i="4"/>
  <c r="X211" i="4"/>
  <c r="X210" i="4"/>
  <c r="Y209" i="4"/>
  <c r="Z209" i="4" s="1"/>
  <c r="P209" i="4"/>
  <c r="Y208" i="4"/>
  <c r="Z208" i="4" s="1"/>
  <c r="P208" i="4"/>
  <c r="Y207" i="4"/>
  <c r="Z207" i="4" s="1"/>
  <c r="P207" i="4"/>
  <c r="Y206" i="4"/>
  <c r="Z206" i="4" s="1"/>
  <c r="P206" i="4"/>
  <c r="Y205" i="4"/>
  <c r="Z205" i="4" s="1"/>
  <c r="P205" i="4"/>
  <c r="Y204" i="4"/>
  <c r="Z204" i="4" s="1"/>
  <c r="P204" i="4"/>
  <c r="Y203" i="4"/>
  <c r="P203" i="4"/>
  <c r="X199" i="4"/>
  <c r="X198" i="4"/>
  <c r="Y197" i="4"/>
  <c r="P197" i="4"/>
  <c r="X195" i="4"/>
  <c r="X194" i="4"/>
  <c r="Y193" i="4"/>
  <c r="P193" i="4"/>
  <c r="X191" i="4"/>
  <c r="X190" i="4"/>
  <c r="Y189" i="4"/>
  <c r="Z189" i="4" s="1"/>
  <c r="P189" i="4"/>
  <c r="Y188" i="4"/>
  <c r="Z188" i="4" s="1"/>
  <c r="P188" i="4"/>
  <c r="Y187" i="4"/>
  <c r="P187" i="4"/>
  <c r="X185" i="4"/>
  <c r="X184" i="4"/>
  <c r="Y183" i="4"/>
  <c r="Z183" i="4" s="1"/>
  <c r="P183" i="4"/>
  <c r="Y182" i="4"/>
  <c r="Z182" i="4" s="1"/>
  <c r="P182" i="4"/>
  <c r="Y181" i="4"/>
  <c r="Z181" i="4" s="1"/>
  <c r="P181" i="4"/>
  <c r="Y180" i="4"/>
  <c r="Z180" i="4" s="1"/>
  <c r="P180" i="4"/>
  <c r="Y179" i="4"/>
  <c r="Z179" i="4" s="1"/>
  <c r="P179" i="4"/>
  <c r="Y178" i="4"/>
  <c r="Z178" i="4" s="1"/>
  <c r="P178" i="4"/>
  <c r="Y177" i="4"/>
  <c r="Z177" i="4" s="1"/>
  <c r="P177" i="4"/>
  <c r="Y176" i="4"/>
  <c r="Z176" i="4" s="1"/>
  <c r="P176" i="4"/>
  <c r="Y175" i="4"/>
  <c r="Z175" i="4" s="1"/>
  <c r="P175" i="4"/>
  <c r="Y174" i="4"/>
  <c r="Z174" i="4" s="1"/>
  <c r="P174" i="4"/>
  <c r="Y173" i="4"/>
  <c r="Z173" i="4" s="1"/>
  <c r="P173" i="4"/>
  <c r="Y172" i="4"/>
  <c r="P172" i="4"/>
  <c r="X170" i="4"/>
  <c r="X169" i="4"/>
  <c r="Y168" i="4"/>
  <c r="Z168" i="4" s="1"/>
  <c r="P168" i="4"/>
  <c r="Y167" i="4"/>
  <c r="P167" i="4"/>
  <c r="X165" i="4"/>
  <c r="X164" i="4"/>
  <c r="Y163" i="4"/>
  <c r="Z163" i="4" s="1"/>
  <c r="P163" i="4"/>
  <c r="Y162" i="4"/>
  <c r="Z162" i="4" s="1"/>
  <c r="P162" i="4"/>
  <c r="Y161" i="4"/>
  <c r="P161" i="4"/>
  <c r="X158" i="4"/>
  <c r="X157" i="4"/>
  <c r="Y156" i="4"/>
  <c r="P156" i="4"/>
  <c r="X154" i="4"/>
  <c r="X153" i="4"/>
  <c r="Y152" i="4"/>
  <c r="Z152" i="4" s="1"/>
  <c r="P152" i="4"/>
  <c r="Y151" i="4"/>
  <c r="Z151" i="4" s="1"/>
  <c r="P151" i="4"/>
  <c r="Y150" i="4"/>
  <c r="Z150" i="4" s="1"/>
  <c r="P150" i="4"/>
  <c r="Y149" i="4"/>
  <c r="Z149" i="4" s="1"/>
  <c r="P149" i="4"/>
  <c r="Y148" i="4"/>
  <c r="Z148" i="4" s="1"/>
  <c r="P148" i="4"/>
  <c r="Y147" i="4"/>
  <c r="Z147" i="4" s="1"/>
  <c r="P147" i="4"/>
  <c r="X144" i="4"/>
  <c r="X143" i="4"/>
  <c r="Y142" i="4"/>
  <c r="Z142" i="4" s="1"/>
  <c r="P142" i="4"/>
  <c r="Y141" i="4"/>
  <c r="P141" i="4"/>
  <c r="X139" i="4"/>
  <c r="X138" i="4"/>
  <c r="Y137" i="4"/>
  <c r="Z137" i="4" s="1"/>
  <c r="P137" i="4"/>
  <c r="Y136" i="4"/>
  <c r="Z136" i="4" s="1"/>
  <c r="P136" i="4"/>
  <c r="X134" i="4"/>
  <c r="X133" i="4"/>
  <c r="Y132" i="4"/>
  <c r="Z132" i="4" s="1"/>
  <c r="P132" i="4"/>
  <c r="Y131" i="4"/>
  <c r="Y133" i="4" s="1"/>
  <c r="P131" i="4"/>
  <c r="X128" i="4"/>
  <c r="X127" i="4"/>
  <c r="Y126" i="4"/>
  <c r="P126" i="4"/>
  <c r="X124" i="4"/>
  <c r="X123" i="4"/>
  <c r="Y122" i="4"/>
  <c r="Z122" i="4" s="1"/>
  <c r="P122" i="4"/>
  <c r="Y121" i="4"/>
  <c r="Z121" i="4" s="1"/>
  <c r="P121" i="4"/>
  <c r="Y120" i="4"/>
  <c r="Z120" i="4" s="1"/>
  <c r="P120" i="4"/>
  <c r="Y119" i="4"/>
  <c r="Z119" i="4" s="1"/>
  <c r="P119" i="4"/>
  <c r="X117" i="4"/>
  <c r="X116" i="4"/>
  <c r="Y115" i="4"/>
  <c r="Z115" i="4" s="1"/>
  <c r="P115" i="4"/>
  <c r="Y114" i="4"/>
  <c r="Z114" i="4" s="1"/>
  <c r="P114" i="4"/>
  <c r="Y113" i="4"/>
  <c r="Z113" i="4" s="1"/>
  <c r="P113" i="4"/>
  <c r="Y112" i="4"/>
  <c r="Z112" i="4" s="1"/>
  <c r="P112" i="4"/>
  <c r="Y111" i="4"/>
  <c r="Z111" i="4" s="1"/>
  <c r="P111" i="4"/>
  <c r="X109" i="4"/>
  <c r="X108" i="4"/>
  <c r="Y107" i="4"/>
  <c r="Z107" i="4" s="1"/>
  <c r="P107" i="4"/>
  <c r="Y106" i="4"/>
  <c r="Z106" i="4" s="1"/>
  <c r="P106" i="4"/>
  <c r="Y105" i="4"/>
  <c r="Z105" i="4" s="1"/>
  <c r="P105" i="4"/>
  <c r="Y104" i="4"/>
  <c r="Z104" i="4" s="1"/>
  <c r="P104" i="4"/>
  <c r="Y103" i="4"/>
  <c r="Z103" i="4" s="1"/>
  <c r="P103" i="4"/>
  <c r="Y102" i="4"/>
  <c r="P102" i="4"/>
  <c r="X99" i="4"/>
  <c r="X98" i="4"/>
  <c r="Y97" i="4"/>
  <c r="Z97" i="4" s="1"/>
  <c r="P97" i="4"/>
  <c r="Y96" i="4"/>
  <c r="Z96" i="4" s="1"/>
  <c r="P96" i="4"/>
  <c r="Y95" i="4"/>
  <c r="Z95" i="4" s="1"/>
  <c r="P95" i="4"/>
  <c r="Y94" i="4"/>
  <c r="Z94" i="4" s="1"/>
  <c r="P94" i="4"/>
  <c r="X92" i="4"/>
  <c r="X91" i="4"/>
  <c r="Y90" i="4"/>
  <c r="Z90" i="4" s="1"/>
  <c r="P90" i="4"/>
  <c r="Y89" i="4"/>
  <c r="Z89" i="4" s="1"/>
  <c r="P89" i="4"/>
  <c r="Y88" i="4"/>
  <c r="Z88" i="4" s="1"/>
  <c r="P88" i="4"/>
  <c r="Y87" i="4"/>
  <c r="Z87" i="4" s="1"/>
  <c r="P87" i="4"/>
  <c r="Y86" i="4"/>
  <c r="Z86" i="4" s="1"/>
  <c r="P86" i="4"/>
  <c r="Y85" i="4"/>
  <c r="Y92" i="4" s="1"/>
  <c r="P85" i="4"/>
  <c r="X82" i="4"/>
  <c r="X81" i="4"/>
  <c r="Y80" i="4"/>
  <c r="Z80" i="4" s="1"/>
  <c r="P80" i="4"/>
  <c r="Y79" i="4"/>
  <c r="Z79" i="4" s="1"/>
  <c r="P79" i="4"/>
  <c r="Y78" i="4"/>
  <c r="P78" i="4"/>
  <c r="X76" i="4"/>
  <c r="X75" i="4"/>
  <c r="Y74" i="4"/>
  <c r="Z74" i="4" s="1"/>
  <c r="P74" i="4"/>
  <c r="Y73" i="4"/>
  <c r="Z73" i="4" s="1"/>
  <c r="P73" i="4"/>
  <c r="Y72" i="4"/>
  <c r="Y75" i="4" s="1"/>
  <c r="P72" i="4"/>
  <c r="X70" i="4"/>
  <c r="X69" i="4"/>
  <c r="Y68" i="4"/>
  <c r="Z68" i="4" s="1"/>
  <c r="P68" i="4"/>
  <c r="Y67" i="4"/>
  <c r="Z67" i="4" s="1"/>
  <c r="P67" i="4"/>
  <c r="Y66" i="4"/>
  <c r="Z66" i="4" s="1"/>
  <c r="P66" i="4"/>
  <c r="Y65" i="4"/>
  <c r="P65" i="4"/>
  <c r="X63" i="4"/>
  <c r="X62" i="4"/>
  <c r="Y61" i="4"/>
  <c r="Z61" i="4" s="1"/>
  <c r="P61" i="4"/>
  <c r="Y60" i="4"/>
  <c r="Z60" i="4" s="1"/>
  <c r="P60" i="4"/>
  <c r="Y59" i="4"/>
  <c r="Z59" i="4" s="1"/>
  <c r="P59" i="4"/>
  <c r="Y58" i="4"/>
  <c r="Z58" i="4" s="1"/>
  <c r="P58" i="4"/>
  <c r="Y57" i="4"/>
  <c r="Z57" i="4" s="1"/>
  <c r="P57" i="4"/>
  <c r="Y56" i="4"/>
  <c r="Z56" i="4" s="1"/>
  <c r="P56" i="4"/>
  <c r="Y55" i="4"/>
  <c r="P55" i="4"/>
  <c r="X52" i="4"/>
  <c r="X51" i="4"/>
  <c r="Y50" i="4"/>
  <c r="Z50" i="4" s="1"/>
  <c r="P50" i="4"/>
  <c r="Y49" i="4"/>
  <c r="Z49" i="4" s="1"/>
  <c r="P49" i="4"/>
  <c r="Y48" i="4"/>
  <c r="Z48" i="4" s="1"/>
  <c r="P48" i="4"/>
  <c r="Y47" i="4"/>
  <c r="Y52" i="4" s="1"/>
  <c r="P47" i="4"/>
  <c r="X43" i="4"/>
  <c r="X42" i="4"/>
  <c r="Y41" i="4"/>
  <c r="Z41" i="4" s="1"/>
  <c r="P41" i="4"/>
  <c r="Y40" i="4"/>
  <c r="Z40" i="4" s="1"/>
  <c r="P40" i="4"/>
  <c r="Y39" i="4"/>
  <c r="Z39" i="4" s="1"/>
  <c r="P39" i="4"/>
  <c r="Y38" i="4"/>
  <c r="Z38" i="4" s="1"/>
  <c r="P38" i="4"/>
  <c r="Y37" i="4"/>
  <c r="Y42" i="4" s="1"/>
  <c r="P37" i="4"/>
  <c r="X33" i="4"/>
  <c r="X32" i="4"/>
  <c r="Y31" i="4"/>
  <c r="Z31" i="4" s="1"/>
  <c r="P31" i="4"/>
  <c r="Y30" i="4"/>
  <c r="Z30" i="4" s="1"/>
  <c r="P30" i="4"/>
  <c r="Y29" i="4"/>
  <c r="Z29" i="4" s="1"/>
  <c r="P29" i="4"/>
  <c r="Y28" i="4"/>
  <c r="Z28" i="4" s="1"/>
  <c r="P28" i="4"/>
  <c r="Y27" i="4"/>
  <c r="P27" i="4"/>
  <c r="X25" i="4"/>
  <c r="X24" i="4"/>
  <c r="Y23" i="4"/>
  <c r="Z23" i="4" s="1"/>
  <c r="P23" i="4"/>
  <c r="Y22" i="4"/>
  <c r="Z22" i="4" s="1"/>
  <c r="Z24" i="4" s="1"/>
  <c r="P22" i="4"/>
  <c r="D7" i="4"/>
  <c r="Q6" i="4"/>
  <c r="Z138" i="4" l="1"/>
  <c r="Y557" i="4"/>
  <c r="Z554" i="4"/>
  <c r="Z556" i="4" s="1"/>
  <c r="Y556" i="4"/>
  <c r="Y184" i="4"/>
  <c r="Z311" i="4"/>
  <c r="Z312" i="4" s="1"/>
  <c r="Y312" i="4"/>
  <c r="Z315" i="4"/>
  <c r="Z316" i="4" s="1"/>
  <c r="Y316" i="4"/>
  <c r="Z116" i="4"/>
  <c r="Y63" i="4"/>
  <c r="Z55" i="4"/>
  <c r="Z62" i="4" s="1"/>
  <c r="Y69" i="4"/>
  <c r="Z65" i="4"/>
  <c r="Y32" i="4"/>
  <c r="Z98" i="4"/>
  <c r="Z123" i="4"/>
  <c r="Z153" i="4"/>
  <c r="Z322" i="4"/>
  <c r="Y338" i="4"/>
  <c r="Z347" i="4"/>
  <c r="Z379" i="4"/>
  <c r="Y24" i="4"/>
  <c r="X562" i="4"/>
  <c r="Y81" i="4"/>
  <c r="Y153" i="4"/>
  <c r="Z172" i="4"/>
  <c r="Z184" i="4" s="1"/>
  <c r="Y266" i="4"/>
  <c r="Z280" i="4"/>
  <c r="Z292" i="4" s="1"/>
  <c r="Y309" i="4"/>
  <c r="Y332" i="4"/>
  <c r="Z335" i="4"/>
  <c r="Y393" i="4"/>
  <c r="Y392" i="4"/>
  <c r="Z429" i="4"/>
  <c r="Z437" i="4" s="1"/>
  <c r="Y460" i="4"/>
  <c r="Z484" i="4"/>
  <c r="Z486" i="4" s="1"/>
  <c r="Z69" i="4"/>
  <c r="Y25" i="4"/>
  <c r="Y33" i="4"/>
  <c r="Y43" i="4"/>
  <c r="Y51" i="4"/>
  <c r="Y62" i="4"/>
  <c r="Y70" i="4"/>
  <c r="Y76" i="4"/>
  <c r="Y82" i="4"/>
  <c r="Y91" i="4"/>
  <c r="Y108" i="4"/>
  <c r="Y116" i="4"/>
  <c r="Y139" i="4"/>
  <c r="Y144" i="4"/>
  <c r="Z141" i="4"/>
  <c r="Z143" i="4" s="1"/>
  <c r="Y165" i="4"/>
  <c r="Y170" i="4"/>
  <c r="Z167" i="4"/>
  <c r="Z169" i="4" s="1"/>
  <c r="Y185" i="4"/>
  <c r="Y190" i="4"/>
  <c r="Z187" i="4"/>
  <c r="Z190" i="4" s="1"/>
  <c r="Y211" i="4"/>
  <c r="Y215" i="4"/>
  <c r="Z214" i="4"/>
  <c r="Z215" i="4" s="1"/>
  <c r="Y216" i="4"/>
  <c r="Y233" i="4"/>
  <c r="Z218" i="4"/>
  <c r="Z233" i="4" s="1"/>
  <c r="Y252" i="4"/>
  <c r="Y255" i="4"/>
  <c r="Z254" i="4"/>
  <c r="Z255" i="4" s="1"/>
  <c r="Y256" i="4"/>
  <c r="Y262" i="4"/>
  <c r="Z259" i="4"/>
  <c r="Z261" i="4" s="1"/>
  <c r="Y293" i="4"/>
  <c r="Y298" i="4"/>
  <c r="Z295" i="4"/>
  <c r="Z297" i="4" s="1"/>
  <c r="Y308" i="4"/>
  <c r="Y347" i="4"/>
  <c r="Y353" i="4"/>
  <c r="Y359" i="4"/>
  <c r="Z356" i="4"/>
  <c r="Z359" i="4" s="1"/>
  <c r="Y369" i="4"/>
  <c r="Z396" i="4"/>
  <c r="Z399" i="4" s="1"/>
  <c r="Y400" i="4"/>
  <c r="Y406" i="4"/>
  <c r="Y411" i="4"/>
  <c r="Z408" i="4"/>
  <c r="Z411" i="4" s="1"/>
  <c r="Y412" i="4"/>
  <c r="Z422" i="4"/>
  <c r="Z424" i="4" s="1"/>
  <c r="Y424" i="4"/>
  <c r="Y471" i="4"/>
  <c r="Y482" i="4"/>
  <c r="Z475" i="4"/>
  <c r="Z481" i="4" s="1"/>
  <c r="Y481" i="4"/>
  <c r="X558" i="4"/>
  <c r="Z27" i="4"/>
  <c r="Z32" i="4" s="1"/>
  <c r="Z37" i="4"/>
  <c r="Z42" i="4" s="1"/>
  <c r="Z47" i="4"/>
  <c r="Z51" i="4" s="1"/>
  <c r="Z72" i="4"/>
  <c r="Z75" i="4" s="1"/>
  <c r="Z78" i="4"/>
  <c r="Z81" i="4" s="1"/>
  <c r="Z85" i="4"/>
  <c r="Z91" i="4" s="1"/>
  <c r="Y98" i="4"/>
  <c r="Y99" i="4"/>
  <c r="Y109" i="4"/>
  <c r="Z102" i="4"/>
  <c r="Z108" i="4" s="1"/>
  <c r="Y117" i="4"/>
  <c r="Y123" i="4"/>
  <c r="Y124" i="4"/>
  <c r="Y127" i="4"/>
  <c r="Z126" i="4"/>
  <c r="Z127" i="4" s="1"/>
  <c r="Y128" i="4"/>
  <c r="Y134" i="4"/>
  <c r="Z131" i="4"/>
  <c r="Z133" i="4" s="1"/>
  <c r="Y138" i="4"/>
  <c r="Y143" i="4"/>
  <c r="Y154" i="4"/>
  <c r="Y157" i="4"/>
  <c r="Z156" i="4"/>
  <c r="Z157" i="4" s="1"/>
  <c r="Y158" i="4"/>
  <c r="Y164" i="4"/>
  <c r="Z161" i="4"/>
  <c r="Z164" i="4" s="1"/>
  <c r="Y169" i="4"/>
  <c r="Y191" i="4"/>
  <c r="Y194" i="4"/>
  <c r="Z193" i="4"/>
  <c r="Z194" i="4" s="1"/>
  <c r="Y195" i="4"/>
  <c r="Y198" i="4"/>
  <c r="Z197" i="4"/>
  <c r="Z198" i="4" s="1"/>
  <c r="Y199" i="4"/>
  <c r="Y210" i="4"/>
  <c r="Z203" i="4"/>
  <c r="Z210" i="4" s="1"/>
  <c r="Y234" i="4"/>
  <c r="Y245" i="4"/>
  <c r="Z236" i="4"/>
  <c r="Z245" i="4" s="1"/>
  <c r="Y246" i="4"/>
  <c r="Y251" i="4"/>
  <c r="Z248" i="4"/>
  <c r="Z251" i="4" s="1"/>
  <c r="Y261" i="4"/>
  <c r="Y267" i="4"/>
  <c r="Y278" i="4"/>
  <c r="Z269" i="4"/>
  <c r="Z277" i="4" s="1"/>
  <c r="Y277" i="4"/>
  <c r="Y297" i="4"/>
  <c r="Z308" i="4"/>
  <c r="Y323" i="4"/>
  <c r="Y322" i="4"/>
  <c r="Z331" i="4"/>
  <c r="Y331" i="4"/>
  <c r="Z338" i="4"/>
  <c r="Y348" i="4"/>
  <c r="Y352" i="4"/>
  <c r="Y360" i="4"/>
  <c r="Y370" i="4"/>
  <c r="Z363" i="4"/>
  <c r="Z369" i="4" s="1"/>
  <c r="Y380" i="4"/>
  <c r="Y379" i="4"/>
  <c r="Y438" i="4"/>
  <c r="Y443" i="4"/>
  <c r="Z440" i="4"/>
  <c r="Z443" i="4" s="1"/>
  <c r="Y444" i="4"/>
  <c r="Y450" i="4"/>
  <c r="Y455" i="4"/>
  <c r="Z452" i="4"/>
  <c r="Z454" i="4" s="1"/>
  <c r="Y454" i="4"/>
  <c r="Y498" i="4"/>
  <c r="Y511" i="4"/>
  <c r="Z502" i="4"/>
  <c r="Z511" i="4" s="1"/>
  <c r="Y512" i="4"/>
  <c r="Y517" i="4"/>
  <c r="Z514" i="4"/>
  <c r="Z517" i="4" s="1"/>
  <c r="Y518" i="4"/>
  <c r="Y528" i="4"/>
  <c r="Y533" i="4"/>
  <c r="Z532" i="4"/>
  <c r="Z533" i="4" s="1"/>
  <c r="Y534" i="4"/>
  <c r="Y537" i="4"/>
  <c r="Z536" i="4"/>
  <c r="Z537" i="4" s="1"/>
  <c r="Y538" i="4"/>
  <c r="Y541" i="4"/>
  <c r="Z540" i="4"/>
  <c r="Z541" i="4" s="1"/>
  <c r="Y542" i="4"/>
  <c r="Y545" i="4"/>
  <c r="Z544" i="4"/>
  <c r="Z545" i="4" s="1"/>
  <c r="Y546" i="4"/>
  <c r="Y551" i="4"/>
  <c r="Z548" i="4"/>
  <c r="Z550" i="4" s="1"/>
  <c r="Y550" i="4"/>
  <c r="Y387" i="4"/>
  <c r="Z382" i="4"/>
  <c r="Z386" i="4" s="1"/>
  <c r="Y386" i="4"/>
  <c r="Z392" i="4"/>
  <c r="Y399" i="4"/>
  <c r="Y405" i="4"/>
  <c r="Z402" i="4"/>
  <c r="Z405" i="4" s="1"/>
  <c r="Y418" i="4"/>
  <c r="Z415" i="4"/>
  <c r="Z417" i="4" s="1"/>
  <c r="Y425" i="4"/>
  <c r="Y449" i="4"/>
  <c r="Z446" i="4"/>
  <c r="Z449" i="4" s="1"/>
  <c r="Y461" i="4"/>
  <c r="Y464" i="4"/>
  <c r="Z463" i="4"/>
  <c r="Z464" i="4" s="1"/>
  <c r="Y465" i="4"/>
  <c r="Y470" i="4"/>
  <c r="Z467" i="4"/>
  <c r="Z470" i="4" s="1"/>
  <c r="Y487" i="4"/>
  <c r="Y491" i="4"/>
  <c r="Z490" i="4"/>
  <c r="Z491" i="4" s="1"/>
  <c r="Y492" i="4"/>
  <c r="Y497" i="4"/>
  <c r="Z494" i="4"/>
  <c r="Z497" i="4" s="1"/>
  <c r="Y527" i="4"/>
  <c r="Z520" i="4"/>
  <c r="Z527" i="4" s="1"/>
  <c r="X557" i="2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Q568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Y562" i="4" l="1"/>
  <c r="Y558" i="4"/>
  <c r="AC568" i="2"/>
  <c r="Z485" i="2"/>
  <c r="Z94" i="2"/>
  <c r="BN94" i="2"/>
  <c r="Z221" i="2"/>
  <c r="Z395" i="2"/>
  <c r="Z39" i="2"/>
  <c r="BN39" i="2"/>
  <c r="Z264" i="2"/>
  <c r="BN264" i="2"/>
  <c r="Z345" i="2"/>
  <c r="X559" i="2"/>
  <c r="X558" i="2"/>
  <c r="Z60" i="2"/>
  <c r="BP111" i="2"/>
  <c r="Z231" i="2"/>
  <c r="BN231" i="2"/>
  <c r="Z274" i="2"/>
  <c r="BN274" i="2"/>
  <c r="Z337" i="2"/>
  <c r="Z374" i="2"/>
  <c r="BN374" i="2"/>
  <c r="Z431" i="2"/>
  <c r="BP476" i="2"/>
  <c r="Y134" i="2"/>
  <c r="Z38" i="2"/>
  <c r="Z55" i="2"/>
  <c r="Z61" i="2"/>
  <c r="BN61" i="2"/>
  <c r="Z104" i="2"/>
  <c r="BN104" i="2"/>
  <c r="Z115" i="2"/>
  <c r="BP178" i="2"/>
  <c r="BP223" i="2"/>
  <c r="Z237" i="2"/>
  <c r="BN237" i="2"/>
  <c r="BP269" i="2"/>
  <c r="Z284" i="2"/>
  <c r="BN284" i="2"/>
  <c r="Z335" i="2"/>
  <c r="Z351" i="2"/>
  <c r="Z436" i="2"/>
  <c r="Z459" i="2"/>
  <c r="Z484" i="2"/>
  <c r="Z486" i="2" s="1"/>
  <c r="BN31" i="2"/>
  <c r="BP49" i="2"/>
  <c r="BN56" i="2"/>
  <c r="BN72" i="2"/>
  <c r="BN89" i="2"/>
  <c r="BN95" i="2"/>
  <c r="BN105" i="2"/>
  <c r="Y128" i="2"/>
  <c r="BN126" i="2"/>
  <c r="Y127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BN391" i="2"/>
  <c r="BN398" i="2"/>
  <c r="Z398" i="2"/>
  <c r="BN408" i="2"/>
  <c r="BN422" i="2"/>
  <c r="Z422" i="2"/>
  <c r="BN430" i="2"/>
  <c r="BN434" i="2"/>
  <c r="Z434" i="2"/>
  <c r="BN494" i="2"/>
  <c r="Z514" i="2"/>
  <c r="Y517" i="2"/>
  <c r="BN514" i="2"/>
  <c r="Z27" i="2"/>
  <c r="BN27" i="2"/>
  <c r="BN29" i="2"/>
  <c r="C568" i="2"/>
  <c r="BP38" i="2"/>
  <c r="Z49" i="2"/>
  <c r="Z50" i="2"/>
  <c r="BN50" i="2"/>
  <c r="BP60" i="2"/>
  <c r="Z65" i="2"/>
  <c r="BN66" i="2"/>
  <c r="F568" i="2"/>
  <c r="BN87" i="2"/>
  <c r="G568" i="2"/>
  <c r="Z113" i="2"/>
  <c r="BP115" i="2"/>
  <c r="Y124" i="2"/>
  <c r="BN132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Y393" i="2"/>
  <c r="BN390" i="2"/>
  <c r="Z390" i="2"/>
  <c r="BP469" i="2"/>
  <c r="BN469" i="2"/>
  <c r="Z469" i="2"/>
  <c r="Y470" i="2"/>
  <c r="BP477" i="2"/>
  <c r="BN477" i="2"/>
  <c r="Z477" i="2"/>
  <c r="BN479" i="2"/>
  <c r="BN504" i="2"/>
  <c r="BP516" i="2"/>
  <c r="Z516" i="2"/>
  <c r="BP520" i="2"/>
  <c r="Z520" i="2"/>
  <c r="Y546" i="2"/>
  <c r="Z544" i="2"/>
  <c r="Z545" i="2" s="1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Y406" i="2"/>
  <c r="BN403" i="2"/>
  <c r="BN410" i="2"/>
  <c r="BP436" i="2"/>
  <c r="BP459" i="2"/>
  <c r="BN467" i="2"/>
  <c r="BN478" i="2"/>
  <c r="BP484" i="2"/>
  <c r="Y497" i="2"/>
  <c r="BN510" i="2"/>
  <c r="BN515" i="2"/>
  <c r="BN522" i="2"/>
  <c r="Y54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X561" i="4" l="1"/>
  <c r="Z443" i="2"/>
  <c r="Z338" i="2"/>
  <c r="Z138" i="2"/>
  <c r="X561" i="2"/>
  <c r="Z91" i="2"/>
  <c r="Z437" i="2"/>
  <c r="Z481" i="2"/>
  <c r="Z62" i="2"/>
  <c r="Z42" i="2"/>
  <c r="Z190" i="2"/>
  <c r="Z51" i="2"/>
  <c r="Z517" i="2"/>
  <c r="Z470" i="2"/>
  <c r="Z322" i="2"/>
  <c r="Z352" i="2"/>
  <c r="Z98" i="2"/>
  <c r="Z460" i="2"/>
  <c r="Z69" i="2"/>
  <c r="Z399" i="2"/>
  <c r="Z347" i="2"/>
  <c r="Z454" i="2"/>
  <c r="Y562" i="2"/>
  <c r="Z210" i="2"/>
  <c r="Z75" i="2"/>
  <c r="Z123" i="2"/>
  <c r="Z497" i="2"/>
  <c r="Z16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4" l="1"/>
  <c r="Z563" i="2"/>
  <c r="Y561" i="2"/>
</calcChain>
</file>

<file path=xl/sharedStrings.xml><?xml version="1.0" encoding="utf-8"?>
<sst xmlns="http://schemas.openxmlformats.org/spreadsheetml/2006/main" count="7958" uniqueCount="915">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</sst>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25" fillId="28" borderId="16" xfId="0" applyNumberFormat="1" applyFont="1" applyFill="1" applyBorder="1" applyAlignment="1" applyProtection="1">
      <alignment horizontal="right"/>
      <protection locked="0"/>
    </xf>
    <xf numFmtId="0" fontId="36" fillId="28" borderId="0" xfId="39" applyFont="1" applyFill="1" applyBorder="1" applyAlignment="1">
      <alignment horizontal="center" vertical="center"/>
    </xf>
    <xf numFmtId="0" fontId="36" fillId="28" borderId="0" xfId="0" applyFont="1" applyFill="1" applyBorder="1" applyAlignment="1" applyProtection="1">
      <alignment horizontal="center" vertical="center" wrapText="1"/>
    </xf>
    <xf numFmtId="0" fontId="35" fillId="28" borderId="0" xfId="0" applyFont="1" applyFill="1" applyBorder="1" applyAlignment="1" applyProtection="1">
      <alignment horizontal="center" vertical="center" wrapText="1"/>
    </xf>
    <xf numFmtId="0" fontId="37" fillId="28" borderId="0" xfId="0" applyFont="1" applyFill="1" applyBorder="1" applyAlignment="1" applyProtection="1">
      <alignment horizontal="center"/>
      <protection hidden="1"/>
    </xf>
    <xf numFmtId="0" fontId="1" fillId="28" borderId="0" xfId="0" applyFont="1" applyFill="1" applyBorder="1" applyAlignment="1" applyProtection="1">
      <alignment horizontal="right"/>
      <protection hidden="1"/>
    </xf>
    <xf numFmtId="0" fontId="2" fillId="28" borderId="16" xfId="0" applyNumberFormat="1" applyFont="1" applyFill="1" applyBorder="1" applyAlignment="1" applyProtection="1">
      <alignment horizontal="center" vertical="center"/>
      <protection hidden="1"/>
    </xf>
    <xf numFmtId="164" fontId="4" fillId="28" borderId="0" xfId="0" applyNumberFormat="1" applyFont="1" applyFill="1" applyAlignment="1" applyProtection="1">
      <alignment horizontal="center"/>
      <protection hidden="1"/>
    </xf>
    <xf numFmtId="4" fontId="30" fillId="28" borderId="18" xfId="39" applyNumberFormat="1" applyFont="1" applyFill="1" applyBorder="1" applyAlignment="1" applyProtection="1">
      <alignment horizontal="center" vertical="center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4" fillId="28" borderId="26" xfId="0" applyFont="1" applyFill="1" applyBorder="1" applyAlignment="1" applyProtection="1">
      <alignment horizontal="center" vertical="center" wrapText="1"/>
      <protection hidden="1"/>
    </xf>
    <xf numFmtId="0" fontId="54" fillId="28" borderId="27" xfId="0" applyFont="1" applyFill="1" applyBorder="1" applyAlignment="1" applyProtection="1">
      <alignment horizontal="center" vertical="center" wrapText="1"/>
      <protection hidden="1"/>
    </xf>
    <xf numFmtId="0" fontId="29" fillId="28" borderId="2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5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 patternType="solid">
          <fgColor rgb="FF92D050"/>
          <bgColor rgb="FF0000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6" t="s">
        <v>26</v>
      </c>
      <c r="E1" s="666"/>
      <c r="F1" s="666"/>
      <c r="G1" s="14" t="s">
        <v>67</v>
      </c>
      <c r="H1" s="666" t="s">
        <v>47</v>
      </c>
      <c r="I1" s="666"/>
      <c r="J1" s="666"/>
      <c r="K1" s="666"/>
      <c r="L1" s="666"/>
      <c r="M1" s="666"/>
      <c r="N1" s="666"/>
      <c r="O1" s="666"/>
      <c r="P1" s="666"/>
      <c r="Q1" s="666"/>
      <c r="R1" s="667" t="s">
        <v>68</v>
      </c>
      <c r="S1" s="668"/>
      <c r="T1" s="66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9"/>
      <c r="R2" s="669"/>
      <c r="S2" s="669"/>
      <c r="T2" s="669"/>
      <c r="U2" s="669"/>
      <c r="V2" s="669"/>
      <c r="W2" s="66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9"/>
      <c r="Q3" s="669"/>
      <c r="R3" s="669"/>
      <c r="S3" s="669"/>
      <c r="T3" s="669"/>
      <c r="U3" s="669"/>
      <c r="V3" s="669"/>
      <c r="W3" s="66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70" t="s">
        <v>8</v>
      </c>
      <c r="B5" s="670"/>
      <c r="C5" s="670"/>
      <c r="D5" s="671"/>
      <c r="E5" s="671"/>
      <c r="F5" s="672" t="s">
        <v>14</v>
      </c>
      <c r="G5" s="672"/>
      <c r="H5" s="671"/>
      <c r="I5" s="671"/>
      <c r="J5" s="671"/>
      <c r="K5" s="671"/>
      <c r="L5" s="671"/>
      <c r="M5" s="671"/>
      <c r="N5" s="72"/>
      <c r="P5" s="27" t="s">
        <v>4</v>
      </c>
      <c r="Q5" s="673">
        <v>46279</v>
      </c>
      <c r="R5" s="673"/>
      <c r="T5" s="674" t="s">
        <v>3</v>
      </c>
      <c r="U5" s="675"/>
      <c r="V5" s="676" t="s">
        <v>875</v>
      </c>
      <c r="W5" s="677"/>
      <c r="AB5" s="59"/>
      <c r="AC5" s="59"/>
      <c r="AD5" s="59"/>
      <c r="AE5" s="59"/>
    </row>
    <row r="6" spans="1:32" s="17" customFormat="1" ht="24" customHeight="1" x14ac:dyDescent="0.2">
      <c r="A6" s="670" t="s">
        <v>1</v>
      </c>
      <c r="B6" s="670"/>
      <c r="C6" s="670"/>
      <c r="D6" s="678"/>
      <c r="E6" s="678"/>
      <c r="F6" s="678"/>
      <c r="G6" s="678"/>
      <c r="H6" s="678"/>
      <c r="I6" s="678"/>
      <c r="J6" s="678"/>
      <c r="K6" s="678"/>
      <c r="L6" s="678"/>
      <c r="M6" s="678"/>
      <c r="N6" s="73"/>
      <c r="P6" s="27" t="s">
        <v>27</v>
      </c>
      <c r="Q6" s="679" t="str">
        <f>IF(Q5=0," ",CHOOSE(WEEKDAY(Q5,2),"Понедельник","Вторник","Среда","Четверг","Пятница","Суббота","Воскресенье"))</f>
        <v>Понедельник</v>
      </c>
      <c r="R6" s="679"/>
      <c r="T6" s="680" t="s">
        <v>5</v>
      </c>
      <c r="U6" s="681"/>
      <c r="V6" s="682" t="s">
        <v>70</v>
      </c>
      <c r="W6" s="68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8">
        <f>IFERROR(VLOOKUP(DeliveryAddress,Table,3,0),1)</f>
        <v>1</v>
      </c>
      <c r="E7" s="689"/>
      <c r="F7" s="689"/>
      <c r="G7" s="689"/>
      <c r="H7" s="689"/>
      <c r="I7" s="689"/>
      <c r="J7" s="689"/>
      <c r="K7" s="689"/>
      <c r="L7" s="689"/>
      <c r="M7" s="690"/>
      <c r="N7" s="74"/>
      <c r="P7" s="29"/>
      <c r="Q7" s="48"/>
      <c r="R7" s="48"/>
      <c r="T7" s="680"/>
      <c r="U7" s="681"/>
      <c r="V7" s="684"/>
      <c r="W7" s="685"/>
      <c r="AB7" s="59"/>
      <c r="AC7" s="59"/>
      <c r="AD7" s="59"/>
      <c r="AE7" s="59"/>
    </row>
    <row r="8" spans="1:32" s="17" customFormat="1" ht="25.5" customHeight="1" x14ac:dyDescent="0.2">
      <c r="A8" s="691" t="s">
        <v>58</v>
      </c>
      <c r="B8" s="691"/>
      <c r="C8" s="691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75"/>
      <c r="P8" s="27" t="s">
        <v>11</v>
      </c>
      <c r="Q8" s="693">
        <v>0.41666666666666669</v>
      </c>
      <c r="R8" s="693"/>
      <c r="T8" s="680"/>
      <c r="U8" s="681"/>
      <c r="V8" s="684"/>
      <c r="W8" s="685"/>
      <c r="AB8" s="59"/>
      <c r="AC8" s="59"/>
      <c r="AD8" s="59"/>
      <c r="AE8" s="59"/>
    </row>
    <row r="9" spans="1:32" s="17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4"/>
      <c r="C9" s="694"/>
      <c r="D9" s="695" t="s">
        <v>46</v>
      </c>
      <c r="E9" s="69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4"/>
      <c r="H9" s="697" t="str">
        <f>IF(AND($A$9="Тип доверенности/получателя при получении в адресе перегруза:",$D$9="Разовая доверенность"),"Введите ФИО","")</f>
        <v/>
      </c>
      <c r="I9" s="697"/>
      <c r="J9" s="6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7"/>
      <c r="L9" s="697"/>
      <c r="M9" s="697"/>
      <c r="N9" s="70"/>
      <c r="P9" s="31" t="s">
        <v>15</v>
      </c>
      <c r="Q9" s="698"/>
      <c r="R9" s="698"/>
      <c r="T9" s="680"/>
      <c r="U9" s="681"/>
      <c r="V9" s="686"/>
      <c r="W9" s="68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4"/>
      <c r="C10" s="694"/>
      <c r="D10" s="695"/>
      <c r="E10" s="69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4"/>
      <c r="H10" s="699" t="str">
        <f>IFERROR(VLOOKUP($D$10,Proxy,2,FALSE),"")</f>
        <v/>
      </c>
      <c r="I10" s="699"/>
      <c r="J10" s="699"/>
      <c r="K10" s="699"/>
      <c r="L10" s="699"/>
      <c r="M10" s="699"/>
      <c r="N10" s="71"/>
      <c r="P10" s="31" t="s">
        <v>32</v>
      </c>
      <c r="Q10" s="700"/>
      <c r="R10" s="700"/>
      <c r="U10" s="29" t="s">
        <v>12</v>
      </c>
      <c r="V10" s="701" t="s">
        <v>71</v>
      </c>
      <c r="W10" s="70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3"/>
      <c r="R11" s="703"/>
      <c r="U11" s="29" t="s">
        <v>28</v>
      </c>
      <c r="V11" s="704" t="s">
        <v>55</v>
      </c>
      <c r="W11" s="70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5" t="s">
        <v>72</v>
      </c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705"/>
      <c r="N12" s="76"/>
      <c r="P12" s="27" t="s">
        <v>30</v>
      </c>
      <c r="Q12" s="693"/>
      <c r="R12" s="693"/>
      <c r="S12" s="28"/>
      <c r="T12"/>
      <c r="U12" s="29" t="s">
        <v>46</v>
      </c>
      <c r="V12" s="706"/>
      <c r="W12" s="706"/>
      <c r="X12"/>
      <c r="AB12" s="59"/>
      <c r="AC12" s="59"/>
      <c r="AD12" s="59"/>
      <c r="AE12" s="59"/>
    </row>
    <row r="13" spans="1:32" s="17" customFormat="1" ht="23.25" customHeight="1" x14ac:dyDescent="0.2">
      <c r="A13" s="705" t="s">
        <v>73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6"/>
      <c r="O13" s="31"/>
      <c r="P13" s="31" t="s">
        <v>31</v>
      </c>
      <c r="Q13" s="704"/>
      <c r="R13" s="70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5" t="s">
        <v>74</v>
      </c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7" t="s">
        <v>75</v>
      </c>
      <c r="B15" s="707"/>
      <c r="C15" s="707"/>
      <c r="D15" s="707"/>
      <c r="E15" s="707"/>
      <c r="F15" s="707"/>
      <c r="G15" s="707"/>
      <c r="H15" s="707"/>
      <c r="I15" s="707"/>
      <c r="J15" s="707"/>
      <c r="K15" s="707"/>
      <c r="L15" s="707"/>
      <c r="M15" s="707"/>
      <c r="N15" s="77"/>
      <c r="O15"/>
      <c r="P15" s="708" t="s">
        <v>61</v>
      </c>
      <c r="Q15" s="708"/>
      <c r="R15" s="708"/>
      <c r="S15" s="708"/>
      <c r="T15" s="70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9"/>
      <c r="Q16" s="709"/>
      <c r="R16" s="709"/>
      <c r="S16" s="709"/>
      <c r="T16" s="70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2" t="s">
        <v>59</v>
      </c>
      <c r="B17" s="712" t="s">
        <v>49</v>
      </c>
      <c r="C17" s="714" t="s">
        <v>48</v>
      </c>
      <c r="D17" s="716" t="s">
        <v>50</v>
      </c>
      <c r="E17" s="717"/>
      <c r="F17" s="712" t="s">
        <v>21</v>
      </c>
      <c r="G17" s="712" t="s">
        <v>24</v>
      </c>
      <c r="H17" s="712" t="s">
        <v>22</v>
      </c>
      <c r="I17" s="712" t="s">
        <v>23</v>
      </c>
      <c r="J17" s="712" t="s">
        <v>16</v>
      </c>
      <c r="K17" s="712" t="s">
        <v>66</v>
      </c>
      <c r="L17" s="712" t="s">
        <v>64</v>
      </c>
      <c r="M17" s="712" t="s">
        <v>2</v>
      </c>
      <c r="N17" s="712" t="s">
        <v>63</v>
      </c>
      <c r="O17" s="712" t="s">
        <v>25</v>
      </c>
      <c r="P17" s="716" t="s">
        <v>17</v>
      </c>
      <c r="Q17" s="720"/>
      <c r="R17" s="720"/>
      <c r="S17" s="720"/>
      <c r="T17" s="717"/>
      <c r="U17" s="710" t="s">
        <v>56</v>
      </c>
      <c r="V17" s="711"/>
      <c r="W17" s="712" t="s">
        <v>6</v>
      </c>
      <c r="X17" s="712" t="s">
        <v>41</v>
      </c>
      <c r="Y17" s="722" t="s">
        <v>54</v>
      </c>
      <c r="Z17" s="724" t="s">
        <v>18</v>
      </c>
      <c r="AA17" s="726" t="s">
        <v>60</v>
      </c>
      <c r="AB17" s="726" t="s">
        <v>19</v>
      </c>
      <c r="AC17" s="726" t="s">
        <v>65</v>
      </c>
      <c r="AD17" s="728" t="s">
        <v>57</v>
      </c>
      <c r="AE17" s="729"/>
      <c r="AF17" s="730"/>
      <c r="AG17" s="82"/>
      <c r="BD17" s="81" t="s">
        <v>62</v>
      </c>
    </row>
    <row r="18" spans="1:68" ht="14.25" customHeight="1" x14ac:dyDescent="0.2">
      <c r="A18" s="713"/>
      <c r="B18" s="713"/>
      <c r="C18" s="715"/>
      <c r="D18" s="718"/>
      <c r="E18" s="71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18"/>
      <c r="Q18" s="721"/>
      <c r="R18" s="721"/>
      <c r="S18" s="721"/>
      <c r="T18" s="719"/>
      <c r="U18" s="83" t="s">
        <v>44</v>
      </c>
      <c r="V18" s="83" t="s">
        <v>43</v>
      </c>
      <c r="W18" s="713"/>
      <c r="X18" s="713"/>
      <c r="Y18" s="723"/>
      <c r="Z18" s="725"/>
      <c r="AA18" s="727"/>
      <c r="AB18" s="727"/>
      <c r="AC18" s="727"/>
      <c r="AD18" s="731"/>
      <c r="AE18" s="732"/>
      <c r="AF18" s="733"/>
      <c r="AG18" s="82"/>
      <c r="BD18" s="81"/>
    </row>
    <row r="19" spans="1:68" ht="27.75" hidden="1" customHeight="1" x14ac:dyDescent="0.2">
      <c r="A19" s="734" t="s">
        <v>76</v>
      </c>
      <c r="B19" s="734"/>
      <c r="C19" s="734"/>
      <c r="D19" s="734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Q19" s="734"/>
      <c r="R19" s="734"/>
      <c r="S19" s="734"/>
      <c r="T19" s="734"/>
      <c r="U19" s="734"/>
      <c r="V19" s="734"/>
      <c r="W19" s="734"/>
      <c r="X19" s="734"/>
      <c r="Y19" s="734"/>
      <c r="Z19" s="734"/>
      <c r="AA19" s="54"/>
      <c r="AB19" s="54"/>
      <c r="AC19" s="54"/>
    </row>
    <row r="20" spans="1:68" ht="16.5" hidden="1" customHeight="1" x14ac:dyDescent="0.25">
      <c r="A20" s="735" t="s">
        <v>76</v>
      </c>
      <c r="B20" s="735"/>
      <c r="C20" s="735"/>
      <c r="D20" s="735"/>
      <c r="E20" s="735"/>
      <c r="F20" s="735"/>
      <c r="G20" s="735"/>
      <c r="H20" s="735"/>
      <c r="I20" s="735"/>
      <c r="J20" s="735"/>
      <c r="K20" s="735"/>
      <c r="L20" s="735"/>
      <c r="M20" s="735"/>
      <c r="N20" s="735"/>
      <c r="O20" s="735"/>
      <c r="P20" s="735"/>
      <c r="Q20" s="735"/>
      <c r="R20" s="735"/>
      <c r="S20" s="735"/>
      <c r="T20" s="735"/>
      <c r="U20" s="735"/>
      <c r="V20" s="735"/>
      <c r="W20" s="735"/>
      <c r="X20" s="735"/>
      <c r="Y20" s="735"/>
      <c r="Z20" s="735"/>
      <c r="AA20" s="65"/>
      <c r="AB20" s="65"/>
      <c r="AC20" s="79"/>
    </row>
    <row r="21" spans="1:68" ht="14.25" hidden="1" customHeight="1" x14ac:dyDescent="0.25">
      <c r="A21" s="736" t="s">
        <v>77</v>
      </c>
      <c r="B21" s="736"/>
      <c r="C21" s="736"/>
      <c r="D21" s="736"/>
      <c r="E21" s="736"/>
      <c r="F21" s="736"/>
      <c r="G21" s="736"/>
      <c r="H21" s="736"/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36"/>
      <c r="V21" s="736"/>
      <c r="W21" s="736"/>
      <c r="X21" s="736"/>
      <c r="Y21" s="736"/>
      <c r="Z21" s="73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7">
        <v>4680115886643</v>
      </c>
      <c r="E22" s="73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9"/>
      <c r="R22" s="739"/>
      <c r="S22" s="739"/>
      <c r="T22" s="74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7">
        <v>4680115889071</v>
      </c>
      <c r="E23" s="73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9"/>
      <c r="R23" s="739"/>
      <c r="S23" s="739"/>
      <c r="T23" s="74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5"/>
      <c r="B24" s="745"/>
      <c r="C24" s="745"/>
      <c r="D24" s="745"/>
      <c r="E24" s="745"/>
      <c r="F24" s="745"/>
      <c r="G24" s="745"/>
      <c r="H24" s="745"/>
      <c r="I24" s="745"/>
      <c r="J24" s="745"/>
      <c r="K24" s="745"/>
      <c r="L24" s="745"/>
      <c r="M24" s="745"/>
      <c r="N24" s="745"/>
      <c r="O24" s="746"/>
      <c r="P24" s="742" t="s">
        <v>40</v>
      </c>
      <c r="Q24" s="743"/>
      <c r="R24" s="743"/>
      <c r="S24" s="743"/>
      <c r="T24" s="743"/>
      <c r="U24" s="743"/>
      <c r="V24" s="7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5"/>
      <c r="B25" s="745"/>
      <c r="C25" s="745"/>
      <c r="D25" s="745"/>
      <c r="E25" s="745"/>
      <c r="F25" s="745"/>
      <c r="G25" s="745"/>
      <c r="H25" s="745"/>
      <c r="I25" s="745"/>
      <c r="J25" s="745"/>
      <c r="K25" s="745"/>
      <c r="L25" s="745"/>
      <c r="M25" s="745"/>
      <c r="N25" s="745"/>
      <c r="O25" s="746"/>
      <c r="P25" s="742" t="s">
        <v>40</v>
      </c>
      <c r="Q25" s="743"/>
      <c r="R25" s="743"/>
      <c r="S25" s="743"/>
      <c r="T25" s="743"/>
      <c r="U25" s="743"/>
      <c r="V25" s="7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6" t="s">
        <v>86</v>
      </c>
      <c r="B26" s="736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7">
        <v>4680115885912</v>
      </c>
      <c r="E27" s="73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9"/>
      <c r="R27" s="739"/>
      <c r="S27" s="739"/>
      <c r="T27" s="74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7">
        <v>4607091388237</v>
      </c>
      <c r="E28" s="73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9"/>
      <c r="R28" s="739"/>
      <c r="S28" s="739"/>
      <c r="T28" s="74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7">
        <v>4680115887350</v>
      </c>
      <c r="E29" s="73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9"/>
      <c r="R29" s="739"/>
      <c r="S29" s="739"/>
      <c r="T29" s="74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7">
        <v>4680115885905</v>
      </c>
      <c r="E30" s="73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9"/>
      <c r="R30" s="739"/>
      <c r="S30" s="739"/>
      <c r="T30" s="74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7">
        <v>4680115887619</v>
      </c>
      <c r="E31" s="73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9"/>
      <c r="R31" s="739"/>
      <c r="S31" s="739"/>
      <c r="T31" s="74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5"/>
      <c r="B32" s="745"/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  <c r="N32" s="745"/>
      <c r="O32" s="746"/>
      <c r="P32" s="742" t="s">
        <v>40</v>
      </c>
      <c r="Q32" s="743"/>
      <c r="R32" s="743"/>
      <c r="S32" s="743"/>
      <c r="T32" s="743"/>
      <c r="U32" s="743"/>
      <c r="V32" s="7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5"/>
      <c r="B33" s="745"/>
      <c r="C33" s="745"/>
      <c r="D33" s="745"/>
      <c r="E33" s="745"/>
      <c r="F33" s="745"/>
      <c r="G33" s="745"/>
      <c r="H33" s="745"/>
      <c r="I33" s="745"/>
      <c r="J33" s="745"/>
      <c r="K33" s="745"/>
      <c r="L33" s="745"/>
      <c r="M33" s="745"/>
      <c r="N33" s="745"/>
      <c r="O33" s="746"/>
      <c r="P33" s="742" t="s">
        <v>40</v>
      </c>
      <c r="Q33" s="743"/>
      <c r="R33" s="743"/>
      <c r="S33" s="743"/>
      <c r="T33" s="743"/>
      <c r="U33" s="743"/>
      <c r="V33" s="7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4" t="s">
        <v>45</v>
      </c>
      <c r="B34" s="734"/>
      <c r="C34" s="734"/>
      <c r="D34" s="734"/>
      <c r="E34" s="734"/>
      <c r="F34" s="734"/>
      <c r="G34" s="734"/>
      <c r="H34" s="734"/>
      <c r="I34" s="734"/>
      <c r="J34" s="734"/>
      <c r="K34" s="734"/>
      <c r="L34" s="734"/>
      <c r="M34" s="734"/>
      <c r="N34" s="734"/>
      <c r="O34" s="734"/>
      <c r="P34" s="734"/>
      <c r="Q34" s="734"/>
      <c r="R34" s="734"/>
      <c r="S34" s="734"/>
      <c r="T34" s="734"/>
      <c r="U34" s="734"/>
      <c r="V34" s="734"/>
      <c r="W34" s="734"/>
      <c r="X34" s="734"/>
      <c r="Y34" s="734"/>
      <c r="Z34" s="734"/>
      <c r="AA34" s="54"/>
      <c r="AB34" s="54"/>
      <c r="AC34" s="54"/>
    </row>
    <row r="35" spans="1:68" ht="16.5" hidden="1" customHeight="1" x14ac:dyDescent="0.25">
      <c r="A35" s="735" t="s">
        <v>104</v>
      </c>
      <c r="B35" s="735"/>
      <c r="C35" s="735"/>
      <c r="D35" s="735"/>
      <c r="E35" s="735"/>
      <c r="F35" s="735"/>
      <c r="G35" s="735"/>
      <c r="H35" s="735"/>
      <c r="I35" s="735"/>
      <c r="J35" s="735"/>
      <c r="K35" s="735"/>
      <c r="L35" s="735"/>
      <c r="M35" s="735"/>
      <c r="N35" s="735"/>
      <c r="O35" s="735"/>
      <c r="P35" s="735"/>
      <c r="Q35" s="735"/>
      <c r="R35" s="735"/>
      <c r="S35" s="735"/>
      <c r="T35" s="735"/>
      <c r="U35" s="735"/>
      <c r="V35" s="735"/>
      <c r="W35" s="735"/>
      <c r="X35" s="735"/>
      <c r="Y35" s="735"/>
      <c r="Z35" s="735"/>
      <c r="AA35" s="65"/>
      <c r="AB35" s="65"/>
      <c r="AC35" s="79"/>
    </row>
    <row r="36" spans="1:68" ht="14.25" hidden="1" customHeight="1" x14ac:dyDescent="0.25">
      <c r="A36" s="736" t="s">
        <v>86</v>
      </c>
      <c r="B36" s="736"/>
      <c r="C36" s="736"/>
      <c r="D36" s="736"/>
      <c r="E36" s="736"/>
      <c r="F36" s="736"/>
      <c r="G36" s="736"/>
      <c r="H36" s="736"/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  <c r="U36" s="736"/>
      <c r="V36" s="736"/>
      <c r="W36" s="736"/>
      <c r="X36" s="736"/>
      <c r="Y36" s="736"/>
      <c r="Z36" s="73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7">
        <v>4680115889354</v>
      </c>
      <c r="E37" s="73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9"/>
      <c r="R37" s="739"/>
      <c r="S37" s="739"/>
      <c r="T37" s="74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7">
        <v>4680115888463</v>
      </c>
      <c r="E38" s="73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9"/>
      <c r="R38" s="739"/>
      <c r="S38" s="739"/>
      <c r="T38" s="74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7">
        <v>4680115889590</v>
      </c>
      <c r="E39" s="73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9"/>
      <c r="R39" s="739"/>
      <c r="S39" s="739"/>
      <c r="T39" s="74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7">
        <v>4680115888272</v>
      </c>
      <c r="E40" s="73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9"/>
      <c r="R40" s="739"/>
      <c r="S40" s="739"/>
      <c r="T40" s="74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7">
        <v>4680115888364</v>
      </c>
      <c r="E41" s="73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9"/>
      <c r="R41" s="739"/>
      <c r="S41" s="739"/>
      <c r="T41" s="74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5"/>
      <c r="B42" s="745"/>
      <c r="C42" s="745"/>
      <c r="D42" s="745"/>
      <c r="E42" s="745"/>
      <c r="F42" s="745"/>
      <c r="G42" s="745"/>
      <c r="H42" s="745"/>
      <c r="I42" s="745"/>
      <c r="J42" s="745"/>
      <c r="K42" s="745"/>
      <c r="L42" s="745"/>
      <c r="M42" s="745"/>
      <c r="N42" s="745"/>
      <c r="O42" s="746"/>
      <c r="P42" s="742" t="s">
        <v>40</v>
      </c>
      <c r="Q42" s="743"/>
      <c r="R42" s="743"/>
      <c r="S42" s="743"/>
      <c r="T42" s="743"/>
      <c r="U42" s="743"/>
      <c r="V42" s="74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5"/>
      <c r="B43" s="745"/>
      <c r="C43" s="745"/>
      <c r="D43" s="745"/>
      <c r="E43" s="745"/>
      <c r="F43" s="745"/>
      <c r="G43" s="745"/>
      <c r="H43" s="745"/>
      <c r="I43" s="745"/>
      <c r="J43" s="745"/>
      <c r="K43" s="745"/>
      <c r="L43" s="745"/>
      <c r="M43" s="745"/>
      <c r="N43" s="745"/>
      <c r="O43" s="746"/>
      <c r="P43" s="742" t="s">
        <v>40</v>
      </c>
      <c r="Q43" s="743"/>
      <c r="R43" s="743"/>
      <c r="S43" s="743"/>
      <c r="T43" s="743"/>
      <c r="U43" s="743"/>
      <c r="V43" s="74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4" t="s">
        <v>120</v>
      </c>
      <c r="B44" s="734"/>
      <c r="C44" s="734"/>
      <c r="D44" s="734"/>
      <c r="E44" s="734"/>
      <c r="F44" s="734"/>
      <c r="G44" s="734"/>
      <c r="H44" s="734"/>
      <c r="I44" s="734"/>
      <c r="J44" s="734"/>
      <c r="K44" s="734"/>
      <c r="L44" s="734"/>
      <c r="M44" s="734"/>
      <c r="N44" s="734"/>
      <c r="O44" s="734"/>
      <c r="P44" s="734"/>
      <c r="Q44" s="734"/>
      <c r="R44" s="734"/>
      <c r="S44" s="734"/>
      <c r="T44" s="734"/>
      <c r="U44" s="734"/>
      <c r="V44" s="734"/>
      <c r="W44" s="734"/>
      <c r="X44" s="734"/>
      <c r="Y44" s="734"/>
      <c r="Z44" s="734"/>
      <c r="AA44" s="54"/>
      <c r="AB44" s="54"/>
      <c r="AC44" s="54"/>
    </row>
    <row r="45" spans="1:68" ht="16.5" hidden="1" customHeight="1" x14ac:dyDescent="0.25">
      <c r="A45" s="735" t="s">
        <v>121</v>
      </c>
      <c r="B45" s="735"/>
      <c r="C45" s="735"/>
      <c r="D45" s="735"/>
      <c r="E45" s="735"/>
      <c r="F45" s="735"/>
      <c r="G45" s="735"/>
      <c r="H45" s="735"/>
      <c r="I45" s="735"/>
      <c r="J45" s="735"/>
      <c r="K45" s="735"/>
      <c r="L45" s="735"/>
      <c r="M45" s="735"/>
      <c r="N45" s="735"/>
      <c r="O45" s="735"/>
      <c r="P45" s="735"/>
      <c r="Q45" s="735"/>
      <c r="R45" s="735"/>
      <c r="S45" s="735"/>
      <c r="T45" s="735"/>
      <c r="U45" s="735"/>
      <c r="V45" s="735"/>
      <c r="W45" s="735"/>
      <c r="X45" s="735"/>
      <c r="Y45" s="735"/>
      <c r="Z45" s="735"/>
      <c r="AA45" s="65"/>
      <c r="AB45" s="65"/>
      <c r="AC45" s="79"/>
    </row>
    <row r="46" spans="1:68" ht="14.25" hidden="1" customHeight="1" x14ac:dyDescent="0.25">
      <c r="A46" s="736" t="s">
        <v>122</v>
      </c>
      <c r="B46" s="736"/>
      <c r="C46" s="736"/>
      <c r="D46" s="736"/>
      <c r="E46" s="736"/>
      <c r="F46" s="736"/>
      <c r="G46" s="736"/>
      <c r="H46" s="736"/>
      <c r="I46" s="736"/>
      <c r="J46" s="736"/>
      <c r="K46" s="736"/>
      <c r="L46" s="736"/>
      <c r="M46" s="736"/>
      <c r="N46" s="736"/>
      <c r="O46" s="736"/>
      <c r="P46" s="736"/>
      <c r="Q46" s="736"/>
      <c r="R46" s="736"/>
      <c r="S46" s="736"/>
      <c r="T46" s="736"/>
      <c r="U46" s="736"/>
      <c r="V46" s="736"/>
      <c r="W46" s="736"/>
      <c r="X46" s="736"/>
      <c r="Y46" s="736"/>
      <c r="Z46" s="73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7">
        <v>4607091385670</v>
      </c>
      <c r="E47" s="73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9"/>
      <c r="R47" s="739"/>
      <c r="S47" s="739"/>
      <c r="T47" s="74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7">
        <v>4680115887725</v>
      </c>
      <c r="E48" s="73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9"/>
      <c r="R48" s="739"/>
      <c r="S48" s="739"/>
      <c r="T48" s="74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7">
        <v>4607091385687</v>
      </c>
      <c r="E49" s="73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9"/>
      <c r="R49" s="739"/>
      <c r="S49" s="739"/>
      <c r="T49" s="74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7">
        <v>4680115882539</v>
      </c>
      <c r="E50" s="73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9"/>
      <c r="R50" s="739"/>
      <c r="S50" s="739"/>
      <c r="T50" s="74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5"/>
      <c r="B51" s="745"/>
      <c r="C51" s="745"/>
      <c r="D51" s="745"/>
      <c r="E51" s="745"/>
      <c r="F51" s="745"/>
      <c r="G51" s="745"/>
      <c r="H51" s="745"/>
      <c r="I51" s="745"/>
      <c r="J51" s="745"/>
      <c r="K51" s="745"/>
      <c r="L51" s="745"/>
      <c r="M51" s="745"/>
      <c r="N51" s="745"/>
      <c r="O51" s="746"/>
      <c r="P51" s="742" t="s">
        <v>40</v>
      </c>
      <c r="Q51" s="743"/>
      <c r="R51" s="743"/>
      <c r="S51" s="743"/>
      <c r="T51" s="743"/>
      <c r="U51" s="743"/>
      <c r="V51" s="74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5"/>
      <c r="B52" s="745"/>
      <c r="C52" s="745"/>
      <c r="D52" s="745"/>
      <c r="E52" s="745"/>
      <c r="F52" s="745"/>
      <c r="G52" s="745"/>
      <c r="H52" s="745"/>
      <c r="I52" s="745"/>
      <c r="J52" s="745"/>
      <c r="K52" s="745"/>
      <c r="L52" s="745"/>
      <c r="M52" s="745"/>
      <c r="N52" s="745"/>
      <c r="O52" s="746"/>
      <c r="P52" s="742" t="s">
        <v>40</v>
      </c>
      <c r="Q52" s="743"/>
      <c r="R52" s="743"/>
      <c r="S52" s="743"/>
      <c r="T52" s="743"/>
      <c r="U52" s="743"/>
      <c r="V52" s="74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5" t="s">
        <v>137</v>
      </c>
      <c r="B53" s="735"/>
      <c r="C53" s="735"/>
      <c r="D53" s="735"/>
      <c r="E53" s="735"/>
      <c r="F53" s="735"/>
      <c r="G53" s="735"/>
      <c r="H53" s="735"/>
      <c r="I53" s="735"/>
      <c r="J53" s="735"/>
      <c r="K53" s="735"/>
      <c r="L53" s="735"/>
      <c r="M53" s="735"/>
      <c r="N53" s="735"/>
      <c r="O53" s="735"/>
      <c r="P53" s="735"/>
      <c r="Q53" s="735"/>
      <c r="R53" s="735"/>
      <c r="S53" s="735"/>
      <c r="T53" s="735"/>
      <c r="U53" s="735"/>
      <c r="V53" s="735"/>
      <c r="W53" s="735"/>
      <c r="X53" s="735"/>
      <c r="Y53" s="735"/>
      <c r="Z53" s="735"/>
      <c r="AA53" s="65"/>
      <c r="AB53" s="65"/>
      <c r="AC53" s="79"/>
    </row>
    <row r="54" spans="1:68" ht="14.25" hidden="1" customHeight="1" x14ac:dyDescent="0.25">
      <c r="A54" s="736" t="s">
        <v>122</v>
      </c>
      <c r="B54" s="736"/>
      <c r="C54" s="736"/>
      <c r="D54" s="736"/>
      <c r="E54" s="736"/>
      <c r="F54" s="736"/>
      <c r="G54" s="736"/>
      <c r="H54" s="736"/>
      <c r="I54" s="736"/>
      <c r="J54" s="736"/>
      <c r="K54" s="736"/>
      <c r="L54" s="736"/>
      <c r="M54" s="736"/>
      <c r="N54" s="736"/>
      <c r="O54" s="736"/>
      <c r="P54" s="736"/>
      <c r="Q54" s="736"/>
      <c r="R54" s="736"/>
      <c r="S54" s="736"/>
      <c r="T54" s="736"/>
      <c r="U54" s="736"/>
      <c r="V54" s="736"/>
      <c r="W54" s="736"/>
      <c r="X54" s="736"/>
      <c r="Y54" s="736"/>
      <c r="Z54" s="73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7">
        <v>4680115885882</v>
      </c>
      <c r="E55" s="73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9"/>
      <c r="R55" s="739"/>
      <c r="S55" s="739"/>
      <c r="T55" s="74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7">
        <v>4680115881426</v>
      </c>
      <c r="E56" s="73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9"/>
      <c r="R56" s="739"/>
      <c r="S56" s="739"/>
      <c r="T56" s="74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7">
        <v>4680115880283</v>
      </c>
      <c r="E57" s="73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9"/>
      <c r="R57" s="739"/>
      <c r="S57" s="739"/>
      <c r="T57" s="74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7">
        <v>4680115881525</v>
      </c>
      <c r="E58" s="73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9"/>
      <c r="R58" s="739"/>
      <c r="S58" s="739"/>
      <c r="T58" s="74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37">
        <v>4680115881525</v>
      </c>
      <c r="E59" s="73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6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39"/>
      <c r="R59" s="739"/>
      <c r="S59" s="739"/>
      <c r="T59" s="74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37">
        <v>4680115885899</v>
      </c>
      <c r="E60" s="73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39"/>
      <c r="R60" s="739"/>
      <c r="S60" s="739"/>
      <c r="T60" s="74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37">
        <v>4680115881419</v>
      </c>
      <c r="E61" s="73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39"/>
      <c r="R61" s="739"/>
      <c r="S61" s="739"/>
      <c r="T61" s="74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45"/>
      <c r="B62" s="745"/>
      <c r="C62" s="745"/>
      <c r="D62" s="745"/>
      <c r="E62" s="745"/>
      <c r="F62" s="745"/>
      <c r="G62" s="745"/>
      <c r="H62" s="745"/>
      <c r="I62" s="745"/>
      <c r="J62" s="745"/>
      <c r="K62" s="745"/>
      <c r="L62" s="745"/>
      <c r="M62" s="745"/>
      <c r="N62" s="745"/>
      <c r="O62" s="746"/>
      <c r="P62" s="742" t="s">
        <v>40</v>
      </c>
      <c r="Q62" s="743"/>
      <c r="R62" s="743"/>
      <c r="S62" s="743"/>
      <c r="T62" s="743"/>
      <c r="U62" s="743"/>
      <c r="V62" s="744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45"/>
      <c r="B63" s="745"/>
      <c r="C63" s="745"/>
      <c r="D63" s="745"/>
      <c r="E63" s="745"/>
      <c r="F63" s="745"/>
      <c r="G63" s="745"/>
      <c r="H63" s="745"/>
      <c r="I63" s="745"/>
      <c r="J63" s="745"/>
      <c r="K63" s="745"/>
      <c r="L63" s="745"/>
      <c r="M63" s="745"/>
      <c r="N63" s="745"/>
      <c r="O63" s="746"/>
      <c r="P63" s="742" t="s">
        <v>40</v>
      </c>
      <c r="Q63" s="743"/>
      <c r="R63" s="743"/>
      <c r="S63" s="743"/>
      <c r="T63" s="743"/>
      <c r="U63" s="743"/>
      <c r="V63" s="744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36" t="s">
        <v>157</v>
      </c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36"/>
      <c r="V64" s="736"/>
      <c r="W64" s="736"/>
      <c r="X64" s="736"/>
      <c r="Y64" s="736"/>
      <c r="Z64" s="736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37">
        <v>4680115881440</v>
      </c>
      <c r="E65" s="73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39"/>
      <c r="R65" s="739"/>
      <c r="S65" s="739"/>
      <c r="T65" s="74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37">
        <v>4680115885950</v>
      </c>
      <c r="E66" s="73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6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39"/>
      <c r="R66" s="739"/>
      <c r="S66" s="739"/>
      <c r="T66" s="74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37">
        <v>4680115887688</v>
      </c>
      <c r="E67" s="73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39"/>
      <c r="R67" s="739"/>
      <c r="S67" s="739"/>
      <c r="T67" s="74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37">
        <v>4680115881433</v>
      </c>
      <c r="E68" s="73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39"/>
      <c r="R68" s="739"/>
      <c r="S68" s="739"/>
      <c r="T68" s="74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45"/>
      <c r="B69" s="745"/>
      <c r="C69" s="745"/>
      <c r="D69" s="745"/>
      <c r="E69" s="745"/>
      <c r="F69" s="745"/>
      <c r="G69" s="745"/>
      <c r="H69" s="745"/>
      <c r="I69" s="745"/>
      <c r="J69" s="745"/>
      <c r="K69" s="745"/>
      <c r="L69" s="745"/>
      <c r="M69" s="745"/>
      <c r="N69" s="745"/>
      <c r="O69" s="746"/>
      <c r="P69" s="742" t="s">
        <v>40</v>
      </c>
      <c r="Q69" s="743"/>
      <c r="R69" s="743"/>
      <c r="S69" s="743"/>
      <c r="T69" s="743"/>
      <c r="U69" s="743"/>
      <c r="V69" s="7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45"/>
      <c r="B70" s="745"/>
      <c r="C70" s="745"/>
      <c r="D70" s="745"/>
      <c r="E70" s="745"/>
      <c r="F70" s="745"/>
      <c r="G70" s="745"/>
      <c r="H70" s="745"/>
      <c r="I70" s="745"/>
      <c r="J70" s="745"/>
      <c r="K70" s="745"/>
      <c r="L70" s="745"/>
      <c r="M70" s="745"/>
      <c r="N70" s="745"/>
      <c r="O70" s="746"/>
      <c r="P70" s="742" t="s">
        <v>40</v>
      </c>
      <c r="Q70" s="743"/>
      <c r="R70" s="743"/>
      <c r="S70" s="743"/>
      <c r="T70" s="743"/>
      <c r="U70" s="743"/>
      <c r="V70" s="7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36" t="s">
        <v>86</v>
      </c>
      <c r="B71" s="736"/>
      <c r="C71" s="736"/>
      <c r="D71" s="736"/>
      <c r="E71" s="736"/>
      <c r="F71" s="736"/>
      <c r="G71" s="736"/>
      <c r="H71" s="736"/>
      <c r="I71" s="736"/>
      <c r="J71" s="736"/>
      <c r="K71" s="736"/>
      <c r="L71" s="736"/>
      <c r="M71" s="736"/>
      <c r="N71" s="736"/>
      <c r="O71" s="736"/>
      <c r="P71" s="736"/>
      <c r="Q71" s="736"/>
      <c r="R71" s="736"/>
      <c r="S71" s="736"/>
      <c r="T71" s="736"/>
      <c r="U71" s="736"/>
      <c r="V71" s="736"/>
      <c r="W71" s="736"/>
      <c r="X71" s="736"/>
      <c r="Y71" s="736"/>
      <c r="Z71" s="736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37">
        <v>4680115884311</v>
      </c>
      <c r="E72" s="73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39"/>
      <c r="R72" s="739"/>
      <c r="S72" s="739"/>
      <c r="T72" s="74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37">
        <v>4680115884403</v>
      </c>
      <c r="E73" s="73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39"/>
      <c r="R73" s="739"/>
      <c r="S73" s="739"/>
      <c r="T73" s="74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37">
        <v>4680115884403</v>
      </c>
      <c r="E74" s="73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7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39"/>
      <c r="R74" s="739"/>
      <c r="S74" s="739"/>
      <c r="T74" s="74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45"/>
      <c r="B75" s="745"/>
      <c r="C75" s="745"/>
      <c r="D75" s="745"/>
      <c r="E75" s="745"/>
      <c r="F75" s="745"/>
      <c r="G75" s="745"/>
      <c r="H75" s="745"/>
      <c r="I75" s="745"/>
      <c r="J75" s="745"/>
      <c r="K75" s="745"/>
      <c r="L75" s="745"/>
      <c r="M75" s="745"/>
      <c r="N75" s="745"/>
      <c r="O75" s="746"/>
      <c r="P75" s="742" t="s">
        <v>40</v>
      </c>
      <c r="Q75" s="743"/>
      <c r="R75" s="743"/>
      <c r="S75" s="743"/>
      <c r="T75" s="743"/>
      <c r="U75" s="743"/>
      <c r="V75" s="744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45"/>
      <c r="B76" s="745"/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  <c r="N76" s="745"/>
      <c r="O76" s="746"/>
      <c r="P76" s="742" t="s">
        <v>40</v>
      </c>
      <c r="Q76" s="743"/>
      <c r="R76" s="743"/>
      <c r="S76" s="743"/>
      <c r="T76" s="743"/>
      <c r="U76" s="743"/>
      <c r="V76" s="744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36" t="s">
        <v>175</v>
      </c>
      <c r="B77" s="736"/>
      <c r="C77" s="736"/>
      <c r="D77" s="736"/>
      <c r="E77" s="736"/>
      <c r="F77" s="736"/>
      <c r="G77" s="736"/>
      <c r="H77" s="736"/>
      <c r="I77" s="736"/>
      <c r="J77" s="736"/>
      <c r="K77" s="736"/>
      <c r="L77" s="736"/>
      <c r="M77" s="736"/>
      <c r="N77" s="736"/>
      <c r="O77" s="736"/>
      <c r="P77" s="736"/>
      <c r="Q77" s="736"/>
      <c r="R77" s="736"/>
      <c r="S77" s="736"/>
      <c r="T77" s="736"/>
      <c r="U77" s="736"/>
      <c r="V77" s="736"/>
      <c r="W77" s="736"/>
      <c r="X77" s="736"/>
      <c r="Y77" s="736"/>
      <c r="Z77" s="736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37">
        <v>4680115881532</v>
      </c>
      <c r="E78" s="73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39"/>
      <c r="R78" s="739"/>
      <c r="S78" s="739"/>
      <c r="T78" s="74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37">
        <v>4680115881532</v>
      </c>
      <c r="E79" s="73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7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39"/>
      <c r="R79" s="739"/>
      <c r="S79" s="739"/>
      <c r="T79" s="74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37">
        <v>4680115881464</v>
      </c>
      <c r="E80" s="73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9"/>
      <c r="R80" s="739"/>
      <c r="S80" s="739"/>
      <c r="T80" s="74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5"/>
      <c r="B81" s="745"/>
      <c r="C81" s="745"/>
      <c r="D81" s="745"/>
      <c r="E81" s="745"/>
      <c r="F81" s="745"/>
      <c r="G81" s="745"/>
      <c r="H81" s="745"/>
      <c r="I81" s="745"/>
      <c r="J81" s="745"/>
      <c r="K81" s="745"/>
      <c r="L81" s="745"/>
      <c r="M81" s="745"/>
      <c r="N81" s="745"/>
      <c r="O81" s="746"/>
      <c r="P81" s="742" t="s">
        <v>40</v>
      </c>
      <c r="Q81" s="743"/>
      <c r="R81" s="743"/>
      <c r="S81" s="743"/>
      <c r="T81" s="743"/>
      <c r="U81" s="743"/>
      <c r="V81" s="744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5"/>
      <c r="B82" s="745"/>
      <c r="C82" s="745"/>
      <c r="D82" s="745"/>
      <c r="E82" s="745"/>
      <c r="F82" s="745"/>
      <c r="G82" s="745"/>
      <c r="H82" s="745"/>
      <c r="I82" s="745"/>
      <c r="J82" s="745"/>
      <c r="K82" s="745"/>
      <c r="L82" s="745"/>
      <c r="M82" s="745"/>
      <c r="N82" s="745"/>
      <c r="O82" s="746"/>
      <c r="P82" s="742" t="s">
        <v>40</v>
      </c>
      <c r="Q82" s="743"/>
      <c r="R82" s="743"/>
      <c r="S82" s="743"/>
      <c r="T82" s="743"/>
      <c r="U82" s="743"/>
      <c r="V82" s="744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35" t="s">
        <v>183</v>
      </c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5"/>
      <c r="P83" s="735"/>
      <c r="Q83" s="735"/>
      <c r="R83" s="735"/>
      <c r="S83" s="735"/>
      <c r="T83" s="735"/>
      <c r="U83" s="735"/>
      <c r="V83" s="735"/>
      <c r="W83" s="735"/>
      <c r="X83" s="735"/>
      <c r="Y83" s="735"/>
      <c r="Z83" s="735"/>
      <c r="AA83" s="65"/>
      <c r="AB83" s="65"/>
      <c r="AC83" s="79"/>
    </row>
    <row r="84" spans="1:68" ht="14.25" hidden="1" customHeight="1" x14ac:dyDescent="0.25">
      <c r="A84" s="736" t="s">
        <v>122</v>
      </c>
      <c r="B84" s="736"/>
      <c r="C84" s="736"/>
      <c r="D84" s="736"/>
      <c r="E84" s="736"/>
      <c r="F84" s="736"/>
      <c r="G84" s="736"/>
      <c r="H84" s="736"/>
      <c r="I84" s="736"/>
      <c r="J84" s="736"/>
      <c r="K84" s="736"/>
      <c r="L84" s="736"/>
      <c r="M84" s="736"/>
      <c r="N84" s="736"/>
      <c r="O84" s="736"/>
      <c r="P84" s="736"/>
      <c r="Q84" s="736"/>
      <c r="R84" s="736"/>
      <c r="S84" s="736"/>
      <c r="T84" s="736"/>
      <c r="U84" s="736"/>
      <c r="V84" s="736"/>
      <c r="W84" s="736"/>
      <c r="X84" s="736"/>
      <c r="Y84" s="736"/>
      <c r="Z84" s="736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37">
        <v>4680115881327</v>
      </c>
      <c r="E85" s="73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9"/>
      <c r="R85" s="739"/>
      <c r="S85" s="739"/>
      <c r="T85" s="740"/>
      <c r="U85" s="39" t="s">
        <v>46</v>
      </c>
      <c r="V85" s="39" t="s">
        <v>46</v>
      </c>
      <c r="W85" s="40" t="s">
        <v>0</v>
      </c>
      <c r="X85" s="58">
        <v>8</v>
      </c>
      <c r="Y85" s="55">
        <f t="shared" ref="Y85:Y90" si="5">IFERROR(IF(X85="",0,CEILING((X85/$H85),1)*$H85),"")</f>
        <v>10.8</v>
      </c>
      <c r="Z85" s="41">
        <f>IFERROR(IF(Y85=0,"",ROUNDUP(Y85/H85,0)*0.01898),"")</f>
        <v>1.898E-2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8.3037037037037038</v>
      </c>
      <c r="BN85" s="78">
        <f t="shared" ref="BN85:BN90" si="7">IFERROR(Y85*I85/H85,"0")</f>
        <v>11.21</v>
      </c>
      <c r="BO85" s="78">
        <f t="shared" ref="BO85:BO90" si="8">IFERROR(1/J85*(X85/H85),"0")</f>
        <v>1.1574074074074073E-2</v>
      </c>
      <c r="BP85" s="78">
        <f t="shared" ref="BP85:BP90" si="9">IFERROR(1/J85*(Y85/H85),"0")</f>
        <v>1.5625E-2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37">
        <v>4680115887732</v>
      </c>
      <c r="E86" s="73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9"/>
      <c r="R86" s="739"/>
      <c r="S86" s="739"/>
      <c r="T86" s="74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37">
        <v>4680115887732</v>
      </c>
      <c r="E87" s="737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8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39"/>
      <c r="R87" s="739"/>
      <c r="S87" s="739"/>
      <c r="T87" s="74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7">
        <v>4680115881518</v>
      </c>
      <c r="E88" s="73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9"/>
      <c r="R88" s="739"/>
      <c r="S88" s="739"/>
      <c r="T88" s="74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7">
        <v>4680115881303</v>
      </c>
      <c r="E89" s="73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9"/>
      <c r="R89" s="739"/>
      <c r="S89" s="739"/>
      <c r="T89" s="74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37">
        <v>4680115881303</v>
      </c>
      <c r="E90" s="737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8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39"/>
      <c r="R90" s="739"/>
      <c r="S90" s="739"/>
      <c r="T90" s="74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45"/>
      <c r="B91" s="745"/>
      <c r="C91" s="745"/>
      <c r="D91" s="745"/>
      <c r="E91" s="745"/>
      <c r="F91" s="745"/>
      <c r="G91" s="745"/>
      <c r="H91" s="745"/>
      <c r="I91" s="745"/>
      <c r="J91" s="745"/>
      <c r="K91" s="745"/>
      <c r="L91" s="745"/>
      <c r="M91" s="745"/>
      <c r="N91" s="745"/>
      <c r="O91" s="746"/>
      <c r="P91" s="742" t="s">
        <v>40</v>
      </c>
      <c r="Q91" s="743"/>
      <c r="R91" s="743"/>
      <c r="S91" s="743"/>
      <c r="T91" s="743"/>
      <c r="U91" s="743"/>
      <c r="V91" s="744"/>
      <c r="W91" s="42" t="s">
        <v>39</v>
      </c>
      <c r="X91" s="43">
        <f>IFERROR(X85/H85,"0")+IFERROR(X86/H86,"0")+IFERROR(X87/H87,"0")+IFERROR(X88/H88,"0")+IFERROR(X89/H89,"0")+IFERROR(X90/H90,"0")</f>
        <v>0.7407407407407407</v>
      </c>
      <c r="Y91" s="43">
        <f>IFERROR(Y85/H85,"0")+IFERROR(Y86/H86,"0")+IFERROR(Y87/H87,"0")+IFERROR(Y88/H88,"0")+IFERROR(Y89/H89,"0")+IFERROR(Y90/H90,"0")</f>
        <v>1</v>
      </c>
      <c r="Z91" s="43">
        <f>IFERROR(IF(Z85="",0,Z85),"0")+IFERROR(IF(Z86="",0,Z86),"0")+IFERROR(IF(Z87="",0,Z87),"0")+IFERROR(IF(Z88="",0,Z88),"0")+IFERROR(IF(Z89="",0,Z89),"0")+IFERROR(IF(Z90="",0,Z90),"0")</f>
        <v>1.898E-2</v>
      </c>
      <c r="AA91" s="67"/>
      <c r="AB91" s="67"/>
      <c r="AC91" s="67"/>
    </row>
    <row r="92" spans="1:68" x14ac:dyDescent="0.2">
      <c r="A92" s="745"/>
      <c r="B92" s="745"/>
      <c r="C92" s="745"/>
      <c r="D92" s="745"/>
      <c r="E92" s="745"/>
      <c r="F92" s="745"/>
      <c r="G92" s="745"/>
      <c r="H92" s="745"/>
      <c r="I92" s="745"/>
      <c r="J92" s="745"/>
      <c r="K92" s="745"/>
      <c r="L92" s="745"/>
      <c r="M92" s="745"/>
      <c r="N92" s="745"/>
      <c r="O92" s="746"/>
      <c r="P92" s="742" t="s">
        <v>40</v>
      </c>
      <c r="Q92" s="743"/>
      <c r="R92" s="743"/>
      <c r="S92" s="743"/>
      <c r="T92" s="743"/>
      <c r="U92" s="743"/>
      <c r="V92" s="744"/>
      <c r="W92" s="42" t="s">
        <v>0</v>
      </c>
      <c r="X92" s="43">
        <f>IFERROR(SUM(X85:X90),"0")</f>
        <v>8</v>
      </c>
      <c r="Y92" s="43">
        <f>IFERROR(SUM(Y85:Y90),"0")</f>
        <v>10.8</v>
      </c>
      <c r="Z92" s="42"/>
      <c r="AA92" s="67"/>
      <c r="AB92" s="67"/>
      <c r="AC92" s="67"/>
    </row>
    <row r="93" spans="1:68" ht="14.25" hidden="1" customHeight="1" x14ac:dyDescent="0.25">
      <c r="A93" s="736" t="s">
        <v>86</v>
      </c>
      <c r="B93" s="736"/>
      <c r="C93" s="736"/>
      <c r="D93" s="736"/>
      <c r="E93" s="736"/>
      <c r="F93" s="736"/>
      <c r="G93" s="736"/>
      <c r="H93" s="736"/>
      <c r="I93" s="736"/>
      <c r="J93" s="736"/>
      <c r="K93" s="736"/>
      <c r="L93" s="736"/>
      <c r="M93" s="736"/>
      <c r="N93" s="736"/>
      <c r="O93" s="736"/>
      <c r="P93" s="736"/>
      <c r="Q93" s="736"/>
      <c r="R93" s="736"/>
      <c r="S93" s="736"/>
      <c r="T93" s="736"/>
      <c r="U93" s="736"/>
      <c r="V93" s="736"/>
      <c r="W93" s="736"/>
      <c r="X93" s="736"/>
      <c r="Y93" s="736"/>
      <c r="Z93" s="736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37">
        <v>4607091386967</v>
      </c>
      <c r="E94" s="737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39"/>
      <c r="R94" s="739"/>
      <c r="S94" s="739"/>
      <c r="T94" s="74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37">
        <v>4680115884953</v>
      </c>
      <c r="E95" s="737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39"/>
      <c r="R95" s="739"/>
      <c r="S95" s="739"/>
      <c r="T95" s="74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37">
        <v>4607091385731</v>
      </c>
      <c r="E96" s="737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8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39"/>
      <c r="R96" s="739"/>
      <c r="S96" s="739"/>
      <c r="T96" s="74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37">
        <v>4680115880894</v>
      </c>
      <c r="E97" s="737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39"/>
      <c r="R97" s="739"/>
      <c r="S97" s="739"/>
      <c r="T97" s="74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745"/>
      <c r="B98" s="745"/>
      <c r="C98" s="745"/>
      <c r="D98" s="745"/>
      <c r="E98" s="745"/>
      <c r="F98" s="745"/>
      <c r="G98" s="745"/>
      <c r="H98" s="745"/>
      <c r="I98" s="745"/>
      <c r="J98" s="745"/>
      <c r="K98" s="745"/>
      <c r="L98" s="745"/>
      <c r="M98" s="745"/>
      <c r="N98" s="745"/>
      <c r="O98" s="746"/>
      <c r="P98" s="742" t="s">
        <v>40</v>
      </c>
      <c r="Q98" s="743"/>
      <c r="R98" s="743"/>
      <c r="S98" s="743"/>
      <c r="T98" s="743"/>
      <c r="U98" s="743"/>
      <c r="V98" s="744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745"/>
      <c r="B99" s="745"/>
      <c r="C99" s="745"/>
      <c r="D99" s="745"/>
      <c r="E99" s="745"/>
      <c r="F99" s="745"/>
      <c r="G99" s="745"/>
      <c r="H99" s="745"/>
      <c r="I99" s="745"/>
      <c r="J99" s="745"/>
      <c r="K99" s="745"/>
      <c r="L99" s="745"/>
      <c r="M99" s="745"/>
      <c r="N99" s="745"/>
      <c r="O99" s="746"/>
      <c r="P99" s="742" t="s">
        <v>40</v>
      </c>
      <c r="Q99" s="743"/>
      <c r="R99" s="743"/>
      <c r="S99" s="743"/>
      <c r="T99" s="743"/>
      <c r="U99" s="743"/>
      <c r="V99" s="744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735" t="s">
        <v>207</v>
      </c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5"/>
      <c r="P100" s="735"/>
      <c r="Q100" s="735"/>
      <c r="R100" s="735"/>
      <c r="S100" s="735"/>
      <c r="T100" s="735"/>
      <c r="U100" s="735"/>
      <c r="V100" s="735"/>
      <c r="W100" s="735"/>
      <c r="X100" s="735"/>
      <c r="Y100" s="735"/>
      <c r="Z100" s="735"/>
      <c r="AA100" s="65"/>
      <c r="AB100" s="65"/>
      <c r="AC100" s="79"/>
    </row>
    <row r="101" spans="1:68" ht="14.25" hidden="1" customHeight="1" x14ac:dyDescent="0.25">
      <c r="A101" s="736" t="s">
        <v>122</v>
      </c>
      <c r="B101" s="736"/>
      <c r="C101" s="736"/>
      <c r="D101" s="736"/>
      <c r="E101" s="736"/>
      <c r="F101" s="736"/>
      <c r="G101" s="736"/>
      <c r="H101" s="736"/>
      <c r="I101" s="736"/>
      <c r="J101" s="736"/>
      <c r="K101" s="736"/>
      <c r="L101" s="736"/>
      <c r="M101" s="736"/>
      <c r="N101" s="736"/>
      <c r="O101" s="736"/>
      <c r="P101" s="736"/>
      <c r="Q101" s="736"/>
      <c r="R101" s="736"/>
      <c r="S101" s="736"/>
      <c r="T101" s="736"/>
      <c r="U101" s="736"/>
      <c r="V101" s="736"/>
      <c r="W101" s="736"/>
      <c r="X101" s="736"/>
      <c r="Y101" s="736"/>
      <c r="Z101" s="736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37">
        <v>4680115882133</v>
      </c>
      <c r="E102" s="73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39"/>
      <c r="R102" s="739"/>
      <c r="S102" s="739"/>
      <c r="T102" s="74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37">
        <v>4680115887718</v>
      </c>
      <c r="E103" s="73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39"/>
      <c r="R103" s="739"/>
      <c r="S103" s="739"/>
      <c r="T103" s="74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37">
        <v>4680115880269</v>
      </c>
      <c r="E104" s="73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39"/>
      <c r="R104" s="739"/>
      <c r="S104" s="739"/>
      <c r="T104" s="74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37">
        <v>4680115880429</v>
      </c>
      <c r="E105" s="73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39"/>
      <c r="R105" s="739"/>
      <c r="S105" s="739"/>
      <c r="T105" s="74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37">
        <v>4680115881457</v>
      </c>
      <c r="E106" s="73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39"/>
      <c r="R106" s="739"/>
      <c r="S106" s="739"/>
      <c r="T106" s="74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37">
        <v>4680115881457</v>
      </c>
      <c r="E107" s="737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9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39"/>
      <c r="R107" s="739"/>
      <c r="S107" s="739"/>
      <c r="T107" s="74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45"/>
      <c r="B108" s="745"/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6"/>
      <c r="P108" s="742" t="s">
        <v>40</v>
      </c>
      <c r="Q108" s="743"/>
      <c r="R108" s="743"/>
      <c r="S108" s="743"/>
      <c r="T108" s="743"/>
      <c r="U108" s="743"/>
      <c r="V108" s="744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45"/>
      <c r="B109" s="745"/>
      <c r="C109" s="745"/>
      <c r="D109" s="745"/>
      <c r="E109" s="745"/>
      <c r="F109" s="745"/>
      <c r="G109" s="745"/>
      <c r="H109" s="745"/>
      <c r="I109" s="745"/>
      <c r="J109" s="745"/>
      <c r="K109" s="745"/>
      <c r="L109" s="745"/>
      <c r="M109" s="745"/>
      <c r="N109" s="745"/>
      <c r="O109" s="746"/>
      <c r="P109" s="742" t="s">
        <v>40</v>
      </c>
      <c r="Q109" s="743"/>
      <c r="R109" s="743"/>
      <c r="S109" s="743"/>
      <c r="T109" s="743"/>
      <c r="U109" s="743"/>
      <c r="V109" s="744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736" t="s">
        <v>157</v>
      </c>
      <c r="B110" s="736"/>
      <c r="C110" s="736"/>
      <c r="D110" s="736"/>
      <c r="E110" s="736"/>
      <c r="F110" s="736"/>
      <c r="G110" s="736"/>
      <c r="H110" s="736"/>
      <c r="I110" s="736"/>
      <c r="J110" s="736"/>
      <c r="K110" s="736"/>
      <c r="L110" s="736"/>
      <c r="M110" s="736"/>
      <c r="N110" s="736"/>
      <c r="O110" s="736"/>
      <c r="P110" s="736"/>
      <c r="Q110" s="736"/>
      <c r="R110" s="736"/>
      <c r="S110" s="736"/>
      <c r="T110" s="736"/>
      <c r="U110" s="736"/>
      <c r="V110" s="736"/>
      <c r="W110" s="736"/>
      <c r="X110" s="736"/>
      <c r="Y110" s="736"/>
      <c r="Z110" s="73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37">
        <v>4680115881488</v>
      </c>
      <c r="E111" s="73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39"/>
      <c r="R111" s="739"/>
      <c r="S111" s="739"/>
      <c r="T111" s="74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37">
        <v>4680115887664</v>
      </c>
      <c r="E112" s="73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39"/>
      <c r="R112" s="739"/>
      <c r="S112" s="739"/>
      <c r="T112" s="74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37">
        <v>4680115887664</v>
      </c>
      <c r="E113" s="73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39"/>
      <c r="R113" s="739"/>
      <c r="S113" s="739"/>
      <c r="T113" s="74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37">
        <v>4680115882775</v>
      </c>
      <c r="E114" s="73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39"/>
      <c r="R114" s="739"/>
      <c r="S114" s="739"/>
      <c r="T114" s="74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37">
        <v>4680115880658</v>
      </c>
      <c r="E115" s="73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39"/>
      <c r="R115" s="739"/>
      <c r="S115" s="739"/>
      <c r="T115" s="74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45"/>
      <c r="B116" s="745"/>
      <c r="C116" s="745"/>
      <c r="D116" s="745"/>
      <c r="E116" s="745"/>
      <c r="F116" s="745"/>
      <c r="G116" s="745"/>
      <c r="H116" s="745"/>
      <c r="I116" s="745"/>
      <c r="J116" s="745"/>
      <c r="K116" s="745"/>
      <c r="L116" s="745"/>
      <c r="M116" s="745"/>
      <c r="N116" s="745"/>
      <c r="O116" s="746"/>
      <c r="P116" s="742" t="s">
        <v>40</v>
      </c>
      <c r="Q116" s="743"/>
      <c r="R116" s="743"/>
      <c r="S116" s="743"/>
      <c r="T116" s="743"/>
      <c r="U116" s="743"/>
      <c r="V116" s="744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45"/>
      <c r="B117" s="745"/>
      <c r="C117" s="745"/>
      <c r="D117" s="745"/>
      <c r="E117" s="745"/>
      <c r="F117" s="745"/>
      <c r="G117" s="745"/>
      <c r="H117" s="745"/>
      <c r="I117" s="745"/>
      <c r="J117" s="745"/>
      <c r="K117" s="745"/>
      <c r="L117" s="745"/>
      <c r="M117" s="745"/>
      <c r="N117" s="745"/>
      <c r="O117" s="746"/>
      <c r="P117" s="742" t="s">
        <v>40</v>
      </c>
      <c r="Q117" s="743"/>
      <c r="R117" s="743"/>
      <c r="S117" s="743"/>
      <c r="T117" s="743"/>
      <c r="U117" s="743"/>
      <c r="V117" s="744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36" t="s">
        <v>86</v>
      </c>
      <c r="B118" s="736"/>
      <c r="C118" s="736"/>
      <c r="D118" s="736"/>
      <c r="E118" s="736"/>
      <c r="F118" s="736"/>
      <c r="G118" s="736"/>
      <c r="H118" s="736"/>
      <c r="I118" s="736"/>
      <c r="J118" s="736"/>
      <c r="K118" s="736"/>
      <c r="L118" s="736"/>
      <c r="M118" s="736"/>
      <c r="N118" s="736"/>
      <c r="O118" s="736"/>
      <c r="P118" s="736"/>
      <c r="Q118" s="736"/>
      <c r="R118" s="736"/>
      <c r="S118" s="736"/>
      <c r="T118" s="736"/>
      <c r="U118" s="736"/>
      <c r="V118" s="736"/>
      <c r="W118" s="736"/>
      <c r="X118" s="736"/>
      <c r="Y118" s="736"/>
      <c r="Z118" s="736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737">
        <v>4607091385168</v>
      </c>
      <c r="E119" s="73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9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39"/>
      <c r="R119" s="739"/>
      <c r="S119" s="739"/>
      <c r="T119" s="74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37">
        <v>4607091383256</v>
      </c>
      <c r="E120" s="73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39"/>
      <c r="R120" s="739"/>
      <c r="S120" s="739"/>
      <c r="T120" s="74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37">
        <v>4607091385748</v>
      </c>
      <c r="E121" s="73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0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39"/>
      <c r="R121" s="739"/>
      <c r="S121" s="739"/>
      <c r="T121" s="74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37">
        <v>4680115884533</v>
      </c>
      <c r="E122" s="73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0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39"/>
      <c r="R122" s="739"/>
      <c r="S122" s="739"/>
      <c r="T122" s="74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45"/>
      <c r="B123" s="745"/>
      <c r="C123" s="745"/>
      <c r="D123" s="745"/>
      <c r="E123" s="745"/>
      <c r="F123" s="745"/>
      <c r="G123" s="745"/>
      <c r="H123" s="745"/>
      <c r="I123" s="745"/>
      <c r="J123" s="745"/>
      <c r="K123" s="745"/>
      <c r="L123" s="745"/>
      <c r="M123" s="745"/>
      <c r="N123" s="745"/>
      <c r="O123" s="746"/>
      <c r="P123" s="742" t="s">
        <v>40</v>
      </c>
      <c r="Q123" s="743"/>
      <c r="R123" s="743"/>
      <c r="S123" s="743"/>
      <c r="T123" s="743"/>
      <c r="U123" s="743"/>
      <c r="V123" s="744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45"/>
      <c r="B124" s="745"/>
      <c r="C124" s="745"/>
      <c r="D124" s="745"/>
      <c r="E124" s="745"/>
      <c r="F124" s="745"/>
      <c r="G124" s="745"/>
      <c r="H124" s="745"/>
      <c r="I124" s="745"/>
      <c r="J124" s="745"/>
      <c r="K124" s="745"/>
      <c r="L124" s="745"/>
      <c r="M124" s="745"/>
      <c r="N124" s="745"/>
      <c r="O124" s="746"/>
      <c r="P124" s="742" t="s">
        <v>40</v>
      </c>
      <c r="Q124" s="743"/>
      <c r="R124" s="743"/>
      <c r="S124" s="743"/>
      <c r="T124" s="743"/>
      <c r="U124" s="743"/>
      <c r="V124" s="744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736" t="s">
        <v>175</v>
      </c>
      <c r="B125" s="736"/>
      <c r="C125" s="736"/>
      <c r="D125" s="736"/>
      <c r="E125" s="736"/>
      <c r="F125" s="736"/>
      <c r="G125" s="736"/>
      <c r="H125" s="736"/>
      <c r="I125" s="736"/>
      <c r="J125" s="736"/>
      <c r="K125" s="736"/>
      <c r="L125" s="736"/>
      <c r="M125" s="736"/>
      <c r="N125" s="736"/>
      <c r="O125" s="736"/>
      <c r="P125" s="736"/>
      <c r="Q125" s="736"/>
      <c r="R125" s="736"/>
      <c r="S125" s="736"/>
      <c r="T125" s="736"/>
      <c r="U125" s="736"/>
      <c r="V125" s="736"/>
      <c r="W125" s="736"/>
      <c r="X125" s="736"/>
      <c r="Y125" s="736"/>
      <c r="Z125" s="736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37">
        <v>4680115880238</v>
      </c>
      <c r="E126" s="73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0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39"/>
      <c r="R126" s="739"/>
      <c r="S126" s="739"/>
      <c r="T126" s="74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45"/>
      <c r="B127" s="745"/>
      <c r="C127" s="745"/>
      <c r="D127" s="745"/>
      <c r="E127" s="745"/>
      <c r="F127" s="745"/>
      <c r="G127" s="745"/>
      <c r="H127" s="745"/>
      <c r="I127" s="745"/>
      <c r="J127" s="745"/>
      <c r="K127" s="745"/>
      <c r="L127" s="745"/>
      <c r="M127" s="745"/>
      <c r="N127" s="745"/>
      <c r="O127" s="746"/>
      <c r="P127" s="742" t="s">
        <v>40</v>
      </c>
      <c r="Q127" s="743"/>
      <c r="R127" s="743"/>
      <c r="S127" s="743"/>
      <c r="T127" s="743"/>
      <c r="U127" s="743"/>
      <c r="V127" s="744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45"/>
      <c r="B128" s="745"/>
      <c r="C128" s="745"/>
      <c r="D128" s="745"/>
      <c r="E128" s="745"/>
      <c r="F128" s="745"/>
      <c r="G128" s="745"/>
      <c r="H128" s="745"/>
      <c r="I128" s="745"/>
      <c r="J128" s="745"/>
      <c r="K128" s="745"/>
      <c r="L128" s="745"/>
      <c r="M128" s="745"/>
      <c r="N128" s="745"/>
      <c r="O128" s="746"/>
      <c r="P128" s="742" t="s">
        <v>40</v>
      </c>
      <c r="Q128" s="743"/>
      <c r="R128" s="743"/>
      <c r="S128" s="743"/>
      <c r="T128" s="743"/>
      <c r="U128" s="743"/>
      <c r="V128" s="744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35" t="s">
        <v>247</v>
      </c>
      <c r="B129" s="735"/>
      <c r="C129" s="735"/>
      <c r="D129" s="735"/>
      <c r="E129" s="735"/>
      <c r="F129" s="735"/>
      <c r="G129" s="735"/>
      <c r="H129" s="735"/>
      <c r="I129" s="735"/>
      <c r="J129" s="735"/>
      <c r="K129" s="735"/>
      <c r="L129" s="735"/>
      <c r="M129" s="735"/>
      <c r="N129" s="735"/>
      <c r="O129" s="735"/>
      <c r="P129" s="735"/>
      <c r="Q129" s="735"/>
      <c r="R129" s="735"/>
      <c r="S129" s="735"/>
      <c r="T129" s="735"/>
      <c r="U129" s="735"/>
      <c r="V129" s="735"/>
      <c r="W129" s="735"/>
      <c r="X129" s="735"/>
      <c r="Y129" s="735"/>
      <c r="Z129" s="735"/>
      <c r="AA129" s="65"/>
      <c r="AB129" s="65"/>
      <c r="AC129" s="79"/>
    </row>
    <row r="130" spans="1:68" ht="14.25" hidden="1" customHeight="1" x14ac:dyDescent="0.25">
      <c r="A130" s="736" t="s">
        <v>122</v>
      </c>
      <c r="B130" s="736"/>
      <c r="C130" s="736"/>
      <c r="D130" s="736"/>
      <c r="E130" s="736"/>
      <c r="F130" s="736"/>
      <c r="G130" s="736"/>
      <c r="H130" s="736"/>
      <c r="I130" s="736"/>
      <c r="J130" s="736"/>
      <c r="K130" s="736"/>
      <c r="L130" s="736"/>
      <c r="M130" s="736"/>
      <c r="N130" s="736"/>
      <c r="O130" s="736"/>
      <c r="P130" s="736"/>
      <c r="Q130" s="736"/>
      <c r="R130" s="736"/>
      <c r="S130" s="736"/>
      <c r="T130" s="736"/>
      <c r="U130" s="736"/>
      <c r="V130" s="736"/>
      <c r="W130" s="736"/>
      <c r="X130" s="736"/>
      <c r="Y130" s="736"/>
      <c r="Z130" s="736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37">
        <v>4680115882577</v>
      </c>
      <c r="E131" s="73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39"/>
      <c r="R131" s="739"/>
      <c r="S131" s="739"/>
      <c r="T131" s="74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37">
        <v>4680115882577</v>
      </c>
      <c r="E132" s="73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39"/>
      <c r="R132" s="739"/>
      <c r="S132" s="739"/>
      <c r="T132" s="74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45"/>
      <c r="B133" s="745"/>
      <c r="C133" s="745"/>
      <c r="D133" s="745"/>
      <c r="E133" s="745"/>
      <c r="F133" s="745"/>
      <c r="G133" s="745"/>
      <c r="H133" s="745"/>
      <c r="I133" s="745"/>
      <c r="J133" s="745"/>
      <c r="K133" s="745"/>
      <c r="L133" s="745"/>
      <c r="M133" s="745"/>
      <c r="N133" s="745"/>
      <c r="O133" s="746"/>
      <c r="P133" s="742" t="s">
        <v>40</v>
      </c>
      <c r="Q133" s="743"/>
      <c r="R133" s="743"/>
      <c r="S133" s="743"/>
      <c r="T133" s="743"/>
      <c r="U133" s="743"/>
      <c r="V133" s="744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45"/>
      <c r="B134" s="745"/>
      <c r="C134" s="745"/>
      <c r="D134" s="745"/>
      <c r="E134" s="745"/>
      <c r="F134" s="745"/>
      <c r="G134" s="745"/>
      <c r="H134" s="745"/>
      <c r="I134" s="745"/>
      <c r="J134" s="745"/>
      <c r="K134" s="745"/>
      <c r="L134" s="745"/>
      <c r="M134" s="745"/>
      <c r="N134" s="745"/>
      <c r="O134" s="746"/>
      <c r="P134" s="742" t="s">
        <v>40</v>
      </c>
      <c r="Q134" s="743"/>
      <c r="R134" s="743"/>
      <c r="S134" s="743"/>
      <c r="T134" s="743"/>
      <c r="U134" s="743"/>
      <c r="V134" s="744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36" t="s">
        <v>77</v>
      </c>
      <c r="B135" s="736"/>
      <c r="C135" s="736"/>
      <c r="D135" s="736"/>
      <c r="E135" s="736"/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6"/>
      <c r="Q135" s="736"/>
      <c r="R135" s="736"/>
      <c r="S135" s="736"/>
      <c r="T135" s="736"/>
      <c r="U135" s="736"/>
      <c r="V135" s="736"/>
      <c r="W135" s="736"/>
      <c r="X135" s="736"/>
      <c r="Y135" s="736"/>
      <c r="Z135" s="736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37">
        <v>4680115883444</v>
      </c>
      <c r="E136" s="73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39"/>
      <c r="R136" s="739"/>
      <c r="S136" s="739"/>
      <c r="T136" s="74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37">
        <v>4680115883444</v>
      </c>
      <c r="E137" s="73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39"/>
      <c r="R137" s="739"/>
      <c r="S137" s="739"/>
      <c r="T137" s="74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45"/>
      <c r="B138" s="745"/>
      <c r="C138" s="745"/>
      <c r="D138" s="745"/>
      <c r="E138" s="745"/>
      <c r="F138" s="745"/>
      <c r="G138" s="745"/>
      <c r="H138" s="745"/>
      <c r="I138" s="745"/>
      <c r="J138" s="745"/>
      <c r="K138" s="745"/>
      <c r="L138" s="745"/>
      <c r="M138" s="745"/>
      <c r="N138" s="745"/>
      <c r="O138" s="746"/>
      <c r="P138" s="742" t="s">
        <v>40</v>
      </c>
      <c r="Q138" s="743"/>
      <c r="R138" s="743"/>
      <c r="S138" s="743"/>
      <c r="T138" s="743"/>
      <c r="U138" s="743"/>
      <c r="V138" s="744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45"/>
      <c r="B139" s="745"/>
      <c r="C139" s="745"/>
      <c r="D139" s="745"/>
      <c r="E139" s="745"/>
      <c r="F139" s="745"/>
      <c r="G139" s="745"/>
      <c r="H139" s="745"/>
      <c r="I139" s="745"/>
      <c r="J139" s="745"/>
      <c r="K139" s="745"/>
      <c r="L139" s="745"/>
      <c r="M139" s="745"/>
      <c r="N139" s="745"/>
      <c r="O139" s="746"/>
      <c r="P139" s="742" t="s">
        <v>40</v>
      </c>
      <c r="Q139" s="743"/>
      <c r="R139" s="743"/>
      <c r="S139" s="743"/>
      <c r="T139" s="743"/>
      <c r="U139" s="743"/>
      <c r="V139" s="744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36" t="s">
        <v>86</v>
      </c>
      <c r="B140" s="736"/>
      <c r="C140" s="736"/>
      <c r="D140" s="736"/>
      <c r="E140" s="736"/>
      <c r="F140" s="736"/>
      <c r="G140" s="736"/>
      <c r="H140" s="736"/>
      <c r="I140" s="736"/>
      <c r="J140" s="736"/>
      <c r="K140" s="736"/>
      <c r="L140" s="736"/>
      <c r="M140" s="736"/>
      <c r="N140" s="736"/>
      <c r="O140" s="736"/>
      <c r="P140" s="736"/>
      <c r="Q140" s="736"/>
      <c r="R140" s="736"/>
      <c r="S140" s="736"/>
      <c r="T140" s="736"/>
      <c r="U140" s="736"/>
      <c r="V140" s="736"/>
      <c r="W140" s="736"/>
      <c r="X140" s="736"/>
      <c r="Y140" s="736"/>
      <c r="Z140" s="736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37">
        <v>4680115882584</v>
      </c>
      <c r="E141" s="73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39"/>
      <c r="R141" s="739"/>
      <c r="S141" s="739"/>
      <c r="T141" s="74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37">
        <v>4680115882584</v>
      </c>
      <c r="E142" s="73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39"/>
      <c r="R142" s="739"/>
      <c r="S142" s="739"/>
      <c r="T142" s="74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45"/>
      <c r="B143" s="745"/>
      <c r="C143" s="745"/>
      <c r="D143" s="745"/>
      <c r="E143" s="745"/>
      <c r="F143" s="745"/>
      <c r="G143" s="745"/>
      <c r="H143" s="745"/>
      <c r="I143" s="745"/>
      <c r="J143" s="745"/>
      <c r="K143" s="745"/>
      <c r="L143" s="745"/>
      <c r="M143" s="745"/>
      <c r="N143" s="745"/>
      <c r="O143" s="746"/>
      <c r="P143" s="742" t="s">
        <v>40</v>
      </c>
      <c r="Q143" s="743"/>
      <c r="R143" s="743"/>
      <c r="S143" s="743"/>
      <c r="T143" s="743"/>
      <c r="U143" s="743"/>
      <c r="V143" s="744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45"/>
      <c r="B144" s="745"/>
      <c r="C144" s="745"/>
      <c r="D144" s="745"/>
      <c r="E144" s="745"/>
      <c r="F144" s="745"/>
      <c r="G144" s="745"/>
      <c r="H144" s="745"/>
      <c r="I144" s="745"/>
      <c r="J144" s="745"/>
      <c r="K144" s="745"/>
      <c r="L144" s="745"/>
      <c r="M144" s="745"/>
      <c r="N144" s="745"/>
      <c r="O144" s="746"/>
      <c r="P144" s="742" t="s">
        <v>40</v>
      </c>
      <c r="Q144" s="743"/>
      <c r="R144" s="743"/>
      <c r="S144" s="743"/>
      <c r="T144" s="743"/>
      <c r="U144" s="743"/>
      <c r="V144" s="744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35" t="s">
        <v>260</v>
      </c>
      <c r="B145" s="735"/>
      <c r="C145" s="735"/>
      <c r="D145" s="735"/>
      <c r="E145" s="735"/>
      <c r="F145" s="735"/>
      <c r="G145" s="735"/>
      <c r="H145" s="735"/>
      <c r="I145" s="735"/>
      <c r="J145" s="735"/>
      <c r="K145" s="735"/>
      <c r="L145" s="735"/>
      <c r="M145" s="735"/>
      <c r="N145" s="735"/>
      <c r="O145" s="735"/>
      <c r="P145" s="735"/>
      <c r="Q145" s="735"/>
      <c r="R145" s="735"/>
      <c r="S145" s="735"/>
      <c r="T145" s="735"/>
      <c r="U145" s="735"/>
      <c r="V145" s="735"/>
      <c r="W145" s="735"/>
      <c r="X145" s="735"/>
      <c r="Y145" s="735"/>
      <c r="Z145" s="735"/>
      <c r="AA145" s="65"/>
      <c r="AB145" s="65"/>
      <c r="AC145" s="79"/>
    </row>
    <row r="146" spans="1:68" ht="14.25" hidden="1" customHeight="1" x14ac:dyDescent="0.25">
      <c r="A146" s="736" t="s">
        <v>86</v>
      </c>
      <c r="B146" s="736"/>
      <c r="C146" s="736"/>
      <c r="D146" s="736"/>
      <c r="E146" s="736"/>
      <c r="F146" s="736"/>
      <c r="G146" s="736"/>
      <c r="H146" s="736"/>
      <c r="I146" s="736"/>
      <c r="J146" s="736"/>
      <c r="K146" s="736"/>
      <c r="L146" s="736"/>
      <c r="M146" s="736"/>
      <c r="N146" s="736"/>
      <c r="O146" s="736"/>
      <c r="P146" s="736"/>
      <c r="Q146" s="736"/>
      <c r="R146" s="736"/>
      <c r="S146" s="736"/>
      <c r="T146" s="736"/>
      <c r="U146" s="736"/>
      <c r="V146" s="736"/>
      <c r="W146" s="736"/>
      <c r="X146" s="736"/>
      <c r="Y146" s="736"/>
      <c r="Z146" s="736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37">
        <v>4680115888203</v>
      </c>
      <c r="E147" s="73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1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39"/>
      <c r="R147" s="739"/>
      <c r="S147" s="739"/>
      <c r="T147" s="740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37">
        <v>4680115888180</v>
      </c>
      <c r="E148" s="73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1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39"/>
      <c r="R148" s="739"/>
      <c r="S148" s="739"/>
      <c r="T148" s="740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37">
        <v>4680115888180</v>
      </c>
      <c r="E149" s="73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39"/>
      <c r="R149" s="739"/>
      <c r="S149" s="739"/>
      <c r="T149" s="74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37">
        <v>4680115888197</v>
      </c>
      <c r="E150" s="73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39"/>
      <c r="R150" s="739"/>
      <c r="S150" s="739"/>
      <c r="T150" s="74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37">
        <v>4680115888210</v>
      </c>
      <c r="E151" s="73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1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39"/>
      <c r="R151" s="739"/>
      <c r="S151" s="739"/>
      <c r="T151" s="74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37">
        <v>4680115888210</v>
      </c>
      <c r="E152" s="73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1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39"/>
      <c r="R152" s="739"/>
      <c r="S152" s="739"/>
      <c r="T152" s="74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45"/>
      <c r="B153" s="745"/>
      <c r="C153" s="745"/>
      <c r="D153" s="745"/>
      <c r="E153" s="745"/>
      <c r="F153" s="745"/>
      <c r="G153" s="745"/>
      <c r="H153" s="745"/>
      <c r="I153" s="745"/>
      <c r="J153" s="745"/>
      <c r="K153" s="745"/>
      <c r="L153" s="745"/>
      <c r="M153" s="745"/>
      <c r="N153" s="745"/>
      <c r="O153" s="746"/>
      <c r="P153" s="742" t="s">
        <v>40</v>
      </c>
      <c r="Q153" s="743"/>
      <c r="R153" s="743"/>
      <c r="S153" s="743"/>
      <c r="T153" s="743"/>
      <c r="U153" s="743"/>
      <c r="V153" s="744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45"/>
      <c r="B154" s="745"/>
      <c r="C154" s="745"/>
      <c r="D154" s="745"/>
      <c r="E154" s="745"/>
      <c r="F154" s="745"/>
      <c r="G154" s="745"/>
      <c r="H154" s="745"/>
      <c r="I154" s="745"/>
      <c r="J154" s="745"/>
      <c r="K154" s="745"/>
      <c r="L154" s="745"/>
      <c r="M154" s="745"/>
      <c r="N154" s="745"/>
      <c r="O154" s="746"/>
      <c r="P154" s="742" t="s">
        <v>40</v>
      </c>
      <c r="Q154" s="743"/>
      <c r="R154" s="743"/>
      <c r="S154" s="743"/>
      <c r="T154" s="743"/>
      <c r="U154" s="743"/>
      <c r="V154" s="744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36" t="s">
        <v>275</v>
      </c>
      <c r="B155" s="736"/>
      <c r="C155" s="736"/>
      <c r="D155" s="736"/>
      <c r="E155" s="736"/>
      <c r="F155" s="736"/>
      <c r="G155" s="736"/>
      <c r="H155" s="736"/>
      <c r="I155" s="736"/>
      <c r="J155" s="736"/>
      <c r="K155" s="736"/>
      <c r="L155" s="736"/>
      <c r="M155" s="736"/>
      <c r="N155" s="736"/>
      <c r="O155" s="736"/>
      <c r="P155" s="736"/>
      <c r="Q155" s="736"/>
      <c r="R155" s="736"/>
      <c r="S155" s="736"/>
      <c r="T155" s="736"/>
      <c r="U155" s="736"/>
      <c r="V155" s="736"/>
      <c r="W155" s="736"/>
      <c r="X155" s="736"/>
      <c r="Y155" s="736"/>
      <c r="Z155" s="736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37">
        <v>4680115889132</v>
      </c>
      <c r="E156" s="737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39"/>
      <c r="R156" s="739"/>
      <c r="S156" s="739"/>
      <c r="T156" s="74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45"/>
      <c r="B157" s="745"/>
      <c r="C157" s="745"/>
      <c r="D157" s="745"/>
      <c r="E157" s="745"/>
      <c r="F157" s="745"/>
      <c r="G157" s="745"/>
      <c r="H157" s="745"/>
      <c r="I157" s="745"/>
      <c r="J157" s="745"/>
      <c r="K157" s="745"/>
      <c r="L157" s="745"/>
      <c r="M157" s="745"/>
      <c r="N157" s="745"/>
      <c r="O157" s="746"/>
      <c r="P157" s="742" t="s">
        <v>40</v>
      </c>
      <c r="Q157" s="743"/>
      <c r="R157" s="743"/>
      <c r="S157" s="743"/>
      <c r="T157" s="743"/>
      <c r="U157" s="743"/>
      <c r="V157" s="744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45"/>
      <c r="B158" s="745"/>
      <c r="C158" s="745"/>
      <c r="D158" s="745"/>
      <c r="E158" s="745"/>
      <c r="F158" s="745"/>
      <c r="G158" s="745"/>
      <c r="H158" s="745"/>
      <c r="I158" s="745"/>
      <c r="J158" s="745"/>
      <c r="K158" s="745"/>
      <c r="L158" s="745"/>
      <c r="M158" s="745"/>
      <c r="N158" s="745"/>
      <c r="O158" s="746"/>
      <c r="P158" s="742" t="s">
        <v>40</v>
      </c>
      <c r="Q158" s="743"/>
      <c r="R158" s="743"/>
      <c r="S158" s="743"/>
      <c r="T158" s="743"/>
      <c r="U158" s="743"/>
      <c r="V158" s="744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35" t="s">
        <v>120</v>
      </c>
      <c r="B159" s="735"/>
      <c r="C159" s="735"/>
      <c r="D159" s="735"/>
      <c r="E159" s="735"/>
      <c r="F159" s="735"/>
      <c r="G159" s="735"/>
      <c r="H159" s="735"/>
      <c r="I159" s="735"/>
      <c r="J159" s="735"/>
      <c r="K159" s="735"/>
      <c r="L159" s="735"/>
      <c r="M159" s="735"/>
      <c r="N159" s="735"/>
      <c r="O159" s="735"/>
      <c r="P159" s="735"/>
      <c r="Q159" s="735"/>
      <c r="R159" s="735"/>
      <c r="S159" s="735"/>
      <c r="T159" s="735"/>
      <c r="U159" s="735"/>
      <c r="V159" s="735"/>
      <c r="W159" s="735"/>
      <c r="X159" s="735"/>
      <c r="Y159" s="735"/>
      <c r="Z159" s="735"/>
      <c r="AA159" s="65"/>
      <c r="AB159" s="65"/>
      <c r="AC159" s="79"/>
    </row>
    <row r="160" spans="1:68" ht="14.25" hidden="1" customHeight="1" x14ac:dyDescent="0.25">
      <c r="A160" s="736" t="s">
        <v>122</v>
      </c>
      <c r="B160" s="736"/>
      <c r="C160" s="736"/>
      <c r="D160" s="736"/>
      <c r="E160" s="736"/>
      <c r="F160" s="736"/>
      <c r="G160" s="736"/>
      <c r="H160" s="736"/>
      <c r="I160" s="736"/>
      <c r="J160" s="736"/>
      <c r="K160" s="736"/>
      <c r="L160" s="736"/>
      <c r="M160" s="736"/>
      <c r="N160" s="736"/>
      <c r="O160" s="736"/>
      <c r="P160" s="736"/>
      <c r="Q160" s="736"/>
      <c r="R160" s="736"/>
      <c r="S160" s="736"/>
      <c r="T160" s="736"/>
      <c r="U160" s="736"/>
      <c r="V160" s="736"/>
      <c r="W160" s="736"/>
      <c r="X160" s="736"/>
      <c r="Y160" s="736"/>
      <c r="Z160" s="736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37">
        <v>4680115887374</v>
      </c>
      <c r="E161" s="737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1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39"/>
      <c r="R161" s="739"/>
      <c r="S161" s="739"/>
      <c r="T161" s="74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37">
        <v>4607091384604</v>
      </c>
      <c r="E162" s="737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39"/>
      <c r="R162" s="739"/>
      <c r="S162" s="739"/>
      <c r="T162" s="74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37">
        <v>4680115888876</v>
      </c>
      <c r="E163" s="737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39"/>
      <c r="R163" s="739"/>
      <c r="S163" s="739"/>
      <c r="T163" s="74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45"/>
      <c r="B164" s="745"/>
      <c r="C164" s="745"/>
      <c r="D164" s="745"/>
      <c r="E164" s="745"/>
      <c r="F164" s="745"/>
      <c r="G164" s="745"/>
      <c r="H164" s="745"/>
      <c r="I164" s="745"/>
      <c r="J164" s="745"/>
      <c r="K164" s="745"/>
      <c r="L164" s="745"/>
      <c r="M164" s="745"/>
      <c r="N164" s="745"/>
      <c r="O164" s="746"/>
      <c r="P164" s="742" t="s">
        <v>40</v>
      </c>
      <c r="Q164" s="743"/>
      <c r="R164" s="743"/>
      <c r="S164" s="743"/>
      <c r="T164" s="743"/>
      <c r="U164" s="743"/>
      <c r="V164" s="744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45"/>
      <c r="B165" s="745"/>
      <c r="C165" s="745"/>
      <c r="D165" s="745"/>
      <c r="E165" s="745"/>
      <c r="F165" s="745"/>
      <c r="G165" s="745"/>
      <c r="H165" s="745"/>
      <c r="I165" s="745"/>
      <c r="J165" s="745"/>
      <c r="K165" s="745"/>
      <c r="L165" s="745"/>
      <c r="M165" s="745"/>
      <c r="N165" s="745"/>
      <c r="O165" s="746"/>
      <c r="P165" s="742" t="s">
        <v>40</v>
      </c>
      <c r="Q165" s="743"/>
      <c r="R165" s="743"/>
      <c r="S165" s="743"/>
      <c r="T165" s="743"/>
      <c r="U165" s="743"/>
      <c r="V165" s="744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36" t="s">
        <v>157</v>
      </c>
      <c r="B166" s="736"/>
      <c r="C166" s="736"/>
      <c r="D166" s="736"/>
      <c r="E166" s="736"/>
      <c r="F166" s="736"/>
      <c r="G166" s="736"/>
      <c r="H166" s="736"/>
      <c r="I166" s="736"/>
      <c r="J166" s="736"/>
      <c r="K166" s="736"/>
      <c r="L166" s="736"/>
      <c r="M166" s="736"/>
      <c r="N166" s="736"/>
      <c r="O166" s="736"/>
      <c r="P166" s="736"/>
      <c r="Q166" s="736"/>
      <c r="R166" s="736"/>
      <c r="S166" s="736"/>
      <c r="T166" s="736"/>
      <c r="U166" s="736"/>
      <c r="V166" s="736"/>
      <c r="W166" s="736"/>
      <c r="X166" s="736"/>
      <c r="Y166" s="736"/>
      <c r="Z166" s="736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37">
        <v>4680115887695</v>
      </c>
      <c r="E167" s="737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39"/>
      <c r="R167" s="739"/>
      <c r="S167" s="739"/>
      <c r="T167" s="74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37">
        <v>4680115889491</v>
      </c>
      <c r="E168" s="737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39"/>
      <c r="R168" s="739"/>
      <c r="S168" s="739"/>
      <c r="T168" s="74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45"/>
      <c r="B169" s="745"/>
      <c r="C169" s="745"/>
      <c r="D169" s="745"/>
      <c r="E169" s="745"/>
      <c r="F169" s="745"/>
      <c r="G169" s="745"/>
      <c r="H169" s="745"/>
      <c r="I169" s="745"/>
      <c r="J169" s="745"/>
      <c r="K169" s="745"/>
      <c r="L169" s="745"/>
      <c r="M169" s="745"/>
      <c r="N169" s="745"/>
      <c r="O169" s="746"/>
      <c r="P169" s="742" t="s">
        <v>40</v>
      </c>
      <c r="Q169" s="743"/>
      <c r="R169" s="743"/>
      <c r="S169" s="743"/>
      <c r="T169" s="743"/>
      <c r="U169" s="743"/>
      <c r="V169" s="744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45"/>
      <c r="B170" s="745"/>
      <c r="C170" s="745"/>
      <c r="D170" s="745"/>
      <c r="E170" s="745"/>
      <c r="F170" s="745"/>
      <c r="G170" s="745"/>
      <c r="H170" s="745"/>
      <c r="I170" s="745"/>
      <c r="J170" s="745"/>
      <c r="K170" s="745"/>
      <c r="L170" s="745"/>
      <c r="M170" s="745"/>
      <c r="N170" s="745"/>
      <c r="O170" s="746"/>
      <c r="P170" s="742" t="s">
        <v>40</v>
      </c>
      <c r="Q170" s="743"/>
      <c r="R170" s="743"/>
      <c r="S170" s="743"/>
      <c r="T170" s="743"/>
      <c r="U170" s="743"/>
      <c r="V170" s="744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36" t="s">
        <v>77</v>
      </c>
      <c r="B171" s="736"/>
      <c r="C171" s="736"/>
      <c r="D171" s="736"/>
      <c r="E171" s="736"/>
      <c r="F171" s="736"/>
      <c r="G171" s="736"/>
      <c r="H171" s="736"/>
      <c r="I171" s="736"/>
      <c r="J171" s="736"/>
      <c r="K171" s="736"/>
      <c r="L171" s="736"/>
      <c r="M171" s="736"/>
      <c r="N171" s="736"/>
      <c r="O171" s="736"/>
      <c r="P171" s="736"/>
      <c r="Q171" s="736"/>
      <c r="R171" s="736"/>
      <c r="S171" s="736"/>
      <c r="T171" s="736"/>
      <c r="U171" s="736"/>
      <c r="V171" s="736"/>
      <c r="W171" s="736"/>
      <c r="X171" s="736"/>
      <c r="Y171" s="736"/>
      <c r="Z171" s="736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37">
        <v>4680115887428</v>
      </c>
      <c r="E172" s="737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39"/>
      <c r="R172" s="739"/>
      <c r="S172" s="739"/>
      <c r="T172" s="74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37">
        <v>4680115889170</v>
      </c>
      <c r="E173" s="737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39"/>
      <c r="R173" s="739"/>
      <c r="S173" s="739"/>
      <c r="T173" s="74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37">
        <v>4680115887398</v>
      </c>
      <c r="E174" s="73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2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39"/>
      <c r="R174" s="739"/>
      <c r="S174" s="739"/>
      <c r="T174" s="74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37">
        <v>4680115887398</v>
      </c>
      <c r="E175" s="73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2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39"/>
      <c r="R175" s="739"/>
      <c r="S175" s="739"/>
      <c r="T175" s="74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37">
        <v>4680115887336</v>
      </c>
      <c r="E176" s="73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2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39"/>
      <c r="R176" s="739"/>
      <c r="S176" s="739"/>
      <c r="T176" s="74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37">
        <v>4680115887787</v>
      </c>
      <c r="E177" s="73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2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39"/>
      <c r="R177" s="739"/>
      <c r="S177" s="739"/>
      <c r="T177" s="74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37">
        <v>4680115887787</v>
      </c>
      <c r="E178" s="737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2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39"/>
      <c r="R178" s="739"/>
      <c r="S178" s="739"/>
      <c r="T178" s="74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37">
        <v>4680115887503</v>
      </c>
      <c r="E179" s="737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39"/>
      <c r="R179" s="739"/>
      <c r="S179" s="739"/>
      <c r="T179" s="74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37">
        <v>4680115887763</v>
      </c>
      <c r="E180" s="73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39"/>
      <c r="R180" s="739"/>
      <c r="S180" s="739"/>
      <c r="T180" s="74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37">
        <v>4680115887480</v>
      </c>
      <c r="E181" s="737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39"/>
      <c r="R181" s="739"/>
      <c r="S181" s="739"/>
      <c r="T181" s="74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37">
        <v>4680115888067</v>
      </c>
      <c r="E182" s="737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39"/>
      <c r="R182" s="739"/>
      <c r="S182" s="739"/>
      <c r="T182" s="74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37">
        <v>4680115887435</v>
      </c>
      <c r="E183" s="73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39"/>
      <c r="R183" s="739"/>
      <c r="S183" s="739"/>
      <c r="T183" s="74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745"/>
      <c r="B184" s="745"/>
      <c r="C184" s="745"/>
      <c r="D184" s="745"/>
      <c r="E184" s="745"/>
      <c r="F184" s="745"/>
      <c r="G184" s="745"/>
      <c r="H184" s="745"/>
      <c r="I184" s="745"/>
      <c r="J184" s="745"/>
      <c r="K184" s="745"/>
      <c r="L184" s="745"/>
      <c r="M184" s="745"/>
      <c r="N184" s="745"/>
      <c r="O184" s="746"/>
      <c r="P184" s="742" t="s">
        <v>40</v>
      </c>
      <c r="Q184" s="743"/>
      <c r="R184" s="743"/>
      <c r="S184" s="743"/>
      <c r="T184" s="743"/>
      <c r="U184" s="743"/>
      <c r="V184" s="744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45"/>
      <c r="B185" s="745"/>
      <c r="C185" s="745"/>
      <c r="D185" s="745"/>
      <c r="E185" s="745"/>
      <c r="F185" s="745"/>
      <c r="G185" s="745"/>
      <c r="H185" s="745"/>
      <c r="I185" s="745"/>
      <c r="J185" s="745"/>
      <c r="K185" s="745"/>
      <c r="L185" s="745"/>
      <c r="M185" s="745"/>
      <c r="N185" s="745"/>
      <c r="O185" s="746"/>
      <c r="P185" s="742" t="s">
        <v>40</v>
      </c>
      <c r="Q185" s="743"/>
      <c r="R185" s="743"/>
      <c r="S185" s="743"/>
      <c r="T185" s="743"/>
      <c r="U185" s="743"/>
      <c r="V185" s="744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736" t="s">
        <v>86</v>
      </c>
      <c r="B186" s="736"/>
      <c r="C186" s="736"/>
      <c r="D186" s="736"/>
      <c r="E186" s="736"/>
      <c r="F186" s="736"/>
      <c r="G186" s="736"/>
      <c r="H186" s="736"/>
      <c r="I186" s="736"/>
      <c r="J186" s="736"/>
      <c r="K186" s="736"/>
      <c r="L186" s="736"/>
      <c r="M186" s="736"/>
      <c r="N186" s="736"/>
      <c r="O186" s="736"/>
      <c r="P186" s="736"/>
      <c r="Q186" s="736"/>
      <c r="R186" s="736"/>
      <c r="S186" s="736"/>
      <c r="T186" s="736"/>
      <c r="U186" s="736"/>
      <c r="V186" s="736"/>
      <c r="W186" s="736"/>
      <c r="X186" s="736"/>
      <c r="Y186" s="736"/>
      <c r="Z186" s="736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37">
        <v>4680115888395</v>
      </c>
      <c r="E187" s="737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39"/>
      <c r="R187" s="739"/>
      <c r="S187" s="739"/>
      <c r="T187" s="74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37">
        <v>4680115888371</v>
      </c>
      <c r="E188" s="737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3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39"/>
      <c r="R188" s="739"/>
      <c r="S188" s="739"/>
      <c r="T188" s="74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37">
        <v>4680115887459</v>
      </c>
      <c r="E189" s="737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39"/>
      <c r="R189" s="739"/>
      <c r="S189" s="739"/>
      <c r="T189" s="74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45"/>
      <c r="B190" s="745"/>
      <c r="C190" s="745"/>
      <c r="D190" s="745"/>
      <c r="E190" s="745"/>
      <c r="F190" s="745"/>
      <c r="G190" s="745"/>
      <c r="H190" s="745"/>
      <c r="I190" s="745"/>
      <c r="J190" s="745"/>
      <c r="K190" s="745"/>
      <c r="L190" s="745"/>
      <c r="M190" s="745"/>
      <c r="N190" s="745"/>
      <c r="O190" s="746"/>
      <c r="P190" s="742" t="s">
        <v>40</v>
      </c>
      <c r="Q190" s="743"/>
      <c r="R190" s="743"/>
      <c r="S190" s="743"/>
      <c r="T190" s="743"/>
      <c r="U190" s="743"/>
      <c r="V190" s="744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45"/>
      <c r="B191" s="745"/>
      <c r="C191" s="745"/>
      <c r="D191" s="745"/>
      <c r="E191" s="745"/>
      <c r="F191" s="745"/>
      <c r="G191" s="745"/>
      <c r="H191" s="745"/>
      <c r="I191" s="745"/>
      <c r="J191" s="745"/>
      <c r="K191" s="745"/>
      <c r="L191" s="745"/>
      <c r="M191" s="745"/>
      <c r="N191" s="745"/>
      <c r="O191" s="746"/>
      <c r="P191" s="742" t="s">
        <v>40</v>
      </c>
      <c r="Q191" s="743"/>
      <c r="R191" s="743"/>
      <c r="S191" s="743"/>
      <c r="T191" s="743"/>
      <c r="U191" s="743"/>
      <c r="V191" s="744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36" t="s">
        <v>275</v>
      </c>
      <c r="B192" s="736"/>
      <c r="C192" s="736"/>
      <c r="D192" s="736"/>
      <c r="E192" s="736"/>
      <c r="F192" s="736"/>
      <c r="G192" s="736"/>
      <c r="H192" s="736"/>
      <c r="I192" s="736"/>
      <c r="J192" s="736"/>
      <c r="K192" s="736"/>
      <c r="L192" s="736"/>
      <c r="M192" s="736"/>
      <c r="N192" s="736"/>
      <c r="O192" s="736"/>
      <c r="P192" s="736"/>
      <c r="Q192" s="736"/>
      <c r="R192" s="736"/>
      <c r="S192" s="736"/>
      <c r="T192" s="736"/>
      <c r="U192" s="736"/>
      <c r="V192" s="736"/>
      <c r="W192" s="736"/>
      <c r="X192" s="736"/>
      <c r="Y192" s="736"/>
      <c r="Z192" s="736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37">
        <v>4680115889026</v>
      </c>
      <c r="E193" s="737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39"/>
      <c r="R193" s="739"/>
      <c r="S193" s="739"/>
      <c r="T193" s="74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45"/>
      <c r="B194" s="745"/>
      <c r="C194" s="745"/>
      <c r="D194" s="745"/>
      <c r="E194" s="745"/>
      <c r="F194" s="745"/>
      <c r="G194" s="745"/>
      <c r="H194" s="745"/>
      <c r="I194" s="745"/>
      <c r="J194" s="745"/>
      <c r="K194" s="745"/>
      <c r="L194" s="745"/>
      <c r="M194" s="745"/>
      <c r="N194" s="745"/>
      <c r="O194" s="746"/>
      <c r="P194" s="742" t="s">
        <v>40</v>
      </c>
      <c r="Q194" s="743"/>
      <c r="R194" s="743"/>
      <c r="S194" s="743"/>
      <c r="T194" s="743"/>
      <c r="U194" s="743"/>
      <c r="V194" s="74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45"/>
      <c r="B195" s="745"/>
      <c r="C195" s="745"/>
      <c r="D195" s="745"/>
      <c r="E195" s="745"/>
      <c r="F195" s="745"/>
      <c r="G195" s="745"/>
      <c r="H195" s="745"/>
      <c r="I195" s="745"/>
      <c r="J195" s="745"/>
      <c r="K195" s="745"/>
      <c r="L195" s="745"/>
      <c r="M195" s="745"/>
      <c r="N195" s="745"/>
      <c r="O195" s="746"/>
      <c r="P195" s="742" t="s">
        <v>40</v>
      </c>
      <c r="Q195" s="743"/>
      <c r="R195" s="743"/>
      <c r="S195" s="743"/>
      <c r="T195" s="743"/>
      <c r="U195" s="743"/>
      <c r="V195" s="74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36" t="s">
        <v>340</v>
      </c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36"/>
      <c r="M196" s="736"/>
      <c r="N196" s="736"/>
      <c r="O196" s="736"/>
      <c r="P196" s="736"/>
      <c r="Q196" s="736"/>
      <c r="R196" s="736"/>
      <c r="S196" s="736"/>
      <c r="T196" s="736"/>
      <c r="U196" s="736"/>
      <c r="V196" s="736"/>
      <c r="W196" s="736"/>
      <c r="X196" s="736"/>
      <c r="Y196" s="736"/>
      <c r="Z196" s="736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37">
        <v>4680115889033</v>
      </c>
      <c r="E197" s="737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3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39"/>
      <c r="R197" s="739"/>
      <c r="S197" s="739"/>
      <c r="T197" s="74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45"/>
      <c r="B198" s="745"/>
      <c r="C198" s="745"/>
      <c r="D198" s="745"/>
      <c r="E198" s="745"/>
      <c r="F198" s="745"/>
      <c r="G198" s="745"/>
      <c r="H198" s="745"/>
      <c r="I198" s="745"/>
      <c r="J198" s="745"/>
      <c r="K198" s="745"/>
      <c r="L198" s="745"/>
      <c r="M198" s="745"/>
      <c r="N198" s="745"/>
      <c r="O198" s="746"/>
      <c r="P198" s="742" t="s">
        <v>40</v>
      </c>
      <c r="Q198" s="743"/>
      <c r="R198" s="743"/>
      <c r="S198" s="743"/>
      <c r="T198" s="743"/>
      <c r="U198" s="743"/>
      <c r="V198" s="74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45"/>
      <c r="B199" s="745"/>
      <c r="C199" s="745"/>
      <c r="D199" s="745"/>
      <c r="E199" s="745"/>
      <c r="F199" s="745"/>
      <c r="G199" s="745"/>
      <c r="H199" s="745"/>
      <c r="I199" s="745"/>
      <c r="J199" s="745"/>
      <c r="K199" s="745"/>
      <c r="L199" s="745"/>
      <c r="M199" s="745"/>
      <c r="N199" s="745"/>
      <c r="O199" s="746"/>
      <c r="P199" s="742" t="s">
        <v>40</v>
      </c>
      <c r="Q199" s="743"/>
      <c r="R199" s="743"/>
      <c r="S199" s="743"/>
      <c r="T199" s="743"/>
      <c r="U199" s="743"/>
      <c r="V199" s="74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34" t="s">
        <v>344</v>
      </c>
      <c r="B200" s="734"/>
      <c r="C200" s="734"/>
      <c r="D200" s="734"/>
      <c r="E200" s="734"/>
      <c r="F200" s="734"/>
      <c r="G200" s="734"/>
      <c r="H200" s="734"/>
      <c r="I200" s="734"/>
      <c r="J200" s="734"/>
      <c r="K200" s="734"/>
      <c r="L200" s="734"/>
      <c r="M200" s="734"/>
      <c r="N200" s="734"/>
      <c r="O200" s="734"/>
      <c r="P200" s="734"/>
      <c r="Q200" s="734"/>
      <c r="R200" s="734"/>
      <c r="S200" s="734"/>
      <c r="T200" s="734"/>
      <c r="U200" s="734"/>
      <c r="V200" s="734"/>
      <c r="W200" s="734"/>
      <c r="X200" s="734"/>
      <c r="Y200" s="734"/>
      <c r="Z200" s="734"/>
      <c r="AA200" s="54"/>
      <c r="AB200" s="54"/>
      <c r="AC200" s="54"/>
    </row>
    <row r="201" spans="1:68" ht="16.5" hidden="1" customHeight="1" x14ac:dyDescent="0.25">
      <c r="A201" s="735" t="s">
        <v>345</v>
      </c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5"/>
      <c r="P201" s="735"/>
      <c r="Q201" s="735"/>
      <c r="R201" s="735"/>
      <c r="S201" s="735"/>
      <c r="T201" s="735"/>
      <c r="U201" s="735"/>
      <c r="V201" s="735"/>
      <c r="W201" s="735"/>
      <c r="X201" s="735"/>
      <c r="Y201" s="735"/>
      <c r="Z201" s="735"/>
      <c r="AA201" s="65"/>
      <c r="AB201" s="65"/>
      <c r="AC201" s="79"/>
    </row>
    <row r="202" spans="1:68" ht="14.25" hidden="1" customHeight="1" x14ac:dyDescent="0.25">
      <c r="A202" s="736" t="s">
        <v>122</v>
      </c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36"/>
      <c r="M202" s="736"/>
      <c r="N202" s="736"/>
      <c r="O202" s="736"/>
      <c r="P202" s="736"/>
      <c r="Q202" s="736"/>
      <c r="R202" s="736"/>
      <c r="S202" s="736"/>
      <c r="T202" s="736"/>
      <c r="U202" s="736"/>
      <c r="V202" s="736"/>
      <c r="W202" s="736"/>
      <c r="X202" s="736"/>
      <c r="Y202" s="736"/>
      <c r="Z202" s="736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37">
        <v>4607091383423</v>
      </c>
      <c r="E203" s="737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39"/>
      <c r="R203" s="739"/>
      <c r="S203" s="739"/>
      <c r="T203" s="74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37">
        <v>4680115888760</v>
      </c>
      <c r="E204" s="737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39"/>
      <c r="R204" s="739"/>
      <c r="S204" s="739"/>
      <c r="T204" s="74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37">
        <v>4680115888807</v>
      </c>
      <c r="E205" s="737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4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39"/>
      <c r="R205" s="739"/>
      <c r="S205" s="739"/>
      <c r="T205" s="74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37">
        <v>4680115888852</v>
      </c>
      <c r="E206" s="737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39"/>
      <c r="R206" s="739"/>
      <c r="S206" s="739"/>
      <c r="T206" s="74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37">
        <v>4680115886957</v>
      </c>
      <c r="E207" s="737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39"/>
      <c r="R207" s="739"/>
      <c r="S207" s="739"/>
      <c r="T207" s="74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37">
        <v>4680115885660</v>
      </c>
      <c r="E208" s="737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39"/>
      <c r="R208" s="739"/>
      <c r="S208" s="739"/>
      <c r="T208" s="74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37">
        <v>4680115886773</v>
      </c>
      <c r="E209" s="737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39"/>
      <c r="R209" s="739"/>
      <c r="S209" s="739"/>
      <c r="T209" s="74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45"/>
      <c r="B210" s="745"/>
      <c r="C210" s="745"/>
      <c r="D210" s="745"/>
      <c r="E210" s="745"/>
      <c r="F210" s="745"/>
      <c r="G210" s="745"/>
      <c r="H210" s="745"/>
      <c r="I210" s="745"/>
      <c r="J210" s="745"/>
      <c r="K210" s="745"/>
      <c r="L210" s="745"/>
      <c r="M210" s="745"/>
      <c r="N210" s="745"/>
      <c r="O210" s="746"/>
      <c r="P210" s="742" t="s">
        <v>40</v>
      </c>
      <c r="Q210" s="743"/>
      <c r="R210" s="743"/>
      <c r="S210" s="743"/>
      <c r="T210" s="743"/>
      <c r="U210" s="743"/>
      <c r="V210" s="744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45"/>
      <c r="B211" s="745"/>
      <c r="C211" s="745"/>
      <c r="D211" s="745"/>
      <c r="E211" s="745"/>
      <c r="F211" s="745"/>
      <c r="G211" s="745"/>
      <c r="H211" s="745"/>
      <c r="I211" s="745"/>
      <c r="J211" s="745"/>
      <c r="K211" s="745"/>
      <c r="L211" s="745"/>
      <c r="M211" s="745"/>
      <c r="N211" s="745"/>
      <c r="O211" s="746"/>
      <c r="P211" s="742" t="s">
        <v>40</v>
      </c>
      <c r="Q211" s="743"/>
      <c r="R211" s="743"/>
      <c r="S211" s="743"/>
      <c r="T211" s="743"/>
      <c r="U211" s="743"/>
      <c r="V211" s="744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35" t="s">
        <v>366</v>
      </c>
      <c r="B212" s="735"/>
      <c r="C212" s="735"/>
      <c r="D212" s="735"/>
      <c r="E212" s="735"/>
      <c r="F212" s="735"/>
      <c r="G212" s="735"/>
      <c r="H212" s="735"/>
      <c r="I212" s="735"/>
      <c r="J212" s="735"/>
      <c r="K212" s="735"/>
      <c r="L212" s="735"/>
      <c r="M212" s="735"/>
      <c r="N212" s="735"/>
      <c r="O212" s="735"/>
      <c r="P212" s="735"/>
      <c r="Q212" s="735"/>
      <c r="R212" s="735"/>
      <c r="S212" s="735"/>
      <c r="T212" s="735"/>
      <c r="U212" s="735"/>
      <c r="V212" s="735"/>
      <c r="W212" s="735"/>
      <c r="X212" s="735"/>
      <c r="Y212" s="735"/>
      <c r="Z212" s="735"/>
      <c r="AA212" s="65"/>
      <c r="AB212" s="65"/>
      <c r="AC212" s="79"/>
    </row>
    <row r="213" spans="1:68" ht="14.25" hidden="1" customHeight="1" x14ac:dyDescent="0.25">
      <c r="A213" s="736" t="s">
        <v>157</v>
      </c>
      <c r="B213" s="736"/>
      <c r="C213" s="736"/>
      <c r="D213" s="736"/>
      <c r="E213" s="736"/>
      <c r="F213" s="736"/>
      <c r="G213" s="736"/>
      <c r="H213" s="736"/>
      <c r="I213" s="736"/>
      <c r="J213" s="736"/>
      <c r="K213" s="736"/>
      <c r="L213" s="736"/>
      <c r="M213" s="736"/>
      <c r="N213" s="736"/>
      <c r="O213" s="736"/>
      <c r="P213" s="736"/>
      <c r="Q213" s="736"/>
      <c r="R213" s="736"/>
      <c r="S213" s="736"/>
      <c r="T213" s="736"/>
      <c r="U213" s="736"/>
      <c r="V213" s="736"/>
      <c r="W213" s="736"/>
      <c r="X213" s="736"/>
      <c r="Y213" s="736"/>
      <c r="Z213" s="736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37">
        <v>4680115886223</v>
      </c>
      <c r="E214" s="737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39"/>
      <c r="R214" s="739"/>
      <c r="S214" s="739"/>
      <c r="T214" s="740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45"/>
      <c r="B215" s="745"/>
      <c r="C215" s="745"/>
      <c r="D215" s="745"/>
      <c r="E215" s="745"/>
      <c r="F215" s="745"/>
      <c r="G215" s="745"/>
      <c r="H215" s="745"/>
      <c r="I215" s="745"/>
      <c r="J215" s="745"/>
      <c r="K215" s="745"/>
      <c r="L215" s="745"/>
      <c r="M215" s="745"/>
      <c r="N215" s="745"/>
      <c r="O215" s="746"/>
      <c r="P215" s="742" t="s">
        <v>40</v>
      </c>
      <c r="Q215" s="743"/>
      <c r="R215" s="743"/>
      <c r="S215" s="743"/>
      <c r="T215" s="743"/>
      <c r="U215" s="743"/>
      <c r="V215" s="744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45"/>
      <c r="B216" s="745"/>
      <c r="C216" s="745"/>
      <c r="D216" s="745"/>
      <c r="E216" s="745"/>
      <c r="F216" s="745"/>
      <c r="G216" s="745"/>
      <c r="H216" s="745"/>
      <c r="I216" s="745"/>
      <c r="J216" s="745"/>
      <c r="K216" s="745"/>
      <c r="L216" s="745"/>
      <c r="M216" s="745"/>
      <c r="N216" s="745"/>
      <c r="O216" s="746"/>
      <c r="P216" s="742" t="s">
        <v>40</v>
      </c>
      <c r="Q216" s="743"/>
      <c r="R216" s="743"/>
      <c r="S216" s="743"/>
      <c r="T216" s="743"/>
      <c r="U216" s="743"/>
      <c r="V216" s="744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36" t="s">
        <v>77</v>
      </c>
      <c r="B217" s="736"/>
      <c r="C217" s="736"/>
      <c r="D217" s="736"/>
      <c r="E217" s="736"/>
      <c r="F217" s="736"/>
      <c r="G217" s="736"/>
      <c r="H217" s="736"/>
      <c r="I217" s="736"/>
      <c r="J217" s="736"/>
      <c r="K217" s="736"/>
      <c r="L217" s="736"/>
      <c r="M217" s="736"/>
      <c r="N217" s="736"/>
      <c r="O217" s="736"/>
      <c r="P217" s="736"/>
      <c r="Q217" s="736"/>
      <c r="R217" s="736"/>
      <c r="S217" s="736"/>
      <c r="T217" s="736"/>
      <c r="U217" s="736"/>
      <c r="V217" s="736"/>
      <c r="W217" s="736"/>
      <c r="X217" s="736"/>
      <c r="Y217" s="736"/>
      <c r="Z217" s="736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37">
        <v>4680115880993</v>
      </c>
      <c r="E218" s="737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39"/>
      <c r="R218" s="739"/>
      <c r="S218" s="739"/>
      <c r="T218" s="740"/>
      <c r="U218" s="39" t="s">
        <v>46</v>
      </c>
      <c r="V218" s="39" t="s">
        <v>46</v>
      </c>
      <c r="W218" s="40" t="s">
        <v>0</v>
      </c>
      <c r="X218" s="58">
        <v>12</v>
      </c>
      <c r="Y218" s="55">
        <f t="shared" ref="Y218:Y232" si="32">IFERROR(IF(X218="",0,CEILING((X218/$H218),1)*$H218),"")</f>
        <v>12.600000000000001</v>
      </c>
      <c r="Z218" s="41">
        <f>IFERROR(IF(Y218=0,"",ROUNDUP(Y218/H218,0)*0.00902),"")</f>
        <v>2.7060000000000001E-2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12.714285714285715</v>
      </c>
      <c r="BN218" s="78">
        <f t="shared" ref="BN218:BN232" si="34">IFERROR(Y218*I218/H218,"0")</f>
        <v>13.350000000000001</v>
      </c>
      <c r="BO218" s="78">
        <f t="shared" ref="BO218:BO232" si="35">IFERROR(1/J218*(X218/H218),"0")</f>
        <v>2.1645021645021648E-2</v>
      </c>
      <c r="BP218" s="78">
        <f t="shared" ref="BP218:BP232" si="36">IFERROR(1/J218*(Y218/H218),"0")</f>
        <v>2.2727272727272728E-2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37">
        <v>4680115881761</v>
      </c>
      <c r="E219" s="737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39"/>
      <c r="R219" s="739"/>
      <c r="S219" s="739"/>
      <c r="T219" s="74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37">
        <v>4680115881563</v>
      </c>
      <c r="E220" s="737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39"/>
      <c r="R220" s="739"/>
      <c r="S220" s="739"/>
      <c r="T220" s="74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37">
        <v>4680115887565</v>
      </c>
      <c r="E221" s="737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5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39"/>
      <c r="R221" s="739"/>
      <c r="S221" s="739"/>
      <c r="T221" s="74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37">
        <v>4680115880986</v>
      </c>
      <c r="E222" s="737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39"/>
      <c r="R222" s="739"/>
      <c r="S222" s="739"/>
      <c r="T222" s="74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37">
        <v>4680115887213</v>
      </c>
      <c r="E223" s="737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5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39"/>
      <c r="R223" s="739"/>
      <c r="S223" s="739"/>
      <c r="T223" s="74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37">
        <v>4680115881785</v>
      </c>
      <c r="E224" s="737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39"/>
      <c r="R224" s="739"/>
      <c r="S224" s="739"/>
      <c r="T224" s="74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37">
        <v>4680115888432</v>
      </c>
      <c r="E225" s="737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39"/>
      <c r="R225" s="739"/>
      <c r="S225" s="739"/>
      <c r="T225" s="74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37">
        <v>4680115888104</v>
      </c>
      <c r="E226" s="737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39"/>
      <c r="R226" s="739"/>
      <c r="S226" s="739"/>
      <c r="T226" s="74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37">
        <v>4680115886537</v>
      </c>
      <c r="E227" s="737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5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39"/>
      <c r="R227" s="739"/>
      <c r="S227" s="739"/>
      <c r="T227" s="74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37">
        <v>4680115887596</v>
      </c>
      <c r="E228" s="737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39"/>
      <c r="R228" s="739"/>
      <c r="S228" s="739"/>
      <c r="T228" s="74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737">
        <v>4680115881679</v>
      </c>
      <c r="E229" s="73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39"/>
      <c r="R229" s="739"/>
      <c r="S229" s="739"/>
      <c r="T229" s="740"/>
      <c r="U229" s="39" t="s">
        <v>46</v>
      </c>
      <c r="V229" s="39" t="s">
        <v>46</v>
      </c>
      <c r="W229" s="40" t="s">
        <v>0</v>
      </c>
      <c r="X229" s="58">
        <v>18</v>
      </c>
      <c r="Y229" s="55">
        <f t="shared" si="32"/>
        <v>18.900000000000002</v>
      </c>
      <c r="Z229" s="41">
        <f>IFERROR(IF(Y229=0,"",ROUNDUP(Y229/H229,0)*0.00502),"")</f>
        <v>4.5179999999999998E-2</v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18.857142857142858</v>
      </c>
      <c r="BN229" s="78">
        <f t="shared" si="34"/>
        <v>19.8</v>
      </c>
      <c r="BO229" s="78">
        <f t="shared" si="35"/>
        <v>3.6630036630036632E-2</v>
      </c>
      <c r="BP229" s="78">
        <f t="shared" si="36"/>
        <v>3.8461538461538464E-2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37">
        <v>4680115880191</v>
      </c>
      <c r="E230" s="737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39"/>
      <c r="R230" s="739"/>
      <c r="S230" s="739"/>
      <c r="T230" s="74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37">
        <v>4680115880191</v>
      </c>
      <c r="E231" s="737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6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39"/>
      <c r="R231" s="739"/>
      <c r="S231" s="739"/>
      <c r="T231" s="74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37">
        <v>4680115883963</v>
      </c>
      <c r="E232" s="737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39"/>
      <c r="R232" s="739"/>
      <c r="S232" s="739"/>
      <c r="T232" s="74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45"/>
      <c r="B233" s="745"/>
      <c r="C233" s="745"/>
      <c r="D233" s="745"/>
      <c r="E233" s="745"/>
      <c r="F233" s="745"/>
      <c r="G233" s="745"/>
      <c r="H233" s="745"/>
      <c r="I233" s="745"/>
      <c r="J233" s="745"/>
      <c r="K233" s="745"/>
      <c r="L233" s="745"/>
      <c r="M233" s="745"/>
      <c r="N233" s="745"/>
      <c r="O233" s="746"/>
      <c r="P233" s="742" t="s">
        <v>40</v>
      </c>
      <c r="Q233" s="743"/>
      <c r="R233" s="743"/>
      <c r="S233" s="743"/>
      <c r="T233" s="743"/>
      <c r="U233" s="743"/>
      <c r="V233" s="744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11.428571428571429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7.2239999999999999E-2</v>
      </c>
      <c r="AA233" s="67"/>
      <c r="AB233" s="67"/>
      <c r="AC233" s="67"/>
    </row>
    <row r="234" spans="1:68" x14ac:dyDescent="0.2">
      <c r="A234" s="745"/>
      <c r="B234" s="745"/>
      <c r="C234" s="745"/>
      <c r="D234" s="745"/>
      <c r="E234" s="745"/>
      <c r="F234" s="745"/>
      <c r="G234" s="745"/>
      <c r="H234" s="745"/>
      <c r="I234" s="745"/>
      <c r="J234" s="745"/>
      <c r="K234" s="745"/>
      <c r="L234" s="745"/>
      <c r="M234" s="745"/>
      <c r="N234" s="745"/>
      <c r="O234" s="746"/>
      <c r="P234" s="742" t="s">
        <v>40</v>
      </c>
      <c r="Q234" s="743"/>
      <c r="R234" s="743"/>
      <c r="S234" s="743"/>
      <c r="T234" s="743"/>
      <c r="U234" s="743"/>
      <c r="V234" s="744"/>
      <c r="W234" s="42" t="s">
        <v>0</v>
      </c>
      <c r="X234" s="43">
        <f>IFERROR(SUM(X218:X232),"0")</f>
        <v>30</v>
      </c>
      <c r="Y234" s="43">
        <f>IFERROR(SUM(Y218:Y232),"0")</f>
        <v>31.500000000000004</v>
      </c>
      <c r="Z234" s="42"/>
      <c r="AA234" s="67"/>
      <c r="AB234" s="67"/>
      <c r="AC234" s="67"/>
    </row>
    <row r="235" spans="1:68" ht="14.25" hidden="1" customHeight="1" x14ac:dyDescent="0.25">
      <c r="A235" s="736" t="s">
        <v>86</v>
      </c>
      <c r="B235" s="736"/>
      <c r="C235" s="736"/>
      <c r="D235" s="736"/>
      <c r="E235" s="736"/>
      <c r="F235" s="736"/>
      <c r="G235" s="736"/>
      <c r="H235" s="736"/>
      <c r="I235" s="736"/>
      <c r="J235" s="736"/>
      <c r="K235" s="736"/>
      <c r="L235" s="736"/>
      <c r="M235" s="736"/>
      <c r="N235" s="736"/>
      <c r="O235" s="736"/>
      <c r="P235" s="736"/>
      <c r="Q235" s="736"/>
      <c r="R235" s="736"/>
      <c r="S235" s="736"/>
      <c r="T235" s="736"/>
      <c r="U235" s="736"/>
      <c r="V235" s="736"/>
      <c r="W235" s="736"/>
      <c r="X235" s="736"/>
      <c r="Y235" s="736"/>
      <c r="Z235" s="736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37">
        <v>4680115888692</v>
      </c>
      <c r="E236" s="737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39"/>
      <c r="R236" s="739"/>
      <c r="S236" s="739"/>
      <c r="T236" s="74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37">
        <v>4680115888692</v>
      </c>
      <c r="E237" s="737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6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39"/>
      <c r="R237" s="739"/>
      <c r="S237" s="739"/>
      <c r="T237" s="740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37">
        <v>4680115888722</v>
      </c>
      <c r="E238" s="73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6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39"/>
      <c r="R238" s="739"/>
      <c r="S238" s="739"/>
      <c r="T238" s="740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37">
        <v>4680115888722</v>
      </c>
      <c r="E239" s="73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6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39"/>
      <c r="R239" s="739"/>
      <c r="S239" s="739"/>
      <c r="T239" s="74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37">
        <v>4680115888951</v>
      </c>
      <c r="E240" s="73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39"/>
      <c r="R240" s="739"/>
      <c r="S240" s="739"/>
      <c r="T240" s="74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37">
        <v>4680115888951</v>
      </c>
      <c r="E241" s="737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6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39"/>
      <c r="R241" s="739"/>
      <c r="S241" s="739"/>
      <c r="T241" s="74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37">
        <v>4680115888975</v>
      </c>
      <c r="E242" s="737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6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39"/>
      <c r="R242" s="739"/>
      <c r="S242" s="739"/>
      <c r="T242" s="74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37">
        <v>4680115888982</v>
      </c>
      <c r="E243" s="73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39"/>
      <c r="R243" s="739"/>
      <c r="S243" s="739"/>
      <c r="T243" s="74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37">
        <v>4680115888982</v>
      </c>
      <c r="E244" s="73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7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39"/>
      <c r="R244" s="739"/>
      <c r="S244" s="739"/>
      <c r="T244" s="74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45"/>
      <c r="B245" s="745"/>
      <c r="C245" s="745"/>
      <c r="D245" s="745"/>
      <c r="E245" s="745"/>
      <c r="F245" s="745"/>
      <c r="G245" s="745"/>
      <c r="H245" s="745"/>
      <c r="I245" s="745"/>
      <c r="J245" s="745"/>
      <c r="K245" s="745"/>
      <c r="L245" s="745"/>
      <c r="M245" s="745"/>
      <c r="N245" s="745"/>
      <c r="O245" s="746"/>
      <c r="P245" s="742" t="s">
        <v>40</v>
      </c>
      <c r="Q245" s="743"/>
      <c r="R245" s="743"/>
      <c r="S245" s="743"/>
      <c r="T245" s="743"/>
      <c r="U245" s="743"/>
      <c r="V245" s="744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45"/>
      <c r="B246" s="745"/>
      <c r="C246" s="745"/>
      <c r="D246" s="745"/>
      <c r="E246" s="745"/>
      <c r="F246" s="745"/>
      <c r="G246" s="745"/>
      <c r="H246" s="745"/>
      <c r="I246" s="745"/>
      <c r="J246" s="745"/>
      <c r="K246" s="745"/>
      <c r="L246" s="745"/>
      <c r="M246" s="745"/>
      <c r="N246" s="745"/>
      <c r="O246" s="746"/>
      <c r="P246" s="742" t="s">
        <v>40</v>
      </c>
      <c r="Q246" s="743"/>
      <c r="R246" s="743"/>
      <c r="S246" s="743"/>
      <c r="T246" s="743"/>
      <c r="U246" s="743"/>
      <c r="V246" s="744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36" t="s">
        <v>275</v>
      </c>
      <c r="B247" s="736"/>
      <c r="C247" s="736"/>
      <c r="D247" s="736"/>
      <c r="E247" s="736"/>
      <c r="F247" s="736"/>
      <c r="G247" s="736"/>
      <c r="H247" s="736"/>
      <c r="I247" s="736"/>
      <c r="J247" s="736"/>
      <c r="K247" s="736"/>
      <c r="L247" s="736"/>
      <c r="M247" s="736"/>
      <c r="N247" s="736"/>
      <c r="O247" s="736"/>
      <c r="P247" s="736"/>
      <c r="Q247" s="736"/>
      <c r="R247" s="736"/>
      <c r="S247" s="736"/>
      <c r="T247" s="736"/>
      <c r="U247" s="736"/>
      <c r="V247" s="736"/>
      <c r="W247" s="736"/>
      <c r="X247" s="736"/>
      <c r="Y247" s="736"/>
      <c r="Z247" s="736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37">
        <v>4680115886780</v>
      </c>
      <c r="E248" s="73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39"/>
      <c r="R248" s="739"/>
      <c r="S248" s="739"/>
      <c r="T248" s="74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37">
        <v>4680115886742</v>
      </c>
      <c r="E249" s="73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7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39"/>
      <c r="R249" s="739"/>
      <c r="S249" s="739"/>
      <c r="T249" s="74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37">
        <v>4680115886766</v>
      </c>
      <c r="E250" s="73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39"/>
      <c r="R250" s="739"/>
      <c r="S250" s="739"/>
      <c r="T250" s="74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45"/>
      <c r="B251" s="745"/>
      <c r="C251" s="745"/>
      <c r="D251" s="745"/>
      <c r="E251" s="745"/>
      <c r="F251" s="745"/>
      <c r="G251" s="745"/>
      <c r="H251" s="745"/>
      <c r="I251" s="745"/>
      <c r="J251" s="745"/>
      <c r="K251" s="745"/>
      <c r="L251" s="745"/>
      <c r="M251" s="745"/>
      <c r="N251" s="745"/>
      <c r="O251" s="746"/>
      <c r="P251" s="742" t="s">
        <v>40</v>
      </c>
      <c r="Q251" s="743"/>
      <c r="R251" s="743"/>
      <c r="S251" s="743"/>
      <c r="T251" s="743"/>
      <c r="U251" s="743"/>
      <c r="V251" s="7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45"/>
      <c r="B252" s="745"/>
      <c r="C252" s="745"/>
      <c r="D252" s="745"/>
      <c r="E252" s="745"/>
      <c r="F252" s="745"/>
      <c r="G252" s="745"/>
      <c r="H252" s="745"/>
      <c r="I252" s="745"/>
      <c r="J252" s="745"/>
      <c r="K252" s="745"/>
      <c r="L252" s="745"/>
      <c r="M252" s="745"/>
      <c r="N252" s="745"/>
      <c r="O252" s="746"/>
      <c r="P252" s="742" t="s">
        <v>40</v>
      </c>
      <c r="Q252" s="743"/>
      <c r="R252" s="743"/>
      <c r="S252" s="743"/>
      <c r="T252" s="743"/>
      <c r="U252" s="743"/>
      <c r="V252" s="7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36" t="s">
        <v>437</v>
      </c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  <c r="S253" s="736"/>
      <c r="T253" s="736"/>
      <c r="U253" s="736"/>
      <c r="V253" s="736"/>
      <c r="W253" s="736"/>
      <c r="X253" s="736"/>
      <c r="Y253" s="736"/>
      <c r="Z253" s="736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37">
        <v>4680115886797</v>
      </c>
      <c r="E254" s="73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7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39"/>
      <c r="R254" s="739"/>
      <c r="S254" s="739"/>
      <c r="T254" s="74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45"/>
      <c r="B255" s="745"/>
      <c r="C255" s="745"/>
      <c r="D255" s="745"/>
      <c r="E255" s="745"/>
      <c r="F255" s="745"/>
      <c r="G255" s="745"/>
      <c r="H255" s="745"/>
      <c r="I255" s="745"/>
      <c r="J255" s="745"/>
      <c r="K255" s="745"/>
      <c r="L255" s="745"/>
      <c r="M255" s="745"/>
      <c r="N255" s="745"/>
      <c r="O255" s="746"/>
      <c r="P255" s="742" t="s">
        <v>40</v>
      </c>
      <c r="Q255" s="743"/>
      <c r="R255" s="743"/>
      <c r="S255" s="743"/>
      <c r="T255" s="743"/>
      <c r="U255" s="743"/>
      <c r="V255" s="7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45"/>
      <c r="B256" s="745"/>
      <c r="C256" s="745"/>
      <c r="D256" s="745"/>
      <c r="E256" s="745"/>
      <c r="F256" s="745"/>
      <c r="G256" s="745"/>
      <c r="H256" s="745"/>
      <c r="I256" s="745"/>
      <c r="J256" s="745"/>
      <c r="K256" s="745"/>
      <c r="L256" s="745"/>
      <c r="M256" s="745"/>
      <c r="N256" s="745"/>
      <c r="O256" s="746"/>
      <c r="P256" s="742" t="s">
        <v>40</v>
      </c>
      <c r="Q256" s="743"/>
      <c r="R256" s="743"/>
      <c r="S256" s="743"/>
      <c r="T256" s="743"/>
      <c r="U256" s="743"/>
      <c r="V256" s="7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35" t="s">
        <v>440</v>
      </c>
      <c r="B257" s="735"/>
      <c r="C257" s="735"/>
      <c r="D257" s="735"/>
      <c r="E257" s="735"/>
      <c r="F257" s="735"/>
      <c r="G257" s="735"/>
      <c r="H257" s="735"/>
      <c r="I257" s="735"/>
      <c r="J257" s="735"/>
      <c r="K257" s="735"/>
      <c r="L257" s="735"/>
      <c r="M257" s="735"/>
      <c r="N257" s="735"/>
      <c r="O257" s="735"/>
      <c r="P257" s="735"/>
      <c r="Q257" s="735"/>
      <c r="R257" s="735"/>
      <c r="S257" s="735"/>
      <c r="T257" s="735"/>
      <c r="U257" s="735"/>
      <c r="V257" s="735"/>
      <c r="W257" s="735"/>
      <c r="X257" s="735"/>
      <c r="Y257" s="735"/>
      <c r="Z257" s="735"/>
      <c r="AA257" s="65"/>
      <c r="AB257" s="65"/>
      <c r="AC257" s="79"/>
    </row>
    <row r="258" spans="1:68" ht="14.25" hidden="1" customHeight="1" x14ac:dyDescent="0.25">
      <c r="A258" s="736" t="s">
        <v>122</v>
      </c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6"/>
      <c r="P258" s="736"/>
      <c r="Q258" s="736"/>
      <c r="R258" s="736"/>
      <c r="S258" s="736"/>
      <c r="T258" s="736"/>
      <c r="U258" s="736"/>
      <c r="V258" s="736"/>
      <c r="W258" s="736"/>
      <c r="X258" s="736"/>
      <c r="Y258" s="736"/>
      <c r="Z258" s="736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37">
        <v>4680115881402</v>
      </c>
      <c r="E259" s="73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39"/>
      <c r="R259" s="739"/>
      <c r="S259" s="739"/>
      <c r="T259" s="74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37">
        <v>4680115881396</v>
      </c>
      <c r="E260" s="73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39"/>
      <c r="R260" s="739"/>
      <c r="S260" s="739"/>
      <c r="T260" s="74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45"/>
      <c r="B261" s="745"/>
      <c r="C261" s="745"/>
      <c r="D261" s="745"/>
      <c r="E261" s="745"/>
      <c r="F261" s="745"/>
      <c r="G261" s="745"/>
      <c r="H261" s="745"/>
      <c r="I261" s="745"/>
      <c r="J261" s="745"/>
      <c r="K261" s="745"/>
      <c r="L261" s="745"/>
      <c r="M261" s="745"/>
      <c r="N261" s="745"/>
      <c r="O261" s="746"/>
      <c r="P261" s="742" t="s">
        <v>40</v>
      </c>
      <c r="Q261" s="743"/>
      <c r="R261" s="743"/>
      <c r="S261" s="743"/>
      <c r="T261" s="743"/>
      <c r="U261" s="743"/>
      <c r="V261" s="7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45"/>
      <c r="B262" s="745"/>
      <c r="C262" s="745"/>
      <c r="D262" s="745"/>
      <c r="E262" s="745"/>
      <c r="F262" s="745"/>
      <c r="G262" s="745"/>
      <c r="H262" s="745"/>
      <c r="I262" s="745"/>
      <c r="J262" s="745"/>
      <c r="K262" s="745"/>
      <c r="L262" s="745"/>
      <c r="M262" s="745"/>
      <c r="N262" s="745"/>
      <c r="O262" s="746"/>
      <c r="P262" s="742" t="s">
        <v>40</v>
      </c>
      <c r="Q262" s="743"/>
      <c r="R262" s="743"/>
      <c r="S262" s="743"/>
      <c r="T262" s="743"/>
      <c r="U262" s="743"/>
      <c r="V262" s="7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36" t="s">
        <v>157</v>
      </c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  <c r="S263" s="736"/>
      <c r="T263" s="736"/>
      <c r="U263" s="736"/>
      <c r="V263" s="736"/>
      <c r="W263" s="736"/>
      <c r="X263" s="736"/>
      <c r="Y263" s="736"/>
      <c r="Z263" s="736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37">
        <v>4680115882935</v>
      </c>
      <c r="E264" s="73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39"/>
      <c r="R264" s="739"/>
      <c r="S264" s="739"/>
      <c r="T264" s="74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37">
        <v>4680115880764</v>
      </c>
      <c r="E265" s="73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39"/>
      <c r="R265" s="739"/>
      <c r="S265" s="739"/>
      <c r="T265" s="74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45"/>
      <c r="B266" s="745"/>
      <c r="C266" s="745"/>
      <c r="D266" s="745"/>
      <c r="E266" s="745"/>
      <c r="F266" s="745"/>
      <c r="G266" s="745"/>
      <c r="H266" s="745"/>
      <c r="I266" s="745"/>
      <c r="J266" s="745"/>
      <c r="K266" s="745"/>
      <c r="L266" s="745"/>
      <c r="M266" s="745"/>
      <c r="N266" s="745"/>
      <c r="O266" s="746"/>
      <c r="P266" s="742" t="s">
        <v>40</v>
      </c>
      <c r="Q266" s="743"/>
      <c r="R266" s="743"/>
      <c r="S266" s="743"/>
      <c r="T266" s="743"/>
      <c r="U266" s="743"/>
      <c r="V266" s="7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45"/>
      <c r="B267" s="745"/>
      <c r="C267" s="745"/>
      <c r="D267" s="745"/>
      <c r="E267" s="745"/>
      <c r="F267" s="745"/>
      <c r="G267" s="745"/>
      <c r="H267" s="745"/>
      <c r="I267" s="745"/>
      <c r="J267" s="745"/>
      <c r="K267" s="745"/>
      <c r="L267" s="745"/>
      <c r="M267" s="745"/>
      <c r="N267" s="745"/>
      <c r="O267" s="746"/>
      <c r="P267" s="742" t="s">
        <v>40</v>
      </c>
      <c r="Q267" s="743"/>
      <c r="R267" s="743"/>
      <c r="S267" s="743"/>
      <c r="T267" s="743"/>
      <c r="U267" s="743"/>
      <c r="V267" s="7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36" t="s">
        <v>77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  <c r="S268" s="736"/>
      <c r="T268" s="736"/>
      <c r="U268" s="736"/>
      <c r="V268" s="736"/>
      <c r="W268" s="736"/>
      <c r="X268" s="736"/>
      <c r="Y268" s="736"/>
      <c r="Z268" s="736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37">
        <v>4680115882683</v>
      </c>
      <c r="E269" s="73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39"/>
      <c r="R269" s="739"/>
      <c r="S269" s="739"/>
      <c r="T269" s="740"/>
      <c r="U269" s="39" t="s">
        <v>46</v>
      </c>
      <c r="V269" s="39" t="s">
        <v>46</v>
      </c>
      <c r="W269" s="40" t="s">
        <v>0</v>
      </c>
      <c r="X269" s="58">
        <v>12</v>
      </c>
      <c r="Y269" s="55">
        <f t="shared" ref="Y269:Y276" si="43">IFERROR(IF(X269="",0,CEILING((X269/$H269),1)*$H269),"")</f>
        <v>16.200000000000003</v>
      </c>
      <c r="Z269" s="41">
        <f>IFERROR(IF(Y269=0,"",ROUNDUP(Y269/H269,0)*0.00902),"")</f>
        <v>2.7060000000000001E-2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12.422222222222221</v>
      </c>
      <c r="BN269" s="78">
        <f t="shared" ref="BN269:BN276" si="45">IFERROR(Y269*I269/H269,"0")</f>
        <v>16.77</v>
      </c>
      <c r="BO269" s="78">
        <f t="shared" ref="BO269:BO276" si="46">IFERROR(1/J269*(X269/H269),"0")</f>
        <v>1.6835016835016831E-2</v>
      </c>
      <c r="BP269" s="78">
        <f t="shared" ref="BP269:BP276" si="47">IFERROR(1/J269*(Y269/H269),"0")</f>
        <v>2.2727272727272731E-2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37">
        <v>4680115882690</v>
      </c>
      <c r="E270" s="73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39"/>
      <c r="R270" s="739"/>
      <c r="S270" s="739"/>
      <c r="T270" s="74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37">
        <v>4680115882669</v>
      </c>
      <c r="E271" s="73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39"/>
      <c r="R271" s="739"/>
      <c r="S271" s="739"/>
      <c r="T271" s="74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37">
        <v>4680115882676</v>
      </c>
      <c r="E272" s="73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39"/>
      <c r="R272" s="739"/>
      <c r="S272" s="739"/>
      <c r="T272" s="740"/>
      <c r="U272" s="39" t="s">
        <v>46</v>
      </c>
      <c r="V272" s="39" t="s">
        <v>46</v>
      </c>
      <c r="W272" s="40" t="s">
        <v>0</v>
      </c>
      <c r="X272" s="58">
        <v>12</v>
      </c>
      <c r="Y272" s="55">
        <f t="shared" si="43"/>
        <v>16.200000000000003</v>
      </c>
      <c r="Z272" s="41">
        <f>IFERROR(IF(Y272=0,"",ROUNDUP(Y272/H272,0)*0.00902),"")</f>
        <v>2.7060000000000001E-2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12.422222222222221</v>
      </c>
      <c r="BN272" s="78">
        <f t="shared" si="45"/>
        <v>16.77</v>
      </c>
      <c r="BO272" s="78">
        <f t="shared" si="46"/>
        <v>1.6835016835016831E-2</v>
      </c>
      <c r="BP272" s="78">
        <f t="shared" si="47"/>
        <v>2.2727272727272731E-2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37">
        <v>4680115884014</v>
      </c>
      <c r="E273" s="73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8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39"/>
      <c r="R273" s="739"/>
      <c r="S273" s="739"/>
      <c r="T273" s="74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37">
        <v>4680115884007</v>
      </c>
      <c r="E274" s="73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8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39"/>
      <c r="R274" s="739"/>
      <c r="S274" s="739"/>
      <c r="T274" s="74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37">
        <v>4680115884038</v>
      </c>
      <c r="E275" s="73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8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39"/>
      <c r="R275" s="739"/>
      <c r="S275" s="739"/>
      <c r="T275" s="74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37">
        <v>4680115884021</v>
      </c>
      <c r="E276" s="73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39"/>
      <c r="R276" s="739"/>
      <c r="S276" s="739"/>
      <c r="T276" s="74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45"/>
      <c r="B277" s="745"/>
      <c r="C277" s="745"/>
      <c r="D277" s="745"/>
      <c r="E277" s="745"/>
      <c r="F277" s="745"/>
      <c r="G277" s="745"/>
      <c r="H277" s="745"/>
      <c r="I277" s="745"/>
      <c r="J277" s="745"/>
      <c r="K277" s="745"/>
      <c r="L277" s="745"/>
      <c r="M277" s="745"/>
      <c r="N277" s="745"/>
      <c r="O277" s="746"/>
      <c r="P277" s="742" t="s">
        <v>40</v>
      </c>
      <c r="Q277" s="743"/>
      <c r="R277" s="743"/>
      <c r="S277" s="743"/>
      <c r="T277" s="743"/>
      <c r="U277" s="743"/>
      <c r="V277" s="7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4.4444444444444438</v>
      </c>
      <c r="Y277" s="43">
        <f>IFERROR(Y269/H269,"0")+IFERROR(Y270/H270,"0")+IFERROR(Y271/H271,"0")+IFERROR(Y272/H272,"0")+IFERROR(Y273/H273,"0")+IFERROR(Y274/H274,"0")+IFERROR(Y275/H275,"0")+IFERROR(Y276/H276,"0")</f>
        <v>6.0000000000000009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5.4120000000000001E-2</v>
      </c>
      <c r="AA277" s="67"/>
      <c r="AB277" s="67"/>
      <c r="AC277" s="67"/>
    </row>
    <row r="278" spans="1:68" x14ac:dyDescent="0.2">
      <c r="A278" s="745"/>
      <c r="B278" s="745"/>
      <c r="C278" s="745"/>
      <c r="D278" s="745"/>
      <c r="E278" s="745"/>
      <c r="F278" s="745"/>
      <c r="G278" s="745"/>
      <c r="H278" s="745"/>
      <c r="I278" s="745"/>
      <c r="J278" s="745"/>
      <c r="K278" s="745"/>
      <c r="L278" s="745"/>
      <c r="M278" s="745"/>
      <c r="N278" s="745"/>
      <c r="O278" s="746"/>
      <c r="P278" s="742" t="s">
        <v>40</v>
      </c>
      <c r="Q278" s="743"/>
      <c r="R278" s="743"/>
      <c r="S278" s="743"/>
      <c r="T278" s="743"/>
      <c r="U278" s="743"/>
      <c r="V278" s="744"/>
      <c r="W278" s="42" t="s">
        <v>0</v>
      </c>
      <c r="X278" s="43">
        <f>IFERROR(SUM(X269:X276),"0")</f>
        <v>24</v>
      </c>
      <c r="Y278" s="43">
        <f>IFERROR(SUM(Y269:Y276),"0")</f>
        <v>32.400000000000006</v>
      </c>
      <c r="Z278" s="42"/>
      <c r="AA278" s="67"/>
      <c r="AB278" s="67"/>
      <c r="AC278" s="67"/>
    </row>
    <row r="279" spans="1:68" ht="14.25" hidden="1" customHeight="1" x14ac:dyDescent="0.25">
      <c r="A279" s="736" t="s">
        <v>86</v>
      </c>
      <c r="B279" s="736"/>
      <c r="C279" s="736"/>
      <c r="D279" s="736"/>
      <c r="E279" s="736"/>
      <c r="F279" s="736"/>
      <c r="G279" s="736"/>
      <c r="H279" s="736"/>
      <c r="I279" s="736"/>
      <c r="J279" s="736"/>
      <c r="K279" s="736"/>
      <c r="L279" s="736"/>
      <c r="M279" s="736"/>
      <c r="N279" s="736"/>
      <c r="O279" s="736"/>
      <c r="P279" s="736"/>
      <c r="Q279" s="736"/>
      <c r="R279" s="736"/>
      <c r="S279" s="736"/>
      <c r="T279" s="736"/>
      <c r="U279" s="736"/>
      <c r="V279" s="736"/>
      <c r="W279" s="736"/>
      <c r="X279" s="736"/>
      <c r="Y279" s="736"/>
      <c r="Z279" s="736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37">
        <v>4680115881594</v>
      </c>
      <c r="E280" s="73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39"/>
      <c r="R280" s="739"/>
      <c r="S280" s="739"/>
      <c r="T280" s="74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37">
        <v>4680115881617</v>
      </c>
      <c r="E281" s="73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39"/>
      <c r="R281" s="739"/>
      <c r="S281" s="739"/>
      <c r="T281" s="74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37">
        <v>4680115880573</v>
      </c>
      <c r="E282" s="73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39"/>
      <c r="R282" s="739"/>
      <c r="S282" s="739"/>
      <c r="T282" s="740"/>
      <c r="U282" s="39" t="s">
        <v>46</v>
      </c>
      <c r="V282" s="39" t="s">
        <v>46</v>
      </c>
      <c r="W282" s="40" t="s">
        <v>0</v>
      </c>
      <c r="X282" s="58">
        <v>8</v>
      </c>
      <c r="Y282" s="55">
        <f t="shared" si="48"/>
        <v>8.6999999999999993</v>
      </c>
      <c r="Z282" s="41">
        <f>IFERROR(IF(Y282=0,"",ROUNDUP(Y282/H282,0)*0.01898),"")</f>
        <v>1.898E-2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8.4542528735632203</v>
      </c>
      <c r="BN282" s="78">
        <f t="shared" si="50"/>
        <v>9.1940000000000008</v>
      </c>
      <c r="BO282" s="78">
        <f t="shared" si="51"/>
        <v>1.4367816091954025E-2</v>
      </c>
      <c r="BP282" s="78">
        <f t="shared" si="52"/>
        <v>1.5625E-2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37">
        <v>4680115882195</v>
      </c>
      <c r="E283" s="73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39"/>
      <c r="R283" s="739"/>
      <c r="S283" s="739"/>
      <c r="T283" s="74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37">
        <v>4680115882607</v>
      </c>
      <c r="E284" s="73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9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39"/>
      <c r="R284" s="739"/>
      <c r="S284" s="739"/>
      <c r="T284" s="74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37">
        <v>4680115882607</v>
      </c>
      <c r="E285" s="73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39"/>
      <c r="R285" s="739"/>
      <c r="S285" s="739"/>
      <c r="T285" s="74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37">
        <v>4680115880092</v>
      </c>
      <c r="E286" s="73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39"/>
      <c r="R286" s="739"/>
      <c r="S286" s="739"/>
      <c r="T286" s="74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37">
        <v>4680115889064</v>
      </c>
      <c r="E287" s="73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39"/>
      <c r="R287" s="739"/>
      <c r="S287" s="739"/>
      <c r="T287" s="74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37">
        <v>4680115880221</v>
      </c>
      <c r="E288" s="73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39"/>
      <c r="R288" s="739"/>
      <c r="S288" s="739"/>
      <c r="T288" s="74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37">
        <v>4680115880504</v>
      </c>
      <c r="E289" s="73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39"/>
      <c r="R289" s="739"/>
      <c r="S289" s="739"/>
      <c r="T289" s="74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37">
        <v>4680115882164</v>
      </c>
      <c r="E290" s="73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39"/>
      <c r="R290" s="739"/>
      <c r="S290" s="739"/>
      <c r="T290" s="74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37">
        <v>4680115888340</v>
      </c>
      <c r="E291" s="73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39"/>
      <c r="R291" s="739"/>
      <c r="S291" s="739"/>
      <c r="T291" s="74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45"/>
      <c r="B292" s="745"/>
      <c r="C292" s="745"/>
      <c r="D292" s="745"/>
      <c r="E292" s="745"/>
      <c r="F292" s="745"/>
      <c r="G292" s="745"/>
      <c r="H292" s="745"/>
      <c r="I292" s="745"/>
      <c r="J292" s="745"/>
      <c r="K292" s="745"/>
      <c r="L292" s="745"/>
      <c r="M292" s="745"/>
      <c r="N292" s="745"/>
      <c r="O292" s="746"/>
      <c r="P292" s="742" t="s">
        <v>40</v>
      </c>
      <c r="Q292" s="743"/>
      <c r="R292" s="743"/>
      <c r="S292" s="743"/>
      <c r="T292" s="743"/>
      <c r="U292" s="743"/>
      <c r="V292" s="7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0.91954022988505757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1.898E-2</v>
      </c>
      <c r="AA292" s="67"/>
      <c r="AB292" s="67"/>
      <c r="AC292" s="67"/>
    </row>
    <row r="293" spans="1:68" x14ac:dyDescent="0.2">
      <c r="A293" s="745"/>
      <c r="B293" s="745"/>
      <c r="C293" s="745"/>
      <c r="D293" s="745"/>
      <c r="E293" s="745"/>
      <c r="F293" s="745"/>
      <c r="G293" s="745"/>
      <c r="H293" s="745"/>
      <c r="I293" s="745"/>
      <c r="J293" s="745"/>
      <c r="K293" s="745"/>
      <c r="L293" s="745"/>
      <c r="M293" s="745"/>
      <c r="N293" s="745"/>
      <c r="O293" s="746"/>
      <c r="P293" s="742" t="s">
        <v>40</v>
      </c>
      <c r="Q293" s="743"/>
      <c r="R293" s="743"/>
      <c r="S293" s="743"/>
      <c r="T293" s="743"/>
      <c r="U293" s="743"/>
      <c r="V293" s="744"/>
      <c r="W293" s="42" t="s">
        <v>0</v>
      </c>
      <c r="X293" s="43">
        <f>IFERROR(SUM(X280:X291),"0")</f>
        <v>8</v>
      </c>
      <c r="Y293" s="43">
        <f>IFERROR(SUM(Y280:Y291),"0")</f>
        <v>8.6999999999999993</v>
      </c>
      <c r="Z293" s="42"/>
      <c r="AA293" s="67"/>
      <c r="AB293" s="67"/>
      <c r="AC293" s="67"/>
    </row>
    <row r="294" spans="1:68" ht="14.25" hidden="1" customHeight="1" x14ac:dyDescent="0.25">
      <c r="A294" s="736" t="s">
        <v>175</v>
      </c>
      <c r="B294" s="736"/>
      <c r="C294" s="736"/>
      <c r="D294" s="736"/>
      <c r="E294" s="736"/>
      <c r="F294" s="736"/>
      <c r="G294" s="736"/>
      <c r="H294" s="736"/>
      <c r="I294" s="736"/>
      <c r="J294" s="736"/>
      <c r="K294" s="736"/>
      <c r="L294" s="736"/>
      <c r="M294" s="736"/>
      <c r="N294" s="736"/>
      <c r="O294" s="736"/>
      <c r="P294" s="736"/>
      <c r="Q294" s="736"/>
      <c r="R294" s="736"/>
      <c r="S294" s="736"/>
      <c r="T294" s="736"/>
      <c r="U294" s="736"/>
      <c r="V294" s="736"/>
      <c r="W294" s="736"/>
      <c r="X294" s="736"/>
      <c r="Y294" s="736"/>
      <c r="Z294" s="736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37">
        <v>4680115880818</v>
      </c>
      <c r="E295" s="73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39"/>
      <c r="R295" s="739"/>
      <c r="S295" s="739"/>
      <c r="T295" s="74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37">
        <v>4680115880801</v>
      </c>
      <c r="E296" s="73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9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39"/>
      <c r="R296" s="739"/>
      <c r="S296" s="739"/>
      <c r="T296" s="74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45"/>
      <c r="B297" s="745"/>
      <c r="C297" s="745"/>
      <c r="D297" s="745"/>
      <c r="E297" s="745"/>
      <c r="F297" s="745"/>
      <c r="G297" s="745"/>
      <c r="H297" s="745"/>
      <c r="I297" s="745"/>
      <c r="J297" s="745"/>
      <c r="K297" s="745"/>
      <c r="L297" s="745"/>
      <c r="M297" s="745"/>
      <c r="N297" s="745"/>
      <c r="O297" s="746"/>
      <c r="P297" s="742" t="s">
        <v>40</v>
      </c>
      <c r="Q297" s="743"/>
      <c r="R297" s="743"/>
      <c r="S297" s="743"/>
      <c r="T297" s="743"/>
      <c r="U297" s="743"/>
      <c r="V297" s="7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45"/>
      <c r="B298" s="745"/>
      <c r="C298" s="745"/>
      <c r="D298" s="745"/>
      <c r="E298" s="745"/>
      <c r="F298" s="745"/>
      <c r="G298" s="745"/>
      <c r="H298" s="745"/>
      <c r="I298" s="745"/>
      <c r="J298" s="745"/>
      <c r="K298" s="745"/>
      <c r="L298" s="745"/>
      <c r="M298" s="745"/>
      <c r="N298" s="745"/>
      <c r="O298" s="746"/>
      <c r="P298" s="742" t="s">
        <v>40</v>
      </c>
      <c r="Q298" s="743"/>
      <c r="R298" s="743"/>
      <c r="S298" s="743"/>
      <c r="T298" s="743"/>
      <c r="U298" s="743"/>
      <c r="V298" s="7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35" t="s">
        <v>508</v>
      </c>
      <c r="B299" s="735"/>
      <c r="C299" s="735"/>
      <c r="D299" s="735"/>
      <c r="E299" s="735"/>
      <c r="F299" s="735"/>
      <c r="G299" s="735"/>
      <c r="H299" s="735"/>
      <c r="I299" s="735"/>
      <c r="J299" s="735"/>
      <c r="K299" s="735"/>
      <c r="L299" s="735"/>
      <c r="M299" s="735"/>
      <c r="N299" s="735"/>
      <c r="O299" s="735"/>
      <c r="P299" s="735"/>
      <c r="Q299" s="735"/>
      <c r="R299" s="735"/>
      <c r="S299" s="735"/>
      <c r="T299" s="735"/>
      <c r="U299" s="735"/>
      <c r="V299" s="735"/>
      <c r="W299" s="735"/>
      <c r="X299" s="735"/>
      <c r="Y299" s="735"/>
      <c r="Z299" s="735"/>
      <c r="AA299" s="65"/>
      <c r="AB299" s="65"/>
      <c r="AC299" s="79"/>
    </row>
    <row r="300" spans="1:68" ht="14.25" hidden="1" customHeight="1" x14ac:dyDescent="0.25">
      <c r="A300" s="736" t="s">
        <v>122</v>
      </c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6"/>
      <c r="P300" s="736"/>
      <c r="Q300" s="736"/>
      <c r="R300" s="736"/>
      <c r="S300" s="736"/>
      <c r="T300" s="736"/>
      <c r="U300" s="736"/>
      <c r="V300" s="736"/>
      <c r="W300" s="736"/>
      <c r="X300" s="736"/>
      <c r="Y300" s="736"/>
      <c r="Z300" s="736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37">
        <v>4680115884137</v>
      </c>
      <c r="E301" s="73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9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39"/>
      <c r="R301" s="739"/>
      <c r="S301" s="739"/>
      <c r="T301" s="74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37">
        <v>4680115884236</v>
      </c>
      <c r="E302" s="73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9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39"/>
      <c r="R302" s="739"/>
      <c r="S302" s="739"/>
      <c r="T302" s="74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37">
        <v>4680115884175</v>
      </c>
      <c r="E303" s="73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90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39"/>
      <c r="R303" s="739"/>
      <c r="S303" s="739"/>
      <c r="T303" s="74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37">
        <v>4680115884144</v>
      </c>
      <c r="E304" s="73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90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39"/>
      <c r="R304" s="739"/>
      <c r="S304" s="739"/>
      <c r="T304" s="74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37">
        <v>4680115886551</v>
      </c>
      <c r="E305" s="73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9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39"/>
      <c r="R305" s="739"/>
      <c r="S305" s="739"/>
      <c r="T305" s="74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37">
        <v>4680115887282</v>
      </c>
      <c r="E306" s="73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90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39"/>
      <c r="R306" s="739"/>
      <c r="S306" s="739"/>
      <c r="T306" s="74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37">
        <v>4680115884205</v>
      </c>
      <c r="E307" s="73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39"/>
      <c r="R307" s="739"/>
      <c r="S307" s="739"/>
      <c r="T307" s="74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45"/>
      <c r="B308" s="745"/>
      <c r="C308" s="745"/>
      <c r="D308" s="745"/>
      <c r="E308" s="745"/>
      <c r="F308" s="745"/>
      <c r="G308" s="745"/>
      <c r="H308" s="745"/>
      <c r="I308" s="745"/>
      <c r="J308" s="745"/>
      <c r="K308" s="745"/>
      <c r="L308" s="745"/>
      <c r="M308" s="745"/>
      <c r="N308" s="745"/>
      <c r="O308" s="746"/>
      <c r="P308" s="742" t="s">
        <v>40</v>
      </c>
      <c r="Q308" s="743"/>
      <c r="R308" s="743"/>
      <c r="S308" s="743"/>
      <c r="T308" s="743"/>
      <c r="U308" s="743"/>
      <c r="V308" s="7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45"/>
      <c r="B309" s="745"/>
      <c r="C309" s="745"/>
      <c r="D309" s="745"/>
      <c r="E309" s="745"/>
      <c r="F309" s="745"/>
      <c r="G309" s="745"/>
      <c r="H309" s="745"/>
      <c r="I309" s="745"/>
      <c r="J309" s="745"/>
      <c r="K309" s="745"/>
      <c r="L309" s="745"/>
      <c r="M309" s="745"/>
      <c r="N309" s="745"/>
      <c r="O309" s="746"/>
      <c r="P309" s="742" t="s">
        <v>40</v>
      </c>
      <c r="Q309" s="743"/>
      <c r="R309" s="743"/>
      <c r="S309" s="743"/>
      <c r="T309" s="743"/>
      <c r="U309" s="743"/>
      <c r="V309" s="7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36" t="s">
        <v>157</v>
      </c>
      <c r="B310" s="736"/>
      <c r="C310" s="736"/>
      <c r="D310" s="736"/>
      <c r="E310" s="736"/>
      <c r="F310" s="736"/>
      <c r="G310" s="736"/>
      <c r="H310" s="736"/>
      <c r="I310" s="736"/>
      <c r="J310" s="736"/>
      <c r="K310" s="736"/>
      <c r="L310" s="736"/>
      <c r="M310" s="736"/>
      <c r="N310" s="736"/>
      <c r="O310" s="736"/>
      <c r="P310" s="736"/>
      <c r="Q310" s="736"/>
      <c r="R310" s="736"/>
      <c r="S310" s="736"/>
      <c r="T310" s="736"/>
      <c r="U310" s="736"/>
      <c r="V310" s="736"/>
      <c r="W310" s="736"/>
      <c r="X310" s="736"/>
      <c r="Y310" s="736"/>
      <c r="Z310" s="736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37">
        <v>4680115885981</v>
      </c>
      <c r="E311" s="73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9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39"/>
      <c r="R311" s="739"/>
      <c r="S311" s="739"/>
      <c r="T311" s="74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45"/>
      <c r="B312" s="745"/>
      <c r="C312" s="745"/>
      <c r="D312" s="745"/>
      <c r="E312" s="745"/>
      <c r="F312" s="745"/>
      <c r="G312" s="745"/>
      <c r="H312" s="745"/>
      <c r="I312" s="745"/>
      <c r="J312" s="745"/>
      <c r="K312" s="745"/>
      <c r="L312" s="745"/>
      <c r="M312" s="745"/>
      <c r="N312" s="745"/>
      <c r="O312" s="746"/>
      <c r="P312" s="742" t="s">
        <v>40</v>
      </c>
      <c r="Q312" s="743"/>
      <c r="R312" s="743"/>
      <c r="S312" s="743"/>
      <c r="T312" s="743"/>
      <c r="U312" s="743"/>
      <c r="V312" s="7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45"/>
      <c r="B313" s="745"/>
      <c r="C313" s="745"/>
      <c r="D313" s="745"/>
      <c r="E313" s="745"/>
      <c r="F313" s="745"/>
      <c r="G313" s="745"/>
      <c r="H313" s="745"/>
      <c r="I313" s="745"/>
      <c r="J313" s="745"/>
      <c r="K313" s="745"/>
      <c r="L313" s="745"/>
      <c r="M313" s="745"/>
      <c r="N313" s="745"/>
      <c r="O313" s="746"/>
      <c r="P313" s="742" t="s">
        <v>40</v>
      </c>
      <c r="Q313" s="743"/>
      <c r="R313" s="743"/>
      <c r="S313" s="743"/>
      <c r="T313" s="743"/>
      <c r="U313" s="743"/>
      <c r="V313" s="7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36" t="s">
        <v>530</v>
      </c>
      <c r="B314" s="736"/>
      <c r="C314" s="736"/>
      <c r="D314" s="736"/>
      <c r="E314" s="736"/>
      <c r="F314" s="736"/>
      <c r="G314" s="736"/>
      <c r="H314" s="736"/>
      <c r="I314" s="736"/>
      <c r="J314" s="736"/>
      <c r="K314" s="736"/>
      <c r="L314" s="736"/>
      <c r="M314" s="736"/>
      <c r="N314" s="736"/>
      <c r="O314" s="736"/>
      <c r="P314" s="736"/>
      <c r="Q314" s="736"/>
      <c r="R314" s="736"/>
      <c r="S314" s="736"/>
      <c r="T314" s="736"/>
      <c r="U314" s="736"/>
      <c r="V314" s="736"/>
      <c r="W314" s="736"/>
      <c r="X314" s="736"/>
      <c r="Y314" s="736"/>
      <c r="Z314" s="736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37">
        <v>4680115886803</v>
      </c>
      <c r="E315" s="73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9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39"/>
      <c r="R315" s="739"/>
      <c r="S315" s="739"/>
      <c r="T315" s="74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45"/>
      <c r="B316" s="745"/>
      <c r="C316" s="745"/>
      <c r="D316" s="745"/>
      <c r="E316" s="745"/>
      <c r="F316" s="745"/>
      <c r="G316" s="745"/>
      <c r="H316" s="745"/>
      <c r="I316" s="745"/>
      <c r="J316" s="745"/>
      <c r="K316" s="745"/>
      <c r="L316" s="745"/>
      <c r="M316" s="745"/>
      <c r="N316" s="745"/>
      <c r="O316" s="746"/>
      <c r="P316" s="742" t="s">
        <v>40</v>
      </c>
      <c r="Q316" s="743"/>
      <c r="R316" s="743"/>
      <c r="S316" s="743"/>
      <c r="T316" s="743"/>
      <c r="U316" s="743"/>
      <c r="V316" s="7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45"/>
      <c r="B317" s="745"/>
      <c r="C317" s="745"/>
      <c r="D317" s="745"/>
      <c r="E317" s="745"/>
      <c r="F317" s="745"/>
      <c r="G317" s="745"/>
      <c r="H317" s="745"/>
      <c r="I317" s="745"/>
      <c r="J317" s="745"/>
      <c r="K317" s="745"/>
      <c r="L317" s="745"/>
      <c r="M317" s="745"/>
      <c r="N317" s="745"/>
      <c r="O317" s="746"/>
      <c r="P317" s="742" t="s">
        <v>40</v>
      </c>
      <c r="Q317" s="743"/>
      <c r="R317" s="743"/>
      <c r="S317" s="743"/>
      <c r="T317" s="743"/>
      <c r="U317" s="743"/>
      <c r="V317" s="7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36" t="s">
        <v>340</v>
      </c>
      <c r="B318" s="736"/>
      <c r="C318" s="736"/>
      <c r="D318" s="736"/>
      <c r="E318" s="736"/>
      <c r="F318" s="736"/>
      <c r="G318" s="736"/>
      <c r="H318" s="736"/>
      <c r="I318" s="736"/>
      <c r="J318" s="736"/>
      <c r="K318" s="736"/>
      <c r="L318" s="736"/>
      <c r="M318" s="736"/>
      <c r="N318" s="736"/>
      <c r="O318" s="736"/>
      <c r="P318" s="736"/>
      <c r="Q318" s="736"/>
      <c r="R318" s="736"/>
      <c r="S318" s="736"/>
      <c r="T318" s="736"/>
      <c r="U318" s="736"/>
      <c r="V318" s="736"/>
      <c r="W318" s="736"/>
      <c r="X318" s="736"/>
      <c r="Y318" s="736"/>
      <c r="Z318" s="736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37">
        <v>4680115886704</v>
      </c>
      <c r="E319" s="73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9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39"/>
      <c r="R319" s="739"/>
      <c r="S319" s="739"/>
      <c r="T319" s="74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37">
        <v>4680115886681</v>
      </c>
      <c r="E320" s="73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91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39"/>
      <c r="R320" s="739"/>
      <c r="S320" s="739"/>
      <c r="T320" s="74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37">
        <v>4680115886735</v>
      </c>
      <c r="E321" s="73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9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39"/>
      <c r="R321" s="739"/>
      <c r="S321" s="739"/>
      <c r="T321" s="74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45"/>
      <c r="B322" s="745"/>
      <c r="C322" s="745"/>
      <c r="D322" s="745"/>
      <c r="E322" s="745"/>
      <c r="F322" s="745"/>
      <c r="G322" s="745"/>
      <c r="H322" s="745"/>
      <c r="I322" s="745"/>
      <c r="J322" s="745"/>
      <c r="K322" s="745"/>
      <c r="L322" s="745"/>
      <c r="M322" s="745"/>
      <c r="N322" s="745"/>
      <c r="O322" s="746"/>
      <c r="P322" s="742" t="s">
        <v>40</v>
      </c>
      <c r="Q322" s="743"/>
      <c r="R322" s="743"/>
      <c r="S322" s="743"/>
      <c r="T322" s="743"/>
      <c r="U322" s="743"/>
      <c r="V322" s="7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45"/>
      <c r="B323" s="745"/>
      <c r="C323" s="745"/>
      <c r="D323" s="745"/>
      <c r="E323" s="745"/>
      <c r="F323" s="745"/>
      <c r="G323" s="745"/>
      <c r="H323" s="745"/>
      <c r="I323" s="745"/>
      <c r="J323" s="745"/>
      <c r="K323" s="745"/>
      <c r="L323" s="745"/>
      <c r="M323" s="745"/>
      <c r="N323" s="745"/>
      <c r="O323" s="746"/>
      <c r="P323" s="742" t="s">
        <v>40</v>
      </c>
      <c r="Q323" s="743"/>
      <c r="R323" s="743"/>
      <c r="S323" s="743"/>
      <c r="T323" s="743"/>
      <c r="U323" s="743"/>
      <c r="V323" s="7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35" t="s">
        <v>541</v>
      </c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5"/>
      <c r="P324" s="735"/>
      <c r="Q324" s="735"/>
      <c r="R324" s="735"/>
      <c r="S324" s="735"/>
      <c r="T324" s="735"/>
      <c r="U324" s="735"/>
      <c r="V324" s="735"/>
      <c r="W324" s="735"/>
      <c r="X324" s="735"/>
      <c r="Y324" s="735"/>
      <c r="Z324" s="735"/>
      <c r="AA324" s="65"/>
      <c r="AB324" s="65"/>
      <c r="AC324" s="79"/>
    </row>
    <row r="325" spans="1:68" ht="14.25" hidden="1" customHeight="1" x14ac:dyDescent="0.25">
      <c r="A325" s="736" t="s">
        <v>122</v>
      </c>
      <c r="B325" s="736"/>
      <c r="C325" s="736"/>
      <c r="D325" s="736"/>
      <c r="E325" s="736"/>
      <c r="F325" s="736"/>
      <c r="G325" s="736"/>
      <c r="H325" s="736"/>
      <c r="I325" s="736"/>
      <c r="J325" s="736"/>
      <c r="K325" s="736"/>
      <c r="L325" s="736"/>
      <c r="M325" s="736"/>
      <c r="N325" s="736"/>
      <c r="O325" s="736"/>
      <c r="P325" s="736"/>
      <c r="Q325" s="736"/>
      <c r="R325" s="736"/>
      <c r="S325" s="736"/>
      <c r="T325" s="736"/>
      <c r="U325" s="736"/>
      <c r="V325" s="736"/>
      <c r="W325" s="736"/>
      <c r="X325" s="736"/>
      <c r="Y325" s="736"/>
      <c r="Z325" s="736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37">
        <v>4680115885837</v>
      </c>
      <c r="E326" s="73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91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39"/>
      <c r="R326" s="739"/>
      <c r="S326" s="739"/>
      <c r="T326" s="74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37">
        <v>4680115887237</v>
      </c>
      <c r="E327" s="73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1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39"/>
      <c r="R327" s="739"/>
      <c r="S327" s="739"/>
      <c r="T327" s="74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37">
        <v>4680115885806</v>
      </c>
      <c r="E328" s="73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39"/>
      <c r="R328" s="739"/>
      <c r="S328" s="739"/>
      <c r="T328" s="74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37">
        <v>4680115885844</v>
      </c>
      <c r="E329" s="73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39"/>
      <c r="R329" s="739"/>
      <c r="S329" s="739"/>
      <c r="T329" s="74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37">
        <v>4680115885820</v>
      </c>
      <c r="E330" s="73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39"/>
      <c r="R330" s="739"/>
      <c r="S330" s="739"/>
      <c r="T330" s="74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45"/>
      <c r="B331" s="745"/>
      <c r="C331" s="745"/>
      <c r="D331" s="745"/>
      <c r="E331" s="745"/>
      <c r="F331" s="745"/>
      <c r="G331" s="745"/>
      <c r="H331" s="745"/>
      <c r="I331" s="745"/>
      <c r="J331" s="745"/>
      <c r="K331" s="745"/>
      <c r="L331" s="745"/>
      <c r="M331" s="745"/>
      <c r="N331" s="745"/>
      <c r="O331" s="746"/>
      <c r="P331" s="742" t="s">
        <v>40</v>
      </c>
      <c r="Q331" s="743"/>
      <c r="R331" s="743"/>
      <c r="S331" s="743"/>
      <c r="T331" s="743"/>
      <c r="U331" s="743"/>
      <c r="V331" s="7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45"/>
      <c r="B332" s="745"/>
      <c r="C332" s="745"/>
      <c r="D332" s="745"/>
      <c r="E332" s="745"/>
      <c r="F332" s="745"/>
      <c r="G332" s="745"/>
      <c r="H332" s="745"/>
      <c r="I332" s="745"/>
      <c r="J332" s="745"/>
      <c r="K332" s="745"/>
      <c r="L332" s="745"/>
      <c r="M332" s="745"/>
      <c r="N332" s="745"/>
      <c r="O332" s="746"/>
      <c r="P332" s="742" t="s">
        <v>40</v>
      </c>
      <c r="Q332" s="743"/>
      <c r="R332" s="743"/>
      <c r="S332" s="743"/>
      <c r="T332" s="743"/>
      <c r="U332" s="743"/>
      <c r="V332" s="7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35" t="s">
        <v>557</v>
      </c>
      <c r="B333" s="735"/>
      <c r="C333" s="735"/>
      <c r="D333" s="735"/>
      <c r="E333" s="735"/>
      <c r="F333" s="735"/>
      <c r="G333" s="735"/>
      <c r="H333" s="735"/>
      <c r="I333" s="735"/>
      <c r="J333" s="735"/>
      <c r="K333" s="735"/>
      <c r="L333" s="735"/>
      <c r="M333" s="735"/>
      <c r="N333" s="735"/>
      <c r="O333" s="735"/>
      <c r="P333" s="735"/>
      <c r="Q333" s="735"/>
      <c r="R333" s="735"/>
      <c r="S333" s="735"/>
      <c r="T333" s="735"/>
      <c r="U333" s="735"/>
      <c r="V333" s="735"/>
      <c r="W333" s="735"/>
      <c r="X333" s="735"/>
      <c r="Y333" s="735"/>
      <c r="Z333" s="735"/>
      <c r="AA333" s="65"/>
      <c r="AB333" s="65"/>
      <c r="AC333" s="79"/>
    </row>
    <row r="334" spans="1:68" ht="14.25" hidden="1" customHeight="1" x14ac:dyDescent="0.25">
      <c r="A334" s="736" t="s">
        <v>86</v>
      </c>
      <c r="B334" s="736"/>
      <c r="C334" s="736"/>
      <c r="D334" s="736"/>
      <c r="E334" s="736"/>
      <c r="F334" s="736"/>
      <c r="G334" s="736"/>
      <c r="H334" s="736"/>
      <c r="I334" s="736"/>
      <c r="J334" s="736"/>
      <c r="K334" s="736"/>
      <c r="L334" s="736"/>
      <c r="M334" s="736"/>
      <c r="N334" s="736"/>
      <c r="O334" s="736"/>
      <c r="P334" s="736"/>
      <c r="Q334" s="736"/>
      <c r="R334" s="736"/>
      <c r="S334" s="736"/>
      <c r="T334" s="736"/>
      <c r="U334" s="736"/>
      <c r="V334" s="736"/>
      <c r="W334" s="736"/>
      <c r="X334" s="736"/>
      <c r="Y334" s="736"/>
      <c r="Z334" s="736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37">
        <v>4680115886186</v>
      </c>
      <c r="E335" s="73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39"/>
      <c r="R335" s="739"/>
      <c r="S335" s="739"/>
      <c r="T335" s="74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37">
        <v>4680115881228</v>
      </c>
      <c r="E336" s="73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39"/>
      <c r="R336" s="739"/>
      <c r="S336" s="739"/>
      <c r="T336" s="74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37">
        <v>4680115881211</v>
      </c>
      <c r="E337" s="73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39"/>
      <c r="R337" s="739"/>
      <c r="S337" s="739"/>
      <c r="T337" s="74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5"/>
      <c r="B338" s="745"/>
      <c r="C338" s="745"/>
      <c r="D338" s="745"/>
      <c r="E338" s="745"/>
      <c r="F338" s="745"/>
      <c r="G338" s="745"/>
      <c r="H338" s="745"/>
      <c r="I338" s="745"/>
      <c r="J338" s="745"/>
      <c r="K338" s="745"/>
      <c r="L338" s="745"/>
      <c r="M338" s="745"/>
      <c r="N338" s="745"/>
      <c r="O338" s="746"/>
      <c r="P338" s="742" t="s">
        <v>40</v>
      </c>
      <c r="Q338" s="743"/>
      <c r="R338" s="743"/>
      <c r="S338" s="743"/>
      <c r="T338" s="743"/>
      <c r="U338" s="743"/>
      <c r="V338" s="7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5"/>
      <c r="B339" s="745"/>
      <c r="C339" s="745"/>
      <c r="D339" s="745"/>
      <c r="E339" s="745"/>
      <c r="F339" s="745"/>
      <c r="G339" s="745"/>
      <c r="H339" s="745"/>
      <c r="I339" s="745"/>
      <c r="J339" s="745"/>
      <c r="K339" s="745"/>
      <c r="L339" s="745"/>
      <c r="M339" s="745"/>
      <c r="N339" s="745"/>
      <c r="O339" s="746"/>
      <c r="P339" s="742" t="s">
        <v>40</v>
      </c>
      <c r="Q339" s="743"/>
      <c r="R339" s="743"/>
      <c r="S339" s="743"/>
      <c r="T339" s="743"/>
      <c r="U339" s="743"/>
      <c r="V339" s="7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5" t="s">
        <v>566</v>
      </c>
      <c r="B340" s="735"/>
      <c r="C340" s="735"/>
      <c r="D340" s="735"/>
      <c r="E340" s="735"/>
      <c r="F340" s="735"/>
      <c r="G340" s="735"/>
      <c r="H340" s="735"/>
      <c r="I340" s="735"/>
      <c r="J340" s="735"/>
      <c r="K340" s="735"/>
      <c r="L340" s="735"/>
      <c r="M340" s="735"/>
      <c r="N340" s="735"/>
      <c r="O340" s="735"/>
      <c r="P340" s="735"/>
      <c r="Q340" s="735"/>
      <c r="R340" s="735"/>
      <c r="S340" s="735"/>
      <c r="T340" s="735"/>
      <c r="U340" s="735"/>
      <c r="V340" s="735"/>
      <c r="W340" s="735"/>
      <c r="X340" s="735"/>
      <c r="Y340" s="735"/>
      <c r="Z340" s="735"/>
      <c r="AA340" s="65"/>
      <c r="AB340" s="65"/>
      <c r="AC340" s="79"/>
    </row>
    <row r="341" spans="1:68" ht="14.25" hidden="1" customHeight="1" x14ac:dyDescent="0.25">
      <c r="A341" s="736" t="s">
        <v>77</v>
      </c>
      <c r="B341" s="736"/>
      <c r="C341" s="736"/>
      <c r="D341" s="736"/>
      <c r="E341" s="736"/>
      <c r="F341" s="736"/>
      <c r="G341" s="736"/>
      <c r="H341" s="736"/>
      <c r="I341" s="736"/>
      <c r="J341" s="736"/>
      <c r="K341" s="736"/>
      <c r="L341" s="736"/>
      <c r="M341" s="736"/>
      <c r="N341" s="736"/>
      <c r="O341" s="736"/>
      <c r="P341" s="736"/>
      <c r="Q341" s="736"/>
      <c r="R341" s="736"/>
      <c r="S341" s="736"/>
      <c r="T341" s="736"/>
      <c r="U341" s="736"/>
      <c r="V341" s="736"/>
      <c r="W341" s="736"/>
      <c r="X341" s="736"/>
      <c r="Y341" s="736"/>
      <c r="Z341" s="736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37">
        <v>4680115888319</v>
      </c>
      <c r="E342" s="73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2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39"/>
      <c r="R342" s="739"/>
      <c r="S342" s="739"/>
      <c r="T342" s="74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37">
        <v>4680115884700</v>
      </c>
      <c r="E343" s="73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2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39"/>
      <c r="R343" s="739"/>
      <c r="S343" s="739"/>
      <c r="T343" s="74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37">
        <v>4680115880344</v>
      </c>
      <c r="E344" s="73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2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39"/>
      <c r="R344" s="739"/>
      <c r="S344" s="739"/>
      <c r="T344" s="74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37">
        <v>4680115886919</v>
      </c>
      <c r="E345" s="73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39"/>
      <c r="R345" s="739"/>
      <c r="S345" s="739"/>
      <c r="T345" s="74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37">
        <v>4680115883970</v>
      </c>
      <c r="E346" s="73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39"/>
      <c r="R346" s="739"/>
      <c r="S346" s="739"/>
      <c r="T346" s="74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45"/>
      <c r="B347" s="745"/>
      <c r="C347" s="745"/>
      <c r="D347" s="745"/>
      <c r="E347" s="745"/>
      <c r="F347" s="745"/>
      <c r="G347" s="745"/>
      <c r="H347" s="745"/>
      <c r="I347" s="745"/>
      <c r="J347" s="745"/>
      <c r="K347" s="745"/>
      <c r="L347" s="745"/>
      <c r="M347" s="745"/>
      <c r="N347" s="745"/>
      <c r="O347" s="746"/>
      <c r="P347" s="742" t="s">
        <v>40</v>
      </c>
      <c r="Q347" s="743"/>
      <c r="R347" s="743"/>
      <c r="S347" s="743"/>
      <c r="T347" s="743"/>
      <c r="U347" s="743"/>
      <c r="V347" s="7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45"/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6"/>
      <c r="P348" s="742" t="s">
        <v>40</v>
      </c>
      <c r="Q348" s="743"/>
      <c r="R348" s="743"/>
      <c r="S348" s="743"/>
      <c r="T348" s="743"/>
      <c r="U348" s="743"/>
      <c r="V348" s="7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36" t="s">
        <v>86</v>
      </c>
      <c r="B349" s="736"/>
      <c r="C349" s="736"/>
      <c r="D349" s="736"/>
      <c r="E349" s="736"/>
      <c r="F349" s="736"/>
      <c r="G349" s="736"/>
      <c r="H349" s="736"/>
      <c r="I349" s="736"/>
      <c r="J349" s="736"/>
      <c r="K349" s="736"/>
      <c r="L349" s="736"/>
      <c r="M349" s="736"/>
      <c r="N349" s="736"/>
      <c r="O349" s="736"/>
      <c r="P349" s="736"/>
      <c r="Q349" s="736"/>
      <c r="R349" s="736"/>
      <c r="S349" s="736"/>
      <c r="T349" s="736"/>
      <c r="U349" s="736"/>
      <c r="V349" s="736"/>
      <c r="W349" s="736"/>
      <c r="X349" s="736"/>
      <c r="Y349" s="736"/>
      <c r="Z349" s="736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37">
        <v>4680115884618</v>
      </c>
      <c r="E350" s="73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2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39"/>
      <c r="R350" s="739"/>
      <c r="S350" s="739"/>
      <c r="T350" s="74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37">
        <v>4680115887114</v>
      </c>
      <c r="E351" s="73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2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39"/>
      <c r="R351" s="739"/>
      <c r="S351" s="739"/>
      <c r="T351" s="74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45"/>
      <c r="B352" s="745"/>
      <c r="C352" s="745"/>
      <c r="D352" s="745"/>
      <c r="E352" s="745"/>
      <c r="F352" s="745"/>
      <c r="G352" s="745"/>
      <c r="H352" s="745"/>
      <c r="I352" s="745"/>
      <c r="J352" s="745"/>
      <c r="K352" s="745"/>
      <c r="L352" s="745"/>
      <c r="M352" s="745"/>
      <c r="N352" s="745"/>
      <c r="O352" s="746"/>
      <c r="P352" s="742" t="s">
        <v>40</v>
      </c>
      <c r="Q352" s="743"/>
      <c r="R352" s="743"/>
      <c r="S352" s="743"/>
      <c r="T352" s="743"/>
      <c r="U352" s="743"/>
      <c r="V352" s="7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45"/>
      <c r="B353" s="745"/>
      <c r="C353" s="745"/>
      <c r="D353" s="745"/>
      <c r="E353" s="745"/>
      <c r="F353" s="745"/>
      <c r="G353" s="745"/>
      <c r="H353" s="745"/>
      <c r="I353" s="745"/>
      <c r="J353" s="745"/>
      <c r="K353" s="745"/>
      <c r="L353" s="745"/>
      <c r="M353" s="745"/>
      <c r="N353" s="745"/>
      <c r="O353" s="746"/>
      <c r="P353" s="742" t="s">
        <v>40</v>
      </c>
      <c r="Q353" s="743"/>
      <c r="R353" s="743"/>
      <c r="S353" s="743"/>
      <c r="T353" s="743"/>
      <c r="U353" s="743"/>
      <c r="V353" s="7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35" t="s">
        <v>587</v>
      </c>
      <c r="B354" s="735"/>
      <c r="C354" s="735"/>
      <c r="D354" s="735"/>
      <c r="E354" s="735"/>
      <c r="F354" s="735"/>
      <c r="G354" s="735"/>
      <c r="H354" s="735"/>
      <c r="I354" s="735"/>
      <c r="J354" s="735"/>
      <c r="K354" s="735"/>
      <c r="L354" s="735"/>
      <c r="M354" s="735"/>
      <c r="N354" s="735"/>
      <c r="O354" s="735"/>
      <c r="P354" s="735"/>
      <c r="Q354" s="735"/>
      <c r="R354" s="735"/>
      <c r="S354" s="735"/>
      <c r="T354" s="735"/>
      <c r="U354" s="735"/>
      <c r="V354" s="735"/>
      <c r="W354" s="735"/>
      <c r="X354" s="735"/>
      <c r="Y354" s="735"/>
      <c r="Z354" s="735"/>
      <c r="AA354" s="65"/>
      <c r="AB354" s="65"/>
      <c r="AC354" s="79"/>
    </row>
    <row r="355" spans="1:68" ht="14.25" hidden="1" customHeight="1" x14ac:dyDescent="0.25">
      <c r="A355" s="736" t="s">
        <v>122</v>
      </c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6"/>
      <c r="P355" s="736"/>
      <c r="Q355" s="736"/>
      <c r="R355" s="736"/>
      <c r="S355" s="736"/>
      <c r="T355" s="736"/>
      <c r="U355" s="736"/>
      <c r="V355" s="736"/>
      <c r="W355" s="736"/>
      <c r="X355" s="736"/>
      <c r="Y355" s="736"/>
      <c r="Z355" s="736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37">
        <v>4680115887947</v>
      </c>
      <c r="E356" s="73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39"/>
      <c r="R356" s="739"/>
      <c r="S356" s="739"/>
      <c r="T356" s="74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37">
        <v>4680115887978</v>
      </c>
      <c r="E357" s="73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2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39"/>
      <c r="R357" s="739"/>
      <c r="S357" s="739"/>
      <c r="T357" s="74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37">
        <v>4680115887992</v>
      </c>
      <c r="E358" s="73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3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39"/>
      <c r="R358" s="739"/>
      <c r="S358" s="739"/>
      <c r="T358" s="74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5"/>
      <c r="B359" s="745"/>
      <c r="C359" s="745"/>
      <c r="D359" s="745"/>
      <c r="E359" s="745"/>
      <c r="F359" s="745"/>
      <c r="G359" s="745"/>
      <c r="H359" s="745"/>
      <c r="I359" s="745"/>
      <c r="J359" s="745"/>
      <c r="K359" s="745"/>
      <c r="L359" s="745"/>
      <c r="M359" s="745"/>
      <c r="N359" s="745"/>
      <c r="O359" s="746"/>
      <c r="P359" s="742" t="s">
        <v>40</v>
      </c>
      <c r="Q359" s="743"/>
      <c r="R359" s="743"/>
      <c r="S359" s="743"/>
      <c r="T359" s="743"/>
      <c r="U359" s="743"/>
      <c r="V359" s="7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45"/>
      <c r="B360" s="745"/>
      <c r="C360" s="745"/>
      <c r="D360" s="745"/>
      <c r="E360" s="745"/>
      <c r="F360" s="745"/>
      <c r="G360" s="745"/>
      <c r="H360" s="745"/>
      <c r="I360" s="745"/>
      <c r="J360" s="745"/>
      <c r="K360" s="745"/>
      <c r="L360" s="745"/>
      <c r="M360" s="745"/>
      <c r="N360" s="745"/>
      <c r="O360" s="746"/>
      <c r="P360" s="742" t="s">
        <v>40</v>
      </c>
      <c r="Q360" s="743"/>
      <c r="R360" s="743"/>
      <c r="S360" s="743"/>
      <c r="T360" s="743"/>
      <c r="U360" s="743"/>
      <c r="V360" s="7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5" t="s">
        <v>596</v>
      </c>
      <c r="B361" s="735"/>
      <c r="C361" s="735"/>
      <c r="D361" s="735"/>
      <c r="E361" s="735"/>
      <c r="F361" s="735"/>
      <c r="G361" s="735"/>
      <c r="H361" s="735"/>
      <c r="I361" s="735"/>
      <c r="J361" s="735"/>
      <c r="K361" s="735"/>
      <c r="L361" s="735"/>
      <c r="M361" s="735"/>
      <c r="N361" s="735"/>
      <c r="O361" s="735"/>
      <c r="P361" s="735"/>
      <c r="Q361" s="735"/>
      <c r="R361" s="735"/>
      <c r="S361" s="735"/>
      <c r="T361" s="735"/>
      <c r="U361" s="735"/>
      <c r="V361" s="735"/>
      <c r="W361" s="735"/>
      <c r="X361" s="735"/>
      <c r="Y361" s="735"/>
      <c r="Z361" s="735"/>
      <c r="AA361" s="65"/>
      <c r="AB361" s="65"/>
      <c r="AC361" s="79"/>
    </row>
    <row r="362" spans="1:68" ht="14.25" hidden="1" customHeight="1" x14ac:dyDescent="0.25">
      <c r="A362" s="736" t="s">
        <v>122</v>
      </c>
      <c r="B362" s="736"/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  <c r="M362" s="736"/>
      <c r="N362" s="736"/>
      <c r="O362" s="736"/>
      <c r="P362" s="736"/>
      <c r="Q362" s="736"/>
      <c r="R362" s="736"/>
      <c r="S362" s="736"/>
      <c r="T362" s="736"/>
      <c r="U362" s="736"/>
      <c r="V362" s="736"/>
      <c r="W362" s="736"/>
      <c r="X362" s="736"/>
      <c r="Y362" s="736"/>
      <c r="Z362" s="736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37">
        <v>4680115889293</v>
      </c>
      <c r="E363" s="73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3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39"/>
      <c r="R363" s="739"/>
      <c r="S363" s="739"/>
      <c r="T363" s="74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37">
        <v>4680115887190</v>
      </c>
      <c r="E364" s="73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3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39"/>
      <c r="R364" s="739"/>
      <c r="S364" s="739"/>
      <c r="T364" s="74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37">
        <v>4680115887138</v>
      </c>
      <c r="E365" s="73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3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39"/>
      <c r="R365" s="739"/>
      <c r="S365" s="739"/>
      <c r="T365" s="74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37">
        <v>4680115885554</v>
      </c>
      <c r="E366" s="73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39"/>
      <c r="R366" s="739"/>
      <c r="S366" s="739"/>
      <c r="T366" s="74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37">
        <v>4680115887220</v>
      </c>
      <c r="E367" s="73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3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39"/>
      <c r="R367" s="739"/>
      <c r="S367" s="739"/>
      <c r="T367" s="74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37">
        <v>4680115885608</v>
      </c>
      <c r="E368" s="737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39"/>
      <c r="R368" s="739"/>
      <c r="S368" s="739"/>
      <c r="T368" s="74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45"/>
      <c r="B369" s="745"/>
      <c r="C369" s="745"/>
      <c r="D369" s="745"/>
      <c r="E369" s="745"/>
      <c r="F369" s="745"/>
      <c r="G369" s="745"/>
      <c r="H369" s="745"/>
      <c r="I369" s="745"/>
      <c r="J369" s="745"/>
      <c r="K369" s="745"/>
      <c r="L369" s="745"/>
      <c r="M369" s="745"/>
      <c r="N369" s="745"/>
      <c r="O369" s="746"/>
      <c r="P369" s="742" t="s">
        <v>40</v>
      </c>
      <c r="Q369" s="743"/>
      <c r="R369" s="743"/>
      <c r="S369" s="743"/>
      <c r="T369" s="743"/>
      <c r="U369" s="743"/>
      <c r="V369" s="7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45"/>
      <c r="B370" s="745"/>
      <c r="C370" s="745"/>
      <c r="D370" s="745"/>
      <c r="E370" s="745"/>
      <c r="F370" s="745"/>
      <c r="G370" s="745"/>
      <c r="H370" s="745"/>
      <c r="I370" s="745"/>
      <c r="J370" s="745"/>
      <c r="K370" s="745"/>
      <c r="L370" s="745"/>
      <c r="M370" s="745"/>
      <c r="N370" s="745"/>
      <c r="O370" s="746"/>
      <c r="P370" s="742" t="s">
        <v>40</v>
      </c>
      <c r="Q370" s="743"/>
      <c r="R370" s="743"/>
      <c r="S370" s="743"/>
      <c r="T370" s="743"/>
      <c r="U370" s="743"/>
      <c r="V370" s="7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36" t="s">
        <v>77</v>
      </c>
      <c r="B371" s="736"/>
      <c r="C371" s="736"/>
      <c r="D371" s="736"/>
      <c r="E371" s="736"/>
      <c r="F371" s="736"/>
      <c r="G371" s="736"/>
      <c r="H371" s="736"/>
      <c r="I371" s="736"/>
      <c r="J371" s="736"/>
      <c r="K371" s="736"/>
      <c r="L371" s="736"/>
      <c r="M371" s="736"/>
      <c r="N371" s="736"/>
      <c r="O371" s="736"/>
      <c r="P371" s="736"/>
      <c r="Q371" s="736"/>
      <c r="R371" s="736"/>
      <c r="S371" s="736"/>
      <c r="T371" s="736"/>
      <c r="U371" s="736"/>
      <c r="V371" s="736"/>
      <c r="W371" s="736"/>
      <c r="X371" s="736"/>
      <c r="Y371" s="736"/>
      <c r="Z371" s="736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37">
        <v>4607091387193</v>
      </c>
      <c r="E372" s="73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39"/>
      <c r="R372" s="739"/>
      <c r="S372" s="739"/>
      <c r="T372" s="74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37">
        <v>4607091387230</v>
      </c>
      <c r="E373" s="737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39"/>
      <c r="R373" s="739"/>
      <c r="S373" s="739"/>
      <c r="T373" s="74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37">
        <v>4607091387292</v>
      </c>
      <c r="E374" s="737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39"/>
      <c r="R374" s="739"/>
      <c r="S374" s="739"/>
      <c r="T374" s="74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37">
        <v>4607091387285</v>
      </c>
      <c r="E375" s="737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39"/>
      <c r="R375" s="739"/>
      <c r="S375" s="739"/>
      <c r="T375" s="74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37">
        <v>4607091389845</v>
      </c>
      <c r="E376" s="737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39"/>
      <c r="R376" s="739"/>
      <c r="S376" s="739"/>
      <c r="T376" s="74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37">
        <v>4680115887442</v>
      </c>
      <c r="E377" s="737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39"/>
      <c r="R377" s="739"/>
      <c r="S377" s="739"/>
      <c r="T377" s="74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37">
        <v>4607091383836</v>
      </c>
      <c r="E378" s="737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39"/>
      <c r="R378" s="739"/>
      <c r="S378" s="739"/>
      <c r="T378" s="74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45"/>
      <c r="B379" s="745"/>
      <c r="C379" s="745"/>
      <c r="D379" s="745"/>
      <c r="E379" s="745"/>
      <c r="F379" s="745"/>
      <c r="G379" s="745"/>
      <c r="H379" s="745"/>
      <c r="I379" s="745"/>
      <c r="J379" s="745"/>
      <c r="K379" s="745"/>
      <c r="L379" s="745"/>
      <c r="M379" s="745"/>
      <c r="N379" s="745"/>
      <c r="O379" s="746"/>
      <c r="P379" s="742" t="s">
        <v>40</v>
      </c>
      <c r="Q379" s="743"/>
      <c r="R379" s="743"/>
      <c r="S379" s="743"/>
      <c r="T379" s="743"/>
      <c r="U379" s="743"/>
      <c r="V379" s="7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45"/>
      <c r="B380" s="745"/>
      <c r="C380" s="745"/>
      <c r="D380" s="745"/>
      <c r="E380" s="745"/>
      <c r="F380" s="745"/>
      <c r="G380" s="745"/>
      <c r="H380" s="745"/>
      <c r="I380" s="745"/>
      <c r="J380" s="745"/>
      <c r="K380" s="745"/>
      <c r="L380" s="745"/>
      <c r="M380" s="745"/>
      <c r="N380" s="745"/>
      <c r="O380" s="746"/>
      <c r="P380" s="742" t="s">
        <v>40</v>
      </c>
      <c r="Q380" s="743"/>
      <c r="R380" s="743"/>
      <c r="S380" s="743"/>
      <c r="T380" s="743"/>
      <c r="U380" s="743"/>
      <c r="V380" s="7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36" t="s">
        <v>86</v>
      </c>
      <c r="B381" s="736"/>
      <c r="C381" s="736"/>
      <c r="D381" s="736"/>
      <c r="E381" s="736"/>
      <c r="F381" s="736"/>
      <c r="G381" s="736"/>
      <c r="H381" s="736"/>
      <c r="I381" s="736"/>
      <c r="J381" s="736"/>
      <c r="K381" s="736"/>
      <c r="L381" s="736"/>
      <c r="M381" s="736"/>
      <c r="N381" s="736"/>
      <c r="O381" s="736"/>
      <c r="P381" s="736"/>
      <c r="Q381" s="736"/>
      <c r="R381" s="736"/>
      <c r="S381" s="736"/>
      <c r="T381" s="736"/>
      <c r="U381" s="736"/>
      <c r="V381" s="736"/>
      <c r="W381" s="736"/>
      <c r="X381" s="736"/>
      <c r="Y381" s="736"/>
      <c r="Z381" s="736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37">
        <v>4607091387766</v>
      </c>
      <c r="E382" s="737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39"/>
      <c r="R382" s="739"/>
      <c r="S382" s="739"/>
      <c r="T382" s="74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37">
        <v>4607091387957</v>
      </c>
      <c r="E383" s="737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39"/>
      <c r="R383" s="739"/>
      <c r="S383" s="739"/>
      <c r="T383" s="74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37">
        <v>4607091387964</v>
      </c>
      <c r="E384" s="737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39"/>
      <c r="R384" s="739"/>
      <c r="S384" s="739"/>
      <c r="T384" s="74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37">
        <v>4680115884588</v>
      </c>
      <c r="E385" s="737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39"/>
      <c r="R385" s="739"/>
      <c r="S385" s="739"/>
      <c r="T385" s="74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45"/>
      <c r="B386" s="745"/>
      <c r="C386" s="745"/>
      <c r="D386" s="745"/>
      <c r="E386" s="745"/>
      <c r="F386" s="745"/>
      <c r="G386" s="745"/>
      <c r="H386" s="745"/>
      <c r="I386" s="745"/>
      <c r="J386" s="745"/>
      <c r="K386" s="745"/>
      <c r="L386" s="745"/>
      <c r="M386" s="745"/>
      <c r="N386" s="745"/>
      <c r="O386" s="746"/>
      <c r="P386" s="742" t="s">
        <v>40</v>
      </c>
      <c r="Q386" s="743"/>
      <c r="R386" s="743"/>
      <c r="S386" s="743"/>
      <c r="T386" s="743"/>
      <c r="U386" s="743"/>
      <c r="V386" s="7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5"/>
      <c r="B387" s="745"/>
      <c r="C387" s="745"/>
      <c r="D387" s="745"/>
      <c r="E387" s="745"/>
      <c r="F387" s="745"/>
      <c r="G387" s="745"/>
      <c r="H387" s="745"/>
      <c r="I387" s="745"/>
      <c r="J387" s="745"/>
      <c r="K387" s="745"/>
      <c r="L387" s="745"/>
      <c r="M387" s="745"/>
      <c r="N387" s="745"/>
      <c r="O387" s="746"/>
      <c r="P387" s="742" t="s">
        <v>40</v>
      </c>
      <c r="Q387" s="743"/>
      <c r="R387" s="743"/>
      <c r="S387" s="743"/>
      <c r="T387" s="743"/>
      <c r="U387" s="743"/>
      <c r="V387" s="7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6" t="s">
        <v>175</v>
      </c>
      <c r="B388" s="736"/>
      <c r="C388" s="736"/>
      <c r="D388" s="736"/>
      <c r="E388" s="736"/>
      <c r="F388" s="736"/>
      <c r="G388" s="736"/>
      <c r="H388" s="736"/>
      <c r="I388" s="736"/>
      <c r="J388" s="736"/>
      <c r="K388" s="736"/>
      <c r="L388" s="736"/>
      <c r="M388" s="736"/>
      <c r="N388" s="736"/>
      <c r="O388" s="736"/>
      <c r="P388" s="736"/>
      <c r="Q388" s="736"/>
      <c r="R388" s="736"/>
      <c r="S388" s="736"/>
      <c r="T388" s="736"/>
      <c r="U388" s="736"/>
      <c r="V388" s="736"/>
      <c r="W388" s="736"/>
      <c r="X388" s="736"/>
      <c r="Y388" s="736"/>
      <c r="Z388" s="736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37">
        <v>4607091380880</v>
      </c>
      <c r="E389" s="73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39"/>
      <c r="R389" s="739"/>
      <c r="S389" s="739"/>
      <c r="T389" s="74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37">
        <v>4607091384482</v>
      </c>
      <c r="E390" s="737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39"/>
      <c r="R390" s="739"/>
      <c r="S390" s="739"/>
      <c r="T390" s="740"/>
      <c r="U390" s="39" t="s">
        <v>46</v>
      </c>
      <c r="V390" s="39" t="s">
        <v>46</v>
      </c>
      <c r="W390" s="40" t="s">
        <v>0</v>
      </c>
      <c r="X390" s="58">
        <v>187.2</v>
      </c>
      <c r="Y390" s="55">
        <f>IFERROR(IF(X390="",0,CEILING((X390/$H390),1)*$H390),"")</f>
        <v>187.2</v>
      </c>
      <c r="Z390" s="41">
        <f>IFERROR(IF(Y390=0,"",ROUNDUP(Y390/H390,0)*0.01898),"")</f>
        <v>0.45552000000000004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199.05600000000001</v>
      </c>
      <c r="BN390" s="78">
        <f>IFERROR(Y390*I390/H390,"0")</f>
        <v>199.05600000000001</v>
      </c>
      <c r="BO390" s="78">
        <f>IFERROR(1/J390*(X390/H390),"0")</f>
        <v>0.375</v>
      </c>
      <c r="BP390" s="78">
        <f>IFERROR(1/J390*(Y390/H390),"0")</f>
        <v>0.375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37">
        <v>4607091380897</v>
      </c>
      <c r="E391" s="737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5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39"/>
      <c r="R391" s="739"/>
      <c r="S391" s="739"/>
      <c r="T391" s="740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45"/>
      <c r="B392" s="745"/>
      <c r="C392" s="745"/>
      <c r="D392" s="745"/>
      <c r="E392" s="745"/>
      <c r="F392" s="745"/>
      <c r="G392" s="745"/>
      <c r="H392" s="745"/>
      <c r="I392" s="745"/>
      <c r="J392" s="745"/>
      <c r="K392" s="745"/>
      <c r="L392" s="745"/>
      <c r="M392" s="745"/>
      <c r="N392" s="745"/>
      <c r="O392" s="746"/>
      <c r="P392" s="742" t="s">
        <v>40</v>
      </c>
      <c r="Q392" s="743"/>
      <c r="R392" s="743"/>
      <c r="S392" s="743"/>
      <c r="T392" s="743"/>
      <c r="U392" s="743"/>
      <c r="V392" s="744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745"/>
      <c r="B393" s="745"/>
      <c r="C393" s="745"/>
      <c r="D393" s="745"/>
      <c r="E393" s="745"/>
      <c r="F393" s="745"/>
      <c r="G393" s="745"/>
      <c r="H393" s="745"/>
      <c r="I393" s="745"/>
      <c r="J393" s="745"/>
      <c r="K393" s="745"/>
      <c r="L393" s="745"/>
      <c r="M393" s="745"/>
      <c r="N393" s="745"/>
      <c r="O393" s="746"/>
      <c r="P393" s="742" t="s">
        <v>40</v>
      </c>
      <c r="Q393" s="743"/>
      <c r="R393" s="743"/>
      <c r="S393" s="743"/>
      <c r="T393" s="743"/>
      <c r="U393" s="743"/>
      <c r="V393" s="744"/>
      <c r="W393" s="42" t="s">
        <v>0</v>
      </c>
      <c r="X393" s="43">
        <f>IFERROR(SUM(X389:X391),"0")</f>
        <v>187.2</v>
      </c>
      <c r="Y393" s="43">
        <f>IFERROR(SUM(Y389:Y391),"0")</f>
        <v>187.2</v>
      </c>
      <c r="Z393" s="42"/>
      <c r="AA393" s="67"/>
      <c r="AB393" s="67"/>
      <c r="AC393" s="67"/>
    </row>
    <row r="394" spans="1:68" ht="14.25" hidden="1" customHeight="1" x14ac:dyDescent="0.25">
      <c r="A394" s="736" t="s">
        <v>275</v>
      </c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6"/>
      <c r="P394" s="736"/>
      <c r="Q394" s="736"/>
      <c r="R394" s="736"/>
      <c r="S394" s="736"/>
      <c r="T394" s="736"/>
      <c r="U394" s="736"/>
      <c r="V394" s="736"/>
      <c r="W394" s="736"/>
      <c r="X394" s="736"/>
      <c r="Y394" s="736"/>
      <c r="Z394" s="736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37">
        <v>4607091388381</v>
      </c>
      <c r="E395" s="737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39"/>
      <c r="R395" s="739"/>
      <c r="S395" s="739"/>
      <c r="T395" s="74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37">
        <v>4607091388374</v>
      </c>
      <c r="E396" s="737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39"/>
      <c r="R396" s="739"/>
      <c r="S396" s="739"/>
      <c r="T396" s="74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37">
        <v>4607091383102</v>
      </c>
      <c r="E397" s="737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39"/>
      <c r="R397" s="739"/>
      <c r="S397" s="739"/>
      <c r="T397" s="74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37">
        <v>4607091388404</v>
      </c>
      <c r="E398" s="737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5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39"/>
      <c r="R398" s="739"/>
      <c r="S398" s="739"/>
      <c r="T398" s="74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5"/>
      <c r="B399" s="745"/>
      <c r="C399" s="745"/>
      <c r="D399" s="745"/>
      <c r="E399" s="745"/>
      <c r="F399" s="745"/>
      <c r="G399" s="745"/>
      <c r="H399" s="745"/>
      <c r="I399" s="745"/>
      <c r="J399" s="745"/>
      <c r="K399" s="745"/>
      <c r="L399" s="745"/>
      <c r="M399" s="745"/>
      <c r="N399" s="745"/>
      <c r="O399" s="746"/>
      <c r="P399" s="742" t="s">
        <v>40</v>
      </c>
      <c r="Q399" s="743"/>
      <c r="R399" s="743"/>
      <c r="S399" s="743"/>
      <c r="T399" s="743"/>
      <c r="U399" s="743"/>
      <c r="V399" s="7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5"/>
      <c r="B400" s="745"/>
      <c r="C400" s="745"/>
      <c r="D400" s="745"/>
      <c r="E400" s="745"/>
      <c r="F400" s="745"/>
      <c r="G400" s="745"/>
      <c r="H400" s="745"/>
      <c r="I400" s="745"/>
      <c r="J400" s="745"/>
      <c r="K400" s="745"/>
      <c r="L400" s="745"/>
      <c r="M400" s="745"/>
      <c r="N400" s="745"/>
      <c r="O400" s="746"/>
      <c r="P400" s="742" t="s">
        <v>40</v>
      </c>
      <c r="Q400" s="743"/>
      <c r="R400" s="743"/>
      <c r="S400" s="743"/>
      <c r="T400" s="743"/>
      <c r="U400" s="743"/>
      <c r="V400" s="7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6" t="s">
        <v>662</v>
      </c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  <c r="S401" s="736"/>
      <c r="T401" s="736"/>
      <c r="U401" s="736"/>
      <c r="V401" s="736"/>
      <c r="W401" s="736"/>
      <c r="X401" s="736"/>
      <c r="Y401" s="736"/>
      <c r="Z401" s="736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37">
        <v>4680115881808</v>
      </c>
      <c r="E402" s="73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39"/>
      <c r="R402" s="739"/>
      <c r="S402" s="739"/>
      <c r="T402" s="74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37">
        <v>4680115881822</v>
      </c>
      <c r="E403" s="73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39"/>
      <c r="R403" s="739"/>
      <c r="S403" s="739"/>
      <c r="T403" s="74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37">
        <v>4680115880016</v>
      </c>
      <c r="E404" s="737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39"/>
      <c r="R404" s="739"/>
      <c r="S404" s="739"/>
      <c r="T404" s="740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45"/>
      <c r="B405" s="745"/>
      <c r="C405" s="745"/>
      <c r="D405" s="745"/>
      <c r="E405" s="745"/>
      <c r="F405" s="745"/>
      <c r="G405" s="745"/>
      <c r="H405" s="745"/>
      <c r="I405" s="745"/>
      <c r="J405" s="745"/>
      <c r="K405" s="745"/>
      <c r="L405" s="745"/>
      <c r="M405" s="745"/>
      <c r="N405" s="745"/>
      <c r="O405" s="746"/>
      <c r="P405" s="742" t="s">
        <v>40</v>
      </c>
      <c r="Q405" s="743"/>
      <c r="R405" s="743"/>
      <c r="S405" s="743"/>
      <c r="T405" s="743"/>
      <c r="U405" s="743"/>
      <c r="V405" s="7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45"/>
      <c r="B406" s="745"/>
      <c r="C406" s="745"/>
      <c r="D406" s="745"/>
      <c r="E406" s="745"/>
      <c r="F406" s="745"/>
      <c r="G406" s="745"/>
      <c r="H406" s="745"/>
      <c r="I406" s="745"/>
      <c r="J406" s="745"/>
      <c r="K406" s="745"/>
      <c r="L406" s="745"/>
      <c r="M406" s="745"/>
      <c r="N406" s="745"/>
      <c r="O406" s="746"/>
      <c r="P406" s="742" t="s">
        <v>40</v>
      </c>
      <c r="Q406" s="743"/>
      <c r="R406" s="743"/>
      <c r="S406" s="743"/>
      <c r="T406" s="743"/>
      <c r="U406" s="743"/>
      <c r="V406" s="7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36" t="s">
        <v>671</v>
      </c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6"/>
      <c r="P407" s="736"/>
      <c r="Q407" s="736"/>
      <c r="R407" s="736"/>
      <c r="S407" s="736"/>
      <c r="T407" s="736"/>
      <c r="U407" s="736"/>
      <c r="V407" s="736"/>
      <c r="W407" s="736"/>
      <c r="X407" s="736"/>
      <c r="Y407" s="736"/>
      <c r="Z407" s="736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37">
        <v>4680115888678</v>
      </c>
      <c r="E408" s="73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5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39"/>
      <c r="R408" s="739"/>
      <c r="S408" s="739"/>
      <c r="T408" s="74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37">
        <v>4680115888654</v>
      </c>
      <c r="E409" s="737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5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39"/>
      <c r="R409" s="739"/>
      <c r="S409" s="739"/>
      <c r="T409" s="74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37">
        <v>4680115888753</v>
      </c>
      <c r="E410" s="737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6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39"/>
      <c r="R410" s="739"/>
      <c r="S410" s="739"/>
      <c r="T410" s="740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45"/>
      <c r="B411" s="745"/>
      <c r="C411" s="745"/>
      <c r="D411" s="745"/>
      <c r="E411" s="745"/>
      <c r="F411" s="745"/>
      <c r="G411" s="745"/>
      <c r="H411" s="745"/>
      <c r="I411" s="745"/>
      <c r="J411" s="745"/>
      <c r="K411" s="745"/>
      <c r="L411" s="745"/>
      <c r="M411" s="745"/>
      <c r="N411" s="745"/>
      <c r="O411" s="746"/>
      <c r="P411" s="742" t="s">
        <v>40</v>
      </c>
      <c r="Q411" s="743"/>
      <c r="R411" s="743"/>
      <c r="S411" s="743"/>
      <c r="T411" s="743"/>
      <c r="U411" s="743"/>
      <c r="V411" s="7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45"/>
      <c r="B412" s="745"/>
      <c r="C412" s="745"/>
      <c r="D412" s="745"/>
      <c r="E412" s="745"/>
      <c r="F412" s="745"/>
      <c r="G412" s="745"/>
      <c r="H412" s="745"/>
      <c r="I412" s="745"/>
      <c r="J412" s="745"/>
      <c r="K412" s="745"/>
      <c r="L412" s="745"/>
      <c r="M412" s="745"/>
      <c r="N412" s="745"/>
      <c r="O412" s="746"/>
      <c r="P412" s="742" t="s">
        <v>40</v>
      </c>
      <c r="Q412" s="743"/>
      <c r="R412" s="743"/>
      <c r="S412" s="743"/>
      <c r="T412" s="743"/>
      <c r="U412" s="743"/>
      <c r="V412" s="7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35" t="s">
        <v>680</v>
      </c>
      <c r="B413" s="735"/>
      <c r="C413" s="735"/>
      <c r="D413" s="735"/>
      <c r="E413" s="735"/>
      <c r="F413" s="735"/>
      <c r="G413" s="735"/>
      <c r="H413" s="735"/>
      <c r="I413" s="735"/>
      <c r="J413" s="735"/>
      <c r="K413" s="735"/>
      <c r="L413" s="735"/>
      <c r="M413" s="735"/>
      <c r="N413" s="735"/>
      <c r="O413" s="735"/>
      <c r="P413" s="735"/>
      <c r="Q413" s="735"/>
      <c r="R413" s="735"/>
      <c r="S413" s="735"/>
      <c r="T413" s="735"/>
      <c r="U413" s="735"/>
      <c r="V413" s="735"/>
      <c r="W413" s="735"/>
      <c r="X413" s="735"/>
      <c r="Y413" s="735"/>
      <c r="Z413" s="735"/>
      <c r="AA413" s="65"/>
      <c r="AB413" s="65"/>
      <c r="AC413" s="79"/>
    </row>
    <row r="414" spans="1:68" ht="14.25" hidden="1" customHeight="1" x14ac:dyDescent="0.25">
      <c r="A414" s="736" t="s">
        <v>86</v>
      </c>
      <c r="B414" s="736"/>
      <c r="C414" s="736"/>
      <c r="D414" s="736"/>
      <c r="E414" s="736"/>
      <c r="F414" s="736"/>
      <c r="G414" s="736"/>
      <c r="H414" s="736"/>
      <c r="I414" s="736"/>
      <c r="J414" s="736"/>
      <c r="K414" s="736"/>
      <c r="L414" s="736"/>
      <c r="M414" s="736"/>
      <c r="N414" s="736"/>
      <c r="O414" s="736"/>
      <c r="P414" s="736"/>
      <c r="Q414" s="736"/>
      <c r="R414" s="736"/>
      <c r="S414" s="736"/>
      <c r="T414" s="736"/>
      <c r="U414" s="736"/>
      <c r="V414" s="736"/>
      <c r="W414" s="736"/>
      <c r="X414" s="736"/>
      <c r="Y414" s="736"/>
      <c r="Z414" s="736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37">
        <v>4680115889415</v>
      </c>
      <c r="E415" s="737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6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39"/>
      <c r="R415" s="739"/>
      <c r="S415" s="739"/>
      <c r="T415" s="74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37">
        <v>4680115889422</v>
      </c>
      <c r="E416" s="737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6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39"/>
      <c r="R416" s="739"/>
      <c r="S416" s="739"/>
      <c r="T416" s="74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45"/>
      <c r="B417" s="745"/>
      <c r="C417" s="745"/>
      <c r="D417" s="745"/>
      <c r="E417" s="745"/>
      <c r="F417" s="745"/>
      <c r="G417" s="745"/>
      <c r="H417" s="745"/>
      <c r="I417" s="745"/>
      <c r="J417" s="745"/>
      <c r="K417" s="745"/>
      <c r="L417" s="745"/>
      <c r="M417" s="745"/>
      <c r="N417" s="745"/>
      <c r="O417" s="746"/>
      <c r="P417" s="742" t="s">
        <v>40</v>
      </c>
      <c r="Q417" s="743"/>
      <c r="R417" s="743"/>
      <c r="S417" s="743"/>
      <c r="T417" s="743"/>
      <c r="U417" s="743"/>
      <c r="V417" s="744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45"/>
      <c r="B418" s="745"/>
      <c r="C418" s="745"/>
      <c r="D418" s="745"/>
      <c r="E418" s="745"/>
      <c r="F418" s="745"/>
      <c r="G418" s="745"/>
      <c r="H418" s="745"/>
      <c r="I418" s="745"/>
      <c r="J418" s="745"/>
      <c r="K418" s="745"/>
      <c r="L418" s="745"/>
      <c r="M418" s="745"/>
      <c r="N418" s="745"/>
      <c r="O418" s="746"/>
      <c r="P418" s="742" t="s">
        <v>40</v>
      </c>
      <c r="Q418" s="743"/>
      <c r="R418" s="743"/>
      <c r="S418" s="743"/>
      <c r="T418" s="743"/>
      <c r="U418" s="743"/>
      <c r="V418" s="744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35" t="s">
        <v>687</v>
      </c>
      <c r="B419" s="735"/>
      <c r="C419" s="735"/>
      <c r="D419" s="735"/>
      <c r="E419" s="735"/>
      <c r="F419" s="735"/>
      <c r="G419" s="735"/>
      <c r="H419" s="735"/>
      <c r="I419" s="735"/>
      <c r="J419" s="735"/>
      <c r="K419" s="735"/>
      <c r="L419" s="735"/>
      <c r="M419" s="735"/>
      <c r="N419" s="735"/>
      <c r="O419" s="735"/>
      <c r="P419" s="735"/>
      <c r="Q419" s="735"/>
      <c r="R419" s="735"/>
      <c r="S419" s="735"/>
      <c r="T419" s="735"/>
      <c r="U419" s="735"/>
      <c r="V419" s="735"/>
      <c r="W419" s="735"/>
      <c r="X419" s="735"/>
      <c r="Y419" s="735"/>
      <c r="Z419" s="735"/>
      <c r="AA419" s="65"/>
      <c r="AB419" s="65"/>
      <c r="AC419" s="79"/>
    </row>
    <row r="420" spans="1:68" ht="14.25" hidden="1" customHeight="1" x14ac:dyDescent="0.25">
      <c r="A420" s="736" t="s">
        <v>86</v>
      </c>
      <c r="B420" s="736"/>
      <c r="C420" s="736"/>
      <c r="D420" s="736"/>
      <c r="E420" s="736"/>
      <c r="F420" s="736"/>
      <c r="G420" s="736"/>
      <c r="H420" s="736"/>
      <c r="I420" s="736"/>
      <c r="J420" s="736"/>
      <c r="K420" s="736"/>
      <c r="L420" s="736"/>
      <c r="M420" s="736"/>
      <c r="N420" s="736"/>
      <c r="O420" s="736"/>
      <c r="P420" s="736"/>
      <c r="Q420" s="736"/>
      <c r="R420" s="736"/>
      <c r="S420" s="736"/>
      <c r="T420" s="736"/>
      <c r="U420" s="736"/>
      <c r="V420" s="736"/>
      <c r="W420" s="736"/>
      <c r="X420" s="736"/>
      <c r="Y420" s="736"/>
      <c r="Z420" s="736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37">
        <v>4607091387919</v>
      </c>
      <c r="E421" s="737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39"/>
      <c r="R421" s="739"/>
      <c r="S421" s="739"/>
      <c r="T421" s="74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37">
        <v>4680115883604</v>
      </c>
      <c r="E422" s="737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39"/>
      <c r="R422" s="739"/>
      <c r="S422" s="739"/>
      <c r="T422" s="740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37">
        <v>4680115883567</v>
      </c>
      <c r="E423" s="737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39"/>
      <c r="R423" s="739"/>
      <c r="S423" s="739"/>
      <c r="T423" s="740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5"/>
      <c r="B424" s="745"/>
      <c r="C424" s="745"/>
      <c r="D424" s="745"/>
      <c r="E424" s="745"/>
      <c r="F424" s="745"/>
      <c r="G424" s="745"/>
      <c r="H424" s="745"/>
      <c r="I424" s="745"/>
      <c r="J424" s="745"/>
      <c r="K424" s="745"/>
      <c r="L424" s="745"/>
      <c r="M424" s="745"/>
      <c r="N424" s="745"/>
      <c r="O424" s="746"/>
      <c r="P424" s="742" t="s">
        <v>40</v>
      </c>
      <c r="Q424" s="743"/>
      <c r="R424" s="743"/>
      <c r="S424" s="743"/>
      <c r="T424" s="743"/>
      <c r="U424" s="743"/>
      <c r="V424" s="744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45"/>
      <c r="B425" s="745"/>
      <c r="C425" s="745"/>
      <c r="D425" s="745"/>
      <c r="E425" s="745"/>
      <c r="F425" s="745"/>
      <c r="G425" s="745"/>
      <c r="H425" s="745"/>
      <c r="I425" s="745"/>
      <c r="J425" s="745"/>
      <c r="K425" s="745"/>
      <c r="L425" s="745"/>
      <c r="M425" s="745"/>
      <c r="N425" s="745"/>
      <c r="O425" s="746"/>
      <c r="P425" s="742" t="s">
        <v>40</v>
      </c>
      <c r="Q425" s="743"/>
      <c r="R425" s="743"/>
      <c r="S425" s="743"/>
      <c r="T425" s="743"/>
      <c r="U425" s="743"/>
      <c r="V425" s="744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34" t="s">
        <v>697</v>
      </c>
      <c r="B426" s="734"/>
      <c r="C426" s="734"/>
      <c r="D426" s="734"/>
      <c r="E426" s="734"/>
      <c r="F426" s="734"/>
      <c r="G426" s="734"/>
      <c r="H426" s="734"/>
      <c r="I426" s="734"/>
      <c r="J426" s="734"/>
      <c r="K426" s="734"/>
      <c r="L426" s="734"/>
      <c r="M426" s="734"/>
      <c r="N426" s="734"/>
      <c r="O426" s="734"/>
      <c r="P426" s="734"/>
      <c r="Q426" s="734"/>
      <c r="R426" s="734"/>
      <c r="S426" s="734"/>
      <c r="T426" s="734"/>
      <c r="U426" s="734"/>
      <c r="V426" s="734"/>
      <c r="W426" s="734"/>
      <c r="X426" s="734"/>
      <c r="Y426" s="734"/>
      <c r="Z426" s="734"/>
      <c r="AA426" s="54"/>
      <c r="AB426" s="54"/>
      <c r="AC426" s="54"/>
    </row>
    <row r="427" spans="1:68" ht="16.5" hidden="1" customHeight="1" x14ac:dyDescent="0.25">
      <c r="A427" s="735" t="s">
        <v>698</v>
      </c>
      <c r="B427" s="735"/>
      <c r="C427" s="735"/>
      <c r="D427" s="735"/>
      <c r="E427" s="735"/>
      <c r="F427" s="735"/>
      <c r="G427" s="735"/>
      <c r="H427" s="735"/>
      <c r="I427" s="735"/>
      <c r="J427" s="735"/>
      <c r="K427" s="735"/>
      <c r="L427" s="735"/>
      <c r="M427" s="735"/>
      <c r="N427" s="735"/>
      <c r="O427" s="735"/>
      <c r="P427" s="735"/>
      <c r="Q427" s="735"/>
      <c r="R427" s="735"/>
      <c r="S427" s="735"/>
      <c r="T427" s="735"/>
      <c r="U427" s="735"/>
      <c r="V427" s="735"/>
      <c r="W427" s="735"/>
      <c r="X427" s="735"/>
      <c r="Y427" s="735"/>
      <c r="Z427" s="735"/>
      <c r="AA427" s="65"/>
      <c r="AB427" s="65"/>
      <c r="AC427" s="79"/>
    </row>
    <row r="428" spans="1:68" ht="14.25" hidden="1" customHeight="1" x14ac:dyDescent="0.25">
      <c r="A428" s="736" t="s">
        <v>122</v>
      </c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  <c r="S428" s="736"/>
      <c r="T428" s="736"/>
      <c r="U428" s="736"/>
      <c r="V428" s="736"/>
      <c r="W428" s="736"/>
      <c r="X428" s="736"/>
      <c r="Y428" s="736"/>
      <c r="Z428" s="736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37">
        <v>4680115888401</v>
      </c>
      <c r="E429" s="73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6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39"/>
      <c r="R429" s="739"/>
      <c r="S429" s="739"/>
      <c r="T429" s="74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37">
        <v>4680115884847</v>
      </c>
      <c r="E430" s="73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39"/>
      <c r="R430" s="739"/>
      <c r="S430" s="739"/>
      <c r="T430" s="740"/>
      <c r="U430" s="39" t="s">
        <v>46</v>
      </c>
      <c r="V430" s="39" t="s">
        <v>46</v>
      </c>
      <c r="W430" s="40" t="s">
        <v>0</v>
      </c>
      <c r="X430" s="58">
        <v>120</v>
      </c>
      <c r="Y430" s="55">
        <f t="shared" si="68"/>
        <v>120</v>
      </c>
      <c r="Z430" s="41">
        <f>IFERROR(IF(Y430=0,"",ROUNDUP(Y430/H430,0)*0.02175),"")</f>
        <v>0.17399999999999999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123.76</v>
      </c>
      <c r="BN430" s="78">
        <f t="shared" si="70"/>
        <v>123.76</v>
      </c>
      <c r="BO430" s="78">
        <f t="shared" si="71"/>
        <v>0.16666666666666666</v>
      </c>
      <c r="BP430" s="78">
        <f t="shared" si="72"/>
        <v>0.16666666666666666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737">
        <v>4680115884854</v>
      </c>
      <c r="E431" s="73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39"/>
      <c r="R431" s="739"/>
      <c r="S431" s="739"/>
      <c r="T431" s="74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37">
        <v>4680115884830</v>
      </c>
      <c r="E432" s="73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39"/>
      <c r="R432" s="739"/>
      <c r="S432" s="739"/>
      <c r="T432" s="740"/>
      <c r="U432" s="39" t="s">
        <v>46</v>
      </c>
      <c r="V432" s="39" t="s">
        <v>46</v>
      </c>
      <c r="W432" s="40" t="s">
        <v>0</v>
      </c>
      <c r="X432" s="58">
        <v>120</v>
      </c>
      <c r="Y432" s="55">
        <f t="shared" si="68"/>
        <v>120</v>
      </c>
      <c r="Z432" s="41">
        <f>IFERROR(IF(Y432=0,"",ROUNDUP(Y432/H432,0)*0.02175),"")</f>
        <v>0.17399999999999999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123.76</v>
      </c>
      <c r="BN432" s="78">
        <f t="shared" si="70"/>
        <v>123.76</v>
      </c>
      <c r="BO432" s="78">
        <f t="shared" si="71"/>
        <v>0.16666666666666666</v>
      </c>
      <c r="BP432" s="78">
        <f t="shared" si="72"/>
        <v>0.16666666666666666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37">
        <v>4680115889231</v>
      </c>
      <c r="E433" s="73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7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39"/>
      <c r="R433" s="739"/>
      <c r="S433" s="739"/>
      <c r="T433" s="74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37">
        <v>4680115882638</v>
      </c>
      <c r="E434" s="737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39"/>
      <c r="R434" s="739"/>
      <c r="S434" s="739"/>
      <c r="T434" s="74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37">
        <v>4680115884922</v>
      </c>
      <c r="E435" s="737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39"/>
      <c r="R435" s="739"/>
      <c r="S435" s="739"/>
      <c r="T435" s="74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37">
        <v>4680115884861</v>
      </c>
      <c r="E436" s="737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39"/>
      <c r="R436" s="739"/>
      <c r="S436" s="739"/>
      <c r="T436" s="74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45"/>
      <c r="B437" s="745"/>
      <c r="C437" s="745"/>
      <c r="D437" s="745"/>
      <c r="E437" s="745"/>
      <c r="F437" s="745"/>
      <c r="G437" s="745"/>
      <c r="H437" s="745"/>
      <c r="I437" s="745"/>
      <c r="J437" s="745"/>
      <c r="K437" s="745"/>
      <c r="L437" s="745"/>
      <c r="M437" s="745"/>
      <c r="N437" s="745"/>
      <c r="O437" s="746"/>
      <c r="P437" s="742" t="s">
        <v>40</v>
      </c>
      <c r="Q437" s="743"/>
      <c r="R437" s="743"/>
      <c r="S437" s="743"/>
      <c r="T437" s="743"/>
      <c r="U437" s="743"/>
      <c r="V437" s="744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16</v>
      </c>
      <c r="Y437" s="43">
        <f>IFERROR(Y429/H429,"0")+IFERROR(Y430/H430,"0")+IFERROR(Y431/H431,"0")+IFERROR(Y432/H432,"0")+IFERROR(Y433/H433,"0")+IFERROR(Y434/H434,"0")+IFERROR(Y435/H435,"0")+IFERROR(Y436/H436,"0")</f>
        <v>16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0.34799999999999998</v>
      </c>
      <c r="AA437" s="67"/>
      <c r="AB437" s="67"/>
      <c r="AC437" s="67"/>
    </row>
    <row r="438" spans="1:68" x14ac:dyDescent="0.2">
      <c r="A438" s="745"/>
      <c r="B438" s="745"/>
      <c r="C438" s="745"/>
      <c r="D438" s="745"/>
      <c r="E438" s="745"/>
      <c r="F438" s="745"/>
      <c r="G438" s="745"/>
      <c r="H438" s="745"/>
      <c r="I438" s="745"/>
      <c r="J438" s="745"/>
      <c r="K438" s="745"/>
      <c r="L438" s="745"/>
      <c r="M438" s="745"/>
      <c r="N438" s="745"/>
      <c r="O438" s="746"/>
      <c r="P438" s="742" t="s">
        <v>40</v>
      </c>
      <c r="Q438" s="743"/>
      <c r="R438" s="743"/>
      <c r="S438" s="743"/>
      <c r="T438" s="743"/>
      <c r="U438" s="743"/>
      <c r="V438" s="744"/>
      <c r="W438" s="42" t="s">
        <v>0</v>
      </c>
      <c r="X438" s="43">
        <f>IFERROR(SUM(X429:X436),"0")</f>
        <v>240</v>
      </c>
      <c r="Y438" s="43">
        <f>IFERROR(SUM(Y429:Y436),"0")</f>
        <v>240</v>
      </c>
      <c r="Z438" s="42"/>
      <c r="AA438" s="67"/>
      <c r="AB438" s="67"/>
      <c r="AC438" s="67"/>
    </row>
    <row r="439" spans="1:68" ht="14.25" hidden="1" customHeight="1" x14ac:dyDescent="0.25">
      <c r="A439" s="736" t="s">
        <v>157</v>
      </c>
      <c r="B439" s="736"/>
      <c r="C439" s="736"/>
      <c r="D439" s="736"/>
      <c r="E439" s="736"/>
      <c r="F439" s="736"/>
      <c r="G439" s="736"/>
      <c r="H439" s="736"/>
      <c r="I439" s="736"/>
      <c r="J439" s="736"/>
      <c r="K439" s="736"/>
      <c r="L439" s="736"/>
      <c r="M439" s="736"/>
      <c r="N439" s="736"/>
      <c r="O439" s="736"/>
      <c r="P439" s="736"/>
      <c r="Q439" s="736"/>
      <c r="R439" s="736"/>
      <c r="S439" s="736"/>
      <c r="T439" s="736"/>
      <c r="U439" s="736"/>
      <c r="V439" s="736"/>
      <c r="W439" s="736"/>
      <c r="X439" s="736"/>
      <c r="Y439" s="736"/>
      <c r="Z439" s="736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37">
        <v>4607091383980</v>
      </c>
      <c r="E440" s="737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39"/>
      <c r="R440" s="739"/>
      <c r="S440" s="739"/>
      <c r="T440" s="740"/>
      <c r="U440" s="39" t="s">
        <v>46</v>
      </c>
      <c r="V440" s="39" t="s">
        <v>46</v>
      </c>
      <c r="W440" s="40" t="s">
        <v>0</v>
      </c>
      <c r="X440" s="58">
        <v>120</v>
      </c>
      <c r="Y440" s="55">
        <f>IFERROR(IF(X440="",0,CEILING((X440/$H440),1)*$H440),"")</f>
        <v>120</v>
      </c>
      <c r="Z440" s="41">
        <f>IFERROR(IF(Y440=0,"",ROUNDUP(Y440/H440,0)*0.02175),"")</f>
        <v>0.17399999999999999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123.76</v>
      </c>
      <c r="BN440" s="78">
        <f>IFERROR(Y440*I440/H440,"0")</f>
        <v>123.76</v>
      </c>
      <c r="BO440" s="78">
        <f>IFERROR(1/J440*(X440/H440),"0")</f>
        <v>0.16666666666666666</v>
      </c>
      <c r="BP440" s="78">
        <f>IFERROR(1/J440*(Y440/H440),"0")</f>
        <v>0.16666666666666666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37">
        <v>4680115888425</v>
      </c>
      <c r="E441" s="737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7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39"/>
      <c r="R441" s="739"/>
      <c r="S441" s="739"/>
      <c r="T441" s="74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37">
        <v>4607091384178</v>
      </c>
      <c r="E442" s="737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39"/>
      <c r="R442" s="739"/>
      <c r="S442" s="739"/>
      <c r="T442" s="74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45"/>
      <c r="B443" s="745"/>
      <c r="C443" s="745"/>
      <c r="D443" s="745"/>
      <c r="E443" s="745"/>
      <c r="F443" s="745"/>
      <c r="G443" s="745"/>
      <c r="H443" s="745"/>
      <c r="I443" s="745"/>
      <c r="J443" s="745"/>
      <c r="K443" s="745"/>
      <c r="L443" s="745"/>
      <c r="M443" s="745"/>
      <c r="N443" s="745"/>
      <c r="O443" s="746"/>
      <c r="P443" s="742" t="s">
        <v>40</v>
      </c>
      <c r="Q443" s="743"/>
      <c r="R443" s="743"/>
      <c r="S443" s="743"/>
      <c r="T443" s="743"/>
      <c r="U443" s="743"/>
      <c r="V443" s="744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0.17399999999999999</v>
      </c>
      <c r="AA443" s="67"/>
      <c r="AB443" s="67"/>
      <c r="AC443" s="67"/>
    </row>
    <row r="444" spans="1:68" x14ac:dyDescent="0.2">
      <c r="A444" s="745"/>
      <c r="B444" s="745"/>
      <c r="C444" s="745"/>
      <c r="D444" s="745"/>
      <c r="E444" s="745"/>
      <c r="F444" s="745"/>
      <c r="G444" s="745"/>
      <c r="H444" s="745"/>
      <c r="I444" s="745"/>
      <c r="J444" s="745"/>
      <c r="K444" s="745"/>
      <c r="L444" s="745"/>
      <c r="M444" s="745"/>
      <c r="N444" s="745"/>
      <c r="O444" s="746"/>
      <c r="P444" s="742" t="s">
        <v>40</v>
      </c>
      <c r="Q444" s="743"/>
      <c r="R444" s="743"/>
      <c r="S444" s="743"/>
      <c r="T444" s="743"/>
      <c r="U444" s="743"/>
      <c r="V444" s="744"/>
      <c r="W444" s="42" t="s">
        <v>0</v>
      </c>
      <c r="X444" s="43">
        <f>IFERROR(SUM(X440:X442),"0")</f>
        <v>120</v>
      </c>
      <c r="Y444" s="43">
        <f>IFERROR(SUM(Y440:Y442),"0")</f>
        <v>120</v>
      </c>
      <c r="Z444" s="42"/>
      <c r="AA444" s="67"/>
      <c r="AB444" s="67"/>
      <c r="AC444" s="67"/>
    </row>
    <row r="445" spans="1:68" ht="14.25" hidden="1" customHeight="1" x14ac:dyDescent="0.25">
      <c r="A445" s="736" t="s">
        <v>86</v>
      </c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6"/>
      <c r="P445" s="736"/>
      <c r="Q445" s="736"/>
      <c r="R445" s="736"/>
      <c r="S445" s="736"/>
      <c r="T445" s="736"/>
      <c r="U445" s="736"/>
      <c r="V445" s="736"/>
      <c r="W445" s="736"/>
      <c r="X445" s="736"/>
      <c r="Y445" s="736"/>
      <c r="Z445" s="736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37">
        <v>4607091383928</v>
      </c>
      <c r="E446" s="737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39"/>
      <c r="R446" s="739"/>
      <c r="S446" s="739"/>
      <c r="T446" s="74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37">
        <v>4607091384260</v>
      </c>
      <c r="E447" s="737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39"/>
      <c r="R447" s="739"/>
      <c r="S447" s="739"/>
      <c r="T447" s="74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37">
        <v>4680115889538</v>
      </c>
      <c r="E448" s="737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7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39"/>
      <c r="R448" s="739"/>
      <c r="S448" s="739"/>
      <c r="T448" s="740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45"/>
      <c r="B449" s="745"/>
      <c r="C449" s="745"/>
      <c r="D449" s="745"/>
      <c r="E449" s="745"/>
      <c r="F449" s="745"/>
      <c r="G449" s="745"/>
      <c r="H449" s="745"/>
      <c r="I449" s="745"/>
      <c r="J449" s="745"/>
      <c r="K449" s="745"/>
      <c r="L449" s="745"/>
      <c r="M449" s="745"/>
      <c r="N449" s="745"/>
      <c r="O449" s="746"/>
      <c r="P449" s="742" t="s">
        <v>40</v>
      </c>
      <c r="Q449" s="743"/>
      <c r="R449" s="743"/>
      <c r="S449" s="743"/>
      <c r="T449" s="743"/>
      <c r="U449" s="743"/>
      <c r="V449" s="744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45"/>
      <c r="B450" s="745"/>
      <c r="C450" s="745"/>
      <c r="D450" s="745"/>
      <c r="E450" s="745"/>
      <c r="F450" s="745"/>
      <c r="G450" s="745"/>
      <c r="H450" s="745"/>
      <c r="I450" s="745"/>
      <c r="J450" s="745"/>
      <c r="K450" s="745"/>
      <c r="L450" s="745"/>
      <c r="M450" s="745"/>
      <c r="N450" s="745"/>
      <c r="O450" s="746"/>
      <c r="P450" s="742" t="s">
        <v>40</v>
      </c>
      <c r="Q450" s="743"/>
      <c r="R450" s="743"/>
      <c r="S450" s="743"/>
      <c r="T450" s="743"/>
      <c r="U450" s="743"/>
      <c r="V450" s="744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36" t="s">
        <v>175</v>
      </c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6"/>
      <c r="P451" s="736"/>
      <c r="Q451" s="736"/>
      <c r="R451" s="736"/>
      <c r="S451" s="736"/>
      <c r="T451" s="736"/>
      <c r="U451" s="736"/>
      <c r="V451" s="736"/>
      <c r="W451" s="736"/>
      <c r="X451" s="736"/>
      <c r="Y451" s="736"/>
      <c r="Z451" s="736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37">
        <v>4680115889545</v>
      </c>
      <c r="E452" s="737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8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39"/>
      <c r="R452" s="739"/>
      <c r="S452" s="739"/>
      <c r="T452" s="74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37">
        <v>4607091384673</v>
      </c>
      <c r="E453" s="737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39"/>
      <c r="R453" s="739"/>
      <c r="S453" s="739"/>
      <c r="T453" s="74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45"/>
      <c r="B454" s="745"/>
      <c r="C454" s="745"/>
      <c r="D454" s="745"/>
      <c r="E454" s="745"/>
      <c r="F454" s="745"/>
      <c r="G454" s="745"/>
      <c r="H454" s="745"/>
      <c r="I454" s="745"/>
      <c r="J454" s="745"/>
      <c r="K454" s="745"/>
      <c r="L454" s="745"/>
      <c r="M454" s="745"/>
      <c r="N454" s="745"/>
      <c r="O454" s="746"/>
      <c r="P454" s="742" t="s">
        <v>40</v>
      </c>
      <c r="Q454" s="743"/>
      <c r="R454" s="743"/>
      <c r="S454" s="743"/>
      <c r="T454" s="743"/>
      <c r="U454" s="743"/>
      <c r="V454" s="7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45"/>
      <c r="B455" s="745"/>
      <c r="C455" s="745"/>
      <c r="D455" s="745"/>
      <c r="E455" s="745"/>
      <c r="F455" s="745"/>
      <c r="G455" s="745"/>
      <c r="H455" s="745"/>
      <c r="I455" s="745"/>
      <c r="J455" s="745"/>
      <c r="K455" s="745"/>
      <c r="L455" s="745"/>
      <c r="M455" s="745"/>
      <c r="N455" s="745"/>
      <c r="O455" s="746"/>
      <c r="P455" s="742" t="s">
        <v>40</v>
      </c>
      <c r="Q455" s="743"/>
      <c r="R455" s="743"/>
      <c r="S455" s="743"/>
      <c r="T455" s="743"/>
      <c r="U455" s="743"/>
      <c r="V455" s="7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35" t="s">
        <v>747</v>
      </c>
      <c r="B456" s="735"/>
      <c r="C456" s="735"/>
      <c r="D456" s="735"/>
      <c r="E456" s="735"/>
      <c r="F456" s="735"/>
      <c r="G456" s="735"/>
      <c r="H456" s="735"/>
      <c r="I456" s="735"/>
      <c r="J456" s="735"/>
      <c r="K456" s="735"/>
      <c r="L456" s="735"/>
      <c r="M456" s="735"/>
      <c r="N456" s="735"/>
      <c r="O456" s="735"/>
      <c r="P456" s="735"/>
      <c r="Q456" s="735"/>
      <c r="R456" s="735"/>
      <c r="S456" s="735"/>
      <c r="T456" s="735"/>
      <c r="U456" s="735"/>
      <c r="V456" s="735"/>
      <c r="W456" s="735"/>
      <c r="X456" s="735"/>
      <c r="Y456" s="735"/>
      <c r="Z456" s="735"/>
      <c r="AA456" s="65"/>
      <c r="AB456" s="65"/>
      <c r="AC456" s="79"/>
    </row>
    <row r="457" spans="1:68" ht="14.25" hidden="1" customHeight="1" x14ac:dyDescent="0.25">
      <c r="A457" s="736" t="s">
        <v>122</v>
      </c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6"/>
      <c r="P457" s="736"/>
      <c r="Q457" s="736"/>
      <c r="R457" s="736"/>
      <c r="S457" s="736"/>
      <c r="T457" s="736"/>
      <c r="U457" s="736"/>
      <c r="V457" s="736"/>
      <c r="W457" s="736"/>
      <c r="X457" s="736"/>
      <c r="Y457" s="736"/>
      <c r="Z457" s="736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37">
        <v>4680115884885</v>
      </c>
      <c r="E458" s="737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8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39"/>
      <c r="R458" s="739"/>
      <c r="S458" s="739"/>
      <c r="T458" s="74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37">
        <v>4680115884908</v>
      </c>
      <c r="E459" s="737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39"/>
      <c r="R459" s="739"/>
      <c r="S459" s="739"/>
      <c r="T459" s="74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45"/>
      <c r="B460" s="745"/>
      <c r="C460" s="745"/>
      <c r="D460" s="745"/>
      <c r="E460" s="745"/>
      <c r="F460" s="745"/>
      <c r="G460" s="745"/>
      <c r="H460" s="745"/>
      <c r="I460" s="745"/>
      <c r="J460" s="745"/>
      <c r="K460" s="745"/>
      <c r="L460" s="745"/>
      <c r="M460" s="745"/>
      <c r="N460" s="745"/>
      <c r="O460" s="746"/>
      <c r="P460" s="742" t="s">
        <v>40</v>
      </c>
      <c r="Q460" s="743"/>
      <c r="R460" s="743"/>
      <c r="S460" s="743"/>
      <c r="T460" s="743"/>
      <c r="U460" s="743"/>
      <c r="V460" s="744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45"/>
      <c r="B461" s="745"/>
      <c r="C461" s="745"/>
      <c r="D461" s="745"/>
      <c r="E461" s="745"/>
      <c r="F461" s="745"/>
      <c r="G461" s="745"/>
      <c r="H461" s="745"/>
      <c r="I461" s="745"/>
      <c r="J461" s="745"/>
      <c r="K461" s="745"/>
      <c r="L461" s="745"/>
      <c r="M461" s="745"/>
      <c r="N461" s="745"/>
      <c r="O461" s="746"/>
      <c r="P461" s="742" t="s">
        <v>40</v>
      </c>
      <c r="Q461" s="743"/>
      <c r="R461" s="743"/>
      <c r="S461" s="743"/>
      <c r="T461" s="743"/>
      <c r="U461" s="743"/>
      <c r="V461" s="744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36" t="s">
        <v>77</v>
      </c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  <c r="S462" s="736"/>
      <c r="T462" s="736"/>
      <c r="U462" s="736"/>
      <c r="V462" s="736"/>
      <c r="W462" s="736"/>
      <c r="X462" s="736"/>
      <c r="Y462" s="736"/>
      <c r="Z462" s="736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37">
        <v>4607091384802</v>
      </c>
      <c r="E463" s="737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39"/>
      <c r="R463" s="739"/>
      <c r="S463" s="739"/>
      <c r="T463" s="74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45"/>
      <c r="B464" s="745"/>
      <c r="C464" s="745"/>
      <c r="D464" s="745"/>
      <c r="E464" s="745"/>
      <c r="F464" s="745"/>
      <c r="G464" s="745"/>
      <c r="H464" s="745"/>
      <c r="I464" s="745"/>
      <c r="J464" s="745"/>
      <c r="K464" s="745"/>
      <c r="L464" s="745"/>
      <c r="M464" s="745"/>
      <c r="N464" s="745"/>
      <c r="O464" s="746"/>
      <c r="P464" s="742" t="s">
        <v>40</v>
      </c>
      <c r="Q464" s="743"/>
      <c r="R464" s="743"/>
      <c r="S464" s="743"/>
      <c r="T464" s="743"/>
      <c r="U464" s="743"/>
      <c r="V464" s="744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45"/>
      <c r="B465" s="745"/>
      <c r="C465" s="745"/>
      <c r="D465" s="745"/>
      <c r="E465" s="745"/>
      <c r="F465" s="745"/>
      <c r="G465" s="745"/>
      <c r="H465" s="745"/>
      <c r="I465" s="745"/>
      <c r="J465" s="745"/>
      <c r="K465" s="745"/>
      <c r="L465" s="745"/>
      <c r="M465" s="745"/>
      <c r="N465" s="745"/>
      <c r="O465" s="746"/>
      <c r="P465" s="742" t="s">
        <v>40</v>
      </c>
      <c r="Q465" s="743"/>
      <c r="R465" s="743"/>
      <c r="S465" s="743"/>
      <c r="T465" s="743"/>
      <c r="U465" s="743"/>
      <c r="V465" s="744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36" t="s">
        <v>86</v>
      </c>
      <c r="B466" s="736"/>
      <c r="C466" s="736"/>
      <c r="D466" s="736"/>
      <c r="E466" s="736"/>
      <c r="F466" s="736"/>
      <c r="G466" s="736"/>
      <c r="H466" s="736"/>
      <c r="I466" s="736"/>
      <c r="J466" s="736"/>
      <c r="K466" s="736"/>
      <c r="L466" s="736"/>
      <c r="M466" s="736"/>
      <c r="N466" s="736"/>
      <c r="O466" s="736"/>
      <c r="P466" s="736"/>
      <c r="Q466" s="736"/>
      <c r="R466" s="736"/>
      <c r="S466" s="736"/>
      <c r="T466" s="736"/>
      <c r="U466" s="736"/>
      <c r="V466" s="736"/>
      <c r="W466" s="736"/>
      <c r="X466" s="736"/>
      <c r="Y466" s="736"/>
      <c r="Z466" s="736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37">
        <v>4607091384246</v>
      </c>
      <c r="E467" s="737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39"/>
      <c r="R467" s="739"/>
      <c r="S467" s="739"/>
      <c r="T467" s="74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759</v>
      </c>
      <c r="B468" s="63" t="s">
        <v>760</v>
      </c>
      <c r="C468" s="36">
        <v>4301051660</v>
      </c>
      <c r="D468" s="737">
        <v>4607091384253</v>
      </c>
      <c r="E468" s="737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39"/>
      <c r="R468" s="739"/>
      <c r="S468" s="739"/>
      <c r="T468" s="740"/>
      <c r="U468" s="39" t="s">
        <v>46</v>
      </c>
      <c r="V468" s="39" t="s">
        <v>46</v>
      </c>
      <c r="W468" s="40" t="s">
        <v>0</v>
      </c>
      <c r="X468" s="58">
        <v>33.6</v>
      </c>
      <c r="Y468" s="55">
        <f>IFERROR(IF(X468="",0,CEILING((X468/$H468),1)*$H468),"")</f>
        <v>33.6</v>
      </c>
      <c r="Z468" s="41">
        <f>IFERROR(IF(Y468=0,"",ROUNDUP(Y468/H468,0)*0.00651),"")</f>
        <v>9.1139999999999999E-2</v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37.296000000000006</v>
      </c>
      <c r="BN468" s="78">
        <f>IFERROR(Y468*I468/H468,"0")</f>
        <v>37.296000000000006</v>
      </c>
      <c r="BO468" s="78">
        <f>IFERROR(1/J468*(X468/H468),"0")</f>
        <v>7.6923076923076941E-2</v>
      </c>
      <c r="BP468" s="78">
        <f>IFERROR(1/J468*(Y468/H468),"0")</f>
        <v>7.6923076923076941E-2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37">
        <v>4607091384253</v>
      </c>
      <c r="E469" s="737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39"/>
      <c r="R469" s="739"/>
      <c r="S469" s="739"/>
      <c r="T469" s="74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45"/>
      <c r="B470" s="745"/>
      <c r="C470" s="745"/>
      <c r="D470" s="745"/>
      <c r="E470" s="745"/>
      <c r="F470" s="745"/>
      <c r="G470" s="745"/>
      <c r="H470" s="745"/>
      <c r="I470" s="745"/>
      <c r="J470" s="745"/>
      <c r="K470" s="745"/>
      <c r="L470" s="745"/>
      <c r="M470" s="745"/>
      <c r="N470" s="745"/>
      <c r="O470" s="746"/>
      <c r="P470" s="742" t="s">
        <v>40</v>
      </c>
      <c r="Q470" s="743"/>
      <c r="R470" s="743"/>
      <c r="S470" s="743"/>
      <c r="T470" s="743"/>
      <c r="U470" s="743"/>
      <c r="V470" s="744"/>
      <c r="W470" s="42" t="s">
        <v>39</v>
      </c>
      <c r="X470" s="43">
        <f>IFERROR(X467/H467,"0")+IFERROR(X468/H468,"0")+IFERROR(X469/H469,"0")</f>
        <v>14.000000000000002</v>
      </c>
      <c r="Y470" s="43">
        <f>IFERROR(Y467/H467,"0")+IFERROR(Y468/H468,"0")+IFERROR(Y469/H469,"0")</f>
        <v>14.000000000000002</v>
      </c>
      <c r="Z470" s="43">
        <f>IFERROR(IF(Z467="",0,Z467),"0")+IFERROR(IF(Z468="",0,Z468),"0")+IFERROR(IF(Z469="",0,Z469),"0")</f>
        <v>9.1139999999999999E-2</v>
      </c>
      <c r="AA470" s="67"/>
      <c r="AB470" s="67"/>
      <c r="AC470" s="67"/>
    </row>
    <row r="471" spans="1:68" x14ac:dyDescent="0.2">
      <c r="A471" s="745"/>
      <c r="B471" s="745"/>
      <c r="C471" s="745"/>
      <c r="D471" s="745"/>
      <c r="E471" s="745"/>
      <c r="F471" s="745"/>
      <c r="G471" s="745"/>
      <c r="H471" s="745"/>
      <c r="I471" s="745"/>
      <c r="J471" s="745"/>
      <c r="K471" s="745"/>
      <c r="L471" s="745"/>
      <c r="M471" s="745"/>
      <c r="N471" s="745"/>
      <c r="O471" s="746"/>
      <c r="P471" s="742" t="s">
        <v>40</v>
      </c>
      <c r="Q471" s="743"/>
      <c r="R471" s="743"/>
      <c r="S471" s="743"/>
      <c r="T471" s="743"/>
      <c r="U471" s="743"/>
      <c r="V471" s="744"/>
      <c r="W471" s="42" t="s">
        <v>0</v>
      </c>
      <c r="X471" s="43">
        <f>IFERROR(SUM(X467:X469),"0")</f>
        <v>33.6</v>
      </c>
      <c r="Y471" s="43">
        <f>IFERROR(SUM(Y467:Y469),"0")</f>
        <v>33.6</v>
      </c>
      <c r="Z471" s="42"/>
      <c r="AA471" s="67"/>
      <c r="AB471" s="67"/>
      <c r="AC471" s="67"/>
    </row>
    <row r="472" spans="1:68" ht="27.75" hidden="1" customHeight="1" x14ac:dyDescent="0.2">
      <c r="A472" s="734" t="s">
        <v>763</v>
      </c>
      <c r="B472" s="734"/>
      <c r="C472" s="734"/>
      <c r="D472" s="734"/>
      <c r="E472" s="734"/>
      <c r="F472" s="734"/>
      <c r="G472" s="734"/>
      <c r="H472" s="734"/>
      <c r="I472" s="734"/>
      <c r="J472" s="734"/>
      <c r="K472" s="734"/>
      <c r="L472" s="734"/>
      <c r="M472" s="734"/>
      <c r="N472" s="734"/>
      <c r="O472" s="734"/>
      <c r="P472" s="734"/>
      <c r="Q472" s="734"/>
      <c r="R472" s="734"/>
      <c r="S472" s="734"/>
      <c r="T472" s="734"/>
      <c r="U472" s="734"/>
      <c r="V472" s="734"/>
      <c r="W472" s="734"/>
      <c r="X472" s="734"/>
      <c r="Y472" s="734"/>
      <c r="Z472" s="734"/>
      <c r="AA472" s="54"/>
      <c r="AB472" s="54"/>
      <c r="AC472" s="54"/>
    </row>
    <row r="473" spans="1:68" ht="16.5" hidden="1" customHeight="1" x14ac:dyDescent="0.25">
      <c r="A473" s="735" t="s">
        <v>764</v>
      </c>
      <c r="B473" s="735"/>
      <c r="C473" s="735"/>
      <c r="D473" s="735"/>
      <c r="E473" s="735"/>
      <c r="F473" s="735"/>
      <c r="G473" s="735"/>
      <c r="H473" s="735"/>
      <c r="I473" s="735"/>
      <c r="J473" s="735"/>
      <c r="K473" s="735"/>
      <c r="L473" s="735"/>
      <c r="M473" s="735"/>
      <c r="N473" s="735"/>
      <c r="O473" s="735"/>
      <c r="P473" s="735"/>
      <c r="Q473" s="735"/>
      <c r="R473" s="735"/>
      <c r="S473" s="735"/>
      <c r="T473" s="735"/>
      <c r="U473" s="735"/>
      <c r="V473" s="735"/>
      <c r="W473" s="735"/>
      <c r="X473" s="735"/>
      <c r="Y473" s="735"/>
      <c r="Z473" s="735"/>
      <c r="AA473" s="65"/>
      <c r="AB473" s="65"/>
      <c r="AC473" s="79"/>
    </row>
    <row r="474" spans="1:68" ht="14.25" hidden="1" customHeight="1" x14ac:dyDescent="0.25">
      <c r="A474" s="736" t="s">
        <v>77</v>
      </c>
      <c r="B474" s="736"/>
      <c r="C474" s="736"/>
      <c r="D474" s="736"/>
      <c r="E474" s="736"/>
      <c r="F474" s="736"/>
      <c r="G474" s="736"/>
      <c r="H474" s="736"/>
      <c r="I474" s="736"/>
      <c r="J474" s="736"/>
      <c r="K474" s="736"/>
      <c r="L474" s="736"/>
      <c r="M474" s="736"/>
      <c r="N474" s="736"/>
      <c r="O474" s="736"/>
      <c r="P474" s="736"/>
      <c r="Q474" s="736"/>
      <c r="R474" s="736"/>
      <c r="S474" s="736"/>
      <c r="T474" s="736"/>
      <c r="U474" s="736"/>
      <c r="V474" s="736"/>
      <c r="W474" s="736"/>
      <c r="X474" s="736"/>
      <c r="Y474" s="736"/>
      <c r="Z474" s="736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37">
        <v>4680115886100</v>
      </c>
      <c r="E475" s="737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39"/>
      <c r="R475" s="739"/>
      <c r="S475" s="739"/>
      <c r="T475" s="74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37">
        <v>4680115886124</v>
      </c>
      <c r="E476" s="737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39"/>
      <c r="R476" s="739"/>
      <c r="S476" s="739"/>
      <c r="T476" s="74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37">
        <v>4607091384338</v>
      </c>
      <c r="E477" s="73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39"/>
      <c r="R477" s="739"/>
      <c r="S477" s="739"/>
      <c r="T477" s="74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37">
        <v>4680115883161</v>
      </c>
      <c r="E478" s="737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39"/>
      <c r="R478" s="739"/>
      <c r="S478" s="739"/>
      <c r="T478" s="74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37">
        <v>4607091389531</v>
      </c>
      <c r="E479" s="737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39"/>
      <c r="R479" s="739"/>
      <c r="S479" s="739"/>
      <c r="T479" s="74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37">
        <v>4607091384345</v>
      </c>
      <c r="E480" s="73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39"/>
      <c r="R480" s="739"/>
      <c r="S480" s="739"/>
      <c r="T480" s="74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45"/>
      <c r="B481" s="745"/>
      <c r="C481" s="745"/>
      <c r="D481" s="745"/>
      <c r="E481" s="745"/>
      <c r="F481" s="745"/>
      <c r="G481" s="745"/>
      <c r="H481" s="745"/>
      <c r="I481" s="745"/>
      <c r="J481" s="745"/>
      <c r="K481" s="745"/>
      <c r="L481" s="745"/>
      <c r="M481" s="745"/>
      <c r="N481" s="745"/>
      <c r="O481" s="746"/>
      <c r="P481" s="742" t="s">
        <v>40</v>
      </c>
      <c r="Q481" s="743"/>
      <c r="R481" s="743"/>
      <c r="S481" s="743"/>
      <c r="T481" s="743"/>
      <c r="U481" s="743"/>
      <c r="V481" s="744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45"/>
      <c r="B482" s="745"/>
      <c r="C482" s="745"/>
      <c r="D482" s="745"/>
      <c r="E482" s="745"/>
      <c r="F482" s="745"/>
      <c r="G482" s="745"/>
      <c r="H482" s="745"/>
      <c r="I482" s="745"/>
      <c r="J482" s="745"/>
      <c r="K482" s="745"/>
      <c r="L482" s="745"/>
      <c r="M482" s="745"/>
      <c r="N482" s="745"/>
      <c r="O482" s="746"/>
      <c r="P482" s="742" t="s">
        <v>40</v>
      </c>
      <c r="Q482" s="743"/>
      <c r="R482" s="743"/>
      <c r="S482" s="743"/>
      <c r="T482" s="743"/>
      <c r="U482" s="743"/>
      <c r="V482" s="744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36" t="s">
        <v>86</v>
      </c>
      <c r="B483" s="736"/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  <c r="O483" s="736"/>
      <c r="P483" s="736"/>
      <c r="Q483" s="736"/>
      <c r="R483" s="736"/>
      <c r="S483" s="736"/>
      <c r="T483" s="736"/>
      <c r="U483" s="736"/>
      <c r="V483" s="736"/>
      <c r="W483" s="736"/>
      <c r="X483" s="736"/>
      <c r="Y483" s="736"/>
      <c r="Z483" s="736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37">
        <v>4607091384352</v>
      </c>
      <c r="E484" s="737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39"/>
      <c r="R484" s="739"/>
      <c r="S484" s="739"/>
      <c r="T484" s="74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37">
        <v>4607091389654</v>
      </c>
      <c r="E485" s="737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39"/>
      <c r="R485" s="739"/>
      <c r="S485" s="739"/>
      <c r="T485" s="74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45"/>
      <c r="B486" s="745"/>
      <c r="C486" s="745"/>
      <c r="D486" s="745"/>
      <c r="E486" s="745"/>
      <c r="F486" s="745"/>
      <c r="G486" s="745"/>
      <c r="H486" s="745"/>
      <c r="I486" s="745"/>
      <c r="J486" s="745"/>
      <c r="K486" s="745"/>
      <c r="L486" s="745"/>
      <c r="M486" s="745"/>
      <c r="N486" s="745"/>
      <c r="O486" s="746"/>
      <c r="P486" s="742" t="s">
        <v>40</v>
      </c>
      <c r="Q486" s="743"/>
      <c r="R486" s="743"/>
      <c r="S486" s="743"/>
      <c r="T486" s="743"/>
      <c r="U486" s="743"/>
      <c r="V486" s="744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45"/>
      <c r="B487" s="745"/>
      <c r="C487" s="745"/>
      <c r="D487" s="745"/>
      <c r="E487" s="745"/>
      <c r="F487" s="745"/>
      <c r="G487" s="745"/>
      <c r="H487" s="745"/>
      <c r="I487" s="745"/>
      <c r="J487" s="745"/>
      <c r="K487" s="745"/>
      <c r="L487" s="745"/>
      <c r="M487" s="745"/>
      <c r="N487" s="745"/>
      <c r="O487" s="746"/>
      <c r="P487" s="742" t="s">
        <v>40</v>
      </c>
      <c r="Q487" s="743"/>
      <c r="R487" s="743"/>
      <c r="S487" s="743"/>
      <c r="T487" s="743"/>
      <c r="U487" s="743"/>
      <c r="V487" s="744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35" t="s">
        <v>787</v>
      </c>
      <c r="B488" s="735"/>
      <c r="C488" s="735"/>
      <c r="D488" s="735"/>
      <c r="E488" s="735"/>
      <c r="F488" s="735"/>
      <c r="G488" s="735"/>
      <c r="H488" s="735"/>
      <c r="I488" s="735"/>
      <c r="J488" s="735"/>
      <c r="K488" s="735"/>
      <c r="L488" s="735"/>
      <c r="M488" s="735"/>
      <c r="N488" s="735"/>
      <c r="O488" s="735"/>
      <c r="P488" s="735"/>
      <c r="Q488" s="735"/>
      <c r="R488" s="735"/>
      <c r="S488" s="735"/>
      <c r="T488" s="735"/>
      <c r="U488" s="735"/>
      <c r="V488" s="735"/>
      <c r="W488" s="735"/>
      <c r="X488" s="735"/>
      <c r="Y488" s="735"/>
      <c r="Z488" s="735"/>
      <c r="AA488" s="65"/>
      <c r="AB488" s="65"/>
      <c r="AC488" s="79"/>
    </row>
    <row r="489" spans="1:68" ht="14.25" hidden="1" customHeight="1" x14ac:dyDescent="0.25">
      <c r="A489" s="736" t="s">
        <v>157</v>
      </c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6"/>
      <c r="P489" s="736"/>
      <c r="Q489" s="736"/>
      <c r="R489" s="736"/>
      <c r="S489" s="736"/>
      <c r="T489" s="736"/>
      <c r="U489" s="736"/>
      <c r="V489" s="736"/>
      <c r="W489" s="736"/>
      <c r="X489" s="736"/>
      <c r="Y489" s="736"/>
      <c r="Z489" s="736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37">
        <v>4680115885240</v>
      </c>
      <c r="E490" s="737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39"/>
      <c r="R490" s="739"/>
      <c r="S490" s="739"/>
      <c r="T490" s="74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45"/>
      <c r="B491" s="745"/>
      <c r="C491" s="745"/>
      <c r="D491" s="745"/>
      <c r="E491" s="745"/>
      <c r="F491" s="745"/>
      <c r="G491" s="745"/>
      <c r="H491" s="745"/>
      <c r="I491" s="745"/>
      <c r="J491" s="745"/>
      <c r="K491" s="745"/>
      <c r="L491" s="745"/>
      <c r="M491" s="745"/>
      <c r="N491" s="745"/>
      <c r="O491" s="746"/>
      <c r="P491" s="742" t="s">
        <v>40</v>
      </c>
      <c r="Q491" s="743"/>
      <c r="R491" s="743"/>
      <c r="S491" s="743"/>
      <c r="T491" s="743"/>
      <c r="U491" s="743"/>
      <c r="V491" s="744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45"/>
      <c r="B492" s="745"/>
      <c r="C492" s="745"/>
      <c r="D492" s="745"/>
      <c r="E492" s="745"/>
      <c r="F492" s="745"/>
      <c r="G492" s="745"/>
      <c r="H492" s="745"/>
      <c r="I492" s="745"/>
      <c r="J492" s="745"/>
      <c r="K492" s="745"/>
      <c r="L492" s="745"/>
      <c r="M492" s="745"/>
      <c r="N492" s="745"/>
      <c r="O492" s="746"/>
      <c r="P492" s="742" t="s">
        <v>40</v>
      </c>
      <c r="Q492" s="743"/>
      <c r="R492" s="743"/>
      <c r="S492" s="743"/>
      <c r="T492" s="743"/>
      <c r="U492" s="743"/>
      <c r="V492" s="744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36" t="s">
        <v>77</v>
      </c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6"/>
      <c r="P493" s="736"/>
      <c r="Q493" s="736"/>
      <c r="R493" s="736"/>
      <c r="S493" s="736"/>
      <c r="T493" s="736"/>
      <c r="U493" s="736"/>
      <c r="V493" s="736"/>
      <c r="W493" s="736"/>
      <c r="X493" s="736"/>
      <c r="Y493" s="736"/>
      <c r="Z493" s="736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37">
        <v>4680115886094</v>
      </c>
      <c r="E494" s="737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39"/>
      <c r="R494" s="739"/>
      <c r="S494" s="739"/>
      <c r="T494" s="74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37">
        <v>4680115880771</v>
      </c>
      <c r="E495" s="737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39"/>
      <c r="R495" s="739"/>
      <c r="S495" s="739"/>
      <c r="T495" s="740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37">
        <v>4607091389500</v>
      </c>
      <c r="E496" s="737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39"/>
      <c r="R496" s="739"/>
      <c r="S496" s="739"/>
      <c r="T496" s="740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45"/>
      <c r="B497" s="745"/>
      <c r="C497" s="745"/>
      <c r="D497" s="745"/>
      <c r="E497" s="745"/>
      <c r="F497" s="745"/>
      <c r="G497" s="745"/>
      <c r="H497" s="745"/>
      <c r="I497" s="745"/>
      <c r="J497" s="745"/>
      <c r="K497" s="745"/>
      <c r="L497" s="745"/>
      <c r="M497" s="745"/>
      <c r="N497" s="745"/>
      <c r="O497" s="746"/>
      <c r="P497" s="742" t="s">
        <v>40</v>
      </c>
      <c r="Q497" s="743"/>
      <c r="R497" s="743"/>
      <c r="S497" s="743"/>
      <c r="T497" s="743"/>
      <c r="U497" s="743"/>
      <c r="V497" s="744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45"/>
      <c r="B498" s="745"/>
      <c r="C498" s="745"/>
      <c r="D498" s="745"/>
      <c r="E498" s="745"/>
      <c r="F498" s="745"/>
      <c r="G498" s="745"/>
      <c r="H498" s="745"/>
      <c r="I498" s="745"/>
      <c r="J498" s="745"/>
      <c r="K498" s="745"/>
      <c r="L498" s="745"/>
      <c r="M498" s="745"/>
      <c r="N498" s="745"/>
      <c r="O498" s="746"/>
      <c r="P498" s="742" t="s">
        <v>40</v>
      </c>
      <c r="Q498" s="743"/>
      <c r="R498" s="743"/>
      <c r="S498" s="743"/>
      <c r="T498" s="743"/>
      <c r="U498" s="743"/>
      <c r="V498" s="744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34" t="s">
        <v>799</v>
      </c>
      <c r="B499" s="734"/>
      <c r="C499" s="734"/>
      <c r="D499" s="734"/>
      <c r="E499" s="734"/>
      <c r="F499" s="734"/>
      <c r="G499" s="734"/>
      <c r="H499" s="734"/>
      <c r="I499" s="734"/>
      <c r="J499" s="734"/>
      <c r="K499" s="734"/>
      <c r="L499" s="734"/>
      <c r="M499" s="734"/>
      <c r="N499" s="734"/>
      <c r="O499" s="734"/>
      <c r="P499" s="734"/>
      <c r="Q499" s="734"/>
      <c r="R499" s="734"/>
      <c r="S499" s="734"/>
      <c r="T499" s="734"/>
      <c r="U499" s="734"/>
      <c r="V499" s="734"/>
      <c r="W499" s="734"/>
      <c r="X499" s="734"/>
      <c r="Y499" s="734"/>
      <c r="Z499" s="734"/>
      <c r="AA499" s="54"/>
      <c r="AB499" s="54"/>
      <c r="AC499" s="54"/>
    </row>
    <row r="500" spans="1:68" ht="16.5" hidden="1" customHeight="1" x14ac:dyDescent="0.25">
      <c r="A500" s="735" t="s">
        <v>799</v>
      </c>
      <c r="B500" s="735"/>
      <c r="C500" s="735"/>
      <c r="D500" s="735"/>
      <c r="E500" s="735"/>
      <c r="F500" s="735"/>
      <c r="G500" s="735"/>
      <c r="H500" s="735"/>
      <c r="I500" s="735"/>
      <c r="J500" s="735"/>
      <c r="K500" s="735"/>
      <c r="L500" s="735"/>
      <c r="M500" s="735"/>
      <c r="N500" s="735"/>
      <c r="O500" s="735"/>
      <c r="P500" s="735"/>
      <c r="Q500" s="735"/>
      <c r="R500" s="735"/>
      <c r="S500" s="735"/>
      <c r="T500" s="735"/>
      <c r="U500" s="735"/>
      <c r="V500" s="735"/>
      <c r="W500" s="735"/>
      <c r="X500" s="735"/>
      <c r="Y500" s="735"/>
      <c r="Z500" s="735"/>
      <c r="AA500" s="65"/>
      <c r="AB500" s="65"/>
      <c r="AC500" s="79"/>
    </row>
    <row r="501" spans="1:68" ht="14.25" hidden="1" customHeight="1" x14ac:dyDescent="0.25">
      <c r="A501" s="736" t="s">
        <v>122</v>
      </c>
      <c r="B501" s="736"/>
      <c r="C501" s="736"/>
      <c r="D501" s="736"/>
      <c r="E501" s="736"/>
      <c r="F501" s="736"/>
      <c r="G501" s="736"/>
      <c r="H501" s="736"/>
      <c r="I501" s="736"/>
      <c r="J501" s="736"/>
      <c r="K501" s="736"/>
      <c r="L501" s="736"/>
      <c r="M501" s="736"/>
      <c r="N501" s="736"/>
      <c r="O501" s="736"/>
      <c r="P501" s="736"/>
      <c r="Q501" s="736"/>
      <c r="R501" s="736"/>
      <c r="S501" s="736"/>
      <c r="T501" s="736"/>
      <c r="U501" s="736"/>
      <c r="V501" s="736"/>
      <c r="W501" s="736"/>
      <c r="X501" s="736"/>
      <c r="Y501" s="736"/>
      <c r="Z501" s="736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37">
        <v>4607091389067</v>
      </c>
      <c r="E502" s="73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10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39"/>
      <c r="R502" s="739"/>
      <c r="S502" s="739"/>
      <c r="T502" s="74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37">
        <v>4680115889576</v>
      </c>
      <c r="E503" s="73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10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39"/>
      <c r="R503" s="739"/>
      <c r="S503" s="739"/>
      <c r="T503" s="74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37">
        <v>4680115885271</v>
      </c>
      <c r="E504" s="73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10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39"/>
      <c r="R504" s="739"/>
      <c r="S504" s="739"/>
      <c r="T504" s="74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37">
        <v>4680115885226</v>
      </c>
      <c r="E505" s="73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10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39"/>
      <c r="R505" s="739"/>
      <c r="S505" s="739"/>
      <c r="T505" s="74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37">
        <v>4680115884502</v>
      </c>
      <c r="E506" s="73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10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39"/>
      <c r="R506" s="739"/>
      <c r="S506" s="739"/>
      <c r="T506" s="74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37">
        <v>4607091389104</v>
      </c>
      <c r="E507" s="73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10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39"/>
      <c r="R507" s="739"/>
      <c r="S507" s="739"/>
      <c r="T507" s="740"/>
      <c r="U507" s="39" t="s">
        <v>46</v>
      </c>
      <c r="V507" s="39" t="s">
        <v>46</v>
      </c>
      <c r="W507" s="40" t="s">
        <v>0</v>
      </c>
      <c r="X507" s="58">
        <v>126.72</v>
      </c>
      <c r="Y507" s="55">
        <f t="shared" si="78"/>
        <v>126.72</v>
      </c>
      <c r="Z507" s="41">
        <f t="shared" si="79"/>
        <v>0.28704000000000002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135.11999999999998</v>
      </c>
      <c r="BN507" s="78">
        <f t="shared" si="81"/>
        <v>135.11999999999998</v>
      </c>
      <c r="BO507" s="78">
        <f t="shared" si="82"/>
        <v>0.23076923076923078</v>
      </c>
      <c r="BP507" s="78">
        <f t="shared" si="83"/>
        <v>0.23076923076923078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37">
        <v>4680115886391</v>
      </c>
      <c r="E508" s="73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39"/>
      <c r="R508" s="739"/>
      <c r="S508" s="739"/>
      <c r="T508" s="74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37">
        <v>4680115880603</v>
      </c>
      <c r="E509" s="73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39"/>
      <c r="R509" s="739"/>
      <c r="S509" s="739"/>
      <c r="T509" s="74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37">
        <v>4607091389982</v>
      </c>
      <c r="E510" s="737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10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39"/>
      <c r="R510" s="739"/>
      <c r="S510" s="739"/>
      <c r="T510" s="74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45"/>
      <c r="B511" s="745"/>
      <c r="C511" s="745"/>
      <c r="D511" s="745"/>
      <c r="E511" s="745"/>
      <c r="F511" s="745"/>
      <c r="G511" s="745"/>
      <c r="H511" s="745"/>
      <c r="I511" s="745"/>
      <c r="J511" s="745"/>
      <c r="K511" s="745"/>
      <c r="L511" s="745"/>
      <c r="M511" s="745"/>
      <c r="N511" s="745"/>
      <c r="O511" s="746"/>
      <c r="P511" s="742" t="s">
        <v>40</v>
      </c>
      <c r="Q511" s="743"/>
      <c r="R511" s="743"/>
      <c r="S511" s="743"/>
      <c r="T511" s="743"/>
      <c r="U511" s="743"/>
      <c r="V511" s="744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24</v>
      </c>
      <c r="Y511" s="43">
        <f>IFERROR(Y502/H502,"0")+IFERROR(Y503/H503,"0")+IFERROR(Y504/H504,"0")+IFERROR(Y505/H505,"0")+IFERROR(Y506/H506,"0")+IFERROR(Y507/H507,"0")+IFERROR(Y508/H508,"0")+IFERROR(Y509/H509,"0")+IFERROR(Y510/H510,"0")</f>
        <v>24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0.28704000000000002</v>
      </c>
      <c r="AA511" s="67"/>
      <c r="AB511" s="67"/>
      <c r="AC511" s="67"/>
    </row>
    <row r="512" spans="1:68" x14ac:dyDescent="0.2">
      <c r="A512" s="745"/>
      <c r="B512" s="745"/>
      <c r="C512" s="745"/>
      <c r="D512" s="745"/>
      <c r="E512" s="745"/>
      <c r="F512" s="745"/>
      <c r="G512" s="745"/>
      <c r="H512" s="745"/>
      <c r="I512" s="745"/>
      <c r="J512" s="745"/>
      <c r="K512" s="745"/>
      <c r="L512" s="745"/>
      <c r="M512" s="745"/>
      <c r="N512" s="745"/>
      <c r="O512" s="746"/>
      <c r="P512" s="742" t="s">
        <v>40</v>
      </c>
      <c r="Q512" s="743"/>
      <c r="R512" s="743"/>
      <c r="S512" s="743"/>
      <c r="T512" s="743"/>
      <c r="U512" s="743"/>
      <c r="V512" s="744"/>
      <c r="W512" s="42" t="s">
        <v>0</v>
      </c>
      <c r="X512" s="43">
        <f>IFERROR(SUM(X502:X510),"0")</f>
        <v>126.72</v>
      </c>
      <c r="Y512" s="43">
        <f>IFERROR(SUM(Y502:Y510),"0")</f>
        <v>126.72</v>
      </c>
      <c r="Z512" s="42"/>
      <c r="AA512" s="67"/>
      <c r="AB512" s="67"/>
      <c r="AC512" s="67"/>
    </row>
    <row r="513" spans="1:68" ht="14.25" hidden="1" customHeight="1" x14ac:dyDescent="0.25">
      <c r="A513" s="736" t="s">
        <v>157</v>
      </c>
      <c r="B513" s="736"/>
      <c r="C513" s="736"/>
      <c r="D513" s="736"/>
      <c r="E513" s="736"/>
      <c r="F513" s="736"/>
      <c r="G513" s="736"/>
      <c r="H513" s="736"/>
      <c r="I513" s="736"/>
      <c r="J513" s="736"/>
      <c r="K513" s="736"/>
      <c r="L513" s="736"/>
      <c r="M513" s="736"/>
      <c r="N513" s="736"/>
      <c r="O513" s="736"/>
      <c r="P513" s="736"/>
      <c r="Q513" s="736"/>
      <c r="R513" s="736"/>
      <c r="S513" s="736"/>
      <c r="T513" s="736"/>
      <c r="U513" s="736"/>
      <c r="V513" s="736"/>
      <c r="W513" s="736"/>
      <c r="X513" s="736"/>
      <c r="Y513" s="736"/>
      <c r="Z513" s="736"/>
      <c r="AA513" s="66"/>
      <c r="AB513" s="66"/>
      <c r="AC513" s="80"/>
    </row>
    <row r="514" spans="1:68" ht="16.5" hidden="1" customHeight="1" x14ac:dyDescent="0.25">
      <c r="A514" s="63" t="s">
        <v>823</v>
      </c>
      <c r="B514" s="63" t="s">
        <v>824</v>
      </c>
      <c r="C514" s="36">
        <v>4301020334</v>
      </c>
      <c r="D514" s="737">
        <v>4607091388930</v>
      </c>
      <c r="E514" s="73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39"/>
      <c r="R514" s="739"/>
      <c r="S514" s="739"/>
      <c r="T514" s="74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37">
        <v>4680115886407</v>
      </c>
      <c r="E515" s="737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10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39"/>
      <c r="R515" s="739"/>
      <c r="S515" s="739"/>
      <c r="T515" s="740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37">
        <v>4680115880054</v>
      </c>
      <c r="E516" s="73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101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39"/>
      <c r="R516" s="739"/>
      <c r="S516" s="739"/>
      <c r="T516" s="74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45"/>
      <c r="B517" s="745"/>
      <c r="C517" s="745"/>
      <c r="D517" s="745"/>
      <c r="E517" s="745"/>
      <c r="F517" s="745"/>
      <c r="G517" s="745"/>
      <c r="H517" s="745"/>
      <c r="I517" s="745"/>
      <c r="J517" s="745"/>
      <c r="K517" s="745"/>
      <c r="L517" s="745"/>
      <c r="M517" s="745"/>
      <c r="N517" s="745"/>
      <c r="O517" s="746"/>
      <c r="P517" s="742" t="s">
        <v>40</v>
      </c>
      <c r="Q517" s="743"/>
      <c r="R517" s="743"/>
      <c r="S517" s="743"/>
      <c r="T517" s="743"/>
      <c r="U517" s="743"/>
      <c r="V517" s="744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745"/>
      <c r="B518" s="745"/>
      <c r="C518" s="745"/>
      <c r="D518" s="745"/>
      <c r="E518" s="745"/>
      <c r="F518" s="745"/>
      <c r="G518" s="745"/>
      <c r="H518" s="745"/>
      <c r="I518" s="745"/>
      <c r="J518" s="745"/>
      <c r="K518" s="745"/>
      <c r="L518" s="745"/>
      <c r="M518" s="745"/>
      <c r="N518" s="745"/>
      <c r="O518" s="746"/>
      <c r="P518" s="742" t="s">
        <v>40</v>
      </c>
      <c r="Q518" s="743"/>
      <c r="R518" s="743"/>
      <c r="S518" s="743"/>
      <c r="T518" s="743"/>
      <c r="U518" s="743"/>
      <c r="V518" s="744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736" t="s">
        <v>77</v>
      </c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6"/>
      <c r="P519" s="736"/>
      <c r="Q519" s="736"/>
      <c r="R519" s="736"/>
      <c r="S519" s="736"/>
      <c r="T519" s="736"/>
      <c r="U519" s="736"/>
      <c r="V519" s="736"/>
      <c r="W519" s="736"/>
      <c r="X519" s="736"/>
      <c r="Y519" s="736"/>
      <c r="Z519" s="73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37">
        <v>4680115883116</v>
      </c>
      <c r="E520" s="73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10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39"/>
      <c r="R520" s="739"/>
      <c r="S520" s="739"/>
      <c r="T520" s="740"/>
      <c r="U520" s="39" t="s">
        <v>46</v>
      </c>
      <c r="V520" s="39" t="s">
        <v>46</v>
      </c>
      <c r="W520" s="40" t="s">
        <v>0</v>
      </c>
      <c r="X520" s="58">
        <v>42.24</v>
      </c>
      <c r="Y520" s="55">
        <f t="shared" ref="Y520:Y526" si="84">IFERROR(IF(X520="",0,CEILING((X520/$H520),1)*$H520),"")</f>
        <v>42.24</v>
      </c>
      <c r="Z520" s="41">
        <f>IFERROR(IF(Y520=0,"",ROUNDUP(Y520/H520,0)*0.01196),"")</f>
        <v>9.5680000000000001E-2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45.04</v>
      </c>
      <c r="BN520" s="78">
        <f t="shared" ref="BN520:BN526" si="86">IFERROR(Y520*I520/H520,"0")</f>
        <v>45.04</v>
      </c>
      <c r="BO520" s="78">
        <f t="shared" ref="BO520:BO526" si="87">IFERROR(1/J520*(X520/H520),"0")</f>
        <v>7.6923076923076927E-2</v>
      </c>
      <c r="BP520" s="78">
        <f t="shared" ref="BP520:BP526" si="88">IFERROR(1/J520*(Y520/H520),"0")</f>
        <v>7.6923076923076927E-2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37">
        <v>4680115883093</v>
      </c>
      <c r="E521" s="737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101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39"/>
      <c r="R521" s="739"/>
      <c r="S521" s="739"/>
      <c r="T521" s="740"/>
      <c r="U521" s="39" t="s">
        <v>46</v>
      </c>
      <c r="V521" s="39" t="s">
        <v>46</v>
      </c>
      <c r="W521" s="40" t="s">
        <v>0</v>
      </c>
      <c r="X521" s="58">
        <v>42.24</v>
      </c>
      <c r="Y521" s="55">
        <f t="shared" si="84"/>
        <v>42.24</v>
      </c>
      <c r="Z521" s="41">
        <f>IFERROR(IF(Y521=0,"",ROUNDUP(Y521/H521,0)*0.01196),"")</f>
        <v>9.5680000000000001E-2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45.04</v>
      </c>
      <c r="BN521" s="78">
        <f t="shared" si="86"/>
        <v>45.04</v>
      </c>
      <c r="BO521" s="78">
        <f t="shared" si="87"/>
        <v>7.6923076923076927E-2</v>
      </c>
      <c r="BP521" s="78">
        <f t="shared" si="88"/>
        <v>7.6923076923076927E-2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37">
        <v>4680115883109</v>
      </c>
      <c r="E522" s="737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10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39"/>
      <c r="R522" s="739"/>
      <c r="S522" s="739"/>
      <c r="T522" s="740"/>
      <c r="U522" s="39" t="s">
        <v>46</v>
      </c>
      <c r="V522" s="39" t="s">
        <v>46</v>
      </c>
      <c r="W522" s="40" t="s">
        <v>0</v>
      </c>
      <c r="X522" s="58">
        <v>42.24</v>
      </c>
      <c r="Y522" s="55">
        <f t="shared" si="84"/>
        <v>42.24</v>
      </c>
      <c r="Z522" s="41">
        <f>IFERROR(IF(Y522=0,"",ROUNDUP(Y522/H522,0)*0.01196),"")</f>
        <v>9.5680000000000001E-2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45.04</v>
      </c>
      <c r="BN522" s="78">
        <f t="shared" si="86"/>
        <v>45.04</v>
      </c>
      <c r="BO522" s="78">
        <f t="shared" si="87"/>
        <v>7.6923076923076927E-2</v>
      </c>
      <c r="BP522" s="78">
        <f t="shared" si="88"/>
        <v>7.6923076923076927E-2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37">
        <v>4680115882072</v>
      </c>
      <c r="E523" s="737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39"/>
      <c r="R523" s="739"/>
      <c r="S523" s="739"/>
      <c r="T523" s="74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37">
        <v>4680115882102</v>
      </c>
      <c r="E524" s="737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1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39"/>
      <c r="R524" s="739"/>
      <c r="S524" s="739"/>
      <c r="T524" s="74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37">
        <v>4680115882102</v>
      </c>
      <c r="E525" s="737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39"/>
      <c r="R525" s="739"/>
      <c r="S525" s="739"/>
      <c r="T525" s="74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37">
        <v>4680115882096</v>
      </c>
      <c r="E526" s="737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39"/>
      <c r="R526" s="739"/>
      <c r="S526" s="739"/>
      <c r="T526" s="74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45"/>
      <c r="B527" s="745"/>
      <c r="C527" s="745"/>
      <c r="D527" s="745"/>
      <c r="E527" s="745"/>
      <c r="F527" s="745"/>
      <c r="G527" s="745"/>
      <c r="H527" s="745"/>
      <c r="I527" s="745"/>
      <c r="J527" s="745"/>
      <c r="K527" s="745"/>
      <c r="L527" s="745"/>
      <c r="M527" s="745"/>
      <c r="N527" s="745"/>
      <c r="O527" s="746"/>
      <c r="P527" s="742" t="s">
        <v>40</v>
      </c>
      <c r="Q527" s="743"/>
      <c r="R527" s="743"/>
      <c r="S527" s="743"/>
      <c r="T527" s="743"/>
      <c r="U527" s="743"/>
      <c r="V527" s="744"/>
      <c r="W527" s="42" t="s">
        <v>39</v>
      </c>
      <c r="X527" s="43">
        <f>IFERROR(X520/H520,"0")+IFERROR(X521/H521,"0")+IFERROR(X522/H522,"0")+IFERROR(X523/H523,"0")+IFERROR(X524/H524,"0")+IFERROR(X525/H525,"0")+IFERROR(X526/H526,"0")</f>
        <v>24</v>
      </c>
      <c r="Y527" s="43">
        <f>IFERROR(Y520/H520,"0")+IFERROR(Y521/H521,"0")+IFERROR(Y522/H522,"0")+IFERROR(Y523/H523,"0")+IFERROR(Y524/H524,"0")+IFERROR(Y525/H525,"0")+IFERROR(Y526/H526,"0")</f>
        <v>24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7"/>
      <c r="AB527" s="67"/>
      <c r="AC527" s="67"/>
    </row>
    <row r="528" spans="1:68" x14ac:dyDescent="0.2">
      <c r="A528" s="745"/>
      <c r="B528" s="745"/>
      <c r="C528" s="745"/>
      <c r="D528" s="745"/>
      <c r="E528" s="745"/>
      <c r="F528" s="745"/>
      <c r="G528" s="745"/>
      <c r="H528" s="745"/>
      <c r="I528" s="745"/>
      <c r="J528" s="745"/>
      <c r="K528" s="745"/>
      <c r="L528" s="745"/>
      <c r="M528" s="745"/>
      <c r="N528" s="745"/>
      <c r="O528" s="746"/>
      <c r="P528" s="742" t="s">
        <v>40</v>
      </c>
      <c r="Q528" s="743"/>
      <c r="R528" s="743"/>
      <c r="S528" s="743"/>
      <c r="T528" s="743"/>
      <c r="U528" s="743"/>
      <c r="V528" s="744"/>
      <c r="W528" s="42" t="s">
        <v>0</v>
      </c>
      <c r="X528" s="43">
        <f>IFERROR(SUM(X520:X526),"0")</f>
        <v>126.72</v>
      </c>
      <c r="Y528" s="43">
        <f>IFERROR(SUM(Y520:Y526),"0")</f>
        <v>126.72</v>
      </c>
      <c r="Z528" s="42"/>
      <c r="AA528" s="67"/>
      <c r="AB528" s="67"/>
      <c r="AC528" s="67"/>
    </row>
    <row r="529" spans="1:68" ht="27.75" hidden="1" customHeight="1" x14ac:dyDescent="0.2">
      <c r="A529" s="734" t="s">
        <v>846</v>
      </c>
      <c r="B529" s="734"/>
      <c r="C529" s="734"/>
      <c r="D529" s="734"/>
      <c r="E529" s="734"/>
      <c r="F529" s="734"/>
      <c r="G529" s="734"/>
      <c r="H529" s="734"/>
      <c r="I529" s="734"/>
      <c r="J529" s="734"/>
      <c r="K529" s="734"/>
      <c r="L529" s="734"/>
      <c r="M529" s="734"/>
      <c r="N529" s="734"/>
      <c r="O529" s="734"/>
      <c r="P529" s="734"/>
      <c r="Q529" s="734"/>
      <c r="R529" s="734"/>
      <c r="S529" s="734"/>
      <c r="T529" s="734"/>
      <c r="U529" s="734"/>
      <c r="V529" s="734"/>
      <c r="W529" s="734"/>
      <c r="X529" s="734"/>
      <c r="Y529" s="734"/>
      <c r="Z529" s="734"/>
      <c r="AA529" s="54"/>
      <c r="AB529" s="54"/>
      <c r="AC529" s="54"/>
    </row>
    <row r="530" spans="1:68" ht="16.5" hidden="1" customHeight="1" x14ac:dyDescent="0.25">
      <c r="A530" s="735" t="s">
        <v>846</v>
      </c>
      <c r="B530" s="735"/>
      <c r="C530" s="735"/>
      <c r="D530" s="735"/>
      <c r="E530" s="735"/>
      <c r="F530" s="735"/>
      <c r="G530" s="735"/>
      <c r="H530" s="735"/>
      <c r="I530" s="735"/>
      <c r="J530" s="735"/>
      <c r="K530" s="735"/>
      <c r="L530" s="735"/>
      <c r="M530" s="735"/>
      <c r="N530" s="735"/>
      <c r="O530" s="735"/>
      <c r="P530" s="735"/>
      <c r="Q530" s="735"/>
      <c r="R530" s="735"/>
      <c r="S530" s="735"/>
      <c r="T530" s="735"/>
      <c r="U530" s="735"/>
      <c r="V530" s="735"/>
      <c r="W530" s="735"/>
      <c r="X530" s="735"/>
      <c r="Y530" s="735"/>
      <c r="Z530" s="735"/>
      <c r="AA530" s="65"/>
      <c r="AB530" s="65"/>
      <c r="AC530" s="79"/>
    </row>
    <row r="531" spans="1:68" ht="14.25" hidden="1" customHeight="1" x14ac:dyDescent="0.25">
      <c r="A531" s="736" t="s">
        <v>122</v>
      </c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  <c r="S531" s="736"/>
      <c r="T531" s="736"/>
      <c r="U531" s="736"/>
      <c r="V531" s="736"/>
      <c r="W531" s="736"/>
      <c r="X531" s="736"/>
      <c r="Y531" s="736"/>
      <c r="Z531" s="736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37">
        <v>4640242180564</v>
      </c>
      <c r="E532" s="737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39"/>
      <c r="R532" s="739"/>
      <c r="S532" s="739"/>
      <c r="T532" s="740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45"/>
      <c r="B533" s="745"/>
      <c r="C533" s="745"/>
      <c r="D533" s="745"/>
      <c r="E533" s="745"/>
      <c r="F533" s="745"/>
      <c r="G533" s="745"/>
      <c r="H533" s="745"/>
      <c r="I533" s="745"/>
      <c r="J533" s="745"/>
      <c r="K533" s="745"/>
      <c r="L533" s="745"/>
      <c r="M533" s="745"/>
      <c r="N533" s="745"/>
      <c r="O533" s="746"/>
      <c r="P533" s="742" t="s">
        <v>40</v>
      </c>
      <c r="Q533" s="743"/>
      <c r="R533" s="743"/>
      <c r="S533" s="743"/>
      <c r="T533" s="743"/>
      <c r="U533" s="743"/>
      <c r="V533" s="744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45"/>
      <c r="B534" s="745"/>
      <c r="C534" s="745"/>
      <c r="D534" s="745"/>
      <c r="E534" s="745"/>
      <c r="F534" s="745"/>
      <c r="G534" s="745"/>
      <c r="H534" s="745"/>
      <c r="I534" s="745"/>
      <c r="J534" s="745"/>
      <c r="K534" s="745"/>
      <c r="L534" s="745"/>
      <c r="M534" s="745"/>
      <c r="N534" s="745"/>
      <c r="O534" s="746"/>
      <c r="P534" s="742" t="s">
        <v>40</v>
      </c>
      <c r="Q534" s="743"/>
      <c r="R534" s="743"/>
      <c r="S534" s="743"/>
      <c r="T534" s="743"/>
      <c r="U534" s="743"/>
      <c r="V534" s="744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36" t="s">
        <v>157</v>
      </c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6"/>
      <c r="P535" s="736"/>
      <c r="Q535" s="736"/>
      <c r="R535" s="736"/>
      <c r="S535" s="736"/>
      <c r="T535" s="736"/>
      <c r="U535" s="736"/>
      <c r="V535" s="736"/>
      <c r="W535" s="736"/>
      <c r="X535" s="736"/>
      <c r="Y535" s="736"/>
      <c r="Z535" s="736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37">
        <v>4640242180519</v>
      </c>
      <c r="E536" s="73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39"/>
      <c r="R536" s="739"/>
      <c r="S536" s="739"/>
      <c r="T536" s="74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45"/>
      <c r="B537" s="745"/>
      <c r="C537" s="745"/>
      <c r="D537" s="745"/>
      <c r="E537" s="745"/>
      <c r="F537" s="745"/>
      <c r="G537" s="745"/>
      <c r="H537" s="745"/>
      <c r="I537" s="745"/>
      <c r="J537" s="745"/>
      <c r="K537" s="745"/>
      <c r="L537" s="745"/>
      <c r="M537" s="745"/>
      <c r="N537" s="745"/>
      <c r="O537" s="746"/>
      <c r="P537" s="742" t="s">
        <v>40</v>
      </c>
      <c r="Q537" s="743"/>
      <c r="R537" s="743"/>
      <c r="S537" s="743"/>
      <c r="T537" s="743"/>
      <c r="U537" s="743"/>
      <c r="V537" s="74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45"/>
      <c r="B538" s="745"/>
      <c r="C538" s="745"/>
      <c r="D538" s="745"/>
      <c r="E538" s="745"/>
      <c r="F538" s="745"/>
      <c r="G538" s="745"/>
      <c r="H538" s="745"/>
      <c r="I538" s="745"/>
      <c r="J538" s="745"/>
      <c r="K538" s="745"/>
      <c r="L538" s="745"/>
      <c r="M538" s="745"/>
      <c r="N538" s="745"/>
      <c r="O538" s="746"/>
      <c r="P538" s="742" t="s">
        <v>40</v>
      </c>
      <c r="Q538" s="743"/>
      <c r="R538" s="743"/>
      <c r="S538" s="743"/>
      <c r="T538" s="743"/>
      <c r="U538" s="743"/>
      <c r="V538" s="74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36" t="s">
        <v>77</v>
      </c>
      <c r="B539" s="736"/>
      <c r="C539" s="736"/>
      <c r="D539" s="736"/>
      <c r="E539" s="736"/>
      <c r="F539" s="736"/>
      <c r="G539" s="736"/>
      <c r="H539" s="736"/>
      <c r="I539" s="736"/>
      <c r="J539" s="736"/>
      <c r="K539" s="736"/>
      <c r="L539" s="736"/>
      <c r="M539" s="736"/>
      <c r="N539" s="736"/>
      <c r="O539" s="736"/>
      <c r="P539" s="736"/>
      <c r="Q539" s="736"/>
      <c r="R539" s="736"/>
      <c r="S539" s="736"/>
      <c r="T539" s="736"/>
      <c r="U539" s="736"/>
      <c r="V539" s="736"/>
      <c r="W539" s="736"/>
      <c r="X539" s="736"/>
      <c r="Y539" s="736"/>
      <c r="Z539" s="736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37">
        <v>4640242180595</v>
      </c>
      <c r="E540" s="737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39"/>
      <c r="R540" s="739"/>
      <c r="S540" s="739"/>
      <c r="T540" s="74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45"/>
      <c r="B541" s="745"/>
      <c r="C541" s="745"/>
      <c r="D541" s="745"/>
      <c r="E541" s="745"/>
      <c r="F541" s="745"/>
      <c r="G541" s="745"/>
      <c r="H541" s="745"/>
      <c r="I541" s="745"/>
      <c r="J541" s="745"/>
      <c r="K541" s="745"/>
      <c r="L541" s="745"/>
      <c r="M541" s="745"/>
      <c r="N541" s="745"/>
      <c r="O541" s="746"/>
      <c r="P541" s="742" t="s">
        <v>40</v>
      </c>
      <c r="Q541" s="743"/>
      <c r="R541" s="743"/>
      <c r="S541" s="743"/>
      <c r="T541" s="743"/>
      <c r="U541" s="743"/>
      <c r="V541" s="74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45"/>
      <c r="B542" s="745"/>
      <c r="C542" s="745"/>
      <c r="D542" s="745"/>
      <c r="E542" s="745"/>
      <c r="F542" s="745"/>
      <c r="G542" s="745"/>
      <c r="H542" s="745"/>
      <c r="I542" s="745"/>
      <c r="J542" s="745"/>
      <c r="K542" s="745"/>
      <c r="L542" s="745"/>
      <c r="M542" s="745"/>
      <c r="N542" s="745"/>
      <c r="O542" s="746"/>
      <c r="P542" s="742" t="s">
        <v>40</v>
      </c>
      <c r="Q542" s="743"/>
      <c r="R542" s="743"/>
      <c r="S542" s="743"/>
      <c r="T542" s="743"/>
      <c r="U542" s="743"/>
      <c r="V542" s="74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36" t="s">
        <v>86</v>
      </c>
      <c r="B543" s="736"/>
      <c r="C543" s="736"/>
      <c r="D543" s="736"/>
      <c r="E543" s="736"/>
      <c r="F543" s="736"/>
      <c r="G543" s="736"/>
      <c r="H543" s="736"/>
      <c r="I543" s="736"/>
      <c r="J543" s="736"/>
      <c r="K543" s="736"/>
      <c r="L543" s="736"/>
      <c r="M543" s="736"/>
      <c r="N543" s="736"/>
      <c r="O543" s="736"/>
      <c r="P543" s="736"/>
      <c r="Q543" s="736"/>
      <c r="R543" s="736"/>
      <c r="S543" s="736"/>
      <c r="T543" s="736"/>
      <c r="U543" s="736"/>
      <c r="V543" s="736"/>
      <c r="W543" s="736"/>
      <c r="X543" s="736"/>
      <c r="Y543" s="736"/>
      <c r="Z543" s="736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37">
        <v>4640242180533</v>
      </c>
      <c r="E544" s="737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2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39"/>
      <c r="R544" s="739"/>
      <c r="S544" s="739"/>
      <c r="T544" s="74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45"/>
      <c r="B545" s="745"/>
      <c r="C545" s="745"/>
      <c r="D545" s="745"/>
      <c r="E545" s="745"/>
      <c r="F545" s="745"/>
      <c r="G545" s="745"/>
      <c r="H545" s="745"/>
      <c r="I545" s="745"/>
      <c r="J545" s="745"/>
      <c r="K545" s="745"/>
      <c r="L545" s="745"/>
      <c r="M545" s="745"/>
      <c r="N545" s="745"/>
      <c r="O545" s="746"/>
      <c r="P545" s="742" t="s">
        <v>40</v>
      </c>
      <c r="Q545" s="743"/>
      <c r="R545" s="743"/>
      <c r="S545" s="743"/>
      <c r="T545" s="743"/>
      <c r="U545" s="743"/>
      <c r="V545" s="74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45"/>
      <c r="B546" s="745"/>
      <c r="C546" s="745"/>
      <c r="D546" s="745"/>
      <c r="E546" s="745"/>
      <c r="F546" s="745"/>
      <c r="G546" s="745"/>
      <c r="H546" s="745"/>
      <c r="I546" s="745"/>
      <c r="J546" s="745"/>
      <c r="K546" s="745"/>
      <c r="L546" s="745"/>
      <c r="M546" s="745"/>
      <c r="N546" s="745"/>
      <c r="O546" s="746"/>
      <c r="P546" s="742" t="s">
        <v>40</v>
      </c>
      <c r="Q546" s="743"/>
      <c r="R546" s="743"/>
      <c r="S546" s="743"/>
      <c r="T546" s="743"/>
      <c r="U546" s="743"/>
      <c r="V546" s="74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36" t="s">
        <v>175</v>
      </c>
      <c r="B547" s="736"/>
      <c r="C547" s="736"/>
      <c r="D547" s="736"/>
      <c r="E547" s="736"/>
      <c r="F547" s="736"/>
      <c r="G547" s="736"/>
      <c r="H547" s="736"/>
      <c r="I547" s="736"/>
      <c r="J547" s="736"/>
      <c r="K547" s="736"/>
      <c r="L547" s="736"/>
      <c r="M547" s="736"/>
      <c r="N547" s="736"/>
      <c r="O547" s="736"/>
      <c r="P547" s="736"/>
      <c r="Q547" s="736"/>
      <c r="R547" s="736"/>
      <c r="S547" s="736"/>
      <c r="T547" s="736"/>
      <c r="U547" s="736"/>
      <c r="V547" s="736"/>
      <c r="W547" s="736"/>
      <c r="X547" s="736"/>
      <c r="Y547" s="736"/>
      <c r="Z547" s="736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37">
        <v>4640242180120</v>
      </c>
      <c r="E548" s="737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39"/>
      <c r="R548" s="739"/>
      <c r="S548" s="739"/>
      <c r="T548" s="74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37">
        <v>4640242180137</v>
      </c>
      <c r="E549" s="737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2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39"/>
      <c r="R549" s="739"/>
      <c r="S549" s="739"/>
      <c r="T549" s="740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45"/>
      <c r="B550" s="745"/>
      <c r="C550" s="745"/>
      <c r="D550" s="745"/>
      <c r="E550" s="745"/>
      <c r="F550" s="745"/>
      <c r="G550" s="745"/>
      <c r="H550" s="745"/>
      <c r="I550" s="745"/>
      <c r="J550" s="745"/>
      <c r="K550" s="745"/>
      <c r="L550" s="745"/>
      <c r="M550" s="745"/>
      <c r="N550" s="745"/>
      <c r="O550" s="746"/>
      <c r="P550" s="742" t="s">
        <v>40</v>
      </c>
      <c r="Q550" s="743"/>
      <c r="R550" s="743"/>
      <c r="S550" s="743"/>
      <c r="T550" s="743"/>
      <c r="U550" s="743"/>
      <c r="V550" s="744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45"/>
      <c r="B551" s="745"/>
      <c r="C551" s="745"/>
      <c r="D551" s="745"/>
      <c r="E551" s="745"/>
      <c r="F551" s="745"/>
      <c r="G551" s="745"/>
      <c r="H551" s="745"/>
      <c r="I551" s="745"/>
      <c r="J551" s="745"/>
      <c r="K551" s="745"/>
      <c r="L551" s="745"/>
      <c r="M551" s="745"/>
      <c r="N551" s="745"/>
      <c r="O551" s="746"/>
      <c r="P551" s="742" t="s">
        <v>40</v>
      </c>
      <c r="Q551" s="743"/>
      <c r="R551" s="743"/>
      <c r="S551" s="743"/>
      <c r="T551" s="743"/>
      <c r="U551" s="743"/>
      <c r="V551" s="744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35" t="s">
        <v>865</v>
      </c>
      <c r="B552" s="735"/>
      <c r="C552" s="735"/>
      <c r="D552" s="735"/>
      <c r="E552" s="735"/>
      <c r="F552" s="735"/>
      <c r="G552" s="735"/>
      <c r="H552" s="735"/>
      <c r="I552" s="735"/>
      <c r="J552" s="735"/>
      <c r="K552" s="735"/>
      <c r="L552" s="735"/>
      <c r="M552" s="735"/>
      <c r="N552" s="735"/>
      <c r="O552" s="735"/>
      <c r="P552" s="735"/>
      <c r="Q552" s="735"/>
      <c r="R552" s="735"/>
      <c r="S552" s="735"/>
      <c r="T552" s="735"/>
      <c r="U552" s="735"/>
      <c r="V552" s="735"/>
      <c r="W552" s="735"/>
      <c r="X552" s="735"/>
      <c r="Y552" s="735"/>
      <c r="Z552" s="735"/>
      <c r="AA552" s="65"/>
      <c r="AB552" s="65"/>
      <c r="AC552" s="79"/>
    </row>
    <row r="553" spans="1:68" ht="14.25" hidden="1" customHeight="1" x14ac:dyDescent="0.25">
      <c r="A553" s="736" t="s">
        <v>157</v>
      </c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6"/>
      <c r="P553" s="736"/>
      <c r="Q553" s="736"/>
      <c r="R553" s="736"/>
      <c r="S553" s="736"/>
      <c r="T553" s="736"/>
      <c r="U553" s="736"/>
      <c r="V553" s="736"/>
      <c r="W553" s="736"/>
      <c r="X553" s="736"/>
      <c r="Y553" s="736"/>
      <c r="Z553" s="736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37">
        <v>4640242180090</v>
      </c>
      <c r="E554" s="737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39"/>
      <c r="R554" s="739"/>
      <c r="S554" s="739"/>
      <c r="T554" s="740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37">
        <v>4680115889798</v>
      </c>
      <c r="E555" s="737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26" t="s">
        <v>871</v>
      </c>
      <c r="Q555" s="739"/>
      <c r="R555" s="739"/>
      <c r="S555" s="739"/>
      <c r="T555" s="740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45"/>
      <c r="B556" s="745"/>
      <c r="C556" s="745"/>
      <c r="D556" s="745"/>
      <c r="E556" s="745"/>
      <c r="F556" s="745"/>
      <c r="G556" s="745"/>
      <c r="H556" s="745"/>
      <c r="I556" s="745"/>
      <c r="J556" s="745"/>
      <c r="K556" s="745"/>
      <c r="L556" s="745"/>
      <c r="M556" s="745"/>
      <c r="N556" s="745"/>
      <c r="O556" s="746"/>
      <c r="P556" s="742" t="s">
        <v>40</v>
      </c>
      <c r="Q556" s="743"/>
      <c r="R556" s="743"/>
      <c r="S556" s="743"/>
      <c r="T556" s="743"/>
      <c r="U556" s="743"/>
      <c r="V556" s="744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45"/>
      <c r="B557" s="745"/>
      <c r="C557" s="745"/>
      <c r="D557" s="745"/>
      <c r="E557" s="745"/>
      <c r="F557" s="745"/>
      <c r="G557" s="745"/>
      <c r="H557" s="745"/>
      <c r="I557" s="745"/>
      <c r="J557" s="745"/>
      <c r="K557" s="745"/>
      <c r="L557" s="745"/>
      <c r="M557" s="745"/>
      <c r="N557" s="745"/>
      <c r="O557" s="746"/>
      <c r="P557" s="742" t="s">
        <v>40</v>
      </c>
      <c r="Q557" s="743"/>
      <c r="R557" s="743"/>
      <c r="S557" s="743"/>
      <c r="T557" s="743"/>
      <c r="U557" s="743"/>
      <c r="V557" s="744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45"/>
      <c r="B558" s="745"/>
      <c r="C558" s="745"/>
      <c r="D558" s="745"/>
      <c r="E558" s="745"/>
      <c r="F558" s="745"/>
      <c r="G558" s="745"/>
      <c r="H558" s="745"/>
      <c r="I558" s="745"/>
      <c r="J558" s="745"/>
      <c r="K558" s="745"/>
      <c r="L558" s="745"/>
      <c r="M558" s="745"/>
      <c r="N558" s="745"/>
      <c r="O558" s="1030"/>
      <c r="P558" s="1027" t="s">
        <v>33</v>
      </c>
      <c r="Q558" s="1028"/>
      <c r="R558" s="1028"/>
      <c r="S558" s="1028"/>
      <c r="T558" s="1028"/>
      <c r="U558" s="1028"/>
      <c r="V558" s="1029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904.24000000000012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917.6400000000001</v>
      </c>
      <c r="Z558" s="42"/>
      <c r="AA558" s="67"/>
      <c r="AB558" s="67"/>
      <c r="AC558" s="67"/>
    </row>
    <row r="559" spans="1:68" x14ac:dyDescent="0.2">
      <c r="A559" s="745"/>
      <c r="B559" s="745"/>
      <c r="C559" s="745"/>
      <c r="D559" s="745"/>
      <c r="E559" s="745"/>
      <c r="F559" s="745"/>
      <c r="G559" s="745"/>
      <c r="H559" s="745"/>
      <c r="I559" s="745"/>
      <c r="J559" s="745"/>
      <c r="K559" s="745"/>
      <c r="L559" s="745"/>
      <c r="M559" s="745"/>
      <c r="N559" s="745"/>
      <c r="O559" s="1030"/>
      <c r="P559" s="1027" t="s">
        <v>34</v>
      </c>
      <c r="Q559" s="1028"/>
      <c r="R559" s="1028"/>
      <c r="S559" s="1028"/>
      <c r="T559" s="1028"/>
      <c r="U559" s="1028"/>
      <c r="V559" s="1029"/>
      <c r="W559" s="42" t="s">
        <v>0</v>
      </c>
      <c r="X559" s="43">
        <f>IFERROR(SUM(BM22:BM555),"0")</f>
        <v>951.04582959313984</v>
      </c>
      <c r="Y559" s="43">
        <f>IFERROR(SUM(BN22:BN555),"0")</f>
        <v>964.96599999999989</v>
      </c>
      <c r="Z559" s="42"/>
      <c r="AA559" s="67"/>
      <c r="AB559" s="67"/>
      <c r="AC559" s="67"/>
    </row>
    <row r="560" spans="1:68" x14ac:dyDescent="0.2">
      <c r="A560" s="745"/>
      <c r="B560" s="745"/>
      <c r="C560" s="745"/>
      <c r="D560" s="745"/>
      <c r="E560" s="745"/>
      <c r="F560" s="745"/>
      <c r="G560" s="745"/>
      <c r="H560" s="745"/>
      <c r="I560" s="745"/>
      <c r="J560" s="745"/>
      <c r="K560" s="745"/>
      <c r="L560" s="745"/>
      <c r="M560" s="745"/>
      <c r="N560" s="745"/>
      <c r="O560" s="1030"/>
      <c r="P560" s="1027" t="s">
        <v>35</v>
      </c>
      <c r="Q560" s="1028"/>
      <c r="R560" s="1028"/>
      <c r="S560" s="1028"/>
      <c r="T560" s="1028"/>
      <c r="U560" s="1028"/>
      <c r="V560" s="1029"/>
      <c r="W560" s="42" t="s">
        <v>20</v>
      </c>
      <c r="X560" s="44">
        <f>ROUNDUP(SUM(BO22:BO555),0)</f>
        <v>2</v>
      </c>
      <c r="Y560" s="44">
        <f>ROUNDUP(SUM(BP22:BP555),0)</f>
        <v>2</v>
      </c>
      <c r="Z560" s="42"/>
      <c r="AA560" s="67"/>
      <c r="AB560" s="67"/>
      <c r="AC560" s="67"/>
    </row>
    <row r="561" spans="1:32" x14ac:dyDescent="0.2">
      <c r="A561" s="745"/>
      <c r="B561" s="745"/>
      <c r="C561" s="745"/>
      <c r="D561" s="745"/>
      <c r="E561" s="745"/>
      <c r="F561" s="745"/>
      <c r="G561" s="745"/>
      <c r="H561" s="745"/>
      <c r="I561" s="745"/>
      <c r="J561" s="745"/>
      <c r="K561" s="745"/>
      <c r="L561" s="745"/>
      <c r="M561" s="745"/>
      <c r="N561" s="745"/>
      <c r="O561" s="1030"/>
      <c r="P561" s="1027" t="s">
        <v>36</v>
      </c>
      <c r="Q561" s="1028"/>
      <c r="R561" s="1028"/>
      <c r="S561" s="1028"/>
      <c r="T561" s="1028"/>
      <c r="U561" s="1028"/>
      <c r="V561" s="1029"/>
      <c r="W561" s="42" t="s">
        <v>0</v>
      </c>
      <c r="X561" s="43">
        <f>GrossWeightTotal+PalletQtyTotal*25</f>
        <v>1001.0458295931398</v>
      </c>
      <c r="Y561" s="43">
        <f>GrossWeightTotalR+PalletQtyTotalR*25</f>
        <v>1014.9659999999999</v>
      </c>
      <c r="Z561" s="42"/>
      <c r="AA561" s="67"/>
      <c r="AB561" s="67"/>
      <c r="AC561" s="67"/>
    </row>
    <row r="562" spans="1:32" x14ac:dyDescent="0.2">
      <c r="A562" s="745"/>
      <c r="B562" s="745"/>
      <c r="C562" s="745"/>
      <c r="D562" s="745"/>
      <c r="E562" s="745"/>
      <c r="F562" s="745"/>
      <c r="G562" s="745"/>
      <c r="H562" s="745"/>
      <c r="I562" s="745"/>
      <c r="J562" s="745"/>
      <c r="K562" s="745"/>
      <c r="L562" s="745"/>
      <c r="M562" s="745"/>
      <c r="N562" s="745"/>
      <c r="O562" s="1030"/>
      <c r="P562" s="1027" t="s">
        <v>37</v>
      </c>
      <c r="Q562" s="1028"/>
      <c r="R562" s="1028"/>
      <c r="S562" s="1028"/>
      <c r="T562" s="1028"/>
      <c r="U562" s="1028"/>
      <c r="V562" s="1029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127.53329684364166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130</v>
      </c>
      <c r="Z562" s="42"/>
      <c r="AA562" s="67"/>
      <c r="AB562" s="67"/>
      <c r="AC562" s="67"/>
    </row>
    <row r="563" spans="1:32" ht="14.25" hidden="1" x14ac:dyDescent="0.2">
      <c r="A563" s="745"/>
      <c r="B563" s="745"/>
      <c r="C563" s="745"/>
      <c r="D563" s="745"/>
      <c r="E563" s="745"/>
      <c r="F563" s="745"/>
      <c r="G563" s="745"/>
      <c r="H563" s="745"/>
      <c r="I563" s="745"/>
      <c r="J563" s="745"/>
      <c r="K563" s="745"/>
      <c r="L563" s="745"/>
      <c r="M563" s="745"/>
      <c r="N563" s="745"/>
      <c r="O563" s="1030"/>
      <c r="P563" s="1027" t="s">
        <v>38</v>
      </c>
      <c r="Q563" s="1028"/>
      <c r="R563" s="1028"/>
      <c r="S563" s="1028"/>
      <c r="T563" s="1028"/>
      <c r="U563" s="1028"/>
      <c r="V563" s="1029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1.8070599999999999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31" t="s">
        <v>120</v>
      </c>
      <c r="E565" s="1031" t="s">
        <v>120</v>
      </c>
      <c r="F565" s="1031" t="s">
        <v>120</v>
      </c>
      <c r="G565" s="1031" t="s">
        <v>120</v>
      </c>
      <c r="H565" s="1031" t="s">
        <v>120</v>
      </c>
      <c r="I565" s="1031" t="s">
        <v>120</v>
      </c>
      <c r="J565" s="1031" t="s">
        <v>120</v>
      </c>
      <c r="K565" s="1031" t="s">
        <v>344</v>
      </c>
      <c r="L565" s="1031" t="s">
        <v>344</v>
      </c>
      <c r="M565" s="1031" t="s">
        <v>344</v>
      </c>
      <c r="N565" s="1032"/>
      <c r="O565" s="1031" t="s">
        <v>344</v>
      </c>
      <c r="P565" s="1031" t="s">
        <v>344</v>
      </c>
      <c r="Q565" s="1031" t="s">
        <v>344</v>
      </c>
      <c r="R565" s="1031" t="s">
        <v>344</v>
      </c>
      <c r="S565" s="1031" t="s">
        <v>344</v>
      </c>
      <c r="T565" s="1031" t="s">
        <v>344</v>
      </c>
      <c r="U565" s="1031" t="s">
        <v>344</v>
      </c>
      <c r="V565" s="1031" t="s">
        <v>344</v>
      </c>
      <c r="W565" s="1031" t="s">
        <v>697</v>
      </c>
      <c r="X565" s="1031" t="s">
        <v>697</v>
      </c>
      <c r="Y565" s="1031" t="s">
        <v>763</v>
      </c>
      <c r="Z565" s="1031" t="s">
        <v>763</v>
      </c>
      <c r="AA565" s="85" t="s">
        <v>799</v>
      </c>
      <c r="AB565" s="1031" t="s">
        <v>846</v>
      </c>
      <c r="AC565" s="1031" t="s">
        <v>846</v>
      </c>
      <c r="AF565" s="1"/>
    </row>
    <row r="566" spans="1:32" ht="14.25" customHeight="1" thickTop="1" x14ac:dyDescent="0.2">
      <c r="A566" s="1033" t="s">
        <v>10</v>
      </c>
      <c r="B566" s="1031" t="s">
        <v>76</v>
      </c>
      <c r="C566" s="1031" t="s">
        <v>104</v>
      </c>
      <c r="D566" s="1031" t="s">
        <v>121</v>
      </c>
      <c r="E566" s="1031" t="s">
        <v>137</v>
      </c>
      <c r="F566" s="1031" t="s">
        <v>183</v>
      </c>
      <c r="G566" s="1031" t="s">
        <v>207</v>
      </c>
      <c r="H566" s="1031" t="s">
        <v>247</v>
      </c>
      <c r="I566" s="1031" t="s">
        <v>260</v>
      </c>
      <c r="J566" s="1031" t="s">
        <v>120</v>
      </c>
      <c r="K566" s="1031" t="s">
        <v>345</v>
      </c>
      <c r="L566" s="1031" t="s">
        <v>366</v>
      </c>
      <c r="M566" s="1031" t="s">
        <v>440</v>
      </c>
      <c r="N566" s="1"/>
      <c r="O566" s="1031" t="s">
        <v>508</v>
      </c>
      <c r="P566" s="1031" t="s">
        <v>541</v>
      </c>
      <c r="Q566" s="1031" t="s">
        <v>557</v>
      </c>
      <c r="R566" s="1031" t="s">
        <v>566</v>
      </c>
      <c r="S566" s="1031" t="s">
        <v>587</v>
      </c>
      <c r="T566" s="1031" t="s">
        <v>596</v>
      </c>
      <c r="U566" s="1031" t="s">
        <v>680</v>
      </c>
      <c r="V566" s="1031" t="s">
        <v>687</v>
      </c>
      <c r="W566" s="1031" t="s">
        <v>698</v>
      </c>
      <c r="X566" s="1031" t="s">
        <v>747</v>
      </c>
      <c r="Y566" s="1031" t="s">
        <v>764</v>
      </c>
      <c r="Z566" s="1031" t="s">
        <v>787</v>
      </c>
      <c r="AA566" s="1031" t="s">
        <v>799</v>
      </c>
      <c r="AB566" s="1031" t="s">
        <v>846</v>
      </c>
      <c r="AC566" s="1031" t="s">
        <v>865</v>
      </c>
      <c r="AF566" s="1"/>
    </row>
    <row r="567" spans="1:32" ht="13.5" thickBot="1" x14ac:dyDescent="0.25">
      <c r="A567" s="1034"/>
      <c r="B567" s="1031"/>
      <c r="C567" s="1031"/>
      <c r="D567" s="1031"/>
      <c r="E567" s="1031"/>
      <c r="F567" s="1031"/>
      <c r="G567" s="1031"/>
      <c r="H567" s="1031"/>
      <c r="I567" s="1031"/>
      <c r="J567" s="1031"/>
      <c r="K567" s="1031"/>
      <c r="L567" s="1031"/>
      <c r="M567" s="1031"/>
      <c r="N567" s="1"/>
      <c r="O567" s="1031"/>
      <c r="P567" s="1031"/>
      <c r="Q567" s="1031"/>
      <c r="R567" s="1031"/>
      <c r="S567" s="1031"/>
      <c r="T567" s="1031"/>
      <c r="U567" s="1031"/>
      <c r="V567" s="1031"/>
      <c r="W567" s="1031"/>
      <c r="X567" s="1031"/>
      <c r="Y567" s="1031"/>
      <c r="Z567" s="1031"/>
      <c r="AA567" s="1031"/>
      <c r="AB567" s="1031"/>
      <c r="AC567" s="1031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10.8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31.500000000000004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41.100000000000009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187.2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360</v>
      </c>
      <c r="X568" s="52">
        <f>IFERROR(Y458*1,"0")+IFERROR(Y459*1,"0")+IFERROR(Y463*1,"0")+IFERROR(Y467*1,"0")+IFERROR(Y468*1,"0")+IFERROR(Y469*1,"0")</f>
        <v>33.6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253.44000000000003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0,92"/>
        <filter val="1 001,05"/>
        <filter val="11,43"/>
        <filter val="12,00"/>
        <filter val="120,00"/>
        <filter val="126,72"/>
        <filter val="127,53"/>
        <filter val="14,00"/>
        <filter val="16,00"/>
        <filter val="18,00"/>
        <filter val="187,20"/>
        <filter val="2"/>
        <filter val="24,00"/>
        <filter val="240,00"/>
        <filter val="30,00"/>
        <filter val="33,60"/>
        <filter val="4,44"/>
        <filter val="42,24"/>
        <filter val="8,00"/>
        <filter val="904,24"/>
        <filter val="951,05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14" priority="13" stopIfTrue="1">
      <formula>IF($V$5="самовывоз",1,0)</formula>
    </cfRule>
  </conditionalFormatting>
  <conditionalFormatting sqref="H9:I9">
    <cfRule type="expression" dxfId="13" priority="6" stopIfTrue="1">
      <formula>IF($V$5="самовывоз",1,0)</formula>
    </cfRule>
  </conditionalFormatting>
  <conditionalFormatting sqref="F9:G9">
    <cfRule type="expression" dxfId="12" priority="5" stopIfTrue="1">
      <formula>IF($V$5="самовывоз",1,0)</formula>
    </cfRule>
  </conditionalFormatting>
  <conditionalFormatting sqref="F10:G10">
    <cfRule type="expression" dxfId="11" priority="4" stopIfTrue="1">
      <formula>IF($V$5="самовывоз",1,0)</formula>
    </cfRule>
  </conditionalFormatting>
  <conditionalFormatting sqref="D9:E9">
    <cfRule type="expression" dxfId="10" priority="3" stopIfTrue="1">
      <formula>IF($V$5="самовывоз",1,0)</formula>
    </cfRule>
  </conditionalFormatting>
  <conditionalFormatting sqref="D10:E10">
    <cfRule type="expression" dxfId="9" priority="2" stopIfTrue="1">
      <formula>IF($V$5="самовывоз",1,0)</formula>
    </cfRule>
  </conditionalFormatting>
  <conditionalFormatting sqref="P8:R8 P5:R6">
    <cfRule type="expression" dxfId="8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AF6D-C55B-4DD3-8683-A6DF6892DC18}">
  <sheetPr filterMode="1"/>
  <dimension ref="A1:AC568"/>
  <sheetViews>
    <sheetView topLeftCell="E1" workbookViewId="0">
      <pane xSplit="11" ySplit="13" topLeftCell="P15" activePane="bottomRight" state="frozen"/>
      <selection activeCell="E1" sqref="E1"/>
      <selection pane="topRight" activeCell="P1" sqref="P1"/>
      <selection pane="bottomLeft" activeCell="E14" sqref="E14"/>
      <selection pane="bottomRight" activeCell="D220" sqref="A220:XFD220"/>
    </sheetView>
  </sheetViews>
  <sheetFormatPr defaultRowHeight="12.75" x14ac:dyDescent="0.2"/>
  <cols>
    <col min="1" max="1" width="8.85546875" style="65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66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651" customWidth="1"/>
    <col min="19" max="19" width="6.140625" style="65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651" customWidth="1"/>
    <col min="25" max="25" width="11" style="651" customWidth="1"/>
    <col min="26" max="26" width="10" style="651" customWidth="1"/>
    <col min="27" max="27" width="11.5703125" style="651" customWidth="1"/>
    <col min="28" max="28" width="10.42578125" style="651" customWidth="1"/>
    <col min="29" max="29" width="30" style="651" customWidth="1"/>
  </cols>
  <sheetData>
    <row r="1" spans="1:29" ht="21" x14ac:dyDescent="0.2">
      <c r="A1" s="47"/>
      <c r="B1" s="47"/>
      <c r="C1" s="47"/>
      <c r="D1" s="666" t="s">
        <v>26</v>
      </c>
      <c r="E1" s="666"/>
      <c r="F1" s="666"/>
      <c r="G1" s="658" t="s">
        <v>67</v>
      </c>
      <c r="H1" s="666" t="s">
        <v>47</v>
      </c>
      <c r="I1" s="666"/>
      <c r="J1" s="666"/>
      <c r="K1" s="666"/>
      <c r="L1" s="666"/>
      <c r="M1" s="666"/>
      <c r="N1" s="666"/>
      <c r="O1" s="666"/>
      <c r="P1" s="666"/>
      <c r="Q1" s="666"/>
      <c r="R1" s="667" t="s">
        <v>68</v>
      </c>
      <c r="S1" s="668"/>
      <c r="T1" s="668"/>
      <c r="U1" s="15"/>
      <c r="V1" s="15"/>
      <c r="W1" s="15"/>
      <c r="X1" s="15"/>
      <c r="Y1" s="15"/>
      <c r="Z1" s="15"/>
      <c r="AA1" s="15"/>
      <c r="AB1" s="61"/>
      <c r="AC1" s="61"/>
    </row>
    <row r="2" spans="1:29" ht="21" x14ac:dyDescent="0.2">
      <c r="A2" s="34" t="s">
        <v>42</v>
      </c>
      <c r="B2" s="35" t="s">
        <v>69</v>
      </c>
      <c r="C2" s="13"/>
      <c r="D2" s="13"/>
      <c r="E2" s="18"/>
      <c r="F2" s="18"/>
      <c r="G2" s="659"/>
      <c r="H2" s="18"/>
      <c r="I2" s="18"/>
      <c r="J2" s="18"/>
      <c r="K2" s="18"/>
      <c r="L2" s="18"/>
      <c r="M2" s="18"/>
      <c r="N2" s="18"/>
      <c r="O2" s="18"/>
      <c r="P2" s="669" t="s">
        <v>46</v>
      </c>
      <c r="Q2" s="669"/>
      <c r="R2" s="669"/>
      <c r="S2" s="669"/>
      <c r="T2" s="669"/>
      <c r="U2" s="669"/>
      <c r="V2" s="669"/>
      <c r="W2" s="669"/>
      <c r="X2" s="19"/>
      <c r="Y2" s="19"/>
      <c r="Z2" s="19"/>
      <c r="AA2" s="19"/>
      <c r="AB2" s="59"/>
      <c r="AC2" s="59"/>
    </row>
    <row r="3" spans="1:29" ht="21" x14ac:dyDescent="0.2">
      <c r="A3" s="32"/>
      <c r="B3" s="12" t="s">
        <v>53</v>
      </c>
      <c r="C3" s="16"/>
      <c r="D3" s="16"/>
      <c r="E3" s="20"/>
      <c r="F3" s="21" t="s">
        <v>7</v>
      </c>
      <c r="G3" s="659"/>
      <c r="H3" s="18"/>
      <c r="I3" s="18"/>
      <c r="J3" s="21"/>
      <c r="K3" s="21"/>
      <c r="L3" s="21"/>
      <c r="M3" s="18"/>
      <c r="N3" s="18"/>
      <c r="O3" s="18"/>
      <c r="P3" s="669"/>
      <c r="Q3" s="669"/>
      <c r="R3" s="669"/>
      <c r="S3" s="669"/>
      <c r="T3" s="669"/>
      <c r="U3" s="669"/>
      <c r="V3" s="669"/>
      <c r="W3" s="669"/>
      <c r="X3" s="19"/>
      <c r="Y3" s="19"/>
      <c r="Z3" s="19"/>
      <c r="AA3" s="19"/>
      <c r="AB3" s="59"/>
      <c r="AC3" s="59"/>
    </row>
    <row r="4" spans="1:29" ht="18.75" x14ac:dyDescent="0.2">
      <c r="A4" s="22"/>
      <c r="B4" s="22"/>
      <c r="C4" s="22"/>
      <c r="D4" s="22"/>
      <c r="E4" s="22"/>
      <c r="F4" s="22"/>
      <c r="G4" s="660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</row>
    <row r="5" spans="1:29" ht="16.5" x14ac:dyDescent="0.2">
      <c r="A5" s="670" t="s">
        <v>8</v>
      </c>
      <c r="B5" s="670"/>
      <c r="C5" s="670"/>
      <c r="D5" s="671"/>
      <c r="E5" s="671"/>
      <c r="F5" s="672" t="s">
        <v>14</v>
      </c>
      <c r="G5" s="672"/>
      <c r="H5" s="671"/>
      <c r="I5" s="671"/>
      <c r="J5" s="671"/>
      <c r="K5" s="671"/>
      <c r="L5" s="671"/>
      <c r="M5" s="671"/>
      <c r="N5" s="72"/>
      <c r="O5" s="655"/>
      <c r="P5" s="29" t="s">
        <v>4</v>
      </c>
      <c r="Q5" s="673">
        <v>46279</v>
      </c>
      <c r="R5" s="673"/>
      <c r="S5" s="655"/>
      <c r="T5" s="674" t="s">
        <v>3</v>
      </c>
      <c r="U5" s="675"/>
      <c r="V5" s="676" t="s">
        <v>875</v>
      </c>
      <c r="W5" s="677"/>
      <c r="X5" s="655"/>
      <c r="Y5" s="655"/>
      <c r="Z5" s="655"/>
      <c r="AA5" s="655"/>
      <c r="AB5" s="59"/>
      <c r="AC5" s="59"/>
    </row>
    <row r="6" spans="1:29" ht="16.5" x14ac:dyDescent="0.2">
      <c r="A6" s="670" t="s">
        <v>1</v>
      </c>
      <c r="B6" s="670"/>
      <c r="C6" s="670"/>
      <c r="D6" s="678"/>
      <c r="E6" s="678"/>
      <c r="F6" s="678"/>
      <c r="G6" s="678"/>
      <c r="H6" s="678"/>
      <c r="I6" s="678"/>
      <c r="J6" s="678"/>
      <c r="K6" s="678"/>
      <c r="L6" s="678"/>
      <c r="M6" s="678"/>
      <c r="N6" s="73"/>
      <c r="O6" s="655"/>
      <c r="P6" s="29" t="s">
        <v>27</v>
      </c>
      <c r="Q6" s="679" t="str">
        <f>IF(Q5=0," ",CHOOSE(WEEKDAY(Q5,2),"Понедельник","Вторник","Среда","Четверг","Пятница","Суббота","Воскресенье"))</f>
        <v>Понедельник</v>
      </c>
      <c r="R6" s="679"/>
      <c r="S6" s="655"/>
      <c r="T6" s="680" t="s">
        <v>5</v>
      </c>
      <c r="U6" s="681"/>
      <c r="V6" s="682" t="s">
        <v>70</v>
      </c>
      <c r="W6" s="683"/>
      <c r="X6" s="655"/>
      <c r="Y6" s="655"/>
      <c r="Z6" s="655"/>
      <c r="AA6" s="655"/>
      <c r="AB6" s="59"/>
      <c r="AC6" s="59"/>
    </row>
    <row r="7" spans="1:29" ht="16.5" x14ac:dyDescent="0.2">
      <c r="A7" s="64"/>
      <c r="B7" s="64"/>
      <c r="C7" s="64"/>
      <c r="D7" s="688">
        <f>IFERROR(VLOOKUP(DeliveryAddress,Table,3,0),1)</f>
        <v>1</v>
      </c>
      <c r="E7" s="689"/>
      <c r="F7" s="689"/>
      <c r="G7" s="689"/>
      <c r="H7" s="689"/>
      <c r="I7" s="689"/>
      <c r="J7" s="689"/>
      <c r="K7" s="689"/>
      <c r="L7" s="689"/>
      <c r="M7" s="690"/>
      <c r="N7" s="74"/>
      <c r="O7" s="655"/>
      <c r="P7" s="29"/>
      <c r="Q7" s="48"/>
      <c r="R7" s="48"/>
      <c r="S7" s="655"/>
      <c r="T7" s="680"/>
      <c r="U7" s="681"/>
      <c r="V7" s="684"/>
      <c r="W7" s="685"/>
      <c r="X7" s="655"/>
      <c r="Y7" s="655"/>
      <c r="Z7" s="655"/>
      <c r="AA7" s="655"/>
      <c r="AB7" s="59"/>
      <c r="AC7" s="59"/>
    </row>
    <row r="8" spans="1:29" ht="16.5" x14ac:dyDescent="0.2">
      <c r="A8" s="691" t="s">
        <v>58</v>
      </c>
      <c r="B8" s="691"/>
      <c r="C8" s="691"/>
      <c r="D8" s="692"/>
      <c r="E8" s="692"/>
      <c r="F8" s="692"/>
      <c r="G8" s="692"/>
      <c r="H8" s="692"/>
      <c r="I8" s="692"/>
      <c r="J8" s="692"/>
      <c r="K8" s="692"/>
      <c r="L8" s="692"/>
      <c r="M8" s="692"/>
      <c r="N8" s="75"/>
      <c r="O8" s="655"/>
      <c r="P8" s="29" t="s">
        <v>11</v>
      </c>
      <c r="Q8" s="693">
        <v>0.41666666666666669</v>
      </c>
      <c r="R8" s="693"/>
      <c r="S8" s="655"/>
      <c r="T8" s="680"/>
      <c r="U8" s="681"/>
      <c r="V8" s="684"/>
      <c r="W8" s="685"/>
      <c r="X8" s="655"/>
      <c r="Y8" s="655"/>
      <c r="Z8" s="655"/>
      <c r="AA8" s="655"/>
      <c r="AB8" s="59"/>
      <c r="AC8" s="59"/>
    </row>
    <row r="9" spans="1:29" ht="16.5" x14ac:dyDescent="0.2">
      <c r="A9" s="694" t="s">
        <v>46</v>
      </c>
      <c r="B9" s="694"/>
      <c r="C9" s="694"/>
      <c r="D9" s="695" t="s">
        <v>46</v>
      </c>
      <c r="E9" s="696"/>
      <c r="F9" s="694" t="s">
        <v>46</v>
      </c>
      <c r="G9" s="694"/>
      <c r="H9" s="697" t="s">
        <v>46</v>
      </c>
      <c r="I9" s="697"/>
      <c r="J9" s="697" t="s">
        <v>46</v>
      </c>
      <c r="K9" s="697"/>
      <c r="L9" s="697"/>
      <c r="M9" s="697"/>
      <c r="N9" s="656"/>
      <c r="O9" s="655"/>
      <c r="P9" s="31" t="s">
        <v>15</v>
      </c>
      <c r="Q9" s="698"/>
      <c r="R9" s="698"/>
      <c r="S9" s="655"/>
      <c r="T9" s="680"/>
      <c r="U9" s="681"/>
      <c r="V9" s="686"/>
      <c r="W9" s="687"/>
      <c r="X9" s="49"/>
      <c r="Y9" s="49"/>
      <c r="Z9" s="49"/>
      <c r="AA9" s="49"/>
      <c r="AB9" s="59"/>
      <c r="AC9" s="59"/>
    </row>
    <row r="10" spans="1:29" ht="16.5" x14ac:dyDescent="0.2">
      <c r="A10" s="694" t="s">
        <v>46</v>
      </c>
      <c r="B10" s="694"/>
      <c r="C10" s="694"/>
      <c r="D10" s="695"/>
      <c r="E10" s="696"/>
      <c r="F10" s="694" t="s">
        <v>46</v>
      </c>
      <c r="G10" s="694"/>
      <c r="H10" s="699" t="s">
        <v>46</v>
      </c>
      <c r="I10" s="699"/>
      <c r="J10" s="699"/>
      <c r="K10" s="699"/>
      <c r="L10" s="699"/>
      <c r="M10" s="699"/>
      <c r="N10" s="654"/>
      <c r="O10" s="655"/>
      <c r="P10" s="31" t="s">
        <v>32</v>
      </c>
      <c r="Q10" s="700"/>
      <c r="R10" s="700"/>
      <c r="S10" s="655"/>
      <c r="T10" s="655"/>
      <c r="U10" s="29" t="s">
        <v>12</v>
      </c>
      <c r="V10" s="701" t="s">
        <v>71</v>
      </c>
      <c r="W10" s="702"/>
      <c r="X10" s="50"/>
      <c r="Y10" s="50"/>
      <c r="Z10" s="50"/>
      <c r="AA10" s="50"/>
      <c r="AB10" s="59"/>
      <c r="AC10" s="59"/>
    </row>
    <row r="11" spans="1:29" ht="16.5" x14ac:dyDescent="0.2">
      <c r="A11" s="33" t="s">
        <v>51</v>
      </c>
      <c r="B11" s="30"/>
      <c r="C11" s="30"/>
      <c r="D11" s="30"/>
      <c r="E11" s="30"/>
      <c r="F11" s="30"/>
      <c r="G11" s="661"/>
      <c r="H11" s="30"/>
      <c r="I11" s="30"/>
      <c r="J11" s="30"/>
      <c r="K11" s="30"/>
      <c r="L11" s="30"/>
      <c r="M11" s="30"/>
      <c r="N11" s="30"/>
      <c r="O11" s="655"/>
      <c r="P11" s="31" t="s">
        <v>29</v>
      </c>
      <c r="Q11" s="703"/>
      <c r="R11" s="703"/>
      <c r="S11" s="655"/>
      <c r="T11" s="655"/>
      <c r="U11" s="29" t="s">
        <v>28</v>
      </c>
      <c r="V11" s="704" t="s">
        <v>55</v>
      </c>
      <c r="W11" s="704"/>
      <c r="X11" s="51"/>
      <c r="Y11" s="51"/>
      <c r="Z11" s="51"/>
      <c r="AA11" s="51"/>
      <c r="AB11" s="59"/>
      <c r="AC11" s="59"/>
    </row>
    <row r="12" spans="1:29" ht="16.5" x14ac:dyDescent="0.2">
      <c r="A12" s="705" t="s">
        <v>72</v>
      </c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705"/>
      <c r="N12" s="76"/>
      <c r="O12" s="655"/>
      <c r="P12" s="29" t="s">
        <v>30</v>
      </c>
      <c r="Q12" s="693"/>
      <c r="R12" s="693"/>
      <c r="S12" s="28"/>
      <c r="T12"/>
      <c r="U12" s="29" t="s">
        <v>46</v>
      </c>
      <c r="V12" s="706"/>
      <c r="W12" s="706"/>
      <c r="X12"/>
      <c r="Y12" s="655"/>
      <c r="Z12" s="655"/>
      <c r="AA12" s="655"/>
      <c r="AB12" s="59"/>
      <c r="AC12" s="59"/>
    </row>
    <row r="13" spans="1:29" ht="16.5" x14ac:dyDescent="0.2">
      <c r="A13" s="705" t="s">
        <v>73</v>
      </c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6"/>
      <c r="O13" s="31"/>
      <c r="P13" s="31" t="s">
        <v>31</v>
      </c>
      <c r="Q13" s="704"/>
      <c r="R13" s="704"/>
      <c r="S13" s="28"/>
      <c r="T13"/>
      <c r="U13"/>
      <c r="V13"/>
      <c r="W13"/>
      <c r="X13" s="56"/>
      <c r="Y13" s="56"/>
      <c r="Z13" s="56"/>
      <c r="AA13" s="56"/>
      <c r="AB13" s="59"/>
      <c r="AC13" s="59"/>
    </row>
    <row r="14" spans="1:29" ht="16.5" x14ac:dyDescent="0.2">
      <c r="A14" s="705" t="s">
        <v>74</v>
      </c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</row>
    <row r="15" spans="1:29" x14ac:dyDescent="0.2">
      <c r="A15" s="707" t="s">
        <v>75</v>
      </c>
      <c r="B15" s="707"/>
      <c r="C15" s="707"/>
      <c r="D15" s="707"/>
      <c r="E15" s="707"/>
      <c r="F15" s="707"/>
      <c r="G15" s="707"/>
      <c r="H15" s="707"/>
      <c r="I15" s="707"/>
      <c r="J15" s="707"/>
      <c r="K15" s="707"/>
      <c r="L15" s="707"/>
      <c r="M15" s="707"/>
      <c r="N15" s="77"/>
      <c r="O15"/>
      <c r="P15" s="708" t="s">
        <v>61</v>
      </c>
      <c r="Q15" s="708"/>
      <c r="R15" s="708"/>
      <c r="S15" s="708"/>
      <c r="T15" s="708"/>
      <c r="U15"/>
      <c r="V15"/>
      <c r="W15"/>
      <c r="X15" s="26"/>
      <c r="Y15" s="26"/>
      <c r="Z15" s="26"/>
      <c r="AA15" s="26"/>
      <c r="AB15" s="59"/>
      <c r="AC15" s="59"/>
    </row>
    <row r="16" spans="1:29" x14ac:dyDescent="0.2">
      <c r="B16" s="7"/>
      <c r="C16" s="7"/>
      <c r="D16" s="6"/>
      <c r="E16" s="6"/>
      <c r="F16" s="6"/>
      <c r="G16" s="662"/>
      <c r="H16" s="8"/>
      <c r="I16" s="8"/>
      <c r="J16" s="8"/>
      <c r="K16" s="8"/>
      <c r="L16" s="8"/>
      <c r="M16" s="8"/>
      <c r="N16" s="8"/>
      <c r="O16" s="8"/>
      <c r="P16" s="709"/>
      <c r="Q16" s="709"/>
      <c r="R16" s="709"/>
      <c r="S16" s="709"/>
      <c r="T16" s="709"/>
      <c r="U16" s="8"/>
      <c r="V16" s="8"/>
      <c r="W16" s="10"/>
      <c r="X16" s="11"/>
      <c r="Y16" s="11"/>
      <c r="Z16" s="11"/>
      <c r="AA16" s="11"/>
      <c r="AB16" s="11"/>
      <c r="AC16" s="11"/>
    </row>
    <row r="17" spans="1:29" x14ac:dyDescent="0.2">
      <c r="A17" s="712" t="s">
        <v>59</v>
      </c>
      <c r="B17" s="712" t="s">
        <v>49</v>
      </c>
      <c r="C17" s="714" t="s">
        <v>48</v>
      </c>
      <c r="D17" s="716" t="s">
        <v>50</v>
      </c>
      <c r="E17" s="717"/>
      <c r="F17" s="712" t="s">
        <v>21</v>
      </c>
      <c r="G17" s="1035" t="s">
        <v>24</v>
      </c>
      <c r="H17" s="712" t="s">
        <v>22</v>
      </c>
      <c r="I17" s="712" t="s">
        <v>23</v>
      </c>
      <c r="J17" s="712" t="s">
        <v>16</v>
      </c>
      <c r="K17" s="712" t="s">
        <v>66</v>
      </c>
      <c r="L17" s="712" t="s">
        <v>64</v>
      </c>
      <c r="M17" s="712" t="s">
        <v>2</v>
      </c>
      <c r="N17" s="712" t="s">
        <v>63</v>
      </c>
      <c r="O17" s="712" t="s">
        <v>25</v>
      </c>
      <c r="P17" s="716" t="s">
        <v>17</v>
      </c>
      <c r="Q17" s="720"/>
      <c r="R17" s="720"/>
      <c r="S17" s="720"/>
      <c r="T17" s="717"/>
      <c r="U17" s="710" t="s">
        <v>56</v>
      </c>
      <c r="V17" s="711"/>
      <c r="W17" s="712" t="s">
        <v>6</v>
      </c>
      <c r="X17" s="712" t="s">
        <v>41</v>
      </c>
      <c r="Y17" s="722" t="s">
        <v>54</v>
      </c>
      <c r="Z17" s="724" t="s">
        <v>18</v>
      </c>
      <c r="AA17" s="726" t="s">
        <v>60</v>
      </c>
      <c r="AB17" s="726" t="s">
        <v>19</v>
      </c>
      <c r="AC17" s="726" t="s">
        <v>65</v>
      </c>
    </row>
    <row r="18" spans="1:29" x14ac:dyDescent="0.2">
      <c r="A18" s="713"/>
      <c r="B18" s="713"/>
      <c r="C18" s="715"/>
      <c r="D18" s="718"/>
      <c r="E18" s="719"/>
      <c r="F18" s="713"/>
      <c r="G18" s="1036"/>
      <c r="H18" s="713"/>
      <c r="I18" s="713"/>
      <c r="J18" s="713"/>
      <c r="K18" s="713"/>
      <c r="L18" s="713"/>
      <c r="M18" s="713"/>
      <c r="N18" s="713"/>
      <c r="O18" s="713"/>
      <c r="P18" s="718"/>
      <c r="Q18" s="721"/>
      <c r="R18" s="721"/>
      <c r="S18" s="721"/>
      <c r="T18" s="719"/>
      <c r="U18" s="83" t="s">
        <v>44</v>
      </c>
      <c r="V18" s="83" t="s">
        <v>43</v>
      </c>
      <c r="W18" s="713"/>
      <c r="X18" s="713"/>
      <c r="Y18" s="723"/>
      <c r="Z18" s="725"/>
      <c r="AA18" s="727"/>
      <c r="AB18" s="727"/>
      <c r="AC18" s="727"/>
    </row>
    <row r="19" spans="1:29" ht="20.25" hidden="1" x14ac:dyDescent="0.2">
      <c r="A19" s="734" t="s">
        <v>76</v>
      </c>
      <c r="B19" s="734"/>
      <c r="C19" s="734"/>
      <c r="D19" s="734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Q19" s="734"/>
      <c r="R19" s="734"/>
      <c r="S19" s="734"/>
      <c r="T19" s="734"/>
      <c r="U19" s="734"/>
      <c r="V19" s="734"/>
      <c r="W19" s="734"/>
      <c r="X19" s="734"/>
      <c r="Y19" s="734"/>
      <c r="Z19" s="734"/>
      <c r="AA19" s="54"/>
      <c r="AB19" s="54"/>
      <c r="AC19" s="54"/>
    </row>
    <row r="20" spans="1:29" ht="15" hidden="1" x14ac:dyDescent="0.25">
      <c r="A20" s="735" t="s">
        <v>76</v>
      </c>
      <c r="B20" s="735"/>
      <c r="C20" s="735"/>
      <c r="D20" s="735"/>
      <c r="E20" s="735"/>
      <c r="F20" s="735"/>
      <c r="G20" s="735"/>
      <c r="H20" s="735"/>
      <c r="I20" s="735"/>
      <c r="J20" s="735"/>
      <c r="K20" s="735"/>
      <c r="L20" s="735"/>
      <c r="M20" s="735"/>
      <c r="N20" s="735"/>
      <c r="O20" s="735"/>
      <c r="P20" s="735"/>
      <c r="Q20" s="735"/>
      <c r="R20" s="735"/>
      <c r="S20" s="735"/>
      <c r="T20" s="735"/>
      <c r="U20" s="735"/>
      <c r="V20" s="735"/>
      <c r="W20" s="735"/>
      <c r="X20" s="735"/>
      <c r="Y20" s="735"/>
      <c r="Z20" s="735"/>
      <c r="AA20" s="653"/>
      <c r="AB20" s="653"/>
      <c r="AC20" s="653"/>
    </row>
    <row r="21" spans="1:29" ht="15" hidden="1" x14ac:dyDescent="0.25">
      <c r="A21" s="736" t="s">
        <v>77</v>
      </c>
      <c r="B21" s="736"/>
      <c r="C21" s="736"/>
      <c r="D21" s="736"/>
      <c r="E21" s="736"/>
      <c r="F21" s="736"/>
      <c r="G21" s="736"/>
      <c r="H21" s="736"/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36"/>
      <c r="V21" s="736"/>
      <c r="W21" s="736"/>
      <c r="X21" s="736"/>
      <c r="Y21" s="736"/>
      <c r="Z21" s="736"/>
      <c r="AA21" s="652"/>
      <c r="AB21" s="652"/>
      <c r="AC21" s="652"/>
    </row>
    <row r="22" spans="1:29" ht="15" hidden="1" x14ac:dyDescent="0.25">
      <c r="A22" s="63" t="s">
        <v>78</v>
      </c>
      <c r="B22" s="63" t="s">
        <v>79</v>
      </c>
      <c r="C22" s="36">
        <v>4301031278</v>
      </c>
      <c r="D22" s="737">
        <v>4680115886643</v>
      </c>
      <c r="E22" s="737"/>
      <c r="F22" s="62">
        <v>0.19</v>
      </c>
      <c r="G22" s="663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9"/>
      <c r="R22" s="739"/>
      <c r="S22" s="739"/>
      <c r="T22" s="74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</row>
    <row r="23" spans="1:29" ht="15" hidden="1" x14ac:dyDescent="0.25">
      <c r="A23" s="63" t="s">
        <v>83</v>
      </c>
      <c r="B23" s="63" t="s">
        <v>84</v>
      </c>
      <c r="C23" s="36">
        <v>4301031508</v>
      </c>
      <c r="D23" s="737">
        <v>4680115889071</v>
      </c>
      <c r="E23" s="737"/>
      <c r="F23" s="62">
        <v>0.3</v>
      </c>
      <c r="G23" s="663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9"/>
      <c r="R23" s="739"/>
      <c r="S23" s="739"/>
      <c r="T23" s="74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</row>
    <row r="24" spans="1:29" hidden="1" x14ac:dyDescent="0.2">
      <c r="A24" s="745"/>
      <c r="B24" s="745"/>
      <c r="C24" s="745"/>
      <c r="D24" s="745"/>
      <c r="E24" s="745"/>
      <c r="F24" s="745"/>
      <c r="G24" s="745"/>
      <c r="H24" s="745"/>
      <c r="I24" s="745"/>
      <c r="J24" s="745"/>
      <c r="K24" s="745"/>
      <c r="L24" s="745"/>
      <c r="M24" s="745"/>
      <c r="N24" s="745"/>
      <c r="O24" s="746"/>
      <c r="P24" s="742" t="s">
        <v>40</v>
      </c>
      <c r="Q24" s="743"/>
      <c r="R24" s="743"/>
      <c r="S24" s="743"/>
      <c r="T24" s="743"/>
      <c r="U24" s="743"/>
      <c r="V24" s="7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29" hidden="1" x14ac:dyDescent="0.2">
      <c r="A25" s="745"/>
      <c r="B25" s="745"/>
      <c r="C25" s="745"/>
      <c r="D25" s="745"/>
      <c r="E25" s="745"/>
      <c r="F25" s="745"/>
      <c r="G25" s="745"/>
      <c r="H25" s="745"/>
      <c r="I25" s="745"/>
      <c r="J25" s="745"/>
      <c r="K25" s="745"/>
      <c r="L25" s="745"/>
      <c r="M25" s="745"/>
      <c r="N25" s="745"/>
      <c r="O25" s="746"/>
      <c r="P25" s="742" t="s">
        <v>40</v>
      </c>
      <c r="Q25" s="743"/>
      <c r="R25" s="743"/>
      <c r="S25" s="743"/>
      <c r="T25" s="743"/>
      <c r="U25" s="743"/>
      <c r="V25" s="7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29" ht="15" hidden="1" x14ac:dyDescent="0.25">
      <c r="A26" s="736" t="s">
        <v>86</v>
      </c>
      <c r="B26" s="736"/>
      <c r="C26" s="736"/>
      <c r="D26" s="736"/>
      <c r="E26" s="736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652"/>
      <c r="AB26" s="652"/>
      <c r="AC26" s="652"/>
    </row>
    <row r="27" spans="1:29" ht="23.25" hidden="1" x14ac:dyDescent="0.25">
      <c r="A27" s="63" t="s">
        <v>87</v>
      </c>
      <c r="B27" s="63" t="s">
        <v>88</v>
      </c>
      <c r="C27" s="36">
        <v>4301051866</v>
      </c>
      <c r="D27" s="737">
        <v>4680115885912</v>
      </c>
      <c r="E27" s="737"/>
      <c r="F27" s="62">
        <v>0.3</v>
      </c>
      <c r="G27" s="663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9"/>
      <c r="R27" s="739"/>
      <c r="S27" s="739"/>
      <c r="T27" s="74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</row>
    <row r="28" spans="1:29" ht="23.25" hidden="1" x14ac:dyDescent="0.25">
      <c r="A28" s="63" t="s">
        <v>92</v>
      </c>
      <c r="B28" s="63" t="s">
        <v>93</v>
      </c>
      <c r="C28" s="36">
        <v>4301051776</v>
      </c>
      <c r="D28" s="737">
        <v>4607091388237</v>
      </c>
      <c r="E28" s="737"/>
      <c r="F28" s="62">
        <v>0.42</v>
      </c>
      <c r="G28" s="663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9"/>
      <c r="R28" s="739"/>
      <c r="S28" s="739"/>
      <c r="T28" s="74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</row>
    <row r="29" spans="1:29" ht="23.25" hidden="1" x14ac:dyDescent="0.25">
      <c r="A29" s="63" t="s">
        <v>94</v>
      </c>
      <c r="B29" s="63" t="s">
        <v>95</v>
      </c>
      <c r="C29" s="36">
        <v>4301052063</v>
      </c>
      <c r="D29" s="737">
        <v>4680115887350</v>
      </c>
      <c r="E29" s="737"/>
      <c r="F29" s="62">
        <v>0.3</v>
      </c>
      <c r="G29" s="663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9"/>
      <c r="R29" s="739"/>
      <c r="S29" s="739"/>
      <c r="T29" s="74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</row>
    <row r="30" spans="1:29" ht="15" hidden="1" x14ac:dyDescent="0.25">
      <c r="A30" s="63" t="s">
        <v>98</v>
      </c>
      <c r="B30" s="63" t="s">
        <v>99</v>
      </c>
      <c r="C30" s="36">
        <v>4301051863</v>
      </c>
      <c r="D30" s="737">
        <v>4680115885905</v>
      </c>
      <c r="E30" s="737"/>
      <c r="F30" s="62">
        <v>0.3</v>
      </c>
      <c r="G30" s="663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9"/>
      <c r="R30" s="739"/>
      <c r="S30" s="739"/>
      <c r="T30" s="74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</row>
    <row r="31" spans="1:29" ht="15" hidden="1" x14ac:dyDescent="0.25">
      <c r="A31" s="63" t="s">
        <v>101</v>
      </c>
      <c r="B31" s="63" t="s">
        <v>102</v>
      </c>
      <c r="C31" s="36">
        <v>4301052071</v>
      </c>
      <c r="D31" s="737">
        <v>4680115887619</v>
      </c>
      <c r="E31" s="737"/>
      <c r="F31" s="62">
        <v>0.33</v>
      </c>
      <c r="G31" s="663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9"/>
      <c r="R31" s="739"/>
      <c r="S31" s="739"/>
      <c r="T31" s="74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</row>
    <row r="32" spans="1:29" hidden="1" x14ac:dyDescent="0.2">
      <c r="A32" s="745"/>
      <c r="B32" s="745"/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  <c r="N32" s="745"/>
      <c r="O32" s="746"/>
      <c r="P32" s="742" t="s">
        <v>40</v>
      </c>
      <c r="Q32" s="743"/>
      <c r="R32" s="743"/>
      <c r="S32" s="743"/>
      <c r="T32" s="743"/>
      <c r="U32" s="743"/>
      <c r="V32" s="7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29" hidden="1" x14ac:dyDescent="0.2">
      <c r="A33" s="745"/>
      <c r="B33" s="745"/>
      <c r="C33" s="745"/>
      <c r="D33" s="745"/>
      <c r="E33" s="745"/>
      <c r="F33" s="745"/>
      <c r="G33" s="745"/>
      <c r="H33" s="745"/>
      <c r="I33" s="745"/>
      <c r="J33" s="745"/>
      <c r="K33" s="745"/>
      <c r="L33" s="745"/>
      <c r="M33" s="745"/>
      <c r="N33" s="745"/>
      <c r="O33" s="746"/>
      <c r="P33" s="742" t="s">
        <v>40</v>
      </c>
      <c r="Q33" s="743"/>
      <c r="R33" s="743"/>
      <c r="S33" s="743"/>
      <c r="T33" s="743"/>
      <c r="U33" s="743"/>
      <c r="V33" s="7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29" ht="20.25" hidden="1" x14ac:dyDescent="0.2">
      <c r="A34" s="734" t="s">
        <v>45</v>
      </c>
      <c r="B34" s="734"/>
      <c r="C34" s="734"/>
      <c r="D34" s="734"/>
      <c r="E34" s="734"/>
      <c r="F34" s="734"/>
      <c r="G34" s="734"/>
      <c r="H34" s="734"/>
      <c r="I34" s="734"/>
      <c r="J34" s="734"/>
      <c r="K34" s="734"/>
      <c r="L34" s="734"/>
      <c r="M34" s="734"/>
      <c r="N34" s="734"/>
      <c r="O34" s="734"/>
      <c r="P34" s="734"/>
      <c r="Q34" s="734"/>
      <c r="R34" s="734"/>
      <c r="S34" s="734"/>
      <c r="T34" s="734"/>
      <c r="U34" s="734"/>
      <c r="V34" s="734"/>
      <c r="W34" s="734"/>
      <c r="X34" s="734"/>
      <c r="Y34" s="734"/>
      <c r="Z34" s="734"/>
      <c r="AA34" s="54"/>
      <c r="AB34" s="54"/>
      <c r="AC34" s="54"/>
    </row>
    <row r="35" spans="1:29" ht="15" hidden="1" x14ac:dyDescent="0.25">
      <c r="A35" s="735" t="s">
        <v>104</v>
      </c>
      <c r="B35" s="735"/>
      <c r="C35" s="735"/>
      <c r="D35" s="735"/>
      <c r="E35" s="735"/>
      <c r="F35" s="735"/>
      <c r="G35" s="735"/>
      <c r="H35" s="735"/>
      <c r="I35" s="735"/>
      <c r="J35" s="735"/>
      <c r="K35" s="735"/>
      <c r="L35" s="735"/>
      <c r="M35" s="735"/>
      <c r="N35" s="735"/>
      <c r="O35" s="735"/>
      <c r="P35" s="735"/>
      <c r="Q35" s="735"/>
      <c r="R35" s="735"/>
      <c r="S35" s="735"/>
      <c r="T35" s="735"/>
      <c r="U35" s="735"/>
      <c r="V35" s="735"/>
      <c r="W35" s="735"/>
      <c r="X35" s="735"/>
      <c r="Y35" s="735"/>
      <c r="Z35" s="735"/>
      <c r="AA35" s="653"/>
      <c r="AB35" s="653"/>
      <c r="AC35" s="653"/>
    </row>
    <row r="36" spans="1:29" ht="15" hidden="1" x14ac:dyDescent="0.25">
      <c r="A36" s="736" t="s">
        <v>86</v>
      </c>
      <c r="B36" s="736"/>
      <c r="C36" s="736"/>
      <c r="D36" s="736"/>
      <c r="E36" s="736"/>
      <c r="F36" s="736"/>
      <c r="G36" s="736"/>
      <c r="H36" s="736"/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  <c r="U36" s="736"/>
      <c r="V36" s="736"/>
      <c r="W36" s="736"/>
      <c r="X36" s="736"/>
      <c r="Y36" s="736"/>
      <c r="Z36" s="736"/>
      <c r="AA36" s="652"/>
      <c r="AB36" s="652"/>
      <c r="AC36" s="652"/>
    </row>
    <row r="37" spans="1:29" ht="15" hidden="1" x14ac:dyDescent="0.25">
      <c r="A37" s="63" t="s">
        <v>105</v>
      </c>
      <c r="B37" s="63" t="s">
        <v>106</v>
      </c>
      <c r="C37" s="36">
        <v>4301052187</v>
      </c>
      <c r="D37" s="737">
        <v>4680115889354</v>
      </c>
      <c r="E37" s="737"/>
      <c r="F37" s="62">
        <v>0.32</v>
      </c>
      <c r="G37" s="663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9"/>
      <c r="R37" s="739"/>
      <c r="S37" s="739"/>
      <c r="T37" s="74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</row>
    <row r="38" spans="1:29" ht="15" hidden="1" x14ac:dyDescent="0.25">
      <c r="A38" s="63" t="s">
        <v>108</v>
      </c>
      <c r="B38" s="63" t="s">
        <v>109</v>
      </c>
      <c r="C38" s="36">
        <v>4301052198</v>
      </c>
      <c r="D38" s="737">
        <v>4680115888463</v>
      </c>
      <c r="E38" s="737"/>
      <c r="F38" s="62">
        <v>0.32</v>
      </c>
      <c r="G38" s="663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9"/>
      <c r="R38" s="739"/>
      <c r="S38" s="739"/>
      <c r="T38" s="74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</row>
    <row r="39" spans="1:29" ht="15" hidden="1" x14ac:dyDescent="0.25">
      <c r="A39" s="63" t="s">
        <v>111</v>
      </c>
      <c r="B39" s="63" t="s">
        <v>112</v>
      </c>
      <c r="C39" s="36">
        <v>4301052259</v>
      </c>
      <c r="D39" s="737">
        <v>4680115889590</v>
      </c>
      <c r="E39" s="737"/>
      <c r="F39" s="62">
        <v>0.3</v>
      </c>
      <c r="G39" s="663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9"/>
      <c r="R39" s="739"/>
      <c r="S39" s="739"/>
      <c r="T39" s="74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</row>
    <row r="40" spans="1:29" ht="15" hidden="1" x14ac:dyDescent="0.25">
      <c r="A40" s="63" t="s">
        <v>114</v>
      </c>
      <c r="B40" s="63" t="s">
        <v>115</v>
      </c>
      <c r="C40" s="36">
        <v>4301052184</v>
      </c>
      <c r="D40" s="737">
        <v>4680115888272</v>
      </c>
      <c r="E40" s="737"/>
      <c r="F40" s="62">
        <v>0.32</v>
      </c>
      <c r="G40" s="663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9"/>
      <c r="R40" s="739"/>
      <c r="S40" s="739"/>
      <c r="T40" s="74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</row>
    <row r="41" spans="1:29" ht="15" hidden="1" x14ac:dyDescent="0.25">
      <c r="A41" s="63" t="s">
        <v>117</v>
      </c>
      <c r="B41" s="63" t="s">
        <v>118</v>
      </c>
      <c r="C41" s="36">
        <v>4301052188</v>
      </c>
      <c r="D41" s="737">
        <v>4680115888364</v>
      </c>
      <c r="E41" s="737"/>
      <c r="F41" s="62">
        <v>0.32</v>
      </c>
      <c r="G41" s="663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9"/>
      <c r="R41" s="739"/>
      <c r="S41" s="739"/>
      <c r="T41" s="74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</row>
    <row r="42" spans="1:29" hidden="1" x14ac:dyDescent="0.2">
      <c r="A42" s="745"/>
      <c r="B42" s="745"/>
      <c r="C42" s="745"/>
      <c r="D42" s="745"/>
      <c r="E42" s="745"/>
      <c r="F42" s="745"/>
      <c r="G42" s="745"/>
      <c r="H42" s="745"/>
      <c r="I42" s="745"/>
      <c r="J42" s="745"/>
      <c r="K42" s="745"/>
      <c r="L42" s="745"/>
      <c r="M42" s="745"/>
      <c r="N42" s="745"/>
      <c r="O42" s="746"/>
      <c r="P42" s="742" t="s">
        <v>40</v>
      </c>
      <c r="Q42" s="743"/>
      <c r="R42" s="743"/>
      <c r="S42" s="743"/>
      <c r="T42" s="743"/>
      <c r="U42" s="743"/>
      <c r="V42" s="74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29" hidden="1" x14ac:dyDescent="0.2">
      <c r="A43" s="745"/>
      <c r="B43" s="745"/>
      <c r="C43" s="745"/>
      <c r="D43" s="745"/>
      <c r="E43" s="745"/>
      <c r="F43" s="745"/>
      <c r="G43" s="745"/>
      <c r="H43" s="745"/>
      <c r="I43" s="745"/>
      <c r="J43" s="745"/>
      <c r="K43" s="745"/>
      <c r="L43" s="745"/>
      <c r="M43" s="745"/>
      <c r="N43" s="745"/>
      <c r="O43" s="746"/>
      <c r="P43" s="742" t="s">
        <v>40</v>
      </c>
      <c r="Q43" s="743"/>
      <c r="R43" s="743"/>
      <c r="S43" s="743"/>
      <c r="T43" s="743"/>
      <c r="U43" s="743"/>
      <c r="V43" s="74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29" ht="20.25" hidden="1" x14ac:dyDescent="0.2">
      <c r="A44" s="734" t="s">
        <v>120</v>
      </c>
      <c r="B44" s="734"/>
      <c r="C44" s="734"/>
      <c r="D44" s="734"/>
      <c r="E44" s="734"/>
      <c r="F44" s="734"/>
      <c r="G44" s="734"/>
      <c r="H44" s="734"/>
      <c r="I44" s="734"/>
      <c r="J44" s="734"/>
      <c r="K44" s="734"/>
      <c r="L44" s="734"/>
      <c r="M44" s="734"/>
      <c r="N44" s="734"/>
      <c r="O44" s="734"/>
      <c r="P44" s="734"/>
      <c r="Q44" s="734"/>
      <c r="R44" s="734"/>
      <c r="S44" s="734"/>
      <c r="T44" s="734"/>
      <c r="U44" s="734"/>
      <c r="V44" s="734"/>
      <c r="W44" s="734"/>
      <c r="X44" s="734"/>
      <c r="Y44" s="734"/>
      <c r="Z44" s="734"/>
      <c r="AA44" s="54"/>
      <c r="AB44" s="54"/>
      <c r="AC44" s="54"/>
    </row>
    <row r="45" spans="1:29" ht="15" hidden="1" x14ac:dyDescent="0.25">
      <c r="A45" s="735" t="s">
        <v>121</v>
      </c>
      <c r="B45" s="735"/>
      <c r="C45" s="735"/>
      <c r="D45" s="735"/>
      <c r="E45" s="735"/>
      <c r="F45" s="735"/>
      <c r="G45" s="735"/>
      <c r="H45" s="735"/>
      <c r="I45" s="735"/>
      <c r="J45" s="735"/>
      <c r="K45" s="735"/>
      <c r="L45" s="735"/>
      <c r="M45" s="735"/>
      <c r="N45" s="735"/>
      <c r="O45" s="735"/>
      <c r="P45" s="735"/>
      <c r="Q45" s="735"/>
      <c r="R45" s="735"/>
      <c r="S45" s="735"/>
      <c r="T45" s="735"/>
      <c r="U45" s="735"/>
      <c r="V45" s="735"/>
      <c r="W45" s="735"/>
      <c r="X45" s="735"/>
      <c r="Y45" s="735"/>
      <c r="Z45" s="735"/>
      <c r="AA45" s="653"/>
      <c r="AB45" s="653"/>
      <c r="AC45" s="653"/>
    </row>
    <row r="46" spans="1:29" ht="15" hidden="1" x14ac:dyDescent="0.25">
      <c r="A46" s="736" t="s">
        <v>122</v>
      </c>
      <c r="B46" s="736"/>
      <c r="C46" s="736"/>
      <c r="D46" s="736"/>
      <c r="E46" s="736"/>
      <c r="F46" s="736"/>
      <c r="G46" s="736"/>
      <c r="H46" s="736"/>
      <c r="I46" s="736"/>
      <c r="J46" s="736"/>
      <c r="K46" s="736"/>
      <c r="L46" s="736"/>
      <c r="M46" s="736"/>
      <c r="N46" s="736"/>
      <c r="O46" s="736"/>
      <c r="P46" s="736"/>
      <c r="Q46" s="736"/>
      <c r="R46" s="736"/>
      <c r="S46" s="736"/>
      <c r="T46" s="736"/>
      <c r="U46" s="736"/>
      <c r="V46" s="736"/>
      <c r="W46" s="736"/>
      <c r="X46" s="736"/>
      <c r="Y46" s="736"/>
      <c r="Z46" s="736"/>
      <c r="AA46" s="652"/>
      <c r="AB46" s="652"/>
      <c r="AC46" s="652"/>
    </row>
    <row r="47" spans="1:29" ht="15" hidden="1" x14ac:dyDescent="0.25">
      <c r="A47" s="63" t="s">
        <v>123</v>
      </c>
      <c r="B47" s="63" t="s">
        <v>124</v>
      </c>
      <c r="C47" s="36">
        <v>4301011380</v>
      </c>
      <c r="D47" s="737">
        <v>4607091385670</v>
      </c>
      <c r="E47" s="737"/>
      <c r="F47" s="62">
        <v>1.35</v>
      </c>
      <c r="G47" s="663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9"/>
      <c r="R47" s="739"/>
      <c r="S47" s="739"/>
      <c r="T47" s="74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</row>
    <row r="48" spans="1:29" ht="15" hidden="1" x14ac:dyDescent="0.25">
      <c r="A48" s="63" t="s">
        <v>128</v>
      </c>
      <c r="B48" s="63" t="s">
        <v>129</v>
      </c>
      <c r="C48" s="36">
        <v>4301012053</v>
      </c>
      <c r="D48" s="737">
        <v>4680115887725</v>
      </c>
      <c r="E48" s="737"/>
      <c r="F48" s="62">
        <v>0.11</v>
      </c>
      <c r="G48" s="663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9"/>
      <c r="R48" s="739"/>
      <c r="S48" s="739"/>
      <c r="T48" s="74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</row>
    <row r="49" spans="1:29" ht="15" hidden="1" x14ac:dyDescent="0.25">
      <c r="A49" s="63" t="s">
        <v>132</v>
      </c>
      <c r="B49" s="63" t="s">
        <v>133</v>
      </c>
      <c r="C49" s="36">
        <v>4301011382</v>
      </c>
      <c r="D49" s="737">
        <v>4607091385687</v>
      </c>
      <c r="E49" s="737"/>
      <c r="F49" s="62">
        <v>0.4</v>
      </c>
      <c r="G49" s="663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9"/>
      <c r="R49" s="739"/>
      <c r="S49" s="739"/>
      <c r="T49" s="74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</row>
    <row r="50" spans="1:29" ht="15" hidden="1" x14ac:dyDescent="0.25">
      <c r="A50" s="63" t="s">
        <v>135</v>
      </c>
      <c r="B50" s="63" t="s">
        <v>136</v>
      </c>
      <c r="C50" s="36">
        <v>4301011565</v>
      </c>
      <c r="D50" s="737">
        <v>4680115882539</v>
      </c>
      <c r="E50" s="737"/>
      <c r="F50" s="62">
        <v>0.37</v>
      </c>
      <c r="G50" s="663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9"/>
      <c r="R50" s="739"/>
      <c r="S50" s="739"/>
      <c r="T50" s="74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</row>
    <row r="51" spans="1:29" hidden="1" x14ac:dyDescent="0.2">
      <c r="A51" s="745"/>
      <c r="B51" s="745"/>
      <c r="C51" s="745"/>
      <c r="D51" s="745"/>
      <c r="E51" s="745"/>
      <c r="F51" s="745"/>
      <c r="G51" s="745"/>
      <c r="H51" s="745"/>
      <c r="I51" s="745"/>
      <c r="J51" s="745"/>
      <c r="K51" s="745"/>
      <c r="L51" s="745"/>
      <c r="M51" s="745"/>
      <c r="N51" s="745"/>
      <c r="O51" s="746"/>
      <c r="P51" s="742" t="s">
        <v>40</v>
      </c>
      <c r="Q51" s="743"/>
      <c r="R51" s="743"/>
      <c r="S51" s="743"/>
      <c r="T51" s="743"/>
      <c r="U51" s="743"/>
      <c r="V51" s="74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29" hidden="1" x14ac:dyDescent="0.2">
      <c r="A52" s="745"/>
      <c r="B52" s="745"/>
      <c r="C52" s="745"/>
      <c r="D52" s="745"/>
      <c r="E52" s="745"/>
      <c r="F52" s="745"/>
      <c r="G52" s="745"/>
      <c r="H52" s="745"/>
      <c r="I52" s="745"/>
      <c r="J52" s="745"/>
      <c r="K52" s="745"/>
      <c r="L52" s="745"/>
      <c r="M52" s="745"/>
      <c r="N52" s="745"/>
      <c r="O52" s="746"/>
      <c r="P52" s="742" t="s">
        <v>40</v>
      </c>
      <c r="Q52" s="743"/>
      <c r="R52" s="743"/>
      <c r="S52" s="743"/>
      <c r="T52" s="743"/>
      <c r="U52" s="743"/>
      <c r="V52" s="74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29" ht="15" hidden="1" x14ac:dyDescent="0.25">
      <c r="A53" s="735" t="s">
        <v>137</v>
      </c>
      <c r="B53" s="735"/>
      <c r="C53" s="735"/>
      <c r="D53" s="735"/>
      <c r="E53" s="735"/>
      <c r="F53" s="735"/>
      <c r="G53" s="735"/>
      <c r="H53" s="735"/>
      <c r="I53" s="735"/>
      <c r="J53" s="735"/>
      <c r="K53" s="735"/>
      <c r="L53" s="735"/>
      <c r="M53" s="735"/>
      <c r="N53" s="735"/>
      <c r="O53" s="735"/>
      <c r="P53" s="735"/>
      <c r="Q53" s="735"/>
      <c r="R53" s="735"/>
      <c r="S53" s="735"/>
      <c r="T53" s="735"/>
      <c r="U53" s="735"/>
      <c r="V53" s="735"/>
      <c r="W53" s="735"/>
      <c r="X53" s="735"/>
      <c r="Y53" s="735"/>
      <c r="Z53" s="735"/>
      <c r="AA53" s="653"/>
      <c r="AB53" s="653"/>
      <c r="AC53" s="653"/>
    </row>
    <row r="54" spans="1:29" ht="15" hidden="1" x14ac:dyDescent="0.25">
      <c r="A54" s="736" t="s">
        <v>122</v>
      </c>
      <c r="B54" s="736"/>
      <c r="C54" s="736"/>
      <c r="D54" s="736"/>
      <c r="E54" s="736"/>
      <c r="F54" s="736"/>
      <c r="G54" s="736"/>
      <c r="H54" s="736"/>
      <c r="I54" s="736"/>
      <c r="J54" s="736"/>
      <c r="K54" s="736"/>
      <c r="L54" s="736"/>
      <c r="M54" s="736"/>
      <c r="N54" s="736"/>
      <c r="O54" s="736"/>
      <c r="P54" s="736"/>
      <c r="Q54" s="736"/>
      <c r="R54" s="736"/>
      <c r="S54" s="736"/>
      <c r="T54" s="736"/>
      <c r="U54" s="736"/>
      <c r="V54" s="736"/>
      <c r="W54" s="736"/>
      <c r="X54" s="736"/>
      <c r="Y54" s="736"/>
      <c r="Z54" s="736"/>
      <c r="AA54" s="652"/>
      <c r="AB54" s="652"/>
      <c r="AC54" s="652"/>
    </row>
    <row r="55" spans="1:29" ht="23.25" hidden="1" x14ac:dyDescent="0.25">
      <c r="A55" s="63" t="s">
        <v>138</v>
      </c>
      <c r="B55" s="63" t="s">
        <v>139</v>
      </c>
      <c r="C55" s="36">
        <v>4301012161</v>
      </c>
      <c r="D55" s="737">
        <v>4680115885882</v>
      </c>
      <c r="E55" s="737"/>
      <c r="F55" s="62">
        <v>1.4</v>
      </c>
      <c r="G55" s="663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9"/>
      <c r="R55" s="739"/>
      <c r="S55" s="739"/>
      <c r="T55" s="74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</row>
    <row r="56" spans="1:29" ht="23.25" hidden="1" x14ac:dyDescent="0.25">
      <c r="A56" s="63" t="s">
        <v>141</v>
      </c>
      <c r="B56" s="63" t="s">
        <v>142</v>
      </c>
      <c r="C56" s="36">
        <v>4301011816</v>
      </c>
      <c r="D56" s="737">
        <v>4680115881426</v>
      </c>
      <c r="E56" s="737"/>
      <c r="F56" s="62">
        <v>1.35</v>
      </c>
      <c r="G56" s="663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9"/>
      <c r="R56" s="739"/>
      <c r="S56" s="739"/>
      <c r="T56" s="74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</row>
    <row r="57" spans="1:29" ht="15" hidden="1" x14ac:dyDescent="0.25">
      <c r="A57" s="63" t="s">
        <v>144</v>
      </c>
      <c r="B57" s="63" t="s">
        <v>145</v>
      </c>
      <c r="C57" s="36">
        <v>4301012259</v>
      </c>
      <c r="D57" s="737">
        <v>4680115880283</v>
      </c>
      <c r="E57" s="737"/>
      <c r="F57" s="62">
        <v>0.6</v>
      </c>
      <c r="G57" s="663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9"/>
      <c r="R57" s="739"/>
      <c r="S57" s="739"/>
      <c r="T57" s="74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</row>
    <row r="58" spans="1:29" ht="23.25" hidden="1" x14ac:dyDescent="0.25">
      <c r="A58" s="63" t="s">
        <v>147</v>
      </c>
      <c r="B58" s="63" t="s">
        <v>148</v>
      </c>
      <c r="C58" s="36">
        <v>4301011806</v>
      </c>
      <c r="D58" s="737">
        <v>4680115881525</v>
      </c>
      <c r="E58" s="737"/>
      <c r="F58" s="62">
        <v>0.4</v>
      </c>
      <c r="G58" s="663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9"/>
      <c r="R58" s="739"/>
      <c r="S58" s="739"/>
      <c r="T58" s="74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</row>
    <row r="59" spans="1:29" ht="23.25" hidden="1" x14ac:dyDescent="0.25">
      <c r="A59" s="63" t="s">
        <v>147</v>
      </c>
      <c r="B59" s="63" t="s">
        <v>150</v>
      </c>
      <c r="C59" s="36">
        <v>4301012159</v>
      </c>
      <c r="D59" s="737">
        <v>4680115881525</v>
      </c>
      <c r="E59" s="737"/>
      <c r="F59" s="62">
        <v>0.4</v>
      </c>
      <c r="G59" s="663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6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39"/>
      <c r="R59" s="739"/>
      <c r="S59" s="739"/>
      <c r="T59" s="74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</row>
    <row r="60" spans="1:29" ht="23.25" hidden="1" x14ac:dyDescent="0.25">
      <c r="A60" s="63" t="s">
        <v>152</v>
      </c>
      <c r="B60" s="63" t="s">
        <v>153</v>
      </c>
      <c r="C60" s="36">
        <v>4301012165</v>
      </c>
      <c r="D60" s="737">
        <v>4680115885899</v>
      </c>
      <c r="E60" s="737"/>
      <c r="F60" s="62">
        <v>0.35</v>
      </c>
      <c r="G60" s="663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39"/>
      <c r="R60" s="739"/>
      <c r="S60" s="739"/>
      <c r="T60" s="74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</row>
    <row r="61" spans="1:29" ht="34.5" hidden="1" x14ac:dyDescent="0.25">
      <c r="A61" s="63" t="s">
        <v>154</v>
      </c>
      <c r="B61" s="63" t="s">
        <v>155</v>
      </c>
      <c r="C61" s="36">
        <v>4301011801</v>
      </c>
      <c r="D61" s="737">
        <v>4680115881419</v>
      </c>
      <c r="E61" s="737"/>
      <c r="F61" s="62">
        <v>0.45</v>
      </c>
      <c r="G61" s="663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39"/>
      <c r="R61" s="739"/>
      <c r="S61" s="739"/>
      <c r="T61" s="74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</row>
    <row r="62" spans="1:29" hidden="1" x14ac:dyDescent="0.2">
      <c r="A62" s="745"/>
      <c r="B62" s="745"/>
      <c r="C62" s="745"/>
      <c r="D62" s="745"/>
      <c r="E62" s="745"/>
      <c r="F62" s="745"/>
      <c r="G62" s="745"/>
      <c r="H62" s="745"/>
      <c r="I62" s="745"/>
      <c r="J62" s="745"/>
      <c r="K62" s="745"/>
      <c r="L62" s="745"/>
      <c r="M62" s="745"/>
      <c r="N62" s="745"/>
      <c r="O62" s="746"/>
      <c r="P62" s="742" t="s">
        <v>40</v>
      </c>
      <c r="Q62" s="743"/>
      <c r="R62" s="743"/>
      <c r="S62" s="743"/>
      <c r="T62" s="743"/>
      <c r="U62" s="743"/>
      <c r="V62" s="744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29" hidden="1" x14ac:dyDescent="0.2">
      <c r="A63" s="745"/>
      <c r="B63" s="745"/>
      <c r="C63" s="745"/>
      <c r="D63" s="745"/>
      <c r="E63" s="745"/>
      <c r="F63" s="745"/>
      <c r="G63" s="745"/>
      <c r="H63" s="745"/>
      <c r="I63" s="745"/>
      <c r="J63" s="745"/>
      <c r="K63" s="745"/>
      <c r="L63" s="745"/>
      <c r="M63" s="745"/>
      <c r="N63" s="745"/>
      <c r="O63" s="746"/>
      <c r="P63" s="742" t="s">
        <v>40</v>
      </c>
      <c r="Q63" s="743"/>
      <c r="R63" s="743"/>
      <c r="S63" s="743"/>
      <c r="T63" s="743"/>
      <c r="U63" s="743"/>
      <c r="V63" s="744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29" ht="15" hidden="1" x14ac:dyDescent="0.25">
      <c r="A64" s="736" t="s">
        <v>157</v>
      </c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36"/>
      <c r="V64" s="736"/>
      <c r="W64" s="736"/>
      <c r="X64" s="736"/>
      <c r="Y64" s="736"/>
      <c r="Z64" s="736"/>
      <c r="AA64" s="652"/>
      <c r="AB64" s="652"/>
      <c r="AC64" s="652"/>
    </row>
    <row r="65" spans="1:29" ht="15" hidden="1" x14ac:dyDescent="0.25">
      <c r="A65" s="63" t="s">
        <v>158</v>
      </c>
      <c r="B65" s="63" t="s">
        <v>159</v>
      </c>
      <c r="C65" s="36">
        <v>4301020298</v>
      </c>
      <c r="D65" s="737">
        <v>4680115881440</v>
      </c>
      <c r="E65" s="737"/>
      <c r="F65" s="62">
        <v>1.35</v>
      </c>
      <c r="G65" s="663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39"/>
      <c r="R65" s="739"/>
      <c r="S65" s="739"/>
      <c r="T65" s="74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</row>
    <row r="66" spans="1:29" ht="15" hidden="1" x14ac:dyDescent="0.25">
      <c r="A66" s="63" t="s">
        <v>161</v>
      </c>
      <c r="B66" s="63" t="s">
        <v>162</v>
      </c>
      <c r="C66" s="36">
        <v>4301020358</v>
      </c>
      <c r="D66" s="737">
        <v>4680115885950</v>
      </c>
      <c r="E66" s="737"/>
      <c r="F66" s="62">
        <v>0.37</v>
      </c>
      <c r="G66" s="663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6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39"/>
      <c r="R66" s="739"/>
      <c r="S66" s="739"/>
      <c r="T66" s="74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</row>
    <row r="67" spans="1:29" ht="15" hidden="1" x14ac:dyDescent="0.25">
      <c r="A67" s="63" t="s">
        <v>163</v>
      </c>
      <c r="B67" s="63" t="s">
        <v>164</v>
      </c>
      <c r="C67" s="36">
        <v>4301020371</v>
      </c>
      <c r="D67" s="737">
        <v>4680115887688</v>
      </c>
      <c r="E67" s="737"/>
      <c r="F67" s="62">
        <v>0.1</v>
      </c>
      <c r="G67" s="663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39"/>
      <c r="R67" s="739"/>
      <c r="S67" s="739"/>
      <c r="T67" s="74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</row>
    <row r="68" spans="1:29" ht="15" hidden="1" x14ac:dyDescent="0.25">
      <c r="A68" s="63" t="s">
        <v>166</v>
      </c>
      <c r="B68" s="63" t="s">
        <v>167</v>
      </c>
      <c r="C68" s="36">
        <v>4301020296</v>
      </c>
      <c r="D68" s="737">
        <v>4680115881433</v>
      </c>
      <c r="E68" s="737"/>
      <c r="F68" s="62">
        <v>0.45</v>
      </c>
      <c r="G68" s="663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39"/>
      <c r="R68" s="739"/>
      <c r="S68" s="739"/>
      <c r="T68" s="74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</row>
    <row r="69" spans="1:29" hidden="1" x14ac:dyDescent="0.2">
      <c r="A69" s="745"/>
      <c r="B69" s="745"/>
      <c r="C69" s="745"/>
      <c r="D69" s="745"/>
      <c r="E69" s="745"/>
      <c r="F69" s="745"/>
      <c r="G69" s="745"/>
      <c r="H69" s="745"/>
      <c r="I69" s="745"/>
      <c r="J69" s="745"/>
      <c r="K69" s="745"/>
      <c r="L69" s="745"/>
      <c r="M69" s="745"/>
      <c r="N69" s="745"/>
      <c r="O69" s="746"/>
      <c r="P69" s="742" t="s">
        <v>40</v>
      </c>
      <c r="Q69" s="743"/>
      <c r="R69" s="743"/>
      <c r="S69" s="743"/>
      <c r="T69" s="743"/>
      <c r="U69" s="743"/>
      <c r="V69" s="744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29" hidden="1" x14ac:dyDescent="0.2">
      <c r="A70" s="745"/>
      <c r="B70" s="745"/>
      <c r="C70" s="745"/>
      <c r="D70" s="745"/>
      <c r="E70" s="745"/>
      <c r="F70" s="745"/>
      <c r="G70" s="745"/>
      <c r="H70" s="745"/>
      <c r="I70" s="745"/>
      <c r="J70" s="745"/>
      <c r="K70" s="745"/>
      <c r="L70" s="745"/>
      <c r="M70" s="745"/>
      <c r="N70" s="745"/>
      <c r="O70" s="746"/>
      <c r="P70" s="742" t="s">
        <v>40</v>
      </c>
      <c r="Q70" s="743"/>
      <c r="R70" s="743"/>
      <c r="S70" s="743"/>
      <c r="T70" s="743"/>
      <c r="U70" s="743"/>
      <c r="V70" s="744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29" ht="15" hidden="1" x14ac:dyDescent="0.25">
      <c r="A71" s="736" t="s">
        <v>86</v>
      </c>
      <c r="B71" s="736"/>
      <c r="C71" s="736"/>
      <c r="D71" s="736"/>
      <c r="E71" s="736"/>
      <c r="F71" s="736"/>
      <c r="G71" s="736"/>
      <c r="H71" s="736"/>
      <c r="I71" s="736"/>
      <c r="J71" s="736"/>
      <c r="K71" s="736"/>
      <c r="L71" s="736"/>
      <c r="M71" s="736"/>
      <c r="N71" s="736"/>
      <c r="O71" s="736"/>
      <c r="P71" s="736"/>
      <c r="Q71" s="736"/>
      <c r="R71" s="736"/>
      <c r="S71" s="736"/>
      <c r="T71" s="736"/>
      <c r="U71" s="736"/>
      <c r="V71" s="736"/>
      <c r="W71" s="736"/>
      <c r="X71" s="736"/>
      <c r="Y71" s="736"/>
      <c r="Z71" s="736"/>
      <c r="AA71" s="652"/>
      <c r="AB71" s="652"/>
      <c r="AC71" s="652"/>
    </row>
    <row r="72" spans="1:29" ht="15" hidden="1" x14ac:dyDescent="0.25">
      <c r="A72" s="63" t="s">
        <v>168</v>
      </c>
      <c r="B72" s="63" t="s">
        <v>169</v>
      </c>
      <c r="C72" s="36">
        <v>4301051837</v>
      </c>
      <c r="D72" s="737">
        <v>4680115884311</v>
      </c>
      <c r="E72" s="737"/>
      <c r="F72" s="62">
        <v>0.3</v>
      </c>
      <c r="G72" s="663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39"/>
      <c r="R72" s="739"/>
      <c r="S72" s="739"/>
      <c r="T72" s="74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</row>
    <row r="73" spans="1:29" ht="23.25" hidden="1" x14ac:dyDescent="0.25">
      <c r="A73" s="63" t="s">
        <v>171</v>
      </c>
      <c r="B73" s="63" t="s">
        <v>172</v>
      </c>
      <c r="C73" s="36">
        <v>4301051929</v>
      </c>
      <c r="D73" s="737">
        <v>4680115884403</v>
      </c>
      <c r="E73" s="737"/>
      <c r="F73" s="62">
        <v>0.3</v>
      </c>
      <c r="G73" s="663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39"/>
      <c r="R73" s="739"/>
      <c r="S73" s="739"/>
      <c r="T73" s="74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</row>
    <row r="74" spans="1:29" ht="23.25" hidden="1" x14ac:dyDescent="0.25">
      <c r="A74" s="63" t="s">
        <v>171</v>
      </c>
      <c r="B74" s="63" t="s">
        <v>174</v>
      </c>
      <c r="C74" s="36">
        <v>4301052083</v>
      </c>
      <c r="D74" s="737">
        <v>4680115884403</v>
      </c>
      <c r="E74" s="737"/>
      <c r="F74" s="62">
        <v>0.3</v>
      </c>
      <c r="G74" s="663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7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39"/>
      <c r="R74" s="739"/>
      <c r="S74" s="739"/>
      <c r="T74" s="74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</row>
    <row r="75" spans="1:29" hidden="1" x14ac:dyDescent="0.2">
      <c r="A75" s="745"/>
      <c r="B75" s="745"/>
      <c r="C75" s="745"/>
      <c r="D75" s="745"/>
      <c r="E75" s="745"/>
      <c r="F75" s="745"/>
      <c r="G75" s="745"/>
      <c r="H75" s="745"/>
      <c r="I75" s="745"/>
      <c r="J75" s="745"/>
      <c r="K75" s="745"/>
      <c r="L75" s="745"/>
      <c r="M75" s="745"/>
      <c r="N75" s="745"/>
      <c r="O75" s="746"/>
      <c r="P75" s="742" t="s">
        <v>40</v>
      </c>
      <c r="Q75" s="743"/>
      <c r="R75" s="743"/>
      <c r="S75" s="743"/>
      <c r="T75" s="743"/>
      <c r="U75" s="743"/>
      <c r="V75" s="744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29" hidden="1" x14ac:dyDescent="0.2">
      <c r="A76" s="745"/>
      <c r="B76" s="745"/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  <c r="N76" s="745"/>
      <c r="O76" s="746"/>
      <c r="P76" s="742" t="s">
        <v>40</v>
      </c>
      <c r="Q76" s="743"/>
      <c r="R76" s="743"/>
      <c r="S76" s="743"/>
      <c r="T76" s="743"/>
      <c r="U76" s="743"/>
      <c r="V76" s="744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29" ht="15" hidden="1" x14ac:dyDescent="0.25">
      <c r="A77" s="736" t="s">
        <v>175</v>
      </c>
      <c r="B77" s="736"/>
      <c r="C77" s="736"/>
      <c r="D77" s="736"/>
      <c r="E77" s="736"/>
      <c r="F77" s="736"/>
      <c r="G77" s="736"/>
      <c r="H77" s="736"/>
      <c r="I77" s="736"/>
      <c r="J77" s="736"/>
      <c r="K77" s="736"/>
      <c r="L77" s="736"/>
      <c r="M77" s="736"/>
      <c r="N77" s="736"/>
      <c r="O77" s="736"/>
      <c r="P77" s="736"/>
      <c r="Q77" s="736"/>
      <c r="R77" s="736"/>
      <c r="S77" s="736"/>
      <c r="T77" s="736"/>
      <c r="U77" s="736"/>
      <c r="V77" s="736"/>
      <c r="W77" s="736"/>
      <c r="X77" s="736"/>
      <c r="Y77" s="736"/>
      <c r="Z77" s="736"/>
      <c r="AA77" s="652"/>
      <c r="AB77" s="652"/>
      <c r="AC77" s="652"/>
    </row>
    <row r="78" spans="1:29" ht="15" hidden="1" x14ac:dyDescent="0.25">
      <c r="A78" s="63" t="s">
        <v>176</v>
      </c>
      <c r="B78" s="63" t="s">
        <v>177</v>
      </c>
      <c r="C78" s="36">
        <v>4301060455</v>
      </c>
      <c r="D78" s="737">
        <v>4680115881532</v>
      </c>
      <c r="E78" s="737"/>
      <c r="F78" s="62">
        <v>1.3</v>
      </c>
      <c r="G78" s="663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39"/>
      <c r="R78" s="739"/>
      <c r="S78" s="739"/>
      <c r="T78" s="74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</row>
    <row r="79" spans="1:29" ht="15" hidden="1" x14ac:dyDescent="0.25">
      <c r="A79" s="63" t="s">
        <v>176</v>
      </c>
      <c r="B79" s="63" t="s">
        <v>179</v>
      </c>
      <c r="C79" s="36">
        <v>4301060526</v>
      </c>
      <c r="D79" s="737">
        <v>4680115881532</v>
      </c>
      <c r="E79" s="737"/>
      <c r="F79" s="62">
        <v>1.3</v>
      </c>
      <c r="G79" s="663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7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39"/>
      <c r="R79" s="739"/>
      <c r="S79" s="739"/>
      <c r="T79" s="74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</row>
    <row r="80" spans="1:29" ht="23.25" hidden="1" x14ac:dyDescent="0.25">
      <c r="A80" s="63" t="s">
        <v>180</v>
      </c>
      <c r="B80" s="63" t="s">
        <v>181</v>
      </c>
      <c r="C80" s="36">
        <v>4301060527</v>
      </c>
      <c r="D80" s="737">
        <v>4680115881464</v>
      </c>
      <c r="E80" s="737"/>
      <c r="F80" s="62">
        <v>0.4</v>
      </c>
      <c r="G80" s="663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9"/>
      <c r="R80" s="739"/>
      <c r="S80" s="739"/>
      <c r="T80" s="74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</row>
    <row r="81" spans="1:29" hidden="1" x14ac:dyDescent="0.2">
      <c r="A81" s="745"/>
      <c r="B81" s="745"/>
      <c r="C81" s="745"/>
      <c r="D81" s="745"/>
      <c r="E81" s="745"/>
      <c r="F81" s="745"/>
      <c r="G81" s="745"/>
      <c r="H81" s="745"/>
      <c r="I81" s="745"/>
      <c r="J81" s="745"/>
      <c r="K81" s="745"/>
      <c r="L81" s="745"/>
      <c r="M81" s="745"/>
      <c r="N81" s="745"/>
      <c r="O81" s="746"/>
      <c r="P81" s="742" t="s">
        <v>40</v>
      </c>
      <c r="Q81" s="743"/>
      <c r="R81" s="743"/>
      <c r="S81" s="743"/>
      <c r="T81" s="743"/>
      <c r="U81" s="743"/>
      <c r="V81" s="744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29" hidden="1" x14ac:dyDescent="0.2">
      <c r="A82" s="745"/>
      <c r="B82" s="745"/>
      <c r="C82" s="745"/>
      <c r="D82" s="745"/>
      <c r="E82" s="745"/>
      <c r="F82" s="745"/>
      <c r="G82" s="745"/>
      <c r="H82" s="745"/>
      <c r="I82" s="745"/>
      <c r="J82" s="745"/>
      <c r="K82" s="745"/>
      <c r="L82" s="745"/>
      <c r="M82" s="745"/>
      <c r="N82" s="745"/>
      <c r="O82" s="746"/>
      <c r="P82" s="742" t="s">
        <v>40</v>
      </c>
      <c r="Q82" s="743"/>
      <c r="R82" s="743"/>
      <c r="S82" s="743"/>
      <c r="T82" s="743"/>
      <c r="U82" s="743"/>
      <c r="V82" s="744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29" ht="15" hidden="1" x14ac:dyDescent="0.25">
      <c r="A83" s="735" t="s">
        <v>183</v>
      </c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5"/>
      <c r="P83" s="735"/>
      <c r="Q83" s="735"/>
      <c r="R83" s="735"/>
      <c r="S83" s="735"/>
      <c r="T83" s="735"/>
      <c r="U83" s="735"/>
      <c r="V83" s="735"/>
      <c r="W83" s="735"/>
      <c r="X83" s="735"/>
      <c r="Y83" s="735"/>
      <c r="Z83" s="735"/>
      <c r="AA83" s="653"/>
      <c r="AB83" s="653"/>
      <c r="AC83" s="653"/>
    </row>
    <row r="84" spans="1:29" ht="15" hidden="1" x14ac:dyDescent="0.25">
      <c r="A84" s="736" t="s">
        <v>122</v>
      </c>
      <c r="B84" s="736"/>
      <c r="C84" s="736"/>
      <c r="D84" s="736"/>
      <c r="E84" s="736"/>
      <c r="F84" s="736"/>
      <c r="G84" s="736"/>
      <c r="H84" s="736"/>
      <c r="I84" s="736"/>
      <c r="J84" s="736"/>
      <c r="K84" s="736"/>
      <c r="L84" s="736"/>
      <c r="M84" s="736"/>
      <c r="N84" s="736"/>
      <c r="O84" s="736"/>
      <c r="P84" s="736"/>
      <c r="Q84" s="736"/>
      <c r="R84" s="736"/>
      <c r="S84" s="736"/>
      <c r="T84" s="736"/>
      <c r="U84" s="736"/>
      <c r="V84" s="736"/>
      <c r="W84" s="736"/>
      <c r="X84" s="736"/>
      <c r="Y84" s="736"/>
      <c r="Z84" s="736"/>
      <c r="AA84" s="652"/>
      <c r="AB84" s="652"/>
      <c r="AC84" s="652"/>
    </row>
    <row r="85" spans="1:29" ht="23.25" hidden="1" x14ac:dyDescent="0.25">
      <c r="A85" s="63" t="s">
        <v>184</v>
      </c>
      <c r="B85" s="63" t="s">
        <v>185</v>
      </c>
      <c r="C85" s="36">
        <v>4301011468</v>
      </c>
      <c r="D85" s="737">
        <v>4680115881327</v>
      </c>
      <c r="E85" s="737"/>
      <c r="F85" s="62">
        <v>1.35</v>
      </c>
      <c r="G85" s="663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9"/>
      <c r="R85" s="739"/>
      <c r="S85" s="739"/>
      <c r="T85" s="74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1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</row>
    <row r="86" spans="1:29" ht="15" hidden="1" x14ac:dyDescent="0.25">
      <c r="A86" s="63" t="s">
        <v>187</v>
      </c>
      <c r="B86" s="63" t="s">
        <v>188</v>
      </c>
      <c r="C86" s="36">
        <v>4301011261</v>
      </c>
      <c r="D86" s="737">
        <v>4680115887732</v>
      </c>
      <c r="E86" s="737"/>
      <c r="F86" s="62">
        <v>0.17</v>
      </c>
      <c r="G86" s="663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9"/>
      <c r="R86" s="739"/>
      <c r="S86" s="739"/>
      <c r="T86" s="74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1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</row>
    <row r="87" spans="1:29" ht="15" hidden="1" x14ac:dyDescent="0.25">
      <c r="A87" s="63" t="s">
        <v>187</v>
      </c>
      <c r="B87" s="63" t="s">
        <v>190</v>
      </c>
      <c r="C87" s="36">
        <v>4301012392</v>
      </c>
      <c r="D87" s="737">
        <v>4680115887732</v>
      </c>
      <c r="E87" s="737"/>
      <c r="F87" s="62">
        <v>0.17</v>
      </c>
      <c r="G87" s="663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8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39"/>
      <c r="R87" s="739"/>
      <c r="S87" s="739"/>
      <c r="T87" s="74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1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</row>
    <row r="88" spans="1:29" ht="23.25" hidden="1" x14ac:dyDescent="0.25">
      <c r="A88" s="63" t="s">
        <v>191</v>
      </c>
      <c r="B88" s="63" t="s">
        <v>192</v>
      </c>
      <c r="C88" s="36">
        <v>4301011476</v>
      </c>
      <c r="D88" s="737">
        <v>4680115881518</v>
      </c>
      <c r="E88" s="737"/>
      <c r="F88" s="62">
        <v>0.4</v>
      </c>
      <c r="G88" s="663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9"/>
      <c r="R88" s="739"/>
      <c r="S88" s="739"/>
      <c r="T88" s="74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1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</row>
    <row r="89" spans="1:29" ht="23.25" hidden="1" x14ac:dyDescent="0.25">
      <c r="A89" s="63" t="s">
        <v>193</v>
      </c>
      <c r="B89" s="63" t="s">
        <v>194</v>
      </c>
      <c r="C89" s="36">
        <v>4301011443</v>
      </c>
      <c r="D89" s="737">
        <v>4680115881303</v>
      </c>
      <c r="E89" s="737"/>
      <c r="F89" s="62">
        <v>0.45</v>
      </c>
      <c r="G89" s="663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9"/>
      <c r="R89" s="739"/>
      <c r="S89" s="739"/>
      <c r="T89" s="74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1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</row>
    <row r="90" spans="1:29" ht="23.25" hidden="1" x14ac:dyDescent="0.25">
      <c r="A90" s="63" t="s">
        <v>193</v>
      </c>
      <c r="B90" s="63" t="s">
        <v>195</v>
      </c>
      <c r="C90" s="36">
        <v>4301012250</v>
      </c>
      <c r="D90" s="737">
        <v>4680115881303</v>
      </c>
      <c r="E90" s="737"/>
      <c r="F90" s="62">
        <v>0.45</v>
      </c>
      <c r="G90" s="663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8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39"/>
      <c r="R90" s="739"/>
      <c r="S90" s="739"/>
      <c r="T90" s="74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1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</row>
    <row r="91" spans="1:29" hidden="1" x14ac:dyDescent="0.2">
      <c r="A91" s="745"/>
      <c r="B91" s="745"/>
      <c r="C91" s="745"/>
      <c r="D91" s="745"/>
      <c r="E91" s="745"/>
      <c r="F91" s="745"/>
      <c r="G91" s="745"/>
      <c r="H91" s="745"/>
      <c r="I91" s="745"/>
      <c r="J91" s="745"/>
      <c r="K91" s="745"/>
      <c r="L91" s="745"/>
      <c r="M91" s="745"/>
      <c r="N91" s="745"/>
      <c r="O91" s="746"/>
      <c r="P91" s="742" t="s">
        <v>40</v>
      </c>
      <c r="Q91" s="743"/>
      <c r="R91" s="743"/>
      <c r="S91" s="743"/>
      <c r="T91" s="743"/>
      <c r="U91" s="743"/>
      <c r="V91" s="744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29" hidden="1" x14ac:dyDescent="0.2">
      <c r="A92" s="745"/>
      <c r="B92" s="745"/>
      <c r="C92" s="745"/>
      <c r="D92" s="745"/>
      <c r="E92" s="745"/>
      <c r="F92" s="745"/>
      <c r="G92" s="745"/>
      <c r="H92" s="745"/>
      <c r="I92" s="745"/>
      <c r="J92" s="745"/>
      <c r="K92" s="745"/>
      <c r="L92" s="745"/>
      <c r="M92" s="745"/>
      <c r="N92" s="745"/>
      <c r="O92" s="746"/>
      <c r="P92" s="742" t="s">
        <v>40</v>
      </c>
      <c r="Q92" s="743"/>
      <c r="R92" s="743"/>
      <c r="S92" s="743"/>
      <c r="T92" s="743"/>
      <c r="U92" s="743"/>
      <c r="V92" s="744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29" ht="15" hidden="1" x14ac:dyDescent="0.25">
      <c r="A93" s="736" t="s">
        <v>86</v>
      </c>
      <c r="B93" s="736"/>
      <c r="C93" s="736"/>
      <c r="D93" s="736"/>
      <c r="E93" s="736"/>
      <c r="F93" s="736"/>
      <c r="G93" s="736"/>
      <c r="H93" s="736"/>
      <c r="I93" s="736"/>
      <c r="J93" s="736"/>
      <c r="K93" s="736"/>
      <c r="L93" s="736"/>
      <c r="M93" s="736"/>
      <c r="N93" s="736"/>
      <c r="O93" s="736"/>
      <c r="P93" s="736"/>
      <c r="Q93" s="736"/>
      <c r="R93" s="736"/>
      <c r="S93" s="736"/>
      <c r="T93" s="736"/>
      <c r="U93" s="736"/>
      <c r="V93" s="736"/>
      <c r="W93" s="736"/>
      <c r="X93" s="736"/>
      <c r="Y93" s="736"/>
      <c r="Z93" s="736"/>
      <c r="AA93" s="652"/>
      <c r="AB93" s="652"/>
      <c r="AC93" s="652"/>
    </row>
    <row r="94" spans="1:29" ht="23.25" hidden="1" x14ac:dyDescent="0.25">
      <c r="A94" s="63" t="s">
        <v>196</v>
      </c>
      <c r="B94" s="63" t="s">
        <v>197</v>
      </c>
      <c r="C94" s="36">
        <v>4301052101</v>
      </c>
      <c r="D94" s="737">
        <v>4607091386967</v>
      </c>
      <c r="E94" s="737"/>
      <c r="F94" s="62">
        <v>1.35</v>
      </c>
      <c r="G94" s="663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39"/>
      <c r="R94" s="739"/>
      <c r="S94" s="739"/>
      <c r="T94" s="74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</row>
    <row r="95" spans="1:29" ht="15" hidden="1" x14ac:dyDescent="0.25">
      <c r="A95" s="63" t="s">
        <v>199</v>
      </c>
      <c r="B95" s="63" t="s">
        <v>200</v>
      </c>
      <c r="C95" s="36">
        <v>4301052090</v>
      </c>
      <c r="D95" s="737">
        <v>4680115884953</v>
      </c>
      <c r="E95" s="737"/>
      <c r="F95" s="62">
        <v>0.37</v>
      </c>
      <c r="G95" s="663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39"/>
      <c r="R95" s="739"/>
      <c r="S95" s="739"/>
      <c r="T95" s="74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</row>
    <row r="96" spans="1:29" ht="23.25" hidden="1" x14ac:dyDescent="0.25">
      <c r="A96" s="63" t="s">
        <v>202</v>
      </c>
      <c r="B96" s="63" t="s">
        <v>203</v>
      </c>
      <c r="C96" s="36">
        <v>4301052094</v>
      </c>
      <c r="D96" s="737">
        <v>4607091385731</v>
      </c>
      <c r="E96" s="737"/>
      <c r="F96" s="62">
        <v>0.45</v>
      </c>
      <c r="G96" s="663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8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39"/>
      <c r="R96" s="739"/>
      <c r="S96" s="739"/>
      <c r="T96" s="74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</row>
    <row r="97" spans="1:29" ht="15" hidden="1" x14ac:dyDescent="0.25">
      <c r="A97" s="63" t="s">
        <v>204</v>
      </c>
      <c r="B97" s="63" t="s">
        <v>205</v>
      </c>
      <c r="C97" s="36">
        <v>4301052092</v>
      </c>
      <c r="D97" s="737">
        <v>4680115880894</v>
      </c>
      <c r="E97" s="737"/>
      <c r="F97" s="62">
        <v>0.33</v>
      </c>
      <c r="G97" s="663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39"/>
      <c r="R97" s="739"/>
      <c r="S97" s="739"/>
      <c r="T97" s="74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</row>
    <row r="98" spans="1:29" hidden="1" x14ac:dyDescent="0.2">
      <c r="A98" s="745"/>
      <c r="B98" s="745"/>
      <c r="C98" s="745"/>
      <c r="D98" s="745"/>
      <c r="E98" s="745"/>
      <c r="F98" s="745"/>
      <c r="G98" s="745"/>
      <c r="H98" s="745"/>
      <c r="I98" s="745"/>
      <c r="J98" s="745"/>
      <c r="K98" s="745"/>
      <c r="L98" s="745"/>
      <c r="M98" s="745"/>
      <c r="N98" s="745"/>
      <c r="O98" s="746"/>
      <c r="P98" s="742" t="s">
        <v>40</v>
      </c>
      <c r="Q98" s="743"/>
      <c r="R98" s="743"/>
      <c r="S98" s="743"/>
      <c r="T98" s="743"/>
      <c r="U98" s="743"/>
      <c r="V98" s="744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29" hidden="1" x14ac:dyDescent="0.2">
      <c r="A99" s="745"/>
      <c r="B99" s="745"/>
      <c r="C99" s="745"/>
      <c r="D99" s="745"/>
      <c r="E99" s="745"/>
      <c r="F99" s="745"/>
      <c r="G99" s="745"/>
      <c r="H99" s="745"/>
      <c r="I99" s="745"/>
      <c r="J99" s="745"/>
      <c r="K99" s="745"/>
      <c r="L99" s="745"/>
      <c r="M99" s="745"/>
      <c r="N99" s="745"/>
      <c r="O99" s="746"/>
      <c r="P99" s="742" t="s">
        <v>40</v>
      </c>
      <c r="Q99" s="743"/>
      <c r="R99" s="743"/>
      <c r="S99" s="743"/>
      <c r="T99" s="743"/>
      <c r="U99" s="743"/>
      <c r="V99" s="744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29" ht="15" hidden="1" x14ac:dyDescent="0.25">
      <c r="A100" s="735" t="s">
        <v>207</v>
      </c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5"/>
      <c r="P100" s="735"/>
      <c r="Q100" s="735"/>
      <c r="R100" s="735"/>
      <c r="S100" s="735"/>
      <c r="T100" s="735"/>
      <c r="U100" s="735"/>
      <c r="V100" s="735"/>
      <c r="W100" s="735"/>
      <c r="X100" s="735"/>
      <c r="Y100" s="735"/>
      <c r="Z100" s="735"/>
      <c r="AA100" s="653"/>
      <c r="AB100" s="653"/>
      <c r="AC100" s="653"/>
    </row>
    <row r="101" spans="1:29" ht="15" hidden="1" x14ac:dyDescent="0.25">
      <c r="A101" s="736" t="s">
        <v>122</v>
      </c>
      <c r="B101" s="736"/>
      <c r="C101" s="736"/>
      <c r="D101" s="736"/>
      <c r="E101" s="736"/>
      <c r="F101" s="736"/>
      <c r="G101" s="736"/>
      <c r="H101" s="736"/>
      <c r="I101" s="736"/>
      <c r="J101" s="736"/>
      <c r="K101" s="736"/>
      <c r="L101" s="736"/>
      <c r="M101" s="736"/>
      <c r="N101" s="736"/>
      <c r="O101" s="736"/>
      <c r="P101" s="736"/>
      <c r="Q101" s="736"/>
      <c r="R101" s="736"/>
      <c r="S101" s="736"/>
      <c r="T101" s="736"/>
      <c r="U101" s="736"/>
      <c r="V101" s="736"/>
      <c r="W101" s="736"/>
      <c r="X101" s="736"/>
      <c r="Y101" s="736"/>
      <c r="Z101" s="736"/>
      <c r="AA101" s="652"/>
      <c r="AB101" s="652"/>
      <c r="AC101" s="652"/>
    </row>
    <row r="102" spans="1:29" ht="34.5" hidden="1" x14ac:dyDescent="0.25">
      <c r="A102" s="63" t="s">
        <v>208</v>
      </c>
      <c r="B102" s="63" t="s">
        <v>209</v>
      </c>
      <c r="C102" s="36">
        <v>4301011514</v>
      </c>
      <c r="D102" s="737">
        <v>4680115882133</v>
      </c>
      <c r="E102" s="737"/>
      <c r="F102" s="62">
        <v>1.35</v>
      </c>
      <c r="G102" s="663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39"/>
      <c r="R102" s="739"/>
      <c r="S102" s="739"/>
      <c r="T102" s="74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2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</row>
    <row r="103" spans="1:29" ht="15" hidden="1" x14ac:dyDescent="0.25">
      <c r="A103" s="63" t="s">
        <v>211</v>
      </c>
      <c r="B103" s="63" t="s">
        <v>212</v>
      </c>
      <c r="C103" s="36">
        <v>4301012379</v>
      </c>
      <c r="D103" s="737">
        <v>4680115887718</v>
      </c>
      <c r="E103" s="737"/>
      <c r="F103" s="62">
        <v>0.11</v>
      </c>
      <c r="G103" s="663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39"/>
      <c r="R103" s="739"/>
      <c r="S103" s="739"/>
      <c r="T103" s="74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2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</row>
    <row r="104" spans="1:29" ht="34.5" hidden="1" x14ac:dyDescent="0.25">
      <c r="A104" s="63" t="s">
        <v>214</v>
      </c>
      <c r="B104" s="63" t="s">
        <v>215</v>
      </c>
      <c r="C104" s="36">
        <v>4301011417</v>
      </c>
      <c r="D104" s="737">
        <v>4680115880269</v>
      </c>
      <c r="E104" s="737"/>
      <c r="F104" s="62">
        <v>0.375</v>
      </c>
      <c r="G104" s="663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39"/>
      <c r="R104" s="739"/>
      <c r="S104" s="739"/>
      <c r="T104" s="74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2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</row>
    <row r="105" spans="1:29" ht="23.25" hidden="1" x14ac:dyDescent="0.25">
      <c r="A105" s="63" t="s">
        <v>216</v>
      </c>
      <c r="B105" s="63" t="s">
        <v>217</v>
      </c>
      <c r="C105" s="36">
        <v>4301012254</v>
      </c>
      <c r="D105" s="737">
        <v>4680115880429</v>
      </c>
      <c r="E105" s="737"/>
      <c r="F105" s="62">
        <v>0.45</v>
      </c>
      <c r="G105" s="663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39"/>
      <c r="R105" s="739"/>
      <c r="S105" s="739"/>
      <c r="T105" s="74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2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</row>
    <row r="106" spans="1:29" ht="34.5" hidden="1" x14ac:dyDescent="0.25">
      <c r="A106" s="63" t="s">
        <v>219</v>
      </c>
      <c r="B106" s="63" t="s">
        <v>220</v>
      </c>
      <c r="C106" s="36">
        <v>4301011462</v>
      </c>
      <c r="D106" s="737">
        <v>4680115881457</v>
      </c>
      <c r="E106" s="737"/>
      <c r="F106" s="62">
        <v>0.75</v>
      </c>
      <c r="G106" s="663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39"/>
      <c r="R106" s="739"/>
      <c r="S106" s="739"/>
      <c r="T106" s="74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2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</row>
    <row r="107" spans="1:29" ht="23.25" hidden="1" x14ac:dyDescent="0.25">
      <c r="A107" s="63" t="s">
        <v>219</v>
      </c>
      <c r="B107" s="63" t="s">
        <v>221</v>
      </c>
      <c r="C107" s="36">
        <v>4301012255</v>
      </c>
      <c r="D107" s="737">
        <v>4680115881457</v>
      </c>
      <c r="E107" s="737"/>
      <c r="F107" s="62">
        <v>0.75</v>
      </c>
      <c r="G107" s="663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9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39"/>
      <c r="R107" s="739"/>
      <c r="S107" s="739"/>
      <c r="T107" s="74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2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</row>
    <row r="108" spans="1:29" hidden="1" x14ac:dyDescent="0.2">
      <c r="A108" s="745"/>
      <c r="B108" s="745"/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6"/>
      <c r="P108" s="742" t="s">
        <v>40</v>
      </c>
      <c r="Q108" s="743"/>
      <c r="R108" s="743"/>
      <c r="S108" s="743"/>
      <c r="T108" s="743"/>
      <c r="U108" s="743"/>
      <c r="V108" s="744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29" hidden="1" x14ac:dyDescent="0.2">
      <c r="A109" s="745"/>
      <c r="B109" s="745"/>
      <c r="C109" s="745"/>
      <c r="D109" s="745"/>
      <c r="E109" s="745"/>
      <c r="F109" s="745"/>
      <c r="G109" s="745"/>
      <c r="H109" s="745"/>
      <c r="I109" s="745"/>
      <c r="J109" s="745"/>
      <c r="K109" s="745"/>
      <c r="L109" s="745"/>
      <c r="M109" s="745"/>
      <c r="N109" s="745"/>
      <c r="O109" s="746"/>
      <c r="P109" s="742" t="s">
        <v>40</v>
      </c>
      <c r="Q109" s="743"/>
      <c r="R109" s="743"/>
      <c r="S109" s="743"/>
      <c r="T109" s="743"/>
      <c r="U109" s="743"/>
      <c r="V109" s="744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29" ht="15" hidden="1" x14ac:dyDescent="0.25">
      <c r="A110" s="736" t="s">
        <v>157</v>
      </c>
      <c r="B110" s="736"/>
      <c r="C110" s="736"/>
      <c r="D110" s="736"/>
      <c r="E110" s="736"/>
      <c r="F110" s="736"/>
      <c r="G110" s="736"/>
      <c r="H110" s="736"/>
      <c r="I110" s="736"/>
      <c r="J110" s="736"/>
      <c r="K110" s="736"/>
      <c r="L110" s="736"/>
      <c r="M110" s="736"/>
      <c r="N110" s="736"/>
      <c r="O110" s="736"/>
      <c r="P110" s="736"/>
      <c r="Q110" s="736"/>
      <c r="R110" s="736"/>
      <c r="S110" s="736"/>
      <c r="T110" s="736"/>
      <c r="U110" s="736"/>
      <c r="V110" s="736"/>
      <c r="W110" s="736"/>
      <c r="X110" s="736"/>
      <c r="Y110" s="736"/>
      <c r="Z110" s="736"/>
      <c r="AA110" s="652"/>
      <c r="AB110" s="652"/>
      <c r="AC110" s="652"/>
    </row>
    <row r="111" spans="1:29" ht="23.25" hidden="1" x14ac:dyDescent="0.25">
      <c r="A111" s="63" t="s">
        <v>222</v>
      </c>
      <c r="B111" s="63" t="s">
        <v>223</v>
      </c>
      <c r="C111" s="36">
        <v>4301020391</v>
      </c>
      <c r="D111" s="737">
        <v>4680115881488</v>
      </c>
      <c r="E111" s="737"/>
      <c r="F111" s="62">
        <v>1.35</v>
      </c>
      <c r="G111" s="663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39"/>
      <c r="R111" s="739"/>
      <c r="S111" s="739"/>
      <c r="T111" s="74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</row>
    <row r="112" spans="1:29" ht="15" hidden="1" x14ac:dyDescent="0.25">
      <c r="A112" s="63" t="s">
        <v>225</v>
      </c>
      <c r="B112" s="63" t="s">
        <v>226</v>
      </c>
      <c r="C112" s="36">
        <v>4301020186</v>
      </c>
      <c r="D112" s="737">
        <v>4680115887664</v>
      </c>
      <c r="E112" s="737"/>
      <c r="F112" s="62">
        <v>0.1</v>
      </c>
      <c r="G112" s="663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39"/>
      <c r="R112" s="739"/>
      <c r="S112" s="739"/>
      <c r="T112" s="74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</row>
    <row r="113" spans="1:29" ht="15" hidden="1" x14ac:dyDescent="0.25">
      <c r="A113" s="63" t="s">
        <v>225</v>
      </c>
      <c r="B113" s="63" t="s">
        <v>229</v>
      </c>
      <c r="C113" s="36">
        <v>4301020430</v>
      </c>
      <c r="D113" s="737">
        <v>4680115887664</v>
      </c>
      <c r="E113" s="737"/>
      <c r="F113" s="62">
        <v>0.1</v>
      </c>
      <c r="G113" s="663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39"/>
      <c r="R113" s="739"/>
      <c r="S113" s="739"/>
      <c r="T113" s="74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</row>
    <row r="114" spans="1:29" ht="23.25" hidden="1" x14ac:dyDescent="0.25">
      <c r="A114" s="63" t="s">
        <v>230</v>
      </c>
      <c r="B114" s="63" t="s">
        <v>231</v>
      </c>
      <c r="C114" s="36">
        <v>4301020393</v>
      </c>
      <c r="D114" s="737">
        <v>4680115882775</v>
      </c>
      <c r="E114" s="737"/>
      <c r="F114" s="62">
        <v>0.3</v>
      </c>
      <c r="G114" s="663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39"/>
      <c r="R114" s="739"/>
      <c r="S114" s="739"/>
      <c r="T114" s="74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</row>
    <row r="115" spans="1:29" ht="23.25" hidden="1" x14ac:dyDescent="0.25">
      <c r="A115" s="63" t="s">
        <v>232</v>
      </c>
      <c r="B115" s="63" t="s">
        <v>233</v>
      </c>
      <c r="C115" s="36">
        <v>4301020392</v>
      </c>
      <c r="D115" s="737">
        <v>4680115880658</v>
      </c>
      <c r="E115" s="737"/>
      <c r="F115" s="62">
        <v>0.4</v>
      </c>
      <c r="G115" s="663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39"/>
      <c r="R115" s="739"/>
      <c r="S115" s="739"/>
      <c r="T115" s="74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</row>
    <row r="116" spans="1:29" hidden="1" x14ac:dyDescent="0.2">
      <c r="A116" s="745"/>
      <c r="B116" s="745"/>
      <c r="C116" s="745"/>
      <c r="D116" s="745"/>
      <c r="E116" s="745"/>
      <c r="F116" s="745"/>
      <c r="G116" s="745"/>
      <c r="H116" s="745"/>
      <c r="I116" s="745"/>
      <c r="J116" s="745"/>
      <c r="K116" s="745"/>
      <c r="L116" s="745"/>
      <c r="M116" s="745"/>
      <c r="N116" s="745"/>
      <c r="O116" s="746"/>
      <c r="P116" s="742" t="s">
        <v>40</v>
      </c>
      <c r="Q116" s="743"/>
      <c r="R116" s="743"/>
      <c r="S116" s="743"/>
      <c r="T116" s="743"/>
      <c r="U116" s="743"/>
      <c r="V116" s="744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29" hidden="1" x14ac:dyDescent="0.2">
      <c r="A117" s="745"/>
      <c r="B117" s="745"/>
      <c r="C117" s="745"/>
      <c r="D117" s="745"/>
      <c r="E117" s="745"/>
      <c r="F117" s="745"/>
      <c r="G117" s="745"/>
      <c r="H117" s="745"/>
      <c r="I117" s="745"/>
      <c r="J117" s="745"/>
      <c r="K117" s="745"/>
      <c r="L117" s="745"/>
      <c r="M117" s="745"/>
      <c r="N117" s="745"/>
      <c r="O117" s="746"/>
      <c r="P117" s="742" t="s">
        <v>40</v>
      </c>
      <c r="Q117" s="743"/>
      <c r="R117" s="743"/>
      <c r="S117" s="743"/>
      <c r="T117" s="743"/>
      <c r="U117" s="743"/>
      <c r="V117" s="744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29" ht="15" hidden="1" x14ac:dyDescent="0.25">
      <c r="A118" s="736" t="s">
        <v>86</v>
      </c>
      <c r="B118" s="736"/>
      <c r="C118" s="736"/>
      <c r="D118" s="736"/>
      <c r="E118" s="736"/>
      <c r="F118" s="736"/>
      <c r="G118" s="736"/>
      <c r="H118" s="736"/>
      <c r="I118" s="736"/>
      <c r="J118" s="736"/>
      <c r="K118" s="736"/>
      <c r="L118" s="736"/>
      <c r="M118" s="736"/>
      <c r="N118" s="736"/>
      <c r="O118" s="736"/>
      <c r="P118" s="736"/>
      <c r="Q118" s="736"/>
      <c r="R118" s="736"/>
      <c r="S118" s="736"/>
      <c r="T118" s="736"/>
      <c r="U118" s="736"/>
      <c r="V118" s="736"/>
      <c r="W118" s="736"/>
      <c r="X118" s="736"/>
      <c r="Y118" s="736"/>
      <c r="Z118" s="736"/>
      <c r="AA118" s="652"/>
      <c r="AB118" s="652"/>
      <c r="AC118" s="652"/>
    </row>
    <row r="119" spans="1:29" ht="23.25" hidden="1" x14ac:dyDescent="0.25">
      <c r="A119" s="63" t="s">
        <v>234</v>
      </c>
      <c r="B119" s="63" t="s">
        <v>235</v>
      </c>
      <c r="C119" s="36">
        <v>4301052088</v>
      </c>
      <c r="D119" s="737">
        <v>4607091385168</v>
      </c>
      <c r="E119" s="737"/>
      <c r="F119" s="62">
        <v>1.35</v>
      </c>
      <c r="G119" s="663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9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39"/>
      <c r="R119" s="739"/>
      <c r="S119" s="739"/>
      <c r="T119" s="74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</row>
    <row r="120" spans="1:29" ht="23.25" hidden="1" x14ac:dyDescent="0.25">
      <c r="A120" s="63" t="s">
        <v>237</v>
      </c>
      <c r="B120" s="63" t="s">
        <v>238</v>
      </c>
      <c r="C120" s="36">
        <v>4301052087</v>
      </c>
      <c r="D120" s="737">
        <v>4607091383256</v>
      </c>
      <c r="E120" s="737"/>
      <c r="F120" s="62">
        <v>0.33</v>
      </c>
      <c r="G120" s="663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39"/>
      <c r="R120" s="739"/>
      <c r="S120" s="739"/>
      <c r="T120" s="74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</row>
    <row r="121" spans="1:29" ht="23.25" hidden="1" x14ac:dyDescent="0.25">
      <c r="A121" s="63" t="s">
        <v>239</v>
      </c>
      <c r="B121" s="63" t="s">
        <v>240</v>
      </c>
      <c r="C121" s="36">
        <v>4301052086</v>
      </c>
      <c r="D121" s="737">
        <v>4607091385748</v>
      </c>
      <c r="E121" s="737"/>
      <c r="F121" s="62">
        <v>0.45</v>
      </c>
      <c r="G121" s="663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0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39"/>
      <c r="R121" s="739"/>
      <c r="S121" s="739"/>
      <c r="T121" s="74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</row>
    <row r="122" spans="1:29" ht="15" hidden="1" x14ac:dyDescent="0.25">
      <c r="A122" s="63" t="s">
        <v>241</v>
      </c>
      <c r="B122" s="63" t="s">
        <v>242</v>
      </c>
      <c r="C122" s="36">
        <v>4301052085</v>
      </c>
      <c r="D122" s="737">
        <v>4680115884533</v>
      </c>
      <c r="E122" s="737"/>
      <c r="F122" s="62">
        <v>0.3</v>
      </c>
      <c r="G122" s="663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0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39"/>
      <c r="R122" s="739"/>
      <c r="S122" s="739"/>
      <c r="T122" s="74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</row>
    <row r="123" spans="1:29" hidden="1" x14ac:dyDescent="0.2">
      <c r="A123" s="745"/>
      <c r="B123" s="745"/>
      <c r="C123" s="745"/>
      <c r="D123" s="745"/>
      <c r="E123" s="745"/>
      <c r="F123" s="745"/>
      <c r="G123" s="745"/>
      <c r="H123" s="745"/>
      <c r="I123" s="745"/>
      <c r="J123" s="745"/>
      <c r="K123" s="745"/>
      <c r="L123" s="745"/>
      <c r="M123" s="745"/>
      <c r="N123" s="745"/>
      <c r="O123" s="746"/>
      <c r="P123" s="742" t="s">
        <v>40</v>
      </c>
      <c r="Q123" s="743"/>
      <c r="R123" s="743"/>
      <c r="S123" s="743"/>
      <c r="T123" s="743"/>
      <c r="U123" s="743"/>
      <c r="V123" s="744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29" hidden="1" x14ac:dyDescent="0.2">
      <c r="A124" s="745"/>
      <c r="B124" s="745"/>
      <c r="C124" s="745"/>
      <c r="D124" s="745"/>
      <c r="E124" s="745"/>
      <c r="F124" s="745"/>
      <c r="G124" s="745"/>
      <c r="H124" s="745"/>
      <c r="I124" s="745"/>
      <c r="J124" s="745"/>
      <c r="K124" s="745"/>
      <c r="L124" s="745"/>
      <c r="M124" s="745"/>
      <c r="N124" s="745"/>
      <c r="O124" s="746"/>
      <c r="P124" s="742" t="s">
        <v>40</v>
      </c>
      <c r="Q124" s="743"/>
      <c r="R124" s="743"/>
      <c r="S124" s="743"/>
      <c r="T124" s="743"/>
      <c r="U124" s="743"/>
      <c r="V124" s="744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29" ht="15" hidden="1" x14ac:dyDescent="0.25">
      <c r="A125" s="736" t="s">
        <v>175</v>
      </c>
      <c r="B125" s="736"/>
      <c r="C125" s="736"/>
      <c r="D125" s="736"/>
      <c r="E125" s="736"/>
      <c r="F125" s="736"/>
      <c r="G125" s="736"/>
      <c r="H125" s="736"/>
      <c r="I125" s="736"/>
      <c r="J125" s="736"/>
      <c r="K125" s="736"/>
      <c r="L125" s="736"/>
      <c r="M125" s="736"/>
      <c r="N125" s="736"/>
      <c r="O125" s="736"/>
      <c r="P125" s="736"/>
      <c r="Q125" s="736"/>
      <c r="R125" s="736"/>
      <c r="S125" s="736"/>
      <c r="T125" s="736"/>
      <c r="U125" s="736"/>
      <c r="V125" s="736"/>
      <c r="W125" s="736"/>
      <c r="X125" s="736"/>
      <c r="Y125" s="736"/>
      <c r="Z125" s="736"/>
      <c r="AA125" s="652"/>
      <c r="AB125" s="652"/>
      <c r="AC125" s="652"/>
    </row>
    <row r="126" spans="1:29" ht="15" hidden="1" x14ac:dyDescent="0.25">
      <c r="A126" s="63" t="s">
        <v>244</v>
      </c>
      <c r="B126" s="63" t="s">
        <v>245</v>
      </c>
      <c r="C126" s="36">
        <v>4301060525</v>
      </c>
      <c r="D126" s="737">
        <v>4680115880238</v>
      </c>
      <c r="E126" s="737"/>
      <c r="F126" s="62">
        <v>0.33</v>
      </c>
      <c r="G126" s="663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0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39"/>
      <c r="R126" s="739"/>
      <c r="S126" s="739"/>
      <c r="T126" s="74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</row>
    <row r="127" spans="1:29" hidden="1" x14ac:dyDescent="0.2">
      <c r="A127" s="745"/>
      <c r="B127" s="745"/>
      <c r="C127" s="745"/>
      <c r="D127" s="745"/>
      <c r="E127" s="745"/>
      <c r="F127" s="745"/>
      <c r="G127" s="745"/>
      <c r="H127" s="745"/>
      <c r="I127" s="745"/>
      <c r="J127" s="745"/>
      <c r="K127" s="745"/>
      <c r="L127" s="745"/>
      <c r="M127" s="745"/>
      <c r="N127" s="745"/>
      <c r="O127" s="746"/>
      <c r="P127" s="742" t="s">
        <v>40</v>
      </c>
      <c r="Q127" s="743"/>
      <c r="R127" s="743"/>
      <c r="S127" s="743"/>
      <c r="T127" s="743"/>
      <c r="U127" s="743"/>
      <c r="V127" s="744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29" hidden="1" x14ac:dyDescent="0.2">
      <c r="A128" s="745"/>
      <c r="B128" s="745"/>
      <c r="C128" s="745"/>
      <c r="D128" s="745"/>
      <c r="E128" s="745"/>
      <c r="F128" s="745"/>
      <c r="G128" s="745"/>
      <c r="H128" s="745"/>
      <c r="I128" s="745"/>
      <c r="J128" s="745"/>
      <c r="K128" s="745"/>
      <c r="L128" s="745"/>
      <c r="M128" s="745"/>
      <c r="N128" s="745"/>
      <c r="O128" s="746"/>
      <c r="P128" s="742" t="s">
        <v>40</v>
      </c>
      <c r="Q128" s="743"/>
      <c r="R128" s="743"/>
      <c r="S128" s="743"/>
      <c r="T128" s="743"/>
      <c r="U128" s="743"/>
      <c r="V128" s="744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29" ht="15" hidden="1" x14ac:dyDescent="0.25">
      <c r="A129" s="735" t="s">
        <v>247</v>
      </c>
      <c r="B129" s="735"/>
      <c r="C129" s="735"/>
      <c r="D129" s="735"/>
      <c r="E129" s="735"/>
      <c r="F129" s="735"/>
      <c r="G129" s="735"/>
      <c r="H129" s="735"/>
      <c r="I129" s="735"/>
      <c r="J129" s="735"/>
      <c r="K129" s="735"/>
      <c r="L129" s="735"/>
      <c r="M129" s="735"/>
      <c r="N129" s="735"/>
      <c r="O129" s="735"/>
      <c r="P129" s="735"/>
      <c r="Q129" s="735"/>
      <c r="R129" s="735"/>
      <c r="S129" s="735"/>
      <c r="T129" s="735"/>
      <c r="U129" s="735"/>
      <c r="V129" s="735"/>
      <c r="W129" s="735"/>
      <c r="X129" s="735"/>
      <c r="Y129" s="735"/>
      <c r="Z129" s="735"/>
      <c r="AA129" s="653"/>
      <c r="AB129" s="653"/>
      <c r="AC129" s="653"/>
    </row>
    <row r="130" spans="1:29" ht="15" hidden="1" x14ac:dyDescent="0.25">
      <c r="A130" s="736" t="s">
        <v>122</v>
      </c>
      <c r="B130" s="736"/>
      <c r="C130" s="736"/>
      <c r="D130" s="736"/>
      <c r="E130" s="736"/>
      <c r="F130" s="736"/>
      <c r="G130" s="736"/>
      <c r="H130" s="736"/>
      <c r="I130" s="736"/>
      <c r="J130" s="736"/>
      <c r="K130" s="736"/>
      <c r="L130" s="736"/>
      <c r="M130" s="736"/>
      <c r="N130" s="736"/>
      <c r="O130" s="736"/>
      <c r="P130" s="736"/>
      <c r="Q130" s="736"/>
      <c r="R130" s="736"/>
      <c r="S130" s="736"/>
      <c r="T130" s="736"/>
      <c r="U130" s="736"/>
      <c r="V130" s="736"/>
      <c r="W130" s="736"/>
      <c r="X130" s="736"/>
      <c r="Y130" s="736"/>
      <c r="Z130" s="736"/>
      <c r="AA130" s="652"/>
      <c r="AB130" s="652"/>
      <c r="AC130" s="652"/>
    </row>
    <row r="131" spans="1:29" ht="15" hidden="1" x14ac:dyDescent="0.25">
      <c r="A131" s="63" t="s">
        <v>248</v>
      </c>
      <c r="B131" s="63" t="s">
        <v>249</v>
      </c>
      <c r="C131" s="36">
        <v>4301011562</v>
      </c>
      <c r="D131" s="737">
        <v>4680115882577</v>
      </c>
      <c r="E131" s="737"/>
      <c r="F131" s="62">
        <v>0.4</v>
      </c>
      <c r="G131" s="663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39"/>
      <c r="R131" s="739"/>
      <c r="S131" s="739"/>
      <c r="T131" s="74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</row>
    <row r="132" spans="1:29" ht="15" hidden="1" x14ac:dyDescent="0.25">
      <c r="A132" s="63" t="s">
        <v>248</v>
      </c>
      <c r="B132" s="63" t="s">
        <v>252</v>
      </c>
      <c r="C132" s="36">
        <v>4301011564</v>
      </c>
      <c r="D132" s="737">
        <v>4680115882577</v>
      </c>
      <c r="E132" s="737"/>
      <c r="F132" s="62">
        <v>0.4</v>
      </c>
      <c r="G132" s="663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39"/>
      <c r="R132" s="739"/>
      <c r="S132" s="739"/>
      <c r="T132" s="74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</row>
    <row r="133" spans="1:29" hidden="1" x14ac:dyDescent="0.2">
      <c r="A133" s="745"/>
      <c r="B133" s="745"/>
      <c r="C133" s="745"/>
      <c r="D133" s="745"/>
      <c r="E133" s="745"/>
      <c r="F133" s="745"/>
      <c r="G133" s="745"/>
      <c r="H133" s="745"/>
      <c r="I133" s="745"/>
      <c r="J133" s="745"/>
      <c r="K133" s="745"/>
      <c r="L133" s="745"/>
      <c r="M133" s="745"/>
      <c r="N133" s="745"/>
      <c r="O133" s="746"/>
      <c r="P133" s="742" t="s">
        <v>40</v>
      </c>
      <c r="Q133" s="743"/>
      <c r="R133" s="743"/>
      <c r="S133" s="743"/>
      <c r="T133" s="743"/>
      <c r="U133" s="743"/>
      <c r="V133" s="744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29" hidden="1" x14ac:dyDescent="0.2">
      <c r="A134" s="745"/>
      <c r="B134" s="745"/>
      <c r="C134" s="745"/>
      <c r="D134" s="745"/>
      <c r="E134" s="745"/>
      <c r="F134" s="745"/>
      <c r="G134" s="745"/>
      <c r="H134" s="745"/>
      <c r="I134" s="745"/>
      <c r="J134" s="745"/>
      <c r="K134" s="745"/>
      <c r="L134" s="745"/>
      <c r="M134" s="745"/>
      <c r="N134" s="745"/>
      <c r="O134" s="746"/>
      <c r="P134" s="742" t="s">
        <v>40</v>
      </c>
      <c r="Q134" s="743"/>
      <c r="R134" s="743"/>
      <c r="S134" s="743"/>
      <c r="T134" s="743"/>
      <c r="U134" s="743"/>
      <c r="V134" s="744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29" ht="15" hidden="1" x14ac:dyDescent="0.25">
      <c r="A135" s="736" t="s">
        <v>77</v>
      </c>
      <c r="B135" s="736"/>
      <c r="C135" s="736"/>
      <c r="D135" s="736"/>
      <c r="E135" s="736"/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6"/>
      <c r="Q135" s="736"/>
      <c r="R135" s="736"/>
      <c r="S135" s="736"/>
      <c r="T135" s="736"/>
      <c r="U135" s="736"/>
      <c r="V135" s="736"/>
      <c r="W135" s="736"/>
      <c r="X135" s="736"/>
      <c r="Y135" s="736"/>
      <c r="Z135" s="736"/>
      <c r="AA135" s="652"/>
      <c r="AB135" s="652"/>
      <c r="AC135" s="652"/>
    </row>
    <row r="136" spans="1:29" ht="15" hidden="1" x14ac:dyDescent="0.25">
      <c r="A136" s="63" t="s">
        <v>253</v>
      </c>
      <c r="B136" s="63" t="s">
        <v>254</v>
      </c>
      <c r="C136" s="36">
        <v>4301031234</v>
      </c>
      <c r="D136" s="737">
        <v>4680115883444</v>
      </c>
      <c r="E136" s="737"/>
      <c r="F136" s="62">
        <v>0.35</v>
      </c>
      <c r="G136" s="663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39"/>
      <c r="R136" s="739"/>
      <c r="S136" s="739"/>
      <c r="T136" s="74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</row>
    <row r="137" spans="1:29" ht="15" hidden="1" x14ac:dyDescent="0.25">
      <c r="A137" s="63" t="s">
        <v>253</v>
      </c>
      <c r="B137" s="63" t="s">
        <v>256</v>
      </c>
      <c r="C137" s="36">
        <v>4301031235</v>
      </c>
      <c r="D137" s="737">
        <v>4680115883444</v>
      </c>
      <c r="E137" s="737"/>
      <c r="F137" s="62">
        <v>0.35</v>
      </c>
      <c r="G137" s="663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39"/>
      <c r="R137" s="739"/>
      <c r="S137" s="739"/>
      <c r="T137" s="74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</row>
    <row r="138" spans="1:29" hidden="1" x14ac:dyDescent="0.2">
      <c r="A138" s="745"/>
      <c r="B138" s="745"/>
      <c r="C138" s="745"/>
      <c r="D138" s="745"/>
      <c r="E138" s="745"/>
      <c r="F138" s="745"/>
      <c r="G138" s="745"/>
      <c r="H138" s="745"/>
      <c r="I138" s="745"/>
      <c r="J138" s="745"/>
      <c r="K138" s="745"/>
      <c r="L138" s="745"/>
      <c r="M138" s="745"/>
      <c r="N138" s="745"/>
      <c r="O138" s="746"/>
      <c r="P138" s="742" t="s">
        <v>40</v>
      </c>
      <c r="Q138" s="743"/>
      <c r="R138" s="743"/>
      <c r="S138" s="743"/>
      <c r="T138" s="743"/>
      <c r="U138" s="743"/>
      <c r="V138" s="744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29" hidden="1" x14ac:dyDescent="0.2">
      <c r="A139" s="745"/>
      <c r="B139" s="745"/>
      <c r="C139" s="745"/>
      <c r="D139" s="745"/>
      <c r="E139" s="745"/>
      <c r="F139" s="745"/>
      <c r="G139" s="745"/>
      <c r="H139" s="745"/>
      <c r="I139" s="745"/>
      <c r="J139" s="745"/>
      <c r="K139" s="745"/>
      <c r="L139" s="745"/>
      <c r="M139" s="745"/>
      <c r="N139" s="745"/>
      <c r="O139" s="746"/>
      <c r="P139" s="742" t="s">
        <v>40</v>
      </c>
      <c r="Q139" s="743"/>
      <c r="R139" s="743"/>
      <c r="S139" s="743"/>
      <c r="T139" s="743"/>
      <c r="U139" s="743"/>
      <c r="V139" s="744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29" ht="15" hidden="1" x14ac:dyDescent="0.25">
      <c r="A140" s="736" t="s">
        <v>86</v>
      </c>
      <c r="B140" s="736"/>
      <c r="C140" s="736"/>
      <c r="D140" s="736"/>
      <c r="E140" s="736"/>
      <c r="F140" s="736"/>
      <c r="G140" s="736"/>
      <c r="H140" s="736"/>
      <c r="I140" s="736"/>
      <c r="J140" s="736"/>
      <c r="K140" s="736"/>
      <c r="L140" s="736"/>
      <c r="M140" s="736"/>
      <c r="N140" s="736"/>
      <c r="O140" s="736"/>
      <c r="P140" s="736"/>
      <c r="Q140" s="736"/>
      <c r="R140" s="736"/>
      <c r="S140" s="736"/>
      <c r="T140" s="736"/>
      <c r="U140" s="736"/>
      <c r="V140" s="736"/>
      <c r="W140" s="736"/>
      <c r="X140" s="736"/>
      <c r="Y140" s="736"/>
      <c r="Z140" s="736"/>
      <c r="AA140" s="652"/>
      <c r="AB140" s="652"/>
      <c r="AC140" s="652"/>
    </row>
    <row r="141" spans="1:29" ht="15" hidden="1" x14ac:dyDescent="0.25">
      <c r="A141" s="63" t="s">
        <v>257</v>
      </c>
      <c r="B141" s="63" t="s">
        <v>258</v>
      </c>
      <c r="C141" s="36">
        <v>4301051476</v>
      </c>
      <c r="D141" s="737">
        <v>4680115882584</v>
      </c>
      <c r="E141" s="737"/>
      <c r="F141" s="62">
        <v>0.33</v>
      </c>
      <c r="G141" s="663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39"/>
      <c r="R141" s="739"/>
      <c r="S141" s="739"/>
      <c r="T141" s="74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</row>
    <row r="142" spans="1:29" ht="15" hidden="1" x14ac:dyDescent="0.25">
      <c r="A142" s="63" t="s">
        <v>257</v>
      </c>
      <c r="B142" s="63" t="s">
        <v>259</v>
      </c>
      <c r="C142" s="36">
        <v>4301051477</v>
      </c>
      <c r="D142" s="737">
        <v>4680115882584</v>
      </c>
      <c r="E142" s="737"/>
      <c r="F142" s="62">
        <v>0.33</v>
      </c>
      <c r="G142" s="663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39"/>
      <c r="R142" s="739"/>
      <c r="S142" s="739"/>
      <c r="T142" s="74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</row>
    <row r="143" spans="1:29" hidden="1" x14ac:dyDescent="0.2">
      <c r="A143" s="745"/>
      <c r="B143" s="745"/>
      <c r="C143" s="745"/>
      <c r="D143" s="745"/>
      <c r="E143" s="745"/>
      <c r="F143" s="745"/>
      <c r="G143" s="745"/>
      <c r="H143" s="745"/>
      <c r="I143" s="745"/>
      <c r="J143" s="745"/>
      <c r="K143" s="745"/>
      <c r="L143" s="745"/>
      <c r="M143" s="745"/>
      <c r="N143" s="745"/>
      <c r="O143" s="746"/>
      <c r="P143" s="742" t="s">
        <v>40</v>
      </c>
      <c r="Q143" s="743"/>
      <c r="R143" s="743"/>
      <c r="S143" s="743"/>
      <c r="T143" s="743"/>
      <c r="U143" s="743"/>
      <c r="V143" s="744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29" hidden="1" x14ac:dyDescent="0.2">
      <c r="A144" s="745"/>
      <c r="B144" s="745"/>
      <c r="C144" s="745"/>
      <c r="D144" s="745"/>
      <c r="E144" s="745"/>
      <c r="F144" s="745"/>
      <c r="G144" s="745"/>
      <c r="H144" s="745"/>
      <c r="I144" s="745"/>
      <c r="J144" s="745"/>
      <c r="K144" s="745"/>
      <c r="L144" s="745"/>
      <c r="M144" s="745"/>
      <c r="N144" s="745"/>
      <c r="O144" s="746"/>
      <c r="P144" s="742" t="s">
        <v>40</v>
      </c>
      <c r="Q144" s="743"/>
      <c r="R144" s="743"/>
      <c r="S144" s="743"/>
      <c r="T144" s="743"/>
      <c r="U144" s="743"/>
      <c r="V144" s="744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29" ht="15" hidden="1" x14ac:dyDescent="0.25">
      <c r="A145" s="735" t="s">
        <v>260</v>
      </c>
      <c r="B145" s="735"/>
      <c r="C145" s="735"/>
      <c r="D145" s="735"/>
      <c r="E145" s="735"/>
      <c r="F145" s="735"/>
      <c r="G145" s="735"/>
      <c r="H145" s="735"/>
      <c r="I145" s="735"/>
      <c r="J145" s="735"/>
      <c r="K145" s="735"/>
      <c r="L145" s="735"/>
      <c r="M145" s="735"/>
      <c r="N145" s="735"/>
      <c r="O145" s="735"/>
      <c r="P145" s="735"/>
      <c r="Q145" s="735"/>
      <c r="R145" s="735"/>
      <c r="S145" s="735"/>
      <c r="T145" s="735"/>
      <c r="U145" s="735"/>
      <c r="V145" s="735"/>
      <c r="W145" s="735"/>
      <c r="X145" s="735"/>
      <c r="Y145" s="735"/>
      <c r="Z145" s="735"/>
      <c r="AA145" s="653"/>
      <c r="AB145" s="653"/>
      <c r="AC145" s="653"/>
    </row>
    <row r="146" spans="1:29" ht="15" hidden="1" x14ac:dyDescent="0.25">
      <c r="A146" s="736" t="s">
        <v>86</v>
      </c>
      <c r="B146" s="736"/>
      <c r="C146" s="736"/>
      <c r="D146" s="736"/>
      <c r="E146" s="736"/>
      <c r="F146" s="736"/>
      <c r="G146" s="736"/>
      <c r="H146" s="736"/>
      <c r="I146" s="736"/>
      <c r="J146" s="736"/>
      <c r="K146" s="736"/>
      <c r="L146" s="736"/>
      <c r="M146" s="736"/>
      <c r="N146" s="736"/>
      <c r="O146" s="736"/>
      <c r="P146" s="736"/>
      <c r="Q146" s="736"/>
      <c r="R146" s="736"/>
      <c r="S146" s="736"/>
      <c r="T146" s="736"/>
      <c r="U146" s="736"/>
      <c r="V146" s="736"/>
      <c r="W146" s="736"/>
      <c r="X146" s="736"/>
      <c r="Y146" s="736"/>
      <c r="Z146" s="736"/>
      <c r="AA146" s="652"/>
      <c r="AB146" s="652"/>
      <c r="AC146" s="652"/>
    </row>
    <row r="147" spans="1:29" ht="15" hidden="1" x14ac:dyDescent="0.25">
      <c r="A147" s="63" t="s">
        <v>261</v>
      </c>
      <c r="B147" s="63" t="s">
        <v>262</v>
      </c>
      <c r="C147" s="36">
        <v>4301052254</v>
      </c>
      <c r="D147" s="737">
        <v>4680115888203</v>
      </c>
      <c r="E147" s="737"/>
      <c r="F147" s="62">
        <v>0.22</v>
      </c>
      <c r="G147" s="663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1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39"/>
      <c r="R147" s="739"/>
      <c r="S147" s="739"/>
      <c r="T147" s="740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3">IFERROR(IF(X147="",0,CEILING((X147/$H147),1)*$H147),"")</f>
        <v>0</v>
      </c>
      <c r="Z147" s="41" t="str">
        <f t="shared" ref="Z147:Z152" si="4">IFERROR(IF(Y147=0,"",ROUNDUP(Y147/H147,0)*0.00651),"")</f>
        <v/>
      </c>
      <c r="AA147" s="68" t="s">
        <v>46</v>
      </c>
      <c r="AB147" s="69" t="s">
        <v>46</v>
      </c>
      <c r="AC147" s="216" t="s">
        <v>263</v>
      </c>
    </row>
    <row r="148" spans="1:29" ht="15" hidden="1" x14ac:dyDescent="0.25">
      <c r="A148" s="63" t="s">
        <v>264</v>
      </c>
      <c r="B148" s="63" t="s">
        <v>265</v>
      </c>
      <c r="C148" s="36">
        <v>4301052172</v>
      </c>
      <c r="D148" s="737">
        <v>4680115888180</v>
      </c>
      <c r="E148" s="737"/>
      <c r="F148" s="62">
        <v>0.22</v>
      </c>
      <c r="G148" s="663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1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39"/>
      <c r="R148" s="739"/>
      <c r="S148" s="739"/>
      <c r="T148" s="740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3"/>
        <v>0</v>
      </c>
      <c r="Z148" s="41" t="str">
        <f t="shared" si="4"/>
        <v/>
      </c>
      <c r="AA148" s="68" t="s">
        <v>46</v>
      </c>
      <c r="AB148" s="69" t="s">
        <v>46</v>
      </c>
      <c r="AC148" s="218" t="s">
        <v>266</v>
      </c>
    </row>
    <row r="149" spans="1:29" ht="15" hidden="1" x14ac:dyDescent="0.25">
      <c r="A149" s="63" t="s">
        <v>264</v>
      </c>
      <c r="B149" s="63" t="s">
        <v>267</v>
      </c>
      <c r="C149" s="36">
        <v>4301052252</v>
      </c>
      <c r="D149" s="737">
        <v>4680115888180</v>
      </c>
      <c r="E149" s="737"/>
      <c r="F149" s="62">
        <v>0.22</v>
      </c>
      <c r="G149" s="663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39"/>
      <c r="R149" s="739"/>
      <c r="S149" s="739"/>
      <c r="T149" s="74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3"/>
        <v>0</v>
      </c>
      <c r="Z149" s="41" t="str">
        <f t="shared" si="4"/>
        <v/>
      </c>
      <c r="AA149" s="68" t="s">
        <v>46</v>
      </c>
      <c r="AB149" s="69" t="s">
        <v>46</v>
      </c>
      <c r="AC149" s="220" t="s">
        <v>266</v>
      </c>
    </row>
    <row r="150" spans="1:29" ht="15" hidden="1" x14ac:dyDescent="0.25">
      <c r="A150" s="63" t="s">
        <v>268</v>
      </c>
      <c r="B150" s="63" t="s">
        <v>269</v>
      </c>
      <c r="C150" s="36">
        <v>4301052253</v>
      </c>
      <c r="D150" s="737">
        <v>4680115888197</v>
      </c>
      <c r="E150" s="737"/>
      <c r="F150" s="62">
        <v>0.22</v>
      </c>
      <c r="G150" s="663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39"/>
      <c r="R150" s="739"/>
      <c r="S150" s="739"/>
      <c r="T150" s="74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3"/>
        <v>0</v>
      </c>
      <c r="Z150" s="41" t="str">
        <f t="shared" si="4"/>
        <v/>
      </c>
      <c r="AA150" s="68" t="s">
        <v>46</v>
      </c>
      <c r="AB150" s="69" t="s">
        <v>46</v>
      </c>
      <c r="AC150" s="222" t="s">
        <v>270</v>
      </c>
    </row>
    <row r="151" spans="1:29" ht="15" hidden="1" x14ac:dyDescent="0.25">
      <c r="A151" s="63" t="s">
        <v>271</v>
      </c>
      <c r="B151" s="63" t="s">
        <v>272</v>
      </c>
      <c r="C151" s="36">
        <v>4301052175</v>
      </c>
      <c r="D151" s="737">
        <v>4680115888210</v>
      </c>
      <c r="E151" s="737"/>
      <c r="F151" s="62">
        <v>0.22</v>
      </c>
      <c r="G151" s="663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1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39"/>
      <c r="R151" s="739"/>
      <c r="S151" s="739"/>
      <c r="T151" s="74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3"/>
        <v>0</v>
      </c>
      <c r="Z151" s="41" t="str">
        <f t="shared" si="4"/>
        <v/>
      </c>
      <c r="AA151" s="68" t="s">
        <v>46</v>
      </c>
      <c r="AB151" s="69" t="s">
        <v>46</v>
      </c>
      <c r="AC151" s="224" t="s">
        <v>273</v>
      </c>
    </row>
    <row r="152" spans="1:29" ht="15" hidden="1" x14ac:dyDescent="0.25">
      <c r="A152" s="63" t="s">
        <v>271</v>
      </c>
      <c r="B152" s="63" t="s">
        <v>274</v>
      </c>
      <c r="C152" s="36">
        <v>4301052255</v>
      </c>
      <c r="D152" s="737">
        <v>4680115888210</v>
      </c>
      <c r="E152" s="737"/>
      <c r="F152" s="62">
        <v>0.22</v>
      </c>
      <c r="G152" s="663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1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39"/>
      <c r="R152" s="739"/>
      <c r="S152" s="739"/>
      <c r="T152" s="74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3"/>
        <v>0</v>
      </c>
      <c r="Z152" s="41" t="str">
        <f t="shared" si="4"/>
        <v/>
      </c>
      <c r="AA152" s="68" t="s">
        <v>46</v>
      </c>
      <c r="AB152" s="69" t="s">
        <v>46</v>
      </c>
      <c r="AC152" s="226" t="s">
        <v>273</v>
      </c>
    </row>
    <row r="153" spans="1:29" hidden="1" x14ac:dyDescent="0.2">
      <c r="A153" s="745"/>
      <c r="B153" s="745"/>
      <c r="C153" s="745"/>
      <c r="D153" s="745"/>
      <c r="E153" s="745"/>
      <c r="F153" s="745"/>
      <c r="G153" s="745"/>
      <c r="H153" s="745"/>
      <c r="I153" s="745"/>
      <c r="J153" s="745"/>
      <c r="K153" s="745"/>
      <c r="L153" s="745"/>
      <c r="M153" s="745"/>
      <c r="N153" s="745"/>
      <c r="O153" s="746"/>
      <c r="P153" s="742" t="s">
        <v>40</v>
      </c>
      <c r="Q153" s="743"/>
      <c r="R153" s="743"/>
      <c r="S153" s="743"/>
      <c r="T153" s="743"/>
      <c r="U153" s="743"/>
      <c r="V153" s="744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29" hidden="1" x14ac:dyDescent="0.2">
      <c r="A154" s="745"/>
      <c r="B154" s="745"/>
      <c r="C154" s="745"/>
      <c r="D154" s="745"/>
      <c r="E154" s="745"/>
      <c r="F154" s="745"/>
      <c r="G154" s="745"/>
      <c r="H154" s="745"/>
      <c r="I154" s="745"/>
      <c r="J154" s="745"/>
      <c r="K154" s="745"/>
      <c r="L154" s="745"/>
      <c r="M154" s="745"/>
      <c r="N154" s="745"/>
      <c r="O154" s="746"/>
      <c r="P154" s="742" t="s">
        <v>40</v>
      </c>
      <c r="Q154" s="743"/>
      <c r="R154" s="743"/>
      <c r="S154" s="743"/>
      <c r="T154" s="743"/>
      <c r="U154" s="743"/>
      <c r="V154" s="744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29" ht="15" hidden="1" x14ac:dyDescent="0.25">
      <c r="A155" s="736" t="s">
        <v>275</v>
      </c>
      <c r="B155" s="736"/>
      <c r="C155" s="736"/>
      <c r="D155" s="736"/>
      <c r="E155" s="736"/>
      <c r="F155" s="736"/>
      <c r="G155" s="736"/>
      <c r="H155" s="736"/>
      <c r="I155" s="736"/>
      <c r="J155" s="736"/>
      <c r="K155" s="736"/>
      <c r="L155" s="736"/>
      <c r="M155" s="736"/>
      <c r="N155" s="736"/>
      <c r="O155" s="736"/>
      <c r="P155" s="736"/>
      <c r="Q155" s="736"/>
      <c r="R155" s="736"/>
      <c r="S155" s="736"/>
      <c r="T155" s="736"/>
      <c r="U155" s="736"/>
      <c r="V155" s="736"/>
      <c r="W155" s="736"/>
      <c r="X155" s="736"/>
      <c r="Y155" s="736"/>
      <c r="Z155" s="736"/>
      <c r="AA155" s="652"/>
      <c r="AB155" s="652"/>
      <c r="AC155" s="652"/>
    </row>
    <row r="156" spans="1:29" ht="15" hidden="1" x14ac:dyDescent="0.25">
      <c r="A156" s="63" t="s">
        <v>276</v>
      </c>
      <c r="B156" s="63" t="s">
        <v>277</v>
      </c>
      <c r="C156" s="36">
        <v>4301032067</v>
      </c>
      <c r="D156" s="737">
        <v>4680115889132</v>
      </c>
      <c r="E156" s="737"/>
      <c r="F156" s="62">
        <v>0.04</v>
      </c>
      <c r="G156" s="663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39"/>
      <c r="R156" s="739"/>
      <c r="S156" s="739"/>
      <c r="T156" s="74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</row>
    <row r="157" spans="1:29" hidden="1" x14ac:dyDescent="0.2">
      <c r="A157" s="745"/>
      <c r="B157" s="745"/>
      <c r="C157" s="745"/>
      <c r="D157" s="745"/>
      <c r="E157" s="745"/>
      <c r="F157" s="745"/>
      <c r="G157" s="745"/>
      <c r="H157" s="745"/>
      <c r="I157" s="745"/>
      <c r="J157" s="745"/>
      <c r="K157" s="745"/>
      <c r="L157" s="745"/>
      <c r="M157" s="745"/>
      <c r="N157" s="745"/>
      <c r="O157" s="746"/>
      <c r="P157" s="742" t="s">
        <v>40</v>
      </c>
      <c r="Q157" s="743"/>
      <c r="R157" s="743"/>
      <c r="S157" s="743"/>
      <c r="T157" s="743"/>
      <c r="U157" s="743"/>
      <c r="V157" s="744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29" hidden="1" x14ac:dyDescent="0.2">
      <c r="A158" s="745"/>
      <c r="B158" s="745"/>
      <c r="C158" s="745"/>
      <c r="D158" s="745"/>
      <c r="E158" s="745"/>
      <c r="F158" s="745"/>
      <c r="G158" s="745"/>
      <c r="H158" s="745"/>
      <c r="I158" s="745"/>
      <c r="J158" s="745"/>
      <c r="K158" s="745"/>
      <c r="L158" s="745"/>
      <c r="M158" s="745"/>
      <c r="N158" s="745"/>
      <c r="O158" s="746"/>
      <c r="P158" s="742" t="s">
        <v>40</v>
      </c>
      <c r="Q158" s="743"/>
      <c r="R158" s="743"/>
      <c r="S158" s="743"/>
      <c r="T158" s="743"/>
      <c r="U158" s="743"/>
      <c r="V158" s="744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29" ht="15" hidden="1" x14ac:dyDescent="0.25">
      <c r="A159" s="735" t="s">
        <v>120</v>
      </c>
      <c r="B159" s="735"/>
      <c r="C159" s="735"/>
      <c r="D159" s="735"/>
      <c r="E159" s="735"/>
      <c r="F159" s="735"/>
      <c r="G159" s="735"/>
      <c r="H159" s="735"/>
      <c r="I159" s="735"/>
      <c r="J159" s="735"/>
      <c r="K159" s="735"/>
      <c r="L159" s="735"/>
      <c r="M159" s="735"/>
      <c r="N159" s="735"/>
      <c r="O159" s="735"/>
      <c r="P159" s="735"/>
      <c r="Q159" s="735"/>
      <c r="R159" s="735"/>
      <c r="S159" s="735"/>
      <c r="T159" s="735"/>
      <c r="U159" s="735"/>
      <c r="V159" s="735"/>
      <c r="W159" s="735"/>
      <c r="X159" s="735"/>
      <c r="Y159" s="735"/>
      <c r="Z159" s="735"/>
      <c r="AA159" s="653"/>
      <c r="AB159" s="653"/>
      <c r="AC159" s="653"/>
    </row>
    <row r="160" spans="1:29" ht="15" hidden="1" x14ac:dyDescent="0.25">
      <c r="A160" s="736" t="s">
        <v>122</v>
      </c>
      <c r="B160" s="736"/>
      <c r="C160" s="736"/>
      <c r="D160" s="736"/>
      <c r="E160" s="736"/>
      <c r="F160" s="736"/>
      <c r="G160" s="736"/>
      <c r="H160" s="736"/>
      <c r="I160" s="736"/>
      <c r="J160" s="736"/>
      <c r="K160" s="736"/>
      <c r="L160" s="736"/>
      <c r="M160" s="736"/>
      <c r="N160" s="736"/>
      <c r="O160" s="736"/>
      <c r="P160" s="736"/>
      <c r="Q160" s="736"/>
      <c r="R160" s="736"/>
      <c r="S160" s="736"/>
      <c r="T160" s="736"/>
      <c r="U160" s="736"/>
      <c r="V160" s="736"/>
      <c r="W160" s="736"/>
      <c r="X160" s="736"/>
      <c r="Y160" s="736"/>
      <c r="Z160" s="736"/>
      <c r="AA160" s="652"/>
      <c r="AB160" s="652"/>
      <c r="AC160" s="652"/>
    </row>
    <row r="161" spans="1:29" ht="15" hidden="1" x14ac:dyDescent="0.25">
      <c r="A161" s="63" t="s">
        <v>282</v>
      </c>
      <c r="B161" s="63" t="s">
        <v>283</v>
      </c>
      <c r="C161" s="36">
        <v>4301012338</v>
      </c>
      <c r="D161" s="737">
        <v>4680115887374</v>
      </c>
      <c r="E161" s="737"/>
      <c r="F161" s="62">
        <v>1</v>
      </c>
      <c r="G161" s="663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1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39"/>
      <c r="R161" s="739"/>
      <c r="S161" s="739"/>
      <c r="T161" s="74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</row>
    <row r="162" spans="1:29" ht="15" hidden="1" x14ac:dyDescent="0.25">
      <c r="A162" s="63" t="s">
        <v>285</v>
      </c>
      <c r="B162" s="63" t="s">
        <v>286</v>
      </c>
      <c r="C162" s="36">
        <v>4301011705</v>
      </c>
      <c r="D162" s="737">
        <v>4607091384604</v>
      </c>
      <c r="E162" s="737"/>
      <c r="F162" s="62">
        <v>0.4</v>
      </c>
      <c r="G162" s="663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39"/>
      <c r="R162" s="739"/>
      <c r="S162" s="739"/>
      <c r="T162" s="74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</row>
    <row r="163" spans="1:29" ht="15" hidden="1" x14ac:dyDescent="0.25">
      <c r="A163" s="63" t="s">
        <v>288</v>
      </c>
      <c r="B163" s="63" t="s">
        <v>289</v>
      </c>
      <c r="C163" s="36">
        <v>4301012344</v>
      </c>
      <c r="D163" s="737">
        <v>4680115888876</v>
      </c>
      <c r="E163" s="737"/>
      <c r="F163" s="62">
        <v>0.43</v>
      </c>
      <c r="G163" s="663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39"/>
      <c r="R163" s="739"/>
      <c r="S163" s="739"/>
      <c r="T163" s="74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</row>
    <row r="164" spans="1:29" hidden="1" x14ac:dyDescent="0.2">
      <c r="A164" s="745"/>
      <c r="B164" s="745"/>
      <c r="C164" s="745"/>
      <c r="D164" s="745"/>
      <c r="E164" s="745"/>
      <c r="F164" s="745"/>
      <c r="G164" s="745"/>
      <c r="H164" s="745"/>
      <c r="I164" s="745"/>
      <c r="J164" s="745"/>
      <c r="K164" s="745"/>
      <c r="L164" s="745"/>
      <c r="M164" s="745"/>
      <c r="N164" s="745"/>
      <c r="O164" s="746"/>
      <c r="P164" s="742" t="s">
        <v>40</v>
      </c>
      <c r="Q164" s="743"/>
      <c r="R164" s="743"/>
      <c r="S164" s="743"/>
      <c r="T164" s="743"/>
      <c r="U164" s="743"/>
      <c r="V164" s="744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29" hidden="1" x14ac:dyDescent="0.2">
      <c r="A165" s="745"/>
      <c r="B165" s="745"/>
      <c r="C165" s="745"/>
      <c r="D165" s="745"/>
      <c r="E165" s="745"/>
      <c r="F165" s="745"/>
      <c r="G165" s="745"/>
      <c r="H165" s="745"/>
      <c r="I165" s="745"/>
      <c r="J165" s="745"/>
      <c r="K165" s="745"/>
      <c r="L165" s="745"/>
      <c r="M165" s="745"/>
      <c r="N165" s="745"/>
      <c r="O165" s="746"/>
      <c r="P165" s="742" t="s">
        <v>40</v>
      </c>
      <c r="Q165" s="743"/>
      <c r="R165" s="743"/>
      <c r="S165" s="743"/>
      <c r="T165" s="743"/>
      <c r="U165" s="743"/>
      <c r="V165" s="744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29" ht="15" hidden="1" x14ac:dyDescent="0.25">
      <c r="A166" s="736" t="s">
        <v>157</v>
      </c>
      <c r="B166" s="736"/>
      <c r="C166" s="736"/>
      <c r="D166" s="736"/>
      <c r="E166" s="736"/>
      <c r="F166" s="736"/>
      <c r="G166" s="736"/>
      <c r="H166" s="736"/>
      <c r="I166" s="736"/>
      <c r="J166" s="736"/>
      <c r="K166" s="736"/>
      <c r="L166" s="736"/>
      <c r="M166" s="736"/>
      <c r="N166" s="736"/>
      <c r="O166" s="736"/>
      <c r="P166" s="736"/>
      <c r="Q166" s="736"/>
      <c r="R166" s="736"/>
      <c r="S166" s="736"/>
      <c r="T166" s="736"/>
      <c r="U166" s="736"/>
      <c r="V166" s="736"/>
      <c r="W166" s="736"/>
      <c r="X166" s="736"/>
      <c r="Y166" s="736"/>
      <c r="Z166" s="736"/>
      <c r="AA166" s="652"/>
      <c r="AB166" s="652"/>
      <c r="AC166" s="652"/>
    </row>
    <row r="167" spans="1:29" ht="15" hidden="1" x14ac:dyDescent="0.25">
      <c r="A167" s="63" t="s">
        <v>291</v>
      </c>
      <c r="B167" s="63" t="s">
        <v>292</v>
      </c>
      <c r="C167" s="36">
        <v>4301020410</v>
      </c>
      <c r="D167" s="737">
        <v>4680115887695</v>
      </c>
      <c r="E167" s="737"/>
      <c r="F167" s="62">
        <v>0.12</v>
      </c>
      <c r="G167" s="663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39"/>
      <c r="R167" s="739"/>
      <c r="S167" s="739"/>
      <c r="T167" s="74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</row>
    <row r="168" spans="1:29" ht="15" hidden="1" x14ac:dyDescent="0.25">
      <c r="A168" s="63" t="s">
        <v>294</v>
      </c>
      <c r="B168" s="63" t="s">
        <v>295</v>
      </c>
      <c r="C168" s="36">
        <v>4301020439</v>
      </c>
      <c r="D168" s="737">
        <v>4680115889491</v>
      </c>
      <c r="E168" s="737"/>
      <c r="F168" s="62">
        <v>0.3</v>
      </c>
      <c r="G168" s="663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39"/>
      <c r="R168" s="739"/>
      <c r="S168" s="739"/>
      <c r="T168" s="74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</row>
    <row r="169" spans="1:29" hidden="1" x14ac:dyDescent="0.2">
      <c r="A169" s="745"/>
      <c r="B169" s="745"/>
      <c r="C169" s="745"/>
      <c r="D169" s="745"/>
      <c r="E169" s="745"/>
      <c r="F169" s="745"/>
      <c r="G169" s="745"/>
      <c r="H169" s="745"/>
      <c r="I169" s="745"/>
      <c r="J169" s="745"/>
      <c r="K169" s="745"/>
      <c r="L169" s="745"/>
      <c r="M169" s="745"/>
      <c r="N169" s="745"/>
      <c r="O169" s="746"/>
      <c r="P169" s="742" t="s">
        <v>40</v>
      </c>
      <c r="Q169" s="743"/>
      <c r="R169" s="743"/>
      <c r="S169" s="743"/>
      <c r="T169" s="743"/>
      <c r="U169" s="743"/>
      <c r="V169" s="744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29" hidden="1" x14ac:dyDescent="0.2">
      <c r="A170" s="745"/>
      <c r="B170" s="745"/>
      <c r="C170" s="745"/>
      <c r="D170" s="745"/>
      <c r="E170" s="745"/>
      <c r="F170" s="745"/>
      <c r="G170" s="745"/>
      <c r="H170" s="745"/>
      <c r="I170" s="745"/>
      <c r="J170" s="745"/>
      <c r="K170" s="745"/>
      <c r="L170" s="745"/>
      <c r="M170" s="745"/>
      <c r="N170" s="745"/>
      <c r="O170" s="746"/>
      <c r="P170" s="742" t="s">
        <v>40</v>
      </c>
      <c r="Q170" s="743"/>
      <c r="R170" s="743"/>
      <c r="S170" s="743"/>
      <c r="T170" s="743"/>
      <c r="U170" s="743"/>
      <c r="V170" s="744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29" ht="15" hidden="1" x14ac:dyDescent="0.25">
      <c r="A171" s="736" t="s">
        <v>77</v>
      </c>
      <c r="B171" s="736"/>
      <c r="C171" s="736"/>
      <c r="D171" s="736"/>
      <c r="E171" s="736"/>
      <c r="F171" s="736"/>
      <c r="G171" s="736"/>
      <c r="H171" s="736"/>
      <c r="I171" s="736"/>
      <c r="J171" s="736"/>
      <c r="K171" s="736"/>
      <c r="L171" s="736"/>
      <c r="M171" s="736"/>
      <c r="N171" s="736"/>
      <c r="O171" s="736"/>
      <c r="P171" s="736"/>
      <c r="Q171" s="736"/>
      <c r="R171" s="736"/>
      <c r="S171" s="736"/>
      <c r="T171" s="736"/>
      <c r="U171" s="736"/>
      <c r="V171" s="736"/>
      <c r="W171" s="736"/>
      <c r="X171" s="736"/>
      <c r="Y171" s="736"/>
      <c r="Z171" s="736"/>
      <c r="AA171" s="652"/>
      <c r="AB171" s="652"/>
      <c r="AC171" s="652"/>
    </row>
    <row r="172" spans="1:29" ht="15" hidden="1" x14ac:dyDescent="0.25">
      <c r="A172" s="63" t="s">
        <v>297</v>
      </c>
      <c r="B172" s="63" t="s">
        <v>298</v>
      </c>
      <c r="C172" s="36">
        <v>4301031496</v>
      </c>
      <c r="D172" s="737">
        <v>4680115887428</v>
      </c>
      <c r="E172" s="737"/>
      <c r="F172" s="62">
        <v>0.7</v>
      </c>
      <c r="G172" s="663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39"/>
      <c r="R172" s="739"/>
      <c r="S172" s="739"/>
      <c r="T172" s="74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5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</row>
    <row r="173" spans="1:29" ht="15" hidden="1" x14ac:dyDescent="0.25">
      <c r="A173" s="63" t="s">
        <v>300</v>
      </c>
      <c r="B173" s="63" t="s">
        <v>301</v>
      </c>
      <c r="C173" s="36">
        <v>4301031509</v>
      </c>
      <c r="D173" s="737">
        <v>4680115889170</v>
      </c>
      <c r="E173" s="737"/>
      <c r="F173" s="62">
        <v>0.7</v>
      </c>
      <c r="G173" s="663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39"/>
      <c r="R173" s="739"/>
      <c r="S173" s="739"/>
      <c r="T173" s="74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</row>
    <row r="174" spans="1:29" ht="15" hidden="1" x14ac:dyDescent="0.25">
      <c r="A174" s="63" t="s">
        <v>303</v>
      </c>
      <c r="B174" s="63" t="s">
        <v>304</v>
      </c>
      <c r="C174" s="36">
        <v>4301031498</v>
      </c>
      <c r="D174" s="737">
        <v>4680115887398</v>
      </c>
      <c r="E174" s="737"/>
      <c r="F174" s="62">
        <v>0.7</v>
      </c>
      <c r="G174" s="663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2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39"/>
      <c r="R174" s="739"/>
      <c r="S174" s="739"/>
      <c r="T174" s="74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</row>
    <row r="175" spans="1:29" ht="15" hidden="1" x14ac:dyDescent="0.25">
      <c r="A175" s="63" t="s">
        <v>303</v>
      </c>
      <c r="B175" s="63" t="s">
        <v>306</v>
      </c>
      <c r="C175" s="36">
        <v>4301031522</v>
      </c>
      <c r="D175" s="737">
        <v>4680115887398</v>
      </c>
      <c r="E175" s="737"/>
      <c r="F175" s="62">
        <v>0.7</v>
      </c>
      <c r="G175" s="663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2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39"/>
      <c r="R175" s="739"/>
      <c r="S175" s="739"/>
      <c r="T175" s="74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</row>
    <row r="176" spans="1:29" ht="15" hidden="1" x14ac:dyDescent="0.25">
      <c r="A176" s="63" t="s">
        <v>308</v>
      </c>
      <c r="B176" s="63" t="s">
        <v>309</v>
      </c>
      <c r="C176" s="36">
        <v>4301031520</v>
      </c>
      <c r="D176" s="737">
        <v>4680115887336</v>
      </c>
      <c r="E176" s="737"/>
      <c r="F176" s="62">
        <v>0.7</v>
      </c>
      <c r="G176" s="663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2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39"/>
      <c r="R176" s="739"/>
      <c r="S176" s="739"/>
      <c r="T176" s="74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</row>
    <row r="177" spans="1:29" ht="15" hidden="1" x14ac:dyDescent="0.25">
      <c r="A177" s="63" t="s">
        <v>311</v>
      </c>
      <c r="B177" s="63" t="s">
        <v>312</v>
      </c>
      <c r="C177" s="36">
        <v>4301032049</v>
      </c>
      <c r="D177" s="737">
        <v>4680115887787</v>
      </c>
      <c r="E177" s="737"/>
      <c r="F177" s="62">
        <v>0.09</v>
      </c>
      <c r="G177" s="663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2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39"/>
      <c r="R177" s="739"/>
      <c r="S177" s="739"/>
      <c r="T177" s="74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</row>
    <row r="178" spans="1:29" ht="15" hidden="1" x14ac:dyDescent="0.25">
      <c r="A178" s="63" t="s">
        <v>311</v>
      </c>
      <c r="B178" s="63" t="s">
        <v>314</v>
      </c>
      <c r="C178" s="36">
        <v>4301031528</v>
      </c>
      <c r="D178" s="737">
        <v>4680115887787</v>
      </c>
      <c r="E178" s="737"/>
      <c r="F178" s="62">
        <v>0.09</v>
      </c>
      <c r="G178" s="663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2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39"/>
      <c r="R178" s="739"/>
      <c r="S178" s="739"/>
      <c r="T178" s="74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</row>
    <row r="179" spans="1:29" ht="15" hidden="1" x14ac:dyDescent="0.25">
      <c r="A179" s="63" t="s">
        <v>315</v>
      </c>
      <c r="B179" s="63" t="s">
        <v>316</v>
      </c>
      <c r="C179" s="36">
        <v>4301031448</v>
      </c>
      <c r="D179" s="737">
        <v>4680115887503</v>
      </c>
      <c r="E179" s="737"/>
      <c r="F179" s="62">
        <v>0.28000000000000003</v>
      </c>
      <c r="G179" s="663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39"/>
      <c r="R179" s="739"/>
      <c r="S179" s="739"/>
      <c r="T179" s="74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5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</row>
    <row r="180" spans="1:29" ht="15" hidden="1" x14ac:dyDescent="0.25">
      <c r="A180" s="63" t="s">
        <v>317</v>
      </c>
      <c r="B180" s="63" t="s">
        <v>318</v>
      </c>
      <c r="C180" s="36">
        <v>4301031389</v>
      </c>
      <c r="D180" s="737">
        <v>4680115887763</v>
      </c>
      <c r="E180" s="737"/>
      <c r="F180" s="62">
        <v>0.09</v>
      </c>
      <c r="G180" s="663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39"/>
      <c r="R180" s="739"/>
      <c r="S180" s="739"/>
      <c r="T180" s="74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5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</row>
    <row r="181" spans="1:29" ht="15" hidden="1" x14ac:dyDescent="0.25">
      <c r="A181" s="63" t="s">
        <v>320</v>
      </c>
      <c r="B181" s="63" t="s">
        <v>321</v>
      </c>
      <c r="C181" s="36">
        <v>4301031521</v>
      </c>
      <c r="D181" s="737">
        <v>4680115887480</v>
      </c>
      <c r="E181" s="737"/>
      <c r="F181" s="62">
        <v>0.28000000000000003</v>
      </c>
      <c r="G181" s="663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39"/>
      <c r="R181" s="739"/>
      <c r="S181" s="739"/>
      <c r="T181" s="74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5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</row>
    <row r="182" spans="1:29" ht="15" hidden="1" x14ac:dyDescent="0.25">
      <c r="A182" s="63" t="s">
        <v>322</v>
      </c>
      <c r="B182" s="63" t="s">
        <v>323</v>
      </c>
      <c r="C182" s="36">
        <v>4301031434</v>
      </c>
      <c r="D182" s="737">
        <v>4680115888067</v>
      </c>
      <c r="E182" s="737"/>
      <c r="F182" s="62">
        <v>0.09</v>
      </c>
      <c r="G182" s="663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39"/>
      <c r="R182" s="739"/>
      <c r="S182" s="739"/>
      <c r="T182" s="74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5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</row>
    <row r="183" spans="1:29" ht="15" hidden="1" x14ac:dyDescent="0.25">
      <c r="A183" s="63" t="s">
        <v>325</v>
      </c>
      <c r="B183" s="63" t="s">
        <v>326</v>
      </c>
      <c r="C183" s="36">
        <v>4301031519</v>
      </c>
      <c r="D183" s="737">
        <v>4680115887435</v>
      </c>
      <c r="E183" s="737"/>
      <c r="F183" s="62">
        <v>0.28000000000000003</v>
      </c>
      <c r="G183" s="663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39"/>
      <c r="R183" s="739"/>
      <c r="S183" s="739"/>
      <c r="T183" s="74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5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</row>
    <row r="184" spans="1:29" hidden="1" x14ac:dyDescent="0.2">
      <c r="A184" s="745"/>
      <c r="B184" s="745"/>
      <c r="C184" s="745"/>
      <c r="D184" s="745"/>
      <c r="E184" s="745"/>
      <c r="F184" s="745"/>
      <c r="G184" s="745"/>
      <c r="H184" s="745"/>
      <c r="I184" s="745"/>
      <c r="J184" s="745"/>
      <c r="K184" s="745"/>
      <c r="L184" s="745"/>
      <c r="M184" s="745"/>
      <c r="N184" s="745"/>
      <c r="O184" s="746"/>
      <c r="P184" s="742" t="s">
        <v>40</v>
      </c>
      <c r="Q184" s="743"/>
      <c r="R184" s="743"/>
      <c r="S184" s="743"/>
      <c r="T184" s="743"/>
      <c r="U184" s="743"/>
      <c r="V184" s="744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29" hidden="1" x14ac:dyDescent="0.2">
      <c r="A185" s="745"/>
      <c r="B185" s="745"/>
      <c r="C185" s="745"/>
      <c r="D185" s="745"/>
      <c r="E185" s="745"/>
      <c r="F185" s="745"/>
      <c r="G185" s="745"/>
      <c r="H185" s="745"/>
      <c r="I185" s="745"/>
      <c r="J185" s="745"/>
      <c r="K185" s="745"/>
      <c r="L185" s="745"/>
      <c r="M185" s="745"/>
      <c r="N185" s="745"/>
      <c r="O185" s="746"/>
      <c r="P185" s="742" t="s">
        <v>40</v>
      </c>
      <c r="Q185" s="743"/>
      <c r="R185" s="743"/>
      <c r="S185" s="743"/>
      <c r="T185" s="743"/>
      <c r="U185" s="743"/>
      <c r="V185" s="744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29" ht="15" hidden="1" x14ac:dyDescent="0.25">
      <c r="A186" s="736" t="s">
        <v>86</v>
      </c>
      <c r="B186" s="736"/>
      <c r="C186" s="736"/>
      <c r="D186" s="736"/>
      <c r="E186" s="736"/>
      <c r="F186" s="736"/>
      <c r="G186" s="736"/>
      <c r="H186" s="736"/>
      <c r="I186" s="736"/>
      <c r="J186" s="736"/>
      <c r="K186" s="736"/>
      <c r="L186" s="736"/>
      <c r="M186" s="736"/>
      <c r="N186" s="736"/>
      <c r="O186" s="736"/>
      <c r="P186" s="736"/>
      <c r="Q186" s="736"/>
      <c r="R186" s="736"/>
      <c r="S186" s="736"/>
      <c r="T186" s="736"/>
      <c r="U186" s="736"/>
      <c r="V186" s="736"/>
      <c r="W186" s="736"/>
      <c r="X186" s="736"/>
      <c r="Y186" s="736"/>
      <c r="Z186" s="736"/>
      <c r="AA186" s="652"/>
      <c r="AB186" s="652"/>
      <c r="AC186" s="652"/>
    </row>
    <row r="187" spans="1:29" ht="15" hidden="1" x14ac:dyDescent="0.25">
      <c r="A187" s="63" t="s">
        <v>327</v>
      </c>
      <c r="B187" s="63" t="s">
        <v>328</v>
      </c>
      <c r="C187" s="36">
        <v>4301052193</v>
      </c>
      <c r="D187" s="737">
        <v>4680115888395</v>
      </c>
      <c r="E187" s="737"/>
      <c r="F187" s="62">
        <v>0.42</v>
      </c>
      <c r="G187" s="663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39"/>
      <c r="R187" s="739"/>
      <c r="S187" s="739"/>
      <c r="T187" s="74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</row>
    <row r="188" spans="1:29" ht="15" hidden="1" x14ac:dyDescent="0.25">
      <c r="A188" s="63" t="s">
        <v>330</v>
      </c>
      <c r="B188" s="63" t="s">
        <v>331</v>
      </c>
      <c r="C188" s="36">
        <v>4301052191</v>
      </c>
      <c r="D188" s="737">
        <v>4680115888371</v>
      </c>
      <c r="E188" s="737"/>
      <c r="F188" s="62">
        <v>0.42</v>
      </c>
      <c r="G188" s="663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3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39"/>
      <c r="R188" s="739"/>
      <c r="S188" s="739"/>
      <c r="T188" s="74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</row>
    <row r="189" spans="1:29" ht="23.25" hidden="1" x14ac:dyDescent="0.25">
      <c r="A189" s="63" t="s">
        <v>333</v>
      </c>
      <c r="B189" s="63" t="s">
        <v>334</v>
      </c>
      <c r="C189" s="36">
        <v>4301052064</v>
      </c>
      <c r="D189" s="737">
        <v>4680115887459</v>
      </c>
      <c r="E189" s="737"/>
      <c r="F189" s="62">
        <v>0.3</v>
      </c>
      <c r="G189" s="663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39"/>
      <c r="R189" s="739"/>
      <c r="S189" s="739"/>
      <c r="T189" s="74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</row>
    <row r="190" spans="1:29" hidden="1" x14ac:dyDescent="0.2">
      <c r="A190" s="745"/>
      <c r="B190" s="745"/>
      <c r="C190" s="745"/>
      <c r="D190" s="745"/>
      <c r="E190" s="745"/>
      <c r="F190" s="745"/>
      <c r="G190" s="745"/>
      <c r="H190" s="745"/>
      <c r="I190" s="745"/>
      <c r="J190" s="745"/>
      <c r="K190" s="745"/>
      <c r="L190" s="745"/>
      <c r="M190" s="745"/>
      <c r="N190" s="745"/>
      <c r="O190" s="746"/>
      <c r="P190" s="742" t="s">
        <v>40</v>
      </c>
      <c r="Q190" s="743"/>
      <c r="R190" s="743"/>
      <c r="S190" s="743"/>
      <c r="T190" s="743"/>
      <c r="U190" s="743"/>
      <c r="V190" s="744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29" hidden="1" x14ac:dyDescent="0.2">
      <c r="A191" s="745"/>
      <c r="B191" s="745"/>
      <c r="C191" s="745"/>
      <c r="D191" s="745"/>
      <c r="E191" s="745"/>
      <c r="F191" s="745"/>
      <c r="G191" s="745"/>
      <c r="H191" s="745"/>
      <c r="I191" s="745"/>
      <c r="J191" s="745"/>
      <c r="K191" s="745"/>
      <c r="L191" s="745"/>
      <c r="M191" s="745"/>
      <c r="N191" s="745"/>
      <c r="O191" s="746"/>
      <c r="P191" s="742" t="s">
        <v>40</v>
      </c>
      <c r="Q191" s="743"/>
      <c r="R191" s="743"/>
      <c r="S191" s="743"/>
      <c r="T191" s="743"/>
      <c r="U191" s="743"/>
      <c r="V191" s="744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29" ht="15" hidden="1" x14ac:dyDescent="0.25">
      <c r="A192" s="736" t="s">
        <v>275</v>
      </c>
      <c r="B192" s="736"/>
      <c r="C192" s="736"/>
      <c r="D192" s="736"/>
      <c r="E192" s="736"/>
      <c r="F192" s="736"/>
      <c r="G192" s="736"/>
      <c r="H192" s="736"/>
      <c r="I192" s="736"/>
      <c r="J192" s="736"/>
      <c r="K192" s="736"/>
      <c r="L192" s="736"/>
      <c r="M192" s="736"/>
      <c r="N192" s="736"/>
      <c r="O192" s="736"/>
      <c r="P192" s="736"/>
      <c r="Q192" s="736"/>
      <c r="R192" s="736"/>
      <c r="S192" s="736"/>
      <c r="T192" s="736"/>
      <c r="U192" s="736"/>
      <c r="V192" s="736"/>
      <c r="W192" s="736"/>
      <c r="X192" s="736"/>
      <c r="Y192" s="736"/>
      <c r="Z192" s="736"/>
      <c r="AA192" s="652"/>
      <c r="AB192" s="652"/>
      <c r="AC192" s="652"/>
    </row>
    <row r="193" spans="1:29" ht="15" hidden="1" x14ac:dyDescent="0.25">
      <c r="A193" s="63" t="s">
        <v>336</v>
      </c>
      <c r="B193" s="63" t="s">
        <v>337</v>
      </c>
      <c r="C193" s="36">
        <v>4301032058</v>
      </c>
      <c r="D193" s="737">
        <v>4680115889026</v>
      </c>
      <c r="E193" s="737"/>
      <c r="F193" s="62">
        <v>0.06</v>
      </c>
      <c r="G193" s="663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39"/>
      <c r="R193" s="739"/>
      <c r="S193" s="739"/>
      <c r="T193" s="74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</row>
    <row r="194" spans="1:29" hidden="1" x14ac:dyDescent="0.2">
      <c r="A194" s="745"/>
      <c r="B194" s="745"/>
      <c r="C194" s="745"/>
      <c r="D194" s="745"/>
      <c r="E194" s="745"/>
      <c r="F194" s="745"/>
      <c r="G194" s="745"/>
      <c r="H194" s="745"/>
      <c r="I194" s="745"/>
      <c r="J194" s="745"/>
      <c r="K194" s="745"/>
      <c r="L194" s="745"/>
      <c r="M194" s="745"/>
      <c r="N194" s="745"/>
      <c r="O194" s="746"/>
      <c r="P194" s="742" t="s">
        <v>40</v>
      </c>
      <c r="Q194" s="743"/>
      <c r="R194" s="743"/>
      <c r="S194" s="743"/>
      <c r="T194" s="743"/>
      <c r="U194" s="743"/>
      <c r="V194" s="74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29" hidden="1" x14ac:dyDescent="0.2">
      <c r="A195" s="745"/>
      <c r="B195" s="745"/>
      <c r="C195" s="745"/>
      <c r="D195" s="745"/>
      <c r="E195" s="745"/>
      <c r="F195" s="745"/>
      <c r="G195" s="745"/>
      <c r="H195" s="745"/>
      <c r="I195" s="745"/>
      <c r="J195" s="745"/>
      <c r="K195" s="745"/>
      <c r="L195" s="745"/>
      <c r="M195" s="745"/>
      <c r="N195" s="745"/>
      <c r="O195" s="746"/>
      <c r="P195" s="742" t="s">
        <v>40</v>
      </c>
      <c r="Q195" s="743"/>
      <c r="R195" s="743"/>
      <c r="S195" s="743"/>
      <c r="T195" s="743"/>
      <c r="U195" s="743"/>
      <c r="V195" s="74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29" ht="15" hidden="1" x14ac:dyDescent="0.25">
      <c r="A196" s="736" t="s">
        <v>340</v>
      </c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36"/>
      <c r="M196" s="736"/>
      <c r="N196" s="736"/>
      <c r="O196" s="736"/>
      <c r="P196" s="736"/>
      <c r="Q196" s="736"/>
      <c r="R196" s="736"/>
      <c r="S196" s="736"/>
      <c r="T196" s="736"/>
      <c r="U196" s="736"/>
      <c r="V196" s="736"/>
      <c r="W196" s="736"/>
      <c r="X196" s="736"/>
      <c r="Y196" s="736"/>
      <c r="Z196" s="736"/>
      <c r="AA196" s="652"/>
      <c r="AB196" s="652"/>
      <c r="AC196" s="652"/>
    </row>
    <row r="197" spans="1:29" ht="15" hidden="1" x14ac:dyDescent="0.25">
      <c r="A197" s="63" t="s">
        <v>341</v>
      </c>
      <c r="B197" s="63" t="s">
        <v>342</v>
      </c>
      <c r="C197" s="36">
        <v>4301041009</v>
      </c>
      <c r="D197" s="737">
        <v>4680115889033</v>
      </c>
      <c r="E197" s="737"/>
      <c r="F197" s="62">
        <v>0.11</v>
      </c>
      <c r="G197" s="663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3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39"/>
      <c r="R197" s="739"/>
      <c r="S197" s="739"/>
      <c r="T197" s="74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</row>
    <row r="198" spans="1:29" hidden="1" x14ac:dyDescent="0.2">
      <c r="A198" s="745"/>
      <c r="B198" s="745"/>
      <c r="C198" s="745"/>
      <c r="D198" s="745"/>
      <c r="E198" s="745"/>
      <c r="F198" s="745"/>
      <c r="G198" s="745"/>
      <c r="H198" s="745"/>
      <c r="I198" s="745"/>
      <c r="J198" s="745"/>
      <c r="K198" s="745"/>
      <c r="L198" s="745"/>
      <c r="M198" s="745"/>
      <c r="N198" s="745"/>
      <c r="O198" s="746"/>
      <c r="P198" s="742" t="s">
        <v>40</v>
      </c>
      <c r="Q198" s="743"/>
      <c r="R198" s="743"/>
      <c r="S198" s="743"/>
      <c r="T198" s="743"/>
      <c r="U198" s="743"/>
      <c r="V198" s="74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29" hidden="1" x14ac:dyDescent="0.2">
      <c r="A199" s="745"/>
      <c r="B199" s="745"/>
      <c r="C199" s="745"/>
      <c r="D199" s="745"/>
      <c r="E199" s="745"/>
      <c r="F199" s="745"/>
      <c r="G199" s="745"/>
      <c r="H199" s="745"/>
      <c r="I199" s="745"/>
      <c r="J199" s="745"/>
      <c r="K199" s="745"/>
      <c r="L199" s="745"/>
      <c r="M199" s="745"/>
      <c r="N199" s="745"/>
      <c r="O199" s="746"/>
      <c r="P199" s="742" t="s">
        <v>40</v>
      </c>
      <c r="Q199" s="743"/>
      <c r="R199" s="743"/>
      <c r="S199" s="743"/>
      <c r="T199" s="743"/>
      <c r="U199" s="743"/>
      <c r="V199" s="74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29" ht="20.25" hidden="1" x14ac:dyDescent="0.2">
      <c r="A200" s="734" t="s">
        <v>344</v>
      </c>
      <c r="B200" s="734"/>
      <c r="C200" s="734"/>
      <c r="D200" s="734"/>
      <c r="E200" s="734"/>
      <c r="F200" s="734"/>
      <c r="G200" s="734"/>
      <c r="H200" s="734"/>
      <c r="I200" s="734"/>
      <c r="J200" s="734"/>
      <c r="K200" s="734"/>
      <c r="L200" s="734"/>
      <c r="M200" s="734"/>
      <c r="N200" s="734"/>
      <c r="O200" s="734"/>
      <c r="P200" s="734"/>
      <c r="Q200" s="734"/>
      <c r="R200" s="734"/>
      <c r="S200" s="734"/>
      <c r="T200" s="734"/>
      <c r="U200" s="734"/>
      <c r="V200" s="734"/>
      <c r="W200" s="734"/>
      <c r="X200" s="734"/>
      <c r="Y200" s="734"/>
      <c r="Z200" s="734"/>
      <c r="AA200" s="54"/>
      <c r="AB200" s="54"/>
      <c r="AC200" s="54"/>
    </row>
    <row r="201" spans="1:29" ht="15" hidden="1" x14ac:dyDescent="0.25">
      <c r="A201" s="735" t="s">
        <v>345</v>
      </c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5"/>
      <c r="P201" s="735"/>
      <c r="Q201" s="735"/>
      <c r="R201" s="735"/>
      <c r="S201" s="735"/>
      <c r="T201" s="735"/>
      <c r="U201" s="735"/>
      <c r="V201" s="735"/>
      <c r="W201" s="735"/>
      <c r="X201" s="735"/>
      <c r="Y201" s="735"/>
      <c r="Z201" s="735"/>
      <c r="AA201" s="653"/>
      <c r="AB201" s="653"/>
      <c r="AC201" s="653"/>
    </row>
    <row r="202" spans="1:29" ht="15" hidden="1" x14ac:dyDescent="0.25">
      <c r="A202" s="736" t="s">
        <v>122</v>
      </c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36"/>
      <c r="M202" s="736"/>
      <c r="N202" s="736"/>
      <c r="O202" s="736"/>
      <c r="P202" s="736"/>
      <c r="Q202" s="736"/>
      <c r="R202" s="736"/>
      <c r="S202" s="736"/>
      <c r="T202" s="736"/>
      <c r="U202" s="736"/>
      <c r="V202" s="736"/>
      <c r="W202" s="736"/>
      <c r="X202" s="736"/>
      <c r="Y202" s="736"/>
      <c r="Z202" s="736"/>
      <c r="AA202" s="652"/>
      <c r="AB202" s="652"/>
      <c r="AC202" s="652"/>
    </row>
    <row r="203" spans="1:29" ht="15" hidden="1" x14ac:dyDescent="0.25">
      <c r="A203" s="63" t="s">
        <v>346</v>
      </c>
      <c r="B203" s="63" t="s">
        <v>347</v>
      </c>
      <c r="C203" s="36">
        <v>4301011223</v>
      </c>
      <c r="D203" s="737">
        <v>4607091383423</v>
      </c>
      <c r="E203" s="737"/>
      <c r="F203" s="62">
        <v>1.35</v>
      </c>
      <c r="G203" s="663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39"/>
      <c r="R203" s="739"/>
      <c r="S203" s="739"/>
      <c r="T203" s="74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6">IFERROR(IF(X203="",0,CEILING((X203/$H203),1)*$H203),"")</f>
        <v>0</v>
      </c>
      <c r="Z203" s="41" t="str">
        <f t="shared" ref="Z203:Z209" si="7">IFERROR(IF(Y203=0,"",ROUNDUP(Y203/H203,0)*0.01898),"")</f>
        <v/>
      </c>
      <c r="AA203" s="68" t="s">
        <v>46</v>
      </c>
      <c r="AB203" s="69" t="s">
        <v>46</v>
      </c>
      <c r="AC203" s="274" t="s">
        <v>125</v>
      </c>
    </row>
    <row r="204" spans="1:29" ht="15" hidden="1" x14ac:dyDescent="0.25">
      <c r="A204" s="63" t="s">
        <v>348</v>
      </c>
      <c r="B204" s="63" t="s">
        <v>349</v>
      </c>
      <c r="C204" s="36">
        <v>4301012340</v>
      </c>
      <c r="D204" s="737">
        <v>4680115888760</v>
      </c>
      <c r="E204" s="737"/>
      <c r="F204" s="62">
        <v>1.4</v>
      </c>
      <c r="G204" s="663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39"/>
      <c r="R204" s="739"/>
      <c r="S204" s="739"/>
      <c r="T204" s="74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6"/>
        <v>0</v>
      </c>
      <c r="Z204" s="41" t="str">
        <f t="shared" si="7"/>
        <v/>
      </c>
      <c r="AA204" s="68" t="s">
        <v>46</v>
      </c>
      <c r="AB204" s="69" t="s">
        <v>46</v>
      </c>
      <c r="AC204" s="276" t="s">
        <v>350</v>
      </c>
    </row>
    <row r="205" spans="1:29" ht="15" hidden="1" x14ac:dyDescent="0.25">
      <c r="A205" s="63" t="s">
        <v>351</v>
      </c>
      <c r="B205" s="63" t="s">
        <v>352</v>
      </c>
      <c r="C205" s="36">
        <v>4301012341</v>
      </c>
      <c r="D205" s="737">
        <v>4680115888807</v>
      </c>
      <c r="E205" s="737"/>
      <c r="F205" s="62">
        <v>1.4</v>
      </c>
      <c r="G205" s="663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4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39"/>
      <c r="R205" s="739"/>
      <c r="S205" s="739"/>
      <c r="T205" s="74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6"/>
        <v>0</v>
      </c>
      <c r="Z205" s="41" t="str">
        <f t="shared" si="7"/>
        <v/>
      </c>
      <c r="AA205" s="68" t="s">
        <v>46</v>
      </c>
      <c r="AB205" s="69" t="s">
        <v>46</v>
      </c>
      <c r="AC205" s="278" t="s">
        <v>353</v>
      </c>
    </row>
    <row r="206" spans="1:29" ht="15" hidden="1" x14ac:dyDescent="0.25">
      <c r="A206" s="63" t="s">
        <v>354</v>
      </c>
      <c r="B206" s="63" t="s">
        <v>355</v>
      </c>
      <c r="C206" s="36">
        <v>4301012342</v>
      </c>
      <c r="D206" s="737">
        <v>4680115888852</v>
      </c>
      <c r="E206" s="737"/>
      <c r="F206" s="62">
        <v>0.9</v>
      </c>
      <c r="G206" s="663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39"/>
      <c r="R206" s="739"/>
      <c r="S206" s="739"/>
      <c r="T206" s="74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6"/>
        <v>0</v>
      </c>
      <c r="Z206" s="41" t="str">
        <f t="shared" si="7"/>
        <v/>
      </c>
      <c r="AA206" s="68" t="s">
        <v>46</v>
      </c>
      <c r="AB206" s="69" t="s">
        <v>46</v>
      </c>
      <c r="AC206" s="280" t="s">
        <v>356</v>
      </c>
    </row>
    <row r="207" spans="1:29" ht="15" hidden="1" x14ac:dyDescent="0.25">
      <c r="A207" s="63" t="s">
        <v>357</v>
      </c>
      <c r="B207" s="63" t="s">
        <v>358</v>
      </c>
      <c r="C207" s="36">
        <v>4301012370</v>
      </c>
      <c r="D207" s="737">
        <v>4680115886957</v>
      </c>
      <c r="E207" s="737"/>
      <c r="F207" s="62">
        <v>1.35</v>
      </c>
      <c r="G207" s="663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39"/>
      <c r="R207" s="739"/>
      <c r="S207" s="739"/>
      <c r="T207" s="74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6"/>
        <v>0</v>
      </c>
      <c r="Z207" s="41" t="str">
        <f t="shared" si="7"/>
        <v/>
      </c>
      <c r="AA207" s="68" t="s">
        <v>46</v>
      </c>
      <c r="AB207" s="69" t="s">
        <v>46</v>
      </c>
      <c r="AC207" s="282" t="s">
        <v>359</v>
      </c>
    </row>
    <row r="208" spans="1:29" ht="15" hidden="1" x14ac:dyDescent="0.25">
      <c r="A208" s="63" t="s">
        <v>360</v>
      </c>
      <c r="B208" s="63" t="s">
        <v>361</v>
      </c>
      <c r="C208" s="36">
        <v>4301012098</v>
      </c>
      <c r="D208" s="737">
        <v>4680115885660</v>
      </c>
      <c r="E208" s="737"/>
      <c r="F208" s="62">
        <v>1.35</v>
      </c>
      <c r="G208" s="663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39"/>
      <c r="R208" s="739"/>
      <c r="S208" s="739"/>
      <c r="T208" s="74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6"/>
        <v>0</v>
      </c>
      <c r="Z208" s="41" t="str">
        <f t="shared" si="7"/>
        <v/>
      </c>
      <c r="AA208" s="68" t="s">
        <v>46</v>
      </c>
      <c r="AB208" s="69" t="s">
        <v>46</v>
      </c>
      <c r="AC208" s="284" t="s">
        <v>362</v>
      </c>
    </row>
    <row r="209" spans="1:29" ht="15" hidden="1" x14ac:dyDescent="0.25">
      <c r="A209" s="63" t="s">
        <v>363</v>
      </c>
      <c r="B209" s="63" t="s">
        <v>364</v>
      </c>
      <c r="C209" s="36">
        <v>4301012369</v>
      </c>
      <c r="D209" s="737">
        <v>4680115886773</v>
      </c>
      <c r="E209" s="737"/>
      <c r="F209" s="62">
        <v>0.9</v>
      </c>
      <c r="G209" s="663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39"/>
      <c r="R209" s="739"/>
      <c r="S209" s="739"/>
      <c r="T209" s="74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6"/>
        <v>0</v>
      </c>
      <c r="Z209" s="41" t="str">
        <f t="shared" si="7"/>
        <v/>
      </c>
      <c r="AA209" s="68" t="s">
        <v>46</v>
      </c>
      <c r="AB209" s="69" t="s">
        <v>46</v>
      </c>
      <c r="AC209" s="286" t="s">
        <v>365</v>
      </c>
    </row>
    <row r="210" spans="1:29" hidden="1" x14ac:dyDescent="0.2">
      <c r="A210" s="745"/>
      <c r="B210" s="745"/>
      <c r="C210" s="745"/>
      <c r="D210" s="745"/>
      <c r="E210" s="745"/>
      <c r="F210" s="745"/>
      <c r="G210" s="745"/>
      <c r="H210" s="745"/>
      <c r="I210" s="745"/>
      <c r="J210" s="745"/>
      <c r="K210" s="745"/>
      <c r="L210" s="745"/>
      <c r="M210" s="745"/>
      <c r="N210" s="745"/>
      <c r="O210" s="746"/>
      <c r="P210" s="742" t="s">
        <v>40</v>
      </c>
      <c r="Q210" s="743"/>
      <c r="R210" s="743"/>
      <c r="S210" s="743"/>
      <c r="T210" s="743"/>
      <c r="U210" s="743"/>
      <c r="V210" s="744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29" hidden="1" x14ac:dyDescent="0.2">
      <c r="A211" s="745"/>
      <c r="B211" s="745"/>
      <c r="C211" s="745"/>
      <c r="D211" s="745"/>
      <c r="E211" s="745"/>
      <c r="F211" s="745"/>
      <c r="G211" s="745"/>
      <c r="H211" s="745"/>
      <c r="I211" s="745"/>
      <c r="J211" s="745"/>
      <c r="K211" s="745"/>
      <c r="L211" s="745"/>
      <c r="M211" s="745"/>
      <c r="N211" s="745"/>
      <c r="O211" s="746"/>
      <c r="P211" s="742" t="s">
        <v>40</v>
      </c>
      <c r="Q211" s="743"/>
      <c r="R211" s="743"/>
      <c r="S211" s="743"/>
      <c r="T211" s="743"/>
      <c r="U211" s="743"/>
      <c r="V211" s="744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29" ht="15" hidden="1" x14ac:dyDescent="0.25">
      <c r="A212" s="735" t="s">
        <v>366</v>
      </c>
      <c r="B212" s="735"/>
      <c r="C212" s="735"/>
      <c r="D212" s="735"/>
      <c r="E212" s="735"/>
      <c r="F212" s="735"/>
      <c r="G212" s="735"/>
      <c r="H212" s="735"/>
      <c r="I212" s="735"/>
      <c r="J212" s="735"/>
      <c r="K212" s="735"/>
      <c r="L212" s="735"/>
      <c r="M212" s="735"/>
      <c r="N212" s="735"/>
      <c r="O212" s="735"/>
      <c r="P212" s="735"/>
      <c r="Q212" s="735"/>
      <c r="R212" s="735"/>
      <c r="S212" s="735"/>
      <c r="T212" s="735"/>
      <c r="U212" s="735"/>
      <c r="V212" s="735"/>
      <c r="W212" s="735"/>
      <c r="X212" s="735"/>
      <c r="Y212" s="735"/>
      <c r="Z212" s="735"/>
      <c r="AA212" s="653"/>
      <c r="AB212" s="653"/>
      <c r="AC212" s="653"/>
    </row>
    <row r="213" spans="1:29" ht="15" hidden="1" x14ac:dyDescent="0.25">
      <c r="A213" s="736" t="s">
        <v>157</v>
      </c>
      <c r="B213" s="736"/>
      <c r="C213" s="736"/>
      <c r="D213" s="736"/>
      <c r="E213" s="736"/>
      <c r="F213" s="736"/>
      <c r="G213" s="736"/>
      <c r="H213" s="736"/>
      <c r="I213" s="736"/>
      <c r="J213" s="736"/>
      <c r="K213" s="736"/>
      <c r="L213" s="736"/>
      <c r="M213" s="736"/>
      <c r="N213" s="736"/>
      <c r="O213" s="736"/>
      <c r="P213" s="736"/>
      <c r="Q213" s="736"/>
      <c r="R213" s="736"/>
      <c r="S213" s="736"/>
      <c r="T213" s="736"/>
      <c r="U213" s="736"/>
      <c r="V213" s="736"/>
      <c r="W213" s="736"/>
      <c r="X213" s="736"/>
      <c r="Y213" s="736"/>
      <c r="Z213" s="736"/>
      <c r="AA213" s="652"/>
      <c r="AB213" s="652"/>
      <c r="AC213" s="652"/>
    </row>
    <row r="214" spans="1:29" ht="23.25" hidden="1" x14ac:dyDescent="0.25">
      <c r="A214" s="63" t="s">
        <v>367</v>
      </c>
      <c r="B214" s="63" t="s">
        <v>368</v>
      </c>
      <c r="C214" s="36">
        <v>4301020323</v>
      </c>
      <c r="D214" s="737">
        <v>4680115886223</v>
      </c>
      <c r="E214" s="737"/>
      <c r="F214" s="62">
        <v>0.33</v>
      </c>
      <c r="G214" s="663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39"/>
      <c r="R214" s="739"/>
      <c r="S214" s="739"/>
      <c r="T214" s="740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</row>
    <row r="215" spans="1:29" hidden="1" x14ac:dyDescent="0.2">
      <c r="A215" s="745"/>
      <c r="B215" s="745"/>
      <c r="C215" s="745"/>
      <c r="D215" s="745"/>
      <c r="E215" s="745"/>
      <c r="F215" s="745"/>
      <c r="G215" s="745"/>
      <c r="H215" s="745"/>
      <c r="I215" s="745"/>
      <c r="J215" s="745"/>
      <c r="K215" s="745"/>
      <c r="L215" s="745"/>
      <c r="M215" s="745"/>
      <c r="N215" s="745"/>
      <c r="O215" s="746"/>
      <c r="P215" s="742" t="s">
        <v>40</v>
      </c>
      <c r="Q215" s="743"/>
      <c r="R215" s="743"/>
      <c r="S215" s="743"/>
      <c r="T215" s="743"/>
      <c r="U215" s="743"/>
      <c r="V215" s="744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29" hidden="1" x14ac:dyDescent="0.2">
      <c r="A216" s="745"/>
      <c r="B216" s="745"/>
      <c r="C216" s="745"/>
      <c r="D216" s="745"/>
      <c r="E216" s="745"/>
      <c r="F216" s="745"/>
      <c r="G216" s="745"/>
      <c r="H216" s="745"/>
      <c r="I216" s="745"/>
      <c r="J216" s="745"/>
      <c r="K216" s="745"/>
      <c r="L216" s="745"/>
      <c r="M216" s="745"/>
      <c r="N216" s="745"/>
      <c r="O216" s="746"/>
      <c r="P216" s="742" t="s">
        <v>40</v>
      </c>
      <c r="Q216" s="743"/>
      <c r="R216" s="743"/>
      <c r="S216" s="743"/>
      <c r="T216" s="743"/>
      <c r="U216" s="743"/>
      <c r="V216" s="744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29" ht="15" hidden="1" x14ac:dyDescent="0.25">
      <c r="A217" s="736" t="s">
        <v>77</v>
      </c>
      <c r="B217" s="736"/>
      <c r="C217" s="736"/>
      <c r="D217" s="736"/>
      <c r="E217" s="736"/>
      <c r="F217" s="736"/>
      <c r="G217" s="736"/>
      <c r="H217" s="736"/>
      <c r="I217" s="736"/>
      <c r="J217" s="736"/>
      <c r="K217" s="736"/>
      <c r="L217" s="736"/>
      <c r="M217" s="736"/>
      <c r="N217" s="736"/>
      <c r="O217" s="736"/>
      <c r="P217" s="736"/>
      <c r="Q217" s="736"/>
      <c r="R217" s="736"/>
      <c r="S217" s="736"/>
      <c r="T217" s="736"/>
      <c r="U217" s="736"/>
      <c r="V217" s="736"/>
      <c r="W217" s="736"/>
      <c r="X217" s="736"/>
      <c r="Y217" s="736"/>
      <c r="Z217" s="736"/>
      <c r="AA217" s="652"/>
      <c r="AB217" s="652"/>
      <c r="AC217" s="652"/>
    </row>
    <row r="218" spans="1:29" ht="15" hidden="1" x14ac:dyDescent="0.25">
      <c r="A218" s="63" t="s">
        <v>370</v>
      </c>
      <c r="B218" s="63" t="s">
        <v>371</v>
      </c>
      <c r="C218" s="36">
        <v>4301031191</v>
      </c>
      <c r="D218" s="737">
        <v>4680115880993</v>
      </c>
      <c r="E218" s="737"/>
      <c r="F218" s="62">
        <v>0.7</v>
      </c>
      <c r="G218" s="663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39"/>
      <c r="R218" s="739"/>
      <c r="S218" s="739"/>
      <c r="T218" s="74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8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</row>
    <row r="219" spans="1:29" ht="15" hidden="1" x14ac:dyDescent="0.25">
      <c r="A219" s="63" t="s">
        <v>373</v>
      </c>
      <c r="B219" s="63" t="s">
        <v>374</v>
      </c>
      <c r="C219" s="36">
        <v>4301031204</v>
      </c>
      <c r="D219" s="737">
        <v>4680115881761</v>
      </c>
      <c r="E219" s="737"/>
      <c r="F219" s="62">
        <v>0.7</v>
      </c>
      <c r="G219" s="663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39"/>
      <c r="R219" s="739"/>
      <c r="S219" s="739"/>
      <c r="T219" s="74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8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</row>
    <row r="220" spans="1:29" ht="15" x14ac:dyDescent="0.25">
      <c r="A220" s="63" t="s">
        <v>376</v>
      </c>
      <c r="B220" s="63" t="s">
        <v>377</v>
      </c>
      <c r="C220" s="36">
        <v>4301031201</v>
      </c>
      <c r="D220" s="737">
        <v>4680115881563</v>
      </c>
      <c r="E220" s="737"/>
      <c r="F220" s="62">
        <v>0.7</v>
      </c>
      <c r="G220" s="663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39"/>
      <c r="R220" s="739"/>
      <c r="S220" s="739"/>
      <c r="T220" s="740"/>
      <c r="U220" s="39" t="s">
        <v>46</v>
      </c>
      <c r="V220" s="39" t="s">
        <v>46</v>
      </c>
      <c r="W220" s="40" t="s">
        <v>0</v>
      </c>
      <c r="X220" s="657">
        <v>12</v>
      </c>
      <c r="Y220" s="55">
        <f t="shared" si="8"/>
        <v>12.600000000000001</v>
      </c>
      <c r="Z220" s="41">
        <f>IFERROR(IF(Y220=0,"",ROUNDUP(Y220/H220,0)*0.00902),"")</f>
        <v>2.7060000000000001E-2</v>
      </c>
      <c r="AA220" s="68" t="s">
        <v>46</v>
      </c>
      <c r="AB220" s="69" t="s">
        <v>46</v>
      </c>
      <c r="AC220" s="294" t="s">
        <v>378</v>
      </c>
    </row>
    <row r="221" spans="1:29" ht="15" hidden="1" x14ac:dyDescent="0.25">
      <c r="A221" s="63" t="s">
        <v>379</v>
      </c>
      <c r="B221" s="63" t="s">
        <v>380</v>
      </c>
      <c r="C221" s="36">
        <v>4301031447</v>
      </c>
      <c r="D221" s="737">
        <v>4680115887565</v>
      </c>
      <c r="E221" s="737"/>
      <c r="F221" s="62">
        <v>0.08</v>
      </c>
      <c r="G221" s="663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5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39"/>
      <c r="R221" s="739"/>
      <c r="S221" s="739"/>
      <c r="T221" s="74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8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</row>
    <row r="222" spans="1:29" ht="15" hidden="1" x14ac:dyDescent="0.25">
      <c r="A222" s="63" t="s">
        <v>382</v>
      </c>
      <c r="B222" s="63" t="s">
        <v>383</v>
      </c>
      <c r="C222" s="36">
        <v>4301031199</v>
      </c>
      <c r="D222" s="737">
        <v>4680115880986</v>
      </c>
      <c r="E222" s="737"/>
      <c r="F222" s="62">
        <v>0.35</v>
      </c>
      <c r="G222" s="663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39"/>
      <c r="R222" s="739"/>
      <c r="S222" s="739"/>
      <c r="T222" s="74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8"/>
        <v>0</v>
      </c>
      <c r="Z222" s="41" t="str">
        <f t="shared" ref="Z222:Z227" si="9">IFERROR(IF(Y222=0,"",ROUNDUP(Y222/H222,0)*0.00502),"")</f>
        <v/>
      </c>
      <c r="AA222" s="68" t="s">
        <v>46</v>
      </c>
      <c r="AB222" s="69" t="s">
        <v>46</v>
      </c>
      <c r="AC222" s="298" t="s">
        <v>372</v>
      </c>
    </row>
    <row r="223" spans="1:29" ht="15" hidden="1" x14ac:dyDescent="0.25">
      <c r="A223" s="63" t="s">
        <v>384</v>
      </c>
      <c r="B223" s="63" t="s">
        <v>385</v>
      </c>
      <c r="C223" s="36">
        <v>4301031443</v>
      </c>
      <c r="D223" s="737">
        <v>4680115887213</v>
      </c>
      <c r="E223" s="737"/>
      <c r="F223" s="62">
        <v>0.3</v>
      </c>
      <c r="G223" s="663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5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39"/>
      <c r="R223" s="739"/>
      <c r="S223" s="739"/>
      <c r="T223" s="74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8"/>
        <v>0</v>
      </c>
      <c r="Z223" s="41" t="str">
        <f t="shared" si="9"/>
        <v/>
      </c>
      <c r="AA223" s="68" t="s">
        <v>46</v>
      </c>
      <c r="AB223" s="69" t="s">
        <v>46</v>
      </c>
      <c r="AC223" s="300" t="s">
        <v>386</v>
      </c>
    </row>
    <row r="224" spans="1:29" ht="15" hidden="1" x14ac:dyDescent="0.25">
      <c r="A224" s="63" t="s">
        <v>387</v>
      </c>
      <c r="B224" s="63" t="s">
        <v>388</v>
      </c>
      <c r="C224" s="36">
        <v>4301031205</v>
      </c>
      <c r="D224" s="737">
        <v>4680115881785</v>
      </c>
      <c r="E224" s="737"/>
      <c r="F224" s="62">
        <v>0.35</v>
      </c>
      <c r="G224" s="663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39"/>
      <c r="R224" s="739"/>
      <c r="S224" s="739"/>
      <c r="T224" s="74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8"/>
        <v>0</v>
      </c>
      <c r="Z224" s="41" t="str">
        <f t="shared" si="9"/>
        <v/>
      </c>
      <c r="AA224" s="68" t="s">
        <v>46</v>
      </c>
      <c r="AB224" s="69" t="s">
        <v>46</v>
      </c>
      <c r="AC224" s="302" t="s">
        <v>375</v>
      </c>
    </row>
    <row r="225" spans="1:29" ht="15" hidden="1" x14ac:dyDescent="0.25">
      <c r="A225" s="63" t="s">
        <v>389</v>
      </c>
      <c r="B225" s="63" t="s">
        <v>390</v>
      </c>
      <c r="C225" s="36">
        <v>4301031499</v>
      </c>
      <c r="D225" s="737">
        <v>4680115888432</v>
      </c>
      <c r="E225" s="737"/>
      <c r="F225" s="62">
        <v>0.3</v>
      </c>
      <c r="G225" s="663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39"/>
      <c r="R225" s="739"/>
      <c r="S225" s="739"/>
      <c r="T225" s="74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8"/>
        <v>0</v>
      </c>
      <c r="Z225" s="41" t="str">
        <f t="shared" si="9"/>
        <v/>
      </c>
      <c r="AA225" s="68" t="s">
        <v>46</v>
      </c>
      <c r="AB225" s="69" t="s">
        <v>46</v>
      </c>
      <c r="AC225" s="304" t="s">
        <v>391</v>
      </c>
    </row>
    <row r="226" spans="1:29" ht="15" hidden="1" x14ac:dyDescent="0.25">
      <c r="A226" s="63" t="s">
        <v>392</v>
      </c>
      <c r="B226" s="63" t="s">
        <v>393</v>
      </c>
      <c r="C226" s="36">
        <v>4301031427</v>
      </c>
      <c r="D226" s="737">
        <v>4680115888104</v>
      </c>
      <c r="E226" s="737"/>
      <c r="F226" s="62">
        <v>0.35</v>
      </c>
      <c r="G226" s="663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39"/>
      <c r="R226" s="739"/>
      <c r="S226" s="739"/>
      <c r="T226" s="74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8"/>
        <v>0</v>
      </c>
      <c r="Z226" s="41" t="str">
        <f t="shared" si="9"/>
        <v/>
      </c>
      <c r="AA226" s="68" t="s">
        <v>46</v>
      </c>
      <c r="AB226" s="69" t="s">
        <v>46</v>
      </c>
      <c r="AC226" s="306" t="s">
        <v>394</v>
      </c>
    </row>
    <row r="227" spans="1:29" ht="15" hidden="1" x14ac:dyDescent="0.25">
      <c r="A227" s="63" t="s">
        <v>395</v>
      </c>
      <c r="B227" s="63" t="s">
        <v>396</v>
      </c>
      <c r="C227" s="36">
        <v>4301031503</v>
      </c>
      <c r="D227" s="737">
        <v>4680115886537</v>
      </c>
      <c r="E227" s="737"/>
      <c r="F227" s="62">
        <v>0.3</v>
      </c>
      <c r="G227" s="663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5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39"/>
      <c r="R227" s="739"/>
      <c r="S227" s="739"/>
      <c r="T227" s="74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8"/>
        <v>0</v>
      </c>
      <c r="Z227" s="41" t="str">
        <f t="shared" si="9"/>
        <v/>
      </c>
      <c r="AA227" s="68" t="s">
        <v>46</v>
      </c>
      <c r="AB227" s="69" t="s">
        <v>46</v>
      </c>
      <c r="AC227" s="308" t="s">
        <v>397</v>
      </c>
    </row>
    <row r="228" spans="1:29" ht="15" hidden="1" x14ac:dyDescent="0.25">
      <c r="A228" s="63" t="s">
        <v>398</v>
      </c>
      <c r="B228" s="63" t="s">
        <v>399</v>
      </c>
      <c r="C228" s="36">
        <v>4301031279</v>
      </c>
      <c r="D228" s="737">
        <v>4680115887596</v>
      </c>
      <c r="E228" s="737"/>
      <c r="F228" s="62">
        <v>0.08</v>
      </c>
      <c r="G228" s="663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39"/>
      <c r="R228" s="739"/>
      <c r="S228" s="739"/>
      <c r="T228" s="74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8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</row>
    <row r="229" spans="1:29" ht="15" hidden="1" x14ac:dyDescent="0.25">
      <c r="A229" s="63" t="s">
        <v>401</v>
      </c>
      <c r="B229" s="63" t="s">
        <v>402</v>
      </c>
      <c r="C229" s="36">
        <v>4301031202</v>
      </c>
      <c r="D229" s="737">
        <v>4680115881679</v>
      </c>
      <c r="E229" s="737"/>
      <c r="F229" s="62">
        <v>0.35</v>
      </c>
      <c r="G229" s="663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39"/>
      <c r="R229" s="739"/>
      <c r="S229" s="739"/>
      <c r="T229" s="74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8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</row>
    <row r="230" spans="1:29" ht="15" hidden="1" x14ac:dyDescent="0.25">
      <c r="A230" s="63" t="s">
        <v>403</v>
      </c>
      <c r="B230" s="63" t="s">
        <v>404</v>
      </c>
      <c r="C230" s="36">
        <v>4301031158</v>
      </c>
      <c r="D230" s="737">
        <v>4680115880191</v>
      </c>
      <c r="E230" s="737"/>
      <c r="F230" s="62">
        <v>0.4</v>
      </c>
      <c r="G230" s="663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39"/>
      <c r="R230" s="739"/>
      <c r="S230" s="739"/>
      <c r="T230" s="74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8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</row>
    <row r="231" spans="1:29" ht="15" hidden="1" x14ac:dyDescent="0.25">
      <c r="A231" s="63" t="s">
        <v>403</v>
      </c>
      <c r="B231" s="63" t="s">
        <v>405</v>
      </c>
      <c r="C231" s="36">
        <v>4301031531</v>
      </c>
      <c r="D231" s="737">
        <v>4680115880191</v>
      </c>
      <c r="E231" s="737"/>
      <c r="F231" s="62">
        <v>0.4</v>
      </c>
      <c r="G231" s="663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6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39"/>
      <c r="R231" s="739"/>
      <c r="S231" s="739"/>
      <c r="T231" s="74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8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</row>
    <row r="232" spans="1:29" ht="15" hidden="1" x14ac:dyDescent="0.25">
      <c r="A232" s="63" t="s">
        <v>406</v>
      </c>
      <c r="B232" s="63" t="s">
        <v>407</v>
      </c>
      <c r="C232" s="36">
        <v>4301031245</v>
      </c>
      <c r="D232" s="737">
        <v>4680115883963</v>
      </c>
      <c r="E232" s="737"/>
      <c r="F232" s="62">
        <v>0.28000000000000003</v>
      </c>
      <c r="G232" s="663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39"/>
      <c r="R232" s="739"/>
      <c r="S232" s="739"/>
      <c r="T232" s="74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8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</row>
    <row r="233" spans="1:29" hidden="1" x14ac:dyDescent="0.2">
      <c r="A233" s="745"/>
      <c r="B233" s="745"/>
      <c r="C233" s="745"/>
      <c r="D233" s="745"/>
      <c r="E233" s="745"/>
      <c r="F233" s="745"/>
      <c r="G233" s="745"/>
      <c r="H233" s="745"/>
      <c r="I233" s="745"/>
      <c r="J233" s="745"/>
      <c r="K233" s="745"/>
      <c r="L233" s="745"/>
      <c r="M233" s="745"/>
      <c r="N233" s="745"/>
      <c r="O233" s="746"/>
      <c r="P233" s="742" t="s">
        <v>40</v>
      </c>
      <c r="Q233" s="743"/>
      <c r="R233" s="743"/>
      <c r="S233" s="743"/>
      <c r="T233" s="743"/>
      <c r="U233" s="743"/>
      <c r="V233" s="744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2.8571428571428572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2.7060000000000001E-2</v>
      </c>
      <c r="AA233" s="67"/>
      <c r="AB233" s="67"/>
      <c r="AC233" s="67"/>
    </row>
    <row r="234" spans="1:29" hidden="1" x14ac:dyDescent="0.2">
      <c r="A234" s="745"/>
      <c r="B234" s="745"/>
      <c r="C234" s="745"/>
      <c r="D234" s="745"/>
      <c r="E234" s="745"/>
      <c r="F234" s="745"/>
      <c r="G234" s="745"/>
      <c r="H234" s="745"/>
      <c r="I234" s="745"/>
      <c r="J234" s="745"/>
      <c r="K234" s="745"/>
      <c r="L234" s="745"/>
      <c r="M234" s="745"/>
      <c r="N234" s="745"/>
      <c r="O234" s="746"/>
      <c r="P234" s="742" t="s">
        <v>40</v>
      </c>
      <c r="Q234" s="743"/>
      <c r="R234" s="743"/>
      <c r="S234" s="743"/>
      <c r="T234" s="743"/>
      <c r="U234" s="743"/>
      <c r="V234" s="744"/>
      <c r="W234" s="42" t="s">
        <v>0</v>
      </c>
      <c r="X234" s="43">
        <f>IFERROR(SUM(X218:X232),"0")</f>
        <v>12</v>
      </c>
      <c r="Y234" s="43">
        <f>IFERROR(SUM(Y218:Y232),"0")</f>
        <v>12.600000000000001</v>
      </c>
      <c r="Z234" s="42"/>
      <c r="AA234" s="67"/>
      <c r="AB234" s="67"/>
      <c r="AC234" s="67"/>
    </row>
    <row r="235" spans="1:29" ht="15" hidden="1" x14ac:dyDescent="0.25">
      <c r="A235" s="736" t="s">
        <v>86</v>
      </c>
      <c r="B235" s="736"/>
      <c r="C235" s="736"/>
      <c r="D235" s="736"/>
      <c r="E235" s="736"/>
      <c r="F235" s="736"/>
      <c r="G235" s="736"/>
      <c r="H235" s="736"/>
      <c r="I235" s="736"/>
      <c r="J235" s="736"/>
      <c r="K235" s="736"/>
      <c r="L235" s="736"/>
      <c r="M235" s="736"/>
      <c r="N235" s="736"/>
      <c r="O235" s="736"/>
      <c r="P235" s="736"/>
      <c r="Q235" s="736"/>
      <c r="R235" s="736"/>
      <c r="S235" s="736"/>
      <c r="T235" s="736"/>
      <c r="U235" s="736"/>
      <c r="V235" s="736"/>
      <c r="W235" s="736"/>
      <c r="X235" s="736"/>
      <c r="Y235" s="736"/>
      <c r="Z235" s="736"/>
      <c r="AA235" s="652"/>
      <c r="AB235" s="652"/>
      <c r="AC235" s="652"/>
    </row>
    <row r="236" spans="1:29" ht="15" hidden="1" x14ac:dyDescent="0.25">
      <c r="A236" s="63" t="s">
        <v>409</v>
      </c>
      <c r="B236" s="63" t="s">
        <v>410</v>
      </c>
      <c r="C236" s="36">
        <v>4301052209</v>
      </c>
      <c r="D236" s="737">
        <v>4680115888692</v>
      </c>
      <c r="E236" s="737"/>
      <c r="F236" s="62">
        <v>0.8</v>
      </c>
      <c r="G236" s="663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39"/>
      <c r="R236" s="739"/>
      <c r="S236" s="739"/>
      <c r="T236" s="74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10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</row>
    <row r="237" spans="1:29" ht="15" hidden="1" x14ac:dyDescent="0.25">
      <c r="A237" s="63" t="s">
        <v>409</v>
      </c>
      <c r="B237" s="63" t="s">
        <v>412</v>
      </c>
      <c r="C237" s="36">
        <v>4301052279</v>
      </c>
      <c r="D237" s="737">
        <v>4680115888692</v>
      </c>
      <c r="E237" s="737"/>
      <c r="F237" s="62">
        <v>0.8</v>
      </c>
      <c r="G237" s="663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6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39"/>
      <c r="R237" s="739"/>
      <c r="S237" s="739"/>
      <c r="T237" s="740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10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</row>
    <row r="238" spans="1:29" ht="15" hidden="1" x14ac:dyDescent="0.25">
      <c r="A238" s="63" t="s">
        <v>414</v>
      </c>
      <c r="B238" s="63" t="s">
        <v>415</v>
      </c>
      <c r="C238" s="36">
        <v>4301052213</v>
      </c>
      <c r="D238" s="737">
        <v>4680115888722</v>
      </c>
      <c r="E238" s="737"/>
      <c r="F238" s="62">
        <v>0.8</v>
      </c>
      <c r="G238" s="663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6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39"/>
      <c r="R238" s="739"/>
      <c r="S238" s="739"/>
      <c r="T238" s="740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10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</row>
    <row r="239" spans="1:29" ht="15" hidden="1" x14ac:dyDescent="0.25">
      <c r="A239" s="63" t="s">
        <v>414</v>
      </c>
      <c r="B239" s="63" t="s">
        <v>417</v>
      </c>
      <c r="C239" s="36">
        <v>4301052280</v>
      </c>
      <c r="D239" s="737">
        <v>4680115888722</v>
      </c>
      <c r="E239" s="737"/>
      <c r="F239" s="62">
        <v>0.8</v>
      </c>
      <c r="G239" s="663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6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39"/>
      <c r="R239" s="739"/>
      <c r="S239" s="739"/>
      <c r="T239" s="74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10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</row>
    <row r="240" spans="1:29" ht="15" hidden="1" x14ac:dyDescent="0.25">
      <c r="A240" s="63" t="s">
        <v>419</v>
      </c>
      <c r="B240" s="63" t="s">
        <v>420</v>
      </c>
      <c r="C240" s="36">
        <v>4301052177</v>
      </c>
      <c r="D240" s="737">
        <v>4680115888951</v>
      </c>
      <c r="E240" s="737"/>
      <c r="F240" s="62">
        <v>0.36</v>
      </c>
      <c r="G240" s="663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39"/>
      <c r="R240" s="739"/>
      <c r="S240" s="739"/>
      <c r="T240" s="74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10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</row>
    <row r="241" spans="1:29" ht="15" hidden="1" x14ac:dyDescent="0.25">
      <c r="A241" s="63" t="s">
        <v>419</v>
      </c>
      <c r="B241" s="63" t="s">
        <v>422</v>
      </c>
      <c r="C241" s="36">
        <v>4301052276</v>
      </c>
      <c r="D241" s="737">
        <v>4680115888951</v>
      </c>
      <c r="E241" s="737"/>
      <c r="F241" s="62">
        <v>0.36</v>
      </c>
      <c r="G241" s="663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6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39"/>
      <c r="R241" s="739"/>
      <c r="S241" s="739"/>
      <c r="T241" s="74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10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</row>
    <row r="242" spans="1:29" ht="15" hidden="1" x14ac:dyDescent="0.25">
      <c r="A242" s="63" t="s">
        <v>423</v>
      </c>
      <c r="B242" s="63" t="s">
        <v>424</v>
      </c>
      <c r="C242" s="36">
        <v>4301052178</v>
      </c>
      <c r="D242" s="737">
        <v>4680115888975</v>
      </c>
      <c r="E242" s="737"/>
      <c r="F242" s="62">
        <v>0.32</v>
      </c>
      <c r="G242" s="663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6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39"/>
      <c r="R242" s="739"/>
      <c r="S242" s="739"/>
      <c r="T242" s="74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10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</row>
    <row r="243" spans="1:29" ht="15" hidden="1" x14ac:dyDescent="0.25">
      <c r="A243" s="63" t="s">
        <v>426</v>
      </c>
      <c r="B243" s="63" t="s">
        <v>427</v>
      </c>
      <c r="C243" s="36">
        <v>4301052176</v>
      </c>
      <c r="D243" s="737">
        <v>4680115888982</v>
      </c>
      <c r="E243" s="737"/>
      <c r="F243" s="62">
        <v>0.36</v>
      </c>
      <c r="G243" s="663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39"/>
      <c r="R243" s="739"/>
      <c r="S243" s="739"/>
      <c r="T243" s="74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10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</row>
    <row r="244" spans="1:29" ht="15" hidden="1" x14ac:dyDescent="0.25">
      <c r="A244" s="63" t="s">
        <v>426</v>
      </c>
      <c r="B244" s="63" t="s">
        <v>428</v>
      </c>
      <c r="C244" s="36">
        <v>4301052277</v>
      </c>
      <c r="D244" s="737">
        <v>4680115888982</v>
      </c>
      <c r="E244" s="737"/>
      <c r="F244" s="62">
        <v>0.36</v>
      </c>
      <c r="G244" s="663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7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39"/>
      <c r="R244" s="739"/>
      <c r="S244" s="739"/>
      <c r="T244" s="74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10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</row>
    <row r="245" spans="1:29" hidden="1" x14ac:dyDescent="0.2">
      <c r="A245" s="745"/>
      <c r="B245" s="745"/>
      <c r="C245" s="745"/>
      <c r="D245" s="745"/>
      <c r="E245" s="745"/>
      <c r="F245" s="745"/>
      <c r="G245" s="745"/>
      <c r="H245" s="745"/>
      <c r="I245" s="745"/>
      <c r="J245" s="745"/>
      <c r="K245" s="745"/>
      <c r="L245" s="745"/>
      <c r="M245" s="745"/>
      <c r="N245" s="745"/>
      <c r="O245" s="746"/>
      <c r="P245" s="742" t="s">
        <v>40</v>
      </c>
      <c r="Q245" s="743"/>
      <c r="R245" s="743"/>
      <c r="S245" s="743"/>
      <c r="T245" s="743"/>
      <c r="U245" s="743"/>
      <c r="V245" s="744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29" hidden="1" x14ac:dyDescent="0.2">
      <c r="A246" s="745"/>
      <c r="B246" s="745"/>
      <c r="C246" s="745"/>
      <c r="D246" s="745"/>
      <c r="E246" s="745"/>
      <c r="F246" s="745"/>
      <c r="G246" s="745"/>
      <c r="H246" s="745"/>
      <c r="I246" s="745"/>
      <c r="J246" s="745"/>
      <c r="K246" s="745"/>
      <c r="L246" s="745"/>
      <c r="M246" s="745"/>
      <c r="N246" s="745"/>
      <c r="O246" s="746"/>
      <c r="P246" s="742" t="s">
        <v>40</v>
      </c>
      <c r="Q246" s="743"/>
      <c r="R246" s="743"/>
      <c r="S246" s="743"/>
      <c r="T246" s="743"/>
      <c r="U246" s="743"/>
      <c r="V246" s="744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29" ht="15" hidden="1" x14ac:dyDescent="0.25">
      <c r="A247" s="736" t="s">
        <v>275</v>
      </c>
      <c r="B247" s="736"/>
      <c r="C247" s="736"/>
      <c r="D247" s="736"/>
      <c r="E247" s="736"/>
      <c r="F247" s="736"/>
      <c r="G247" s="736"/>
      <c r="H247" s="736"/>
      <c r="I247" s="736"/>
      <c r="J247" s="736"/>
      <c r="K247" s="736"/>
      <c r="L247" s="736"/>
      <c r="M247" s="736"/>
      <c r="N247" s="736"/>
      <c r="O247" s="736"/>
      <c r="P247" s="736"/>
      <c r="Q247" s="736"/>
      <c r="R247" s="736"/>
      <c r="S247" s="736"/>
      <c r="T247" s="736"/>
      <c r="U247" s="736"/>
      <c r="V247" s="736"/>
      <c r="W247" s="736"/>
      <c r="X247" s="736"/>
      <c r="Y247" s="736"/>
      <c r="Z247" s="736"/>
      <c r="AA247" s="652"/>
      <c r="AB247" s="652"/>
      <c r="AC247" s="652"/>
    </row>
    <row r="248" spans="1:29" ht="15" hidden="1" x14ac:dyDescent="0.25">
      <c r="A248" s="63" t="s">
        <v>429</v>
      </c>
      <c r="B248" s="63" t="s">
        <v>430</v>
      </c>
      <c r="C248" s="36">
        <v>4301032053</v>
      </c>
      <c r="D248" s="737">
        <v>4680115886780</v>
      </c>
      <c r="E248" s="737"/>
      <c r="F248" s="62">
        <v>7.0000000000000007E-2</v>
      </c>
      <c r="G248" s="663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39"/>
      <c r="R248" s="739"/>
      <c r="S248" s="739"/>
      <c r="T248" s="74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</row>
    <row r="249" spans="1:29" ht="15" hidden="1" x14ac:dyDescent="0.25">
      <c r="A249" s="63" t="s">
        <v>432</v>
      </c>
      <c r="B249" s="63" t="s">
        <v>433</v>
      </c>
      <c r="C249" s="36">
        <v>4301032051</v>
      </c>
      <c r="D249" s="737">
        <v>4680115886742</v>
      </c>
      <c r="E249" s="737"/>
      <c r="F249" s="62">
        <v>7.0000000000000007E-2</v>
      </c>
      <c r="G249" s="663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7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39"/>
      <c r="R249" s="739"/>
      <c r="S249" s="739"/>
      <c r="T249" s="74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</row>
    <row r="250" spans="1:29" ht="15" hidden="1" x14ac:dyDescent="0.25">
      <c r="A250" s="63" t="s">
        <v>435</v>
      </c>
      <c r="B250" s="63" t="s">
        <v>436</v>
      </c>
      <c r="C250" s="36">
        <v>4301032052</v>
      </c>
      <c r="D250" s="737">
        <v>4680115886766</v>
      </c>
      <c r="E250" s="737"/>
      <c r="F250" s="62">
        <v>7.0000000000000007E-2</v>
      </c>
      <c r="G250" s="663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39"/>
      <c r="R250" s="739"/>
      <c r="S250" s="739"/>
      <c r="T250" s="74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</row>
    <row r="251" spans="1:29" hidden="1" x14ac:dyDescent="0.2">
      <c r="A251" s="745"/>
      <c r="B251" s="745"/>
      <c r="C251" s="745"/>
      <c r="D251" s="745"/>
      <c r="E251" s="745"/>
      <c r="F251" s="745"/>
      <c r="G251" s="745"/>
      <c r="H251" s="745"/>
      <c r="I251" s="745"/>
      <c r="J251" s="745"/>
      <c r="K251" s="745"/>
      <c r="L251" s="745"/>
      <c r="M251" s="745"/>
      <c r="N251" s="745"/>
      <c r="O251" s="746"/>
      <c r="P251" s="742" t="s">
        <v>40</v>
      </c>
      <c r="Q251" s="743"/>
      <c r="R251" s="743"/>
      <c r="S251" s="743"/>
      <c r="T251" s="743"/>
      <c r="U251" s="743"/>
      <c r="V251" s="7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29" hidden="1" x14ac:dyDescent="0.2">
      <c r="A252" s="745"/>
      <c r="B252" s="745"/>
      <c r="C252" s="745"/>
      <c r="D252" s="745"/>
      <c r="E252" s="745"/>
      <c r="F252" s="745"/>
      <c r="G252" s="745"/>
      <c r="H252" s="745"/>
      <c r="I252" s="745"/>
      <c r="J252" s="745"/>
      <c r="K252" s="745"/>
      <c r="L252" s="745"/>
      <c r="M252" s="745"/>
      <c r="N252" s="745"/>
      <c r="O252" s="746"/>
      <c r="P252" s="742" t="s">
        <v>40</v>
      </c>
      <c r="Q252" s="743"/>
      <c r="R252" s="743"/>
      <c r="S252" s="743"/>
      <c r="T252" s="743"/>
      <c r="U252" s="743"/>
      <c r="V252" s="7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29" ht="15" hidden="1" x14ac:dyDescent="0.25">
      <c r="A253" s="736" t="s">
        <v>437</v>
      </c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  <c r="S253" s="736"/>
      <c r="T253" s="736"/>
      <c r="U253" s="736"/>
      <c r="V253" s="736"/>
      <c r="W253" s="736"/>
      <c r="X253" s="736"/>
      <c r="Y253" s="736"/>
      <c r="Z253" s="736"/>
      <c r="AA253" s="652"/>
      <c r="AB253" s="652"/>
      <c r="AC253" s="652"/>
    </row>
    <row r="254" spans="1:29" ht="15" hidden="1" x14ac:dyDescent="0.25">
      <c r="A254" s="63" t="s">
        <v>438</v>
      </c>
      <c r="B254" s="63" t="s">
        <v>439</v>
      </c>
      <c r="C254" s="36">
        <v>4301170013</v>
      </c>
      <c r="D254" s="737">
        <v>4680115886797</v>
      </c>
      <c r="E254" s="737"/>
      <c r="F254" s="62">
        <v>7.0000000000000007E-2</v>
      </c>
      <c r="G254" s="663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7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39"/>
      <c r="R254" s="739"/>
      <c r="S254" s="739"/>
      <c r="T254" s="74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</row>
    <row r="255" spans="1:29" hidden="1" x14ac:dyDescent="0.2">
      <c r="A255" s="745"/>
      <c r="B255" s="745"/>
      <c r="C255" s="745"/>
      <c r="D255" s="745"/>
      <c r="E255" s="745"/>
      <c r="F255" s="745"/>
      <c r="G255" s="745"/>
      <c r="H255" s="745"/>
      <c r="I255" s="745"/>
      <c r="J255" s="745"/>
      <c r="K255" s="745"/>
      <c r="L255" s="745"/>
      <c r="M255" s="745"/>
      <c r="N255" s="745"/>
      <c r="O255" s="746"/>
      <c r="P255" s="742" t="s">
        <v>40</v>
      </c>
      <c r="Q255" s="743"/>
      <c r="R255" s="743"/>
      <c r="S255" s="743"/>
      <c r="T255" s="743"/>
      <c r="U255" s="743"/>
      <c r="V255" s="7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29" hidden="1" x14ac:dyDescent="0.2">
      <c r="A256" s="745"/>
      <c r="B256" s="745"/>
      <c r="C256" s="745"/>
      <c r="D256" s="745"/>
      <c r="E256" s="745"/>
      <c r="F256" s="745"/>
      <c r="G256" s="745"/>
      <c r="H256" s="745"/>
      <c r="I256" s="745"/>
      <c r="J256" s="745"/>
      <c r="K256" s="745"/>
      <c r="L256" s="745"/>
      <c r="M256" s="745"/>
      <c r="N256" s="745"/>
      <c r="O256" s="746"/>
      <c r="P256" s="742" t="s">
        <v>40</v>
      </c>
      <c r="Q256" s="743"/>
      <c r="R256" s="743"/>
      <c r="S256" s="743"/>
      <c r="T256" s="743"/>
      <c r="U256" s="743"/>
      <c r="V256" s="7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29" ht="15" hidden="1" x14ac:dyDescent="0.25">
      <c r="A257" s="735" t="s">
        <v>440</v>
      </c>
      <c r="B257" s="735"/>
      <c r="C257" s="735"/>
      <c r="D257" s="735"/>
      <c r="E257" s="735"/>
      <c r="F257" s="735"/>
      <c r="G257" s="735"/>
      <c r="H257" s="735"/>
      <c r="I257" s="735"/>
      <c r="J257" s="735"/>
      <c r="K257" s="735"/>
      <c r="L257" s="735"/>
      <c r="M257" s="735"/>
      <c r="N257" s="735"/>
      <c r="O257" s="735"/>
      <c r="P257" s="735"/>
      <c r="Q257" s="735"/>
      <c r="R257" s="735"/>
      <c r="S257" s="735"/>
      <c r="T257" s="735"/>
      <c r="U257" s="735"/>
      <c r="V257" s="735"/>
      <c r="W257" s="735"/>
      <c r="X257" s="735"/>
      <c r="Y257" s="735"/>
      <c r="Z257" s="735"/>
      <c r="AA257" s="653"/>
      <c r="AB257" s="653"/>
      <c r="AC257" s="653"/>
    </row>
    <row r="258" spans="1:29" ht="15" hidden="1" x14ac:dyDescent="0.25">
      <c r="A258" s="736" t="s">
        <v>122</v>
      </c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6"/>
      <c r="P258" s="736"/>
      <c r="Q258" s="736"/>
      <c r="R258" s="736"/>
      <c r="S258" s="736"/>
      <c r="T258" s="736"/>
      <c r="U258" s="736"/>
      <c r="V258" s="736"/>
      <c r="W258" s="736"/>
      <c r="X258" s="736"/>
      <c r="Y258" s="736"/>
      <c r="Z258" s="736"/>
      <c r="AA258" s="652"/>
      <c r="AB258" s="652"/>
      <c r="AC258" s="652"/>
    </row>
    <row r="259" spans="1:29" ht="23.25" hidden="1" x14ac:dyDescent="0.25">
      <c r="A259" s="63" t="s">
        <v>441</v>
      </c>
      <c r="B259" s="63" t="s">
        <v>442</v>
      </c>
      <c r="C259" s="36">
        <v>4301011450</v>
      </c>
      <c r="D259" s="737">
        <v>4680115881402</v>
      </c>
      <c r="E259" s="737"/>
      <c r="F259" s="62">
        <v>1.35</v>
      </c>
      <c r="G259" s="663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39"/>
      <c r="R259" s="739"/>
      <c r="S259" s="739"/>
      <c r="T259" s="74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</row>
    <row r="260" spans="1:29" ht="23.25" hidden="1" x14ac:dyDescent="0.25">
      <c r="A260" s="63" t="s">
        <v>444</v>
      </c>
      <c r="B260" s="63" t="s">
        <v>445</v>
      </c>
      <c r="C260" s="36">
        <v>4301011768</v>
      </c>
      <c r="D260" s="737">
        <v>4680115881396</v>
      </c>
      <c r="E260" s="737"/>
      <c r="F260" s="62">
        <v>0.45</v>
      </c>
      <c r="G260" s="663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39"/>
      <c r="R260" s="739"/>
      <c r="S260" s="739"/>
      <c r="T260" s="74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</row>
    <row r="261" spans="1:29" hidden="1" x14ac:dyDescent="0.2">
      <c r="A261" s="745"/>
      <c r="B261" s="745"/>
      <c r="C261" s="745"/>
      <c r="D261" s="745"/>
      <c r="E261" s="745"/>
      <c r="F261" s="745"/>
      <c r="G261" s="745"/>
      <c r="H261" s="745"/>
      <c r="I261" s="745"/>
      <c r="J261" s="745"/>
      <c r="K261" s="745"/>
      <c r="L261" s="745"/>
      <c r="M261" s="745"/>
      <c r="N261" s="745"/>
      <c r="O261" s="746"/>
      <c r="P261" s="742" t="s">
        <v>40</v>
      </c>
      <c r="Q261" s="743"/>
      <c r="R261" s="743"/>
      <c r="S261" s="743"/>
      <c r="T261" s="743"/>
      <c r="U261" s="743"/>
      <c r="V261" s="7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29" hidden="1" x14ac:dyDescent="0.2">
      <c r="A262" s="745"/>
      <c r="B262" s="745"/>
      <c r="C262" s="745"/>
      <c r="D262" s="745"/>
      <c r="E262" s="745"/>
      <c r="F262" s="745"/>
      <c r="G262" s="745"/>
      <c r="H262" s="745"/>
      <c r="I262" s="745"/>
      <c r="J262" s="745"/>
      <c r="K262" s="745"/>
      <c r="L262" s="745"/>
      <c r="M262" s="745"/>
      <c r="N262" s="745"/>
      <c r="O262" s="746"/>
      <c r="P262" s="742" t="s">
        <v>40</v>
      </c>
      <c r="Q262" s="743"/>
      <c r="R262" s="743"/>
      <c r="S262" s="743"/>
      <c r="T262" s="743"/>
      <c r="U262" s="743"/>
      <c r="V262" s="7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29" ht="15" hidden="1" x14ac:dyDescent="0.25">
      <c r="A263" s="736" t="s">
        <v>157</v>
      </c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  <c r="S263" s="736"/>
      <c r="T263" s="736"/>
      <c r="U263" s="736"/>
      <c r="V263" s="736"/>
      <c r="W263" s="736"/>
      <c r="X263" s="736"/>
      <c r="Y263" s="736"/>
      <c r="Z263" s="736"/>
      <c r="AA263" s="652"/>
      <c r="AB263" s="652"/>
      <c r="AC263" s="652"/>
    </row>
    <row r="264" spans="1:29" ht="15" hidden="1" x14ac:dyDescent="0.25">
      <c r="A264" s="63" t="s">
        <v>446</v>
      </c>
      <c r="B264" s="63" t="s">
        <v>447</v>
      </c>
      <c r="C264" s="36">
        <v>4301020261</v>
      </c>
      <c r="D264" s="737">
        <v>4680115882935</v>
      </c>
      <c r="E264" s="737"/>
      <c r="F264" s="62">
        <v>1.35</v>
      </c>
      <c r="G264" s="663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39"/>
      <c r="R264" s="739"/>
      <c r="S264" s="739"/>
      <c r="T264" s="74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</row>
    <row r="265" spans="1:29" ht="15" hidden="1" x14ac:dyDescent="0.25">
      <c r="A265" s="63" t="s">
        <v>449</v>
      </c>
      <c r="B265" s="63" t="s">
        <v>450</v>
      </c>
      <c r="C265" s="36">
        <v>4301020220</v>
      </c>
      <c r="D265" s="737">
        <v>4680115880764</v>
      </c>
      <c r="E265" s="737"/>
      <c r="F265" s="62">
        <v>0.35</v>
      </c>
      <c r="G265" s="663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39"/>
      <c r="R265" s="739"/>
      <c r="S265" s="739"/>
      <c r="T265" s="74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</row>
    <row r="266" spans="1:29" hidden="1" x14ac:dyDescent="0.2">
      <c r="A266" s="745"/>
      <c r="B266" s="745"/>
      <c r="C266" s="745"/>
      <c r="D266" s="745"/>
      <c r="E266" s="745"/>
      <c r="F266" s="745"/>
      <c r="G266" s="745"/>
      <c r="H266" s="745"/>
      <c r="I266" s="745"/>
      <c r="J266" s="745"/>
      <c r="K266" s="745"/>
      <c r="L266" s="745"/>
      <c r="M266" s="745"/>
      <c r="N266" s="745"/>
      <c r="O266" s="746"/>
      <c r="P266" s="742" t="s">
        <v>40</v>
      </c>
      <c r="Q266" s="743"/>
      <c r="R266" s="743"/>
      <c r="S266" s="743"/>
      <c r="T266" s="743"/>
      <c r="U266" s="743"/>
      <c r="V266" s="7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29" hidden="1" x14ac:dyDescent="0.2">
      <c r="A267" s="745"/>
      <c r="B267" s="745"/>
      <c r="C267" s="745"/>
      <c r="D267" s="745"/>
      <c r="E267" s="745"/>
      <c r="F267" s="745"/>
      <c r="G267" s="745"/>
      <c r="H267" s="745"/>
      <c r="I267" s="745"/>
      <c r="J267" s="745"/>
      <c r="K267" s="745"/>
      <c r="L267" s="745"/>
      <c r="M267" s="745"/>
      <c r="N267" s="745"/>
      <c r="O267" s="746"/>
      <c r="P267" s="742" t="s">
        <v>40</v>
      </c>
      <c r="Q267" s="743"/>
      <c r="R267" s="743"/>
      <c r="S267" s="743"/>
      <c r="T267" s="743"/>
      <c r="U267" s="743"/>
      <c r="V267" s="7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29" ht="15" hidden="1" x14ac:dyDescent="0.25">
      <c r="A268" s="736" t="s">
        <v>77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  <c r="S268" s="736"/>
      <c r="T268" s="736"/>
      <c r="U268" s="736"/>
      <c r="V268" s="736"/>
      <c r="W268" s="736"/>
      <c r="X268" s="736"/>
      <c r="Y268" s="736"/>
      <c r="Z268" s="736"/>
      <c r="AA268" s="652"/>
      <c r="AB268" s="652"/>
      <c r="AC268" s="652"/>
    </row>
    <row r="269" spans="1:29" ht="15" x14ac:dyDescent="0.25">
      <c r="A269" s="63" t="s">
        <v>451</v>
      </c>
      <c r="B269" s="63" t="s">
        <v>452</v>
      </c>
      <c r="C269" s="36">
        <v>4301031224</v>
      </c>
      <c r="D269" s="737">
        <v>4680115882683</v>
      </c>
      <c r="E269" s="737"/>
      <c r="F269" s="62">
        <v>0.9</v>
      </c>
      <c r="G269" s="663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39"/>
      <c r="R269" s="739"/>
      <c r="S269" s="739"/>
      <c r="T269" s="740"/>
      <c r="U269" s="39">
        <v>12</v>
      </c>
      <c r="V269" s="39" t="s">
        <v>46</v>
      </c>
      <c r="W269" s="40" t="s">
        <v>0</v>
      </c>
      <c r="X269" s="657">
        <v>12</v>
      </c>
      <c r="Y269" s="55">
        <f t="shared" ref="Y269:Y276" si="11">IFERROR(IF(X269="",0,CEILING((X269/$H269),1)*$H269),"")</f>
        <v>16.200000000000003</v>
      </c>
      <c r="Z269" s="41">
        <f>IFERROR(IF(Y269=0,"",ROUNDUP(Y269/H269,0)*0.00902),"")</f>
        <v>2.7060000000000001E-2</v>
      </c>
      <c r="AA269" s="68" t="s">
        <v>46</v>
      </c>
      <c r="AB269" s="69" t="s">
        <v>46</v>
      </c>
      <c r="AC269" s="354" t="s">
        <v>453</v>
      </c>
    </row>
    <row r="270" spans="1:29" ht="15" hidden="1" x14ac:dyDescent="0.25">
      <c r="A270" s="63" t="s">
        <v>454</v>
      </c>
      <c r="B270" s="63" t="s">
        <v>455</v>
      </c>
      <c r="C270" s="36">
        <v>4301031230</v>
      </c>
      <c r="D270" s="737">
        <v>4680115882690</v>
      </c>
      <c r="E270" s="737"/>
      <c r="F270" s="62">
        <v>0.9</v>
      </c>
      <c r="G270" s="663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39"/>
      <c r="R270" s="739"/>
      <c r="S270" s="739"/>
      <c r="T270" s="74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11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</row>
    <row r="271" spans="1:29" ht="15" hidden="1" x14ac:dyDescent="0.25">
      <c r="A271" s="63" t="s">
        <v>457</v>
      </c>
      <c r="B271" s="63" t="s">
        <v>458</v>
      </c>
      <c r="C271" s="36">
        <v>4301031220</v>
      </c>
      <c r="D271" s="737">
        <v>4680115882669</v>
      </c>
      <c r="E271" s="737"/>
      <c r="F271" s="62">
        <v>0.9</v>
      </c>
      <c r="G271" s="663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39"/>
      <c r="R271" s="739"/>
      <c r="S271" s="739"/>
      <c r="T271" s="74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11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</row>
    <row r="272" spans="1:29" ht="15" hidden="1" x14ac:dyDescent="0.25">
      <c r="A272" s="63" t="s">
        <v>460</v>
      </c>
      <c r="B272" s="63" t="s">
        <v>461</v>
      </c>
      <c r="C272" s="36">
        <v>4301031221</v>
      </c>
      <c r="D272" s="737">
        <v>4680115882676</v>
      </c>
      <c r="E272" s="737"/>
      <c r="F272" s="62">
        <v>0.9</v>
      </c>
      <c r="G272" s="663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39"/>
      <c r="R272" s="739"/>
      <c r="S272" s="739"/>
      <c r="T272" s="74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11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</row>
    <row r="273" spans="1:29" ht="15" hidden="1" x14ac:dyDescent="0.25">
      <c r="A273" s="63" t="s">
        <v>463</v>
      </c>
      <c r="B273" s="63" t="s">
        <v>464</v>
      </c>
      <c r="C273" s="36">
        <v>4301031223</v>
      </c>
      <c r="D273" s="737">
        <v>4680115884014</v>
      </c>
      <c r="E273" s="737"/>
      <c r="F273" s="62">
        <v>0.3</v>
      </c>
      <c r="G273" s="663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8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39"/>
      <c r="R273" s="739"/>
      <c r="S273" s="739"/>
      <c r="T273" s="74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11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</row>
    <row r="274" spans="1:29" ht="15" hidden="1" x14ac:dyDescent="0.25">
      <c r="A274" s="63" t="s">
        <v>465</v>
      </c>
      <c r="B274" s="63" t="s">
        <v>466</v>
      </c>
      <c r="C274" s="36">
        <v>4301031222</v>
      </c>
      <c r="D274" s="737">
        <v>4680115884007</v>
      </c>
      <c r="E274" s="737"/>
      <c r="F274" s="62">
        <v>0.3</v>
      </c>
      <c r="G274" s="663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8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39"/>
      <c r="R274" s="739"/>
      <c r="S274" s="739"/>
      <c r="T274" s="74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11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</row>
    <row r="275" spans="1:29" ht="15" hidden="1" x14ac:dyDescent="0.25">
      <c r="A275" s="63" t="s">
        <v>467</v>
      </c>
      <c r="B275" s="63" t="s">
        <v>468</v>
      </c>
      <c r="C275" s="36">
        <v>4301031229</v>
      </c>
      <c r="D275" s="737">
        <v>4680115884038</v>
      </c>
      <c r="E275" s="737"/>
      <c r="F275" s="62">
        <v>0.3</v>
      </c>
      <c r="G275" s="663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8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39"/>
      <c r="R275" s="739"/>
      <c r="S275" s="739"/>
      <c r="T275" s="74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11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</row>
    <row r="276" spans="1:29" ht="15" hidden="1" x14ac:dyDescent="0.25">
      <c r="A276" s="63" t="s">
        <v>469</v>
      </c>
      <c r="B276" s="63" t="s">
        <v>470</v>
      </c>
      <c r="C276" s="36">
        <v>4301031225</v>
      </c>
      <c r="D276" s="737">
        <v>4680115884021</v>
      </c>
      <c r="E276" s="737"/>
      <c r="F276" s="62">
        <v>0.3</v>
      </c>
      <c r="G276" s="663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39"/>
      <c r="R276" s="739"/>
      <c r="S276" s="739"/>
      <c r="T276" s="74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11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</row>
    <row r="277" spans="1:29" hidden="1" x14ac:dyDescent="0.2">
      <c r="A277" s="745"/>
      <c r="B277" s="745"/>
      <c r="C277" s="745"/>
      <c r="D277" s="745"/>
      <c r="E277" s="745"/>
      <c r="F277" s="745"/>
      <c r="G277" s="745"/>
      <c r="H277" s="745"/>
      <c r="I277" s="745"/>
      <c r="J277" s="745"/>
      <c r="K277" s="745"/>
      <c r="L277" s="745"/>
      <c r="M277" s="745"/>
      <c r="N277" s="745"/>
      <c r="O277" s="746"/>
      <c r="P277" s="742" t="s">
        <v>40</v>
      </c>
      <c r="Q277" s="743"/>
      <c r="R277" s="743"/>
      <c r="S277" s="743"/>
      <c r="T277" s="743"/>
      <c r="U277" s="743"/>
      <c r="V277" s="7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2.2222222222222219</v>
      </c>
      <c r="Y277" s="43">
        <f>IFERROR(Y269/H269,"0")+IFERROR(Y270/H270,"0")+IFERROR(Y271/H271,"0")+IFERROR(Y272/H272,"0")+IFERROR(Y273/H273,"0")+IFERROR(Y274/H274,"0")+IFERROR(Y275/H275,"0")+IFERROR(Y276/H276,"0")</f>
        <v>3.0000000000000004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2.7060000000000001E-2</v>
      </c>
      <c r="AA277" s="67"/>
      <c r="AB277" s="67"/>
      <c r="AC277" s="67"/>
    </row>
    <row r="278" spans="1:29" hidden="1" x14ac:dyDescent="0.2">
      <c r="A278" s="745"/>
      <c r="B278" s="745"/>
      <c r="C278" s="745"/>
      <c r="D278" s="745"/>
      <c r="E278" s="745"/>
      <c r="F278" s="745"/>
      <c r="G278" s="745"/>
      <c r="H278" s="745"/>
      <c r="I278" s="745"/>
      <c r="J278" s="745"/>
      <c r="K278" s="745"/>
      <c r="L278" s="745"/>
      <c r="M278" s="745"/>
      <c r="N278" s="745"/>
      <c r="O278" s="746"/>
      <c r="P278" s="742" t="s">
        <v>40</v>
      </c>
      <c r="Q278" s="743"/>
      <c r="R278" s="743"/>
      <c r="S278" s="743"/>
      <c r="T278" s="743"/>
      <c r="U278" s="743"/>
      <c r="V278" s="744"/>
      <c r="W278" s="42" t="s">
        <v>0</v>
      </c>
      <c r="X278" s="43">
        <f>IFERROR(SUM(X269:X276),"0")</f>
        <v>12</v>
      </c>
      <c r="Y278" s="43">
        <f>IFERROR(SUM(Y269:Y276),"0")</f>
        <v>16.200000000000003</v>
      </c>
      <c r="Z278" s="42"/>
      <c r="AA278" s="67"/>
      <c r="AB278" s="67"/>
      <c r="AC278" s="67"/>
    </row>
    <row r="279" spans="1:29" ht="15" hidden="1" x14ac:dyDescent="0.25">
      <c r="A279" s="736" t="s">
        <v>86</v>
      </c>
      <c r="B279" s="736"/>
      <c r="C279" s="736"/>
      <c r="D279" s="736"/>
      <c r="E279" s="736"/>
      <c r="F279" s="736"/>
      <c r="G279" s="736"/>
      <c r="H279" s="736"/>
      <c r="I279" s="736"/>
      <c r="J279" s="736"/>
      <c r="K279" s="736"/>
      <c r="L279" s="736"/>
      <c r="M279" s="736"/>
      <c r="N279" s="736"/>
      <c r="O279" s="736"/>
      <c r="P279" s="736"/>
      <c r="Q279" s="736"/>
      <c r="R279" s="736"/>
      <c r="S279" s="736"/>
      <c r="T279" s="736"/>
      <c r="U279" s="736"/>
      <c r="V279" s="736"/>
      <c r="W279" s="736"/>
      <c r="X279" s="736"/>
      <c r="Y279" s="736"/>
      <c r="Z279" s="736"/>
      <c r="AA279" s="652"/>
      <c r="AB279" s="652"/>
      <c r="AC279" s="652"/>
    </row>
    <row r="280" spans="1:29" ht="23.25" hidden="1" x14ac:dyDescent="0.25">
      <c r="A280" s="63" t="s">
        <v>471</v>
      </c>
      <c r="B280" s="63" t="s">
        <v>472</v>
      </c>
      <c r="C280" s="36">
        <v>4301051408</v>
      </c>
      <c r="D280" s="737">
        <v>4680115881594</v>
      </c>
      <c r="E280" s="737"/>
      <c r="F280" s="62">
        <v>1.35</v>
      </c>
      <c r="G280" s="663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39"/>
      <c r="R280" s="739"/>
      <c r="S280" s="739"/>
      <c r="T280" s="74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1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</row>
    <row r="281" spans="1:29" ht="23.25" hidden="1" x14ac:dyDescent="0.25">
      <c r="A281" s="63" t="s">
        <v>474</v>
      </c>
      <c r="B281" s="63" t="s">
        <v>475</v>
      </c>
      <c r="C281" s="36">
        <v>4301051411</v>
      </c>
      <c r="D281" s="737">
        <v>4680115881617</v>
      </c>
      <c r="E281" s="737"/>
      <c r="F281" s="62">
        <v>1.35</v>
      </c>
      <c r="G281" s="663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39"/>
      <c r="R281" s="739"/>
      <c r="S281" s="739"/>
      <c r="T281" s="74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1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</row>
    <row r="282" spans="1:29" ht="23.25" hidden="1" x14ac:dyDescent="0.25">
      <c r="A282" s="63" t="s">
        <v>477</v>
      </c>
      <c r="B282" s="63" t="s">
        <v>478</v>
      </c>
      <c r="C282" s="36">
        <v>4301051656</v>
      </c>
      <c r="D282" s="737">
        <v>4680115880573</v>
      </c>
      <c r="E282" s="737"/>
      <c r="F282" s="62">
        <v>1.45</v>
      </c>
      <c r="G282" s="663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39"/>
      <c r="R282" s="739"/>
      <c r="S282" s="739"/>
      <c r="T282" s="74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1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</row>
    <row r="283" spans="1:29" ht="23.25" hidden="1" x14ac:dyDescent="0.25">
      <c r="A283" s="63" t="s">
        <v>480</v>
      </c>
      <c r="B283" s="63" t="s">
        <v>481</v>
      </c>
      <c r="C283" s="36">
        <v>4301051407</v>
      </c>
      <c r="D283" s="737">
        <v>4680115882195</v>
      </c>
      <c r="E283" s="737"/>
      <c r="F283" s="62">
        <v>0.4</v>
      </c>
      <c r="G283" s="663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39"/>
      <c r="R283" s="739"/>
      <c r="S283" s="739"/>
      <c r="T283" s="74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1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</row>
    <row r="284" spans="1:29" ht="23.25" hidden="1" x14ac:dyDescent="0.25">
      <c r="A284" s="63" t="s">
        <v>482</v>
      </c>
      <c r="B284" s="63" t="s">
        <v>483</v>
      </c>
      <c r="C284" s="36">
        <v>4301051752</v>
      </c>
      <c r="D284" s="737">
        <v>4680115882607</v>
      </c>
      <c r="E284" s="737"/>
      <c r="F284" s="62">
        <v>0.3</v>
      </c>
      <c r="G284" s="663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9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39"/>
      <c r="R284" s="739"/>
      <c r="S284" s="739"/>
      <c r="T284" s="74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1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</row>
    <row r="285" spans="1:29" ht="15" hidden="1" x14ac:dyDescent="0.25">
      <c r="A285" s="63" t="s">
        <v>484</v>
      </c>
      <c r="B285" s="63" t="s">
        <v>485</v>
      </c>
      <c r="C285" s="36">
        <v>4301052143</v>
      </c>
      <c r="D285" s="737">
        <v>4680115882607</v>
      </c>
      <c r="E285" s="737"/>
      <c r="F285" s="62">
        <v>0.3</v>
      </c>
      <c r="G285" s="663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39"/>
      <c r="R285" s="739"/>
      <c r="S285" s="739"/>
      <c r="T285" s="74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1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</row>
    <row r="286" spans="1:29" ht="23.25" hidden="1" x14ac:dyDescent="0.25">
      <c r="A286" s="63" t="s">
        <v>487</v>
      </c>
      <c r="B286" s="63" t="s">
        <v>488</v>
      </c>
      <c r="C286" s="36">
        <v>4301051666</v>
      </c>
      <c r="D286" s="737">
        <v>4680115880092</v>
      </c>
      <c r="E286" s="737"/>
      <c r="F286" s="62">
        <v>0.4</v>
      </c>
      <c r="G286" s="663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39"/>
      <c r="R286" s="739"/>
      <c r="S286" s="739"/>
      <c r="T286" s="74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1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</row>
    <row r="287" spans="1:29" ht="15" hidden="1" x14ac:dyDescent="0.25">
      <c r="A287" s="63" t="s">
        <v>489</v>
      </c>
      <c r="B287" s="63" t="s">
        <v>490</v>
      </c>
      <c r="C287" s="36">
        <v>4301052214</v>
      </c>
      <c r="D287" s="737">
        <v>4680115889064</v>
      </c>
      <c r="E287" s="737"/>
      <c r="F287" s="62">
        <v>0.7</v>
      </c>
      <c r="G287" s="663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39"/>
      <c r="R287" s="739"/>
      <c r="S287" s="739"/>
      <c r="T287" s="74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1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</row>
    <row r="288" spans="1:29" ht="23.25" hidden="1" x14ac:dyDescent="0.25">
      <c r="A288" s="63" t="s">
        <v>491</v>
      </c>
      <c r="B288" s="63" t="s">
        <v>492</v>
      </c>
      <c r="C288" s="36">
        <v>4301051668</v>
      </c>
      <c r="D288" s="737">
        <v>4680115880221</v>
      </c>
      <c r="E288" s="737"/>
      <c r="F288" s="62">
        <v>0.4</v>
      </c>
      <c r="G288" s="663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39"/>
      <c r="R288" s="739"/>
      <c r="S288" s="739"/>
      <c r="T288" s="74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1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</row>
    <row r="289" spans="1:29" ht="23.25" hidden="1" x14ac:dyDescent="0.25">
      <c r="A289" s="63" t="s">
        <v>493</v>
      </c>
      <c r="B289" s="63" t="s">
        <v>494</v>
      </c>
      <c r="C289" s="36">
        <v>4301051945</v>
      </c>
      <c r="D289" s="737">
        <v>4680115880504</v>
      </c>
      <c r="E289" s="737"/>
      <c r="F289" s="62">
        <v>0.4</v>
      </c>
      <c r="G289" s="663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39"/>
      <c r="R289" s="739"/>
      <c r="S289" s="739"/>
      <c r="T289" s="74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1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</row>
    <row r="290" spans="1:29" ht="23.25" hidden="1" x14ac:dyDescent="0.25">
      <c r="A290" s="63" t="s">
        <v>496</v>
      </c>
      <c r="B290" s="63" t="s">
        <v>497</v>
      </c>
      <c r="C290" s="36">
        <v>4301051410</v>
      </c>
      <c r="D290" s="737">
        <v>4680115882164</v>
      </c>
      <c r="E290" s="737"/>
      <c r="F290" s="62">
        <v>0.4</v>
      </c>
      <c r="G290" s="663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39"/>
      <c r="R290" s="739"/>
      <c r="S290" s="739"/>
      <c r="T290" s="74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1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</row>
    <row r="291" spans="1:29" ht="23.25" hidden="1" x14ac:dyDescent="0.25">
      <c r="A291" s="63" t="s">
        <v>499</v>
      </c>
      <c r="B291" s="63" t="s">
        <v>500</v>
      </c>
      <c r="C291" s="36">
        <v>4301052180</v>
      </c>
      <c r="D291" s="737">
        <v>4680115888340</v>
      </c>
      <c r="E291" s="737"/>
      <c r="F291" s="62">
        <v>0.4</v>
      </c>
      <c r="G291" s="663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39"/>
      <c r="R291" s="739"/>
      <c r="S291" s="739"/>
      <c r="T291" s="74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1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</row>
    <row r="292" spans="1:29" hidden="1" x14ac:dyDescent="0.2">
      <c r="A292" s="745"/>
      <c r="B292" s="745"/>
      <c r="C292" s="745"/>
      <c r="D292" s="745"/>
      <c r="E292" s="745"/>
      <c r="F292" s="745"/>
      <c r="G292" s="745"/>
      <c r="H292" s="745"/>
      <c r="I292" s="745"/>
      <c r="J292" s="745"/>
      <c r="K292" s="745"/>
      <c r="L292" s="745"/>
      <c r="M292" s="745"/>
      <c r="N292" s="745"/>
      <c r="O292" s="746"/>
      <c r="P292" s="742" t="s">
        <v>40</v>
      </c>
      <c r="Q292" s="743"/>
      <c r="R292" s="743"/>
      <c r="S292" s="743"/>
      <c r="T292" s="743"/>
      <c r="U292" s="743"/>
      <c r="V292" s="7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29" hidden="1" x14ac:dyDescent="0.2">
      <c r="A293" s="745"/>
      <c r="B293" s="745"/>
      <c r="C293" s="745"/>
      <c r="D293" s="745"/>
      <c r="E293" s="745"/>
      <c r="F293" s="745"/>
      <c r="G293" s="745"/>
      <c r="H293" s="745"/>
      <c r="I293" s="745"/>
      <c r="J293" s="745"/>
      <c r="K293" s="745"/>
      <c r="L293" s="745"/>
      <c r="M293" s="745"/>
      <c r="N293" s="745"/>
      <c r="O293" s="746"/>
      <c r="P293" s="742" t="s">
        <v>40</v>
      </c>
      <c r="Q293" s="743"/>
      <c r="R293" s="743"/>
      <c r="S293" s="743"/>
      <c r="T293" s="743"/>
      <c r="U293" s="743"/>
      <c r="V293" s="7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29" ht="15" hidden="1" x14ac:dyDescent="0.25">
      <c r="A294" s="736" t="s">
        <v>175</v>
      </c>
      <c r="B294" s="736"/>
      <c r="C294" s="736"/>
      <c r="D294" s="736"/>
      <c r="E294" s="736"/>
      <c r="F294" s="736"/>
      <c r="G294" s="736"/>
      <c r="H294" s="736"/>
      <c r="I294" s="736"/>
      <c r="J294" s="736"/>
      <c r="K294" s="736"/>
      <c r="L294" s="736"/>
      <c r="M294" s="736"/>
      <c r="N294" s="736"/>
      <c r="O294" s="736"/>
      <c r="P294" s="736"/>
      <c r="Q294" s="736"/>
      <c r="R294" s="736"/>
      <c r="S294" s="736"/>
      <c r="T294" s="736"/>
      <c r="U294" s="736"/>
      <c r="V294" s="736"/>
      <c r="W294" s="736"/>
      <c r="X294" s="736"/>
      <c r="Y294" s="736"/>
      <c r="Z294" s="736"/>
      <c r="AA294" s="652"/>
      <c r="AB294" s="652"/>
      <c r="AC294" s="652"/>
    </row>
    <row r="295" spans="1:29" ht="15" hidden="1" x14ac:dyDescent="0.25">
      <c r="A295" s="63" t="s">
        <v>502</v>
      </c>
      <c r="B295" s="63" t="s">
        <v>503</v>
      </c>
      <c r="C295" s="36">
        <v>4301060463</v>
      </c>
      <c r="D295" s="737">
        <v>4680115880818</v>
      </c>
      <c r="E295" s="737"/>
      <c r="F295" s="62">
        <v>0.4</v>
      </c>
      <c r="G295" s="663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39"/>
      <c r="R295" s="739"/>
      <c r="S295" s="739"/>
      <c r="T295" s="74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</row>
    <row r="296" spans="1:29" ht="23.25" hidden="1" x14ac:dyDescent="0.25">
      <c r="A296" s="63" t="s">
        <v>505</v>
      </c>
      <c r="B296" s="63" t="s">
        <v>506</v>
      </c>
      <c r="C296" s="36">
        <v>4301060389</v>
      </c>
      <c r="D296" s="737">
        <v>4680115880801</v>
      </c>
      <c r="E296" s="737"/>
      <c r="F296" s="62">
        <v>0.4</v>
      </c>
      <c r="G296" s="663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9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39"/>
      <c r="R296" s="739"/>
      <c r="S296" s="739"/>
      <c r="T296" s="74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</row>
    <row r="297" spans="1:29" hidden="1" x14ac:dyDescent="0.2">
      <c r="A297" s="745"/>
      <c r="B297" s="745"/>
      <c r="C297" s="745"/>
      <c r="D297" s="745"/>
      <c r="E297" s="745"/>
      <c r="F297" s="745"/>
      <c r="G297" s="745"/>
      <c r="H297" s="745"/>
      <c r="I297" s="745"/>
      <c r="J297" s="745"/>
      <c r="K297" s="745"/>
      <c r="L297" s="745"/>
      <c r="M297" s="745"/>
      <c r="N297" s="745"/>
      <c r="O297" s="746"/>
      <c r="P297" s="742" t="s">
        <v>40</v>
      </c>
      <c r="Q297" s="743"/>
      <c r="R297" s="743"/>
      <c r="S297" s="743"/>
      <c r="T297" s="743"/>
      <c r="U297" s="743"/>
      <c r="V297" s="7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29" hidden="1" x14ac:dyDescent="0.2">
      <c r="A298" s="745"/>
      <c r="B298" s="745"/>
      <c r="C298" s="745"/>
      <c r="D298" s="745"/>
      <c r="E298" s="745"/>
      <c r="F298" s="745"/>
      <c r="G298" s="745"/>
      <c r="H298" s="745"/>
      <c r="I298" s="745"/>
      <c r="J298" s="745"/>
      <c r="K298" s="745"/>
      <c r="L298" s="745"/>
      <c r="M298" s="745"/>
      <c r="N298" s="745"/>
      <c r="O298" s="746"/>
      <c r="P298" s="742" t="s">
        <v>40</v>
      </c>
      <c r="Q298" s="743"/>
      <c r="R298" s="743"/>
      <c r="S298" s="743"/>
      <c r="T298" s="743"/>
      <c r="U298" s="743"/>
      <c r="V298" s="7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29" ht="15" hidden="1" x14ac:dyDescent="0.25">
      <c r="A299" s="735" t="s">
        <v>508</v>
      </c>
      <c r="B299" s="735"/>
      <c r="C299" s="735"/>
      <c r="D299" s="735"/>
      <c r="E299" s="735"/>
      <c r="F299" s="735"/>
      <c r="G299" s="735"/>
      <c r="H299" s="735"/>
      <c r="I299" s="735"/>
      <c r="J299" s="735"/>
      <c r="K299" s="735"/>
      <c r="L299" s="735"/>
      <c r="M299" s="735"/>
      <c r="N299" s="735"/>
      <c r="O299" s="735"/>
      <c r="P299" s="735"/>
      <c r="Q299" s="735"/>
      <c r="R299" s="735"/>
      <c r="S299" s="735"/>
      <c r="T299" s="735"/>
      <c r="U299" s="735"/>
      <c r="V299" s="735"/>
      <c r="W299" s="735"/>
      <c r="X299" s="735"/>
      <c r="Y299" s="735"/>
      <c r="Z299" s="735"/>
      <c r="AA299" s="653"/>
      <c r="AB299" s="653"/>
      <c r="AC299" s="653"/>
    </row>
    <row r="300" spans="1:29" ht="15" hidden="1" x14ac:dyDescent="0.25">
      <c r="A300" s="736" t="s">
        <v>122</v>
      </c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6"/>
      <c r="P300" s="736"/>
      <c r="Q300" s="736"/>
      <c r="R300" s="736"/>
      <c r="S300" s="736"/>
      <c r="T300" s="736"/>
      <c r="U300" s="736"/>
      <c r="V300" s="736"/>
      <c r="W300" s="736"/>
      <c r="X300" s="736"/>
      <c r="Y300" s="736"/>
      <c r="Z300" s="736"/>
      <c r="AA300" s="652"/>
      <c r="AB300" s="652"/>
      <c r="AC300" s="652"/>
    </row>
    <row r="301" spans="1:29" ht="15" hidden="1" x14ac:dyDescent="0.25">
      <c r="A301" s="63" t="s">
        <v>509</v>
      </c>
      <c r="B301" s="63" t="s">
        <v>510</v>
      </c>
      <c r="C301" s="36">
        <v>4301011826</v>
      </c>
      <c r="D301" s="737">
        <v>4680115884137</v>
      </c>
      <c r="E301" s="737"/>
      <c r="F301" s="62">
        <v>1.45</v>
      </c>
      <c r="G301" s="663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9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39"/>
      <c r="R301" s="739"/>
      <c r="S301" s="739"/>
      <c r="T301" s="74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1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</row>
    <row r="302" spans="1:29" ht="15" hidden="1" x14ac:dyDescent="0.25">
      <c r="A302" s="63" t="s">
        <v>512</v>
      </c>
      <c r="B302" s="63" t="s">
        <v>513</v>
      </c>
      <c r="C302" s="36">
        <v>4301011724</v>
      </c>
      <c r="D302" s="737">
        <v>4680115884236</v>
      </c>
      <c r="E302" s="737"/>
      <c r="F302" s="62">
        <v>1.45</v>
      </c>
      <c r="G302" s="663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9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39"/>
      <c r="R302" s="739"/>
      <c r="S302" s="739"/>
      <c r="T302" s="74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1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</row>
    <row r="303" spans="1:29" ht="15" hidden="1" x14ac:dyDescent="0.25">
      <c r="A303" s="63" t="s">
        <v>515</v>
      </c>
      <c r="B303" s="63" t="s">
        <v>516</v>
      </c>
      <c r="C303" s="36">
        <v>4301011721</v>
      </c>
      <c r="D303" s="737">
        <v>4680115884175</v>
      </c>
      <c r="E303" s="737"/>
      <c r="F303" s="62">
        <v>1.45</v>
      </c>
      <c r="G303" s="663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90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39"/>
      <c r="R303" s="739"/>
      <c r="S303" s="739"/>
      <c r="T303" s="74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1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</row>
    <row r="304" spans="1:29" ht="15" hidden="1" x14ac:dyDescent="0.25">
      <c r="A304" s="63" t="s">
        <v>517</v>
      </c>
      <c r="B304" s="63" t="s">
        <v>518</v>
      </c>
      <c r="C304" s="36">
        <v>4301011824</v>
      </c>
      <c r="D304" s="737">
        <v>4680115884144</v>
      </c>
      <c r="E304" s="737"/>
      <c r="F304" s="62">
        <v>0.4</v>
      </c>
      <c r="G304" s="663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90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39"/>
      <c r="R304" s="739"/>
      <c r="S304" s="739"/>
      <c r="T304" s="74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1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</row>
    <row r="305" spans="1:29" ht="15" hidden="1" x14ac:dyDescent="0.25">
      <c r="A305" s="63" t="s">
        <v>519</v>
      </c>
      <c r="B305" s="63" t="s">
        <v>520</v>
      </c>
      <c r="C305" s="36">
        <v>4301012149</v>
      </c>
      <c r="D305" s="737">
        <v>4680115886551</v>
      </c>
      <c r="E305" s="737"/>
      <c r="F305" s="62">
        <v>0.4</v>
      </c>
      <c r="G305" s="663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9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39"/>
      <c r="R305" s="739"/>
      <c r="S305" s="739"/>
      <c r="T305" s="74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1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</row>
    <row r="306" spans="1:29" ht="15" hidden="1" x14ac:dyDescent="0.25">
      <c r="A306" s="63" t="s">
        <v>522</v>
      </c>
      <c r="B306" s="63" t="s">
        <v>523</v>
      </c>
      <c r="C306" s="36">
        <v>4301012228</v>
      </c>
      <c r="D306" s="737">
        <v>4680115887282</v>
      </c>
      <c r="E306" s="737"/>
      <c r="F306" s="62">
        <v>0.4</v>
      </c>
      <c r="G306" s="663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90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39"/>
      <c r="R306" s="739"/>
      <c r="S306" s="739"/>
      <c r="T306" s="74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1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</row>
    <row r="307" spans="1:29" ht="15" hidden="1" x14ac:dyDescent="0.25">
      <c r="A307" s="63" t="s">
        <v>525</v>
      </c>
      <c r="B307" s="63" t="s">
        <v>526</v>
      </c>
      <c r="C307" s="36">
        <v>4301011722</v>
      </c>
      <c r="D307" s="737">
        <v>4680115884205</v>
      </c>
      <c r="E307" s="737"/>
      <c r="F307" s="62">
        <v>0.4</v>
      </c>
      <c r="G307" s="663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39"/>
      <c r="R307" s="739"/>
      <c r="S307" s="739"/>
      <c r="T307" s="74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1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</row>
    <row r="308" spans="1:29" hidden="1" x14ac:dyDescent="0.2">
      <c r="A308" s="745"/>
      <c r="B308" s="745"/>
      <c r="C308" s="745"/>
      <c r="D308" s="745"/>
      <c r="E308" s="745"/>
      <c r="F308" s="745"/>
      <c r="G308" s="745"/>
      <c r="H308" s="745"/>
      <c r="I308" s="745"/>
      <c r="J308" s="745"/>
      <c r="K308" s="745"/>
      <c r="L308" s="745"/>
      <c r="M308" s="745"/>
      <c r="N308" s="745"/>
      <c r="O308" s="746"/>
      <c r="P308" s="742" t="s">
        <v>40</v>
      </c>
      <c r="Q308" s="743"/>
      <c r="R308" s="743"/>
      <c r="S308" s="743"/>
      <c r="T308" s="743"/>
      <c r="U308" s="743"/>
      <c r="V308" s="7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29" hidden="1" x14ac:dyDescent="0.2">
      <c r="A309" s="745"/>
      <c r="B309" s="745"/>
      <c r="C309" s="745"/>
      <c r="D309" s="745"/>
      <c r="E309" s="745"/>
      <c r="F309" s="745"/>
      <c r="G309" s="745"/>
      <c r="H309" s="745"/>
      <c r="I309" s="745"/>
      <c r="J309" s="745"/>
      <c r="K309" s="745"/>
      <c r="L309" s="745"/>
      <c r="M309" s="745"/>
      <c r="N309" s="745"/>
      <c r="O309" s="746"/>
      <c r="P309" s="742" t="s">
        <v>40</v>
      </c>
      <c r="Q309" s="743"/>
      <c r="R309" s="743"/>
      <c r="S309" s="743"/>
      <c r="T309" s="743"/>
      <c r="U309" s="743"/>
      <c r="V309" s="7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29" ht="15" hidden="1" x14ac:dyDescent="0.25">
      <c r="A310" s="736" t="s">
        <v>157</v>
      </c>
      <c r="B310" s="736"/>
      <c r="C310" s="736"/>
      <c r="D310" s="736"/>
      <c r="E310" s="736"/>
      <c r="F310" s="736"/>
      <c r="G310" s="736"/>
      <c r="H310" s="736"/>
      <c r="I310" s="736"/>
      <c r="J310" s="736"/>
      <c r="K310" s="736"/>
      <c r="L310" s="736"/>
      <c r="M310" s="736"/>
      <c r="N310" s="736"/>
      <c r="O310" s="736"/>
      <c r="P310" s="736"/>
      <c r="Q310" s="736"/>
      <c r="R310" s="736"/>
      <c r="S310" s="736"/>
      <c r="T310" s="736"/>
      <c r="U310" s="736"/>
      <c r="V310" s="736"/>
      <c r="W310" s="736"/>
      <c r="X310" s="736"/>
      <c r="Y310" s="736"/>
      <c r="Z310" s="736"/>
      <c r="AA310" s="652"/>
      <c r="AB310" s="652"/>
      <c r="AC310" s="652"/>
    </row>
    <row r="311" spans="1:29" ht="15" hidden="1" x14ac:dyDescent="0.25">
      <c r="A311" s="63" t="s">
        <v>527</v>
      </c>
      <c r="B311" s="63" t="s">
        <v>528</v>
      </c>
      <c r="C311" s="36">
        <v>4301020377</v>
      </c>
      <c r="D311" s="737">
        <v>4680115885981</v>
      </c>
      <c r="E311" s="737"/>
      <c r="F311" s="62">
        <v>0.33</v>
      </c>
      <c r="G311" s="663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9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39"/>
      <c r="R311" s="739"/>
      <c r="S311" s="739"/>
      <c r="T311" s="74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</row>
    <row r="312" spans="1:29" hidden="1" x14ac:dyDescent="0.2">
      <c r="A312" s="745"/>
      <c r="B312" s="745"/>
      <c r="C312" s="745"/>
      <c r="D312" s="745"/>
      <c r="E312" s="745"/>
      <c r="F312" s="745"/>
      <c r="G312" s="745"/>
      <c r="H312" s="745"/>
      <c r="I312" s="745"/>
      <c r="J312" s="745"/>
      <c r="K312" s="745"/>
      <c r="L312" s="745"/>
      <c r="M312" s="745"/>
      <c r="N312" s="745"/>
      <c r="O312" s="746"/>
      <c r="P312" s="742" t="s">
        <v>40</v>
      </c>
      <c r="Q312" s="743"/>
      <c r="R312" s="743"/>
      <c r="S312" s="743"/>
      <c r="T312" s="743"/>
      <c r="U312" s="743"/>
      <c r="V312" s="7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29" hidden="1" x14ac:dyDescent="0.2">
      <c r="A313" s="745"/>
      <c r="B313" s="745"/>
      <c r="C313" s="745"/>
      <c r="D313" s="745"/>
      <c r="E313" s="745"/>
      <c r="F313" s="745"/>
      <c r="G313" s="745"/>
      <c r="H313" s="745"/>
      <c r="I313" s="745"/>
      <c r="J313" s="745"/>
      <c r="K313" s="745"/>
      <c r="L313" s="745"/>
      <c r="M313" s="745"/>
      <c r="N313" s="745"/>
      <c r="O313" s="746"/>
      <c r="P313" s="742" t="s">
        <v>40</v>
      </c>
      <c r="Q313" s="743"/>
      <c r="R313" s="743"/>
      <c r="S313" s="743"/>
      <c r="T313" s="743"/>
      <c r="U313" s="743"/>
      <c r="V313" s="7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29" ht="15" hidden="1" x14ac:dyDescent="0.25">
      <c r="A314" s="736" t="s">
        <v>530</v>
      </c>
      <c r="B314" s="736"/>
      <c r="C314" s="736"/>
      <c r="D314" s="736"/>
      <c r="E314" s="736"/>
      <c r="F314" s="736"/>
      <c r="G314" s="736"/>
      <c r="H314" s="736"/>
      <c r="I314" s="736"/>
      <c r="J314" s="736"/>
      <c r="K314" s="736"/>
      <c r="L314" s="736"/>
      <c r="M314" s="736"/>
      <c r="N314" s="736"/>
      <c r="O314" s="736"/>
      <c r="P314" s="736"/>
      <c r="Q314" s="736"/>
      <c r="R314" s="736"/>
      <c r="S314" s="736"/>
      <c r="T314" s="736"/>
      <c r="U314" s="736"/>
      <c r="V314" s="736"/>
      <c r="W314" s="736"/>
      <c r="X314" s="736"/>
      <c r="Y314" s="736"/>
      <c r="Z314" s="736"/>
      <c r="AA314" s="652"/>
      <c r="AB314" s="652"/>
      <c r="AC314" s="652"/>
    </row>
    <row r="315" spans="1:29" ht="15" hidden="1" x14ac:dyDescent="0.25">
      <c r="A315" s="63" t="s">
        <v>531</v>
      </c>
      <c r="B315" s="63" t="s">
        <v>532</v>
      </c>
      <c r="C315" s="36">
        <v>4301040362</v>
      </c>
      <c r="D315" s="737">
        <v>4680115886803</v>
      </c>
      <c r="E315" s="737"/>
      <c r="F315" s="62">
        <v>0.12</v>
      </c>
      <c r="G315" s="663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9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39"/>
      <c r="R315" s="739"/>
      <c r="S315" s="739"/>
      <c r="T315" s="74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</row>
    <row r="316" spans="1:29" hidden="1" x14ac:dyDescent="0.2">
      <c r="A316" s="745"/>
      <c r="B316" s="745"/>
      <c r="C316" s="745"/>
      <c r="D316" s="745"/>
      <c r="E316" s="745"/>
      <c r="F316" s="745"/>
      <c r="G316" s="745"/>
      <c r="H316" s="745"/>
      <c r="I316" s="745"/>
      <c r="J316" s="745"/>
      <c r="K316" s="745"/>
      <c r="L316" s="745"/>
      <c r="M316" s="745"/>
      <c r="N316" s="745"/>
      <c r="O316" s="746"/>
      <c r="P316" s="742" t="s">
        <v>40</v>
      </c>
      <c r="Q316" s="743"/>
      <c r="R316" s="743"/>
      <c r="S316" s="743"/>
      <c r="T316" s="743"/>
      <c r="U316" s="743"/>
      <c r="V316" s="7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29" hidden="1" x14ac:dyDescent="0.2">
      <c r="A317" s="745"/>
      <c r="B317" s="745"/>
      <c r="C317" s="745"/>
      <c r="D317" s="745"/>
      <c r="E317" s="745"/>
      <c r="F317" s="745"/>
      <c r="G317" s="745"/>
      <c r="H317" s="745"/>
      <c r="I317" s="745"/>
      <c r="J317" s="745"/>
      <c r="K317" s="745"/>
      <c r="L317" s="745"/>
      <c r="M317" s="745"/>
      <c r="N317" s="745"/>
      <c r="O317" s="746"/>
      <c r="P317" s="742" t="s">
        <v>40</v>
      </c>
      <c r="Q317" s="743"/>
      <c r="R317" s="743"/>
      <c r="S317" s="743"/>
      <c r="T317" s="743"/>
      <c r="U317" s="743"/>
      <c r="V317" s="7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29" ht="15" hidden="1" x14ac:dyDescent="0.25">
      <c r="A318" s="736" t="s">
        <v>340</v>
      </c>
      <c r="B318" s="736"/>
      <c r="C318" s="736"/>
      <c r="D318" s="736"/>
      <c r="E318" s="736"/>
      <c r="F318" s="736"/>
      <c r="G318" s="736"/>
      <c r="H318" s="736"/>
      <c r="I318" s="736"/>
      <c r="J318" s="736"/>
      <c r="K318" s="736"/>
      <c r="L318" s="736"/>
      <c r="M318" s="736"/>
      <c r="N318" s="736"/>
      <c r="O318" s="736"/>
      <c r="P318" s="736"/>
      <c r="Q318" s="736"/>
      <c r="R318" s="736"/>
      <c r="S318" s="736"/>
      <c r="T318" s="736"/>
      <c r="U318" s="736"/>
      <c r="V318" s="736"/>
      <c r="W318" s="736"/>
      <c r="X318" s="736"/>
      <c r="Y318" s="736"/>
      <c r="Z318" s="736"/>
      <c r="AA318" s="652"/>
      <c r="AB318" s="652"/>
      <c r="AC318" s="652"/>
    </row>
    <row r="319" spans="1:29" ht="15" hidden="1" x14ac:dyDescent="0.25">
      <c r="A319" s="63" t="s">
        <v>534</v>
      </c>
      <c r="B319" s="63" t="s">
        <v>535</v>
      </c>
      <c r="C319" s="36">
        <v>4301041004</v>
      </c>
      <c r="D319" s="737">
        <v>4680115886704</v>
      </c>
      <c r="E319" s="737"/>
      <c r="F319" s="62">
        <v>5.5E-2</v>
      </c>
      <c r="G319" s="663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9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39"/>
      <c r="R319" s="739"/>
      <c r="S319" s="739"/>
      <c r="T319" s="74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</row>
    <row r="320" spans="1:29" ht="15" hidden="1" x14ac:dyDescent="0.25">
      <c r="A320" s="63" t="s">
        <v>537</v>
      </c>
      <c r="B320" s="63" t="s">
        <v>538</v>
      </c>
      <c r="C320" s="36">
        <v>4301041008</v>
      </c>
      <c r="D320" s="737">
        <v>4680115886681</v>
      </c>
      <c r="E320" s="737"/>
      <c r="F320" s="62">
        <v>0.12</v>
      </c>
      <c r="G320" s="663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91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39"/>
      <c r="R320" s="739"/>
      <c r="S320" s="739"/>
      <c r="T320" s="74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</row>
    <row r="321" spans="1:29" ht="15" hidden="1" x14ac:dyDescent="0.25">
      <c r="A321" s="63" t="s">
        <v>539</v>
      </c>
      <c r="B321" s="63" t="s">
        <v>540</v>
      </c>
      <c r="C321" s="36">
        <v>4301041007</v>
      </c>
      <c r="D321" s="737">
        <v>4680115886735</v>
      </c>
      <c r="E321" s="737"/>
      <c r="F321" s="62">
        <v>0.05</v>
      </c>
      <c r="G321" s="663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9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39"/>
      <c r="R321" s="739"/>
      <c r="S321" s="739"/>
      <c r="T321" s="74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</row>
    <row r="322" spans="1:29" hidden="1" x14ac:dyDescent="0.2">
      <c r="A322" s="745"/>
      <c r="B322" s="745"/>
      <c r="C322" s="745"/>
      <c r="D322" s="745"/>
      <c r="E322" s="745"/>
      <c r="F322" s="745"/>
      <c r="G322" s="745"/>
      <c r="H322" s="745"/>
      <c r="I322" s="745"/>
      <c r="J322" s="745"/>
      <c r="K322" s="745"/>
      <c r="L322" s="745"/>
      <c r="M322" s="745"/>
      <c r="N322" s="745"/>
      <c r="O322" s="746"/>
      <c r="P322" s="742" t="s">
        <v>40</v>
      </c>
      <c r="Q322" s="743"/>
      <c r="R322" s="743"/>
      <c r="S322" s="743"/>
      <c r="T322" s="743"/>
      <c r="U322" s="743"/>
      <c r="V322" s="7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29" hidden="1" x14ac:dyDescent="0.2">
      <c r="A323" s="745"/>
      <c r="B323" s="745"/>
      <c r="C323" s="745"/>
      <c r="D323" s="745"/>
      <c r="E323" s="745"/>
      <c r="F323" s="745"/>
      <c r="G323" s="745"/>
      <c r="H323" s="745"/>
      <c r="I323" s="745"/>
      <c r="J323" s="745"/>
      <c r="K323" s="745"/>
      <c r="L323" s="745"/>
      <c r="M323" s="745"/>
      <c r="N323" s="745"/>
      <c r="O323" s="746"/>
      <c r="P323" s="742" t="s">
        <v>40</v>
      </c>
      <c r="Q323" s="743"/>
      <c r="R323" s="743"/>
      <c r="S323" s="743"/>
      <c r="T323" s="743"/>
      <c r="U323" s="743"/>
      <c r="V323" s="7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29" ht="15" hidden="1" x14ac:dyDescent="0.25">
      <c r="A324" s="735" t="s">
        <v>541</v>
      </c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5"/>
      <c r="P324" s="735"/>
      <c r="Q324" s="735"/>
      <c r="R324" s="735"/>
      <c r="S324" s="735"/>
      <c r="T324" s="735"/>
      <c r="U324" s="735"/>
      <c r="V324" s="735"/>
      <c r="W324" s="735"/>
      <c r="X324" s="735"/>
      <c r="Y324" s="735"/>
      <c r="Z324" s="735"/>
      <c r="AA324" s="653"/>
      <c r="AB324" s="653"/>
      <c r="AC324" s="653"/>
    </row>
    <row r="325" spans="1:29" ht="15" hidden="1" x14ac:dyDescent="0.25">
      <c r="A325" s="736" t="s">
        <v>122</v>
      </c>
      <c r="B325" s="736"/>
      <c r="C325" s="736"/>
      <c r="D325" s="736"/>
      <c r="E325" s="736"/>
      <c r="F325" s="736"/>
      <c r="G325" s="736"/>
      <c r="H325" s="736"/>
      <c r="I325" s="736"/>
      <c r="J325" s="736"/>
      <c r="K325" s="736"/>
      <c r="L325" s="736"/>
      <c r="M325" s="736"/>
      <c r="N325" s="736"/>
      <c r="O325" s="736"/>
      <c r="P325" s="736"/>
      <c r="Q325" s="736"/>
      <c r="R325" s="736"/>
      <c r="S325" s="736"/>
      <c r="T325" s="736"/>
      <c r="U325" s="736"/>
      <c r="V325" s="736"/>
      <c r="W325" s="736"/>
      <c r="X325" s="736"/>
      <c r="Y325" s="736"/>
      <c r="Z325" s="736"/>
      <c r="AA325" s="652"/>
      <c r="AB325" s="652"/>
      <c r="AC325" s="652"/>
    </row>
    <row r="326" spans="1:29" ht="23.25" hidden="1" x14ac:dyDescent="0.25">
      <c r="A326" s="63" t="s">
        <v>542</v>
      </c>
      <c r="B326" s="63" t="s">
        <v>543</v>
      </c>
      <c r="C326" s="36">
        <v>4301011855</v>
      </c>
      <c r="D326" s="737">
        <v>4680115885837</v>
      </c>
      <c r="E326" s="737"/>
      <c r="F326" s="62">
        <v>1.35</v>
      </c>
      <c r="G326" s="663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91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39"/>
      <c r="R326" s="739"/>
      <c r="S326" s="739"/>
      <c r="T326" s="74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</row>
    <row r="327" spans="1:29" ht="15" hidden="1" x14ac:dyDescent="0.25">
      <c r="A327" s="63" t="s">
        <v>545</v>
      </c>
      <c r="B327" s="63" t="s">
        <v>546</v>
      </c>
      <c r="C327" s="36">
        <v>4301012234</v>
      </c>
      <c r="D327" s="737">
        <v>4680115887237</v>
      </c>
      <c r="E327" s="737"/>
      <c r="F327" s="62">
        <v>1.35</v>
      </c>
      <c r="G327" s="663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1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39"/>
      <c r="R327" s="739"/>
      <c r="S327" s="739"/>
      <c r="T327" s="74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</row>
    <row r="328" spans="1:29" ht="23.25" hidden="1" x14ac:dyDescent="0.25">
      <c r="A328" s="63" t="s">
        <v>548</v>
      </c>
      <c r="B328" s="63" t="s">
        <v>549</v>
      </c>
      <c r="C328" s="36">
        <v>4301011850</v>
      </c>
      <c r="D328" s="737">
        <v>4680115885806</v>
      </c>
      <c r="E328" s="737"/>
      <c r="F328" s="62">
        <v>1.35</v>
      </c>
      <c r="G328" s="663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39"/>
      <c r="R328" s="739"/>
      <c r="S328" s="739"/>
      <c r="T328" s="74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</row>
    <row r="329" spans="1:29" ht="15" hidden="1" x14ac:dyDescent="0.25">
      <c r="A329" s="63" t="s">
        <v>551</v>
      </c>
      <c r="B329" s="63" t="s">
        <v>552</v>
      </c>
      <c r="C329" s="36">
        <v>4301011852</v>
      </c>
      <c r="D329" s="737">
        <v>4680115885844</v>
      </c>
      <c r="E329" s="737"/>
      <c r="F329" s="62">
        <v>0.4</v>
      </c>
      <c r="G329" s="663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39"/>
      <c r="R329" s="739"/>
      <c r="S329" s="739"/>
      <c r="T329" s="74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</row>
    <row r="330" spans="1:29" ht="15" hidden="1" x14ac:dyDescent="0.25">
      <c r="A330" s="63" t="s">
        <v>554</v>
      </c>
      <c r="B330" s="63" t="s">
        <v>555</v>
      </c>
      <c r="C330" s="36">
        <v>4301011851</v>
      </c>
      <c r="D330" s="737">
        <v>4680115885820</v>
      </c>
      <c r="E330" s="737"/>
      <c r="F330" s="62">
        <v>0.4</v>
      </c>
      <c r="G330" s="663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39"/>
      <c r="R330" s="739"/>
      <c r="S330" s="739"/>
      <c r="T330" s="74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</row>
    <row r="331" spans="1:29" hidden="1" x14ac:dyDescent="0.2">
      <c r="A331" s="745"/>
      <c r="B331" s="745"/>
      <c r="C331" s="745"/>
      <c r="D331" s="745"/>
      <c r="E331" s="745"/>
      <c r="F331" s="745"/>
      <c r="G331" s="745"/>
      <c r="H331" s="745"/>
      <c r="I331" s="745"/>
      <c r="J331" s="745"/>
      <c r="K331" s="745"/>
      <c r="L331" s="745"/>
      <c r="M331" s="745"/>
      <c r="N331" s="745"/>
      <c r="O331" s="746"/>
      <c r="P331" s="742" t="s">
        <v>40</v>
      </c>
      <c r="Q331" s="743"/>
      <c r="R331" s="743"/>
      <c r="S331" s="743"/>
      <c r="T331" s="743"/>
      <c r="U331" s="743"/>
      <c r="V331" s="7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29" hidden="1" x14ac:dyDescent="0.2">
      <c r="A332" s="745"/>
      <c r="B332" s="745"/>
      <c r="C332" s="745"/>
      <c r="D332" s="745"/>
      <c r="E332" s="745"/>
      <c r="F332" s="745"/>
      <c r="G332" s="745"/>
      <c r="H332" s="745"/>
      <c r="I332" s="745"/>
      <c r="J332" s="745"/>
      <c r="K332" s="745"/>
      <c r="L332" s="745"/>
      <c r="M332" s="745"/>
      <c r="N332" s="745"/>
      <c r="O332" s="746"/>
      <c r="P332" s="742" t="s">
        <v>40</v>
      </c>
      <c r="Q332" s="743"/>
      <c r="R332" s="743"/>
      <c r="S332" s="743"/>
      <c r="T332" s="743"/>
      <c r="U332" s="743"/>
      <c r="V332" s="7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29" ht="15" hidden="1" x14ac:dyDescent="0.25">
      <c r="A333" s="735" t="s">
        <v>557</v>
      </c>
      <c r="B333" s="735"/>
      <c r="C333" s="735"/>
      <c r="D333" s="735"/>
      <c r="E333" s="735"/>
      <c r="F333" s="735"/>
      <c r="G333" s="735"/>
      <c r="H333" s="735"/>
      <c r="I333" s="735"/>
      <c r="J333" s="735"/>
      <c r="K333" s="735"/>
      <c r="L333" s="735"/>
      <c r="M333" s="735"/>
      <c r="N333" s="735"/>
      <c r="O333" s="735"/>
      <c r="P333" s="735"/>
      <c r="Q333" s="735"/>
      <c r="R333" s="735"/>
      <c r="S333" s="735"/>
      <c r="T333" s="735"/>
      <c r="U333" s="735"/>
      <c r="V333" s="735"/>
      <c r="W333" s="735"/>
      <c r="X333" s="735"/>
      <c r="Y333" s="735"/>
      <c r="Z333" s="735"/>
      <c r="AA333" s="653"/>
      <c r="AB333" s="653"/>
      <c r="AC333" s="653"/>
    </row>
    <row r="334" spans="1:29" ht="15" hidden="1" x14ac:dyDescent="0.25">
      <c r="A334" s="736" t="s">
        <v>86</v>
      </c>
      <c r="B334" s="736"/>
      <c r="C334" s="736"/>
      <c r="D334" s="736"/>
      <c r="E334" s="736"/>
      <c r="F334" s="736"/>
      <c r="G334" s="736"/>
      <c r="H334" s="736"/>
      <c r="I334" s="736"/>
      <c r="J334" s="736"/>
      <c r="K334" s="736"/>
      <c r="L334" s="736"/>
      <c r="M334" s="736"/>
      <c r="N334" s="736"/>
      <c r="O334" s="736"/>
      <c r="P334" s="736"/>
      <c r="Q334" s="736"/>
      <c r="R334" s="736"/>
      <c r="S334" s="736"/>
      <c r="T334" s="736"/>
      <c r="U334" s="736"/>
      <c r="V334" s="736"/>
      <c r="W334" s="736"/>
      <c r="X334" s="736"/>
      <c r="Y334" s="736"/>
      <c r="Z334" s="736"/>
      <c r="AA334" s="652"/>
      <c r="AB334" s="652"/>
      <c r="AC334" s="652"/>
    </row>
    <row r="335" spans="1:29" ht="23.25" hidden="1" x14ac:dyDescent="0.25">
      <c r="A335" s="63" t="s">
        <v>558</v>
      </c>
      <c r="B335" s="63" t="s">
        <v>559</v>
      </c>
      <c r="C335" s="36">
        <v>4301051893</v>
      </c>
      <c r="D335" s="737">
        <v>4680115886186</v>
      </c>
      <c r="E335" s="737"/>
      <c r="F335" s="62">
        <v>0.3</v>
      </c>
      <c r="G335" s="663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39"/>
      <c r="R335" s="739"/>
      <c r="S335" s="739"/>
      <c r="T335" s="74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</row>
    <row r="336" spans="1:29" ht="15" hidden="1" x14ac:dyDescent="0.25">
      <c r="A336" s="63" t="s">
        <v>561</v>
      </c>
      <c r="B336" s="63" t="s">
        <v>562</v>
      </c>
      <c r="C336" s="36">
        <v>4301051795</v>
      </c>
      <c r="D336" s="737">
        <v>4680115881228</v>
      </c>
      <c r="E336" s="737"/>
      <c r="F336" s="62">
        <v>0.4</v>
      </c>
      <c r="G336" s="663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39"/>
      <c r="R336" s="739"/>
      <c r="S336" s="739"/>
      <c r="T336" s="74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</row>
    <row r="337" spans="1:29" ht="23.25" hidden="1" x14ac:dyDescent="0.25">
      <c r="A337" s="63" t="s">
        <v>564</v>
      </c>
      <c r="B337" s="63" t="s">
        <v>565</v>
      </c>
      <c r="C337" s="36">
        <v>4301051388</v>
      </c>
      <c r="D337" s="737">
        <v>4680115881211</v>
      </c>
      <c r="E337" s="737"/>
      <c r="F337" s="62">
        <v>0.4</v>
      </c>
      <c r="G337" s="663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39"/>
      <c r="R337" s="739"/>
      <c r="S337" s="739"/>
      <c r="T337" s="74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</row>
    <row r="338" spans="1:29" hidden="1" x14ac:dyDescent="0.2">
      <c r="A338" s="745"/>
      <c r="B338" s="745"/>
      <c r="C338" s="745"/>
      <c r="D338" s="745"/>
      <c r="E338" s="745"/>
      <c r="F338" s="745"/>
      <c r="G338" s="745"/>
      <c r="H338" s="745"/>
      <c r="I338" s="745"/>
      <c r="J338" s="745"/>
      <c r="K338" s="745"/>
      <c r="L338" s="745"/>
      <c r="M338" s="745"/>
      <c r="N338" s="745"/>
      <c r="O338" s="746"/>
      <c r="P338" s="742" t="s">
        <v>40</v>
      </c>
      <c r="Q338" s="743"/>
      <c r="R338" s="743"/>
      <c r="S338" s="743"/>
      <c r="T338" s="743"/>
      <c r="U338" s="743"/>
      <c r="V338" s="7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29" hidden="1" x14ac:dyDescent="0.2">
      <c r="A339" s="745"/>
      <c r="B339" s="745"/>
      <c r="C339" s="745"/>
      <c r="D339" s="745"/>
      <c r="E339" s="745"/>
      <c r="F339" s="745"/>
      <c r="G339" s="745"/>
      <c r="H339" s="745"/>
      <c r="I339" s="745"/>
      <c r="J339" s="745"/>
      <c r="K339" s="745"/>
      <c r="L339" s="745"/>
      <c r="M339" s="745"/>
      <c r="N339" s="745"/>
      <c r="O339" s="746"/>
      <c r="P339" s="742" t="s">
        <v>40</v>
      </c>
      <c r="Q339" s="743"/>
      <c r="R339" s="743"/>
      <c r="S339" s="743"/>
      <c r="T339" s="743"/>
      <c r="U339" s="743"/>
      <c r="V339" s="7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29" ht="15" hidden="1" x14ac:dyDescent="0.25">
      <c r="A340" s="735" t="s">
        <v>566</v>
      </c>
      <c r="B340" s="735"/>
      <c r="C340" s="735"/>
      <c r="D340" s="735"/>
      <c r="E340" s="735"/>
      <c r="F340" s="735"/>
      <c r="G340" s="735"/>
      <c r="H340" s="735"/>
      <c r="I340" s="735"/>
      <c r="J340" s="735"/>
      <c r="K340" s="735"/>
      <c r="L340" s="735"/>
      <c r="M340" s="735"/>
      <c r="N340" s="735"/>
      <c r="O340" s="735"/>
      <c r="P340" s="735"/>
      <c r="Q340" s="735"/>
      <c r="R340" s="735"/>
      <c r="S340" s="735"/>
      <c r="T340" s="735"/>
      <c r="U340" s="735"/>
      <c r="V340" s="735"/>
      <c r="W340" s="735"/>
      <c r="X340" s="735"/>
      <c r="Y340" s="735"/>
      <c r="Z340" s="735"/>
      <c r="AA340" s="653"/>
      <c r="AB340" s="653"/>
      <c r="AC340" s="653"/>
    </row>
    <row r="341" spans="1:29" ht="15" hidden="1" x14ac:dyDescent="0.25">
      <c r="A341" s="736" t="s">
        <v>77</v>
      </c>
      <c r="B341" s="736"/>
      <c r="C341" s="736"/>
      <c r="D341" s="736"/>
      <c r="E341" s="736"/>
      <c r="F341" s="736"/>
      <c r="G341" s="736"/>
      <c r="H341" s="736"/>
      <c r="I341" s="736"/>
      <c r="J341" s="736"/>
      <c r="K341" s="736"/>
      <c r="L341" s="736"/>
      <c r="M341" s="736"/>
      <c r="N341" s="736"/>
      <c r="O341" s="736"/>
      <c r="P341" s="736"/>
      <c r="Q341" s="736"/>
      <c r="R341" s="736"/>
      <c r="S341" s="736"/>
      <c r="T341" s="736"/>
      <c r="U341" s="736"/>
      <c r="V341" s="736"/>
      <c r="W341" s="736"/>
      <c r="X341" s="736"/>
      <c r="Y341" s="736"/>
      <c r="Z341" s="736"/>
      <c r="AA341" s="652"/>
      <c r="AB341" s="652"/>
      <c r="AC341" s="652"/>
    </row>
    <row r="342" spans="1:29" ht="15" hidden="1" x14ac:dyDescent="0.25">
      <c r="A342" s="63" t="s">
        <v>567</v>
      </c>
      <c r="B342" s="63" t="s">
        <v>568</v>
      </c>
      <c r="C342" s="36">
        <v>4301031445</v>
      </c>
      <c r="D342" s="737">
        <v>4680115888319</v>
      </c>
      <c r="E342" s="737"/>
      <c r="F342" s="62">
        <v>0.35</v>
      </c>
      <c r="G342" s="663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2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39"/>
      <c r="R342" s="739"/>
      <c r="S342" s="739"/>
      <c r="T342" s="74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</row>
    <row r="343" spans="1:29" ht="15" hidden="1" x14ac:dyDescent="0.25">
      <c r="A343" s="63" t="s">
        <v>569</v>
      </c>
      <c r="B343" s="63" t="s">
        <v>570</v>
      </c>
      <c r="C343" s="36">
        <v>4301031502</v>
      </c>
      <c r="D343" s="737">
        <v>4680115884700</v>
      </c>
      <c r="E343" s="737"/>
      <c r="F343" s="62">
        <v>0.57999999999999996</v>
      </c>
      <c r="G343" s="663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2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39"/>
      <c r="R343" s="739"/>
      <c r="S343" s="739"/>
      <c r="T343" s="74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</row>
    <row r="344" spans="1:29" ht="15" hidden="1" x14ac:dyDescent="0.25">
      <c r="A344" s="63" t="s">
        <v>572</v>
      </c>
      <c r="B344" s="63" t="s">
        <v>573</v>
      </c>
      <c r="C344" s="36">
        <v>4301031307</v>
      </c>
      <c r="D344" s="737">
        <v>4680115880344</v>
      </c>
      <c r="E344" s="737"/>
      <c r="F344" s="62">
        <v>0.28000000000000003</v>
      </c>
      <c r="G344" s="663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2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39"/>
      <c r="R344" s="739"/>
      <c r="S344" s="739"/>
      <c r="T344" s="74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</row>
    <row r="345" spans="1:29" ht="15" hidden="1" x14ac:dyDescent="0.25">
      <c r="A345" s="63" t="s">
        <v>575</v>
      </c>
      <c r="B345" s="63" t="s">
        <v>576</v>
      </c>
      <c r="C345" s="36">
        <v>4301031501</v>
      </c>
      <c r="D345" s="737">
        <v>4680115886919</v>
      </c>
      <c r="E345" s="737"/>
      <c r="F345" s="62">
        <v>0.4</v>
      </c>
      <c r="G345" s="663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39"/>
      <c r="R345" s="739"/>
      <c r="S345" s="739"/>
      <c r="T345" s="74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</row>
    <row r="346" spans="1:29" ht="15" hidden="1" x14ac:dyDescent="0.25">
      <c r="A346" s="63" t="s">
        <v>578</v>
      </c>
      <c r="B346" s="63" t="s">
        <v>579</v>
      </c>
      <c r="C346" s="36">
        <v>4301031246</v>
      </c>
      <c r="D346" s="737">
        <v>4680115883970</v>
      </c>
      <c r="E346" s="737"/>
      <c r="F346" s="62">
        <v>0.28000000000000003</v>
      </c>
      <c r="G346" s="663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39"/>
      <c r="R346" s="739"/>
      <c r="S346" s="739"/>
      <c r="T346" s="74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</row>
    <row r="347" spans="1:29" hidden="1" x14ac:dyDescent="0.2">
      <c r="A347" s="745"/>
      <c r="B347" s="745"/>
      <c r="C347" s="745"/>
      <c r="D347" s="745"/>
      <c r="E347" s="745"/>
      <c r="F347" s="745"/>
      <c r="G347" s="745"/>
      <c r="H347" s="745"/>
      <c r="I347" s="745"/>
      <c r="J347" s="745"/>
      <c r="K347" s="745"/>
      <c r="L347" s="745"/>
      <c r="M347" s="745"/>
      <c r="N347" s="745"/>
      <c r="O347" s="746"/>
      <c r="P347" s="742" t="s">
        <v>40</v>
      </c>
      <c r="Q347" s="743"/>
      <c r="R347" s="743"/>
      <c r="S347" s="743"/>
      <c r="T347" s="743"/>
      <c r="U347" s="743"/>
      <c r="V347" s="7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29" hidden="1" x14ac:dyDescent="0.2">
      <c r="A348" s="745"/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6"/>
      <c r="P348" s="742" t="s">
        <v>40</v>
      </c>
      <c r="Q348" s="743"/>
      <c r="R348" s="743"/>
      <c r="S348" s="743"/>
      <c r="T348" s="743"/>
      <c r="U348" s="743"/>
      <c r="V348" s="7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29" ht="15" hidden="1" x14ac:dyDescent="0.25">
      <c r="A349" s="736" t="s">
        <v>86</v>
      </c>
      <c r="B349" s="736"/>
      <c r="C349" s="736"/>
      <c r="D349" s="736"/>
      <c r="E349" s="736"/>
      <c r="F349" s="736"/>
      <c r="G349" s="736"/>
      <c r="H349" s="736"/>
      <c r="I349" s="736"/>
      <c r="J349" s="736"/>
      <c r="K349" s="736"/>
      <c r="L349" s="736"/>
      <c r="M349" s="736"/>
      <c r="N349" s="736"/>
      <c r="O349" s="736"/>
      <c r="P349" s="736"/>
      <c r="Q349" s="736"/>
      <c r="R349" s="736"/>
      <c r="S349" s="736"/>
      <c r="T349" s="736"/>
      <c r="U349" s="736"/>
      <c r="V349" s="736"/>
      <c r="W349" s="736"/>
      <c r="X349" s="736"/>
      <c r="Y349" s="736"/>
      <c r="Z349" s="736"/>
      <c r="AA349" s="652"/>
      <c r="AB349" s="652"/>
      <c r="AC349" s="652"/>
    </row>
    <row r="350" spans="1:29" ht="23.25" hidden="1" x14ac:dyDescent="0.25">
      <c r="A350" s="63" t="s">
        <v>581</v>
      </c>
      <c r="B350" s="63" t="s">
        <v>582</v>
      </c>
      <c r="C350" s="36">
        <v>4301051782</v>
      </c>
      <c r="D350" s="737">
        <v>4680115884618</v>
      </c>
      <c r="E350" s="737"/>
      <c r="F350" s="62">
        <v>0.6</v>
      </c>
      <c r="G350" s="663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2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39"/>
      <c r="R350" s="739"/>
      <c r="S350" s="739"/>
      <c r="T350" s="74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</row>
    <row r="351" spans="1:29" ht="15" hidden="1" x14ac:dyDescent="0.25">
      <c r="A351" s="63" t="s">
        <v>584</v>
      </c>
      <c r="B351" s="63" t="s">
        <v>585</v>
      </c>
      <c r="C351" s="36">
        <v>4301052057</v>
      </c>
      <c r="D351" s="737">
        <v>4680115887114</v>
      </c>
      <c r="E351" s="737"/>
      <c r="F351" s="62">
        <v>0.55000000000000004</v>
      </c>
      <c r="G351" s="663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2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39"/>
      <c r="R351" s="739"/>
      <c r="S351" s="739"/>
      <c r="T351" s="74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</row>
    <row r="352" spans="1:29" hidden="1" x14ac:dyDescent="0.2">
      <c r="A352" s="745"/>
      <c r="B352" s="745"/>
      <c r="C352" s="745"/>
      <c r="D352" s="745"/>
      <c r="E352" s="745"/>
      <c r="F352" s="745"/>
      <c r="G352" s="745"/>
      <c r="H352" s="745"/>
      <c r="I352" s="745"/>
      <c r="J352" s="745"/>
      <c r="K352" s="745"/>
      <c r="L352" s="745"/>
      <c r="M352" s="745"/>
      <c r="N352" s="745"/>
      <c r="O352" s="746"/>
      <c r="P352" s="742" t="s">
        <v>40</v>
      </c>
      <c r="Q352" s="743"/>
      <c r="R352" s="743"/>
      <c r="S352" s="743"/>
      <c r="T352" s="743"/>
      <c r="U352" s="743"/>
      <c r="V352" s="7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29" hidden="1" x14ac:dyDescent="0.2">
      <c r="A353" s="745"/>
      <c r="B353" s="745"/>
      <c r="C353" s="745"/>
      <c r="D353" s="745"/>
      <c r="E353" s="745"/>
      <c r="F353" s="745"/>
      <c r="G353" s="745"/>
      <c r="H353" s="745"/>
      <c r="I353" s="745"/>
      <c r="J353" s="745"/>
      <c r="K353" s="745"/>
      <c r="L353" s="745"/>
      <c r="M353" s="745"/>
      <c r="N353" s="745"/>
      <c r="O353" s="746"/>
      <c r="P353" s="742" t="s">
        <v>40</v>
      </c>
      <c r="Q353" s="743"/>
      <c r="R353" s="743"/>
      <c r="S353" s="743"/>
      <c r="T353" s="743"/>
      <c r="U353" s="743"/>
      <c r="V353" s="7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29" ht="15" hidden="1" x14ac:dyDescent="0.25">
      <c r="A354" s="735" t="s">
        <v>587</v>
      </c>
      <c r="B354" s="735"/>
      <c r="C354" s="735"/>
      <c r="D354" s="735"/>
      <c r="E354" s="735"/>
      <c r="F354" s="735"/>
      <c r="G354" s="735"/>
      <c r="H354" s="735"/>
      <c r="I354" s="735"/>
      <c r="J354" s="735"/>
      <c r="K354" s="735"/>
      <c r="L354" s="735"/>
      <c r="M354" s="735"/>
      <c r="N354" s="735"/>
      <c r="O354" s="735"/>
      <c r="P354" s="735"/>
      <c r="Q354" s="735"/>
      <c r="R354" s="735"/>
      <c r="S354" s="735"/>
      <c r="T354" s="735"/>
      <c r="U354" s="735"/>
      <c r="V354" s="735"/>
      <c r="W354" s="735"/>
      <c r="X354" s="735"/>
      <c r="Y354" s="735"/>
      <c r="Z354" s="735"/>
      <c r="AA354" s="653"/>
      <c r="AB354" s="653"/>
      <c r="AC354" s="653"/>
    </row>
    <row r="355" spans="1:29" ht="15" hidden="1" x14ac:dyDescent="0.25">
      <c r="A355" s="736" t="s">
        <v>122</v>
      </c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6"/>
      <c r="P355" s="736"/>
      <c r="Q355" s="736"/>
      <c r="R355" s="736"/>
      <c r="S355" s="736"/>
      <c r="T355" s="736"/>
      <c r="U355" s="736"/>
      <c r="V355" s="736"/>
      <c r="W355" s="736"/>
      <c r="X355" s="736"/>
      <c r="Y355" s="736"/>
      <c r="Z355" s="736"/>
      <c r="AA355" s="652"/>
      <c r="AB355" s="652"/>
      <c r="AC355" s="652"/>
    </row>
    <row r="356" spans="1:29" ht="15" hidden="1" x14ac:dyDescent="0.25">
      <c r="A356" s="63" t="s">
        <v>588</v>
      </c>
      <c r="B356" s="63" t="s">
        <v>589</v>
      </c>
      <c r="C356" s="36">
        <v>4301012324</v>
      </c>
      <c r="D356" s="737">
        <v>4680115887947</v>
      </c>
      <c r="E356" s="737"/>
      <c r="F356" s="62">
        <v>1.3</v>
      </c>
      <c r="G356" s="663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39"/>
      <c r="R356" s="739"/>
      <c r="S356" s="739"/>
      <c r="T356" s="74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</row>
    <row r="357" spans="1:29" ht="15" hidden="1" x14ac:dyDescent="0.25">
      <c r="A357" s="63" t="s">
        <v>590</v>
      </c>
      <c r="B357" s="63" t="s">
        <v>591</v>
      </c>
      <c r="C357" s="36">
        <v>4301012325</v>
      </c>
      <c r="D357" s="737">
        <v>4680115887978</v>
      </c>
      <c r="E357" s="737"/>
      <c r="F357" s="62">
        <v>1.3</v>
      </c>
      <c r="G357" s="663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2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39"/>
      <c r="R357" s="739"/>
      <c r="S357" s="739"/>
      <c r="T357" s="74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</row>
    <row r="358" spans="1:29" ht="15" hidden="1" x14ac:dyDescent="0.25">
      <c r="A358" s="63" t="s">
        <v>593</v>
      </c>
      <c r="B358" s="63" t="s">
        <v>594</v>
      </c>
      <c r="C358" s="36">
        <v>4301012327</v>
      </c>
      <c r="D358" s="737">
        <v>4680115887992</v>
      </c>
      <c r="E358" s="737"/>
      <c r="F358" s="62">
        <v>1.3</v>
      </c>
      <c r="G358" s="663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3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39"/>
      <c r="R358" s="739"/>
      <c r="S358" s="739"/>
      <c r="T358" s="74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</row>
    <row r="359" spans="1:29" hidden="1" x14ac:dyDescent="0.2">
      <c r="A359" s="745"/>
      <c r="B359" s="745"/>
      <c r="C359" s="745"/>
      <c r="D359" s="745"/>
      <c r="E359" s="745"/>
      <c r="F359" s="745"/>
      <c r="G359" s="745"/>
      <c r="H359" s="745"/>
      <c r="I359" s="745"/>
      <c r="J359" s="745"/>
      <c r="K359" s="745"/>
      <c r="L359" s="745"/>
      <c r="M359" s="745"/>
      <c r="N359" s="745"/>
      <c r="O359" s="746"/>
      <c r="P359" s="742" t="s">
        <v>40</v>
      </c>
      <c r="Q359" s="743"/>
      <c r="R359" s="743"/>
      <c r="S359" s="743"/>
      <c r="T359" s="743"/>
      <c r="U359" s="743"/>
      <c r="V359" s="7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29" hidden="1" x14ac:dyDescent="0.2">
      <c r="A360" s="745"/>
      <c r="B360" s="745"/>
      <c r="C360" s="745"/>
      <c r="D360" s="745"/>
      <c r="E360" s="745"/>
      <c r="F360" s="745"/>
      <c r="G360" s="745"/>
      <c r="H360" s="745"/>
      <c r="I360" s="745"/>
      <c r="J360" s="745"/>
      <c r="K360" s="745"/>
      <c r="L360" s="745"/>
      <c r="M360" s="745"/>
      <c r="N360" s="745"/>
      <c r="O360" s="746"/>
      <c r="P360" s="742" t="s">
        <v>40</v>
      </c>
      <c r="Q360" s="743"/>
      <c r="R360" s="743"/>
      <c r="S360" s="743"/>
      <c r="T360" s="743"/>
      <c r="U360" s="743"/>
      <c r="V360" s="7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29" ht="15" hidden="1" x14ac:dyDescent="0.25">
      <c r="A361" s="735" t="s">
        <v>596</v>
      </c>
      <c r="B361" s="735"/>
      <c r="C361" s="735"/>
      <c r="D361" s="735"/>
      <c r="E361" s="735"/>
      <c r="F361" s="735"/>
      <c r="G361" s="735"/>
      <c r="H361" s="735"/>
      <c r="I361" s="735"/>
      <c r="J361" s="735"/>
      <c r="K361" s="735"/>
      <c r="L361" s="735"/>
      <c r="M361" s="735"/>
      <c r="N361" s="735"/>
      <c r="O361" s="735"/>
      <c r="P361" s="735"/>
      <c r="Q361" s="735"/>
      <c r="R361" s="735"/>
      <c r="S361" s="735"/>
      <c r="T361" s="735"/>
      <c r="U361" s="735"/>
      <c r="V361" s="735"/>
      <c r="W361" s="735"/>
      <c r="X361" s="735"/>
      <c r="Y361" s="735"/>
      <c r="Z361" s="735"/>
      <c r="AA361" s="653"/>
      <c r="AB361" s="653"/>
      <c r="AC361" s="653"/>
    </row>
    <row r="362" spans="1:29" ht="15" hidden="1" x14ac:dyDescent="0.25">
      <c r="A362" s="736" t="s">
        <v>122</v>
      </c>
      <c r="B362" s="736"/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  <c r="M362" s="736"/>
      <c r="N362" s="736"/>
      <c r="O362" s="736"/>
      <c r="P362" s="736"/>
      <c r="Q362" s="736"/>
      <c r="R362" s="736"/>
      <c r="S362" s="736"/>
      <c r="T362" s="736"/>
      <c r="U362" s="736"/>
      <c r="V362" s="736"/>
      <c r="W362" s="736"/>
      <c r="X362" s="736"/>
      <c r="Y362" s="736"/>
      <c r="Z362" s="736"/>
      <c r="AA362" s="652"/>
      <c r="AB362" s="652"/>
      <c r="AC362" s="652"/>
    </row>
    <row r="363" spans="1:29" ht="15" hidden="1" x14ac:dyDescent="0.25">
      <c r="A363" s="63" t="s">
        <v>597</v>
      </c>
      <c r="B363" s="63" t="s">
        <v>598</v>
      </c>
      <c r="C363" s="36">
        <v>4301012360</v>
      </c>
      <c r="D363" s="737">
        <v>4680115889293</v>
      </c>
      <c r="E363" s="737"/>
      <c r="F363" s="62">
        <v>1.35</v>
      </c>
      <c r="G363" s="663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3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39"/>
      <c r="R363" s="739"/>
      <c r="S363" s="739"/>
      <c r="T363" s="74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14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</row>
    <row r="364" spans="1:29" ht="15" hidden="1" x14ac:dyDescent="0.25">
      <c r="A364" s="63" t="s">
        <v>600</v>
      </c>
      <c r="B364" s="63" t="s">
        <v>601</v>
      </c>
      <c r="C364" s="36">
        <v>4301012235</v>
      </c>
      <c r="D364" s="737">
        <v>4680115887190</v>
      </c>
      <c r="E364" s="737"/>
      <c r="F364" s="62">
        <v>1.35</v>
      </c>
      <c r="G364" s="663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3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39"/>
      <c r="R364" s="739"/>
      <c r="S364" s="739"/>
      <c r="T364" s="74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14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</row>
    <row r="365" spans="1:29" ht="15" hidden="1" x14ac:dyDescent="0.25">
      <c r="A365" s="63" t="s">
        <v>603</v>
      </c>
      <c r="B365" s="63" t="s">
        <v>604</v>
      </c>
      <c r="C365" s="36">
        <v>4301012233</v>
      </c>
      <c r="D365" s="737">
        <v>4680115887138</v>
      </c>
      <c r="E365" s="737"/>
      <c r="F365" s="62">
        <v>1.35</v>
      </c>
      <c r="G365" s="663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3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39"/>
      <c r="R365" s="739"/>
      <c r="S365" s="739"/>
      <c r="T365" s="74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14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</row>
    <row r="366" spans="1:29" ht="23.25" hidden="1" x14ac:dyDescent="0.25">
      <c r="A366" s="63" t="s">
        <v>606</v>
      </c>
      <c r="B366" s="63" t="s">
        <v>607</v>
      </c>
      <c r="C366" s="36">
        <v>4301012016</v>
      </c>
      <c r="D366" s="737">
        <v>4680115885554</v>
      </c>
      <c r="E366" s="737"/>
      <c r="F366" s="62">
        <v>1.35</v>
      </c>
      <c r="G366" s="663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39"/>
      <c r="R366" s="739"/>
      <c r="S366" s="739"/>
      <c r="T366" s="74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14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</row>
    <row r="367" spans="1:29" ht="15" hidden="1" x14ac:dyDescent="0.25">
      <c r="A367" s="63" t="s">
        <v>609</v>
      </c>
      <c r="B367" s="63" t="s">
        <v>610</v>
      </c>
      <c r="C367" s="36">
        <v>4301012236</v>
      </c>
      <c r="D367" s="737">
        <v>4680115887220</v>
      </c>
      <c r="E367" s="737"/>
      <c r="F367" s="62">
        <v>0.4</v>
      </c>
      <c r="G367" s="663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3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39"/>
      <c r="R367" s="739"/>
      <c r="S367" s="739"/>
      <c r="T367" s="74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14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</row>
    <row r="368" spans="1:29" ht="15" hidden="1" x14ac:dyDescent="0.25">
      <c r="A368" s="63" t="s">
        <v>611</v>
      </c>
      <c r="B368" s="63" t="s">
        <v>612</v>
      </c>
      <c r="C368" s="36">
        <v>4301011859</v>
      </c>
      <c r="D368" s="737">
        <v>4680115885608</v>
      </c>
      <c r="E368" s="737"/>
      <c r="F368" s="62">
        <v>0.4</v>
      </c>
      <c r="G368" s="663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39"/>
      <c r="R368" s="739"/>
      <c r="S368" s="739"/>
      <c r="T368" s="74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1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</row>
    <row r="369" spans="1:29" hidden="1" x14ac:dyDescent="0.2">
      <c r="A369" s="745"/>
      <c r="B369" s="745"/>
      <c r="C369" s="745"/>
      <c r="D369" s="745"/>
      <c r="E369" s="745"/>
      <c r="F369" s="745"/>
      <c r="G369" s="745"/>
      <c r="H369" s="745"/>
      <c r="I369" s="745"/>
      <c r="J369" s="745"/>
      <c r="K369" s="745"/>
      <c r="L369" s="745"/>
      <c r="M369" s="745"/>
      <c r="N369" s="745"/>
      <c r="O369" s="746"/>
      <c r="P369" s="742" t="s">
        <v>40</v>
      </c>
      <c r="Q369" s="743"/>
      <c r="R369" s="743"/>
      <c r="S369" s="743"/>
      <c r="T369" s="743"/>
      <c r="U369" s="743"/>
      <c r="V369" s="7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29" hidden="1" x14ac:dyDescent="0.2">
      <c r="A370" s="745"/>
      <c r="B370" s="745"/>
      <c r="C370" s="745"/>
      <c r="D370" s="745"/>
      <c r="E370" s="745"/>
      <c r="F370" s="745"/>
      <c r="G370" s="745"/>
      <c r="H370" s="745"/>
      <c r="I370" s="745"/>
      <c r="J370" s="745"/>
      <c r="K370" s="745"/>
      <c r="L370" s="745"/>
      <c r="M370" s="745"/>
      <c r="N370" s="745"/>
      <c r="O370" s="746"/>
      <c r="P370" s="742" t="s">
        <v>40</v>
      </c>
      <c r="Q370" s="743"/>
      <c r="R370" s="743"/>
      <c r="S370" s="743"/>
      <c r="T370" s="743"/>
      <c r="U370" s="743"/>
      <c r="V370" s="7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29" ht="15" hidden="1" x14ac:dyDescent="0.25">
      <c r="A371" s="736" t="s">
        <v>77</v>
      </c>
      <c r="B371" s="736"/>
      <c r="C371" s="736"/>
      <c r="D371" s="736"/>
      <c r="E371" s="736"/>
      <c r="F371" s="736"/>
      <c r="G371" s="736"/>
      <c r="H371" s="736"/>
      <c r="I371" s="736"/>
      <c r="J371" s="736"/>
      <c r="K371" s="736"/>
      <c r="L371" s="736"/>
      <c r="M371" s="736"/>
      <c r="N371" s="736"/>
      <c r="O371" s="736"/>
      <c r="P371" s="736"/>
      <c r="Q371" s="736"/>
      <c r="R371" s="736"/>
      <c r="S371" s="736"/>
      <c r="T371" s="736"/>
      <c r="U371" s="736"/>
      <c r="V371" s="736"/>
      <c r="W371" s="736"/>
      <c r="X371" s="736"/>
      <c r="Y371" s="736"/>
      <c r="Z371" s="736"/>
      <c r="AA371" s="652"/>
      <c r="AB371" s="652"/>
      <c r="AC371" s="652"/>
    </row>
    <row r="372" spans="1:29" ht="15" hidden="1" x14ac:dyDescent="0.25">
      <c r="A372" s="63" t="s">
        <v>614</v>
      </c>
      <c r="B372" s="63" t="s">
        <v>615</v>
      </c>
      <c r="C372" s="36">
        <v>4301030878</v>
      </c>
      <c r="D372" s="737">
        <v>4607091387193</v>
      </c>
      <c r="E372" s="737"/>
      <c r="F372" s="62">
        <v>0.7</v>
      </c>
      <c r="G372" s="663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39"/>
      <c r="R372" s="739"/>
      <c r="S372" s="739"/>
      <c r="T372" s="74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15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</row>
    <row r="373" spans="1:29" ht="15" hidden="1" x14ac:dyDescent="0.25">
      <c r="A373" s="63" t="s">
        <v>617</v>
      </c>
      <c r="B373" s="63" t="s">
        <v>618</v>
      </c>
      <c r="C373" s="36">
        <v>4301031153</v>
      </c>
      <c r="D373" s="737">
        <v>4607091387230</v>
      </c>
      <c r="E373" s="737"/>
      <c r="F373" s="62">
        <v>0.7</v>
      </c>
      <c r="G373" s="663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39"/>
      <c r="R373" s="739"/>
      <c r="S373" s="739"/>
      <c r="T373" s="74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15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</row>
    <row r="374" spans="1:29" ht="15" hidden="1" x14ac:dyDescent="0.25">
      <c r="A374" s="63" t="s">
        <v>620</v>
      </c>
      <c r="B374" s="63" t="s">
        <v>621</v>
      </c>
      <c r="C374" s="36">
        <v>4301031154</v>
      </c>
      <c r="D374" s="737">
        <v>4607091387292</v>
      </c>
      <c r="E374" s="737"/>
      <c r="F374" s="62">
        <v>0.73</v>
      </c>
      <c r="G374" s="663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39"/>
      <c r="R374" s="739"/>
      <c r="S374" s="739"/>
      <c r="T374" s="74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15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</row>
    <row r="375" spans="1:29" ht="15" hidden="1" x14ac:dyDescent="0.25">
      <c r="A375" s="63" t="s">
        <v>623</v>
      </c>
      <c r="B375" s="63" t="s">
        <v>624</v>
      </c>
      <c r="C375" s="36">
        <v>4301031152</v>
      </c>
      <c r="D375" s="737">
        <v>4607091387285</v>
      </c>
      <c r="E375" s="737"/>
      <c r="F375" s="62">
        <v>0.35</v>
      </c>
      <c r="G375" s="663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39"/>
      <c r="R375" s="739"/>
      <c r="S375" s="739"/>
      <c r="T375" s="74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15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</row>
    <row r="376" spans="1:29" ht="15" hidden="1" x14ac:dyDescent="0.25">
      <c r="A376" s="63" t="s">
        <v>625</v>
      </c>
      <c r="B376" s="63" t="s">
        <v>626</v>
      </c>
      <c r="C376" s="36">
        <v>4301031305</v>
      </c>
      <c r="D376" s="737">
        <v>4607091389845</v>
      </c>
      <c r="E376" s="737"/>
      <c r="F376" s="62">
        <v>0.35</v>
      </c>
      <c r="G376" s="663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39"/>
      <c r="R376" s="739"/>
      <c r="S376" s="739"/>
      <c r="T376" s="74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15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</row>
    <row r="377" spans="1:29" ht="15" hidden="1" x14ac:dyDescent="0.25">
      <c r="A377" s="63" t="s">
        <v>628</v>
      </c>
      <c r="B377" s="63" t="s">
        <v>629</v>
      </c>
      <c r="C377" s="36">
        <v>4301031460</v>
      </c>
      <c r="D377" s="737">
        <v>4680115887442</v>
      </c>
      <c r="E377" s="737"/>
      <c r="F377" s="62">
        <v>0.73</v>
      </c>
      <c r="G377" s="663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39"/>
      <c r="R377" s="739"/>
      <c r="S377" s="739"/>
      <c r="T377" s="74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15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</row>
    <row r="378" spans="1:29" ht="15" hidden="1" x14ac:dyDescent="0.25">
      <c r="A378" s="63" t="s">
        <v>630</v>
      </c>
      <c r="B378" s="63" t="s">
        <v>631</v>
      </c>
      <c r="C378" s="36">
        <v>4301031066</v>
      </c>
      <c r="D378" s="737">
        <v>4607091383836</v>
      </c>
      <c r="E378" s="737"/>
      <c r="F378" s="62">
        <v>0.3</v>
      </c>
      <c r="G378" s="663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39"/>
      <c r="R378" s="739"/>
      <c r="S378" s="739"/>
      <c r="T378" s="74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15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</row>
    <row r="379" spans="1:29" hidden="1" x14ac:dyDescent="0.2">
      <c r="A379" s="745"/>
      <c r="B379" s="745"/>
      <c r="C379" s="745"/>
      <c r="D379" s="745"/>
      <c r="E379" s="745"/>
      <c r="F379" s="745"/>
      <c r="G379" s="745"/>
      <c r="H379" s="745"/>
      <c r="I379" s="745"/>
      <c r="J379" s="745"/>
      <c r="K379" s="745"/>
      <c r="L379" s="745"/>
      <c r="M379" s="745"/>
      <c r="N379" s="745"/>
      <c r="O379" s="746"/>
      <c r="P379" s="742" t="s">
        <v>40</v>
      </c>
      <c r="Q379" s="743"/>
      <c r="R379" s="743"/>
      <c r="S379" s="743"/>
      <c r="T379" s="743"/>
      <c r="U379" s="743"/>
      <c r="V379" s="7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29" hidden="1" x14ac:dyDescent="0.2">
      <c r="A380" s="745"/>
      <c r="B380" s="745"/>
      <c r="C380" s="745"/>
      <c r="D380" s="745"/>
      <c r="E380" s="745"/>
      <c r="F380" s="745"/>
      <c r="G380" s="745"/>
      <c r="H380" s="745"/>
      <c r="I380" s="745"/>
      <c r="J380" s="745"/>
      <c r="K380" s="745"/>
      <c r="L380" s="745"/>
      <c r="M380" s="745"/>
      <c r="N380" s="745"/>
      <c r="O380" s="746"/>
      <c r="P380" s="742" t="s">
        <v>40</v>
      </c>
      <c r="Q380" s="743"/>
      <c r="R380" s="743"/>
      <c r="S380" s="743"/>
      <c r="T380" s="743"/>
      <c r="U380" s="743"/>
      <c r="V380" s="7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29" ht="15" hidden="1" x14ac:dyDescent="0.25">
      <c r="A381" s="736" t="s">
        <v>86</v>
      </c>
      <c r="B381" s="736"/>
      <c r="C381" s="736"/>
      <c r="D381" s="736"/>
      <c r="E381" s="736"/>
      <c r="F381" s="736"/>
      <c r="G381" s="736"/>
      <c r="H381" s="736"/>
      <c r="I381" s="736"/>
      <c r="J381" s="736"/>
      <c r="K381" s="736"/>
      <c r="L381" s="736"/>
      <c r="M381" s="736"/>
      <c r="N381" s="736"/>
      <c r="O381" s="736"/>
      <c r="P381" s="736"/>
      <c r="Q381" s="736"/>
      <c r="R381" s="736"/>
      <c r="S381" s="736"/>
      <c r="T381" s="736"/>
      <c r="U381" s="736"/>
      <c r="V381" s="736"/>
      <c r="W381" s="736"/>
      <c r="X381" s="736"/>
      <c r="Y381" s="736"/>
      <c r="Z381" s="736"/>
      <c r="AA381" s="652"/>
      <c r="AB381" s="652"/>
      <c r="AC381" s="652"/>
    </row>
    <row r="382" spans="1:29" ht="23.25" hidden="1" x14ac:dyDescent="0.25">
      <c r="A382" s="63" t="s">
        <v>633</v>
      </c>
      <c r="B382" s="63" t="s">
        <v>634</v>
      </c>
      <c r="C382" s="36">
        <v>4301051100</v>
      </c>
      <c r="D382" s="737">
        <v>4607091387766</v>
      </c>
      <c r="E382" s="737"/>
      <c r="F382" s="62">
        <v>1.3</v>
      </c>
      <c r="G382" s="663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39"/>
      <c r="R382" s="739"/>
      <c r="S382" s="739"/>
      <c r="T382" s="74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</row>
    <row r="383" spans="1:29" ht="23.25" hidden="1" x14ac:dyDescent="0.25">
      <c r="A383" s="63" t="s">
        <v>636</v>
      </c>
      <c r="B383" s="63" t="s">
        <v>637</v>
      </c>
      <c r="C383" s="36">
        <v>4301051818</v>
      </c>
      <c r="D383" s="737">
        <v>4607091387957</v>
      </c>
      <c r="E383" s="737"/>
      <c r="F383" s="62">
        <v>1.3</v>
      </c>
      <c r="G383" s="663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39"/>
      <c r="R383" s="739"/>
      <c r="S383" s="739"/>
      <c r="T383" s="74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</row>
    <row r="384" spans="1:29" ht="23.25" hidden="1" x14ac:dyDescent="0.25">
      <c r="A384" s="63" t="s">
        <v>639</v>
      </c>
      <c r="B384" s="63" t="s">
        <v>640</v>
      </c>
      <c r="C384" s="36">
        <v>4301051819</v>
      </c>
      <c r="D384" s="737">
        <v>4607091387964</v>
      </c>
      <c r="E384" s="737"/>
      <c r="F384" s="62">
        <v>1.35</v>
      </c>
      <c r="G384" s="663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39"/>
      <c r="R384" s="739"/>
      <c r="S384" s="739"/>
      <c r="T384" s="74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</row>
    <row r="385" spans="1:29" ht="23.25" hidden="1" x14ac:dyDescent="0.25">
      <c r="A385" s="63" t="s">
        <v>642</v>
      </c>
      <c r="B385" s="63" t="s">
        <v>643</v>
      </c>
      <c r="C385" s="36">
        <v>4301051734</v>
      </c>
      <c r="D385" s="737">
        <v>4680115884588</v>
      </c>
      <c r="E385" s="737"/>
      <c r="F385" s="62">
        <v>0.5</v>
      </c>
      <c r="G385" s="663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39"/>
      <c r="R385" s="739"/>
      <c r="S385" s="739"/>
      <c r="T385" s="74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</row>
    <row r="386" spans="1:29" hidden="1" x14ac:dyDescent="0.2">
      <c r="A386" s="745"/>
      <c r="B386" s="745"/>
      <c r="C386" s="745"/>
      <c r="D386" s="745"/>
      <c r="E386" s="745"/>
      <c r="F386" s="745"/>
      <c r="G386" s="745"/>
      <c r="H386" s="745"/>
      <c r="I386" s="745"/>
      <c r="J386" s="745"/>
      <c r="K386" s="745"/>
      <c r="L386" s="745"/>
      <c r="M386" s="745"/>
      <c r="N386" s="745"/>
      <c r="O386" s="746"/>
      <c r="P386" s="742" t="s">
        <v>40</v>
      </c>
      <c r="Q386" s="743"/>
      <c r="R386" s="743"/>
      <c r="S386" s="743"/>
      <c r="T386" s="743"/>
      <c r="U386" s="743"/>
      <c r="V386" s="7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29" hidden="1" x14ac:dyDescent="0.2">
      <c r="A387" s="745"/>
      <c r="B387" s="745"/>
      <c r="C387" s="745"/>
      <c r="D387" s="745"/>
      <c r="E387" s="745"/>
      <c r="F387" s="745"/>
      <c r="G387" s="745"/>
      <c r="H387" s="745"/>
      <c r="I387" s="745"/>
      <c r="J387" s="745"/>
      <c r="K387" s="745"/>
      <c r="L387" s="745"/>
      <c r="M387" s="745"/>
      <c r="N387" s="745"/>
      <c r="O387" s="746"/>
      <c r="P387" s="742" t="s">
        <v>40</v>
      </c>
      <c r="Q387" s="743"/>
      <c r="R387" s="743"/>
      <c r="S387" s="743"/>
      <c r="T387" s="743"/>
      <c r="U387" s="743"/>
      <c r="V387" s="7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29" ht="15" hidden="1" x14ac:dyDescent="0.25">
      <c r="A388" s="736" t="s">
        <v>175</v>
      </c>
      <c r="B388" s="736"/>
      <c r="C388" s="736"/>
      <c r="D388" s="736"/>
      <c r="E388" s="736"/>
      <c r="F388" s="736"/>
      <c r="G388" s="736"/>
      <c r="H388" s="736"/>
      <c r="I388" s="736"/>
      <c r="J388" s="736"/>
      <c r="K388" s="736"/>
      <c r="L388" s="736"/>
      <c r="M388" s="736"/>
      <c r="N388" s="736"/>
      <c r="O388" s="736"/>
      <c r="P388" s="736"/>
      <c r="Q388" s="736"/>
      <c r="R388" s="736"/>
      <c r="S388" s="736"/>
      <c r="T388" s="736"/>
      <c r="U388" s="736"/>
      <c r="V388" s="736"/>
      <c r="W388" s="736"/>
      <c r="X388" s="736"/>
      <c r="Y388" s="736"/>
      <c r="Z388" s="736"/>
      <c r="AA388" s="652"/>
      <c r="AB388" s="652"/>
      <c r="AC388" s="652"/>
    </row>
    <row r="389" spans="1:29" ht="23.25" hidden="1" x14ac:dyDescent="0.25">
      <c r="A389" s="63" t="s">
        <v>644</v>
      </c>
      <c r="B389" s="63" t="s">
        <v>645</v>
      </c>
      <c r="C389" s="36">
        <v>4301060387</v>
      </c>
      <c r="D389" s="737">
        <v>4607091380880</v>
      </c>
      <c r="E389" s="737"/>
      <c r="F389" s="62">
        <v>1.4</v>
      </c>
      <c r="G389" s="663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39"/>
      <c r="R389" s="739"/>
      <c r="S389" s="739"/>
      <c r="T389" s="74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</row>
    <row r="390" spans="1:29" ht="23.25" hidden="1" x14ac:dyDescent="0.25">
      <c r="A390" s="63" t="s">
        <v>647</v>
      </c>
      <c r="B390" s="63" t="s">
        <v>648</v>
      </c>
      <c r="C390" s="36">
        <v>4301060406</v>
      </c>
      <c r="D390" s="737">
        <v>4607091384482</v>
      </c>
      <c r="E390" s="737"/>
      <c r="F390" s="62">
        <v>1.3</v>
      </c>
      <c r="G390" s="663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39"/>
      <c r="R390" s="739"/>
      <c r="S390" s="739"/>
      <c r="T390" s="740"/>
      <c r="U390" s="39" t="s">
        <v>46</v>
      </c>
      <c r="V390" s="39" t="s">
        <v>46</v>
      </c>
      <c r="W390" s="40" t="s">
        <v>0</v>
      </c>
      <c r="X390" s="58">
        <v>187.2</v>
      </c>
      <c r="Y390" s="55">
        <f>IFERROR(IF(X390="",0,CEILING((X390/$H390),1)*$H390),"")</f>
        <v>187.2</v>
      </c>
      <c r="Z390" s="41">
        <f>IFERROR(IF(Y390=0,"",ROUNDUP(Y390/H390,0)*0.01898),"")</f>
        <v>0.45552000000000004</v>
      </c>
      <c r="AA390" s="68" t="s">
        <v>46</v>
      </c>
      <c r="AB390" s="69" t="s">
        <v>46</v>
      </c>
      <c r="AC390" s="494" t="s">
        <v>649</v>
      </c>
    </row>
    <row r="391" spans="1:29" ht="15" hidden="1" x14ac:dyDescent="0.25">
      <c r="A391" s="63" t="s">
        <v>650</v>
      </c>
      <c r="B391" s="63" t="s">
        <v>651</v>
      </c>
      <c r="C391" s="36">
        <v>4301060484</v>
      </c>
      <c r="D391" s="737">
        <v>4607091380897</v>
      </c>
      <c r="E391" s="737"/>
      <c r="F391" s="62">
        <v>1.4</v>
      </c>
      <c r="G391" s="663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5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39"/>
      <c r="R391" s="739"/>
      <c r="S391" s="739"/>
      <c r="T391" s="740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</row>
    <row r="392" spans="1:29" hidden="1" x14ac:dyDescent="0.2">
      <c r="A392" s="745"/>
      <c r="B392" s="745"/>
      <c r="C392" s="745"/>
      <c r="D392" s="745"/>
      <c r="E392" s="745"/>
      <c r="F392" s="745"/>
      <c r="G392" s="745"/>
      <c r="H392" s="745"/>
      <c r="I392" s="745"/>
      <c r="J392" s="745"/>
      <c r="K392" s="745"/>
      <c r="L392" s="745"/>
      <c r="M392" s="745"/>
      <c r="N392" s="745"/>
      <c r="O392" s="746"/>
      <c r="P392" s="742" t="s">
        <v>40</v>
      </c>
      <c r="Q392" s="743"/>
      <c r="R392" s="743"/>
      <c r="S392" s="743"/>
      <c r="T392" s="743"/>
      <c r="U392" s="743"/>
      <c r="V392" s="744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29" hidden="1" x14ac:dyDescent="0.2">
      <c r="A393" s="745"/>
      <c r="B393" s="745"/>
      <c r="C393" s="745"/>
      <c r="D393" s="745"/>
      <c r="E393" s="745"/>
      <c r="F393" s="745"/>
      <c r="G393" s="745"/>
      <c r="H393" s="745"/>
      <c r="I393" s="745"/>
      <c r="J393" s="745"/>
      <c r="K393" s="745"/>
      <c r="L393" s="745"/>
      <c r="M393" s="745"/>
      <c r="N393" s="745"/>
      <c r="O393" s="746"/>
      <c r="P393" s="742" t="s">
        <v>40</v>
      </c>
      <c r="Q393" s="743"/>
      <c r="R393" s="743"/>
      <c r="S393" s="743"/>
      <c r="T393" s="743"/>
      <c r="U393" s="743"/>
      <c r="V393" s="744"/>
      <c r="W393" s="42" t="s">
        <v>0</v>
      </c>
      <c r="X393" s="43">
        <f>IFERROR(SUM(X389:X391),"0")</f>
        <v>187.2</v>
      </c>
      <c r="Y393" s="43">
        <f>IFERROR(SUM(Y389:Y391),"0")</f>
        <v>187.2</v>
      </c>
      <c r="Z393" s="42"/>
      <c r="AA393" s="67"/>
      <c r="AB393" s="67"/>
      <c r="AC393" s="67"/>
    </row>
    <row r="394" spans="1:29" ht="15" hidden="1" x14ac:dyDescent="0.25">
      <c r="A394" s="736" t="s">
        <v>275</v>
      </c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6"/>
      <c r="P394" s="736"/>
      <c r="Q394" s="736"/>
      <c r="R394" s="736"/>
      <c r="S394" s="736"/>
      <c r="T394" s="736"/>
      <c r="U394" s="736"/>
      <c r="V394" s="736"/>
      <c r="W394" s="736"/>
      <c r="X394" s="736"/>
      <c r="Y394" s="736"/>
      <c r="Z394" s="736"/>
      <c r="AA394" s="652"/>
      <c r="AB394" s="652"/>
      <c r="AC394" s="652"/>
    </row>
    <row r="395" spans="1:29" ht="15" hidden="1" x14ac:dyDescent="0.25">
      <c r="A395" s="63" t="s">
        <v>653</v>
      </c>
      <c r="B395" s="63" t="s">
        <v>654</v>
      </c>
      <c r="C395" s="36">
        <v>4301030235</v>
      </c>
      <c r="D395" s="737">
        <v>4607091388381</v>
      </c>
      <c r="E395" s="737"/>
      <c r="F395" s="62">
        <v>0.38</v>
      </c>
      <c r="G395" s="663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39"/>
      <c r="R395" s="739"/>
      <c r="S395" s="739"/>
      <c r="T395" s="74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</row>
    <row r="396" spans="1:29" ht="15" hidden="1" x14ac:dyDescent="0.25">
      <c r="A396" s="63" t="s">
        <v>656</v>
      </c>
      <c r="B396" s="63" t="s">
        <v>657</v>
      </c>
      <c r="C396" s="36">
        <v>4301030232</v>
      </c>
      <c r="D396" s="737">
        <v>4607091388374</v>
      </c>
      <c r="E396" s="737"/>
      <c r="F396" s="62">
        <v>0.38</v>
      </c>
      <c r="G396" s="663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39"/>
      <c r="R396" s="739"/>
      <c r="S396" s="739"/>
      <c r="T396" s="74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</row>
    <row r="397" spans="1:29" ht="15" hidden="1" x14ac:dyDescent="0.25">
      <c r="A397" s="63" t="s">
        <v>658</v>
      </c>
      <c r="B397" s="63" t="s">
        <v>659</v>
      </c>
      <c r="C397" s="36">
        <v>4301032015</v>
      </c>
      <c r="D397" s="737">
        <v>4607091383102</v>
      </c>
      <c r="E397" s="737"/>
      <c r="F397" s="62">
        <v>0.17</v>
      </c>
      <c r="G397" s="663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39"/>
      <c r="R397" s="739"/>
      <c r="S397" s="739"/>
      <c r="T397" s="74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</row>
    <row r="398" spans="1:29" ht="15" hidden="1" x14ac:dyDescent="0.25">
      <c r="A398" s="63" t="s">
        <v>660</v>
      </c>
      <c r="B398" s="63" t="s">
        <v>661</v>
      </c>
      <c r="C398" s="36">
        <v>4301030233</v>
      </c>
      <c r="D398" s="737">
        <v>4607091388404</v>
      </c>
      <c r="E398" s="737"/>
      <c r="F398" s="62">
        <v>0.17</v>
      </c>
      <c r="G398" s="663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5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39"/>
      <c r="R398" s="739"/>
      <c r="S398" s="739"/>
      <c r="T398" s="74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</row>
    <row r="399" spans="1:29" hidden="1" x14ac:dyDescent="0.2">
      <c r="A399" s="745"/>
      <c r="B399" s="745"/>
      <c r="C399" s="745"/>
      <c r="D399" s="745"/>
      <c r="E399" s="745"/>
      <c r="F399" s="745"/>
      <c r="G399" s="745"/>
      <c r="H399" s="745"/>
      <c r="I399" s="745"/>
      <c r="J399" s="745"/>
      <c r="K399" s="745"/>
      <c r="L399" s="745"/>
      <c r="M399" s="745"/>
      <c r="N399" s="745"/>
      <c r="O399" s="746"/>
      <c r="P399" s="742" t="s">
        <v>40</v>
      </c>
      <c r="Q399" s="743"/>
      <c r="R399" s="743"/>
      <c r="S399" s="743"/>
      <c r="T399" s="743"/>
      <c r="U399" s="743"/>
      <c r="V399" s="7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29" hidden="1" x14ac:dyDescent="0.2">
      <c r="A400" s="745"/>
      <c r="B400" s="745"/>
      <c r="C400" s="745"/>
      <c r="D400" s="745"/>
      <c r="E400" s="745"/>
      <c r="F400" s="745"/>
      <c r="G400" s="745"/>
      <c r="H400" s="745"/>
      <c r="I400" s="745"/>
      <c r="J400" s="745"/>
      <c r="K400" s="745"/>
      <c r="L400" s="745"/>
      <c r="M400" s="745"/>
      <c r="N400" s="745"/>
      <c r="O400" s="746"/>
      <c r="P400" s="742" t="s">
        <v>40</v>
      </c>
      <c r="Q400" s="743"/>
      <c r="R400" s="743"/>
      <c r="S400" s="743"/>
      <c r="T400" s="743"/>
      <c r="U400" s="743"/>
      <c r="V400" s="7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29" ht="15" hidden="1" x14ac:dyDescent="0.25">
      <c r="A401" s="736" t="s">
        <v>662</v>
      </c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  <c r="S401" s="736"/>
      <c r="T401" s="736"/>
      <c r="U401" s="736"/>
      <c r="V401" s="736"/>
      <c r="W401" s="736"/>
      <c r="X401" s="736"/>
      <c r="Y401" s="736"/>
      <c r="Z401" s="736"/>
      <c r="AA401" s="652"/>
      <c r="AB401" s="652"/>
      <c r="AC401" s="652"/>
    </row>
    <row r="402" spans="1:29" ht="15" hidden="1" x14ac:dyDescent="0.25">
      <c r="A402" s="63" t="s">
        <v>663</v>
      </c>
      <c r="B402" s="63" t="s">
        <v>664</v>
      </c>
      <c r="C402" s="36">
        <v>4301180007</v>
      </c>
      <c r="D402" s="737">
        <v>4680115881808</v>
      </c>
      <c r="E402" s="737"/>
      <c r="F402" s="62">
        <v>0.1</v>
      </c>
      <c r="G402" s="663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39"/>
      <c r="R402" s="739"/>
      <c r="S402" s="739"/>
      <c r="T402" s="74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</row>
    <row r="403" spans="1:29" ht="15" hidden="1" x14ac:dyDescent="0.25">
      <c r="A403" s="63" t="s">
        <v>667</v>
      </c>
      <c r="B403" s="63" t="s">
        <v>668</v>
      </c>
      <c r="C403" s="36">
        <v>4301180006</v>
      </c>
      <c r="D403" s="737">
        <v>4680115881822</v>
      </c>
      <c r="E403" s="737"/>
      <c r="F403" s="62">
        <v>0.1</v>
      </c>
      <c r="G403" s="663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39"/>
      <c r="R403" s="739"/>
      <c r="S403" s="739"/>
      <c r="T403" s="74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</row>
    <row r="404" spans="1:29" ht="15" hidden="1" x14ac:dyDescent="0.25">
      <c r="A404" s="63" t="s">
        <v>669</v>
      </c>
      <c r="B404" s="63" t="s">
        <v>670</v>
      </c>
      <c r="C404" s="36">
        <v>4301180001</v>
      </c>
      <c r="D404" s="737">
        <v>4680115880016</v>
      </c>
      <c r="E404" s="737"/>
      <c r="F404" s="62">
        <v>0.1</v>
      </c>
      <c r="G404" s="663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39"/>
      <c r="R404" s="739"/>
      <c r="S404" s="739"/>
      <c r="T404" s="740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</row>
    <row r="405" spans="1:29" hidden="1" x14ac:dyDescent="0.2">
      <c r="A405" s="745"/>
      <c r="B405" s="745"/>
      <c r="C405" s="745"/>
      <c r="D405" s="745"/>
      <c r="E405" s="745"/>
      <c r="F405" s="745"/>
      <c r="G405" s="745"/>
      <c r="H405" s="745"/>
      <c r="I405" s="745"/>
      <c r="J405" s="745"/>
      <c r="K405" s="745"/>
      <c r="L405" s="745"/>
      <c r="M405" s="745"/>
      <c r="N405" s="745"/>
      <c r="O405" s="746"/>
      <c r="P405" s="742" t="s">
        <v>40</v>
      </c>
      <c r="Q405" s="743"/>
      <c r="R405" s="743"/>
      <c r="S405" s="743"/>
      <c r="T405" s="743"/>
      <c r="U405" s="743"/>
      <c r="V405" s="7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29" hidden="1" x14ac:dyDescent="0.2">
      <c r="A406" s="745"/>
      <c r="B406" s="745"/>
      <c r="C406" s="745"/>
      <c r="D406" s="745"/>
      <c r="E406" s="745"/>
      <c r="F406" s="745"/>
      <c r="G406" s="745"/>
      <c r="H406" s="745"/>
      <c r="I406" s="745"/>
      <c r="J406" s="745"/>
      <c r="K406" s="745"/>
      <c r="L406" s="745"/>
      <c r="M406" s="745"/>
      <c r="N406" s="745"/>
      <c r="O406" s="746"/>
      <c r="P406" s="742" t="s">
        <v>40</v>
      </c>
      <c r="Q406" s="743"/>
      <c r="R406" s="743"/>
      <c r="S406" s="743"/>
      <c r="T406" s="743"/>
      <c r="U406" s="743"/>
      <c r="V406" s="7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29" ht="15" hidden="1" x14ac:dyDescent="0.25">
      <c r="A407" s="736" t="s">
        <v>671</v>
      </c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6"/>
      <c r="P407" s="736"/>
      <c r="Q407" s="736"/>
      <c r="R407" s="736"/>
      <c r="S407" s="736"/>
      <c r="T407" s="736"/>
      <c r="U407" s="736"/>
      <c r="V407" s="736"/>
      <c r="W407" s="736"/>
      <c r="X407" s="736"/>
      <c r="Y407" s="736"/>
      <c r="Z407" s="736"/>
      <c r="AA407" s="652"/>
      <c r="AB407" s="652"/>
      <c r="AC407" s="652"/>
    </row>
    <row r="408" spans="1:29" ht="15" hidden="1" x14ac:dyDescent="0.25">
      <c r="A408" s="63" t="s">
        <v>672</v>
      </c>
      <c r="B408" s="63" t="s">
        <v>673</v>
      </c>
      <c r="C408" s="36">
        <v>4301220003</v>
      </c>
      <c r="D408" s="737">
        <v>4680115888678</v>
      </c>
      <c r="E408" s="737"/>
      <c r="F408" s="62">
        <v>0.25</v>
      </c>
      <c r="G408" s="663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5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39"/>
      <c r="R408" s="739"/>
      <c r="S408" s="739"/>
      <c r="T408" s="74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</row>
    <row r="409" spans="1:29" ht="15" hidden="1" x14ac:dyDescent="0.25">
      <c r="A409" s="63" t="s">
        <v>675</v>
      </c>
      <c r="B409" s="63" t="s">
        <v>676</v>
      </c>
      <c r="C409" s="36">
        <v>4301220001</v>
      </c>
      <c r="D409" s="737">
        <v>4680115888654</v>
      </c>
      <c r="E409" s="737"/>
      <c r="F409" s="62">
        <v>0.32500000000000001</v>
      </c>
      <c r="G409" s="663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5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39"/>
      <c r="R409" s="739"/>
      <c r="S409" s="739"/>
      <c r="T409" s="74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</row>
    <row r="410" spans="1:29" ht="15" hidden="1" x14ac:dyDescent="0.25">
      <c r="A410" s="63" t="s">
        <v>678</v>
      </c>
      <c r="B410" s="63" t="s">
        <v>679</v>
      </c>
      <c r="C410" s="36">
        <v>4301220002</v>
      </c>
      <c r="D410" s="737">
        <v>4680115888753</v>
      </c>
      <c r="E410" s="737"/>
      <c r="F410" s="62">
        <v>0.25</v>
      </c>
      <c r="G410" s="663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6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39"/>
      <c r="R410" s="739"/>
      <c r="S410" s="739"/>
      <c r="T410" s="740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</row>
    <row r="411" spans="1:29" hidden="1" x14ac:dyDescent="0.2">
      <c r="A411" s="745"/>
      <c r="B411" s="745"/>
      <c r="C411" s="745"/>
      <c r="D411" s="745"/>
      <c r="E411" s="745"/>
      <c r="F411" s="745"/>
      <c r="G411" s="745"/>
      <c r="H411" s="745"/>
      <c r="I411" s="745"/>
      <c r="J411" s="745"/>
      <c r="K411" s="745"/>
      <c r="L411" s="745"/>
      <c r="M411" s="745"/>
      <c r="N411" s="745"/>
      <c r="O411" s="746"/>
      <c r="P411" s="742" t="s">
        <v>40</v>
      </c>
      <c r="Q411" s="743"/>
      <c r="R411" s="743"/>
      <c r="S411" s="743"/>
      <c r="T411" s="743"/>
      <c r="U411" s="743"/>
      <c r="V411" s="7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29" hidden="1" x14ac:dyDescent="0.2">
      <c r="A412" s="745"/>
      <c r="B412" s="745"/>
      <c r="C412" s="745"/>
      <c r="D412" s="745"/>
      <c r="E412" s="745"/>
      <c r="F412" s="745"/>
      <c r="G412" s="745"/>
      <c r="H412" s="745"/>
      <c r="I412" s="745"/>
      <c r="J412" s="745"/>
      <c r="K412" s="745"/>
      <c r="L412" s="745"/>
      <c r="M412" s="745"/>
      <c r="N412" s="745"/>
      <c r="O412" s="746"/>
      <c r="P412" s="742" t="s">
        <v>40</v>
      </c>
      <c r="Q412" s="743"/>
      <c r="R412" s="743"/>
      <c r="S412" s="743"/>
      <c r="T412" s="743"/>
      <c r="U412" s="743"/>
      <c r="V412" s="7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29" ht="15" hidden="1" x14ac:dyDescent="0.25">
      <c r="A413" s="735" t="s">
        <v>680</v>
      </c>
      <c r="B413" s="735"/>
      <c r="C413" s="735"/>
      <c r="D413" s="735"/>
      <c r="E413" s="735"/>
      <c r="F413" s="735"/>
      <c r="G413" s="735"/>
      <c r="H413" s="735"/>
      <c r="I413" s="735"/>
      <c r="J413" s="735"/>
      <c r="K413" s="735"/>
      <c r="L413" s="735"/>
      <c r="M413" s="735"/>
      <c r="N413" s="735"/>
      <c r="O413" s="735"/>
      <c r="P413" s="735"/>
      <c r="Q413" s="735"/>
      <c r="R413" s="735"/>
      <c r="S413" s="735"/>
      <c r="T413" s="735"/>
      <c r="U413" s="735"/>
      <c r="V413" s="735"/>
      <c r="W413" s="735"/>
      <c r="X413" s="735"/>
      <c r="Y413" s="735"/>
      <c r="Z413" s="735"/>
      <c r="AA413" s="653"/>
      <c r="AB413" s="653"/>
      <c r="AC413" s="653"/>
    </row>
    <row r="414" spans="1:29" ht="15" hidden="1" x14ac:dyDescent="0.25">
      <c r="A414" s="736" t="s">
        <v>86</v>
      </c>
      <c r="B414" s="736"/>
      <c r="C414" s="736"/>
      <c r="D414" s="736"/>
      <c r="E414" s="736"/>
      <c r="F414" s="736"/>
      <c r="G414" s="736"/>
      <c r="H414" s="736"/>
      <c r="I414" s="736"/>
      <c r="J414" s="736"/>
      <c r="K414" s="736"/>
      <c r="L414" s="736"/>
      <c r="M414" s="736"/>
      <c r="N414" s="736"/>
      <c r="O414" s="736"/>
      <c r="P414" s="736"/>
      <c r="Q414" s="736"/>
      <c r="R414" s="736"/>
      <c r="S414" s="736"/>
      <c r="T414" s="736"/>
      <c r="U414" s="736"/>
      <c r="V414" s="736"/>
      <c r="W414" s="736"/>
      <c r="X414" s="736"/>
      <c r="Y414" s="736"/>
      <c r="Z414" s="736"/>
      <c r="AA414" s="652"/>
      <c r="AB414" s="652"/>
      <c r="AC414" s="652"/>
    </row>
    <row r="415" spans="1:29" ht="15" hidden="1" x14ac:dyDescent="0.25">
      <c r="A415" s="63" t="s">
        <v>681</v>
      </c>
      <c r="B415" s="63" t="s">
        <v>682</v>
      </c>
      <c r="C415" s="36">
        <v>4301052235</v>
      </c>
      <c r="D415" s="737">
        <v>4680115889415</v>
      </c>
      <c r="E415" s="737"/>
      <c r="F415" s="62">
        <v>1.3</v>
      </c>
      <c r="G415" s="663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6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39"/>
      <c r="R415" s="739"/>
      <c r="S415" s="739"/>
      <c r="T415" s="74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</row>
    <row r="416" spans="1:29" ht="15" hidden="1" x14ac:dyDescent="0.25">
      <c r="A416" s="63" t="s">
        <v>684</v>
      </c>
      <c r="B416" s="63" t="s">
        <v>685</v>
      </c>
      <c r="C416" s="36">
        <v>4301052236</v>
      </c>
      <c r="D416" s="737">
        <v>4680115889422</v>
      </c>
      <c r="E416" s="737"/>
      <c r="F416" s="62">
        <v>1.3</v>
      </c>
      <c r="G416" s="663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6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39"/>
      <c r="R416" s="739"/>
      <c r="S416" s="739"/>
      <c r="T416" s="74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</row>
    <row r="417" spans="1:29" hidden="1" x14ac:dyDescent="0.2">
      <c r="A417" s="745"/>
      <c r="B417" s="745"/>
      <c r="C417" s="745"/>
      <c r="D417" s="745"/>
      <c r="E417" s="745"/>
      <c r="F417" s="745"/>
      <c r="G417" s="745"/>
      <c r="H417" s="745"/>
      <c r="I417" s="745"/>
      <c r="J417" s="745"/>
      <c r="K417" s="745"/>
      <c r="L417" s="745"/>
      <c r="M417" s="745"/>
      <c r="N417" s="745"/>
      <c r="O417" s="746"/>
      <c r="P417" s="742" t="s">
        <v>40</v>
      </c>
      <c r="Q417" s="743"/>
      <c r="R417" s="743"/>
      <c r="S417" s="743"/>
      <c r="T417" s="743"/>
      <c r="U417" s="743"/>
      <c r="V417" s="744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29" hidden="1" x14ac:dyDescent="0.2">
      <c r="A418" s="745"/>
      <c r="B418" s="745"/>
      <c r="C418" s="745"/>
      <c r="D418" s="745"/>
      <c r="E418" s="745"/>
      <c r="F418" s="745"/>
      <c r="G418" s="745"/>
      <c r="H418" s="745"/>
      <c r="I418" s="745"/>
      <c r="J418" s="745"/>
      <c r="K418" s="745"/>
      <c r="L418" s="745"/>
      <c r="M418" s="745"/>
      <c r="N418" s="745"/>
      <c r="O418" s="746"/>
      <c r="P418" s="742" t="s">
        <v>40</v>
      </c>
      <c r="Q418" s="743"/>
      <c r="R418" s="743"/>
      <c r="S418" s="743"/>
      <c r="T418" s="743"/>
      <c r="U418" s="743"/>
      <c r="V418" s="744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29" ht="15" hidden="1" x14ac:dyDescent="0.25">
      <c r="A419" s="735" t="s">
        <v>687</v>
      </c>
      <c r="B419" s="735"/>
      <c r="C419" s="735"/>
      <c r="D419" s="735"/>
      <c r="E419" s="735"/>
      <c r="F419" s="735"/>
      <c r="G419" s="735"/>
      <c r="H419" s="735"/>
      <c r="I419" s="735"/>
      <c r="J419" s="735"/>
      <c r="K419" s="735"/>
      <c r="L419" s="735"/>
      <c r="M419" s="735"/>
      <c r="N419" s="735"/>
      <c r="O419" s="735"/>
      <c r="P419" s="735"/>
      <c r="Q419" s="735"/>
      <c r="R419" s="735"/>
      <c r="S419" s="735"/>
      <c r="T419" s="735"/>
      <c r="U419" s="735"/>
      <c r="V419" s="735"/>
      <c r="W419" s="735"/>
      <c r="X419" s="735"/>
      <c r="Y419" s="735"/>
      <c r="Z419" s="735"/>
      <c r="AA419" s="653"/>
      <c r="AB419" s="653"/>
      <c r="AC419" s="653"/>
    </row>
    <row r="420" spans="1:29" ht="15" hidden="1" x14ac:dyDescent="0.25">
      <c r="A420" s="736" t="s">
        <v>86</v>
      </c>
      <c r="B420" s="736"/>
      <c r="C420" s="736"/>
      <c r="D420" s="736"/>
      <c r="E420" s="736"/>
      <c r="F420" s="736"/>
      <c r="G420" s="736"/>
      <c r="H420" s="736"/>
      <c r="I420" s="736"/>
      <c r="J420" s="736"/>
      <c r="K420" s="736"/>
      <c r="L420" s="736"/>
      <c r="M420" s="736"/>
      <c r="N420" s="736"/>
      <c r="O420" s="736"/>
      <c r="P420" s="736"/>
      <c r="Q420" s="736"/>
      <c r="R420" s="736"/>
      <c r="S420" s="736"/>
      <c r="T420" s="736"/>
      <c r="U420" s="736"/>
      <c r="V420" s="736"/>
      <c r="W420" s="736"/>
      <c r="X420" s="736"/>
      <c r="Y420" s="736"/>
      <c r="Z420" s="736"/>
      <c r="AA420" s="652"/>
      <c r="AB420" s="652"/>
      <c r="AC420" s="652"/>
    </row>
    <row r="421" spans="1:29" ht="23.25" hidden="1" x14ac:dyDescent="0.25">
      <c r="A421" s="63" t="s">
        <v>688</v>
      </c>
      <c r="B421" s="63" t="s">
        <v>689</v>
      </c>
      <c r="C421" s="36">
        <v>4301051489</v>
      </c>
      <c r="D421" s="737">
        <v>4607091387919</v>
      </c>
      <c r="E421" s="737"/>
      <c r="F421" s="62">
        <v>1.35</v>
      </c>
      <c r="G421" s="663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39"/>
      <c r="R421" s="739"/>
      <c r="S421" s="739"/>
      <c r="T421" s="74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</row>
    <row r="422" spans="1:29" ht="23.25" hidden="1" x14ac:dyDescent="0.25">
      <c r="A422" s="63" t="s">
        <v>691</v>
      </c>
      <c r="B422" s="63" t="s">
        <v>692</v>
      </c>
      <c r="C422" s="36">
        <v>4301051461</v>
      </c>
      <c r="D422" s="737">
        <v>4680115883604</v>
      </c>
      <c r="E422" s="737"/>
      <c r="F422" s="62">
        <v>0.35</v>
      </c>
      <c r="G422" s="663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39"/>
      <c r="R422" s="739"/>
      <c r="S422" s="739"/>
      <c r="T422" s="740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</row>
    <row r="423" spans="1:29" ht="23.25" hidden="1" x14ac:dyDescent="0.25">
      <c r="A423" s="63" t="s">
        <v>694</v>
      </c>
      <c r="B423" s="63" t="s">
        <v>695</v>
      </c>
      <c r="C423" s="36">
        <v>4301051864</v>
      </c>
      <c r="D423" s="737">
        <v>4680115883567</v>
      </c>
      <c r="E423" s="737"/>
      <c r="F423" s="62">
        <v>0.35</v>
      </c>
      <c r="G423" s="663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39"/>
      <c r="R423" s="739"/>
      <c r="S423" s="739"/>
      <c r="T423" s="740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</row>
    <row r="424" spans="1:29" hidden="1" x14ac:dyDescent="0.2">
      <c r="A424" s="745"/>
      <c r="B424" s="745"/>
      <c r="C424" s="745"/>
      <c r="D424" s="745"/>
      <c r="E424" s="745"/>
      <c r="F424" s="745"/>
      <c r="G424" s="745"/>
      <c r="H424" s="745"/>
      <c r="I424" s="745"/>
      <c r="J424" s="745"/>
      <c r="K424" s="745"/>
      <c r="L424" s="745"/>
      <c r="M424" s="745"/>
      <c r="N424" s="745"/>
      <c r="O424" s="746"/>
      <c r="P424" s="742" t="s">
        <v>40</v>
      </c>
      <c r="Q424" s="743"/>
      <c r="R424" s="743"/>
      <c r="S424" s="743"/>
      <c r="T424" s="743"/>
      <c r="U424" s="743"/>
      <c r="V424" s="744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29" hidden="1" x14ac:dyDescent="0.2">
      <c r="A425" s="745"/>
      <c r="B425" s="745"/>
      <c r="C425" s="745"/>
      <c r="D425" s="745"/>
      <c r="E425" s="745"/>
      <c r="F425" s="745"/>
      <c r="G425" s="745"/>
      <c r="H425" s="745"/>
      <c r="I425" s="745"/>
      <c r="J425" s="745"/>
      <c r="K425" s="745"/>
      <c r="L425" s="745"/>
      <c r="M425" s="745"/>
      <c r="N425" s="745"/>
      <c r="O425" s="746"/>
      <c r="P425" s="742" t="s">
        <v>40</v>
      </c>
      <c r="Q425" s="743"/>
      <c r="R425" s="743"/>
      <c r="S425" s="743"/>
      <c r="T425" s="743"/>
      <c r="U425" s="743"/>
      <c r="V425" s="744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29" ht="20.25" hidden="1" x14ac:dyDescent="0.2">
      <c r="A426" s="734" t="s">
        <v>697</v>
      </c>
      <c r="B426" s="734"/>
      <c r="C426" s="734"/>
      <c r="D426" s="734"/>
      <c r="E426" s="734"/>
      <c r="F426" s="734"/>
      <c r="G426" s="734"/>
      <c r="H426" s="734"/>
      <c r="I426" s="734"/>
      <c r="J426" s="734"/>
      <c r="K426" s="734"/>
      <c r="L426" s="734"/>
      <c r="M426" s="734"/>
      <c r="N426" s="734"/>
      <c r="O426" s="734"/>
      <c r="P426" s="734"/>
      <c r="Q426" s="734"/>
      <c r="R426" s="734"/>
      <c r="S426" s="734"/>
      <c r="T426" s="734"/>
      <c r="U426" s="734"/>
      <c r="V426" s="734"/>
      <c r="W426" s="734"/>
      <c r="X426" s="734"/>
      <c r="Y426" s="734"/>
      <c r="Z426" s="734"/>
      <c r="AA426" s="54"/>
      <c r="AB426" s="54"/>
      <c r="AC426" s="54"/>
    </row>
    <row r="427" spans="1:29" ht="15" hidden="1" x14ac:dyDescent="0.25">
      <c r="A427" s="735" t="s">
        <v>698</v>
      </c>
      <c r="B427" s="735"/>
      <c r="C427" s="735"/>
      <c r="D427" s="735"/>
      <c r="E427" s="735"/>
      <c r="F427" s="735"/>
      <c r="G427" s="735"/>
      <c r="H427" s="735"/>
      <c r="I427" s="735"/>
      <c r="J427" s="735"/>
      <c r="K427" s="735"/>
      <c r="L427" s="735"/>
      <c r="M427" s="735"/>
      <c r="N427" s="735"/>
      <c r="O427" s="735"/>
      <c r="P427" s="735"/>
      <c r="Q427" s="735"/>
      <c r="R427" s="735"/>
      <c r="S427" s="735"/>
      <c r="T427" s="735"/>
      <c r="U427" s="735"/>
      <c r="V427" s="735"/>
      <c r="W427" s="735"/>
      <c r="X427" s="735"/>
      <c r="Y427" s="735"/>
      <c r="Z427" s="735"/>
      <c r="AA427" s="653"/>
      <c r="AB427" s="653"/>
      <c r="AC427" s="653"/>
    </row>
    <row r="428" spans="1:29" ht="15" hidden="1" x14ac:dyDescent="0.25">
      <c r="A428" s="736" t="s">
        <v>122</v>
      </c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  <c r="S428" s="736"/>
      <c r="T428" s="736"/>
      <c r="U428" s="736"/>
      <c r="V428" s="736"/>
      <c r="W428" s="736"/>
      <c r="X428" s="736"/>
      <c r="Y428" s="736"/>
      <c r="Z428" s="736"/>
      <c r="AA428" s="652"/>
      <c r="AB428" s="652"/>
      <c r="AC428" s="652"/>
    </row>
    <row r="429" spans="1:29" ht="15" hidden="1" x14ac:dyDescent="0.25">
      <c r="A429" s="63" t="s">
        <v>699</v>
      </c>
      <c r="B429" s="63" t="s">
        <v>700</v>
      </c>
      <c r="C429" s="36">
        <v>4301012332</v>
      </c>
      <c r="D429" s="737">
        <v>4680115888401</v>
      </c>
      <c r="E429" s="737"/>
      <c r="F429" s="62">
        <v>2.5</v>
      </c>
      <c r="G429" s="663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6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39"/>
      <c r="R429" s="739"/>
      <c r="S429" s="739"/>
      <c r="T429" s="74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16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</row>
    <row r="430" spans="1:29" ht="34.5" hidden="1" x14ac:dyDescent="0.25">
      <c r="A430" s="63" t="s">
        <v>702</v>
      </c>
      <c r="B430" s="63" t="s">
        <v>703</v>
      </c>
      <c r="C430" s="36">
        <v>4301011869</v>
      </c>
      <c r="D430" s="737">
        <v>4680115884847</v>
      </c>
      <c r="E430" s="737"/>
      <c r="F430" s="62">
        <v>2.5</v>
      </c>
      <c r="G430" s="663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39"/>
      <c r="R430" s="739"/>
      <c r="S430" s="739"/>
      <c r="T430" s="740"/>
      <c r="U430" s="39" t="s">
        <v>46</v>
      </c>
      <c r="V430" s="39" t="s">
        <v>46</v>
      </c>
      <c r="W430" s="40" t="s">
        <v>0</v>
      </c>
      <c r="X430" s="58">
        <v>120</v>
      </c>
      <c r="Y430" s="55">
        <f t="shared" si="16"/>
        <v>120</v>
      </c>
      <c r="Z430" s="41">
        <f>IFERROR(IF(Y430=0,"",ROUNDUP(Y430/H430,0)*0.02175),"")</f>
        <v>0.17399999999999999</v>
      </c>
      <c r="AA430" s="68" t="s">
        <v>46</v>
      </c>
      <c r="AB430" s="69" t="s">
        <v>46</v>
      </c>
      <c r="AC430" s="530" t="s">
        <v>704</v>
      </c>
    </row>
    <row r="431" spans="1:29" ht="15" hidden="1" x14ac:dyDescent="0.25">
      <c r="A431" s="63" t="s">
        <v>705</v>
      </c>
      <c r="B431" s="63" t="s">
        <v>706</v>
      </c>
      <c r="C431" s="36">
        <v>4301012083</v>
      </c>
      <c r="D431" s="737">
        <v>4680115884854</v>
      </c>
      <c r="E431" s="737"/>
      <c r="F431" s="62">
        <v>2.5</v>
      </c>
      <c r="G431" s="663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39"/>
      <c r="R431" s="739"/>
      <c r="S431" s="739"/>
      <c r="T431" s="74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16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</row>
    <row r="432" spans="1:29" ht="23.25" hidden="1" x14ac:dyDescent="0.25">
      <c r="A432" s="63" t="s">
        <v>708</v>
      </c>
      <c r="B432" s="63" t="s">
        <v>709</v>
      </c>
      <c r="C432" s="36">
        <v>4301011867</v>
      </c>
      <c r="D432" s="737">
        <v>4680115884830</v>
      </c>
      <c r="E432" s="737"/>
      <c r="F432" s="62">
        <v>2.5</v>
      </c>
      <c r="G432" s="663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39"/>
      <c r="R432" s="739"/>
      <c r="S432" s="739"/>
      <c r="T432" s="740"/>
      <c r="U432" s="39" t="s">
        <v>46</v>
      </c>
      <c r="V432" s="39" t="s">
        <v>46</v>
      </c>
      <c r="W432" s="40" t="s">
        <v>0</v>
      </c>
      <c r="X432" s="58">
        <v>120</v>
      </c>
      <c r="Y432" s="55">
        <f t="shared" si="16"/>
        <v>120</v>
      </c>
      <c r="Z432" s="41">
        <f>IFERROR(IF(Y432=0,"",ROUNDUP(Y432/H432,0)*0.02175),"")</f>
        <v>0.17399999999999999</v>
      </c>
      <c r="AA432" s="68" t="s">
        <v>46</v>
      </c>
      <c r="AB432" s="69" t="s">
        <v>46</v>
      </c>
      <c r="AC432" s="534" t="s">
        <v>710</v>
      </c>
    </row>
    <row r="433" spans="1:29" ht="15" hidden="1" x14ac:dyDescent="0.25">
      <c r="A433" s="63" t="s">
        <v>711</v>
      </c>
      <c r="B433" s="63" t="s">
        <v>712</v>
      </c>
      <c r="C433" s="36">
        <v>4301012356</v>
      </c>
      <c r="D433" s="737">
        <v>4680115889231</v>
      </c>
      <c r="E433" s="737"/>
      <c r="F433" s="62">
        <v>2.5</v>
      </c>
      <c r="G433" s="663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7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39"/>
      <c r="R433" s="739"/>
      <c r="S433" s="739"/>
      <c r="T433" s="74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16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</row>
    <row r="434" spans="1:29" ht="15" hidden="1" x14ac:dyDescent="0.25">
      <c r="A434" s="63" t="s">
        <v>714</v>
      </c>
      <c r="B434" s="63" t="s">
        <v>715</v>
      </c>
      <c r="C434" s="36">
        <v>4301011433</v>
      </c>
      <c r="D434" s="737">
        <v>4680115882638</v>
      </c>
      <c r="E434" s="737"/>
      <c r="F434" s="62">
        <v>0.4</v>
      </c>
      <c r="G434" s="663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39"/>
      <c r="R434" s="739"/>
      <c r="S434" s="739"/>
      <c r="T434" s="74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16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</row>
    <row r="435" spans="1:29" ht="23.25" hidden="1" x14ac:dyDescent="0.25">
      <c r="A435" s="63" t="s">
        <v>717</v>
      </c>
      <c r="B435" s="63" t="s">
        <v>718</v>
      </c>
      <c r="C435" s="36">
        <v>4301011952</v>
      </c>
      <c r="D435" s="737">
        <v>4680115884922</v>
      </c>
      <c r="E435" s="737"/>
      <c r="F435" s="62">
        <v>0.5</v>
      </c>
      <c r="G435" s="663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39"/>
      <c r="R435" s="739"/>
      <c r="S435" s="739"/>
      <c r="T435" s="74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16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</row>
    <row r="436" spans="1:29" ht="34.5" hidden="1" x14ac:dyDescent="0.25">
      <c r="A436" s="63" t="s">
        <v>720</v>
      </c>
      <c r="B436" s="63" t="s">
        <v>721</v>
      </c>
      <c r="C436" s="36">
        <v>4301011868</v>
      </c>
      <c r="D436" s="737">
        <v>4680115884861</v>
      </c>
      <c r="E436" s="737"/>
      <c r="F436" s="62">
        <v>0.5</v>
      </c>
      <c r="G436" s="663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39"/>
      <c r="R436" s="739"/>
      <c r="S436" s="739"/>
      <c r="T436" s="74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16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</row>
    <row r="437" spans="1:29" hidden="1" x14ac:dyDescent="0.2">
      <c r="A437" s="745"/>
      <c r="B437" s="745"/>
      <c r="C437" s="745"/>
      <c r="D437" s="745"/>
      <c r="E437" s="745"/>
      <c r="F437" s="745"/>
      <c r="G437" s="745"/>
      <c r="H437" s="745"/>
      <c r="I437" s="745"/>
      <c r="J437" s="745"/>
      <c r="K437" s="745"/>
      <c r="L437" s="745"/>
      <c r="M437" s="745"/>
      <c r="N437" s="745"/>
      <c r="O437" s="746"/>
      <c r="P437" s="742" t="s">
        <v>40</v>
      </c>
      <c r="Q437" s="743"/>
      <c r="R437" s="743"/>
      <c r="S437" s="743"/>
      <c r="T437" s="743"/>
      <c r="U437" s="743"/>
      <c r="V437" s="744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16</v>
      </c>
      <c r="Y437" s="43">
        <f>IFERROR(Y429/H429,"0")+IFERROR(Y430/H430,"0")+IFERROR(Y431/H431,"0")+IFERROR(Y432/H432,"0")+IFERROR(Y433/H433,"0")+IFERROR(Y434/H434,"0")+IFERROR(Y435/H435,"0")+IFERROR(Y436/H436,"0")</f>
        <v>16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0.34799999999999998</v>
      </c>
      <c r="AA437" s="67"/>
      <c r="AB437" s="67"/>
      <c r="AC437" s="67"/>
    </row>
    <row r="438" spans="1:29" hidden="1" x14ac:dyDescent="0.2">
      <c r="A438" s="745"/>
      <c r="B438" s="745"/>
      <c r="C438" s="745"/>
      <c r="D438" s="745"/>
      <c r="E438" s="745"/>
      <c r="F438" s="745"/>
      <c r="G438" s="745"/>
      <c r="H438" s="745"/>
      <c r="I438" s="745"/>
      <c r="J438" s="745"/>
      <c r="K438" s="745"/>
      <c r="L438" s="745"/>
      <c r="M438" s="745"/>
      <c r="N438" s="745"/>
      <c r="O438" s="746"/>
      <c r="P438" s="742" t="s">
        <v>40</v>
      </c>
      <c r="Q438" s="743"/>
      <c r="R438" s="743"/>
      <c r="S438" s="743"/>
      <c r="T438" s="743"/>
      <c r="U438" s="743"/>
      <c r="V438" s="744"/>
      <c r="W438" s="42" t="s">
        <v>0</v>
      </c>
      <c r="X438" s="43">
        <f>IFERROR(SUM(X429:X436),"0")</f>
        <v>240</v>
      </c>
      <c r="Y438" s="43">
        <f>IFERROR(SUM(Y429:Y436),"0")</f>
        <v>240</v>
      </c>
      <c r="Z438" s="42"/>
      <c r="AA438" s="67"/>
      <c r="AB438" s="67"/>
      <c r="AC438" s="67"/>
    </row>
    <row r="439" spans="1:29" ht="15" hidden="1" x14ac:dyDescent="0.25">
      <c r="A439" s="736" t="s">
        <v>157</v>
      </c>
      <c r="B439" s="736"/>
      <c r="C439" s="736"/>
      <c r="D439" s="736"/>
      <c r="E439" s="736"/>
      <c r="F439" s="736"/>
      <c r="G439" s="736"/>
      <c r="H439" s="736"/>
      <c r="I439" s="736"/>
      <c r="J439" s="736"/>
      <c r="K439" s="736"/>
      <c r="L439" s="736"/>
      <c r="M439" s="736"/>
      <c r="N439" s="736"/>
      <c r="O439" s="736"/>
      <c r="P439" s="736"/>
      <c r="Q439" s="736"/>
      <c r="R439" s="736"/>
      <c r="S439" s="736"/>
      <c r="T439" s="736"/>
      <c r="U439" s="736"/>
      <c r="V439" s="736"/>
      <c r="W439" s="736"/>
      <c r="X439" s="736"/>
      <c r="Y439" s="736"/>
      <c r="Z439" s="736"/>
      <c r="AA439" s="652"/>
      <c r="AB439" s="652"/>
      <c r="AC439" s="652"/>
    </row>
    <row r="440" spans="1:29" ht="15" hidden="1" x14ac:dyDescent="0.25">
      <c r="A440" s="63" t="s">
        <v>723</v>
      </c>
      <c r="B440" s="63" t="s">
        <v>724</v>
      </c>
      <c r="C440" s="36">
        <v>4301020178</v>
      </c>
      <c r="D440" s="737">
        <v>4607091383980</v>
      </c>
      <c r="E440" s="737"/>
      <c r="F440" s="62">
        <v>2.5</v>
      </c>
      <c r="G440" s="663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39"/>
      <c r="R440" s="739"/>
      <c r="S440" s="739"/>
      <c r="T440" s="740"/>
      <c r="U440" s="39" t="s">
        <v>46</v>
      </c>
      <c r="V440" s="39" t="s">
        <v>46</v>
      </c>
      <c r="W440" s="40" t="s">
        <v>0</v>
      </c>
      <c r="X440" s="58">
        <v>120</v>
      </c>
      <c r="Y440" s="55">
        <f>IFERROR(IF(X440="",0,CEILING((X440/$H440),1)*$H440),"")</f>
        <v>120</v>
      </c>
      <c r="Z440" s="41">
        <f>IFERROR(IF(Y440=0,"",ROUNDUP(Y440/H440,0)*0.02175),"")</f>
        <v>0.17399999999999999</v>
      </c>
      <c r="AA440" s="68" t="s">
        <v>46</v>
      </c>
      <c r="AB440" s="69" t="s">
        <v>46</v>
      </c>
      <c r="AC440" s="544" t="s">
        <v>725</v>
      </c>
    </row>
    <row r="441" spans="1:29" ht="15" hidden="1" x14ac:dyDescent="0.25">
      <c r="A441" s="63" t="s">
        <v>726</v>
      </c>
      <c r="B441" s="63" t="s">
        <v>727</v>
      </c>
      <c r="C441" s="36">
        <v>4301020355</v>
      </c>
      <c r="D441" s="737">
        <v>4680115888425</v>
      </c>
      <c r="E441" s="737"/>
      <c r="F441" s="62">
        <v>2.5</v>
      </c>
      <c r="G441" s="663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7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39"/>
      <c r="R441" s="739"/>
      <c r="S441" s="739"/>
      <c r="T441" s="74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</row>
    <row r="442" spans="1:29" ht="23.25" hidden="1" x14ac:dyDescent="0.25">
      <c r="A442" s="63" t="s">
        <v>729</v>
      </c>
      <c r="B442" s="63" t="s">
        <v>730</v>
      </c>
      <c r="C442" s="36">
        <v>4301020179</v>
      </c>
      <c r="D442" s="737">
        <v>4607091384178</v>
      </c>
      <c r="E442" s="737"/>
      <c r="F442" s="62">
        <v>0.4</v>
      </c>
      <c r="G442" s="663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39"/>
      <c r="R442" s="739"/>
      <c r="S442" s="739"/>
      <c r="T442" s="74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</row>
    <row r="443" spans="1:29" hidden="1" x14ac:dyDescent="0.2">
      <c r="A443" s="745"/>
      <c r="B443" s="745"/>
      <c r="C443" s="745"/>
      <c r="D443" s="745"/>
      <c r="E443" s="745"/>
      <c r="F443" s="745"/>
      <c r="G443" s="745"/>
      <c r="H443" s="745"/>
      <c r="I443" s="745"/>
      <c r="J443" s="745"/>
      <c r="K443" s="745"/>
      <c r="L443" s="745"/>
      <c r="M443" s="745"/>
      <c r="N443" s="745"/>
      <c r="O443" s="746"/>
      <c r="P443" s="742" t="s">
        <v>40</v>
      </c>
      <c r="Q443" s="743"/>
      <c r="R443" s="743"/>
      <c r="S443" s="743"/>
      <c r="T443" s="743"/>
      <c r="U443" s="743"/>
      <c r="V443" s="744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0.17399999999999999</v>
      </c>
      <c r="AA443" s="67"/>
      <c r="AB443" s="67"/>
      <c r="AC443" s="67"/>
    </row>
    <row r="444" spans="1:29" hidden="1" x14ac:dyDescent="0.2">
      <c r="A444" s="745"/>
      <c r="B444" s="745"/>
      <c r="C444" s="745"/>
      <c r="D444" s="745"/>
      <c r="E444" s="745"/>
      <c r="F444" s="745"/>
      <c r="G444" s="745"/>
      <c r="H444" s="745"/>
      <c r="I444" s="745"/>
      <c r="J444" s="745"/>
      <c r="K444" s="745"/>
      <c r="L444" s="745"/>
      <c r="M444" s="745"/>
      <c r="N444" s="745"/>
      <c r="O444" s="746"/>
      <c r="P444" s="742" t="s">
        <v>40</v>
      </c>
      <c r="Q444" s="743"/>
      <c r="R444" s="743"/>
      <c r="S444" s="743"/>
      <c r="T444" s="743"/>
      <c r="U444" s="743"/>
      <c r="V444" s="744"/>
      <c r="W444" s="42" t="s">
        <v>0</v>
      </c>
      <c r="X444" s="43">
        <f>IFERROR(SUM(X440:X442),"0")</f>
        <v>120</v>
      </c>
      <c r="Y444" s="43">
        <f>IFERROR(SUM(Y440:Y442),"0")</f>
        <v>120</v>
      </c>
      <c r="Z444" s="42"/>
      <c r="AA444" s="67"/>
      <c r="AB444" s="67"/>
      <c r="AC444" s="67"/>
    </row>
    <row r="445" spans="1:29" ht="15" hidden="1" x14ac:dyDescent="0.25">
      <c r="A445" s="736" t="s">
        <v>86</v>
      </c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6"/>
      <c r="P445" s="736"/>
      <c r="Q445" s="736"/>
      <c r="R445" s="736"/>
      <c r="S445" s="736"/>
      <c r="T445" s="736"/>
      <c r="U445" s="736"/>
      <c r="V445" s="736"/>
      <c r="W445" s="736"/>
      <c r="X445" s="736"/>
      <c r="Y445" s="736"/>
      <c r="Z445" s="736"/>
      <c r="AA445" s="652"/>
      <c r="AB445" s="652"/>
      <c r="AC445" s="652"/>
    </row>
    <row r="446" spans="1:29" ht="23.25" hidden="1" x14ac:dyDescent="0.25">
      <c r="A446" s="63" t="s">
        <v>732</v>
      </c>
      <c r="B446" s="63" t="s">
        <v>733</v>
      </c>
      <c r="C446" s="36">
        <v>4301051903</v>
      </c>
      <c r="D446" s="737">
        <v>4607091383928</v>
      </c>
      <c r="E446" s="737"/>
      <c r="F446" s="62">
        <v>1.5</v>
      </c>
      <c r="G446" s="663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39"/>
      <c r="R446" s="739"/>
      <c r="S446" s="739"/>
      <c r="T446" s="74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</row>
    <row r="447" spans="1:29" ht="23.25" hidden="1" x14ac:dyDescent="0.25">
      <c r="A447" s="63" t="s">
        <v>735</v>
      </c>
      <c r="B447" s="63" t="s">
        <v>736</v>
      </c>
      <c r="C447" s="36">
        <v>4301051897</v>
      </c>
      <c r="D447" s="737">
        <v>4607091384260</v>
      </c>
      <c r="E447" s="737"/>
      <c r="F447" s="62">
        <v>1.5</v>
      </c>
      <c r="G447" s="663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39"/>
      <c r="R447" s="739"/>
      <c r="S447" s="739"/>
      <c r="T447" s="74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</row>
    <row r="448" spans="1:29" ht="23.25" hidden="1" x14ac:dyDescent="0.25">
      <c r="A448" s="63" t="s">
        <v>738</v>
      </c>
      <c r="B448" s="63" t="s">
        <v>739</v>
      </c>
      <c r="C448" s="36">
        <v>4301052220</v>
      </c>
      <c r="D448" s="737">
        <v>4680115889538</v>
      </c>
      <c r="E448" s="737"/>
      <c r="F448" s="62">
        <v>0.8</v>
      </c>
      <c r="G448" s="663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7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39"/>
      <c r="R448" s="739"/>
      <c r="S448" s="739"/>
      <c r="T448" s="740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</row>
    <row r="449" spans="1:29" hidden="1" x14ac:dyDescent="0.2">
      <c r="A449" s="745"/>
      <c r="B449" s="745"/>
      <c r="C449" s="745"/>
      <c r="D449" s="745"/>
      <c r="E449" s="745"/>
      <c r="F449" s="745"/>
      <c r="G449" s="745"/>
      <c r="H449" s="745"/>
      <c r="I449" s="745"/>
      <c r="J449" s="745"/>
      <c r="K449" s="745"/>
      <c r="L449" s="745"/>
      <c r="M449" s="745"/>
      <c r="N449" s="745"/>
      <c r="O449" s="746"/>
      <c r="P449" s="742" t="s">
        <v>40</v>
      </c>
      <c r="Q449" s="743"/>
      <c r="R449" s="743"/>
      <c r="S449" s="743"/>
      <c r="T449" s="743"/>
      <c r="U449" s="743"/>
      <c r="V449" s="744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29" hidden="1" x14ac:dyDescent="0.2">
      <c r="A450" s="745"/>
      <c r="B450" s="745"/>
      <c r="C450" s="745"/>
      <c r="D450" s="745"/>
      <c r="E450" s="745"/>
      <c r="F450" s="745"/>
      <c r="G450" s="745"/>
      <c r="H450" s="745"/>
      <c r="I450" s="745"/>
      <c r="J450" s="745"/>
      <c r="K450" s="745"/>
      <c r="L450" s="745"/>
      <c r="M450" s="745"/>
      <c r="N450" s="745"/>
      <c r="O450" s="746"/>
      <c r="P450" s="742" t="s">
        <v>40</v>
      </c>
      <c r="Q450" s="743"/>
      <c r="R450" s="743"/>
      <c r="S450" s="743"/>
      <c r="T450" s="743"/>
      <c r="U450" s="743"/>
      <c r="V450" s="744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29" ht="15" hidden="1" x14ac:dyDescent="0.25">
      <c r="A451" s="736" t="s">
        <v>175</v>
      </c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6"/>
      <c r="P451" s="736"/>
      <c r="Q451" s="736"/>
      <c r="R451" s="736"/>
      <c r="S451" s="736"/>
      <c r="T451" s="736"/>
      <c r="U451" s="736"/>
      <c r="V451" s="736"/>
      <c r="W451" s="736"/>
      <c r="X451" s="736"/>
      <c r="Y451" s="736"/>
      <c r="Z451" s="736"/>
      <c r="AA451" s="652"/>
      <c r="AB451" s="652"/>
      <c r="AC451" s="652"/>
    </row>
    <row r="452" spans="1:29" ht="23.25" hidden="1" x14ac:dyDescent="0.25">
      <c r="A452" s="63" t="s">
        <v>741</v>
      </c>
      <c r="B452" s="63" t="s">
        <v>742</v>
      </c>
      <c r="C452" s="36">
        <v>4301060537</v>
      </c>
      <c r="D452" s="737">
        <v>4680115889545</v>
      </c>
      <c r="E452" s="737"/>
      <c r="F452" s="62">
        <v>0.7</v>
      </c>
      <c r="G452" s="663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8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39"/>
      <c r="R452" s="739"/>
      <c r="S452" s="739"/>
      <c r="T452" s="74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</row>
    <row r="453" spans="1:29" ht="15" hidden="1" x14ac:dyDescent="0.25">
      <c r="A453" s="63" t="s">
        <v>744</v>
      </c>
      <c r="B453" s="63" t="s">
        <v>745</v>
      </c>
      <c r="C453" s="36">
        <v>4301060524</v>
      </c>
      <c r="D453" s="737">
        <v>4607091384673</v>
      </c>
      <c r="E453" s="737"/>
      <c r="F453" s="62">
        <v>1.5</v>
      </c>
      <c r="G453" s="663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39"/>
      <c r="R453" s="739"/>
      <c r="S453" s="739"/>
      <c r="T453" s="74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</row>
    <row r="454" spans="1:29" hidden="1" x14ac:dyDescent="0.2">
      <c r="A454" s="745"/>
      <c r="B454" s="745"/>
      <c r="C454" s="745"/>
      <c r="D454" s="745"/>
      <c r="E454" s="745"/>
      <c r="F454" s="745"/>
      <c r="G454" s="745"/>
      <c r="H454" s="745"/>
      <c r="I454" s="745"/>
      <c r="J454" s="745"/>
      <c r="K454" s="745"/>
      <c r="L454" s="745"/>
      <c r="M454" s="745"/>
      <c r="N454" s="745"/>
      <c r="O454" s="746"/>
      <c r="P454" s="742" t="s">
        <v>40</v>
      </c>
      <c r="Q454" s="743"/>
      <c r="R454" s="743"/>
      <c r="S454" s="743"/>
      <c r="T454" s="743"/>
      <c r="U454" s="743"/>
      <c r="V454" s="7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29" hidden="1" x14ac:dyDescent="0.2">
      <c r="A455" s="745"/>
      <c r="B455" s="745"/>
      <c r="C455" s="745"/>
      <c r="D455" s="745"/>
      <c r="E455" s="745"/>
      <c r="F455" s="745"/>
      <c r="G455" s="745"/>
      <c r="H455" s="745"/>
      <c r="I455" s="745"/>
      <c r="J455" s="745"/>
      <c r="K455" s="745"/>
      <c r="L455" s="745"/>
      <c r="M455" s="745"/>
      <c r="N455" s="745"/>
      <c r="O455" s="746"/>
      <c r="P455" s="742" t="s">
        <v>40</v>
      </c>
      <c r="Q455" s="743"/>
      <c r="R455" s="743"/>
      <c r="S455" s="743"/>
      <c r="T455" s="743"/>
      <c r="U455" s="743"/>
      <c r="V455" s="7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29" ht="15" hidden="1" x14ac:dyDescent="0.25">
      <c r="A456" s="735" t="s">
        <v>747</v>
      </c>
      <c r="B456" s="735"/>
      <c r="C456" s="735"/>
      <c r="D456" s="735"/>
      <c r="E456" s="735"/>
      <c r="F456" s="735"/>
      <c r="G456" s="735"/>
      <c r="H456" s="735"/>
      <c r="I456" s="735"/>
      <c r="J456" s="735"/>
      <c r="K456" s="735"/>
      <c r="L456" s="735"/>
      <c r="M456" s="735"/>
      <c r="N456" s="735"/>
      <c r="O456" s="735"/>
      <c r="P456" s="735"/>
      <c r="Q456" s="735"/>
      <c r="R456" s="735"/>
      <c r="S456" s="735"/>
      <c r="T456" s="735"/>
      <c r="U456" s="735"/>
      <c r="V456" s="735"/>
      <c r="W456" s="735"/>
      <c r="X456" s="735"/>
      <c r="Y456" s="735"/>
      <c r="Z456" s="735"/>
      <c r="AA456" s="653"/>
      <c r="AB456" s="653"/>
      <c r="AC456" s="653"/>
    </row>
    <row r="457" spans="1:29" ht="15" hidden="1" x14ac:dyDescent="0.25">
      <c r="A457" s="736" t="s">
        <v>122</v>
      </c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6"/>
      <c r="P457" s="736"/>
      <c r="Q457" s="736"/>
      <c r="R457" s="736"/>
      <c r="S457" s="736"/>
      <c r="T457" s="736"/>
      <c r="U457" s="736"/>
      <c r="V457" s="736"/>
      <c r="W457" s="736"/>
      <c r="X457" s="736"/>
      <c r="Y457" s="736"/>
      <c r="Z457" s="736"/>
      <c r="AA457" s="652"/>
      <c r="AB457" s="652"/>
      <c r="AC457" s="652"/>
    </row>
    <row r="458" spans="1:29" ht="23.25" hidden="1" x14ac:dyDescent="0.25">
      <c r="A458" s="63" t="s">
        <v>748</v>
      </c>
      <c r="B458" s="63" t="s">
        <v>749</v>
      </c>
      <c r="C458" s="36">
        <v>4301011875</v>
      </c>
      <c r="D458" s="737">
        <v>4680115884885</v>
      </c>
      <c r="E458" s="737"/>
      <c r="F458" s="62">
        <v>0.8</v>
      </c>
      <c r="G458" s="663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8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39"/>
      <c r="R458" s="739"/>
      <c r="S458" s="739"/>
      <c r="T458" s="74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</row>
    <row r="459" spans="1:29" ht="23.25" hidden="1" x14ac:dyDescent="0.25">
      <c r="A459" s="63" t="s">
        <v>751</v>
      </c>
      <c r="B459" s="63" t="s">
        <v>752</v>
      </c>
      <c r="C459" s="36">
        <v>4301011871</v>
      </c>
      <c r="D459" s="737">
        <v>4680115884908</v>
      </c>
      <c r="E459" s="737"/>
      <c r="F459" s="62">
        <v>0.4</v>
      </c>
      <c r="G459" s="663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39"/>
      <c r="R459" s="739"/>
      <c r="S459" s="739"/>
      <c r="T459" s="74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</row>
    <row r="460" spans="1:29" hidden="1" x14ac:dyDescent="0.2">
      <c r="A460" s="745"/>
      <c r="B460" s="745"/>
      <c r="C460" s="745"/>
      <c r="D460" s="745"/>
      <c r="E460" s="745"/>
      <c r="F460" s="745"/>
      <c r="G460" s="745"/>
      <c r="H460" s="745"/>
      <c r="I460" s="745"/>
      <c r="J460" s="745"/>
      <c r="K460" s="745"/>
      <c r="L460" s="745"/>
      <c r="M460" s="745"/>
      <c r="N460" s="745"/>
      <c r="O460" s="746"/>
      <c r="P460" s="742" t="s">
        <v>40</v>
      </c>
      <c r="Q460" s="743"/>
      <c r="R460" s="743"/>
      <c r="S460" s="743"/>
      <c r="T460" s="743"/>
      <c r="U460" s="743"/>
      <c r="V460" s="744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29" hidden="1" x14ac:dyDescent="0.2">
      <c r="A461" s="745"/>
      <c r="B461" s="745"/>
      <c r="C461" s="745"/>
      <c r="D461" s="745"/>
      <c r="E461" s="745"/>
      <c r="F461" s="745"/>
      <c r="G461" s="745"/>
      <c r="H461" s="745"/>
      <c r="I461" s="745"/>
      <c r="J461" s="745"/>
      <c r="K461" s="745"/>
      <c r="L461" s="745"/>
      <c r="M461" s="745"/>
      <c r="N461" s="745"/>
      <c r="O461" s="746"/>
      <c r="P461" s="742" t="s">
        <v>40</v>
      </c>
      <c r="Q461" s="743"/>
      <c r="R461" s="743"/>
      <c r="S461" s="743"/>
      <c r="T461" s="743"/>
      <c r="U461" s="743"/>
      <c r="V461" s="744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29" ht="15" hidden="1" x14ac:dyDescent="0.25">
      <c r="A462" s="736" t="s">
        <v>77</v>
      </c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  <c r="S462" s="736"/>
      <c r="T462" s="736"/>
      <c r="U462" s="736"/>
      <c r="V462" s="736"/>
      <c r="W462" s="736"/>
      <c r="X462" s="736"/>
      <c r="Y462" s="736"/>
      <c r="Z462" s="736"/>
      <c r="AA462" s="652"/>
      <c r="AB462" s="652"/>
      <c r="AC462" s="652"/>
    </row>
    <row r="463" spans="1:29" ht="15" hidden="1" x14ac:dyDescent="0.25">
      <c r="A463" s="63" t="s">
        <v>753</v>
      </c>
      <c r="B463" s="63" t="s">
        <v>754</v>
      </c>
      <c r="C463" s="36">
        <v>4301031457</v>
      </c>
      <c r="D463" s="737">
        <v>4607091384802</v>
      </c>
      <c r="E463" s="737"/>
      <c r="F463" s="62">
        <v>0.7</v>
      </c>
      <c r="G463" s="663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39"/>
      <c r="R463" s="739"/>
      <c r="S463" s="739"/>
      <c r="T463" s="74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</row>
    <row r="464" spans="1:29" hidden="1" x14ac:dyDescent="0.2">
      <c r="A464" s="745"/>
      <c r="B464" s="745"/>
      <c r="C464" s="745"/>
      <c r="D464" s="745"/>
      <c r="E464" s="745"/>
      <c r="F464" s="745"/>
      <c r="G464" s="745"/>
      <c r="H464" s="745"/>
      <c r="I464" s="745"/>
      <c r="J464" s="745"/>
      <c r="K464" s="745"/>
      <c r="L464" s="745"/>
      <c r="M464" s="745"/>
      <c r="N464" s="745"/>
      <c r="O464" s="746"/>
      <c r="P464" s="742" t="s">
        <v>40</v>
      </c>
      <c r="Q464" s="743"/>
      <c r="R464" s="743"/>
      <c r="S464" s="743"/>
      <c r="T464" s="743"/>
      <c r="U464" s="743"/>
      <c r="V464" s="744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29" hidden="1" x14ac:dyDescent="0.2">
      <c r="A465" s="745"/>
      <c r="B465" s="745"/>
      <c r="C465" s="745"/>
      <c r="D465" s="745"/>
      <c r="E465" s="745"/>
      <c r="F465" s="745"/>
      <c r="G465" s="745"/>
      <c r="H465" s="745"/>
      <c r="I465" s="745"/>
      <c r="J465" s="745"/>
      <c r="K465" s="745"/>
      <c r="L465" s="745"/>
      <c r="M465" s="745"/>
      <c r="N465" s="745"/>
      <c r="O465" s="746"/>
      <c r="P465" s="742" t="s">
        <v>40</v>
      </c>
      <c r="Q465" s="743"/>
      <c r="R465" s="743"/>
      <c r="S465" s="743"/>
      <c r="T465" s="743"/>
      <c r="U465" s="743"/>
      <c r="V465" s="744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29" ht="15" hidden="1" x14ac:dyDescent="0.25">
      <c r="A466" s="736" t="s">
        <v>86</v>
      </c>
      <c r="B466" s="736"/>
      <c r="C466" s="736"/>
      <c r="D466" s="736"/>
      <c r="E466" s="736"/>
      <c r="F466" s="736"/>
      <c r="G466" s="736"/>
      <c r="H466" s="736"/>
      <c r="I466" s="736"/>
      <c r="J466" s="736"/>
      <c r="K466" s="736"/>
      <c r="L466" s="736"/>
      <c r="M466" s="736"/>
      <c r="N466" s="736"/>
      <c r="O466" s="736"/>
      <c r="P466" s="736"/>
      <c r="Q466" s="736"/>
      <c r="R466" s="736"/>
      <c r="S466" s="736"/>
      <c r="T466" s="736"/>
      <c r="U466" s="736"/>
      <c r="V466" s="736"/>
      <c r="W466" s="736"/>
      <c r="X466" s="736"/>
      <c r="Y466" s="736"/>
      <c r="Z466" s="736"/>
      <c r="AA466" s="652"/>
      <c r="AB466" s="652"/>
      <c r="AC466" s="652"/>
    </row>
    <row r="467" spans="1:29" ht="23.25" hidden="1" x14ac:dyDescent="0.25">
      <c r="A467" s="63" t="s">
        <v>756</v>
      </c>
      <c r="B467" s="63" t="s">
        <v>757</v>
      </c>
      <c r="C467" s="36">
        <v>4301051899</v>
      </c>
      <c r="D467" s="737">
        <v>4607091384246</v>
      </c>
      <c r="E467" s="737"/>
      <c r="F467" s="62">
        <v>1.5</v>
      </c>
      <c r="G467" s="663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39"/>
      <c r="R467" s="739"/>
      <c r="S467" s="739"/>
      <c r="T467" s="74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</row>
    <row r="468" spans="1:29" ht="23.25" hidden="1" x14ac:dyDescent="0.25">
      <c r="A468" s="63" t="s">
        <v>759</v>
      </c>
      <c r="B468" s="63" t="s">
        <v>760</v>
      </c>
      <c r="C468" s="36">
        <v>4301051660</v>
      </c>
      <c r="D468" s="737">
        <v>4607091384253</v>
      </c>
      <c r="E468" s="737"/>
      <c r="F468" s="62">
        <v>0.4</v>
      </c>
      <c r="G468" s="663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39"/>
      <c r="R468" s="739"/>
      <c r="S468" s="739"/>
      <c r="T468" s="740"/>
      <c r="U468" s="39" t="s">
        <v>46</v>
      </c>
      <c r="V468" s="39" t="s">
        <v>46</v>
      </c>
      <c r="W468" s="40" t="s">
        <v>0</v>
      </c>
      <c r="X468" s="58">
        <v>33.6</v>
      </c>
      <c r="Y468" s="55">
        <f>IFERROR(IF(X468="",0,CEILING((X468/$H468),1)*$H468),"")</f>
        <v>33.6</v>
      </c>
      <c r="Z468" s="41">
        <f>IFERROR(IF(Y468=0,"",ROUNDUP(Y468/H468,0)*0.00651),"")</f>
        <v>9.1139999999999999E-2</v>
      </c>
      <c r="AA468" s="68" t="s">
        <v>46</v>
      </c>
      <c r="AB468" s="69" t="s">
        <v>46</v>
      </c>
      <c r="AC468" s="568" t="s">
        <v>758</v>
      </c>
    </row>
    <row r="469" spans="1:29" ht="15" hidden="1" x14ac:dyDescent="0.25">
      <c r="A469" s="63" t="s">
        <v>759</v>
      </c>
      <c r="B469" s="63" t="s">
        <v>761</v>
      </c>
      <c r="C469" s="36">
        <v>4301052069</v>
      </c>
      <c r="D469" s="737">
        <v>4607091384253</v>
      </c>
      <c r="E469" s="737"/>
      <c r="F469" s="62">
        <v>0.4</v>
      </c>
      <c r="G469" s="663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39"/>
      <c r="R469" s="739"/>
      <c r="S469" s="739"/>
      <c r="T469" s="74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</row>
    <row r="470" spans="1:29" hidden="1" x14ac:dyDescent="0.2">
      <c r="A470" s="745"/>
      <c r="B470" s="745"/>
      <c r="C470" s="745"/>
      <c r="D470" s="745"/>
      <c r="E470" s="745"/>
      <c r="F470" s="745"/>
      <c r="G470" s="745"/>
      <c r="H470" s="745"/>
      <c r="I470" s="745"/>
      <c r="J470" s="745"/>
      <c r="K470" s="745"/>
      <c r="L470" s="745"/>
      <c r="M470" s="745"/>
      <c r="N470" s="745"/>
      <c r="O470" s="746"/>
      <c r="P470" s="742" t="s">
        <v>40</v>
      </c>
      <c r="Q470" s="743"/>
      <c r="R470" s="743"/>
      <c r="S470" s="743"/>
      <c r="T470" s="743"/>
      <c r="U470" s="743"/>
      <c r="V470" s="744"/>
      <c r="W470" s="42" t="s">
        <v>39</v>
      </c>
      <c r="X470" s="43">
        <f>IFERROR(X467/H467,"0")+IFERROR(X468/H468,"0")+IFERROR(X469/H469,"0")</f>
        <v>14.000000000000002</v>
      </c>
      <c r="Y470" s="43">
        <f>IFERROR(Y467/H467,"0")+IFERROR(Y468/H468,"0")+IFERROR(Y469/H469,"0")</f>
        <v>14.000000000000002</v>
      </c>
      <c r="Z470" s="43">
        <f>IFERROR(IF(Z467="",0,Z467),"0")+IFERROR(IF(Z468="",0,Z468),"0")+IFERROR(IF(Z469="",0,Z469),"0")</f>
        <v>9.1139999999999999E-2</v>
      </c>
      <c r="AA470" s="67"/>
      <c r="AB470" s="67"/>
      <c r="AC470" s="67"/>
    </row>
    <row r="471" spans="1:29" hidden="1" x14ac:dyDescent="0.2">
      <c r="A471" s="745"/>
      <c r="B471" s="745"/>
      <c r="C471" s="745"/>
      <c r="D471" s="745"/>
      <c r="E471" s="745"/>
      <c r="F471" s="745"/>
      <c r="G471" s="745"/>
      <c r="H471" s="745"/>
      <c r="I471" s="745"/>
      <c r="J471" s="745"/>
      <c r="K471" s="745"/>
      <c r="L471" s="745"/>
      <c r="M471" s="745"/>
      <c r="N471" s="745"/>
      <c r="O471" s="746"/>
      <c r="P471" s="742" t="s">
        <v>40</v>
      </c>
      <c r="Q471" s="743"/>
      <c r="R471" s="743"/>
      <c r="S471" s="743"/>
      <c r="T471" s="743"/>
      <c r="U471" s="743"/>
      <c r="V471" s="744"/>
      <c r="W471" s="42" t="s">
        <v>0</v>
      </c>
      <c r="X471" s="43">
        <f>IFERROR(SUM(X467:X469),"0")</f>
        <v>33.6</v>
      </c>
      <c r="Y471" s="43">
        <f>IFERROR(SUM(Y467:Y469),"0")</f>
        <v>33.6</v>
      </c>
      <c r="Z471" s="42"/>
      <c r="AA471" s="67"/>
      <c r="AB471" s="67"/>
      <c r="AC471" s="67"/>
    </row>
    <row r="472" spans="1:29" ht="20.25" hidden="1" x14ac:dyDescent="0.2">
      <c r="A472" s="734" t="s">
        <v>763</v>
      </c>
      <c r="B472" s="734"/>
      <c r="C472" s="734"/>
      <c r="D472" s="734"/>
      <c r="E472" s="734"/>
      <c r="F472" s="734"/>
      <c r="G472" s="734"/>
      <c r="H472" s="734"/>
      <c r="I472" s="734"/>
      <c r="J472" s="734"/>
      <c r="K472" s="734"/>
      <c r="L472" s="734"/>
      <c r="M472" s="734"/>
      <c r="N472" s="734"/>
      <c r="O472" s="734"/>
      <c r="P472" s="734"/>
      <c r="Q472" s="734"/>
      <c r="R472" s="734"/>
      <c r="S472" s="734"/>
      <c r="T472" s="734"/>
      <c r="U472" s="734"/>
      <c r="V472" s="734"/>
      <c r="W472" s="734"/>
      <c r="X472" s="734"/>
      <c r="Y472" s="734"/>
      <c r="Z472" s="734"/>
      <c r="AA472" s="54"/>
      <c r="AB472" s="54"/>
      <c r="AC472" s="54"/>
    </row>
    <row r="473" spans="1:29" ht="15" hidden="1" x14ac:dyDescent="0.25">
      <c r="A473" s="735" t="s">
        <v>764</v>
      </c>
      <c r="B473" s="735"/>
      <c r="C473" s="735"/>
      <c r="D473" s="735"/>
      <c r="E473" s="735"/>
      <c r="F473" s="735"/>
      <c r="G473" s="735"/>
      <c r="H473" s="735"/>
      <c r="I473" s="735"/>
      <c r="J473" s="735"/>
      <c r="K473" s="735"/>
      <c r="L473" s="735"/>
      <c r="M473" s="735"/>
      <c r="N473" s="735"/>
      <c r="O473" s="735"/>
      <c r="P473" s="735"/>
      <c r="Q473" s="735"/>
      <c r="R473" s="735"/>
      <c r="S473" s="735"/>
      <c r="T473" s="735"/>
      <c r="U473" s="735"/>
      <c r="V473" s="735"/>
      <c r="W473" s="735"/>
      <c r="X473" s="735"/>
      <c r="Y473" s="735"/>
      <c r="Z473" s="735"/>
      <c r="AA473" s="653"/>
      <c r="AB473" s="653"/>
      <c r="AC473" s="653"/>
    </row>
    <row r="474" spans="1:29" ht="15" hidden="1" x14ac:dyDescent="0.25">
      <c r="A474" s="736" t="s">
        <v>77</v>
      </c>
      <c r="B474" s="736"/>
      <c r="C474" s="736"/>
      <c r="D474" s="736"/>
      <c r="E474" s="736"/>
      <c r="F474" s="736"/>
      <c r="G474" s="736"/>
      <c r="H474" s="736"/>
      <c r="I474" s="736"/>
      <c r="J474" s="736"/>
      <c r="K474" s="736"/>
      <c r="L474" s="736"/>
      <c r="M474" s="736"/>
      <c r="N474" s="736"/>
      <c r="O474" s="736"/>
      <c r="P474" s="736"/>
      <c r="Q474" s="736"/>
      <c r="R474" s="736"/>
      <c r="S474" s="736"/>
      <c r="T474" s="736"/>
      <c r="U474" s="736"/>
      <c r="V474" s="736"/>
      <c r="W474" s="736"/>
      <c r="X474" s="736"/>
      <c r="Y474" s="736"/>
      <c r="Z474" s="736"/>
      <c r="AA474" s="652"/>
      <c r="AB474" s="652"/>
      <c r="AC474" s="652"/>
    </row>
    <row r="475" spans="1:29" ht="15" hidden="1" x14ac:dyDescent="0.25">
      <c r="A475" s="63" t="s">
        <v>765</v>
      </c>
      <c r="B475" s="63" t="s">
        <v>766</v>
      </c>
      <c r="C475" s="36">
        <v>4301031405</v>
      </c>
      <c r="D475" s="737">
        <v>4680115886100</v>
      </c>
      <c r="E475" s="737"/>
      <c r="F475" s="62">
        <v>0.9</v>
      </c>
      <c r="G475" s="663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39"/>
      <c r="R475" s="739"/>
      <c r="S475" s="739"/>
      <c r="T475" s="74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17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</row>
    <row r="476" spans="1:29" ht="15" hidden="1" x14ac:dyDescent="0.25">
      <c r="A476" s="63" t="s">
        <v>768</v>
      </c>
      <c r="B476" s="63" t="s">
        <v>769</v>
      </c>
      <c r="C476" s="36">
        <v>4301031402</v>
      </c>
      <c r="D476" s="737">
        <v>4680115886124</v>
      </c>
      <c r="E476" s="737"/>
      <c r="F476" s="62">
        <v>0.9</v>
      </c>
      <c r="G476" s="663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39"/>
      <c r="R476" s="739"/>
      <c r="S476" s="739"/>
      <c r="T476" s="74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17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</row>
    <row r="477" spans="1:29" ht="15" hidden="1" x14ac:dyDescent="0.25">
      <c r="A477" s="63" t="s">
        <v>771</v>
      </c>
      <c r="B477" s="63" t="s">
        <v>772</v>
      </c>
      <c r="C477" s="36">
        <v>4301031362</v>
      </c>
      <c r="D477" s="737">
        <v>4607091384338</v>
      </c>
      <c r="E477" s="737"/>
      <c r="F477" s="62">
        <v>0.35</v>
      </c>
      <c r="G477" s="663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39"/>
      <c r="R477" s="739"/>
      <c r="S477" s="739"/>
      <c r="T477" s="74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17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</row>
    <row r="478" spans="1:29" ht="15" hidden="1" x14ac:dyDescent="0.25">
      <c r="A478" s="63" t="s">
        <v>773</v>
      </c>
      <c r="B478" s="63" t="s">
        <v>774</v>
      </c>
      <c r="C478" s="36">
        <v>4301031364</v>
      </c>
      <c r="D478" s="737">
        <v>4680115883161</v>
      </c>
      <c r="E478" s="737"/>
      <c r="F478" s="62">
        <v>0.28000000000000003</v>
      </c>
      <c r="G478" s="663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39"/>
      <c r="R478" s="739"/>
      <c r="S478" s="739"/>
      <c r="T478" s="74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17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</row>
    <row r="479" spans="1:29" ht="15" hidden="1" x14ac:dyDescent="0.25">
      <c r="A479" s="63" t="s">
        <v>776</v>
      </c>
      <c r="B479" s="63" t="s">
        <v>777</v>
      </c>
      <c r="C479" s="36">
        <v>4301031358</v>
      </c>
      <c r="D479" s="737">
        <v>4607091389531</v>
      </c>
      <c r="E479" s="737"/>
      <c r="F479" s="62">
        <v>0.35</v>
      </c>
      <c r="G479" s="663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39"/>
      <c r="R479" s="739"/>
      <c r="S479" s="739"/>
      <c r="T479" s="74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17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</row>
    <row r="480" spans="1:29" ht="15" hidden="1" x14ac:dyDescent="0.25">
      <c r="A480" s="63" t="s">
        <v>779</v>
      </c>
      <c r="B480" s="63" t="s">
        <v>780</v>
      </c>
      <c r="C480" s="36">
        <v>4301031360</v>
      </c>
      <c r="D480" s="737">
        <v>4607091384345</v>
      </c>
      <c r="E480" s="737"/>
      <c r="F480" s="62">
        <v>0.35</v>
      </c>
      <c r="G480" s="663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39"/>
      <c r="R480" s="739"/>
      <c r="S480" s="739"/>
      <c r="T480" s="74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17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</row>
    <row r="481" spans="1:29" hidden="1" x14ac:dyDescent="0.2">
      <c r="A481" s="745"/>
      <c r="B481" s="745"/>
      <c r="C481" s="745"/>
      <c r="D481" s="745"/>
      <c r="E481" s="745"/>
      <c r="F481" s="745"/>
      <c r="G481" s="745"/>
      <c r="H481" s="745"/>
      <c r="I481" s="745"/>
      <c r="J481" s="745"/>
      <c r="K481" s="745"/>
      <c r="L481" s="745"/>
      <c r="M481" s="745"/>
      <c r="N481" s="745"/>
      <c r="O481" s="746"/>
      <c r="P481" s="742" t="s">
        <v>40</v>
      </c>
      <c r="Q481" s="743"/>
      <c r="R481" s="743"/>
      <c r="S481" s="743"/>
      <c r="T481" s="743"/>
      <c r="U481" s="743"/>
      <c r="V481" s="744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29" hidden="1" x14ac:dyDescent="0.2">
      <c r="A482" s="745"/>
      <c r="B482" s="745"/>
      <c r="C482" s="745"/>
      <c r="D482" s="745"/>
      <c r="E482" s="745"/>
      <c r="F482" s="745"/>
      <c r="G482" s="745"/>
      <c r="H482" s="745"/>
      <c r="I482" s="745"/>
      <c r="J482" s="745"/>
      <c r="K482" s="745"/>
      <c r="L482" s="745"/>
      <c r="M482" s="745"/>
      <c r="N482" s="745"/>
      <c r="O482" s="746"/>
      <c r="P482" s="742" t="s">
        <v>40</v>
      </c>
      <c r="Q482" s="743"/>
      <c r="R482" s="743"/>
      <c r="S482" s="743"/>
      <c r="T482" s="743"/>
      <c r="U482" s="743"/>
      <c r="V482" s="744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29" ht="15" hidden="1" x14ac:dyDescent="0.25">
      <c r="A483" s="736" t="s">
        <v>86</v>
      </c>
      <c r="B483" s="736"/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  <c r="O483" s="736"/>
      <c r="P483" s="736"/>
      <c r="Q483" s="736"/>
      <c r="R483" s="736"/>
      <c r="S483" s="736"/>
      <c r="T483" s="736"/>
      <c r="U483" s="736"/>
      <c r="V483" s="736"/>
      <c r="W483" s="736"/>
      <c r="X483" s="736"/>
      <c r="Y483" s="736"/>
      <c r="Z483" s="736"/>
      <c r="AA483" s="652"/>
      <c r="AB483" s="652"/>
      <c r="AC483" s="652"/>
    </row>
    <row r="484" spans="1:29" ht="15" hidden="1" x14ac:dyDescent="0.25">
      <c r="A484" s="63" t="s">
        <v>781</v>
      </c>
      <c r="B484" s="63" t="s">
        <v>782</v>
      </c>
      <c r="C484" s="36">
        <v>4301051284</v>
      </c>
      <c r="D484" s="737">
        <v>4607091384352</v>
      </c>
      <c r="E484" s="737"/>
      <c r="F484" s="62">
        <v>0.6</v>
      </c>
      <c r="G484" s="663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39"/>
      <c r="R484" s="739"/>
      <c r="S484" s="739"/>
      <c r="T484" s="74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</row>
    <row r="485" spans="1:29" ht="15" hidden="1" x14ac:dyDescent="0.25">
      <c r="A485" s="63" t="s">
        <v>784</v>
      </c>
      <c r="B485" s="63" t="s">
        <v>785</v>
      </c>
      <c r="C485" s="36">
        <v>4301051431</v>
      </c>
      <c r="D485" s="737">
        <v>4607091389654</v>
      </c>
      <c r="E485" s="737"/>
      <c r="F485" s="62">
        <v>0.33</v>
      </c>
      <c r="G485" s="663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39"/>
      <c r="R485" s="739"/>
      <c r="S485" s="739"/>
      <c r="T485" s="74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</row>
    <row r="486" spans="1:29" hidden="1" x14ac:dyDescent="0.2">
      <c r="A486" s="745"/>
      <c r="B486" s="745"/>
      <c r="C486" s="745"/>
      <c r="D486" s="745"/>
      <c r="E486" s="745"/>
      <c r="F486" s="745"/>
      <c r="G486" s="745"/>
      <c r="H486" s="745"/>
      <c r="I486" s="745"/>
      <c r="J486" s="745"/>
      <c r="K486" s="745"/>
      <c r="L486" s="745"/>
      <c r="M486" s="745"/>
      <c r="N486" s="745"/>
      <c r="O486" s="746"/>
      <c r="P486" s="742" t="s">
        <v>40</v>
      </c>
      <c r="Q486" s="743"/>
      <c r="R486" s="743"/>
      <c r="S486" s="743"/>
      <c r="T486" s="743"/>
      <c r="U486" s="743"/>
      <c r="V486" s="744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29" hidden="1" x14ac:dyDescent="0.2">
      <c r="A487" s="745"/>
      <c r="B487" s="745"/>
      <c r="C487" s="745"/>
      <c r="D487" s="745"/>
      <c r="E487" s="745"/>
      <c r="F487" s="745"/>
      <c r="G487" s="745"/>
      <c r="H487" s="745"/>
      <c r="I487" s="745"/>
      <c r="J487" s="745"/>
      <c r="K487" s="745"/>
      <c r="L487" s="745"/>
      <c r="M487" s="745"/>
      <c r="N487" s="745"/>
      <c r="O487" s="746"/>
      <c r="P487" s="742" t="s">
        <v>40</v>
      </c>
      <c r="Q487" s="743"/>
      <c r="R487" s="743"/>
      <c r="S487" s="743"/>
      <c r="T487" s="743"/>
      <c r="U487" s="743"/>
      <c r="V487" s="744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29" ht="15" hidden="1" x14ac:dyDescent="0.25">
      <c r="A488" s="735" t="s">
        <v>787</v>
      </c>
      <c r="B488" s="735"/>
      <c r="C488" s="735"/>
      <c r="D488" s="735"/>
      <c r="E488" s="735"/>
      <c r="F488" s="735"/>
      <c r="G488" s="735"/>
      <c r="H488" s="735"/>
      <c r="I488" s="735"/>
      <c r="J488" s="735"/>
      <c r="K488" s="735"/>
      <c r="L488" s="735"/>
      <c r="M488" s="735"/>
      <c r="N488" s="735"/>
      <c r="O488" s="735"/>
      <c r="P488" s="735"/>
      <c r="Q488" s="735"/>
      <c r="R488" s="735"/>
      <c r="S488" s="735"/>
      <c r="T488" s="735"/>
      <c r="U488" s="735"/>
      <c r="V488" s="735"/>
      <c r="W488" s="735"/>
      <c r="X488" s="735"/>
      <c r="Y488" s="735"/>
      <c r="Z488" s="735"/>
      <c r="AA488" s="653"/>
      <c r="AB488" s="653"/>
      <c r="AC488" s="653"/>
    </row>
    <row r="489" spans="1:29" ht="15" hidden="1" x14ac:dyDescent="0.25">
      <c r="A489" s="736" t="s">
        <v>157</v>
      </c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6"/>
      <c r="P489" s="736"/>
      <c r="Q489" s="736"/>
      <c r="R489" s="736"/>
      <c r="S489" s="736"/>
      <c r="T489" s="736"/>
      <c r="U489" s="736"/>
      <c r="V489" s="736"/>
      <c r="W489" s="736"/>
      <c r="X489" s="736"/>
      <c r="Y489" s="736"/>
      <c r="Z489" s="736"/>
      <c r="AA489" s="652"/>
      <c r="AB489" s="652"/>
      <c r="AC489" s="652"/>
    </row>
    <row r="490" spans="1:29" ht="15" hidden="1" x14ac:dyDescent="0.25">
      <c r="A490" s="63" t="s">
        <v>788</v>
      </c>
      <c r="B490" s="63" t="s">
        <v>789</v>
      </c>
      <c r="C490" s="36">
        <v>4301020416</v>
      </c>
      <c r="D490" s="737">
        <v>4680115885240</v>
      </c>
      <c r="E490" s="737"/>
      <c r="F490" s="62">
        <v>0.35</v>
      </c>
      <c r="G490" s="663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39"/>
      <c r="R490" s="739"/>
      <c r="S490" s="739"/>
      <c r="T490" s="74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</row>
    <row r="491" spans="1:29" hidden="1" x14ac:dyDescent="0.2">
      <c r="A491" s="745"/>
      <c r="B491" s="745"/>
      <c r="C491" s="745"/>
      <c r="D491" s="745"/>
      <c r="E491" s="745"/>
      <c r="F491" s="745"/>
      <c r="G491" s="745"/>
      <c r="H491" s="745"/>
      <c r="I491" s="745"/>
      <c r="J491" s="745"/>
      <c r="K491" s="745"/>
      <c r="L491" s="745"/>
      <c r="M491" s="745"/>
      <c r="N491" s="745"/>
      <c r="O491" s="746"/>
      <c r="P491" s="742" t="s">
        <v>40</v>
      </c>
      <c r="Q491" s="743"/>
      <c r="R491" s="743"/>
      <c r="S491" s="743"/>
      <c r="T491" s="743"/>
      <c r="U491" s="743"/>
      <c r="V491" s="744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29" hidden="1" x14ac:dyDescent="0.2">
      <c r="A492" s="745"/>
      <c r="B492" s="745"/>
      <c r="C492" s="745"/>
      <c r="D492" s="745"/>
      <c r="E492" s="745"/>
      <c r="F492" s="745"/>
      <c r="G492" s="745"/>
      <c r="H492" s="745"/>
      <c r="I492" s="745"/>
      <c r="J492" s="745"/>
      <c r="K492" s="745"/>
      <c r="L492" s="745"/>
      <c r="M492" s="745"/>
      <c r="N492" s="745"/>
      <c r="O492" s="746"/>
      <c r="P492" s="742" t="s">
        <v>40</v>
      </c>
      <c r="Q492" s="743"/>
      <c r="R492" s="743"/>
      <c r="S492" s="743"/>
      <c r="T492" s="743"/>
      <c r="U492" s="743"/>
      <c r="V492" s="744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29" ht="15" hidden="1" x14ac:dyDescent="0.25">
      <c r="A493" s="736" t="s">
        <v>77</v>
      </c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6"/>
      <c r="P493" s="736"/>
      <c r="Q493" s="736"/>
      <c r="R493" s="736"/>
      <c r="S493" s="736"/>
      <c r="T493" s="736"/>
      <c r="U493" s="736"/>
      <c r="V493" s="736"/>
      <c r="W493" s="736"/>
      <c r="X493" s="736"/>
      <c r="Y493" s="736"/>
      <c r="Z493" s="736"/>
      <c r="AA493" s="652"/>
      <c r="AB493" s="652"/>
      <c r="AC493" s="652"/>
    </row>
    <row r="494" spans="1:29" ht="15" hidden="1" x14ac:dyDescent="0.25">
      <c r="A494" s="63" t="s">
        <v>791</v>
      </c>
      <c r="B494" s="63" t="s">
        <v>792</v>
      </c>
      <c r="C494" s="36">
        <v>4301031407</v>
      </c>
      <c r="D494" s="737">
        <v>4680115886094</v>
      </c>
      <c r="E494" s="737"/>
      <c r="F494" s="62">
        <v>0.9</v>
      </c>
      <c r="G494" s="663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39"/>
      <c r="R494" s="739"/>
      <c r="S494" s="739"/>
      <c r="T494" s="74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</row>
    <row r="495" spans="1:29" ht="15" hidden="1" x14ac:dyDescent="0.25">
      <c r="A495" s="63" t="s">
        <v>794</v>
      </c>
      <c r="B495" s="63" t="s">
        <v>795</v>
      </c>
      <c r="C495" s="36">
        <v>4301031373</v>
      </c>
      <c r="D495" s="737">
        <v>4680115880771</v>
      </c>
      <c r="E495" s="737"/>
      <c r="F495" s="62">
        <v>0.28000000000000003</v>
      </c>
      <c r="G495" s="663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39"/>
      <c r="R495" s="739"/>
      <c r="S495" s="739"/>
      <c r="T495" s="740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</row>
    <row r="496" spans="1:29" ht="15" hidden="1" x14ac:dyDescent="0.25">
      <c r="A496" s="63" t="s">
        <v>797</v>
      </c>
      <c r="B496" s="63" t="s">
        <v>798</v>
      </c>
      <c r="C496" s="36">
        <v>4301031359</v>
      </c>
      <c r="D496" s="737">
        <v>4607091389500</v>
      </c>
      <c r="E496" s="737"/>
      <c r="F496" s="62">
        <v>0.35</v>
      </c>
      <c r="G496" s="663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39"/>
      <c r="R496" s="739"/>
      <c r="S496" s="739"/>
      <c r="T496" s="740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</row>
    <row r="497" spans="1:29" hidden="1" x14ac:dyDescent="0.2">
      <c r="A497" s="745"/>
      <c r="B497" s="745"/>
      <c r="C497" s="745"/>
      <c r="D497" s="745"/>
      <c r="E497" s="745"/>
      <c r="F497" s="745"/>
      <c r="G497" s="745"/>
      <c r="H497" s="745"/>
      <c r="I497" s="745"/>
      <c r="J497" s="745"/>
      <c r="K497" s="745"/>
      <c r="L497" s="745"/>
      <c r="M497" s="745"/>
      <c r="N497" s="745"/>
      <c r="O497" s="746"/>
      <c r="P497" s="742" t="s">
        <v>40</v>
      </c>
      <c r="Q497" s="743"/>
      <c r="R497" s="743"/>
      <c r="S497" s="743"/>
      <c r="T497" s="743"/>
      <c r="U497" s="743"/>
      <c r="V497" s="744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29" hidden="1" x14ac:dyDescent="0.2">
      <c r="A498" s="745"/>
      <c r="B498" s="745"/>
      <c r="C498" s="745"/>
      <c r="D498" s="745"/>
      <c r="E498" s="745"/>
      <c r="F498" s="745"/>
      <c r="G498" s="745"/>
      <c r="H498" s="745"/>
      <c r="I498" s="745"/>
      <c r="J498" s="745"/>
      <c r="K498" s="745"/>
      <c r="L498" s="745"/>
      <c r="M498" s="745"/>
      <c r="N498" s="745"/>
      <c r="O498" s="746"/>
      <c r="P498" s="742" t="s">
        <v>40</v>
      </c>
      <c r="Q498" s="743"/>
      <c r="R498" s="743"/>
      <c r="S498" s="743"/>
      <c r="T498" s="743"/>
      <c r="U498" s="743"/>
      <c r="V498" s="744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29" ht="20.25" hidden="1" x14ac:dyDescent="0.2">
      <c r="A499" s="734" t="s">
        <v>799</v>
      </c>
      <c r="B499" s="734"/>
      <c r="C499" s="734"/>
      <c r="D499" s="734"/>
      <c r="E499" s="734"/>
      <c r="F499" s="734"/>
      <c r="G499" s="734"/>
      <c r="H499" s="734"/>
      <c r="I499" s="734"/>
      <c r="J499" s="734"/>
      <c r="K499" s="734"/>
      <c r="L499" s="734"/>
      <c r="M499" s="734"/>
      <c r="N499" s="734"/>
      <c r="O499" s="734"/>
      <c r="P499" s="734"/>
      <c r="Q499" s="734"/>
      <c r="R499" s="734"/>
      <c r="S499" s="734"/>
      <c r="T499" s="734"/>
      <c r="U499" s="734"/>
      <c r="V499" s="734"/>
      <c r="W499" s="734"/>
      <c r="X499" s="734"/>
      <c r="Y499" s="734"/>
      <c r="Z499" s="734"/>
      <c r="AA499" s="54"/>
      <c r="AB499" s="54"/>
      <c r="AC499" s="54"/>
    </row>
    <row r="500" spans="1:29" ht="15" hidden="1" x14ac:dyDescent="0.25">
      <c r="A500" s="735" t="s">
        <v>799</v>
      </c>
      <c r="B500" s="735"/>
      <c r="C500" s="735"/>
      <c r="D500" s="735"/>
      <c r="E500" s="735"/>
      <c r="F500" s="735"/>
      <c r="G500" s="735"/>
      <c r="H500" s="735"/>
      <c r="I500" s="735"/>
      <c r="J500" s="735"/>
      <c r="K500" s="735"/>
      <c r="L500" s="735"/>
      <c r="M500" s="735"/>
      <c r="N500" s="735"/>
      <c r="O500" s="735"/>
      <c r="P500" s="735"/>
      <c r="Q500" s="735"/>
      <c r="R500" s="735"/>
      <c r="S500" s="735"/>
      <c r="T500" s="735"/>
      <c r="U500" s="735"/>
      <c r="V500" s="735"/>
      <c r="W500" s="735"/>
      <c r="X500" s="735"/>
      <c r="Y500" s="735"/>
      <c r="Z500" s="735"/>
      <c r="AA500" s="653"/>
      <c r="AB500" s="653"/>
      <c r="AC500" s="653"/>
    </row>
    <row r="501" spans="1:29" ht="15" hidden="1" x14ac:dyDescent="0.25">
      <c r="A501" s="736" t="s">
        <v>122</v>
      </c>
      <c r="B501" s="736"/>
      <c r="C501" s="736"/>
      <c r="D501" s="736"/>
      <c r="E501" s="736"/>
      <c r="F501" s="736"/>
      <c r="G501" s="736"/>
      <c r="H501" s="736"/>
      <c r="I501" s="736"/>
      <c r="J501" s="736"/>
      <c r="K501" s="736"/>
      <c r="L501" s="736"/>
      <c r="M501" s="736"/>
      <c r="N501" s="736"/>
      <c r="O501" s="736"/>
      <c r="P501" s="736"/>
      <c r="Q501" s="736"/>
      <c r="R501" s="736"/>
      <c r="S501" s="736"/>
      <c r="T501" s="736"/>
      <c r="U501" s="736"/>
      <c r="V501" s="736"/>
      <c r="W501" s="736"/>
      <c r="X501" s="736"/>
      <c r="Y501" s="736"/>
      <c r="Z501" s="736"/>
      <c r="AA501" s="652"/>
      <c r="AB501" s="652"/>
      <c r="AC501" s="652"/>
    </row>
    <row r="502" spans="1:29" ht="15" hidden="1" x14ac:dyDescent="0.25">
      <c r="A502" s="63" t="s">
        <v>800</v>
      </c>
      <c r="B502" s="63" t="s">
        <v>801</v>
      </c>
      <c r="C502" s="36">
        <v>4301011769</v>
      </c>
      <c r="D502" s="737">
        <v>4607091389067</v>
      </c>
      <c r="E502" s="737"/>
      <c r="F502" s="62">
        <v>0.88</v>
      </c>
      <c r="G502" s="663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10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39"/>
      <c r="R502" s="739"/>
      <c r="S502" s="739"/>
      <c r="T502" s="74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18">IFERROR(IF(X502="",0,CEILING((X502/$H502),1)*$H502),"")</f>
        <v>0</v>
      </c>
      <c r="Z502" s="41" t="str">
        <f t="shared" ref="Z502:Z507" si="19">IFERROR(IF(Y502=0,"",ROUNDUP(Y502/H502,0)*0.01196),"")</f>
        <v/>
      </c>
      <c r="AA502" s="68" t="s">
        <v>46</v>
      </c>
      <c r="AB502" s="69" t="s">
        <v>46</v>
      </c>
      <c r="AC502" s="596" t="s">
        <v>125</v>
      </c>
    </row>
    <row r="503" spans="1:29" ht="15" hidden="1" x14ac:dyDescent="0.25">
      <c r="A503" s="63" t="s">
        <v>802</v>
      </c>
      <c r="B503" s="63" t="s">
        <v>803</v>
      </c>
      <c r="C503" s="36">
        <v>4301012380</v>
      </c>
      <c r="D503" s="737">
        <v>4680115889576</v>
      </c>
      <c r="E503" s="737"/>
      <c r="F503" s="62">
        <v>0.88</v>
      </c>
      <c r="G503" s="663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10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39"/>
      <c r="R503" s="739"/>
      <c r="S503" s="739"/>
      <c r="T503" s="74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18"/>
        <v>0</v>
      </c>
      <c r="Z503" s="41" t="str">
        <f t="shared" si="19"/>
        <v/>
      </c>
      <c r="AA503" s="68" t="s">
        <v>46</v>
      </c>
      <c r="AB503" s="69" t="s">
        <v>46</v>
      </c>
      <c r="AC503" s="598" t="s">
        <v>804</v>
      </c>
    </row>
    <row r="504" spans="1:29" ht="15" hidden="1" x14ac:dyDescent="0.25">
      <c r="A504" s="63" t="s">
        <v>805</v>
      </c>
      <c r="B504" s="63" t="s">
        <v>806</v>
      </c>
      <c r="C504" s="36">
        <v>4301011961</v>
      </c>
      <c r="D504" s="737">
        <v>4680115885271</v>
      </c>
      <c r="E504" s="737"/>
      <c r="F504" s="62">
        <v>0.88</v>
      </c>
      <c r="G504" s="663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10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39"/>
      <c r="R504" s="739"/>
      <c r="S504" s="739"/>
      <c r="T504" s="74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18"/>
        <v>0</v>
      </c>
      <c r="Z504" s="41" t="str">
        <f t="shared" si="19"/>
        <v/>
      </c>
      <c r="AA504" s="68" t="s">
        <v>46</v>
      </c>
      <c r="AB504" s="69" t="s">
        <v>46</v>
      </c>
      <c r="AC504" s="600" t="s">
        <v>807</v>
      </c>
    </row>
    <row r="505" spans="1:29" ht="15" hidden="1" x14ac:dyDescent="0.25">
      <c r="A505" s="63" t="s">
        <v>808</v>
      </c>
      <c r="B505" s="63" t="s">
        <v>809</v>
      </c>
      <c r="C505" s="36">
        <v>4301011369</v>
      </c>
      <c r="D505" s="737">
        <v>4680115885226</v>
      </c>
      <c r="E505" s="737"/>
      <c r="F505" s="62">
        <v>0.88</v>
      </c>
      <c r="G505" s="663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10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39"/>
      <c r="R505" s="739"/>
      <c r="S505" s="739"/>
      <c r="T505" s="74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18"/>
        <v>0</v>
      </c>
      <c r="Z505" s="41" t="str">
        <f t="shared" si="19"/>
        <v/>
      </c>
      <c r="AA505" s="68" t="s">
        <v>46</v>
      </c>
      <c r="AB505" s="69" t="s">
        <v>46</v>
      </c>
      <c r="AC505" s="602" t="s">
        <v>810</v>
      </c>
    </row>
    <row r="506" spans="1:29" ht="15" hidden="1" x14ac:dyDescent="0.25">
      <c r="A506" s="63" t="s">
        <v>811</v>
      </c>
      <c r="B506" s="63" t="s">
        <v>812</v>
      </c>
      <c r="C506" s="36">
        <v>4301011797</v>
      </c>
      <c r="D506" s="737">
        <v>4680115884502</v>
      </c>
      <c r="E506" s="737"/>
      <c r="F506" s="62">
        <v>0.88</v>
      </c>
      <c r="G506" s="663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10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39"/>
      <c r="R506" s="739"/>
      <c r="S506" s="739"/>
      <c r="T506" s="74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18"/>
        <v>0</v>
      </c>
      <c r="Z506" s="41" t="str">
        <f t="shared" si="19"/>
        <v/>
      </c>
      <c r="AA506" s="68" t="s">
        <v>46</v>
      </c>
      <c r="AB506" s="69" t="s">
        <v>46</v>
      </c>
      <c r="AC506" s="604" t="s">
        <v>813</v>
      </c>
    </row>
    <row r="507" spans="1:29" ht="15" hidden="1" x14ac:dyDescent="0.25">
      <c r="A507" s="63" t="s">
        <v>814</v>
      </c>
      <c r="B507" s="63" t="s">
        <v>815</v>
      </c>
      <c r="C507" s="36">
        <v>4301011771</v>
      </c>
      <c r="D507" s="737">
        <v>4607091389104</v>
      </c>
      <c r="E507" s="737"/>
      <c r="F507" s="62">
        <v>0.88</v>
      </c>
      <c r="G507" s="663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10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39"/>
      <c r="R507" s="739"/>
      <c r="S507" s="739"/>
      <c r="T507" s="740"/>
      <c r="U507" s="39" t="s">
        <v>46</v>
      </c>
      <c r="V507" s="39" t="s">
        <v>46</v>
      </c>
      <c r="W507" s="40" t="s">
        <v>0</v>
      </c>
      <c r="X507" s="58">
        <v>126.72</v>
      </c>
      <c r="Y507" s="55">
        <f t="shared" si="18"/>
        <v>126.72</v>
      </c>
      <c r="Z507" s="41">
        <f t="shared" si="19"/>
        <v>0.28704000000000002</v>
      </c>
      <c r="AA507" s="68" t="s">
        <v>46</v>
      </c>
      <c r="AB507" s="69" t="s">
        <v>46</v>
      </c>
      <c r="AC507" s="606" t="s">
        <v>816</v>
      </c>
    </row>
    <row r="508" spans="1:29" ht="15" hidden="1" x14ac:dyDescent="0.25">
      <c r="A508" s="63" t="s">
        <v>817</v>
      </c>
      <c r="B508" s="63" t="s">
        <v>818</v>
      </c>
      <c r="C508" s="36">
        <v>4301012125</v>
      </c>
      <c r="D508" s="737">
        <v>4680115886391</v>
      </c>
      <c r="E508" s="737"/>
      <c r="F508" s="62">
        <v>0.4</v>
      </c>
      <c r="G508" s="663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39"/>
      <c r="R508" s="739"/>
      <c r="S508" s="739"/>
      <c r="T508" s="74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1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</row>
    <row r="509" spans="1:29" ht="15" hidden="1" x14ac:dyDescent="0.25">
      <c r="A509" s="63" t="s">
        <v>819</v>
      </c>
      <c r="B509" s="63" t="s">
        <v>820</v>
      </c>
      <c r="C509" s="36">
        <v>4301012048</v>
      </c>
      <c r="D509" s="737">
        <v>4680115880603</v>
      </c>
      <c r="E509" s="737"/>
      <c r="F509" s="62">
        <v>0.6</v>
      </c>
      <c r="G509" s="663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39"/>
      <c r="R509" s="739"/>
      <c r="S509" s="739"/>
      <c r="T509" s="74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1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</row>
    <row r="510" spans="1:29" ht="15" hidden="1" x14ac:dyDescent="0.25">
      <c r="A510" s="63" t="s">
        <v>821</v>
      </c>
      <c r="B510" s="63" t="s">
        <v>822</v>
      </c>
      <c r="C510" s="36">
        <v>4301012034</v>
      </c>
      <c r="D510" s="737">
        <v>4607091389982</v>
      </c>
      <c r="E510" s="737"/>
      <c r="F510" s="62">
        <v>0.6</v>
      </c>
      <c r="G510" s="663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10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39"/>
      <c r="R510" s="739"/>
      <c r="S510" s="739"/>
      <c r="T510" s="74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1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</row>
    <row r="511" spans="1:29" hidden="1" x14ac:dyDescent="0.2">
      <c r="A511" s="745"/>
      <c r="B511" s="745"/>
      <c r="C511" s="745"/>
      <c r="D511" s="745"/>
      <c r="E511" s="745"/>
      <c r="F511" s="745"/>
      <c r="G511" s="745"/>
      <c r="H511" s="745"/>
      <c r="I511" s="745"/>
      <c r="J511" s="745"/>
      <c r="K511" s="745"/>
      <c r="L511" s="745"/>
      <c r="M511" s="745"/>
      <c r="N511" s="745"/>
      <c r="O511" s="746"/>
      <c r="P511" s="742" t="s">
        <v>40</v>
      </c>
      <c r="Q511" s="743"/>
      <c r="R511" s="743"/>
      <c r="S511" s="743"/>
      <c r="T511" s="743"/>
      <c r="U511" s="743"/>
      <c r="V511" s="744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24</v>
      </c>
      <c r="Y511" s="43">
        <f>IFERROR(Y502/H502,"0")+IFERROR(Y503/H503,"0")+IFERROR(Y504/H504,"0")+IFERROR(Y505/H505,"0")+IFERROR(Y506/H506,"0")+IFERROR(Y507/H507,"0")+IFERROR(Y508/H508,"0")+IFERROR(Y509/H509,"0")+IFERROR(Y510/H510,"0")</f>
        <v>24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0.28704000000000002</v>
      </c>
      <c r="AA511" s="67"/>
      <c r="AB511" s="67"/>
      <c r="AC511" s="67"/>
    </row>
    <row r="512" spans="1:29" hidden="1" x14ac:dyDescent="0.2">
      <c r="A512" s="745"/>
      <c r="B512" s="745"/>
      <c r="C512" s="745"/>
      <c r="D512" s="745"/>
      <c r="E512" s="745"/>
      <c r="F512" s="745"/>
      <c r="G512" s="745"/>
      <c r="H512" s="745"/>
      <c r="I512" s="745"/>
      <c r="J512" s="745"/>
      <c r="K512" s="745"/>
      <c r="L512" s="745"/>
      <c r="M512" s="745"/>
      <c r="N512" s="745"/>
      <c r="O512" s="746"/>
      <c r="P512" s="742" t="s">
        <v>40</v>
      </c>
      <c r="Q512" s="743"/>
      <c r="R512" s="743"/>
      <c r="S512" s="743"/>
      <c r="T512" s="743"/>
      <c r="U512" s="743"/>
      <c r="V512" s="744"/>
      <c r="W512" s="42" t="s">
        <v>0</v>
      </c>
      <c r="X512" s="43">
        <f>IFERROR(SUM(X502:X510),"0")</f>
        <v>126.72</v>
      </c>
      <c r="Y512" s="43">
        <f>IFERROR(SUM(Y502:Y510),"0")</f>
        <v>126.72</v>
      </c>
      <c r="Z512" s="42"/>
      <c r="AA512" s="67"/>
      <c r="AB512" s="67"/>
      <c r="AC512" s="67"/>
    </row>
    <row r="513" spans="1:29" ht="15" hidden="1" x14ac:dyDescent="0.25">
      <c r="A513" s="736" t="s">
        <v>157</v>
      </c>
      <c r="B513" s="736"/>
      <c r="C513" s="736"/>
      <c r="D513" s="736"/>
      <c r="E513" s="736"/>
      <c r="F513" s="736"/>
      <c r="G513" s="736"/>
      <c r="H513" s="736"/>
      <c r="I513" s="736"/>
      <c r="J513" s="736"/>
      <c r="K513" s="736"/>
      <c r="L513" s="736"/>
      <c r="M513" s="736"/>
      <c r="N513" s="736"/>
      <c r="O513" s="736"/>
      <c r="P513" s="736"/>
      <c r="Q513" s="736"/>
      <c r="R513" s="736"/>
      <c r="S513" s="736"/>
      <c r="T513" s="736"/>
      <c r="U513" s="736"/>
      <c r="V513" s="736"/>
      <c r="W513" s="736"/>
      <c r="X513" s="736"/>
      <c r="Y513" s="736"/>
      <c r="Z513" s="736"/>
      <c r="AA513" s="652"/>
      <c r="AB513" s="652"/>
      <c r="AC513" s="652"/>
    </row>
    <row r="514" spans="1:29" ht="15" hidden="1" x14ac:dyDescent="0.25">
      <c r="A514" s="63" t="s">
        <v>823</v>
      </c>
      <c r="B514" s="63" t="s">
        <v>824</v>
      </c>
      <c r="C514" s="36">
        <v>4301020334</v>
      </c>
      <c r="D514" s="737">
        <v>4607091388930</v>
      </c>
      <c r="E514" s="737"/>
      <c r="F514" s="62">
        <v>0.88</v>
      </c>
      <c r="G514" s="663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39"/>
      <c r="R514" s="739"/>
      <c r="S514" s="739"/>
      <c r="T514" s="74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4" t="s">
        <v>825</v>
      </c>
    </row>
    <row r="515" spans="1:29" ht="15" hidden="1" x14ac:dyDescent="0.25">
      <c r="A515" s="63" t="s">
        <v>826</v>
      </c>
      <c r="B515" s="63" t="s">
        <v>827</v>
      </c>
      <c r="C515" s="36">
        <v>4301020374</v>
      </c>
      <c r="D515" s="737">
        <v>4680115886407</v>
      </c>
      <c r="E515" s="737"/>
      <c r="F515" s="62">
        <v>0.4</v>
      </c>
      <c r="G515" s="663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10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39"/>
      <c r="R515" s="739"/>
      <c r="S515" s="739"/>
      <c r="T515" s="740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</row>
    <row r="516" spans="1:29" ht="15" hidden="1" x14ac:dyDescent="0.25">
      <c r="A516" s="63" t="s">
        <v>828</v>
      </c>
      <c r="B516" s="63" t="s">
        <v>829</v>
      </c>
      <c r="C516" s="36">
        <v>4301020385</v>
      </c>
      <c r="D516" s="737">
        <v>4680115880054</v>
      </c>
      <c r="E516" s="737"/>
      <c r="F516" s="62">
        <v>0.6</v>
      </c>
      <c r="G516" s="663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101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39"/>
      <c r="R516" s="739"/>
      <c r="S516" s="739"/>
      <c r="T516" s="74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</row>
    <row r="517" spans="1:29" hidden="1" x14ac:dyDescent="0.2">
      <c r="A517" s="745"/>
      <c r="B517" s="745"/>
      <c r="C517" s="745"/>
      <c r="D517" s="745"/>
      <c r="E517" s="745"/>
      <c r="F517" s="745"/>
      <c r="G517" s="745"/>
      <c r="H517" s="745"/>
      <c r="I517" s="745"/>
      <c r="J517" s="745"/>
      <c r="K517" s="745"/>
      <c r="L517" s="745"/>
      <c r="M517" s="745"/>
      <c r="N517" s="745"/>
      <c r="O517" s="746"/>
      <c r="P517" s="742" t="s">
        <v>40</v>
      </c>
      <c r="Q517" s="743"/>
      <c r="R517" s="743"/>
      <c r="S517" s="743"/>
      <c r="T517" s="743"/>
      <c r="U517" s="743"/>
      <c r="V517" s="744"/>
      <c r="W517" s="42" t="s">
        <v>39</v>
      </c>
      <c r="X517" s="43">
        <f>IFERROR(X514/H514,"0")+IFERROR(X515/H515,"0")+IFERROR(X516/H516,"0")</f>
        <v>0</v>
      </c>
      <c r="Y517" s="43">
        <f>IFERROR(Y514/H514,"0")+IFERROR(Y515/H515,"0")+IFERROR(Y516/H516,"0")</f>
        <v>0</v>
      </c>
      <c r="Z517" s="43">
        <f>IFERROR(IF(Z514="",0,Z514),"0")+IFERROR(IF(Z515="",0,Z515),"0")+IFERROR(IF(Z516="",0,Z516),"0")</f>
        <v>0</v>
      </c>
      <c r="AA517" s="67"/>
      <c r="AB517" s="67"/>
      <c r="AC517" s="67"/>
    </row>
    <row r="518" spans="1:29" hidden="1" x14ac:dyDescent="0.2">
      <c r="A518" s="745"/>
      <c r="B518" s="745"/>
      <c r="C518" s="745"/>
      <c r="D518" s="745"/>
      <c r="E518" s="745"/>
      <c r="F518" s="745"/>
      <c r="G518" s="745"/>
      <c r="H518" s="745"/>
      <c r="I518" s="745"/>
      <c r="J518" s="745"/>
      <c r="K518" s="745"/>
      <c r="L518" s="745"/>
      <c r="M518" s="745"/>
      <c r="N518" s="745"/>
      <c r="O518" s="746"/>
      <c r="P518" s="742" t="s">
        <v>40</v>
      </c>
      <c r="Q518" s="743"/>
      <c r="R518" s="743"/>
      <c r="S518" s="743"/>
      <c r="T518" s="743"/>
      <c r="U518" s="743"/>
      <c r="V518" s="744"/>
      <c r="W518" s="42" t="s">
        <v>0</v>
      </c>
      <c r="X518" s="43">
        <f>IFERROR(SUM(X514:X516),"0")</f>
        <v>0</v>
      </c>
      <c r="Y518" s="43">
        <f>IFERROR(SUM(Y514:Y516),"0")</f>
        <v>0</v>
      </c>
      <c r="Z518" s="42"/>
      <c r="AA518" s="67"/>
      <c r="AB518" s="67"/>
      <c r="AC518" s="67"/>
    </row>
    <row r="519" spans="1:29" ht="15" hidden="1" x14ac:dyDescent="0.25">
      <c r="A519" s="736" t="s">
        <v>77</v>
      </c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6"/>
      <c r="P519" s="736"/>
      <c r="Q519" s="736"/>
      <c r="R519" s="736"/>
      <c r="S519" s="736"/>
      <c r="T519" s="736"/>
      <c r="U519" s="736"/>
      <c r="V519" s="736"/>
      <c r="W519" s="736"/>
      <c r="X519" s="736"/>
      <c r="Y519" s="736"/>
      <c r="Z519" s="736"/>
      <c r="AA519" s="652"/>
      <c r="AB519" s="652"/>
      <c r="AC519" s="652"/>
    </row>
    <row r="520" spans="1:29" ht="15" hidden="1" x14ac:dyDescent="0.25">
      <c r="A520" s="63" t="s">
        <v>830</v>
      </c>
      <c r="B520" s="63" t="s">
        <v>831</v>
      </c>
      <c r="C520" s="36">
        <v>4301031349</v>
      </c>
      <c r="D520" s="737">
        <v>4680115883116</v>
      </c>
      <c r="E520" s="737"/>
      <c r="F520" s="62">
        <v>0.88</v>
      </c>
      <c r="G520" s="663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10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39"/>
      <c r="R520" s="739"/>
      <c r="S520" s="739"/>
      <c r="T520" s="740"/>
      <c r="U520" s="39" t="s">
        <v>46</v>
      </c>
      <c r="V520" s="39" t="s">
        <v>46</v>
      </c>
      <c r="W520" s="40" t="s">
        <v>0</v>
      </c>
      <c r="X520" s="58">
        <v>42.24</v>
      </c>
      <c r="Y520" s="55">
        <f t="shared" ref="Y520:Y526" si="20">IFERROR(IF(X520="",0,CEILING((X520/$H520),1)*$H520),"")</f>
        <v>42.24</v>
      </c>
      <c r="Z520" s="41">
        <f>IFERROR(IF(Y520=0,"",ROUNDUP(Y520/H520,0)*0.01196),"")</f>
        <v>9.5680000000000001E-2</v>
      </c>
      <c r="AA520" s="68" t="s">
        <v>46</v>
      </c>
      <c r="AB520" s="69" t="s">
        <v>46</v>
      </c>
      <c r="AC520" s="620" t="s">
        <v>832</v>
      </c>
    </row>
    <row r="521" spans="1:29" ht="15" hidden="1" x14ac:dyDescent="0.25">
      <c r="A521" s="63" t="s">
        <v>833</v>
      </c>
      <c r="B521" s="63" t="s">
        <v>834</v>
      </c>
      <c r="C521" s="36">
        <v>4301031350</v>
      </c>
      <c r="D521" s="737">
        <v>4680115883093</v>
      </c>
      <c r="E521" s="737"/>
      <c r="F521" s="62">
        <v>0.88</v>
      </c>
      <c r="G521" s="663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101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39"/>
      <c r="R521" s="739"/>
      <c r="S521" s="739"/>
      <c r="T521" s="740"/>
      <c r="U521" s="39" t="s">
        <v>46</v>
      </c>
      <c r="V521" s="39" t="s">
        <v>46</v>
      </c>
      <c r="W521" s="40" t="s">
        <v>0</v>
      </c>
      <c r="X521" s="58">
        <v>42.24</v>
      </c>
      <c r="Y521" s="55">
        <f t="shared" si="20"/>
        <v>42.24</v>
      </c>
      <c r="Z521" s="41">
        <f>IFERROR(IF(Y521=0,"",ROUNDUP(Y521/H521,0)*0.01196),"")</f>
        <v>9.5680000000000001E-2</v>
      </c>
      <c r="AA521" s="68" t="s">
        <v>46</v>
      </c>
      <c r="AB521" s="69" t="s">
        <v>46</v>
      </c>
      <c r="AC521" s="622" t="s">
        <v>835</v>
      </c>
    </row>
    <row r="522" spans="1:29" ht="15" hidden="1" x14ac:dyDescent="0.25">
      <c r="A522" s="63" t="s">
        <v>836</v>
      </c>
      <c r="B522" s="63" t="s">
        <v>837</v>
      </c>
      <c r="C522" s="36">
        <v>4301031353</v>
      </c>
      <c r="D522" s="737">
        <v>4680115883109</v>
      </c>
      <c r="E522" s="737"/>
      <c r="F522" s="62">
        <v>0.88</v>
      </c>
      <c r="G522" s="663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10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39"/>
      <c r="R522" s="739"/>
      <c r="S522" s="739"/>
      <c r="T522" s="740"/>
      <c r="U522" s="39" t="s">
        <v>46</v>
      </c>
      <c r="V522" s="39" t="s">
        <v>46</v>
      </c>
      <c r="W522" s="40" t="s">
        <v>0</v>
      </c>
      <c r="X522" s="58">
        <v>42.24</v>
      </c>
      <c r="Y522" s="55">
        <f t="shared" si="20"/>
        <v>42.24</v>
      </c>
      <c r="Z522" s="41">
        <f>IFERROR(IF(Y522=0,"",ROUNDUP(Y522/H522,0)*0.01196),"")</f>
        <v>9.5680000000000001E-2</v>
      </c>
      <c r="AA522" s="68" t="s">
        <v>46</v>
      </c>
      <c r="AB522" s="69" t="s">
        <v>46</v>
      </c>
      <c r="AC522" s="624" t="s">
        <v>838</v>
      </c>
    </row>
    <row r="523" spans="1:29" ht="15" hidden="1" x14ac:dyDescent="0.25">
      <c r="A523" s="63" t="s">
        <v>839</v>
      </c>
      <c r="B523" s="63" t="s">
        <v>840</v>
      </c>
      <c r="C523" s="36">
        <v>4301031419</v>
      </c>
      <c r="D523" s="737">
        <v>4680115882072</v>
      </c>
      <c r="E523" s="737"/>
      <c r="F523" s="62">
        <v>0.6</v>
      </c>
      <c r="G523" s="663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39"/>
      <c r="R523" s="739"/>
      <c r="S523" s="739"/>
      <c r="T523" s="74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20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</row>
    <row r="524" spans="1:29" ht="15" hidden="1" x14ac:dyDescent="0.25">
      <c r="A524" s="63" t="s">
        <v>841</v>
      </c>
      <c r="B524" s="63" t="s">
        <v>842</v>
      </c>
      <c r="C524" s="36">
        <v>4301031352</v>
      </c>
      <c r="D524" s="737">
        <v>4680115882102</v>
      </c>
      <c r="E524" s="737"/>
      <c r="F524" s="62">
        <v>0.6</v>
      </c>
      <c r="G524" s="663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1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39"/>
      <c r="R524" s="739"/>
      <c r="S524" s="739"/>
      <c r="T524" s="74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20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</row>
    <row r="525" spans="1:29" ht="15" hidden="1" x14ac:dyDescent="0.25">
      <c r="A525" s="63" t="s">
        <v>841</v>
      </c>
      <c r="B525" s="63" t="s">
        <v>843</v>
      </c>
      <c r="C525" s="36">
        <v>4301031418</v>
      </c>
      <c r="D525" s="737">
        <v>4680115882102</v>
      </c>
      <c r="E525" s="737"/>
      <c r="F525" s="62">
        <v>0.6</v>
      </c>
      <c r="G525" s="663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39"/>
      <c r="R525" s="739"/>
      <c r="S525" s="739"/>
      <c r="T525" s="74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20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</row>
    <row r="526" spans="1:29" ht="15" hidden="1" x14ac:dyDescent="0.25">
      <c r="A526" s="63" t="s">
        <v>844</v>
      </c>
      <c r="B526" s="63" t="s">
        <v>845</v>
      </c>
      <c r="C526" s="36">
        <v>4301031417</v>
      </c>
      <c r="D526" s="737">
        <v>4680115882096</v>
      </c>
      <c r="E526" s="737"/>
      <c r="F526" s="62">
        <v>0.6</v>
      </c>
      <c r="G526" s="663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39"/>
      <c r="R526" s="739"/>
      <c r="S526" s="739"/>
      <c r="T526" s="74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20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</row>
    <row r="527" spans="1:29" hidden="1" x14ac:dyDescent="0.2">
      <c r="A527" s="745"/>
      <c r="B527" s="745"/>
      <c r="C527" s="745"/>
      <c r="D527" s="745"/>
      <c r="E527" s="745"/>
      <c r="F527" s="745"/>
      <c r="G527" s="745"/>
      <c r="H527" s="745"/>
      <c r="I527" s="745"/>
      <c r="J527" s="745"/>
      <c r="K527" s="745"/>
      <c r="L527" s="745"/>
      <c r="M527" s="745"/>
      <c r="N527" s="745"/>
      <c r="O527" s="746"/>
      <c r="P527" s="742" t="s">
        <v>40</v>
      </c>
      <c r="Q527" s="743"/>
      <c r="R527" s="743"/>
      <c r="S527" s="743"/>
      <c r="T527" s="743"/>
      <c r="U527" s="743"/>
      <c r="V527" s="744"/>
      <c r="W527" s="42" t="s">
        <v>39</v>
      </c>
      <c r="X527" s="43">
        <f>IFERROR(X520/H520,"0")+IFERROR(X521/H521,"0")+IFERROR(X522/H522,"0")+IFERROR(X523/H523,"0")+IFERROR(X524/H524,"0")+IFERROR(X525/H525,"0")+IFERROR(X526/H526,"0")</f>
        <v>24</v>
      </c>
      <c r="Y527" s="43">
        <f>IFERROR(Y520/H520,"0")+IFERROR(Y521/H521,"0")+IFERROR(Y522/H522,"0")+IFERROR(Y523/H523,"0")+IFERROR(Y524/H524,"0")+IFERROR(Y525/H525,"0")+IFERROR(Y526/H526,"0")</f>
        <v>24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0.28704000000000002</v>
      </c>
      <c r="AA527" s="67"/>
      <c r="AB527" s="67"/>
      <c r="AC527" s="67"/>
    </row>
    <row r="528" spans="1:29" hidden="1" x14ac:dyDescent="0.2">
      <c r="A528" s="745"/>
      <c r="B528" s="745"/>
      <c r="C528" s="745"/>
      <c r="D528" s="745"/>
      <c r="E528" s="745"/>
      <c r="F528" s="745"/>
      <c r="G528" s="745"/>
      <c r="H528" s="745"/>
      <c r="I528" s="745"/>
      <c r="J528" s="745"/>
      <c r="K528" s="745"/>
      <c r="L528" s="745"/>
      <c r="M528" s="745"/>
      <c r="N528" s="745"/>
      <c r="O528" s="746"/>
      <c r="P528" s="742" t="s">
        <v>40</v>
      </c>
      <c r="Q528" s="743"/>
      <c r="R528" s="743"/>
      <c r="S528" s="743"/>
      <c r="T528" s="743"/>
      <c r="U528" s="743"/>
      <c r="V528" s="744"/>
      <c r="W528" s="42" t="s">
        <v>0</v>
      </c>
      <c r="X528" s="43">
        <f>IFERROR(SUM(X520:X526),"0")</f>
        <v>126.72</v>
      </c>
      <c r="Y528" s="43">
        <f>IFERROR(SUM(Y520:Y526),"0")</f>
        <v>126.72</v>
      </c>
      <c r="Z528" s="42"/>
      <c r="AA528" s="67"/>
      <c r="AB528" s="67"/>
      <c r="AC528" s="67"/>
    </row>
    <row r="529" spans="1:29" ht="20.25" hidden="1" x14ac:dyDescent="0.2">
      <c r="A529" s="734" t="s">
        <v>846</v>
      </c>
      <c r="B529" s="734"/>
      <c r="C529" s="734"/>
      <c r="D529" s="734"/>
      <c r="E529" s="734"/>
      <c r="F529" s="734"/>
      <c r="G529" s="734"/>
      <c r="H529" s="734"/>
      <c r="I529" s="734"/>
      <c r="J529" s="734"/>
      <c r="K529" s="734"/>
      <c r="L529" s="734"/>
      <c r="M529" s="734"/>
      <c r="N529" s="734"/>
      <c r="O529" s="734"/>
      <c r="P529" s="734"/>
      <c r="Q529" s="734"/>
      <c r="R529" s="734"/>
      <c r="S529" s="734"/>
      <c r="T529" s="734"/>
      <c r="U529" s="734"/>
      <c r="V529" s="734"/>
      <c r="W529" s="734"/>
      <c r="X529" s="734"/>
      <c r="Y529" s="734"/>
      <c r="Z529" s="734"/>
      <c r="AA529" s="54"/>
      <c r="AB529" s="54"/>
      <c r="AC529" s="54"/>
    </row>
    <row r="530" spans="1:29" ht="15" hidden="1" x14ac:dyDescent="0.25">
      <c r="A530" s="735" t="s">
        <v>846</v>
      </c>
      <c r="B530" s="735"/>
      <c r="C530" s="735"/>
      <c r="D530" s="735"/>
      <c r="E530" s="735"/>
      <c r="F530" s="735"/>
      <c r="G530" s="735"/>
      <c r="H530" s="735"/>
      <c r="I530" s="735"/>
      <c r="J530" s="735"/>
      <c r="K530" s="735"/>
      <c r="L530" s="735"/>
      <c r="M530" s="735"/>
      <c r="N530" s="735"/>
      <c r="O530" s="735"/>
      <c r="P530" s="735"/>
      <c r="Q530" s="735"/>
      <c r="R530" s="735"/>
      <c r="S530" s="735"/>
      <c r="T530" s="735"/>
      <c r="U530" s="735"/>
      <c r="V530" s="735"/>
      <c r="W530" s="735"/>
      <c r="X530" s="735"/>
      <c r="Y530" s="735"/>
      <c r="Z530" s="735"/>
      <c r="AA530" s="653"/>
      <c r="AB530" s="653"/>
      <c r="AC530" s="653"/>
    </row>
    <row r="531" spans="1:29" ht="15" hidden="1" x14ac:dyDescent="0.25">
      <c r="A531" s="736" t="s">
        <v>122</v>
      </c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  <c r="S531" s="736"/>
      <c r="T531" s="736"/>
      <c r="U531" s="736"/>
      <c r="V531" s="736"/>
      <c r="W531" s="736"/>
      <c r="X531" s="736"/>
      <c r="Y531" s="736"/>
      <c r="Z531" s="736"/>
      <c r="AA531" s="652"/>
      <c r="AB531" s="652"/>
      <c r="AC531" s="652"/>
    </row>
    <row r="532" spans="1:29" ht="15" hidden="1" x14ac:dyDescent="0.25">
      <c r="A532" s="63" t="s">
        <v>847</v>
      </c>
      <c r="B532" s="63" t="s">
        <v>848</v>
      </c>
      <c r="C532" s="36">
        <v>4301011584</v>
      </c>
      <c r="D532" s="737">
        <v>4640242180564</v>
      </c>
      <c r="E532" s="737"/>
      <c r="F532" s="62">
        <v>1.5</v>
      </c>
      <c r="G532" s="663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39"/>
      <c r="R532" s="739"/>
      <c r="S532" s="739"/>
      <c r="T532" s="740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</row>
    <row r="533" spans="1:29" hidden="1" x14ac:dyDescent="0.2">
      <c r="A533" s="745"/>
      <c r="B533" s="745"/>
      <c r="C533" s="745"/>
      <c r="D533" s="745"/>
      <c r="E533" s="745"/>
      <c r="F533" s="745"/>
      <c r="G533" s="745"/>
      <c r="H533" s="745"/>
      <c r="I533" s="745"/>
      <c r="J533" s="745"/>
      <c r="K533" s="745"/>
      <c r="L533" s="745"/>
      <c r="M533" s="745"/>
      <c r="N533" s="745"/>
      <c r="O533" s="746"/>
      <c r="P533" s="742" t="s">
        <v>40</v>
      </c>
      <c r="Q533" s="743"/>
      <c r="R533" s="743"/>
      <c r="S533" s="743"/>
      <c r="T533" s="743"/>
      <c r="U533" s="743"/>
      <c r="V533" s="744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29" hidden="1" x14ac:dyDescent="0.2">
      <c r="A534" s="745"/>
      <c r="B534" s="745"/>
      <c r="C534" s="745"/>
      <c r="D534" s="745"/>
      <c r="E534" s="745"/>
      <c r="F534" s="745"/>
      <c r="G534" s="745"/>
      <c r="H534" s="745"/>
      <c r="I534" s="745"/>
      <c r="J534" s="745"/>
      <c r="K534" s="745"/>
      <c r="L534" s="745"/>
      <c r="M534" s="745"/>
      <c r="N534" s="745"/>
      <c r="O534" s="746"/>
      <c r="P534" s="742" t="s">
        <v>40</v>
      </c>
      <c r="Q534" s="743"/>
      <c r="R534" s="743"/>
      <c r="S534" s="743"/>
      <c r="T534" s="743"/>
      <c r="U534" s="743"/>
      <c r="V534" s="744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29" ht="15" hidden="1" x14ac:dyDescent="0.25">
      <c r="A535" s="736" t="s">
        <v>157</v>
      </c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6"/>
      <c r="P535" s="736"/>
      <c r="Q535" s="736"/>
      <c r="R535" s="736"/>
      <c r="S535" s="736"/>
      <c r="T535" s="736"/>
      <c r="U535" s="736"/>
      <c r="V535" s="736"/>
      <c r="W535" s="736"/>
      <c r="X535" s="736"/>
      <c r="Y535" s="736"/>
      <c r="Z535" s="736"/>
      <c r="AA535" s="652"/>
      <c r="AB535" s="652"/>
      <c r="AC535" s="652"/>
    </row>
    <row r="536" spans="1:29" ht="15" hidden="1" x14ac:dyDescent="0.25">
      <c r="A536" s="63" t="s">
        <v>850</v>
      </c>
      <c r="B536" s="63" t="s">
        <v>851</v>
      </c>
      <c r="C536" s="36">
        <v>4301020400</v>
      </c>
      <c r="D536" s="737">
        <v>4640242180519</v>
      </c>
      <c r="E536" s="737"/>
      <c r="F536" s="62">
        <v>1.5</v>
      </c>
      <c r="G536" s="663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39"/>
      <c r="R536" s="739"/>
      <c r="S536" s="739"/>
      <c r="T536" s="74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</row>
    <row r="537" spans="1:29" hidden="1" x14ac:dyDescent="0.2">
      <c r="A537" s="745"/>
      <c r="B537" s="745"/>
      <c r="C537" s="745"/>
      <c r="D537" s="745"/>
      <c r="E537" s="745"/>
      <c r="F537" s="745"/>
      <c r="G537" s="745"/>
      <c r="H537" s="745"/>
      <c r="I537" s="745"/>
      <c r="J537" s="745"/>
      <c r="K537" s="745"/>
      <c r="L537" s="745"/>
      <c r="M537" s="745"/>
      <c r="N537" s="745"/>
      <c r="O537" s="746"/>
      <c r="P537" s="742" t="s">
        <v>40</v>
      </c>
      <c r="Q537" s="743"/>
      <c r="R537" s="743"/>
      <c r="S537" s="743"/>
      <c r="T537" s="743"/>
      <c r="U537" s="743"/>
      <c r="V537" s="74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29" hidden="1" x14ac:dyDescent="0.2">
      <c r="A538" s="745"/>
      <c r="B538" s="745"/>
      <c r="C538" s="745"/>
      <c r="D538" s="745"/>
      <c r="E538" s="745"/>
      <c r="F538" s="745"/>
      <c r="G538" s="745"/>
      <c r="H538" s="745"/>
      <c r="I538" s="745"/>
      <c r="J538" s="745"/>
      <c r="K538" s="745"/>
      <c r="L538" s="745"/>
      <c r="M538" s="745"/>
      <c r="N538" s="745"/>
      <c r="O538" s="746"/>
      <c r="P538" s="742" t="s">
        <v>40</v>
      </c>
      <c r="Q538" s="743"/>
      <c r="R538" s="743"/>
      <c r="S538" s="743"/>
      <c r="T538" s="743"/>
      <c r="U538" s="743"/>
      <c r="V538" s="74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29" ht="15" hidden="1" x14ac:dyDescent="0.25">
      <c r="A539" s="736" t="s">
        <v>77</v>
      </c>
      <c r="B539" s="736"/>
      <c r="C539" s="736"/>
      <c r="D539" s="736"/>
      <c r="E539" s="736"/>
      <c r="F539" s="736"/>
      <c r="G539" s="736"/>
      <c r="H539" s="736"/>
      <c r="I539" s="736"/>
      <c r="J539" s="736"/>
      <c r="K539" s="736"/>
      <c r="L539" s="736"/>
      <c r="M539" s="736"/>
      <c r="N539" s="736"/>
      <c r="O539" s="736"/>
      <c r="P539" s="736"/>
      <c r="Q539" s="736"/>
      <c r="R539" s="736"/>
      <c r="S539" s="736"/>
      <c r="T539" s="736"/>
      <c r="U539" s="736"/>
      <c r="V539" s="736"/>
      <c r="W539" s="736"/>
      <c r="X539" s="736"/>
      <c r="Y539" s="736"/>
      <c r="Z539" s="736"/>
      <c r="AA539" s="652"/>
      <c r="AB539" s="652"/>
      <c r="AC539" s="652"/>
    </row>
    <row r="540" spans="1:29" ht="15" hidden="1" x14ac:dyDescent="0.25">
      <c r="A540" s="63" t="s">
        <v>853</v>
      </c>
      <c r="B540" s="63" t="s">
        <v>854</v>
      </c>
      <c r="C540" s="36">
        <v>4301031500</v>
      </c>
      <c r="D540" s="737">
        <v>4640242180595</v>
      </c>
      <c r="E540" s="737"/>
      <c r="F540" s="62">
        <v>0.7</v>
      </c>
      <c r="G540" s="663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39"/>
      <c r="R540" s="739"/>
      <c r="S540" s="739"/>
      <c r="T540" s="74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</row>
    <row r="541" spans="1:29" hidden="1" x14ac:dyDescent="0.2">
      <c r="A541" s="745"/>
      <c r="B541" s="745"/>
      <c r="C541" s="745"/>
      <c r="D541" s="745"/>
      <c r="E541" s="745"/>
      <c r="F541" s="745"/>
      <c r="G541" s="745"/>
      <c r="H541" s="745"/>
      <c r="I541" s="745"/>
      <c r="J541" s="745"/>
      <c r="K541" s="745"/>
      <c r="L541" s="745"/>
      <c r="M541" s="745"/>
      <c r="N541" s="745"/>
      <c r="O541" s="746"/>
      <c r="P541" s="742" t="s">
        <v>40</v>
      </c>
      <c r="Q541" s="743"/>
      <c r="R541" s="743"/>
      <c r="S541" s="743"/>
      <c r="T541" s="743"/>
      <c r="U541" s="743"/>
      <c r="V541" s="74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29" hidden="1" x14ac:dyDescent="0.2">
      <c r="A542" s="745"/>
      <c r="B542" s="745"/>
      <c r="C542" s="745"/>
      <c r="D542" s="745"/>
      <c r="E542" s="745"/>
      <c r="F542" s="745"/>
      <c r="G542" s="745"/>
      <c r="H542" s="745"/>
      <c r="I542" s="745"/>
      <c r="J542" s="745"/>
      <c r="K542" s="745"/>
      <c r="L542" s="745"/>
      <c r="M542" s="745"/>
      <c r="N542" s="745"/>
      <c r="O542" s="746"/>
      <c r="P542" s="742" t="s">
        <v>40</v>
      </c>
      <c r="Q542" s="743"/>
      <c r="R542" s="743"/>
      <c r="S542" s="743"/>
      <c r="T542" s="743"/>
      <c r="U542" s="743"/>
      <c r="V542" s="74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29" ht="15" hidden="1" x14ac:dyDescent="0.25">
      <c r="A543" s="736" t="s">
        <v>86</v>
      </c>
      <c r="B543" s="736"/>
      <c r="C543" s="736"/>
      <c r="D543" s="736"/>
      <c r="E543" s="736"/>
      <c r="F543" s="736"/>
      <c r="G543" s="736"/>
      <c r="H543" s="736"/>
      <c r="I543" s="736"/>
      <c r="J543" s="736"/>
      <c r="K543" s="736"/>
      <c r="L543" s="736"/>
      <c r="M543" s="736"/>
      <c r="N543" s="736"/>
      <c r="O543" s="736"/>
      <c r="P543" s="736"/>
      <c r="Q543" s="736"/>
      <c r="R543" s="736"/>
      <c r="S543" s="736"/>
      <c r="T543" s="736"/>
      <c r="U543" s="736"/>
      <c r="V543" s="736"/>
      <c r="W543" s="736"/>
      <c r="X543" s="736"/>
      <c r="Y543" s="736"/>
      <c r="Z543" s="736"/>
      <c r="AA543" s="652"/>
      <c r="AB543" s="652"/>
      <c r="AC543" s="652"/>
    </row>
    <row r="544" spans="1:29" ht="15" hidden="1" x14ac:dyDescent="0.25">
      <c r="A544" s="63" t="s">
        <v>856</v>
      </c>
      <c r="B544" s="63" t="s">
        <v>857</v>
      </c>
      <c r="C544" s="36">
        <v>4301052043</v>
      </c>
      <c r="D544" s="737">
        <v>4640242180533</v>
      </c>
      <c r="E544" s="737"/>
      <c r="F544" s="62">
        <v>1.5</v>
      </c>
      <c r="G544" s="663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2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39"/>
      <c r="R544" s="739"/>
      <c r="S544" s="739"/>
      <c r="T544" s="74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</row>
    <row r="545" spans="1:29" hidden="1" x14ac:dyDescent="0.2">
      <c r="A545" s="745"/>
      <c r="B545" s="745"/>
      <c r="C545" s="745"/>
      <c r="D545" s="745"/>
      <c r="E545" s="745"/>
      <c r="F545" s="745"/>
      <c r="G545" s="745"/>
      <c r="H545" s="745"/>
      <c r="I545" s="745"/>
      <c r="J545" s="745"/>
      <c r="K545" s="745"/>
      <c r="L545" s="745"/>
      <c r="M545" s="745"/>
      <c r="N545" s="745"/>
      <c r="O545" s="746"/>
      <c r="P545" s="742" t="s">
        <v>40</v>
      </c>
      <c r="Q545" s="743"/>
      <c r="R545" s="743"/>
      <c r="S545" s="743"/>
      <c r="T545" s="743"/>
      <c r="U545" s="743"/>
      <c r="V545" s="74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29" hidden="1" x14ac:dyDescent="0.2">
      <c r="A546" s="745"/>
      <c r="B546" s="745"/>
      <c r="C546" s="745"/>
      <c r="D546" s="745"/>
      <c r="E546" s="745"/>
      <c r="F546" s="745"/>
      <c r="G546" s="745"/>
      <c r="H546" s="745"/>
      <c r="I546" s="745"/>
      <c r="J546" s="745"/>
      <c r="K546" s="745"/>
      <c r="L546" s="745"/>
      <c r="M546" s="745"/>
      <c r="N546" s="745"/>
      <c r="O546" s="746"/>
      <c r="P546" s="742" t="s">
        <v>40</v>
      </c>
      <c r="Q546" s="743"/>
      <c r="R546" s="743"/>
      <c r="S546" s="743"/>
      <c r="T546" s="743"/>
      <c r="U546" s="743"/>
      <c r="V546" s="74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29" ht="15" hidden="1" x14ac:dyDescent="0.25">
      <c r="A547" s="736" t="s">
        <v>175</v>
      </c>
      <c r="B547" s="736"/>
      <c r="C547" s="736"/>
      <c r="D547" s="736"/>
      <c r="E547" s="736"/>
      <c r="F547" s="736"/>
      <c r="G547" s="736"/>
      <c r="H547" s="736"/>
      <c r="I547" s="736"/>
      <c r="J547" s="736"/>
      <c r="K547" s="736"/>
      <c r="L547" s="736"/>
      <c r="M547" s="736"/>
      <c r="N547" s="736"/>
      <c r="O547" s="736"/>
      <c r="P547" s="736"/>
      <c r="Q547" s="736"/>
      <c r="R547" s="736"/>
      <c r="S547" s="736"/>
      <c r="T547" s="736"/>
      <c r="U547" s="736"/>
      <c r="V547" s="736"/>
      <c r="W547" s="736"/>
      <c r="X547" s="736"/>
      <c r="Y547" s="736"/>
      <c r="Z547" s="736"/>
      <c r="AA547" s="652"/>
      <c r="AB547" s="652"/>
      <c r="AC547" s="652"/>
    </row>
    <row r="548" spans="1:29" ht="15" hidden="1" x14ac:dyDescent="0.25">
      <c r="A548" s="63" t="s">
        <v>859</v>
      </c>
      <c r="B548" s="63" t="s">
        <v>860</v>
      </c>
      <c r="C548" s="36">
        <v>4301060535</v>
      </c>
      <c r="D548" s="737">
        <v>4640242180120</v>
      </c>
      <c r="E548" s="737"/>
      <c r="F548" s="62">
        <v>1.5</v>
      </c>
      <c r="G548" s="663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39"/>
      <c r="R548" s="739"/>
      <c r="S548" s="739"/>
      <c r="T548" s="74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</row>
    <row r="549" spans="1:29" ht="15" hidden="1" x14ac:dyDescent="0.25">
      <c r="A549" s="63" t="s">
        <v>862</v>
      </c>
      <c r="B549" s="63" t="s">
        <v>863</v>
      </c>
      <c r="C549" s="36">
        <v>4301060536</v>
      </c>
      <c r="D549" s="737">
        <v>4640242180137</v>
      </c>
      <c r="E549" s="737"/>
      <c r="F549" s="62">
        <v>1.5</v>
      </c>
      <c r="G549" s="663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2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39"/>
      <c r="R549" s="739"/>
      <c r="S549" s="739"/>
      <c r="T549" s="740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</row>
    <row r="550" spans="1:29" hidden="1" x14ac:dyDescent="0.2">
      <c r="A550" s="745"/>
      <c r="B550" s="745"/>
      <c r="C550" s="745"/>
      <c r="D550" s="745"/>
      <c r="E550" s="745"/>
      <c r="F550" s="745"/>
      <c r="G550" s="745"/>
      <c r="H550" s="745"/>
      <c r="I550" s="745"/>
      <c r="J550" s="745"/>
      <c r="K550" s="745"/>
      <c r="L550" s="745"/>
      <c r="M550" s="745"/>
      <c r="N550" s="745"/>
      <c r="O550" s="746"/>
      <c r="P550" s="742" t="s">
        <v>40</v>
      </c>
      <c r="Q550" s="743"/>
      <c r="R550" s="743"/>
      <c r="S550" s="743"/>
      <c r="T550" s="743"/>
      <c r="U550" s="743"/>
      <c r="V550" s="744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29" hidden="1" x14ac:dyDescent="0.2">
      <c r="A551" s="745"/>
      <c r="B551" s="745"/>
      <c r="C551" s="745"/>
      <c r="D551" s="745"/>
      <c r="E551" s="745"/>
      <c r="F551" s="745"/>
      <c r="G551" s="745"/>
      <c r="H551" s="745"/>
      <c r="I551" s="745"/>
      <c r="J551" s="745"/>
      <c r="K551" s="745"/>
      <c r="L551" s="745"/>
      <c r="M551" s="745"/>
      <c r="N551" s="745"/>
      <c r="O551" s="746"/>
      <c r="P551" s="742" t="s">
        <v>40</v>
      </c>
      <c r="Q551" s="743"/>
      <c r="R551" s="743"/>
      <c r="S551" s="743"/>
      <c r="T551" s="743"/>
      <c r="U551" s="743"/>
      <c r="V551" s="744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29" ht="15" hidden="1" x14ac:dyDescent="0.25">
      <c r="A552" s="735" t="s">
        <v>865</v>
      </c>
      <c r="B552" s="735"/>
      <c r="C552" s="735"/>
      <c r="D552" s="735"/>
      <c r="E552" s="735"/>
      <c r="F552" s="735"/>
      <c r="G552" s="735"/>
      <c r="H552" s="735"/>
      <c r="I552" s="735"/>
      <c r="J552" s="735"/>
      <c r="K552" s="735"/>
      <c r="L552" s="735"/>
      <c r="M552" s="735"/>
      <c r="N552" s="735"/>
      <c r="O552" s="735"/>
      <c r="P552" s="735"/>
      <c r="Q552" s="735"/>
      <c r="R552" s="735"/>
      <c r="S552" s="735"/>
      <c r="T552" s="735"/>
      <c r="U552" s="735"/>
      <c r="V552" s="735"/>
      <c r="W552" s="735"/>
      <c r="X552" s="735"/>
      <c r="Y552" s="735"/>
      <c r="Z552" s="735"/>
      <c r="AA552" s="653"/>
      <c r="AB552" s="653"/>
      <c r="AC552" s="653"/>
    </row>
    <row r="553" spans="1:29" ht="15" hidden="1" x14ac:dyDescent="0.25">
      <c r="A553" s="736" t="s">
        <v>157</v>
      </c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6"/>
      <c r="P553" s="736"/>
      <c r="Q553" s="736"/>
      <c r="R553" s="736"/>
      <c r="S553" s="736"/>
      <c r="T553" s="736"/>
      <c r="U553" s="736"/>
      <c r="V553" s="736"/>
      <c r="W553" s="736"/>
      <c r="X553" s="736"/>
      <c r="Y553" s="736"/>
      <c r="Z553" s="736"/>
      <c r="AA553" s="652"/>
      <c r="AB553" s="652"/>
      <c r="AC553" s="652"/>
    </row>
    <row r="554" spans="1:29" ht="15" hidden="1" x14ac:dyDescent="0.25">
      <c r="A554" s="63" t="s">
        <v>866</v>
      </c>
      <c r="B554" s="63" t="s">
        <v>867</v>
      </c>
      <c r="C554" s="36">
        <v>4301020428</v>
      </c>
      <c r="D554" s="737">
        <v>4640242180090</v>
      </c>
      <c r="E554" s="737"/>
      <c r="F554" s="62">
        <v>1.5</v>
      </c>
      <c r="G554" s="663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39"/>
      <c r="R554" s="739"/>
      <c r="S554" s="739"/>
      <c r="T554" s="740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</row>
    <row r="555" spans="1:29" ht="15" hidden="1" x14ac:dyDescent="0.25">
      <c r="A555" s="63" t="s">
        <v>869</v>
      </c>
      <c r="B555" s="63" t="s">
        <v>870</v>
      </c>
      <c r="C555" s="36">
        <v>4301020441</v>
      </c>
      <c r="D555" s="737">
        <v>4680115889798</v>
      </c>
      <c r="E555" s="737"/>
      <c r="F555" s="62">
        <v>1.5</v>
      </c>
      <c r="G555" s="663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26" t="s">
        <v>871</v>
      </c>
      <c r="Q555" s="739"/>
      <c r="R555" s="739"/>
      <c r="S555" s="739"/>
      <c r="T555" s="740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</row>
    <row r="556" spans="1:29" hidden="1" x14ac:dyDescent="0.2">
      <c r="A556" s="745"/>
      <c r="B556" s="745"/>
      <c r="C556" s="745"/>
      <c r="D556" s="745"/>
      <c r="E556" s="745"/>
      <c r="F556" s="745"/>
      <c r="G556" s="745"/>
      <c r="H556" s="745"/>
      <c r="I556" s="745"/>
      <c r="J556" s="745"/>
      <c r="K556" s="745"/>
      <c r="L556" s="745"/>
      <c r="M556" s="745"/>
      <c r="N556" s="745"/>
      <c r="O556" s="746"/>
      <c r="P556" s="742" t="s">
        <v>40</v>
      </c>
      <c r="Q556" s="743"/>
      <c r="R556" s="743"/>
      <c r="S556" s="743"/>
      <c r="T556" s="743"/>
      <c r="U556" s="743"/>
      <c r="V556" s="744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29" hidden="1" x14ac:dyDescent="0.2">
      <c r="A557" s="745"/>
      <c r="B557" s="745"/>
      <c r="C557" s="745"/>
      <c r="D557" s="745"/>
      <c r="E557" s="745"/>
      <c r="F557" s="745"/>
      <c r="G557" s="745"/>
      <c r="H557" s="745"/>
      <c r="I557" s="745"/>
      <c r="J557" s="745"/>
      <c r="K557" s="745"/>
      <c r="L557" s="745"/>
      <c r="M557" s="745"/>
      <c r="N557" s="745"/>
      <c r="O557" s="746"/>
      <c r="P557" s="742" t="s">
        <v>40</v>
      </c>
      <c r="Q557" s="743"/>
      <c r="R557" s="743"/>
      <c r="S557" s="743"/>
      <c r="T557" s="743"/>
      <c r="U557" s="743"/>
      <c r="V557" s="744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29" hidden="1" x14ac:dyDescent="0.2">
      <c r="A558" s="745"/>
      <c r="B558" s="745"/>
      <c r="C558" s="745"/>
      <c r="D558" s="745"/>
      <c r="E558" s="745"/>
      <c r="F558" s="745"/>
      <c r="G558" s="745"/>
      <c r="H558" s="745"/>
      <c r="I558" s="745"/>
      <c r="J558" s="745"/>
      <c r="K558" s="745"/>
      <c r="L558" s="745"/>
      <c r="M558" s="745"/>
      <c r="N558" s="745"/>
      <c r="O558" s="1030"/>
      <c r="P558" s="1027" t="s">
        <v>33</v>
      </c>
      <c r="Q558" s="1028"/>
      <c r="R558" s="1028"/>
      <c r="S558" s="1028"/>
      <c r="T558" s="1028"/>
      <c r="U558" s="1028"/>
      <c r="V558" s="1029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858.24000000000012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863.04000000000008</v>
      </c>
      <c r="Z558" s="42"/>
      <c r="AA558" s="67"/>
      <c r="AB558" s="67"/>
      <c r="AC558" s="67"/>
    </row>
    <row r="559" spans="1:29" hidden="1" x14ac:dyDescent="0.2">
      <c r="A559" s="745"/>
      <c r="B559" s="745"/>
      <c r="C559" s="745"/>
      <c r="D559" s="745"/>
      <c r="E559" s="745"/>
      <c r="F559" s="745"/>
      <c r="G559" s="745"/>
      <c r="H559" s="745"/>
      <c r="I559" s="745"/>
      <c r="J559" s="745"/>
      <c r="K559" s="745"/>
      <c r="L559" s="745"/>
      <c r="M559" s="745"/>
      <c r="N559" s="745"/>
      <c r="O559" s="1030"/>
      <c r="P559" s="1027" t="s">
        <v>34</v>
      </c>
      <c r="Q559" s="1028"/>
      <c r="R559" s="1028"/>
      <c r="S559" s="1028"/>
      <c r="T559" s="1028"/>
      <c r="U559" s="1028"/>
      <c r="V559" s="1029"/>
      <c r="W559" s="42" t="s">
        <v>0</v>
      </c>
      <c r="X559" s="43">
        <f>IFERROR(SUM(BM22:BM555),"0")</f>
        <v>0</v>
      </c>
      <c r="Y559" s="43">
        <f>IFERROR(SUM(BN22:BN555),"0")</f>
        <v>0</v>
      </c>
      <c r="Z559" s="42"/>
      <c r="AA559" s="67"/>
      <c r="AB559" s="67"/>
      <c r="AC559" s="67"/>
    </row>
    <row r="560" spans="1:29" hidden="1" x14ac:dyDescent="0.2">
      <c r="A560" s="745"/>
      <c r="B560" s="745"/>
      <c r="C560" s="745"/>
      <c r="D560" s="745"/>
      <c r="E560" s="745"/>
      <c r="F560" s="745"/>
      <c r="G560" s="745"/>
      <c r="H560" s="745"/>
      <c r="I560" s="745"/>
      <c r="J560" s="745"/>
      <c r="K560" s="745"/>
      <c r="L560" s="745"/>
      <c r="M560" s="745"/>
      <c r="N560" s="745"/>
      <c r="O560" s="1030"/>
      <c r="P560" s="1027" t="s">
        <v>35</v>
      </c>
      <c r="Q560" s="1028"/>
      <c r="R560" s="1028"/>
      <c r="S560" s="1028"/>
      <c r="T560" s="1028"/>
      <c r="U560" s="1028"/>
      <c r="V560" s="1029"/>
      <c r="W560" s="42" t="s">
        <v>20</v>
      </c>
      <c r="X560" s="44">
        <f>ROUNDUP(SUM(BO22:BO555),0)</f>
        <v>0</v>
      </c>
      <c r="Y560" s="44">
        <f>ROUNDUP(SUM(BP22:BP555),0)</f>
        <v>0</v>
      </c>
      <c r="Z560" s="42"/>
      <c r="AA560" s="67"/>
      <c r="AB560" s="67"/>
      <c r="AC560" s="67"/>
    </row>
    <row r="561" spans="1:29" hidden="1" x14ac:dyDescent="0.2">
      <c r="A561" s="745"/>
      <c r="B561" s="745"/>
      <c r="C561" s="745"/>
      <c r="D561" s="745"/>
      <c r="E561" s="745"/>
      <c r="F561" s="745"/>
      <c r="G561" s="745"/>
      <c r="H561" s="745"/>
      <c r="I561" s="745"/>
      <c r="J561" s="745"/>
      <c r="K561" s="745"/>
      <c r="L561" s="745"/>
      <c r="M561" s="745"/>
      <c r="N561" s="745"/>
      <c r="O561" s="1030"/>
      <c r="P561" s="1027" t="s">
        <v>36</v>
      </c>
      <c r="Q561" s="1028"/>
      <c r="R561" s="1028"/>
      <c r="S561" s="1028"/>
      <c r="T561" s="1028"/>
      <c r="U561" s="1028"/>
      <c r="V561" s="1029"/>
      <c r="W561" s="42" t="s">
        <v>0</v>
      </c>
      <c r="X561" s="43">
        <f>GrossWeightTotal+PalletQtyTotal*25</f>
        <v>1001.0458295931398</v>
      </c>
      <c r="Y561" s="43">
        <f>GrossWeightTotalR+PalletQtyTotalR*25</f>
        <v>1014.9659999999999</v>
      </c>
      <c r="Z561" s="42"/>
      <c r="AA561" s="67"/>
      <c r="AB561" s="67"/>
      <c r="AC561" s="67"/>
    </row>
    <row r="562" spans="1:29" hidden="1" x14ac:dyDescent="0.2">
      <c r="A562" s="745"/>
      <c r="B562" s="745"/>
      <c r="C562" s="745"/>
      <c r="D562" s="745"/>
      <c r="E562" s="745"/>
      <c r="F562" s="745"/>
      <c r="G562" s="745"/>
      <c r="H562" s="745"/>
      <c r="I562" s="745"/>
      <c r="J562" s="745"/>
      <c r="K562" s="745"/>
      <c r="L562" s="745"/>
      <c r="M562" s="745"/>
      <c r="N562" s="745"/>
      <c r="O562" s="1030"/>
      <c r="P562" s="1027" t="s">
        <v>37</v>
      </c>
      <c r="Q562" s="1028"/>
      <c r="R562" s="1028"/>
      <c r="S562" s="1028"/>
      <c r="T562" s="1028"/>
      <c r="U562" s="1028"/>
      <c r="V562" s="1029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115.07936507936508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116</v>
      </c>
      <c r="Z562" s="42"/>
      <c r="AA562" s="67"/>
      <c r="AB562" s="67"/>
      <c r="AC562" s="67"/>
    </row>
    <row r="563" spans="1:29" ht="14.25" hidden="1" x14ac:dyDescent="0.2">
      <c r="A563" s="745"/>
      <c r="B563" s="745"/>
      <c r="C563" s="745"/>
      <c r="D563" s="745"/>
      <c r="E563" s="745"/>
      <c r="F563" s="745"/>
      <c r="G563" s="745"/>
      <c r="H563" s="745"/>
      <c r="I563" s="745"/>
      <c r="J563" s="745"/>
      <c r="K563" s="745"/>
      <c r="L563" s="745"/>
      <c r="M563" s="745"/>
      <c r="N563" s="745"/>
      <c r="O563" s="1030"/>
      <c r="P563" s="1027" t="s">
        <v>38</v>
      </c>
      <c r="Q563" s="1028"/>
      <c r="R563" s="1028"/>
      <c r="S563" s="1028"/>
      <c r="T563" s="1028"/>
      <c r="U563" s="1028"/>
      <c r="V563" s="1029"/>
      <c r="W563" s="45" t="s">
        <v>52</v>
      </c>
      <c r="X563" s="42"/>
      <c r="Y563" s="42"/>
      <c r="Z563" s="42">
        <v>1.6698</v>
      </c>
      <c r="AA563" s="67"/>
      <c r="AB563" s="67"/>
      <c r="AC563" s="67"/>
    </row>
    <row r="564" spans="1:29" ht="13.5" thickBot="1" x14ac:dyDescent="0.25"/>
    <row r="565" spans="1:29" ht="27" thickTop="1" thickBot="1" x14ac:dyDescent="0.25">
      <c r="A565" s="46" t="s">
        <v>9</v>
      </c>
      <c r="B565" s="650" t="s">
        <v>76</v>
      </c>
      <c r="C565" s="650" t="s">
        <v>45</v>
      </c>
      <c r="D565" s="1031" t="s">
        <v>120</v>
      </c>
      <c r="E565" s="1031" t="s">
        <v>120</v>
      </c>
      <c r="F565" s="1031" t="s">
        <v>120</v>
      </c>
      <c r="G565" s="1031" t="s">
        <v>120</v>
      </c>
      <c r="H565" s="1031" t="s">
        <v>120</v>
      </c>
      <c r="I565" s="1031" t="s">
        <v>120</v>
      </c>
      <c r="J565" s="1031" t="s">
        <v>120</v>
      </c>
      <c r="K565" s="1031" t="s">
        <v>344</v>
      </c>
      <c r="L565" s="1031" t="s">
        <v>344</v>
      </c>
      <c r="M565" s="1031" t="s">
        <v>344</v>
      </c>
      <c r="N565" s="1032"/>
      <c r="O565" s="1031" t="s">
        <v>344</v>
      </c>
      <c r="P565" s="1031" t="s">
        <v>344</v>
      </c>
      <c r="Q565" s="1031" t="s">
        <v>344</v>
      </c>
      <c r="R565" s="1031" t="s">
        <v>344</v>
      </c>
      <c r="S565" s="1031" t="s">
        <v>344</v>
      </c>
      <c r="T565" s="1031" t="s">
        <v>344</v>
      </c>
      <c r="U565" s="1031" t="s">
        <v>344</v>
      </c>
      <c r="V565" s="1031" t="s">
        <v>344</v>
      </c>
      <c r="W565" s="1031" t="s">
        <v>697</v>
      </c>
      <c r="X565" s="1031" t="s">
        <v>697</v>
      </c>
      <c r="Y565" s="1031" t="s">
        <v>763</v>
      </c>
      <c r="Z565" s="1031" t="s">
        <v>763</v>
      </c>
      <c r="AA565" s="650" t="s">
        <v>799</v>
      </c>
      <c r="AB565" s="1031" t="s">
        <v>846</v>
      </c>
      <c r="AC565" s="1031" t="s">
        <v>846</v>
      </c>
    </row>
    <row r="566" spans="1:29" ht="14.25" thickTop="1" thickBot="1" x14ac:dyDescent="0.25">
      <c r="A566" s="1033" t="s">
        <v>10</v>
      </c>
      <c r="B566" s="1031" t="s">
        <v>76</v>
      </c>
      <c r="C566" s="1031" t="s">
        <v>104</v>
      </c>
      <c r="D566" s="1031" t="s">
        <v>121</v>
      </c>
      <c r="E566" s="1031" t="s">
        <v>137</v>
      </c>
      <c r="F566" s="1031" t="s">
        <v>183</v>
      </c>
      <c r="G566" s="1037" t="s">
        <v>207</v>
      </c>
      <c r="H566" s="1031" t="s">
        <v>247</v>
      </c>
      <c r="I566" s="1031" t="s">
        <v>260</v>
      </c>
      <c r="J566" s="1031" t="s">
        <v>120</v>
      </c>
      <c r="K566" s="1031" t="s">
        <v>345</v>
      </c>
      <c r="L566" s="1031" t="s">
        <v>366</v>
      </c>
      <c r="M566" s="1031" t="s">
        <v>440</v>
      </c>
      <c r="N566" s="651"/>
      <c r="O566" s="1031" t="s">
        <v>508</v>
      </c>
      <c r="P566" s="1031" t="s">
        <v>541</v>
      </c>
      <c r="Q566" s="1031" t="s">
        <v>557</v>
      </c>
      <c r="R566" s="1031" t="s">
        <v>566</v>
      </c>
      <c r="S566" s="1031" t="s">
        <v>587</v>
      </c>
      <c r="T566" s="1031" t="s">
        <v>596</v>
      </c>
      <c r="U566" s="1031" t="s">
        <v>680</v>
      </c>
      <c r="V566" s="1031" t="s">
        <v>687</v>
      </c>
      <c r="W566" s="1031" t="s">
        <v>698</v>
      </c>
      <c r="X566" s="1031" t="s">
        <v>747</v>
      </c>
      <c r="Y566" s="1031" t="s">
        <v>764</v>
      </c>
      <c r="Z566" s="1031" t="s">
        <v>787</v>
      </c>
      <c r="AA566" s="1031" t="s">
        <v>799</v>
      </c>
      <c r="AB566" s="1031" t="s">
        <v>846</v>
      </c>
      <c r="AC566" s="1031" t="s">
        <v>865</v>
      </c>
    </row>
    <row r="567" spans="1:29" ht="14.25" thickTop="1" thickBot="1" x14ac:dyDescent="0.25">
      <c r="A567" s="1034"/>
      <c r="B567" s="1031"/>
      <c r="C567" s="1031"/>
      <c r="D567" s="1031"/>
      <c r="E567" s="1031"/>
      <c r="F567" s="1031"/>
      <c r="G567" s="1037"/>
      <c r="H567" s="1031"/>
      <c r="I567" s="1031"/>
      <c r="J567" s="1031"/>
      <c r="K567" s="1031"/>
      <c r="L567" s="1031"/>
      <c r="M567" s="1031"/>
      <c r="N567" s="651"/>
      <c r="O567" s="1031"/>
      <c r="P567" s="1031"/>
      <c r="Q567" s="1031"/>
      <c r="R567" s="1031"/>
      <c r="S567" s="1031"/>
      <c r="T567" s="1031"/>
      <c r="U567" s="1031"/>
      <c r="V567" s="1031"/>
      <c r="W567" s="1031"/>
      <c r="X567" s="1031"/>
      <c r="Y567" s="1031"/>
      <c r="Z567" s="1031"/>
      <c r="AA567" s="1031"/>
      <c r="AB567" s="1031"/>
      <c r="AC567" s="1031"/>
    </row>
    <row r="568" spans="1:29" ht="18" thickTop="1" thickBot="1" x14ac:dyDescent="0.25">
      <c r="A568" s="46" t="s">
        <v>13</v>
      </c>
      <c r="B568" s="52">
        <v>0</v>
      </c>
      <c r="C568" s="52">
        <v>0</v>
      </c>
      <c r="D568" s="52">
        <v>0</v>
      </c>
      <c r="E568" s="52">
        <v>0</v>
      </c>
      <c r="F568" s="52">
        <v>0</v>
      </c>
      <c r="G568" s="665">
        <v>0</v>
      </c>
      <c r="H568" s="52">
        <v>0</v>
      </c>
      <c r="I568" s="52">
        <v>0</v>
      </c>
      <c r="J568" s="52">
        <v>0</v>
      </c>
      <c r="K568" s="52">
        <v>0</v>
      </c>
      <c r="L568" s="52">
        <v>0</v>
      </c>
      <c r="M568" s="52">
        <v>16.200000000000003</v>
      </c>
      <c r="N568" s="651"/>
      <c r="O568" s="52">
        <v>0</v>
      </c>
      <c r="P568" s="52">
        <v>0</v>
      </c>
      <c r="Q568" s="52">
        <v>0</v>
      </c>
      <c r="R568" s="52">
        <v>0</v>
      </c>
      <c r="S568" s="52">
        <v>0</v>
      </c>
      <c r="T568" s="52">
        <v>187.2</v>
      </c>
      <c r="U568" s="52">
        <v>0</v>
      </c>
      <c r="V568" s="52">
        <v>0</v>
      </c>
      <c r="W568" s="52">
        <v>360</v>
      </c>
      <c r="X568" s="52">
        <v>33.6</v>
      </c>
      <c r="Y568" s="52">
        <v>0</v>
      </c>
      <c r="Z568" s="52">
        <v>0</v>
      </c>
      <c r="AA568" s="52">
        <v>253.44000000000003</v>
      </c>
      <c r="AB568" s="52">
        <v>0</v>
      </c>
      <c r="AC568" s="52">
        <v>0</v>
      </c>
    </row>
  </sheetData>
  <autoFilter ref="A18:AC563" xr:uid="{78C44303-220D-4EDF-A210-F11D4149C956}">
    <filterColumn colId="3" showButton="0"/>
    <filterColumn colId="15" showButton="0"/>
    <filterColumn colId="16" showButton="0"/>
    <filterColumn colId="17" showButton="0"/>
    <filterColumn colId="18" showButton="0"/>
    <filterColumn colId="23">
      <colorFilter dxfId="7"/>
    </filterColumn>
  </autoFilter>
  <mergeCells count="1000">
    <mergeCell ref="AA566:AA567"/>
    <mergeCell ref="AB566:AB567"/>
    <mergeCell ref="AC566:AC567"/>
    <mergeCell ref="S566:S567"/>
    <mergeCell ref="T566:T567"/>
    <mergeCell ref="U566:U567"/>
    <mergeCell ref="V566:V567"/>
    <mergeCell ref="W566:W567"/>
    <mergeCell ref="X566:X567"/>
    <mergeCell ref="D565:J565"/>
    <mergeCell ref="K565:V565"/>
    <mergeCell ref="W565:X565"/>
    <mergeCell ref="Y565:Z565"/>
    <mergeCell ref="AB565:AC565"/>
    <mergeCell ref="A566:A567"/>
    <mergeCell ref="B566:B567"/>
    <mergeCell ref="C566:C567"/>
    <mergeCell ref="D566:D567"/>
    <mergeCell ref="E566:E567"/>
    <mergeCell ref="L566:L567"/>
    <mergeCell ref="M566:M567"/>
    <mergeCell ref="O566:O567"/>
    <mergeCell ref="P566:P567"/>
    <mergeCell ref="Q566:Q567"/>
    <mergeCell ref="R566:R567"/>
    <mergeCell ref="F566:F567"/>
    <mergeCell ref="G566:G567"/>
    <mergeCell ref="H566:H567"/>
    <mergeCell ref="I566:I567"/>
    <mergeCell ref="J566:J567"/>
    <mergeCell ref="K566:K567"/>
    <mergeCell ref="Y566:Y567"/>
    <mergeCell ref="Z566:Z567"/>
    <mergeCell ref="A556:O557"/>
    <mergeCell ref="P556:V556"/>
    <mergeCell ref="P557:V557"/>
    <mergeCell ref="A558:O563"/>
    <mergeCell ref="P558:V558"/>
    <mergeCell ref="P559:V559"/>
    <mergeCell ref="P560:V560"/>
    <mergeCell ref="P561:V561"/>
    <mergeCell ref="P562:V562"/>
    <mergeCell ref="P563:V563"/>
    <mergeCell ref="A552:Z552"/>
    <mergeCell ref="A553:Z553"/>
    <mergeCell ref="D554:E554"/>
    <mergeCell ref="P554:T554"/>
    <mergeCell ref="D555:E555"/>
    <mergeCell ref="P555:T555"/>
    <mergeCell ref="A547:Z547"/>
    <mergeCell ref="D548:E548"/>
    <mergeCell ref="P548:T548"/>
    <mergeCell ref="D549:E549"/>
    <mergeCell ref="P549:T549"/>
    <mergeCell ref="A550:O551"/>
    <mergeCell ref="P550:V550"/>
    <mergeCell ref="P551:V551"/>
    <mergeCell ref="A543:Z543"/>
    <mergeCell ref="D544:E544"/>
    <mergeCell ref="P544:T544"/>
    <mergeCell ref="A545:O546"/>
    <mergeCell ref="P545:V545"/>
    <mergeCell ref="P546:V546"/>
    <mergeCell ref="A539:Z539"/>
    <mergeCell ref="D540:E540"/>
    <mergeCell ref="P540:T540"/>
    <mergeCell ref="A541:O542"/>
    <mergeCell ref="P541:V541"/>
    <mergeCell ref="P542:V542"/>
    <mergeCell ref="A535:Z535"/>
    <mergeCell ref="D536:E536"/>
    <mergeCell ref="P536:T536"/>
    <mergeCell ref="A537:O538"/>
    <mergeCell ref="P537:V537"/>
    <mergeCell ref="P538:V538"/>
    <mergeCell ref="A530:Z530"/>
    <mergeCell ref="A531:Z531"/>
    <mergeCell ref="D532:E532"/>
    <mergeCell ref="P532:T532"/>
    <mergeCell ref="A533:O534"/>
    <mergeCell ref="P533:V533"/>
    <mergeCell ref="P534:V534"/>
    <mergeCell ref="D526:E526"/>
    <mergeCell ref="P526:T526"/>
    <mergeCell ref="A527:O528"/>
    <mergeCell ref="P527:V527"/>
    <mergeCell ref="P528:V528"/>
    <mergeCell ref="A529:Z529"/>
    <mergeCell ref="D523:E523"/>
    <mergeCell ref="P523:T523"/>
    <mergeCell ref="D524:E524"/>
    <mergeCell ref="P524:T524"/>
    <mergeCell ref="D525:E525"/>
    <mergeCell ref="P525:T525"/>
    <mergeCell ref="A519:Z519"/>
    <mergeCell ref="D520:E520"/>
    <mergeCell ref="P520:T520"/>
    <mergeCell ref="D521:E521"/>
    <mergeCell ref="P521:T521"/>
    <mergeCell ref="D522:E522"/>
    <mergeCell ref="P522:T522"/>
    <mergeCell ref="D515:E515"/>
    <mergeCell ref="P515:T515"/>
    <mergeCell ref="D516:E516"/>
    <mergeCell ref="P516:T516"/>
    <mergeCell ref="A517:O518"/>
    <mergeCell ref="P517:V517"/>
    <mergeCell ref="P518:V518"/>
    <mergeCell ref="A511:O512"/>
    <mergeCell ref="P511:V511"/>
    <mergeCell ref="P512:V512"/>
    <mergeCell ref="A513:Z513"/>
    <mergeCell ref="D514:E514"/>
    <mergeCell ref="P514:T514"/>
    <mergeCell ref="D508:E508"/>
    <mergeCell ref="P508:T508"/>
    <mergeCell ref="D509:E509"/>
    <mergeCell ref="P509:T509"/>
    <mergeCell ref="D510:E510"/>
    <mergeCell ref="P510:T510"/>
    <mergeCell ref="D505:E505"/>
    <mergeCell ref="P505:T505"/>
    <mergeCell ref="D506:E506"/>
    <mergeCell ref="P506:T506"/>
    <mergeCell ref="D507:E507"/>
    <mergeCell ref="P507:T507"/>
    <mergeCell ref="D502:E502"/>
    <mergeCell ref="P502:T502"/>
    <mergeCell ref="D503:E503"/>
    <mergeCell ref="P503:T503"/>
    <mergeCell ref="D504:E504"/>
    <mergeCell ref="P504:T504"/>
    <mergeCell ref="A497:O498"/>
    <mergeCell ref="P497:V497"/>
    <mergeCell ref="P498:V498"/>
    <mergeCell ref="A499:Z499"/>
    <mergeCell ref="A500:Z500"/>
    <mergeCell ref="A501:Z501"/>
    <mergeCell ref="A493:Z493"/>
    <mergeCell ref="D494:E494"/>
    <mergeCell ref="P494:T494"/>
    <mergeCell ref="D495:E495"/>
    <mergeCell ref="P495:T495"/>
    <mergeCell ref="D496:E496"/>
    <mergeCell ref="P496:T496"/>
    <mergeCell ref="A489:Z489"/>
    <mergeCell ref="D490:E490"/>
    <mergeCell ref="P490:T490"/>
    <mergeCell ref="A491:O492"/>
    <mergeCell ref="P491:V491"/>
    <mergeCell ref="P492:V492"/>
    <mergeCell ref="D485:E485"/>
    <mergeCell ref="P485:T485"/>
    <mergeCell ref="A486:O487"/>
    <mergeCell ref="P486:V486"/>
    <mergeCell ref="P487:V487"/>
    <mergeCell ref="A488:Z488"/>
    <mergeCell ref="A481:O482"/>
    <mergeCell ref="P481:V481"/>
    <mergeCell ref="P482:V482"/>
    <mergeCell ref="A483:Z483"/>
    <mergeCell ref="D484:E484"/>
    <mergeCell ref="P484:T484"/>
    <mergeCell ref="D478:E478"/>
    <mergeCell ref="P478:T478"/>
    <mergeCell ref="D479:E479"/>
    <mergeCell ref="P479:T479"/>
    <mergeCell ref="D480:E480"/>
    <mergeCell ref="P480:T480"/>
    <mergeCell ref="D475:E475"/>
    <mergeCell ref="P475:T475"/>
    <mergeCell ref="D476:E476"/>
    <mergeCell ref="P476:T476"/>
    <mergeCell ref="D477:E477"/>
    <mergeCell ref="P477:T477"/>
    <mergeCell ref="A470:O471"/>
    <mergeCell ref="P470:V470"/>
    <mergeCell ref="P471:V471"/>
    <mergeCell ref="A472:Z472"/>
    <mergeCell ref="A473:Z473"/>
    <mergeCell ref="A474:Z474"/>
    <mergeCell ref="A466:Z466"/>
    <mergeCell ref="D467:E467"/>
    <mergeCell ref="P467:T467"/>
    <mergeCell ref="D468:E468"/>
    <mergeCell ref="P468:T468"/>
    <mergeCell ref="D469:E469"/>
    <mergeCell ref="P469:T469"/>
    <mergeCell ref="A462:Z462"/>
    <mergeCell ref="D463:E463"/>
    <mergeCell ref="P463:T463"/>
    <mergeCell ref="A464:O465"/>
    <mergeCell ref="P464:V464"/>
    <mergeCell ref="P465:V465"/>
    <mergeCell ref="A457:Z457"/>
    <mergeCell ref="D458:E458"/>
    <mergeCell ref="P458:T458"/>
    <mergeCell ref="D459:E459"/>
    <mergeCell ref="P459:T459"/>
    <mergeCell ref="A460:O461"/>
    <mergeCell ref="P460:V460"/>
    <mergeCell ref="P461:V461"/>
    <mergeCell ref="D453:E453"/>
    <mergeCell ref="P453:T453"/>
    <mergeCell ref="A454:O455"/>
    <mergeCell ref="P454:V454"/>
    <mergeCell ref="P455:V455"/>
    <mergeCell ref="A456:Z456"/>
    <mergeCell ref="A449:O450"/>
    <mergeCell ref="P449:V449"/>
    <mergeCell ref="P450:V450"/>
    <mergeCell ref="A451:Z451"/>
    <mergeCell ref="D452:E452"/>
    <mergeCell ref="P452:T452"/>
    <mergeCell ref="A445:Z445"/>
    <mergeCell ref="D446:E446"/>
    <mergeCell ref="P446:T446"/>
    <mergeCell ref="D447:E447"/>
    <mergeCell ref="P447:T447"/>
    <mergeCell ref="D448:E448"/>
    <mergeCell ref="P448:T448"/>
    <mergeCell ref="D441:E441"/>
    <mergeCell ref="P441:T441"/>
    <mergeCell ref="D442:E442"/>
    <mergeCell ref="P442:T442"/>
    <mergeCell ref="A443:O444"/>
    <mergeCell ref="P443:V443"/>
    <mergeCell ref="P444:V444"/>
    <mergeCell ref="A437:O438"/>
    <mergeCell ref="P437:V437"/>
    <mergeCell ref="P438:V438"/>
    <mergeCell ref="A439:Z439"/>
    <mergeCell ref="D440:E440"/>
    <mergeCell ref="P440:T440"/>
    <mergeCell ref="D434:E434"/>
    <mergeCell ref="P434:T434"/>
    <mergeCell ref="D435:E435"/>
    <mergeCell ref="P435:T435"/>
    <mergeCell ref="D436:E436"/>
    <mergeCell ref="P436:T436"/>
    <mergeCell ref="D431:E431"/>
    <mergeCell ref="P431:T431"/>
    <mergeCell ref="D432:E432"/>
    <mergeCell ref="P432:T432"/>
    <mergeCell ref="D433:E433"/>
    <mergeCell ref="P433:T433"/>
    <mergeCell ref="A426:Z426"/>
    <mergeCell ref="A427:Z427"/>
    <mergeCell ref="A428:Z428"/>
    <mergeCell ref="D429:E429"/>
    <mergeCell ref="P429:T429"/>
    <mergeCell ref="D430:E430"/>
    <mergeCell ref="P430:T430"/>
    <mergeCell ref="D422:E422"/>
    <mergeCell ref="P422:T422"/>
    <mergeCell ref="D423:E423"/>
    <mergeCell ref="P423:T423"/>
    <mergeCell ref="A424:O425"/>
    <mergeCell ref="P424:V424"/>
    <mergeCell ref="P425:V425"/>
    <mergeCell ref="A417:O418"/>
    <mergeCell ref="P417:V417"/>
    <mergeCell ref="P418:V418"/>
    <mergeCell ref="A419:Z419"/>
    <mergeCell ref="A420:Z420"/>
    <mergeCell ref="D421:E421"/>
    <mergeCell ref="P421:T421"/>
    <mergeCell ref="A413:Z413"/>
    <mergeCell ref="A414:Z414"/>
    <mergeCell ref="D415:E415"/>
    <mergeCell ref="P415:T415"/>
    <mergeCell ref="D416:E416"/>
    <mergeCell ref="P416:T416"/>
    <mergeCell ref="D409:E409"/>
    <mergeCell ref="P409:T409"/>
    <mergeCell ref="D410:E410"/>
    <mergeCell ref="P410:T410"/>
    <mergeCell ref="A411:O412"/>
    <mergeCell ref="P411:V411"/>
    <mergeCell ref="P412:V412"/>
    <mergeCell ref="A405:O406"/>
    <mergeCell ref="P405:V405"/>
    <mergeCell ref="P406:V406"/>
    <mergeCell ref="A407:Z407"/>
    <mergeCell ref="D408:E408"/>
    <mergeCell ref="P408:T408"/>
    <mergeCell ref="D402:E402"/>
    <mergeCell ref="P402:T402"/>
    <mergeCell ref="D403:E403"/>
    <mergeCell ref="P403:T403"/>
    <mergeCell ref="D404:E404"/>
    <mergeCell ref="P404:T404"/>
    <mergeCell ref="D398:E398"/>
    <mergeCell ref="P398:T398"/>
    <mergeCell ref="A399:O400"/>
    <mergeCell ref="P399:V399"/>
    <mergeCell ref="P400:V400"/>
    <mergeCell ref="A401:Z401"/>
    <mergeCell ref="A394:Z394"/>
    <mergeCell ref="D395:E395"/>
    <mergeCell ref="P395:T395"/>
    <mergeCell ref="D396:E396"/>
    <mergeCell ref="P396:T396"/>
    <mergeCell ref="D397:E397"/>
    <mergeCell ref="P397:T397"/>
    <mergeCell ref="D390:E390"/>
    <mergeCell ref="P390:T390"/>
    <mergeCell ref="D391:E391"/>
    <mergeCell ref="P391:T391"/>
    <mergeCell ref="A392:O393"/>
    <mergeCell ref="P392:V392"/>
    <mergeCell ref="P393:V393"/>
    <mergeCell ref="A386:O387"/>
    <mergeCell ref="P386:V386"/>
    <mergeCell ref="P387:V387"/>
    <mergeCell ref="A388:Z388"/>
    <mergeCell ref="D389:E389"/>
    <mergeCell ref="P389:T389"/>
    <mergeCell ref="D383:E383"/>
    <mergeCell ref="P383:T383"/>
    <mergeCell ref="D384:E384"/>
    <mergeCell ref="P384:T384"/>
    <mergeCell ref="D385:E385"/>
    <mergeCell ref="P385:T385"/>
    <mergeCell ref="A379:O380"/>
    <mergeCell ref="P379:V379"/>
    <mergeCell ref="P380:V380"/>
    <mergeCell ref="A381:Z381"/>
    <mergeCell ref="D382:E382"/>
    <mergeCell ref="P382:T382"/>
    <mergeCell ref="D376:E376"/>
    <mergeCell ref="P376:T376"/>
    <mergeCell ref="D377:E377"/>
    <mergeCell ref="P377:T377"/>
    <mergeCell ref="D378:E378"/>
    <mergeCell ref="P378:T378"/>
    <mergeCell ref="D373:E373"/>
    <mergeCell ref="P373:T373"/>
    <mergeCell ref="D374:E374"/>
    <mergeCell ref="P374:T374"/>
    <mergeCell ref="D375:E375"/>
    <mergeCell ref="P375:T375"/>
    <mergeCell ref="A369:O370"/>
    <mergeCell ref="P369:V369"/>
    <mergeCell ref="P370:V370"/>
    <mergeCell ref="A371:Z371"/>
    <mergeCell ref="D372:E372"/>
    <mergeCell ref="P372:T372"/>
    <mergeCell ref="D366:E366"/>
    <mergeCell ref="P366:T366"/>
    <mergeCell ref="D367:E367"/>
    <mergeCell ref="P367:T367"/>
    <mergeCell ref="D368:E368"/>
    <mergeCell ref="P368:T368"/>
    <mergeCell ref="A362:Z362"/>
    <mergeCell ref="D363:E363"/>
    <mergeCell ref="P363:T363"/>
    <mergeCell ref="D364:E364"/>
    <mergeCell ref="P364:T364"/>
    <mergeCell ref="D365:E365"/>
    <mergeCell ref="P365:T365"/>
    <mergeCell ref="D358:E358"/>
    <mergeCell ref="P358:T358"/>
    <mergeCell ref="A359:O360"/>
    <mergeCell ref="P359:V359"/>
    <mergeCell ref="P360:V360"/>
    <mergeCell ref="A361:Z361"/>
    <mergeCell ref="A354:Z354"/>
    <mergeCell ref="A355:Z355"/>
    <mergeCell ref="D356:E356"/>
    <mergeCell ref="P356:T356"/>
    <mergeCell ref="D357:E357"/>
    <mergeCell ref="P357:T357"/>
    <mergeCell ref="D350:E350"/>
    <mergeCell ref="P350:T350"/>
    <mergeCell ref="D351:E351"/>
    <mergeCell ref="P351:T351"/>
    <mergeCell ref="A352:O353"/>
    <mergeCell ref="P352:V352"/>
    <mergeCell ref="P353:V353"/>
    <mergeCell ref="D346:E346"/>
    <mergeCell ref="P346:T346"/>
    <mergeCell ref="A347:O348"/>
    <mergeCell ref="P347:V347"/>
    <mergeCell ref="P348:V348"/>
    <mergeCell ref="A349:Z349"/>
    <mergeCell ref="D343:E343"/>
    <mergeCell ref="P343:T343"/>
    <mergeCell ref="D344:E344"/>
    <mergeCell ref="P344:T344"/>
    <mergeCell ref="D345:E345"/>
    <mergeCell ref="P345:T345"/>
    <mergeCell ref="A338:O339"/>
    <mergeCell ref="P338:V338"/>
    <mergeCell ref="P339:V339"/>
    <mergeCell ref="A340:Z340"/>
    <mergeCell ref="A341:Z341"/>
    <mergeCell ref="D342:E342"/>
    <mergeCell ref="P342:T342"/>
    <mergeCell ref="A334:Z334"/>
    <mergeCell ref="D335:E335"/>
    <mergeCell ref="P335:T335"/>
    <mergeCell ref="D336:E336"/>
    <mergeCell ref="P336:T336"/>
    <mergeCell ref="D337:E337"/>
    <mergeCell ref="P337:T337"/>
    <mergeCell ref="D330:E330"/>
    <mergeCell ref="P330:T330"/>
    <mergeCell ref="A331:O332"/>
    <mergeCell ref="P331:V331"/>
    <mergeCell ref="P332:V332"/>
    <mergeCell ref="A333:Z333"/>
    <mergeCell ref="D327:E327"/>
    <mergeCell ref="P327:T327"/>
    <mergeCell ref="D328:E328"/>
    <mergeCell ref="P328:T328"/>
    <mergeCell ref="D329:E329"/>
    <mergeCell ref="P329:T329"/>
    <mergeCell ref="A322:O323"/>
    <mergeCell ref="P322:V322"/>
    <mergeCell ref="P323:V323"/>
    <mergeCell ref="A324:Z324"/>
    <mergeCell ref="A325:Z325"/>
    <mergeCell ref="D326:E326"/>
    <mergeCell ref="P326:T326"/>
    <mergeCell ref="D319:E319"/>
    <mergeCell ref="P319:T319"/>
    <mergeCell ref="D320:E320"/>
    <mergeCell ref="P320:T320"/>
    <mergeCell ref="D321:E321"/>
    <mergeCell ref="P321:T321"/>
    <mergeCell ref="D315:E315"/>
    <mergeCell ref="P315:T315"/>
    <mergeCell ref="A316:O317"/>
    <mergeCell ref="P316:V316"/>
    <mergeCell ref="P317:V317"/>
    <mergeCell ref="A318:Z318"/>
    <mergeCell ref="D311:E311"/>
    <mergeCell ref="P311:T311"/>
    <mergeCell ref="A312:O313"/>
    <mergeCell ref="P312:V312"/>
    <mergeCell ref="P313:V313"/>
    <mergeCell ref="A314:Z314"/>
    <mergeCell ref="D307:E307"/>
    <mergeCell ref="P307:T307"/>
    <mergeCell ref="A308:O309"/>
    <mergeCell ref="P308:V308"/>
    <mergeCell ref="P309:V309"/>
    <mergeCell ref="A310:Z310"/>
    <mergeCell ref="D304:E304"/>
    <mergeCell ref="P304:T304"/>
    <mergeCell ref="D305:E305"/>
    <mergeCell ref="P305:T305"/>
    <mergeCell ref="D306:E306"/>
    <mergeCell ref="P306:T306"/>
    <mergeCell ref="A300:Z300"/>
    <mergeCell ref="D301:E301"/>
    <mergeCell ref="P301:T301"/>
    <mergeCell ref="D302:E302"/>
    <mergeCell ref="P302:T302"/>
    <mergeCell ref="D303:E303"/>
    <mergeCell ref="P303:T303"/>
    <mergeCell ref="D296:E296"/>
    <mergeCell ref="P296:T296"/>
    <mergeCell ref="A297:O298"/>
    <mergeCell ref="P297:V297"/>
    <mergeCell ref="P298:V298"/>
    <mergeCell ref="A299:Z299"/>
    <mergeCell ref="A292:O293"/>
    <mergeCell ref="P292:V292"/>
    <mergeCell ref="P293:V293"/>
    <mergeCell ref="A294:Z294"/>
    <mergeCell ref="D295:E295"/>
    <mergeCell ref="P295:T295"/>
    <mergeCell ref="D289:E289"/>
    <mergeCell ref="P289:T289"/>
    <mergeCell ref="D290:E290"/>
    <mergeCell ref="P290:T290"/>
    <mergeCell ref="D291:E291"/>
    <mergeCell ref="P291:T291"/>
    <mergeCell ref="D286:E286"/>
    <mergeCell ref="P286:T286"/>
    <mergeCell ref="D287:E287"/>
    <mergeCell ref="P287:T287"/>
    <mergeCell ref="D288:E288"/>
    <mergeCell ref="P288:T288"/>
    <mergeCell ref="D283:E283"/>
    <mergeCell ref="P283:T283"/>
    <mergeCell ref="D284:E284"/>
    <mergeCell ref="P284:T284"/>
    <mergeCell ref="D285:E285"/>
    <mergeCell ref="P285:T285"/>
    <mergeCell ref="A279:Z279"/>
    <mergeCell ref="D280:E280"/>
    <mergeCell ref="P280:T280"/>
    <mergeCell ref="D281:E281"/>
    <mergeCell ref="P281:T281"/>
    <mergeCell ref="D282:E282"/>
    <mergeCell ref="P282:T282"/>
    <mergeCell ref="D275:E275"/>
    <mergeCell ref="P275:T275"/>
    <mergeCell ref="D276:E276"/>
    <mergeCell ref="P276:T276"/>
    <mergeCell ref="A277:O278"/>
    <mergeCell ref="P277:V277"/>
    <mergeCell ref="P278:V278"/>
    <mergeCell ref="D272:E272"/>
    <mergeCell ref="P272:T272"/>
    <mergeCell ref="D273:E273"/>
    <mergeCell ref="P273:T273"/>
    <mergeCell ref="D274:E274"/>
    <mergeCell ref="P274:T274"/>
    <mergeCell ref="A268:Z268"/>
    <mergeCell ref="D269:E269"/>
    <mergeCell ref="P269:T269"/>
    <mergeCell ref="D270:E270"/>
    <mergeCell ref="P270:T270"/>
    <mergeCell ref="D271:E271"/>
    <mergeCell ref="P271:T271"/>
    <mergeCell ref="D264:E264"/>
    <mergeCell ref="P264:T264"/>
    <mergeCell ref="D265:E265"/>
    <mergeCell ref="P265:T265"/>
    <mergeCell ref="A266:O267"/>
    <mergeCell ref="P266:V266"/>
    <mergeCell ref="P267:V267"/>
    <mergeCell ref="D260:E260"/>
    <mergeCell ref="P260:T260"/>
    <mergeCell ref="A261:O262"/>
    <mergeCell ref="P261:V261"/>
    <mergeCell ref="P262:V262"/>
    <mergeCell ref="A263:Z263"/>
    <mergeCell ref="A255:O256"/>
    <mergeCell ref="P255:V255"/>
    <mergeCell ref="P256:V256"/>
    <mergeCell ref="A257:Z257"/>
    <mergeCell ref="A258:Z258"/>
    <mergeCell ref="D259:E259"/>
    <mergeCell ref="P259:T259"/>
    <mergeCell ref="A251:O252"/>
    <mergeCell ref="P251:V251"/>
    <mergeCell ref="P252:V252"/>
    <mergeCell ref="A253:Z253"/>
    <mergeCell ref="D254:E254"/>
    <mergeCell ref="P254:T254"/>
    <mergeCell ref="A247:Z247"/>
    <mergeCell ref="D248:E248"/>
    <mergeCell ref="P248:T248"/>
    <mergeCell ref="D249:E249"/>
    <mergeCell ref="P249:T249"/>
    <mergeCell ref="D250:E250"/>
    <mergeCell ref="P250:T250"/>
    <mergeCell ref="D243:E243"/>
    <mergeCell ref="P243:T243"/>
    <mergeCell ref="D244:E244"/>
    <mergeCell ref="P244:T244"/>
    <mergeCell ref="A245:O246"/>
    <mergeCell ref="P245:V245"/>
    <mergeCell ref="P246:V246"/>
    <mergeCell ref="D240:E240"/>
    <mergeCell ref="P240:T240"/>
    <mergeCell ref="D241:E241"/>
    <mergeCell ref="P241:T241"/>
    <mergeCell ref="D242:E242"/>
    <mergeCell ref="P242:T242"/>
    <mergeCell ref="D237:E237"/>
    <mergeCell ref="P237:T237"/>
    <mergeCell ref="D238:E238"/>
    <mergeCell ref="P238:T238"/>
    <mergeCell ref="D239:E239"/>
    <mergeCell ref="P239:T239"/>
    <mergeCell ref="A233:O234"/>
    <mergeCell ref="P233:V233"/>
    <mergeCell ref="P234:V234"/>
    <mergeCell ref="A235:Z235"/>
    <mergeCell ref="D236:E236"/>
    <mergeCell ref="P236:T236"/>
    <mergeCell ref="D230:E230"/>
    <mergeCell ref="P230:T230"/>
    <mergeCell ref="D231:E231"/>
    <mergeCell ref="P231:T231"/>
    <mergeCell ref="D232:E232"/>
    <mergeCell ref="P232:T232"/>
    <mergeCell ref="D227:E227"/>
    <mergeCell ref="P227:T227"/>
    <mergeCell ref="D228:E228"/>
    <mergeCell ref="P228:T228"/>
    <mergeCell ref="D229:E229"/>
    <mergeCell ref="P229:T229"/>
    <mergeCell ref="D224:E224"/>
    <mergeCell ref="P224:T224"/>
    <mergeCell ref="D225:E225"/>
    <mergeCell ref="P225:T225"/>
    <mergeCell ref="D226:E226"/>
    <mergeCell ref="P226:T226"/>
    <mergeCell ref="D221:E221"/>
    <mergeCell ref="P221:T221"/>
    <mergeCell ref="D222:E222"/>
    <mergeCell ref="P222:T222"/>
    <mergeCell ref="D223:E223"/>
    <mergeCell ref="P223:T223"/>
    <mergeCell ref="A217:Z217"/>
    <mergeCell ref="D218:E218"/>
    <mergeCell ref="P218:T218"/>
    <mergeCell ref="D219:E219"/>
    <mergeCell ref="P219:T219"/>
    <mergeCell ref="D220:E220"/>
    <mergeCell ref="P220:T220"/>
    <mergeCell ref="A212:Z212"/>
    <mergeCell ref="A213:Z213"/>
    <mergeCell ref="D214:E214"/>
    <mergeCell ref="P214:T214"/>
    <mergeCell ref="A215:O216"/>
    <mergeCell ref="P215:V215"/>
    <mergeCell ref="P216:V216"/>
    <mergeCell ref="D208:E208"/>
    <mergeCell ref="P208:T208"/>
    <mergeCell ref="D209:E209"/>
    <mergeCell ref="P209:T209"/>
    <mergeCell ref="A210:O211"/>
    <mergeCell ref="P210:V210"/>
    <mergeCell ref="P211:V211"/>
    <mergeCell ref="D205:E205"/>
    <mergeCell ref="P205:T205"/>
    <mergeCell ref="D206:E206"/>
    <mergeCell ref="P206:T206"/>
    <mergeCell ref="D207:E207"/>
    <mergeCell ref="P207:T207"/>
    <mergeCell ref="A200:Z200"/>
    <mergeCell ref="A201:Z201"/>
    <mergeCell ref="A202:Z202"/>
    <mergeCell ref="D203:E203"/>
    <mergeCell ref="P203:T203"/>
    <mergeCell ref="D204:E204"/>
    <mergeCell ref="P204:T204"/>
    <mergeCell ref="A196:Z196"/>
    <mergeCell ref="D197:E197"/>
    <mergeCell ref="P197:T197"/>
    <mergeCell ref="A198:O199"/>
    <mergeCell ref="P198:V198"/>
    <mergeCell ref="P199:V199"/>
    <mergeCell ref="A192:Z192"/>
    <mergeCell ref="D193:E193"/>
    <mergeCell ref="P193:T193"/>
    <mergeCell ref="A194:O195"/>
    <mergeCell ref="P194:V194"/>
    <mergeCell ref="P195:V195"/>
    <mergeCell ref="D188:E188"/>
    <mergeCell ref="P188:T188"/>
    <mergeCell ref="D189:E189"/>
    <mergeCell ref="P189:T189"/>
    <mergeCell ref="A190:O191"/>
    <mergeCell ref="P190:V190"/>
    <mergeCell ref="P191:V191"/>
    <mergeCell ref="A184:O185"/>
    <mergeCell ref="P184:V184"/>
    <mergeCell ref="P185:V185"/>
    <mergeCell ref="A186:Z186"/>
    <mergeCell ref="D187:E187"/>
    <mergeCell ref="P187:T187"/>
    <mergeCell ref="D181:E181"/>
    <mergeCell ref="P181:T181"/>
    <mergeCell ref="D182:E182"/>
    <mergeCell ref="P182:T182"/>
    <mergeCell ref="D183:E183"/>
    <mergeCell ref="P183:T183"/>
    <mergeCell ref="D178:E178"/>
    <mergeCell ref="P178:T178"/>
    <mergeCell ref="D179:E179"/>
    <mergeCell ref="P179:T179"/>
    <mergeCell ref="D180:E180"/>
    <mergeCell ref="P180:T180"/>
    <mergeCell ref="D175:E175"/>
    <mergeCell ref="P175:T175"/>
    <mergeCell ref="D176:E176"/>
    <mergeCell ref="P176:T176"/>
    <mergeCell ref="D177:E177"/>
    <mergeCell ref="P177:T177"/>
    <mergeCell ref="D172:E172"/>
    <mergeCell ref="P172:T172"/>
    <mergeCell ref="D173:E173"/>
    <mergeCell ref="P173:T173"/>
    <mergeCell ref="D174:E174"/>
    <mergeCell ref="P174:T174"/>
    <mergeCell ref="D168:E168"/>
    <mergeCell ref="P168:T168"/>
    <mergeCell ref="A169:O170"/>
    <mergeCell ref="P169:V169"/>
    <mergeCell ref="P170:V170"/>
    <mergeCell ref="A171:Z171"/>
    <mergeCell ref="A164:O165"/>
    <mergeCell ref="P164:V164"/>
    <mergeCell ref="P165:V165"/>
    <mergeCell ref="A166:Z166"/>
    <mergeCell ref="D167:E167"/>
    <mergeCell ref="P167:T167"/>
    <mergeCell ref="A160:Z160"/>
    <mergeCell ref="D161:E161"/>
    <mergeCell ref="P161:T161"/>
    <mergeCell ref="D162:E162"/>
    <mergeCell ref="P162:T162"/>
    <mergeCell ref="D163:E163"/>
    <mergeCell ref="P163:T163"/>
    <mergeCell ref="D156:E156"/>
    <mergeCell ref="P156:T156"/>
    <mergeCell ref="A157:O158"/>
    <mergeCell ref="P157:V157"/>
    <mergeCell ref="P158:V158"/>
    <mergeCell ref="A159:Z159"/>
    <mergeCell ref="D152:E152"/>
    <mergeCell ref="P152:T152"/>
    <mergeCell ref="A153:O154"/>
    <mergeCell ref="P153:V153"/>
    <mergeCell ref="P154:V154"/>
    <mergeCell ref="A155:Z155"/>
    <mergeCell ref="D149:E149"/>
    <mergeCell ref="P149:T149"/>
    <mergeCell ref="D150:E150"/>
    <mergeCell ref="P150:T150"/>
    <mergeCell ref="D151:E151"/>
    <mergeCell ref="P151:T151"/>
    <mergeCell ref="A145:Z145"/>
    <mergeCell ref="A146:Z146"/>
    <mergeCell ref="D147:E147"/>
    <mergeCell ref="P147:T147"/>
    <mergeCell ref="D148:E148"/>
    <mergeCell ref="P148:T148"/>
    <mergeCell ref="A140:Z140"/>
    <mergeCell ref="D141:E141"/>
    <mergeCell ref="P141:T141"/>
    <mergeCell ref="D142:E142"/>
    <mergeCell ref="P142:T142"/>
    <mergeCell ref="A143:O144"/>
    <mergeCell ref="P143:V143"/>
    <mergeCell ref="P144:V144"/>
    <mergeCell ref="A135:Z135"/>
    <mergeCell ref="D136:E136"/>
    <mergeCell ref="P136:T136"/>
    <mergeCell ref="D137:E137"/>
    <mergeCell ref="P137:T137"/>
    <mergeCell ref="A138:O139"/>
    <mergeCell ref="P138:V138"/>
    <mergeCell ref="P139:V139"/>
    <mergeCell ref="A130:Z130"/>
    <mergeCell ref="D131:E131"/>
    <mergeCell ref="P131:T131"/>
    <mergeCell ref="D132:E132"/>
    <mergeCell ref="P132:T132"/>
    <mergeCell ref="A133:O134"/>
    <mergeCell ref="P133:V133"/>
    <mergeCell ref="P134:V134"/>
    <mergeCell ref="D126:E126"/>
    <mergeCell ref="P126:T126"/>
    <mergeCell ref="A127:O128"/>
    <mergeCell ref="P127:V127"/>
    <mergeCell ref="P128:V128"/>
    <mergeCell ref="A129:Z129"/>
    <mergeCell ref="D122:E122"/>
    <mergeCell ref="P122:T122"/>
    <mergeCell ref="A123:O124"/>
    <mergeCell ref="P123:V123"/>
    <mergeCell ref="P124:V124"/>
    <mergeCell ref="A125:Z125"/>
    <mergeCell ref="D119:E119"/>
    <mergeCell ref="P119:T119"/>
    <mergeCell ref="D120:E120"/>
    <mergeCell ref="P120:T120"/>
    <mergeCell ref="D121:E121"/>
    <mergeCell ref="P121:T121"/>
    <mergeCell ref="D115:E115"/>
    <mergeCell ref="P115:T115"/>
    <mergeCell ref="A116:O117"/>
    <mergeCell ref="P116:V116"/>
    <mergeCell ref="P117:V117"/>
    <mergeCell ref="A118:Z118"/>
    <mergeCell ref="D112:E112"/>
    <mergeCell ref="P112:T112"/>
    <mergeCell ref="D113:E113"/>
    <mergeCell ref="P113:T113"/>
    <mergeCell ref="D114:E114"/>
    <mergeCell ref="P114:T114"/>
    <mergeCell ref="A108:O109"/>
    <mergeCell ref="P108:V108"/>
    <mergeCell ref="P109:V109"/>
    <mergeCell ref="A110:Z110"/>
    <mergeCell ref="D111:E111"/>
    <mergeCell ref="P111:T111"/>
    <mergeCell ref="D105:E105"/>
    <mergeCell ref="P105:T105"/>
    <mergeCell ref="D106:E106"/>
    <mergeCell ref="P106:T106"/>
    <mergeCell ref="D107:E107"/>
    <mergeCell ref="P107:T107"/>
    <mergeCell ref="A101:Z101"/>
    <mergeCell ref="D102:E102"/>
    <mergeCell ref="P102:T102"/>
    <mergeCell ref="D103:E103"/>
    <mergeCell ref="P103:T103"/>
    <mergeCell ref="D104:E104"/>
    <mergeCell ref="P104:T104"/>
    <mergeCell ref="D97:E97"/>
    <mergeCell ref="P97:T97"/>
    <mergeCell ref="A98:O99"/>
    <mergeCell ref="P98:V98"/>
    <mergeCell ref="P99:V99"/>
    <mergeCell ref="A100:Z100"/>
    <mergeCell ref="D94:E94"/>
    <mergeCell ref="P94:T94"/>
    <mergeCell ref="D95:E95"/>
    <mergeCell ref="P95:T95"/>
    <mergeCell ref="D96:E96"/>
    <mergeCell ref="P96:T96"/>
    <mergeCell ref="D90:E90"/>
    <mergeCell ref="P90:T90"/>
    <mergeCell ref="A91:O92"/>
    <mergeCell ref="P91:V91"/>
    <mergeCell ref="P92:V92"/>
    <mergeCell ref="A93:Z93"/>
    <mergeCell ref="D87:E87"/>
    <mergeCell ref="P87:T87"/>
    <mergeCell ref="D88:E88"/>
    <mergeCell ref="P88:T88"/>
    <mergeCell ref="D89:E89"/>
    <mergeCell ref="P89:T89"/>
    <mergeCell ref="A83:Z83"/>
    <mergeCell ref="A84:Z84"/>
    <mergeCell ref="D85:E85"/>
    <mergeCell ref="P85:T85"/>
    <mergeCell ref="D86:E86"/>
    <mergeCell ref="P86:T86"/>
    <mergeCell ref="D79:E79"/>
    <mergeCell ref="P79:T79"/>
    <mergeCell ref="D80:E80"/>
    <mergeCell ref="P80:T80"/>
    <mergeCell ref="A81:O82"/>
    <mergeCell ref="P81:V81"/>
    <mergeCell ref="P82:V82"/>
    <mergeCell ref="A75:O76"/>
    <mergeCell ref="P75:V75"/>
    <mergeCell ref="P76:V76"/>
    <mergeCell ref="A77:Z77"/>
    <mergeCell ref="D78:E78"/>
    <mergeCell ref="P78:T78"/>
    <mergeCell ref="D72:E72"/>
    <mergeCell ref="P72:T72"/>
    <mergeCell ref="D73:E73"/>
    <mergeCell ref="P73:T73"/>
    <mergeCell ref="D74:E74"/>
    <mergeCell ref="P74:T74"/>
    <mergeCell ref="D68:E68"/>
    <mergeCell ref="P68:T68"/>
    <mergeCell ref="A69:O70"/>
    <mergeCell ref="P69:V69"/>
    <mergeCell ref="P70:V70"/>
    <mergeCell ref="A71:Z71"/>
    <mergeCell ref="D65:E65"/>
    <mergeCell ref="P65:T65"/>
    <mergeCell ref="D66:E66"/>
    <mergeCell ref="P66:T66"/>
    <mergeCell ref="D67:E67"/>
    <mergeCell ref="P67:T67"/>
    <mergeCell ref="D61:E61"/>
    <mergeCell ref="P61:T61"/>
    <mergeCell ref="A62:O63"/>
    <mergeCell ref="P62:V62"/>
    <mergeCell ref="P63:V63"/>
    <mergeCell ref="A64:Z64"/>
    <mergeCell ref="D58:E58"/>
    <mergeCell ref="P58:T58"/>
    <mergeCell ref="D59:E59"/>
    <mergeCell ref="P59:T59"/>
    <mergeCell ref="D60:E60"/>
    <mergeCell ref="P60:T60"/>
    <mergeCell ref="A54:Z54"/>
    <mergeCell ref="D55:E55"/>
    <mergeCell ref="P55:T55"/>
    <mergeCell ref="D56:E56"/>
    <mergeCell ref="P56:T56"/>
    <mergeCell ref="D57:E57"/>
    <mergeCell ref="P57:T57"/>
    <mergeCell ref="D50:E50"/>
    <mergeCell ref="P50:T50"/>
    <mergeCell ref="A51:O52"/>
    <mergeCell ref="P51:V51"/>
    <mergeCell ref="P52:V52"/>
    <mergeCell ref="A53:Z53"/>
    <mergeCell ref="D47:E47"/>
    <mergeCell ref="P47:T47"/>
    <mergeCell ref="D48:E48"/>
    <mergeCell ref="P48:T48"/>
    <mergeCell ref="D49:E49"/>
    <mergeCell ref="P49:T49"/>
    <mergeCell ref="A42:O43"/>
    <mergeCell ref="P42:V42"/>
    <mergeCell ref="P43:V43"/>
    <mergeCell ref="A44:Z44"/>
    <mergeCell ref="A45:Z45"/>
    <mergeCell ref="A46:Z46"/>
    <mergeCell ref="D39:E39"/>
    <mergeCell ref="P39:T39"/>
    <mergeCell ref="D40:E40"/>
    <mergeCell ref="P40:T40"/>
    <mergeCell ref="D41:E41"/>
    <mergeCell ref="P41:T41"/>
    <mergeCell ref="A34:Z34"/>
    <mergeCell ref="A35:Z35"/>
    <mergeCell ref="A36:Z36"/>
    <mergeCell ref="D37:E37"/>
    <mergeCell ref="P37:T37"/>
    <mergeCell ref="D38:E38"/>
    <mergeCell ref="P38:T38"/>
    <mergeCell ref="D30:E30"/>
    <mergeCell ref="P30:T30"/>
    <mergeCell ref="D31:E31"/>
    <mergeCell ref="P31:T31"/>
    <mergeCell ref="A32:O33"/>
    <mergeCell ref="P32:V32"/>
    <mergeCell ref="P33:V33"/>
    <mergeCell ref="A26:Z26"/>
    <mergeCell ref="D27:E27"/>
    <mergeCell ref="P27:T27"/>
    <mergeCell ref="D28:E28"/>
    <mergeCell ref="P28:T28"/>
    <mergeCell ref="D29:E29"/>
    <mergeCell ref="P29:T29"/>
    <mergeCell ref="A21:Z21"/>
    <mergeCell ref="D22:E22"/>
    <mergeCell ref="P22:T22"/>
    <mergeCell ref="D23:E23"/>
    <mergeCell ref="P23:T23"/>
    <mergeCell ref="A24:O25"/>
    <mergeCell ref="P24:V24"/>
    <mergeCell ref="P25:V25"/>
    <mergeCell ref="Z17:Z18"/>
    <mergeCell ref="AA17:AA18"/>
    <mergeCell ref="AB17:AB18"/>
    <mergeCell ref="AC17:AC18"/>
    <mergeCell ref="A19:Z19"/>
    <mergeCell ref="A20:Z20"/>
    <mergeCell ref="O17:O18"/>
    <mergeCell ref="P17:T18"/>
    <mergeCell ref="U17:V17"/>
    <mergeCell ref="W17:W18"/>
    <mergeCell ref="X17:X18"/>
    <mergeCell ref="Y17:Y18"/>
    <mergeCell ref="I17:I18"/>
    <mergeCell ref="J17:J18"/>
    <mergeCell ref="K17:K18"/>
    <mergeCell ref="L17:L18"/>
    <mergeCell ref="M17:M18"/>
    <mergeCell ref="N17:N18"/>
    <mergeCell ref="A14:M14"/>
    <mergeCell ref="A15:M15"/>
    <mergeCell ref="P15:T16"/>
    <mergeCell ref="A17:A18"/>
    <mergeCell ref="B17:B18"/>
    <mergeCell ref="C17:C18"/>
    <mergeCell ref="D17:E18"/>
    <mergeCell ref="F17:F18"/>
    <mergeCell ref="G17:G18"/>
    <mergeCell ref="H17:H18"/>
    <mergeCell ref="Q11:R11"/>
    <mergeCell ref="V11:W11"/>
    <mergeCell ref="A12:M12"/>
    <mergeCell ref="Q12:R12"/>
    <mergeCell ref="V12:W12"/>
    <mergeCell ref="A13:M13"/>
    <mergeCell ref="Q13:R13"/>
    <mergeCell ref="A10:C10"/>
    <mergeCell ref="D10:E10"/>
    <mergeCell ref="F10:G10"/>
    <mergeCell ref="H10:M10"/>
    <mergeCell ref="Q10:R10"/>
    <mergeCell ref="V10:W10"/>
    <mergeCell ref="A9:C9"/>
    <mergeCell ref="D9:E9"/>
    <mergeCell ref="F9:G9"/>
    <mergeCell ref="H9:I9"/>
    <mergeCell ref="J9:M9"/>
    <mergeCell ref="Q9:R9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</mergeCells>
  <conditionalFormatting sqref="P9:R13 A8:N8 A9:C10 H10:N10 J9:N9">
    <cfRule type="expression" dxfId="6" priority="7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count="17">
    <dataValidation type="list" allowBlank="1" showInputMessage="1" showErrorMessage="1" sqref="D8:L8" xr:uid="{51519571-36BF-444E-8388-9C9031B26551}">
      <formula1>CHOOSE($D$7,UnloadAdressList0001,UnloadAdressList0002,UnloadAdressList0003,UnloadAdressList0004,UnloadAdressList0005,UnloadAdressList0006,UnloadAdressList0007)</formula1>
    </dataValidation>
    <dataValidation type="list" allowBlank="1" showInputMessage="1" showErrorMessage="1" sqref="M8:N8" xr:uid="{615F1243-E863-4F68-9A07-EBFB78AE07C2}">
      <formula1>CHOOSE($D$7,UnloadAdressList)</formula1>
    </dataValidation>
    <dataValidation type="list" allowBlank="1" showInputMessage="1" showErrorMessage="1" sqref="D6:N6" xr:uid="{5C888FF7-AD7C-4C36-8D06-4361E0A40B7B}">
      <formula1>DeliveryAdressList</formula1>
    </dataValidation>
    <dataValidation type="list" allowBlank="1" showInputMessage="1" showErrorMessage="1" sqref="V12" xr:uid="{768504D6-2D85-4457-BBC2-2BD3595C1A2A}">
      <formula1>DeliveryConditionsList</formula1>
    </dataValidation>
    <dataValidation operator="equal" allowBlank="1" showInputMessage="1" showErrorMessage="1" error="укажите вес, кратный весу коробки" sqref="Z22:AC22" xr:uid="{02DB26A4-D003-4377-BB25-8017324546D3}"/>
    <dataValidation type="list" allowBlank="1" showInputMessage="1" showErrorMessage="1" sqref="D10:E10" xr:uid="{014968BA-5473-4ACC-B379-FB83B06AE2A9}">
      <formula1>IF(TypeProxy="Уполномоченное лицо",NumProxySet,null)</formula1>
    </dataValidation>
    <dataValidation type="list" allowBlank="1" showInputMessage="1" showErrorMessage="1" sqref="D9:E9" xr:uid="{32EA5648-CD62-47B1-9782-F2A6CA085997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3C0A80F1-3FC9-45B1-BBE8-6BDAA62F57FA}">
      <formula1>43831</formula1>
      <formula2>47484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E0ADF9AB-0A6A-4A86-9524-BA74BE6ED83B}">
      <formula1>0.000694444444444444</formula1>
      <formula2>0.999305555555556</formula2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31FC69B7-8F44-4521-A67B-27678EFACFAA}">
      <formula1>0.000694444444444444</formula1>
      <formula2>0.999305555555556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BC81E69D-A631-4BF3-A839-631F5D997A26}">
      <formula1>DeliveryMethodList</formula1>
    </dataValidation>
    <dataValidation type="list" allowBlank="1" showInputMessage="1" showErrorMessage="1" prompt="Определите тип Вашего заказа" sqref="V11:W11" xr:uid="{A9E6630C-3E73-4900-90D6-5C7196734AD7}">
      <formula1>"Основной заказ, Дозаказ, Замена"</formula1>
    </dataValidation>
    <dataValidation allowBlank="1" showInputMessage="1" showErrorMessage="1" prompt="Введите код клиента в системе Axapta" sqref="V10" xr:uid="{BAE965A4-5C4F-4CC1-9881-D2A4BF9DFE04}"/>
    <dataValidation allowBlank="1" showInputMessage="1" showErrorMessage="1" prompt="Введите название вашей фирмы." sqref="V6:V7" xr:uid="{425FC188-431F-4348-AE35-E5F167BBC302}"/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17E08907-E1A0-423E-98D7-8FAA3410092F}">
      <formula1>43831</formula1>
      <formula2>47484</formula2>
    </dataValidation>
    <dataValidation type="list" allowBlank="1" showInputMessage="1" showErrorMessage="1" sqref="X16:AC16" xr:uid="{2E37DA5B-23FF-4C08-B066-932AAEDA1677}">
      <formula1>"80-60,60-40,40-10,70-10"</formula1>
    </dataValidation>
    <dataValidation allowBlank="1" showInputMessage="1" showErrorMessage="1" prompt="День недели загрузки. Считается сам." sqref="Q6:Q7" xr:uid="{EF186FDE-8574-4F39-80DA-D0062C72AFC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4" baseType="lpstr">
      <vt:lpstr>Бланк заказа</vt:lpstr>
      <vt:lpstr>Лист1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