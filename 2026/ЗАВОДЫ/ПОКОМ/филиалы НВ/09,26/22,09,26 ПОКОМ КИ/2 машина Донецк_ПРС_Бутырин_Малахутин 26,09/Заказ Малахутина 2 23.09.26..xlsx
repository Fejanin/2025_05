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806B896-36E0-48EF-B158-8103FE1372E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заказа'!$A$18:$AF$561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5" i="2" l="1"/>
  <c r="X554" i="2"/>
  <c r="BO553" i="2"/>
  <c r="BM553" i="2"/>
  <c r="Y553" i="2"/>
  <c r="AC566" i="2" s="1"/>
  <c r="P553" i="2"/>
  <c r="X550" i="2"/>
  <c r="X549" i="2"/>
  <c r="BO548" i="2"/>
  <c r="BM548" i="2"/>
  <c r="Y548" i="2"/>
  <c r="BP548" i="2" s="1"/>
  <c r="P548" i="2"/>
  <c r="BO547" i="2"/>
  <c r="BM547" i="2"/>
  <c r="Y547" i="2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P539" i="2"/>
  <c r="X537" i="2"/>
  <c r="X536" i="2"/>
  <c r="BO535" i="2"/>
  <c r="BM535" i="2"/>
  <c r="Y535" i="2"/>
  <c r="P535" i="2"/>
  <c r="X531" i="2"/>
  <c r="X530" i="2"/>
  <c r="BO529" i="2"/>
  <c r="BM529" i="2"/>
  <c r="Y529" i="2"/>
  <c r="BN529" i="2" s="1"/>
  <c r="P529" i="2"/>
  <c r="BO528" i="2"/>
  <c r="BM528" i="2"/>
  <c r="Y528" i="2"/>
  <c r="BP528" i="2" s="1"/>
  <c r="P528" i="2"/>
  <c r="BO527" i="2"/>
  <c r="BM527" i="2"/>
  <c r="Y527" i="2"/>
  <c r="Z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M523" i="2"/>
  <c r="Y523" i="2"/>
  <c r="BP523" i="2" s="1"/>
  <c r="P523" i="2"/>
  <c r="X521" i="2"/>
  <c r="X520" i="2"/>
  <c r="BO519" i="2"/>
  <c r="BM519" i="2"/>
  <c r="Y519" i="2"/>
  <c r="P519" i="2"/>
  <c r="BO518" i="2"/>
  <c r="BM518" i="2"/>
  <c r="Y518" i="2"/>
  <c r="P518" i="2"/>
  <c r="BO517" i="2"/>
  <c r="BM517" i="2"/>
  <c r="Y517" i="2"/>
  <c r="Z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BO510" i="2"/>
  <c r="BM510" i="2"/>
  <c r="Y510" i="2"/>
  <c r="BP510" i="2" s="1"/>
  <c r="P510" i="2"/>
  <c r="BO509" i="2"/>
  <c r="BM509" i="2"/>
  <c r="Y509" i="2"/>
  <c r="BN509" i="2" s="1"/>
  <c r="P509" i="2"/>
  <c r="BO508" i="2"/>
  <c r="BM508" i="2"/>
  <c r="Y508" i="2"/>
  <c r="BP508" i="2" s="1"/>
  <c r="P508" i="2"/>
  <c r="BO507" i="2"/>
  <c r="BM507" i="2"/>
  <c r="Y507" i="2"/>
  <c r="Z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X501" i="2"/>
  <c r="X500" i="2"/>
  <c r="BO499" i="2"/>
  <c r="BM499" i="2"/>
  <c r="Y499" i="2"/>
  <c r="BN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BN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Y468" i="2" s="1"/>
  <c r="P466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8" i="2"/>
  <c r="X457" i="2"/>
  <c r="BO456" i="2"/>
  <c r="BM456" i="2"/>
  <c r="Y456" i="2"/>
  <c r="P456" i="2"/>
  <c r="BO455" i="2"/>
  <c r="BM455" i="2"/>
  <c r="Y455" i="2"/>
  <c r="Z455" i="2" s="1"/>
  <c r="P455" i="2"/>
  <c r="X453" i="2"/>
  <c r="X452" i="2"/>
  <c r="BO451" i="2"/>
  <c r="BM451" i="2"/>
  <c r="Y451" i="2"/>
  <c r="BN451" i="2" s="1"/>
  <c r="P451" i="2"/>
  <c r="BO450" i="2"/>
  <c r="BM450" i="2"/>
  <c r="Y450" i="2"/>
  <c r="P450" i="2"/>
  <c r="BO449" i="2"/>
  <c r="BM449" i="2"/>
  <c r="Y449" i="2"/>
  <c r="Z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Z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BP432" i="2" s="1"/>
  <c r="P432" i="2"/>
  <c r="X428" i="2"/>
  <c r="X427" i="2"/>
  <c r="BO426" i="2"/>
  <c r="BM426" i="2"/>
  <c r="Y426" i="2"/>
  <c r="P426" i="2"/>
  <c r="BO425" i="2"/>
  <c r="BM425" i="2"/>
  <c r="Y425" i="2"/>
  <c r="BN425" i="2" s="1"/>
  <c r="P425" i="2"/>
  <c r="BO424" i="2"/>
  <c r="BM424" i="2"/>
  <c r="Y424" i="2"/>
  <c r="P424" i="2"/>
  <c r="X421" i="2"/>
  <c r="X420" i="2"/>
  <c r="BO419" i="2"/>
  <c r="BM419" i="2"/>
  <c r="Y419" i="2"/>
  <c r="BP419" i="2" s="1"/>
  <c r="P419" i="2"/>
  <c r="BO418" i="2"/>
  <c r="BM418" i="2"/>
  <c r="Y418" i="2"/>
  <c r="U566" i="2" s="1"/>
  <c r="P418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BO411" i="2"/>
  <c r="BM411" i="2"/>
  <c r="Y411" i="2"/>
  <c r="Z411" i="2" s="1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Z405" i="2" s="1"/>
  <c r="P405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BP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Z379" i="2" s="1"/>
  <c r="P379" i="2"/>
  <c r="BO378" i="2"/>
  <c r="BM378" i="2"/>
  <c r="Y378" i="2"/>
  <c r="BP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Z369" i="2" s="1"/>
  <c r="P369" i="2"/>
  <c r="BO368" i="2"/>
  <c r="BM368" i="2"/>
  <c r="Y368" i="2"/>
  <c r="BP368" i="2" s="1"/>
  <c r="P368" i="2"/>
  <c r="BO367" i="2"/>
  <c r="BM367" i="2"/>
  <c r="Y367" i="2"/>
  <c r="Z367" i="2" s="1"/>
  <c r="P367" i="2"/>
  <c r="BO366" i="2"/>
  <c r="BM366" i="2"/>
  <c r="Y366" i="2"/>
  <c r="BP366" i="2" s="1"/>
  <c r="P366" i="2"/>
  <c r="BO365" i="2"/>
  <c r="BM365" i="2"/>
  <c r="Y365" i="2"/>
  <c r="P365" i="2"/>
  <c r="X362" i="2"/>
  <c r="X361" i="2"/>
  <c r="BO360" i="2"/>
  <c r="BM360" i="2"/>
  <c r="Y360" i="2"/>
  <c r="P360" i="2"/>
  <c r="BO359" i="2"/>
  <c r="BM359" i="2"/>
  <c r="Y359" i="2"/>
  <c r="BP359" i="2" s="1"/>
  <c r="P359" i="2"/>
  <c r="BO358" i="2"/>
  <c r="BM358" i="2"/>
  <c r="Y358" i="2"/>
  <c r="Z358" i="2" s="1"/>
  <c r="P358" i="2"/>
  <c r="X355" i="2"/>
  <c r="X354" i="2"/>
  <c r="BO353" i="2"/>
  <c r="BM353" i="2"/>
  <c r="Y353" i="2"/>
  <c r="BP353" i="2" s="1"/>
  <c r="P353" i="2"/>
  <c r="BO352" i="2"/>
  <c r="BM352" i="2"/>
  <c r="Y352" i="2"/>
  <c r="P352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X341" i="2"/>
  <c r="X340" i="2"/>
  <c r="BO339" i="2"/>
  <c r="BM339" i="2"/>
  <c r="Y339" i="2"/>
  <c r="BP339" i="2" s="1"/>
  <c r="P339" i="2"/>
  <c r="BO338" i="2"/>
  <c r="BM338" i="2"/>
  <c r="Y338" i="2"/>
  <c r="P338" i="2"/>
  <c r="BP337" i="2"/>
  <c r="BO337" i="2"/>
  <c r="BN337" i="2"/>
  <c r="BM337" i="2"/>
  <c r="Z337" i="2"/>
  <c r="Y337" i="2"/>
  <c r="P337" i="2"/>
  <c r="X334" i="2"/>
  <c r="X333" i="2"/>
  <c r="BO332" i="2"/>
  <c r="BM332" i="2"/>
  <c r="Y332" i="2"/>
  <c r="BP332" i="2" s="1"/>
  <c r="P332" i="2"/>
  <c r="BO331" i="2"/>
  <c r="BM331" i="2"/>
  <c r="Y331" i="2"/>
  <c r="Z331" i="2" s="1"/>
  <c r="P331" i="2"/>
  <c r="BO330" i="2"/>
  <c r="BM330" i="2"/>
  <c r="Y330" i="2"/>
  <c r="P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P327" i="2"/>
  <c r="X324" i="2"/>
  <c r="X323" i="2"/>
  <c r="BO322" i="2"/>
  <c r="BM322" i="2"/>
  <c r="Y322" i="2"/>
  <c r="Z322" i="2" s="1"/>
  <c r="Z323" i="2" s="1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BO308" i="2"/>
  <c r="BM308" i="2"/>
  <c r="Y308" i="2"/>
  <c r="Z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X301" i="2"/>
  <c r="X300" i="2"/>
  <c r="BO299" i="2"/>
  <c r="BM299" i="2"/>
  <c r="Y299" i="2"/>
  <c r="Z299" i="2" s="1"/>
  <c r="P299" i="2"/>
  <c r="BO298" i="2"/>
  <c r="BM298" i="2"/>
  <c r="Y298" i="2"/>
  <c r="BP298" i="2" s="1"/>
  <c r="P298" i="2"/>
  <c r="X296" i="2"/>
  <c r="X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P283" i="2"/>
  <c r="X281" i="2"/>
  <c r="X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Z267" i="2" s="1"/>
  <c r="P267" i="2"/>
  <c r="X265" i="2"/>
  <c r="X264" i="2"/>
  <c r="BO263" i="2"/>
  <c r="BM263" i="2"/>
  <c r="Y263" i="2"/>
  <c r="BN263" i="2" s="1"/>
  <c r="P263" i="2"/>
  <c r="BO262" i="2"/>
  <c r="BM262" i="2"/>
  <c r="Y262" i="2"/>
  <c r="Y265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P253" i="2" s="1"/>
  <c r="P253" i="2"/>
  <c r="BO252" i="2"/>
  <c r="BM252" i="2"/>
  <c r="Y252" i="2"/>
  <c r="P252" i="2"/>
  <c r="BO251" i="2"/>
  <c r="BM251" i="2"/>
  <c r="Y251" i="2"/>
  <c r="BP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X237" i="2"/>
  <c r="X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X198" i="2"/>
  <c r="X197" i="2"/>
  <c r="BO196" i="2"/>
  <c r="BM196" i="2"/>
  <c r="Y196" i="2"/>
  <c r="Y198" i="2" s="1"/>
  <c r="P196" i="2"/>
  <c r="X194" i="2"/>
  <c r="X193" i="2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P190" i="2" s="1"/>
  <c r="P190" i="2"/>
  <c r="X188" i="2"/>
  <c r="X187" i="2"/>
  <c r="BO186" i="2"/>
  <c r="BM186" i="2"/>
  <c r="Y186" i="2"/>
  <c r="P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X174" i="2"/>
  <c r="X173" i="2"/>
  <c r="BO172" i="2"/>
  <c r="BM172" i="2"/>
  <c r="Y172" i="2"/>
  <c r="P172" i="2"/>
  <c r="BO171" i="2"/>
  <c r="BM171" i="2"/>
  <c r="Y171" i="2"/>
  <c r="Y173" i="2" s="1"/>
  <c r="P171" i="2"/>
  <c r="X169" i="2"/>
  <c r="X168" i="2"/>
  <c r="BO167" i="2"/>
  <c r="BM167" i="2"/>
  <c r="Y167" i="2"/>
  <c r="P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BP159" i="2" s="1"/>
  <c r="P159" i="2"/>
  <c r="X157" i="2"/>
  <c r="X156" i="2"/>
  <c r="BO155" i="2"/>
  <c r="BM155" i="2"/>
  <c r="Y155" i="2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P139" i="2"/>
  <c r="X137" i="2"/>
  <c r="X136" i="2"/>
  <c r="BO135" i="2"/>
  <c r="BM135" i="2"/>
  <c r="Y135" i="2"/>
  <c r="Z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Y131" i="2" s="1"/>
  <c r="P129" i="2"/>
  <c r="X127" i="2"/>
  <c r="X126" i="2"/>
  <c r="BO125" i="2"/>
  <c r="BM125" i="2"/>
  <c r="Y125" i="2"/>
  <c r="BP125" i="2" s="1"/>
  <c r="P125" i="2"/>
  <c r="BO124" i="2"/>
  <c r="BM124" i="2"/>
  <c r="Y124" i="2"/>
  <c r="BN124" i="2" s="1"/>
  <c r="P124" i="2"/>
  <c r="BO123" i="2"/>
  <c r="BM123" i="2"/>
  <c r="Y123" i="2"/>
  <c r="P123" i="2"/>
  <c r="BO122" i="2"/>
  <c r="BM122" i="2"/>
  <c r="Y122" i="2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Z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BP96" i="2" s="1"/>
  <c r="P96" i="2"/>
  <c r="X94" i="2"/>
  <c r="X93" i="2"/>
  <c r="BO92" i="2"/>
  <c r="BM92" i="2"/>
  <c r="Y92" i="2"/>
  <c r="BP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BP88" i="2" s="1"/>
  <c r="P88" i="2"/>
  <c r="X85" i="2"/>
  <c r="X84" i="2"/>
  <c r="BO83" i="2"/>
  <c r="BM83" i="2"/>
  <c r="Y83" i="2"/>
  <c r="P83" i="2"/>
  <c r="BO82" i="2"/>
  <c r="BM82" i="2"/>
  <c r="Y82" i="2"/>
  <c r="Z82" i="2" s="1"/>
  <c r="P82" i="2"/>
  <c r="BO81" i="2"/>
  <c r="BM81" i="2"/>
  <c r="Y81" i="2"/>
  <c r="Y85" i="2" s="1"/>
  <c r="P81" i="2"/>
  <c r="X79" i="2"/>
  <c r="X78" i="2"/>
  <c r="BO77" i="2"/>
  <c r="BM77" i="2"/>
  <c r="Y77" i="2"/>
  <c r="P77" i="2"/>
  <c r="BO76" i="2"/>
  <c r="BM76" i="2"/>
  <c r="Y76" i="2"/>
  <c r="P76" i="2"/>
  <c r="X74" i="2"/>
  <c r="X73" i="2"/>
  <c r="BO72" i="2"/>
  <c r="BM72" i="2"/>
  <c r="Y72" i="2"/>
  <c r="Z72" i="2" s="1"/>
  <c r="P72" i="2"/>
  <c r="BO71" i="2"/>
  <c r="BM71" i="2"/>
  <c r="Y71" i="2"/>
  <c r="BP71" i="2" s="1"/>
  <c r="P71" i="2"/>
  <c r="BO70" i="2"/>
  <c r="BM70" i="2"/>
  <c r="Z70" i="2"/>
  <c r="Y70" i="2"/>
  <c r="BN70" i="2" s="1"/>
  <c r="P70" i="2"/>
  <c r="BO69" i="2"/>
  <c r="BM69" i="2"/>
  <c r="Y69" i="2"/>
  <c r="P69" i="2"/>
  <c r="BO68" i="2"/>
  <c r="BM68" i="2"/>
  <c r="Y68" i="2"/>
  <c r="BN68" i="2" s="1"/>
  <c r="P68" i="2"/>
  <c r="BO67" i="2"/>
  <c r="BM67" i="2"/>
  <c r="Y67" i="2"/>
  <c r="P67" i="2"/>
  <c r="X65" i="2"/>
  <c r="X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BP38" i="2" s="1"/>
  <c r="P38" i="2"/>
  <c r="BO37" i="2"/>
  <c r="BM37" i="2"/>
  <c r="Y37" i="2"/>
  <c r="C566" i="2" s="1"/>
  <c r="P37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Z225" i="2" l="1"/>
  <c r="BN225" i="2"/>
  <c r="Z443" i="2"/>
  <c r="BN443" i="2"/>
  <c r="Z177" i="2"/>
  <c r="Z272" i="2"/>
  <c r="BN272" i="2"/>
  <c r="Z488" i="2"/>
  <c r="BN488" i="2"/>
  <c r="Z493" i="2"/>
  <c r="Z494" i="2" s="1"/>
  <c r="Z49" i="2"/>
  <c r="Z124" i="2"/>
  <c r="Z190" i="2"/>
  <c r="BN190" i="2"/>
  <c r="Z240" i="2"/>
  <c r="BN240" i="2"/>
  <c r="Z304" i="2"/>
  <c r="BN304" i="2"/>
  <c r="Z353" i="2"/>
  <c r="BN353" i="2"/>
  <c r="Z418" i="2"/>
  <c r="BN418" i="2"/>
  <c r="BP425" i="2"/>
  <c r="Y458" i="2"/>
  <c r="Z511" i="2"/>
  <c r="X560" i="2"/>
  <c r="Z28" i="2"/>
  <c r="BN28" i="2"/>
  <c r="Z57" i="2"/>
  <c r="BN57" i="2"/>
  <c r="Z59" i="2"/>
  <c r="BN59" i="2"/>
  <c r="Z96" i="2"/>
  <c r="BN96" i="2"/>
  <c r="BP183" i="2"/>
  <c r="Z209" i="2"/>
  <c r="BN209" i="2"/>
  <c r="Z229" i="2"/>
  <c r="BN229" i="2"/>
  <c r="Z251" i="2"/>
  <c r="BN251" i="2"/>
  <c r="Z284" i="2"/>
  <c r="BN284" i="2"/>
  <c r="Z314" i="2"/>
  <c r="Z315" i="2" s="1"/>
  <c r="BN314" i="2"/>
  <c r="BP314" i="2"/>
  <c r="Y315" i="2"/>
  <c r="Z318" i="2"/>
  <c r="Z319" i="2" s="1"/>
  <c r="BN318" i="2"/>
  <c r="BP318" i="2"/>
  <c r="Z345" i="2"/>
  <c r="Y350" i="2"/>
  <c r="Z375" i="2"/>
  <c r="BN375" i="2"/>
  <c r="Z392" i="2"/>
  <c r="BN392" i="2"/>
  <c r="Z406" i="2"/>
  <c r="BN406" i="2"/>
  <c r="Z434" i="2"/>
  <c r="BN434" i="2"/>
  <c r="Z472" i="2"/>
  <c r="Z523" i="2"/>
  <c r="BN523" i="2"/>
  <c r="BP525" i="2"/>
  <c r="BP30" i="2"/>
  <c r="Y51" i="2"/>
  <c r="Z56" i="2"/>
  <c r="Z63" i="2"/>
  <c r="BN63" i="2"/>
  <c r="BP98" i="2"/>
  <c r="Z144" i="2"/>
  <c r="BN144" i="2"/>
  <c r="Z171" i="2"/>
  <c r="Z178" i="2"/>
  <c r="BN178" i="2"/>
  <c r="Z181" i="2"/>
  <c r="Z185" i="2"/>
  <c r="BN185" i="2"/>
  <c r="BP207" i="2"/>
  <c r="Z211" i="2"/>
  <c r="Z231" i="2"/>
  <c r="BN231" i="2"/>
  <c r="Z242" i="2"/>
  <c r="BN242" i="2"/>
  <c r="Z263" i="2"/>
  <c r="Z274" i="2"/>
  <c r="BN274" i="2"/>
  <c r="Z293" i="2"/>
  <c r="BN293" i="2"/>
  <c r="Z306" i="2"/>
  <c r="BN306" i="2"/>
  <c r="Z328" i="2"/>
  <c r="BN328" i="2"/>
  <c r="Z339" i="2"/>
  <c r="BN339" i="2"/>
  <c r="Z348" i="2"/>
  <c r="BN348" i="2"/>
  <c r="Z371" i="2"/>
  <c r="Z394" i="2"/>
  <c r="Z413" i="2"/>
  <c r="Z432" i="2"/>
  <c r="BN432" i="2"/>
  <c r="Z438" i="2"/>
  <c r="BN438" i="2"/>
  <c r="Z445" i="2"/>
  <c r="Y452" i="2"/>
  <c r="Z451" i="2"/>
  <c r="Z462" i="2"/>
  <c r="BN462" i="2"/>
  <c r="Z466" i="2"/>
  <c r="Z467" i="2" s="1"/>
  <c r="BN466" i="2"/>
  <c r="BP466" i="2"/>
  <c r="Z487" i="2"/>
  <c r="Z566" i="2"/>
  <c r="Y500" i="2"/>
  <c r="Z499" i="2"/>
  <c r="Z509" i="2"/>
  <c r="Z512" i="2"/>
  <c r="BN512" i="2"/>
  <c r="Z529" i="2"/>
  <c r="BP37" i="2"/>
  <c r="BP69" i="2"/>
  <c r="BN69" i="2"/>
  <c r="Z69" i="2"/>
  <c r="BN76" i="2"/>
  <c r="Z76" i="2"/>
  <c r="G566" i="2"/>
  <c r="Z104" i="2"/>
  <c r="BP123" i="2"/>
  <c r="BN123" i="2"/>
  <c r="Z123" i="2"/>
  <c r="Z166" i="2"/>
  <c r="BP166" i="2"/>
  <c r="BP180" i="2"/>
  <c r="BN180" i="2"/>
  <c r="Z180" i="2"/>
  <c r="BN222" i="2"/>
  <c r="Z222" i="2"/>
  <c r="BP232" i="2"/>
  <c r="BN232" i="2"/>
  <c r="Z232" i="2"/>
  <c r="BN246" i="2"/>
  <c r="BP273" i="2"/>
  <c r="BN273" i="2"/>
  <c r="Z273" i="2"/>
  <c r="BP291" i="2"/>
  <c r="Z291" i="2"/>
  <c r="F9" i="2"/>
  <c r="X557" i="2"/>
  <c r="X558" i="2"/>
  <c r="BN23" i="2"/>
  <c r="BP23" i="2"/>
  <c r="X556" i="2"/>
  <c r="BN27" i="2"/>
  <c r="BP27" i="2"/>
  <c r="Z37" i="2"/>
  <c r="Z40" i="2"/>
  <c r="BN40" i="2"/>
  <c r="BN41" i="2"/>
  <c r="Z48" i="2"/>
  <c r="BN48" i="2"/>
  <c r="BP49" i="2"/>
  <c r="E566" i="2"/>
  <c r="BN55" i="2"/>
  <c r="BP55" i="2"/>
  <c r="BP56" i="2"/>
  <c r="Y65" i="2"/>
  <c r="Z60" i="2"/>
  <c r="BP76" i="2"/>
  <c r="BP77" i="2"/>
  <c r="BN77" i="2"/>
  <c r="Z77" i="2"/>
  <c r="Z78" i="2" s="1"/>
  <c r="Y78" i="2"/>
  <c r="Y79" i="2"/>
  <c r="BP83" i="2"/>
  <c r="Z83" i="2"/>
  <c r="BP104" i="2"/>
  <c r="BN106" i="2"/>
  <c r="BP106" i="2"/>
  <c r="BP107" i="2"/>
  <c r="BN107" i="2"/>
  <c r="Z107" i="2"/>
  <c r="Z109" i="2"/>
  <c r="BP109" i="2"/>
  <c r="BN112" i="2"/>
  <c r="BP112" i="2"/>
  <c r="BN116" i="2"/>
  <c r="BP116" i="2"/>
  <c r="BP117" i="2"/>
  <c r="BN117" i="2"/>
  <c r="Z117" i="2"/>
  <c r="Y119" i="2"/>
  <c r="BN135" i="2"/>
  <c r="BP135" i="2"/>
  <c r="Z139" i="2"/>
  <c r="Y142" i="2"/>
  <c r="Y141" i="2"/>
  <c r="BN139" i="2"/>
  <c r="BP139" i="2"/>
  <c r="BP140" i="2"/>
  <c r="BN140" i="2"/>
  <c r="Z140" i="2"/>
  <c r="I566" i="2"/>
  <c r="Y157" i="2"/>
  <c r="BN151" i="2"/>
  <c r="Z151" i="2"/>
  <c r="BN153" i="2"/>
  <c r="BP153" i="2"/>
  <c r="BN154" i="2"/>
  <c r="Z154" i="2"/>
  <c r="BP186" i="2"/>
  <c r="BN186" i="2"/>
  <c r="Z186" i="2"/>
  <c r="BN196" i="2"/>
  <c r="BP196" i="2"/>
  <c r="BN200" i="2"/>
  <c r="BP208" i="2"/>
  <c r="BN208" i="2"/>
  <c r="Z208" i="2"/>
  <c r="BN212" i="2"/>
  <c r="BP222" i="2"/>
  <c r="BP223" i="2"/>
  <c r="BN223" i="2"/>
  <c r="Z223" i="2"/>
  <c r="BN224" i="2"/>
  <c r="BN226" i="2"/>
  <c r="Z226" i="2"/>
  <c r="BP230" i="2"/>
  <c r="BN230" i="2"/>
  <c r="Z230" i="2"/>
  <c r="Y249" i="2"/>
  <c r="BP241" i="2"/>
  <c r="BN241" i="2"/>
  <c r="Z241" i="2"/>
  <c r="BP275" i="2"/>
  <c r="BN275" i="2"/>
  <c r="Z275" i="2"/>
  <c r="BP283" i="2"/>
  <c r="BN283" i="2"/>
  <c r="Z283" i="2"/>
  <c r="BP294" i="2"/>
  <c r="BN294" i="2"/>
  <c r="Z294" i="2"/>
  <c r="BN308" i="2"/>
  <c r="BP308" i="2"/>
  <c r="BN310" i="2"/>
  <c r="P566" i="2"/>
  <c r="BP327" i="2"/>
  <c r="BN327" i="2"/>
  <c r="Z327" i="2"/>
  <c r="BP338" i="2"/>
  <c r="BN338" i="2"/>
  <c r="Z338" i="2"/>
  <c r="BN347" i="2"/>
  <c r="BP347" i="2"/>
  <c r="BP360" i="2"/>
  <c r="Z360" i="2"/>
  <c r="BP365" i="2"/>
  <c r="BN365" i="2"/>
  <c r="Z365" i="2"/>
  <c r="BN367" i="2"/>
  <c r="BP367" i="2"/>
  <c r="BN369" i="2"/>
  <c r="Y372" i="2"/>
  <c r="BP393" i="2"/>
  <c r="Y396" i="2"/>
  <c r="BN393" i="2"/>
  <c r="Y440" i="2"/>
  <c r="BP433" i="2"/>
  <c r="BN433" i="2"/>
  <c r="Z433" i="2"/>
  <c r="BN439" i="2"/>
  <c r="BP444" i="2"/>
  <c r="BN444" i="2"/>
  <c r="Z444" i="2"/>
  <c r="Y446" i="2"/>
  <c r="BN22" i="2"/>
  <c r="BN29" i="2"/>
  <c r="BN39" i="2"/>
  <c r="BP39" i="2"/>
  <c r="BP60" i="2"/>
  <c r="Z62" i="2"/>
  <c r="BP62" i="2"/>
  <c r="Y73" i="2"/>
  <c r="BN67" i="2"/>
  <c r="Z67" i="2"/>
  <c r="Y74" i="2"/>
  <c r="BN90" i="2"/>
  <c r="BN97" i="2"/>
  <c r="Y100" i="2"/>
  <c r="BN152" i="2"/>
  <c r="Z152" i="2"/>
  <c r="BP155" i="2"/>
  <c r="BN155" i="2"/>
  <c r="Z155" i="2"/>
  <c r="J566" i="2"/>
  <c r="BP164" i="2"/>
  <c r="BN164" i="2"/>
  <c r="Z164" i="2"/>
  <c r="BP184" i="2"/>
  <c r="BN184" i="2"/>
  <c r="Z184" i="2"/>
  <c r="Y193" i="2"/>
  <c r="Z191" i="2"/>
  <c r="BP210" i="2"/>
  <c r="BN210" i="2"/>
  <c r="Z210" i="2"/>
  <c r="Y236" i="2"/>
  <c r="BN228" i="2"/>
  <c r="BP228" i="2"/>
  <c r="BN234" i="2"/>
  <c r="BP234" i="2"/>
  <c r="BP239" i="2"/>
  <c r="BN239" i="2"/>
  <c r="Z239" i="2"/>
  <c r="BN244" i="2"/>
  <c r="BP244" i="2"/>
  <c r="BP252" i="2"/>
  <c r="BN252" i="2"/>
  <c r="Z252" i="2"/>
  <c r="BP285" i="2"/>
  <c r="BN285" i="2"/>
  <c r="Z285" i="2"/>
  <c r="Y296" i="2"/>
  <c r="BN299" i="2"/>
  <c r="Y312" i="2"/>
  <c r="BP305" i="2"/>
  <c r="BN305" i="2"/>
  <c r="Z305" i="2"/>
  <c r="BP329" i="2"/>
  <c r="BN329" i="2"/>
  <c r="Z329" i="2"/>
  <c r="BN401" i="2"/>
  <c r="BP401" i="2"/>
  <c r="BP407" i="2"/>
  <c r="BN407" i="2"/>
  <c r="Z407" i="2"/>
  <c r="Z408" i="2" s="1"/>
  <c r="Y409" i="2"/>
  <c r="Z470" i="2"/>
  <c r="Y473" i="2"/>
  <c r="BN470" i="2"/>
  <c r="Y566" i="2"/>
  <c r="BN478" i="2"/>
  <c r="Z478" i="2"/>
  <c r="BN480" i="2"/>
  <c r="BP480" i="2"/>
  <c r="BN482" i="2"/>
  <c r="BP518" i="2"/>
  <c r="Y520" i="2"/>
  <c r="BN519" i="2"/>
  <c r="Z519" i="2"/>
  <c r="BP519" i="2"/>
  <c r="BP70" i="2"/>
  <c r="BN72" i="2"/>
  <c r="BP72" i="2"/>
  <c r="Y94" i="2"/>
  <c r="BN91" i="2"/>
  <c r="BP91" i="2"/>
  <c r="BN108" i="2"/>
  <c r="BN111" i="2"/>
  <c r="BN118" i="2"/>
  <c r="Y127" i="2"/>
  <c r="BN122" i="2"/>
  <c r="BP124" i="2"/>
  <c r="BN129" i="2"/>
  <c r="BP129" i="2"/>
  <c r="BN134" i="2"/>
  <c r="Y147" i="2"/>
  <c r="BN145" i="2"/>
  <c r="Y160" i="2"/>
  <c r="BN165" i="2"/>
  <c r="Y169" i="2"/>
  <c r="BP171" i="2"/>
  <c r="Y174" i="2"/>
  <c r="BN176" i="2"/>
  <c r="BP176" i="2"/>
  <c r="BP177" i="2"/>
  <c r="Y188" i="2"/>
  <c r="BN179" i="2"/>
  <c r="BP181" i="2"/>
  <c r="Y194" i="2"/>
  <c r="BN221" i="2"/>
  <c r="BN233" i="2"/>
  <c r="BP263" i="2"/>
  <c r="BN267" i="2"/>
  <c r="BP267" i="2"/>
  <c r="Y269" i="2"/>
  <c r="Y270" i="2"/>
  <c r="Y281" i="2"/>
  <c r="BN277" i="2"/>
  <c r="BP277" i="2"/>
  <c r="BN279" i="2"/>
  <c r="BN287" i="2"/>
  <c r="BP287" i="2"/>
  <c r="BN289" i="2"/>
  <c r="O566" i="2"/>
  <c r="Y320" i="2"/>
  <c r="BN322" i="2"/>
  <c r="Y334" i="2"/>
  <c r="BN331" i="2"/>
  <c r="BP331" i="2"/>
  <c r="Q566" i="2"/>
  <c r="Y341" i="2"/>
  <c r="Y349" i="2"/>
  <c r="BP344" i="2"/>
  <c r="BN344" i="2"/>
  <c r="Z344" i="2"/>
  <c r="Y355" i="2"/>
  <c r="BP352" i="2"/>
  <c r="BN352" i="2"/>
  <c r="Z352" i="2"/>
  <c r="Z354" i="2" s="1"/>
  <c r="BP381" i="2"/>
  <c r="Z381" i="2"/>
  <c r="BP385" i="2"/>
  <c r="Y390" i="2"/>
  <c r="BN385" i="2"/>
  <c r="Z385" i="2"/>
  <c r="BN387" i="2"/>
  <c r="BP387" i="2"/>
  <c r="Y402" i="2"/>
  <c r="BP398" i="2"/>
  <c r="BN398" i="2"/>
  <c r="Z398" i="2"/>
  <c r="BN411" i="2"/>
  <c r="Y414" i="2"/>
  <c r="BP426" i="2"/>
  <c r="BN426" i="2"/>
  <c r="Z426" i="2"/>
  <c r="BP435" i="2"/>
  <c r="Z435" i="2"/>
  <c r="X566" i="2"/>
  <c r="Y464" i="2"/>
  <c r="BP461" i="2"/>
  <c r="BN461" i="2"/>
  <c r="Z461" i="2"/>
  <c r="BN507" i="2"/>
  <c r="BN513" i="2"/>
  <c r="BN527" i="2"/>
  <c r="AB566" i="2"/>
  <c r="Y536" i="2"/>
  <c r="Z535" i="2"/>
  <c r="Z536" i="2" s="1"/>
  <c r="Y541" i="2"/>
  <c r="Y540" i="2"/>
  <c r="Z539" i="2"/>
  <c r="Z540" i="2" s="1"/>
  <c r="BP543" i="2"/>
  <c r="Y544" i="2"/>
  <c r="Z543" i="2"/>
  <c r="Z544" i="2" s="1"/>
  <c r="BP547" i="2"/>
  <c r="Z547" i="2"/>
  <c r="Y340" i="2"/>
  <c r="Y354" i="2"/>
  <c r="BN358" i="2"/>
  <c r="Y361" i="2"/>
  <c r="BN377" i="2"/>
  <c r="BP377" i="2"/>
  <c r="BN379" i="2"/>
  <c r="Y382" i="2"/>
  <c r="BP394" i="2"/>
  <c r="Y403" i="2"/>
  <c r="Y408" i="2"/>
  <c r="BP405" i="2"/>
  <c r="Y428" i="2"/>
  <c r="W566" i="2"/>
  <c r="BN437" i="2"/>
  <c r="BP437" i="2"/>
  <c r="Y447" i="2"/>
  <c r="BP449" i="2"/>
  <c r="Y453" i="2"/>
  <c r="BP451" i="2"/>
  <c r="BN455" i="2"/>
  <c r="BP455" i="2"/>
  <c r="Y457" i="2"/>
  <c r="BP472" i="2"/>
  <c r="BP487" i="2"/>
  <c r="Y489" i="2"/>
  <c r="Y490" i="2"/>
  <c r="BP497" i="2"/>
  <c r="Y501" i="2"/>
  <c r="BP499" i="2"/>
  <c r="AA566" i="2"/>
  <c r="BP509" i="2"/>
  <c r="BP511" i="2"/>
  <c r="BN517" i="2"/>
  <c r="BP529" i="2"/>
  <c r="Y530" i="2"/>
  <c r="Y93" i="2"/>
  <c r="Y101" i="2"/>
  <c r="Y52" i="2"/>
  <c r="BN82" i="2"/>
  <c r="BN150" i="2"/>
  <c r="Y161" i="2"/>
  <c r="Y237" i="2"/>
  <c r="Y120" i="2"/>
  <c r="BN166" i="2"/>
  <c r="Y254" i="2"/>
  <c r="Z262" i="2"/>
  <c r="Z292" i="2"/>
  <c r="Y420" i="2"/>
  <c r="Y441" i="2"/>
  <c r="Z450" i="2"/>
  <c r="Z498" i="2"/>
  <c r="Z510" i="2"/>
  <c r="Y549" i="2"/>
  <c r="K566" i="2"/>
  <c r="Y42" i="2"/>
  <c r="BN30" i="2"/>
  <c r="Y43" i="2"/>
  <c r="Z55" i="2"/>
  <c r="BP67" i="2"/>
  <c r="BN88" i="2"/>
  <c r="BN98" i="2"/>
  <c r="BN109" i="2"/>
  <c r="Z129" i="2"/>
  <c r="Z130" i="2" s="1"/>
  <c r="BP144" i="2"/>
  <c r="Z196" i="2"/>
  <c r="Z197" i="2" s="1"/>
  <c r="Y201" i="2"/>
  <c r="Y213" i="2"/>
  <c r="Z221" i="2"/>
  <c r="BN37" i="2"/>
  <c r="BP82" i="2"/>
  <c r="BN104" i="2"/>
  <c r="BP150" i="2"/>
  <c r="BN171" i="2"/>
  <c r="BN191" i="2"/>
  <c r="BP246" i="2"/>
  <c r="BP279" i="2"/>
  <c r="BP289" i="2"/>
  <c r="BP299" i="2"/>
  <c r="BP310" i="2"/>
  <c r="BP322" i="2"/>
  <c r="BN345" i="2"/>
  <c r="BP358" i="2"/>
  <c r="BP369" i="2"/>
  <c r="BP379" i="2"/>
  <c r="BN399" i="2"/>
  <c r="BP411" i="2"/>
  <c r="BN435" i="2"/>
  <c r="BN445" i="2"/>
  <c r="BP470" i="2"/>
  <c r="BP482" i="2"/>
  <c r="BN493" i="2"/>
  <c r="Z505" i="2"/>
  <c r="BP507" i="2"/>
  <c r="BP517" i="2"/>
  <c r="Z525" i="2"/>
  <c r="BP527" i="2"/>
  <c r="BN539" i="2"/>
  <c r="L566" i="2"/>
  <c r="Y156" i="2"/>
  <c r="BN262" i="2"/>
  <c r="BN292" i="2"/>
  <c r="Y295" i="2"/>
  <c r="Y362" i="2"/>
  <c r="Y373" i="2"/>
  <c r="Y383" i="2"/>
  <c r="Y415" i="2"/>
  <c r="BN450" i="2"/>
  <c r="Y474" i="2"/>
  <c r="BN498" i="2"/>
  <c r="BN510" i="2"/>
  <c r="Y521" i="2"/>
  <c r="Y531" i="2"/>
  <c r="Y545" i="2"/>
  <c r="M566" i="2"/>
  <c r="Z47" i="2"/>
  <c r="Z58" i="2"/>
  <c r="Z68" i="2"/>
  <c r="Z122" i="2"/>
  <c r="Z145" i="2"/>
  <c r="Z179" i="2"/>
  <c r="Y202" i="2"/>
  <c r="Y214" i="2"/>
  <c r="Z224" i="2"/>
  <c r="Y255" i="2"/>
  <c r="Y280" i="2"/>
  <c r="Y300" i="2"/>
  <c r="Y311" i="2"/>
  <c r="Y323" i="2"/>
  <c r="BP399" i="2"/>
  <c r="Y421" i="2"/>
  <c r="BP493" i="2"/>
  <c r="BN505" i="2"/>
  <c r="Z513" i="2"/>
  <c r="BP539" i="2"/>
  <c r="Y550" i="2"/>
  <c r="Y187" i="2"/>
  <c r="Z247" i="2"/>
  <c r="BP262" i="2"/>
  <c r="Z290" i="2"/>
  <c r="Z359" i="2"/>
  <c r="Z370" i="2"/>
  <c r="Z380" i="2"/>
  <c r="Y395" i="2"/>
  <c r="Z412" i="2"/>
  <c r="Z414" i="2" s="1"/>
  <c r="BP450" i="2"/>
  <c r="Z471" i="2"/>
  <c r="Z483" i="2"/>
  <c r="BP498" i="2"/>
  <c r="Z508" i="2"/>
  <c r="Z518" i="2"/>
  <c r="Z528" i="2"/>
  <c r="Z99" i="2"/>
  <c r="Z167" i="2"/>
  <c r="Z89" i="2"/>
  <c r="J9" i="2"/>
  <c r="Z38" i="2"/>
  <c r="Z50" i="2"/>
  <c r="Z61" i="2"/>
  <c r="Z71" i="2"/>
  <c r="BN83" i="2"/>
  <c r="Z105" i="2"/>
  <c r="Z125" i="2"/>
  <c r="Y130" i="2"/>
  <c r="Z172" i="2"/>
  <c r="Z182" i="2"/>
  <c r="Z192" i="2"/>
  <c r="Y197" i="2"/>
  <c r="Z206" i="2"/>
  <c r="Z217" i="2"/>
  <c r="Z218" i="2" s="1"/>
  <c r="Z227" i="2"/>
  <c r="BN247" i="2"/>
  <c r="Z257" i="2"/>
  <c r="Z258" i="2" s="1"/>
  <c r="BN290" i="2"/>
  <c r="Y301" i="2"/>
  <c r="Y324" i="2"/>
  <c r="Z346" i="2"/>
  <c r="BN359" i="2"/>
  <c r="BN370" i="2"/>
  <c r="BN380" i="2"/>
  <c r="Z400" i="2"/>
  <c r="BN412" i="2"/>
  <c r="Z424" i="2"/>
  <c r="Z436" i="2"/>
  <c r="BN471" i="2"/>
  <c r="BN483" i="2"/>
  <c r="BN508" i="2"/>
  <c r="BN518" i="2"/>
  <c r="BN528" i="2"/>
  <c r="Z553" i="2"/>
  <c r="Z554" i="2" s="1"/>
  <c r="R566" i="2"/>
  <c r="BN47" i="2"/>
  <c r="BN31" i="2"/>
  <c r="BP68" i="2"/>
  <c r="BN110" i="2"/>
  <c r="Y113" i="2"/>
  <c r="Y136" i="2"/>
  <c r="BP145" i="2"/>
  <c r="BN167" i="2"/>
  <c r="BP179" i="2"/>
  <c r="BN211" i="2"/>
  <c r="BN535" i="2"/>
  <c r="BN547" i="2"/>
  <c r="S566" i="2"/>
  <c r="Z110" i="2"/>
  <c r="Y24" i="2"/>
  <c r="BN38" i="2"/>
  <c r="BN50" i="2"/>
  <c r="Y64" i="2"/>
  <c r="BN105" i="2"/>
  <c r="BN182" i="2"/>
  <c r="BN192" i="2"/>
  <c r="BN206" i="2"/>
  <c r="BN217" i="2"/>
  <c r="BN227" i="2"/>
  <c r="Z235" i="2"/>
  <c r="Z245" i="2"/>
  <c r="BN257" i="2"/>
  <c r="Z268" i="2"/>
  <c r="Z269" i="2" s="1"/>
  <c r="Z278" i="2"/>
  <c r="Z288" i="2"/>
  <c r="Z298" i="2"/>
  <c r="Z300" i="2" s="1"/>
  <c r="Z309" i="2"/>
  <c r="Z332" i="2"/>
  <c r="BN346" i="2"/>
  <c r="Z368" i="2"/>
  <c r="Z378" i="2"/>
  <c r="Z388" i="2"/>
  <c r="BN400" i="2"/>
  <c r="BN424" i="2"/>
  <c r="Y427" i="2"/>
  <c r="BN436" i="2"/>
  <c r="Z456" i="2"/>
  <c r="Z457" i="2" s="1"/>
  <c r="Z481" i="2"/>
  <c r="Y495" i="2"/>
  <c r="Z506" i="2"/>
  <c r="Z526" i="2"/>
  <c r="BN553" i="2"/>
  <c r="T566" i="2"/>
  <c r="BN58" i="2"/>
  <c r="F10" i="2"/>
  <c r="BN61" i="2"/>
  <c r="Z92" i="2"/>
  <c r="BN125" i="2"/>
  <c r="Z159" i="2"/>
  <c r="Z160" i="2" s="1"/>
  <c r="Z29" i="2"/>
  <c r="BP31" i="2"/>
  <c r="Z41" i="2"/>
  <c r="BP89" i="2"/>
  <c r="Z97" i="2"/>
  <c r="BP99" i="2"/>
  <c r="Z108" i="2"/>
  <c r="Z118" i="2"/>
  <c r="Z165" i="2"/>
  <c r="BP167" i="2"/>
  <c r="Z393" i="2"/>
  <c r="BN405" i="2"/>
  <c r="BP418" i="2"/>
  <c r="Z439" i="2"/>
  <c r="Y467" i="2"/>
  <c r="BP478" i="2"/>
  <c r="Y514" i="2"/>
  <c r="BP535" i="2"/>
  <c r="B566" i="2"/>
  <c r="A10" i="2"/>
  <c r="BP47" i="2"/>
  <c r="BP58" i="2"/>
  <c r="BN99" i="2"/>
  <c r="BP122" i="2"/>
  <c r="BN71" i="2"/>
  <c r="Z81" i="2"/>
  <c r="Z84" i="2" s="1"/>
  <c r="BN172" i="2"/>
  <c r="Y25" i="2"/>
  <c r="BN81" i="2"/>
  <c r="Y84" i="2"/>
  <c r="BN92" i="2"/>
  <c r="Y114" i="2"/>
  <c r="Y137" i="2"/>
  <c r="BN159" i="2"/>
  <c r="BP172" i="2"/>
  <c r="BP217" i="2"/>
  <c r="BP227" i="2"/>
  <c r="BN235" i="2"/>
  <c r="BN245" i="2"/>
  <c r="Y248" i="2"/>
  <c r="BP257" i="2"/>
  <c r="BN268" i="2"/>
  <c r="BN278" i="2"/>
  <c r="BN288" i="2"/>
  <c r="BN298" i="2"/>
  <c r="BN309" i="2"/>
  <c r="BN332" i="2"/>
  <c r="BP346" i="2"/>
  <c r="BN368" i="2"/>
  <c r="BN378" i="2"/>
  <c r="BN388" i="2"/>
  <c r="BP424" i="2"/>
  <c r="BN456" i="2"/>
  <c r="BN481" i="2"/>
  <c r="Y484" i="2"/>
  <c r="BN506" i="2"/>
  <c r="BN526" i="2"/>
  <c r="BP553" i="2"/>
  <c r="V566" i="2"/>
  <c r="D566" i="2"/>
  <c r="Y32" i="2"/>
  <c r="BP81" i="2"/>
  <c r="Z90" i="2"/>
  <c r="Z111" i="2"/>
  <c r="Y126" i="2"/>
  <c r="Z134" i="2"/>
  <c r="Z136" i="2" s="1"/>
  <c r="Z200" i="2"/>
  <c r="Z201" i="2" s="1"/>
  <c r="Z212" i="2"/>
  <c r="Y218" i="2"/>
  <c r="Z233" i="2"/>
  <c r="Z243" i="2"/>
  <c r="Z253" i="2"/>
  <c r="Z254" i="2" s="1"/>
  <c r="Y258" i="2"/>
  <c r="Z276" i="2"/>
  <c r="Z286" i="2"/>
  <c r="Z307" i="2"/>
  <c r="Z330" i="2"/>
  <c r="Z366" i="2"/>
  <c r="Z376" i="2"/>
  <c r="Z386" i="2"/>
  <c r="Z419" i="2"/>
  <c r="Z420" i="2" s="1"/>
  <c r="BP456" i="2"/>
  <c r="Z479" i="2"/>
  <c r="Y515" i="2"/>
  <c r="Z524" i="2"/>
  <c r="Z548" i="2"/>
  <c r="Y554" i="2"/>
  <c r="Y168" i="2"/>
  <c r="Z22" i="2"/>
  <c r="Z24" i="2" s="1"/>
  <c r="Z183" i="2"/>
  <c r="Z207" i="2"/>
  <c r="Z228" i="2"/>
  <c r="Y264" i="2"/>
  <c r="BN291" i="2"/>
  <c r="Z347" i="2"/>
  <c r="BN360" i="2"/>
  <c r="BN371" i="2"/>
  <c r="BN381" i="2"/>
  <c r="Z401" i="2"/>
  <c r="BN413" i="2"/>
  <c r="Z425" i="2"/>
  <c r="BN449" i="2"/>
  <c r="Y485" i="2"/>
  <c r="BN497" i="2"/>
  <c r="BN543" i="2"/>
  <c r="F566" i="2"/>
  <c r="Y33" i="2"/>
  <c r="BN243" i="2"/>
  <c r="BN253" i="2"/>
  <c r="BN276" i="2"/>
  <c r="BN286" i="2"/>
  <c r="BN307" i="2"/>
  <c r="BN330" i="2"/>
  <c r="Y333" i="2"/>
  <c r="BN366" i="2"/>
  <c r="BN376" i="2"/>
  <c r="BN386" i="2"/>
  <c r="Y389" i="2"/>
  <c r="BN419" i="2"/>
  <c r="BN479" i="2"/>
  <c r="BN524" i="2"/>
  <c r="Y537" i="2"/>
  <c r="BN548" i="2"/>
  <c r="Y555" i="2"/>
  <c r="H566" i="2"/>
  <c r="Z150" i="2"/>
  <c r="Z88" i="2"/>
  <c r="BP330" i="2"/>
  <c r="Z156" i="2" l="1"/>
  <c r="Z549" i="2"/>
  <c r="Z372" i="2"/>
  <c r="Z311" i="2"/>
  <c r="Z280" i="2"/>
  <c r="Z119" i="2"/>
  <c r="Z193" i="2"/>
  <c r="Z173" i="2"/>
  <c r="Z520" i="2"/>
  <c r="Z473" i="2"/>
  <c r="Z361" i="2"/>
  <c r="Z452" i="2"/>
  <c r="Z264" i="2"/>
  <c r="Z340" i="2"/>
  <c r="Z489" i="2"/>
  <c r="Z500" i="2"/>
  <c r="Z463" i="2"/>
  <c r="Z141" i="2"/>
  <c r="X559" i="2"/>
  <c r="Z93" i="2"/>
  <c r="Z484" i="2"/>
  <c r="Z333" i="2"/>
  <c r="Z395" i="2"/>
  <c r="Z32" i="2"/>
  <c r="Z146" i="2"/>
  <c r="Z446" i="2"/>
  <c r="Z382" i="2"/>
  <c r="Z402" i="2"/>
  <c r="Z349" i="2"/>
  <c r="Z42" i="2"/>
  <c r="Z113" i="2"/>
  <c r="Z530" i="2"/>
  <c r="Z295" i="2"/>
  <c r="Z248" i="2"/>
  <c r="Z100" i="2"/>
  <c r="Z389" i="2"/>
  <c r="Z440" i="2"/>
  <c r="Z168" i="2"/>
  <c r="Y558" i="2"/>
  <c r="Z187" i="2"/>
  <c r="Z126" i="2"/>
  <c r="Z236" i="2"/>
  <c r="Y557" i="2"/>
  <c r="Y559" i="2" s="1"/>
  <c r="Z73" i="2"/>
  <c r="Y560" i="2"/>
  <c r="Z51" i="2"/>
  <c r="Z213" i="2"/>
  <c r="Z64" i="2"/>
  <c r="Z427" i="2"/>
  <c r="Z514" i="2"/>
  <c r="Y556" i="2"/>
  <c r="Z561" i="2" l="1"/>
</calcChain>
</file>

<file path=xl/sharedStrings.xml><?xml version="1.0" encoding="utf-8"?>
<sst xmlns="http://schemas.openxmlformats.org/spreadsheetml/2006/main" count="4289" uniqueCount="896">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</sst>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AA435" sqref="AA43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11" t="s">
        <v>26</v>
      </c>
      <c r="E1" s="1011"/>
      <c r="F1" s="1011"/>
      <c r="G1" s="14" t="s">
        <v>67</v>
      </c>
      <c r="H1" s="1011" t="s">
        <v>47</v>
      </c>
      <c r="I1" s="1011"/>
      <c r="J1" s="1011"/>
      <c r="K1" s="1011"/>
      <c r="L1" s="1011"/>
      <c r="M1" s="1011"/>
      <c r="N1" s="1011"/>
      <c r="O1" s="1011"/>
      <c r="P1" s="1011"/>
      <c r="Q1" s="1011"/>
      <c r="R1" s="1012" t="s">
        <v>68</v>
      </c>
      <c r="S1" s="1013"/>
      <c r="T1" s="101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4"/>
      <c r="R2" s="1014"/>
      <c r="S2" s="1014"/>
      <c r="T2" s="1014"/>
      <c r="U2" s="1014"/>
      <c r="V2" s="1014"/>
      <c r="W2" s="101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4"/>
      <c r="Q3" s="1014"/>
      <c r="R3" s="1014"/>
      <c r="S3" s="1014"/>
      <c r="T3" s="1014"/>
      <c r="U3" s="1014"/>
      <c r="V3" s="1014"/>
      <c r="W3" s="101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3" t="s">
        <v>8</v>
      </c>
      <c r="B5" s="993"/>
      <c r="C5" s="993"/>
      <c r="D5" s="1015"/>
      <c r="E5" s="1015"/>
      <c r="F5" s="1016" t="s">
        <v>14</v>
      </c>
      <c r="G5" s="1016"/>
      <c r="H5" s="1015"/>
      <c r="I5" s="1015"/>
      <c r="J5" s="1015"/>
      <c r="K5" s="1015"/>
      <c r="L5" s="1015"/>
      <c r="M5" s="1015"/>
      <c r="N5" s="72"/>
      <c r="P5" s="27" t="s">
        <v>4</v>
      </c>
      <c r="Q5" s="1017">
        <v>46296</v>
      </c>
      <c r="R5" s="1017"/>
      <c r="T5" s="1018" t="s">
        <v>3</v>
      </c>
      <c r="U5" s="1019"/>
      <c r="V5" s="1020" t="s">
        <v>872</v>
      </c>
      <c r="W5" s="1021"/>
      <c r="AB5" s="59"/>
      <c r="AC5" s="59"/>
      <c r="AD5" s="59"/>
      <c r="AE5" s="59"/>
    </row>
    <row r="6" spans="1:32" s="17" customFormat="1" ht="24" customHeight="1" x14ac:dyDescent="0.2">
      <c r="A6" s="993" t="s">
        <v>1</v>
      </c>
      <c r="B6" s="993"/>
      <c r="C6" s="993"/>
      <c r="D6" s="994" t="s">
        <v>879</v>
      </c>
      <c r="E6" s="994"/>
      <c r="F6" s="994"/>
      <c r="G6" s="994"/>
      <c r="H6" s="994"/>
      <c r="I6" s="994"/>
      <c r="J6" s="994"/>
      <c r="K6" s="994"/>
      <c r="L6" s="994"/>
      <c r="M6" s="994"/>
      <c r="N6" s="73"/>
      <c r="P6" s="27" t="s">
        <v>27</v>
      </c>
      <c r="Q6" s="995" t="str">
        <f>IF(Q5=0," ",CHOOSE(WEEKDAY(Q5,2),"Понедельник","Вторник","Среда","Четверг","Пятница","Суббота","Воскресенье"))</f>
        <v>Четверг</v>
      </c>
      <c r="R6" s="995"/>
      <c r="T6" s="996" t="s">
        <v>5</v>
      </c>
      <c r="U6" s="997"/>
      <c r="V6" s="998" t="s">
        <v>70</v>
      </c>
      <c r="W6" s="99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4" t="str">
        <f>IFERROR(VLOOKUP(DeliveryAddress,Table,3,0),1)</f>
        <v>3</v>
      </c>
      <c r="E7" s="1005"/>
      <c r="F7" s="1005"/>
      <c r="G7" s="1005"/>
      <c r="H7" s="1005"/>
      <c r="I7" s="1005"/>
      <c r="J7" s="1005"/>
      <c r="K7" s="1005"/>
      <c r="L7" s="1005"/>
      <c r="M7" s="1006"/>
      <c r="N7" s="74"/>
      <c r="P7" s="29"/>
      <c r="Q7" s="48"/>
      <c r="R7" s="48"/>
      <c r="T7" s="996"/>
      <c r="U7" s="997"/>
      <c r="V7" s="1000"/>
      <c r="W7" s="1001"/>
      <c r="AB7" s="59"/>
      <c r="AC7" s="59"/>
      <c r="AD7" s="59"/>
      <c r="AE7" s="59"/>
    </row>
    <row r="8" spans="1:32" s="17" customFormat="1" ht="25.5" customHeight="1" x14ac:dyDescent="0.2">
      <c r="A8" s="1007" t="s">
        <v>58</v>
      </c>
      <c r="B8" s="1007"/>
      <c r="C8" s="1007"/>
      <c r="D8" s="1008"/>
      <c r="E8" s="1008"/>
      <c r="F8" s="1008"/>
      <c r="G8" s="1008"/>
      <c r="H8" s="1008"/>
      <c r="I8" s="1008"/>
      <c r="J8" s="1008"/>
      <c r="K8" s="1008"/>
      <c r="L8" s="1008"/>
      <c r="M8" s="1008"/>
      <c r="N8" s="75"/>
      <c r="P8" s="27" t="s">
        <v>11</v>
      </c>
      <c r="Q8" s="991">
        <v>0.41666666666666669</v>
      </c>
      <c r="R8" s="991"/>
      <c r="T8" s="996"/>
      <c r="U8" s="997"/>
      <c r="V8" s="1000"/>
      <c r="W8" s="1001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09" t="str">
        <f>IF(AND($A$9="Тип доверенности/получателя при получении в адресе перегруза:",$D$9="Разовая доверенность"),"Введите ФИО","")</f>
        <v/>
      </c>
      <c r="I9" s="1009"/>
      <c r="J9" s="10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9"/>
      <c r="L9" s="1009"/>
      <c r="M9" s="1009"/>
      <c r="N9" s="70"/>
      <c r="P9" s="31" t="s">
        <v>15</v>
      </c>
      <c r="Q9" s="1010"/>
      <c r="R9" s="1010"/>
      <c r="T9" s="996"/>
      <c r="U9" s="997"/>
      <c r="V9" s="1002"/>
      <c r="W9" s="100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69" t="s">
        <v>55</v>
      </c>
      <c r="W11" s="96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8" t="s">
        <v>72</v>
      </c>
      <c r="B12" s="968"/>
      <c r="C12" s="968"/>
      <c r="D12" s="968"/>
      <c r="E12" s="968"/>
      <c r="F12" s="968"/>
      <c r="G12" s="968"/>
      <c r="H12" s="968"/>
      <c r="I12" s="968"/>
      <c r="J12" s="968"/>
      <c r="K12" s="968"/>
      <c r="L12" s="968"/>
      <c r="M12" s="968"/>
      <c r="N12" s="76"/>
      <c r="P12" s="27" t="s">
        <v>30</v>
      </c>
      <c r="Q12" s="991"/>
      <c r="R12" s="991"/>
      <c r="S12" s="28"/>
      <c r="T12"/>
      <c r="U12" s="29" t="s">
        <v>46</v>
      </c>
      <c r="V12" s="992"/>
      <c r="W12" s="992"/>
      <c r="X12"/>
      <c r="AB12" s="59"/>
      <c r="AC12" s="59"/>
      <c r="AD12" s="59"/>
      <c r="AE12" s="59"/>
    </row>
    <row r="13" spans="1:32" s="17" customFormat="1" ht="23.25" customHeight="1" x14ac:dyDescent="0.2">
      <c r="A13" s="968" t="s">
        <v>73</v>
      </c>
      <c r="B13" s="968"/>
      <c r="C13" s="968"/>
      <c r="D13" s="968"/>
      <c r="E13" s="968"/>
      <c r="F13" s="968"/>
      <c r="G13" s="968"/>
      <c r="H13" s="968"/>
      <c r="I13" s="968"/>
      <c r="J13" s="968"/>
      <c r="K13" s="968"/>
      <c r="L13" s="968"/>
      <c r="M13" s="968"/>
      <c r="N13" s="76"/>
      <c r="O13" s="31"/>
      <c r="P13" s="31" t="s">
        <v>31</v>
      </c>
      <c r="Q13" s="969"/>
      <c r="R13" s="96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8" t="s">
        <v>74</v>
      </c>
      <c r="B14" s="968"/>
      <c r="C14" s="968"/>
      <c r="D14" s="968"/>
      <c r="E14" s="968"/>
      <c r="F14" s="968"/>
      <c r="G14" s="968"/>
      <c r="H14" s="968"/>
      <c r="I14" s="968"/>
      <c r="J14" s="968"/>
      <c r="K14" s="968"/>
      <c r="L14" s="968"/>
      <c r="M14" s="968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70" t="s">
        <v>75</v>
      </c>
      <c r="B15" s="970"/>
      <c r="C15" s="970"/>
      <c r="D15" s="970"/>
      <c r="E15" s="970"/>
      <c r="F15" s="970"/>
      <c r="G15" s="970"/>
      <c r="H15" s="970"/>
      <c r="I15" s="970"/>
      <c r="J15" s="970"/>
      <c r="K15" s="970"/>
      <c r="L15" s="970"/>
      <c r="M15" s="970"/>
      <c r="N15" s="77"/>
      <c r="O15"/>
      <c r="P15" s="971" t="s">
        <v>61</v>
      </c>
      <c r="Q15" s="971"/>
      <c r="R15" s="971"/>
      <c r="S15" s="971"/>
      <c r="T15" s="97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2"/>
      <c r="Q16" s="972"/>
      <c r="R16" s="972"/>
      <c r="S16" s="972"/>
      <c r="T16" s="97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4" t="s">
        <v>59</v>
      </c>
      <c r="B17" s="954" t="s">
        <v>49</v>
      </c>
      <c r="C17" s="975" t="s">
        <v>48</v>
      </c>
      <c r="D17" s="977" t="s">
        <v>50</v>
      </c>
      <c r="E17" s="978"/>
      <c r="F17" s="954" t="s">
        <v>21</v>
      </c>
      <c r="G17" s="954" t="s">
        <v>24</v>
      </c>
      <c r="H17" s="954" t="s">
        <v>22</v>
      </c>
      <c r="I17" s="954" t="s">
        <v>23</v>
      </c>
      <c r="J17" s="954" t="s">
        <v>16</v>
      </c>
      <c r="K17" s="954" t="s">
        <v>66</v>
      </c>
      <c r="L17" s="954" t="s">
        <v>64</v>
      </c>
      <c r="M17" s="954" t="s">
        <v>2</v>
      </c>
      <c r="N17" s="954" t="s">
        <v>63</v>
      </c>
      <c r="O17" s="954" t="s">
        <v>25</v>
      </c>
      <c r="P17" s="977" t="s">
        <v>17</v>
      </c>
      <c r="Q17" s="981"/>
      <c r="R17" s="981"/>
      <c r="S17" s="981"/>
      <c r="T17" s="978"/>
      <c r="U17" s="973" t="s">
        <v>56</v>
      </c>
      <c r="V17" s="974"/>
      <c r="W17" s="954" t="s">
        <v>6</v>
      </c>
      <c r="X17" s="954" t="s">
        <v>41</v>
      </c>
      <c r="Y17" s="956" t="s">
        <v>54</v>
      </c>
      <c r="Z17" s="958" t="s">
        <v>18</v>
      </c>
      <c r="AA17" s="960" t="s">
        <v>60</v>
      </c>
      <c r="AB17" s="960" t="s">
        <v>19</v>
      </c>
      <c r="AC17" s="960" t="s">
        <v>65</v>
      </c>
      <c r="AD17" s="962" t="s">
        <v>57</v>
      </c>
      <c r="AE17" s="963"/>
      <c r="AF17" s="964"/>
      <c r="AG17" s="82"/>
      <c r="BD17" s="81" t="s">
        <v>62</v>
      </c>
    </row>
    <row r="18" spans="1:68" ht="14.25" customHeight="1" x14ac:dyDescent="0.2">
      <c r="A18" s="955"/>
      <c r="B18" s="955"/>
      <c r="C18" s="976"/>
      <c r="D18" s="979"/>
      <c r="E18" s="980"/>
      <c r="F18" s="955"/>
      <c r="G18" s="955"/>
      <c r="H18" s="955"/>
      <c r="I18" s="955"/>
      <c r="J18" s="955"/>
      <c r="K18" s="955"/>
      <c r="L18" s="955"/>
      <c r="M18" s="955"/>
      <c r="N18" s="955"/>
      <c r="O18" s="955"/>
      <c r="P18" s="979"/>
      <c r="Q18" s="982"/>
      <c r="R18" s="982"/>
      <c r="S18" s="982"/>
      <c r="T18" s="980"/>
      <c r="U18" s="83" t="s">
        <v>44</v>
      </c>
      <c r="V18" s="83" t="s">
        <v>43</v>
      </c>
      <c r="W18" s="955"/>
      <c r="X18" s="955"/>
      <c r="Y18" s="957"/>
      <c r="Z18" s="959"/>
      <c r="AA18" s="961"/>
      <c r="AB18" s="961"/>
      <c r="AC18" s="961"/>
      <c r="AD18" s="965"/>
      <c r="AE18" s="966"/>
      <c r="AF18" s="967"/>
      <c r="AG18" s="82"/>
      <c r="BD18" s="81"/>
    </row>
    <row r="19" spans="1:68" ht="27.75" hidden="1" customHeight="1" x14ac:dyDescent="0.2">
      <c r="A19" s="676" t="s">
        <v>76</v>
      </c>
      <c r="B19" s="676"/>
      <c r="C19" s="676"/>
      <c r="D19" s="676"/>
      <c r="E19" s="676"/>
      <c r="F19" s="676"/>
      <c r="G19" s="676"/>
      <c r="H19" s="676"/>
      <c r="I19" s="676"/>
      <c r="J19" s="676"/>
      <c r="K19" s="676"/>
      <c r="L19" s="676"/>
      <c r="M19" s="676"/>
      <c r="N19" s="676"/>
      <c r="O19" s="676"/>
      <c r="P19" s="676"/>
      <c r="Q19" s="676"/>
      <c r="R19" s="676"/>
      <c r="S19" s="676"/>
      <c r="T19" s="676"/>
      <c r="U19" s="676"/>
      <c r="V19" s="676"/>
      <c r="W19" s="676"/>
      <c r="X19" s="676"/>
      <c r="Y19" s="676"/>
      <c r="Z19" s="676"/>
      <c r="AA19" s="54"/>
      <c r="AB19" s="54"/>
      <c r="AC19" s="54"/>
    </row>
    <row r="20" spans="1:68" ht="16.5" hidden="1" customHeight="1" x14ac:dyDescent="0.25">
      <c r="A20" s="669" t="s">
        <v>76</v>
      </c>
      <c r="B20" s="669"/>
      <c r="C20" s="669"/>
      <c r="D20" s="669"/>
      <c r="E20" s="669"/>
      <c r="F20" s="669"/>
      <c r="G20" s="669"/>
      <c r="H20" s="669"/>
      <c r="I20" s="669"/>
      <c r="J20" s="669"/>
      <c r="K20" s="669"/>
      <c r="L20" s="669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5"/>
      <c r="AB20" s="65"/>
      <c r="AC20" s="79"/>
    </row>
    <row r="21" spans="1:68" ht="14.25" hidden="1" customHeight="1" x14ac:dyDescent="0.25">
      <c r="A21" s="670" t="s">
        <v>77</v>
      </c>
      <c r="B21" s="670"/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9"/>
      <c r="B24" s="659"/>
      <c r="C24" s="659"/>
      <c r="D24" s="659"/>
      <c r="E24" s="659"/>
      <c r="F24" s="659"/>
      <c r="G24" s="659"/>
      <c r="H24" s="659"/>
      <c r="I24" s="659"/>
      <c r="J24" s="659"/>
      <c r="K24" s="659"/>
      <c r="L24" s="659"/>
      <c r="M24" s="659"/>
      <c r="N24" s="659"/>
      <c r="O24" s="660"/>
      <c r="P24" s="656" t="s">
        <v>40</v>
      </c>
      <c r="Q24" s="657"/>
      <c r="R24" s="657"/>
      <c r="S24" s="657"/>
      <c r="T24" s="657"/>
      <c r="U24" s="657"/>
      <c r="V24" s="65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9"/>
      <c r="B25" s="659"/>
      <c r="C25" s="659"/>
      <c r="D25" s="659"/>
      <c r="E25" s="659"/>
      <c r="F25" s="659"/>
      <c r="G25" s="659"/>
      <c r="H25" s="659"/>
      <c r="I25" s="659"/>
      <c r="J25" s="659"/>
      <c r="K25" s="659"/>
      <c r="L25" s="659"/>
      <c r="M25" s="659"/>
      <c r="N25" s="659"/>
      <c r="O25" s="660"/>
      <c r="P25" s="656" t="s">
        <v>40</v>
      </c>
      <c r="Q25" s="657"/>
      <c r="R25" s="657"/>
      <c r="S25" s="657"/>
      <c r="T25" s="657"/>
      <c r="U25" s="657"/>
      <c r="V25" s="65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0" t="s">
        <v>86</v>
      </c>
      <c r="B26" s="670"/>
      <c r="C26" s="670"/>
      <c r="D26" s="670"/>
      <c r="E26" s="670"/>
      <c r="F26" s="670"/>
      <c r="G26" s="670"/>
      <c r="H26" s="670"/>
      <c r="I26" s="670"/>
      <c r="J26" s="670"/>
      <c r="K26" s="670"/>
      <c r="L26" s="670"/>
      <c r="M26" s="670"/>
      <c r="N26" s="670"/>
      <c r="O26" s="670"/>
      <c r="P26" s="670"/>
      <c r="Q26" s="670"/>
      <c r="R26" s="670"/>
      <c r="S26" s="670"/>
      <c r="T26" s="670"/>
      <c r="U26" s="670"/>
      <c r="V26" s="670"/>
      <c r="W26" s="670"/>
      <c r="X26" s="670"/>
      <c r="Y26" s="670"/>
      <c r="Z26" s="67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9"/>
      <c r="B32" s="659"/>
      <c r="C32" s="659"/>
      <c r="D32" s="659"/>
      <c r="E32" s="659"/>
      <c r="F32" s="659"/>
      <c r="G32" s="659"/>
      <c r="H32" s="659"/>
      <c r="I32" s="659"/>
      <c r="J32" s="659"/>
      <c r="K32" s="659"/>
      <c r="L32" s="659"/>
      <c r="M32" s="659"/>
      <c r="N32" s="659"/>
      <c r="O32" s="660"/>
      <c r="P32" s="656" t="s">
        <v>40</v>
      </c>
      <c r="Q32" s="657"/>
      <c r="R32" s="657"/>
      <c r="S32" s="657"/>
      <c r="T32" s="657"/>
      <c r="U32" s="657"/>
      <c r="V32" s="65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9"/>
      <c r="B33" s="659"/>
      <c r="C33" s="659"/>
      <c r="D33" s="659"/>
      <c r="E33" s="659"/>
      <c r="F33" s="659"/>
      <c r="G33" s="659"/>
      <c r="H33" s="659"/>
      <c r="I33" s="659"/>
      <c r="J33" s="659"/>
      <c r="K33" s="659"/>
      <c r="L33" s="659"/>
      <c r="M33" s="659"/>
      <c r="N33" s="659"/>
      <c r="O33" s="660"/>
      <c r="P33" s="656" t="s">
        <v>40</v>
      </c>
      <c r="Q33" s="657"/>
      <c r="R33" s="657"/>
      <c r="S33" s="657"/>
      <c r="T33" s="657"/>
      <c r="U33" s="657"/>
      <c r="V33" s="65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6" t="s">
        <v>45</v>
      </c>
      <c r="B34" s="676"/>
      <c r="C34" s="676"/>
      <c r="D34" s="676"/>
      <c r="E34" s="676"/>
      <c r="F34" s="676"/>
      <c r="G34" s="676"/>
      <c r="H34" s="676"/>
      <c r="I34" s="676"/>
      <c r="J34" s="676"/>
      <c r="K34" s="676"/>
      <c r="L34" s="676"/>
      <c r="M34" s="676"/>
      <c r="N34" s="676"/>
      <c r="O34" s="676"/>
      <c r="P34" s="676"/>
      <c r="Q34" s="676"/>
      <c r="R34" s="676"/>
      <c r="S34" s="676"/>
      <c r="T34" s="676"/>
      <c r="U34" s="676"/>
      <c r="V34" s="676"/>
      <c r="W34" s="676"/>
      <c r="X34" s="676"/>
      <c r="Y34" s="676"/>
      <c r="Z34" s="676"/>
      <c r="AA34" s="54"/>
      <c r="AB34" s="54"/>
      <c r="AC34" s="54"/>
    </row>
    <row r="35" spans="1:68" ht="16.5" hidden="1" customHeight="1" x14ac:dyDescent="0.25">
      <c r="A35" s="669" t="s">
        <v>104</v>
      </c>
      <c r="B35" s="669"/>
      <c r="C35" s="669"/>
      <c r="D35" s="669"/>
      <c r="E35" s="669"/>
      <c r="F35" s="669"/>
      <c r="G35" s="669"/>
      <c r="H35" s="669"/>
      <c r="I35" s="669"/>
      <c r="J35" s="669"/>
      <c r="K35" s="669"/>
      <c r="L35" s="669"/>
      <c r="M35" s="669"/>
      <c r="N35" s="669"/>
      <c r="O35" s="669"/>
      <c r="P35" s="669"/>
      <c r="Q35" s="669"/>
      <c r="R35" s="669"/>
      <c r="S35" s="669"/>
      <c r="T35" s="669"/>
      <c r="U35" s="669"/>
      <c r="V35" s="669"/>
      <c r="W35" s="669"/>
      <c r="X35" s="669"/>
      <c r="Y35" s="669"/>
      <c r="Z35" s="669"/>
      <c r="AA35" s="65"/>
      <c r="AB35" s="65"/>
      <c r="AC35" s="79"/>
    </row>
    <row r="36" spans="1:68" ht="14.25" hidden="1" customHeight="1" x14ac:dyDescent="0.25">
      <c r="A36" s="670" t="s">
        <v>86</v>
      </c>
      <c r="B36" s="670"/>
      <c r="C36" s="670"/>
      <c r="D36" s="670"/>
      <c r="E36" s="670"/>
      <c r="F36" s="670"/>
      <c r="G36" s="670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  <c r="X36" s="670"/>
      <c r="Y36" s="670"/>
      <c r="Z36" s="67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9"/>
      <c r="B42" s="659"/>
      <c r="C42" s="659"/>
      <c r="D42" s="659"/>
      <c r="E42" s="659"/>
      <c r="F42" s="659"/>
      <c r="G42" s="659"/>
      <c r="H42" s="659"/>
      <c r="I42" s="659"/>
      <c r="J42" s="659"/>
      <c r="K42" s="659"/>
      <c r="L42" s="659"/>
      <c r="M42" s="659"/>
      <c r="N42" s="659"/>
      <c r="O42" s="660"/>
      <c r="P42" s="656" t="s">
        <v>40</v>
      </c>
      <c r="Q42" s="657"/>
      <c r="R42" s="657"/>
      <c r="S42" s="657"/>
      <c r="T42" s="657"/>
      <c r="U42" s="657"/>
      <c r="V42" s="65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9"/>
      <c r="B43" s="659"/>
      <c r="C43" s="659"/>
      <c r="D43" s="659"/>
      <c r="E43" s="659"/>
      <c r="F43" s="659"/>
      <c r="G43" s="659"/>
      <c r="H43" s="659"/>
      <c r="I43" s="659"/>
      <c r="J43" s="659"/>
      <c r="K43" s="659"/>
      <c r="L43" s="659"/>
      <c r="M43" s="659"/>
      <c r="N43" s="659"/>
      <c r="O43" s="660"/>
      <c r="P43" s="656" t="s">
        <v>40</v>
      </c>
      <c r="Q43" s="657"/>
      <c r="R43" s="657"/>
      <c r="S43" s="657"/>
      <c r="T43" s="657"/>
      <c r="U43" s="657"/>
      <c r="V43" s="65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6" t="s">
        <v>120</v>
      </c>
      <c r="B44" s="676"/>
      <c r="C44" s="676"/>
      <c r="D44" s="676"/>
      <c r="E44" s="676"/>
      <c r="F44" s="676"/>
      <c r="G44" s="676"/>
      <c r="H44" s="676"/>
      <c r="I44" s="676"/>
      <c r="J44" s="676"/>
      <c r="K44" s="676"/>
      <c r="L44" s="676"/>
      <c r="M44" s="676"/>
      <c r="N44" s="676"/>
      <c r="O44" s="676"/>
      <c r="P44" s="676"/>
      <c r="Q44" s="676"/>
      <c r="R44" s="676"/>
      <c r="S44" s="676"/>
      <c r="T44" s="676"/>
      <c r="U44" s="676"/>
      <c r="V44" s="676"/>
      <c r="W44" s="676"/>
      <c r="X44" s="676"/>
      <c r="Y44" s="676"/>
      <c r="Z44" s="676"/>
      <c r="AA44" s="54"/>
      <c r="AB44" s="54"/>
      <c r="AC44" s="54"/>
    </row>
    <row r="45" spans="1:68" ht="16.5" hidden="1" customHeight="1" x14ac:dyDescent="0.25">
      <c r="A45" s="669" t="s">
        <v>121</v>
      </c>
      <c r="B45" s="669"/>
      <c r="C45" s="669"/>
      <c r="D45" s="669"/>
      <c r="E45" s="669"/>
      <c r="F45" s="669"/>
      <c r="G45" s="669"/>
      <c r="H45" s="669"/>
      <c r="I45" s="669"/>
      <c r="J45" s="669"/>
      <c r="K45" s="669"/>
      <c r="L45" s="669"/>
      <c r="M45" s="669"/>
      <c r="N45" s="669"/>
      <c r="O45" s="669"/>
      <c r="P45" s="669"/>
      <c r="Q45" s="669"/>
      <c r="R45" s="669"/>
      <c r="S45" s="669"/>
      <c r="T45" s="669"/>
      <c r="U45" s="669"/>
      <c r="V45" s="669"/>
      <c r="W45" s="669"/>
      <c r="X45" s="669"/>
      <c r="Y45" s="669"/>
      <c r="Z45" s="669"/>
      <c r="AA45" s="65"/>
      <c r="AB45" s="65"/>
      <c r="AC45" s="79"/>
    </row>
    <row r="46" spans="1:68" ht="14.25" hidden="1" customHeight="1" x14ac:dyDescent="0.25">
      <c r="A46" s="670" t="s">
        <v>122</v>
      </c>
      <c r="B46" s="670"/>
      <c r="C46" s="670"/>
      <c r="D46" s="670"/>
      <c r="E46" s="670"/>
      <c r="F46" s="670"/>
      <c r="G46" s="670"/>
      <c r="H46" s="670"/>
      <c r="I46" s="670"/>
      <c r="J46" s="670"/>
      <c r="K46" s="670"/>
      <c r="L46" s="670"/>
      <c r="M46" s="670"/>
      <c r="N46" s="670"/>
      <c r="O46" s="670"/>
      <c r="P46" s="670"/>
      <c r="Q46" s="670"/>
      <c r="R46" s="670"/>
      <c r="S46" s="670"/>
      <c r="T46" s="670"/>
      <c r="U46" s="670"/>
      <c r="V46" s="670"/>
      <c r="W46" s="670"/>
      <c r="X46" s="670"/>
      <c r="Y46" s="670"/>
      <c r="Z46" s="670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9"/>
      <c r="B51" s="659"/>
      <c r="C51" s="659"/>
      <c r="D51" s="659"/>
      <c r="E51" s="659"/>
      <c r="F51" s="659"/>
      <c r="G51" s="659"/>
      <c r="H51" s="659"/>
      <c r="I51" s="659"/>
      <c r="J51" s="659"/>
      <c r="K51" s="659"/>
      <c r="L51" s="659"/>
      <c r="M51" s="659"/>
      <c r="N51" s="659"/>
      <c r="O51" s="660"/>
      <c r="P51" s="656" t="s">
        <v>40</v>
      </c>
      <c r="Q51" s="657"/>
      <c r="R51" s="657"/>
      <c r="S51" s="657"/>
      <c r="T51" s="657"/>
      <c r="U51" s="657"/>
      <c r="V51" s="65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9"/>
      <c r="B52" s="659"/>
      <c r="C52" s="659"/>
      <c r="D52" s="659"/>
      <c r="E52" s="659"/>
      <c r="F52" s="659"/>
      <c r="G52" s="659"/>
      <c r="H52" s="659"/>
      <c r="I52" s="659"/>
      <c r="J52" s="659"/>
      <c r="K52" s="659"/>
      <c r="L52" s="659"/>
      <c r="M52" s="659"/>
      <c r="N52" s="659"/>
      <c r="O52" s="660"/>
      <c r="P52" s="656" t="s">
        <v>40</v>
      </c>
      <c r="Q52" s="657"/>
      <c r="R52" s="657"/>
      <c r="S52" s="657"/>
      <c r="T52" s="657"/>
      <c r="U52" s="657"/>
      <c r="V52" s="65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9" t="s">
        <v>137</v>
      </c>
      <c r="B53" s="669"/>
      <c r="C53" s="669"/>
      <c r="D53" s="669"/>
      <c r="E53" s="669"/>
      <c r="F53" s="669"/>
      <c r="G53" s="669"/>
      <c r="H53" s="669"/>
      <c r="I53" s="669"/>
      <c r="J53" s="669"/>
      <c r="K53" s="669"/>
      <c r="L53" s="669"/>
      <c r="M53" s="669"/>
      <c r="N53" s="669"/>
      <c r="O53" s="669"/>
      <c r="P53" s="669"/>
      <c r="Q53" s="669"/>
      <c r="R53" s="669"/>
      <c r="S53" s="669"/>
      <c r="T53" s="669"/>
      <c r="U53" s="669"/>
      <c r="V53" s="669"/>
      <c r="W53" s="669"/>
      <c r="X53" s="669"/>
      <c r="Y53" s="669"/>
      <c r="Z53" s="669"/>
      <c r="AA53" s="65"/>
      <c r="AB53" s="65"/>
      <c r="AC53" s="79"/>
    </row>
    <row r="54" spans="1:68" ht="14.25" hidden="1" customHeight="1" x14ac:dyDescent="0.25">
      <c r="A54" s="670" t="s">
        <v>122</v>
      </c>
      <c r="B54" s="670"/>
      <c r="C54" s="670"/>
      <c r="D54" s="670"/>
      <c r="E54" s="670"/>
      <c r="F54" s="670"/>
      <c r="G54" s="670"/>
      <c r="H54" s="670"/>
      <c r="I54" s="670"/>
      <c r="J54" s="670"/>
      <c r="K54" s="670"/>
      <c r="L54" s="670"/>
      <c r="M54" s="670"/>
      <c r="N54" s="670"/>
      <c r="O54" s="670"/>
      <c r="P54" s="670"/>
      <c r="Q54" s="670"/>
      <c r="R54" s="670"/>
      <c r="S54" s="670"/>
      <c r="T54" s="670"/>
      <c r="U54" s="670"/>
      <c r="V54" s="670"/>
      <c r="W54" s="670"/>
      <c r="X54" s="670"/>
      <c r="Y54" s="670"/>
      <c r="Z54" s="67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5">
        <v>4680115881426</v>
      </c>
      <c r="E57" s="66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3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5">
        <v>4680115880283</v>
      </c>
      <c r="E58" s="66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5">
        <v>4680115881525</v>
      </c>
      <c r="E59" s="665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5">
        <v>4680115881525</v>
      </c>
      <c r="E60" s="66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5">
        <v>4680115885899</v>
      </c>
      <c r="E61" s="66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7"/>
      <c r="R61" s="667"/>
      <c r="S61" s="667"/>
      <c r="T61" s="66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65">
        <v>4680115881419</v>
      </c>
      <c r="E62" s="66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7"/>
      <c r="R62" s="667"/>
      <c r="S62" s="667"/>
      <c r="T62" s="66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5">
        <v>4680115881419</v>
      </c>
      <c r="E63" s="665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7"/>
      <c r="R63" s="667"/>
      <c r="S63" s="667"/>
      <c r="T63" s="66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59"/>
      <c r="B64" s="659"/>
      <c r="C64" s="659"/>
      <c r="D64" s="659"/>
      <c r="E64" s="659"/>
      <c r="F64" s="659"/>
      <c r="G64" s="659"/>
      <c r="H64" s="659"/>
      <c r="I64" s="659"/>
      <c r="J64" s="659"/>
      <c r="K64" s="659"/>
      <c r="L64" s="659"/>
      <c r="M64" s="659"/>
      <c r="N64" s="659"/>
      <c r="O64" s="660"/>
      <c r="P64" s="656" t="s">
        <v>40</v>
      </c>
      <c r="Q64" s="657"/>
      <c r="R64" s="657"/>
      <c r="S64" s="657"/>
      <c r="T64" s="657"/>
      <c r="U64" s="657"/>
      <c r="V64" s="658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59"/>
      <c r="B65" s="659"/>
      <c r="C65" s="659"/>
      <c r="D65" s="659"/>
      <c r="E65" s="659"/>
      <c r="F65" s="659"/>
      <c r="G65" s="659"/>
      <c r="H65" s="659"/>
      <c r="I65" s="659"/>
      <c r="J65" s="659"/>
      <c r="K65" s="659"/>
      <c r="L65" s="659"/>
      <c r="M65" s="659"/>
      <c r="N65" s="659"/>
      <c r="O65" s="660"/>
      <c r="P65" s="656" t="s">
        <v>40</v>
      </c>
      <c r="Q65" s="657"/>
      <c r="R65" s="657"/>
      <c r="S65" s="657"/>
      <c r="T65" s="657"/>
      <c r="U65" s="657"/>
      <c r="V65" s="658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70" t="s">
        <v>159</v>
      </c>
      <c r="B66" s="670"/>
      <c r="C66" s="670"/>
      <c r="D66" s="670"/>
      <c r="E66" s="670"/>
      <c r="F66" s="670"/>
      <c r="G66" s="670"/>
      <c r="H66" s="670"/>
      <c r="I66" s="670"/>
      <c r="J66" s="670"/>
      <c r="K66" s="670"/>
      <c r="L66" s="670"/>
      <c r="M66" s="670"/>
      <c r="N66" s="670"/>
      <c r="O66" s="670"/>
      <c r="P66" s="670"/>
      <c r="Q66" s="670"/>
      <c r="R66" s="670"/>
      <c r="S66" s="670"/>
      <c r="T66" s="670"/>
      <c r="U66" s="670"/>
      <c r="V66" s="670"/>
      <c r="W66" s="670"/>
      <c r="X66" s="670"/>
      <c r="Y66" s="670"/>
      <c r="Z66" s="670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665">
        <v>4680115881440</v>
      </c>
      <c r="E67" s="665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2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ref="Y67:Y72" si="5"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 t="shared" ref="BM67:BM72" si="6">IFERROR(X67*I67/H67,"0")</f>
        <v>0</v>
      </c>
      <c r="BN67" s="78">
        <f t="shared" ref="BN67:BN72" si="7">IFERROR(Y67*I67/H67,"0")</f>
        <v>0</v>
      </c>
      <c r="BO67" s="78">
        <f t="shared" ref="BO67:BO72" si="8">IFERROR(1/J67*(X67/H67),"0")</f>
        <v>0</v>
      </c>
      <c r="BP67" s="78">
        <f t="shared" ref="BP67:BP72" si="9"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5">
        <v>4680115881440</v>
      </c>
      <c r="E68" s="665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7"/>
      <c r="R68" s="667"/>
      <c r="S68" s="667"/>
      <c r="T68" s="668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5"/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 t="shared" si="6"/>
        <v>0</v>
      </c>
      <c r="BN68" s="78">
        <f t="shared" si="7"/>
        <v>0</v>
      </c>
      <c r="BO68" s="78">
        <f t="shared" si="8"/>
        <v>0</v>
      </c>
      <c r="BP68" s="78">
        <f t="shared" si="9"/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5">
        <v>4680115885950</v>
      </c>
      <c r="E69" s="665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7"/>
      <c r="R69" s="667"/>
      <c r="S69" s="667"/>
      <c r="T69" s="668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5"/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 t="shared" si="6"/>
        <v>0</v>
      </c>
      <c r="BN69" s="78">
        <f t="shared" si="7"/>
        <v>0</v>
      </c>
      <c r="BO69" s="78">
        <f t="shared" si="8"/>
        <v>0</v>
      </c>
      <c r="BP69" s="78">
        <f t="shared" si="9"/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5">
        <v>4680115887688</v>
      </c>
      <c r="E70" s="665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2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7"/>
      <c r="R70" s="667"/>
      <c r="S70" s="667"/>
      <c r="T70" s="668"/>
      <c r="U70" s="39" t="s">
        <v>46</v>
      </c>
      <c r="V70" s="39" t="s">
        <v>46</v>
      </c>
      <c r="W70" s="40" t="s">
        <v>0</v>
      </c>
      <c r="X70" s="58">
        <v>0</v>
      </c>
      <c r="Y70" s="55">
        <f t="shared" si="5"/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 t="shared" si="6"/>
        <v>0</v>
      </c>
      <c r="BN70" s="78">
        <f t="shared" si="7"/>
        <v>0</v>
      </c>
      <c r="BO70" s="78">
        <f t="shared" si="8"/>
        <v>0</v>
      </c>
      <c r="BP70" s="78">
        <f t="shared" si="9"/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4301020296</v>
      </c>
      <c r="D71" s="665">
        <v>4680115881433</v>
      </c>
      <c r="E71" s="665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2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 t="shared" si="5"/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162</v>
      </c>
      <c r="AG71" s="78"/>
      <c r="AJ71" s="84" t="s">
        <v>46</v>
      </c>
      <c r="AK71" s="84">
        <v>0</v>
      </c>
      <c r="BB71" s="145" t="s">
        <v>67</v>
      </c>
      <c r="BM71" s="78">
        <f t="shared" si="6"/>
        <v>0</v>
      </c>
      <c r="BN71" s="78">
        <f t="shared" si="7"/>
        <v>0</v>
      </c>
      <c r="BO71" s="78">
        <f t="shared" si="8"/>
        <v>0</v>
      </c>
      <c r="BP71" s="78">
        <f t="shared" si="9"/>
        <v>0</v>
      </c>
    </row>
    <row r="72" spans="1:68" ht="27" hidden="1" customHeight="1" x14ac:dyDescent="0.25">
      <c r="A72" s="63" t="s">
        <v>170</v>
      </c>
      <c r="B72" s="63" t="s">
        <v>172</v>
      </c>
      <c r="C72" s="36">
        <v>4301020389</v>
      </c>
      <c r="D72" s="665">
        <v>4680115881433</v>
      </c>
      <c r="E72" s="665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126</v>
      </c>
      <c r="N72" s="38"/>
      <c r="O72" s="37">
        <v>50</v>
      </c>
      <c r="P72" s="92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 t="shared" si="5"/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6" t="s">
        <v>164</v>
      </c>
      <c r="AG72" s="78"/>
      <c r="AJ72" s="84" t="s">
        <v>46</v>
      </c>
      <c r="AK72" s="84">
        <v>0</v>
      </c>
      <c r="BB72" s="147" t="s">
        <v>67</v>
      </c>
      <c r="BM72" s="78">
        <f t="shared" si="6"/>
        <v>0</v>
      </c>
      <c r="BN72" s="78">
        <f t="shared" si="7"/>
        <v>0</v>
      </c>
      <c r="BO72" s="78">
        <f t="shared" si="8"/>
        <v>0</v>
      </c>
      <c r="BP72" s="78">
        <f t="shared" si="9"/>
        <v>0</v>
      </c>
    </row>
    <row r="73" spans="1:68" hidden="1" x14ac:dyDescent="0.2">
      <c r="A73" s="659"/>
      <c r="B73" s="659"/>
      <c r="C73" s="659"/>
      <c r="D73" s="659"/>
      <c r="E73" s="659"/>
      <c r="F73" s="659"/>
      <c r="G73" s="659"/>
      <c r="H73" s="659"/>
      <c r="I73" s="659"/>
      <c r="J73" s="659"/>
      <c r="K73" s="659"/>
      <c r="L73" s="659"/>
      <c r="M73" s="659"/>
      <c r="N73" s="659"/>
      <c r="O73" s="660"/>
      <c r="P73" s="656" t="s">
        <v>40</v>
      </c>
      <c r="Q73" s="657"/>
      <c r="R73" s="657"/>
      <c r="S73" s="657"/>
      <c r="T73" s="657"/>
      <c r="U73" s="657"/>
      <c r="V73" s="658"/>
      <c r="W73" s="42" t="s">
        <v>39</v>
      </c>
      <c r="X73" s="43">
        <f>IFERROR(X67/H67,"0")+IFERROR(X68/H68,"0")+IFERROR(X69/H69,"0")+IFERROR(X70/H70,"0")+IFERROR(X71/H71,"0")+IFERROR(X72/H72,"0")</f>
        <v>0</v>
      </c>
      <c r="Y73" s="43">
        <f>IFERROR(Y67/H67,"0")+IFERROR(Y68/H68,"0")+IFERROR(Y69/H69,"0")+IFERROR(Y70/H70,"0")+IFERROR(Y71/H71,"0")+IFERROR(Y72/H72,"0")</f>
        <v>0</v>
      </c>
      <c r="Z73" s="43">
        <f>IFERROR(IF(Z67="",0,Z67),"0")+IFERROR(IF(Z68="",0,Z68),"0")+IFERROR(IF(Z69="",0,Z69),"0")+IFERROR(IF(Z70="",0,Z70),"0")+IFERROR(IF(Z71="",0,Z71),"0")+IFERROR(IF(Z72="",0,Z72),"0")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659"/>
      <c r="B74" s="659"/>
      <c r="C74" s="659"/>
      <c r="D74" s="659"/>
      <c r="E74" s="659"/>
      <c r="F74" s="659"/>
      <c r="G74" s="659"/>
      <c r="H74" s="659"/>
      <c r="I74" s="659"/>
      <c r="J74" s="659"/>
      <c r="K74" s="659"/>
      <c r="L74" s="659"/>
      <c r="M74" s="659"/>
      <c r="N74" s="659"/>
      <c r="O74" s="660"/>
      <c r="P74" s="656" t="s">
        <v>40</v>
      </c>
      <c r="Q74" s="657"/>
      <c r="R74" s="657"/>
      <c r="S74" s="657"/>
      <c r="T74" s="657"/>
      <c r="U74" s="657"/>
      <c r="V74" s="658"/>
      <c r="W74" s="42" t="s">
        <v>0</v>
      </c>
      <c r="X74" s="43">
        <f>IFERROR(SUM(X67:X72),"0")</f>
        <v>0</v>
      </c>
      <c r="Y74" s="43">
        <f>IFERROR(SUM(Y67:Y72),"0")</f>
        <v>0</v>
      </c>
      <c r="Z74" s="42"/>
      <c r="AA74" s="67"/>
      <c r="AB74" s="67"/>
      <c r="AC74" s="67"/>
    </row>
    <row r="75" spans="1:68" ht="14.25" hidden="1" customHeight="1" x14ac:dyDescent="0.25">
      <c r="A75" s="670" t="s">
        <v>86</v>
      </c>
      <c r="B75" s="670"/>
      <c r="C75" s="670"/>
      <c r="D75" s="670"/>
      <c r="E75" s="670"/>
      <c r="F75" s="670"/>
      <c r="G75" s="670"/>
      <c r="H75" s="670"/>
      <c r="I75" s="670"/>
      <c r="J75" s="670"/>
      <c r="K75" s="670"/>
      <c r="L75" s="670"/>
      <c r="M75" s="670"/>
      <c r="N75" s="670"/>
      <c r="O75" s="670"/>
      <c r="P75" s="670"/>
      <c r="Q75" s="670"/>
      <c r="R75" s="670"/>
      <c r="S75" s="670"/>
      <c r="T75" s="670"/>
      <c r="U75" s="670"/>
      <c r="V75" s="670"/>
      <c r="W75" s="670"/>
      <c r="X75" s="670"/>
      <c r="Y75" s="670"/>
      <c r="Z75" s="670"/>
      <c r="AA75" s="66"/>
      <c r="AB75" s="66"/>
      <c r="AC75" s="80"/>
    </row>
    <row r="76" spans="1:68" ht="16.5" hidden="1" customHeight="1" x14ac:dyDescent="0.25">
      <c r="A76" s="63" t="s">
        <v>173</v>
      </c>
      <c r="B76" s="63" t="s">
        <v>174</v>
      </c>
      <c r="C76" s="36">
        <v>4301051837</v>
      </c>
      <c r="D76" s="665">
        <v>4680115884311</v>
      </c>
      <c r="E76" s="665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67"/>
      <c r="R76" s="667"/>
      <c r="S76" s="667"/>
      <c r="T76" s="668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175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hidden="1" customHeight="1" x14ac:dyDescent="0.25">
      <c r="A77" s="63" t="s">
        <v>176</v>
      </c>
      <c r="B77" s="63" t="s">
        <v>177</v>
      </c>
      <c r="C77" s="36">
        <v>4301052083</v>
      </c>
      <c r="D77" s="665">
        <v>4680115884403</v>
      </c>
      <c r="E77" s="665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1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50" t="s">
        <v>178</v>
      </c>
      <c r="AG77" s="78"/>
      <c r="AJ77" s="84" t="s">
        <v>46</v>
      </c>
      <c r="AK77" s="84">
        <v>0</v>
      </c>
      <c r="BB77" s="151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idden="1" x14ac:dyDescent="0.2">
      <c r="A78" s="659"/>
      <c r="B78" s="659"/>
      <c r="C78" s="659"/>
      <c r="D78" s="659"/>
      <c r="E78" s="659"/>
      <c r="F78" s="659"/>
      <c r="G78" s="659"/>
      <c r="H78" s="659"/>
      <c r="I78" s="659"/>
      <c r="J78" s="659"/>
      <c r="K78" s="659"/>
      <c r="L78" s="659"/>
      <c r="M78" s="659"/>
      <c r="N78" s="659"/>
      <c r="O78" s="660"/>
      <c r="P78" s="656" t="s">
        <v>40</v>
      </c>
      <c r="Q78" s="657"/>
      <c r="R78" s="657"/>
      <c r="S78" s="657"/>
      <c r="T78" s="657"/>
      <c r="U78" s="657"/>
      <c r="V78" s="658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659"/>
      <c r="B79" s="659"/>
      <c r="C79" s="659"/>
      <c r="D79" s="659"/>
      <c r="E79" s="659"/>
      <c r="F79" s="659"/>
      <c r="G79" s="659"/>
      <c r="H79" s="659"/>
      <c r="I79" s="659"/>
      <c r="J79" s="659"/>
      <c r="K79" s="659"/>
      <c r="L79" s="659"/>
      <c r="M79" s="659"/>
      <c r="N79" s="659"/>
      <c r="O79" s="660"/>
      <c r="P79" s="656" t="s">
        <v>40</v>
      </c>
      <c r="Q79" s="657"/>
      <c r="R79" s="657"/>
      <c r="S79" s="657"/>
      <c r="T79" s="657"/>
      <c r="U79" s="657"/>
      <c r="V79" s="658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hidden="1" customHeight="1" x14ac:dyDescent="0.25">
      <c r="A80" s="670" t="s">
        <v>179</v>
      </c>
      <c r="B80" s="670"/>
      <c r="C80" s="670"/>
      <c r="D80" s="670"/>
      <c r="E80" s="670"/>
      <c r="F80" s="670"/>
      <c r="G80" s="670"/>
      <c r="H80" s="670"/>
      <c r="I80" s="670"/>
      <c r="J80" s="670"/>
      <c r="K80" s="670"/>
      <c r="L80" s="670"/>
      <c r="M80" s="670"/>
      <c r="N80" s="670"/>
      <c r="O80" s="670"/>
      <c r="P80" s="670"/>
      <c r="Q80" s="670"/>
      <c r="R80" s="670"/>
      <c r="S80" s="670"/>
      <c r="T80" s="670"/>
      <c r="U80" s="670"/>
      <c r="V80" s="670"/>
      <c r="W80" s="670"/>
      <c r="X80" s="670"/>
      <c r="Y80" s="670"/>
      <c r="Z80" s="670"/>
      <c r="AA80" s="66"/>
      <c r="AB80" s="66"/>
      <c r="AC80" s="80"/>
    </row>
    <row r="81" spans="1:68" ht="27" hidden="1" customHeight="1" x14ac:dyDescent="0.25">
      <c r="A81" s="63" t="s">
        <v>180</v>
      </c>
      <c r="B81" s="63" t="s">
        <v>181</v>
      </c>
      <c r="C81" s="36">
        <v>4301060455</v>
      </c>
      <c r="D81" s="665">
        <v>4680115881532</v>
      </c>
      <c r="E81" s="665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7"/>
      <c r="R81" s="667"/>
      <c r="S81" s="667"/>
      <c r="T81" s="668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182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180</v>
      </c>
      <c r="B82" s="63" t="s">
        <v>183</v>
      </c>
      <c r="C82" s="36">
        <v>4301060526</v>
      </c>
      <c r="D82" s="665">
        <v>4680115881532</v>
      </c>
      <c r="E82" s="66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92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67"/>
      <c r="R82" s="667"/>
      <c r="S82" s="667"/>
      <c r="T82" s="66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54" t="s">
        <v>182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4301060527</v>
      </c>
      <c r="D83" s="665">
        <v>4680115881464</v>
      </c>
      <c r="E83" s="665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90</v>
      </c>
      <c r="N83" s="38"/>
      <c r="O83" s="37">
        <v>30</v>
      </c>
      <c r="P83" s="91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67"/>
      <c r="R83" s="667"/>
      <c r="S83" s="667"/>
      <c r="T83" s="66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6" t="s">
        <v>186</v>
      </c>
      <c r="AG83" s="78"/>
      <c r="AJ83" s="84" t="s">
        <v>46</v>
      </c>
      <c r="AK83" s="84">
        <v>0</v>
      </c>
      <c r="BB83" s="157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59"/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60"/>
      <c r="P84" s="656" t="s">
        <v>40</v>
      </c>
      <c r="Q84" s="657"/>
      <c r="R84" s="657"/>
      <c r="S84" s="657"/>
      <c r="T84" s="657"/>
      <c r="U84" s="657"/>
      <c r="V84" s="658"/>
      <c r="W84" s="42" t="s">
        <v>39</v>
      </c>
      <c r="X84" s="43">
        <f>IFERROR(X81/H81,"0")+IFERROR(X82/H82,"0")+IFERROR(X83/H83,"0")</f>
        <v>0</v>
      </c>
      <c r="Y84" s="43">
        <f>IFERROR(Y81/H81,"0")+IFERROR(Y82/H82,"0")+IFERROR(Y83/H83,"0")</f>
        <v>0</v>
      </c>
      <c r="Z84" s="43">
        <f>IFERROR(IF(Z81="",0,Z81),"0")+IFERROR(IF(Z82="",0,Z82),"0")+IFERROR(IF(Z83="",0,Z83),"0")</f>
        <v>0</v>
      </c>
      <c r="AA84" s="67"/>
      <c r="AB84" s="67"/>
      <c r="AC84" s="67"/>
    </row>
    <row r="85" spans="1:68" hidden="1" x14ac:dyDescent="0.2">
      <c r="A85" s="659"/>
      <c r="B85" s="659"/>
      <c r="C85" s="659"/>
      <c r="D85" s="659"/>
      <c r="E85" s="659"/>
      <c r="F85" s="659"/>
      <c r="G85" s="659"/>
      <c r="H85" s="659"/>
      <c r="I85" s="659"/>
      <c r="J85" s="659"/>
      <c r="K85" s="659"/>
      <c r="L85" s="659"/>
      <c r="M85" s="659"/>
      <c r="N85" s="659"/>
      <c r="O85" s="660"/>
      <c r="P85" s="656" t="s">
        <v>40</v>
      </c>
      <c r="Q85" s="657"/>
      <c r="R85" s="657"/>
      <c r="S85" s="657"/>
      <c r="T85" s="657"/>
      <c r="U85" s="657"/>
      <c r="V85" s="658"/>
      <c r="W85" s="42" t="s">
        <v>0</v>
      </c>
      <c r="X85" s="43">
        <f>IFERROR(SUM(X81:X83),"0")</f>
        <v>0</v>
      </c>
      <c r="Y85" s="43">
        <f>IFERROR(SUM(Y81:Y83),"0")</f>
        <v>0</v>
      </c>
      <c r="Z85" s="42"/>
      <c r="AA85" s="67"/>
      <c r="AB85" s="67"/>
      <c r="AC85" s="67"/>
    </row>
    <row r="86" spans="1:68" ht="16.5" hidden="1" customHeight="1" x14ac:dyDescent="0.25">
      <c r="A86" s="669" t="s">
        <v>187</v>
      </c>
      <c r="B86" s="669"/>
      <c r="C86" s="669"/>
      <c r="D86" s="669"/>
      <c r="E86" s="669"/>
      <c r="F86" s="669"/>
      <c r="G86" s="669"/>
      <c r="H86" s="669"/>
      <c r="I86" s="669"/>
      <c r="J86" s="669"/>
      <c r="K86" s="669"/>
      <c r="L86" s="669"/>
      <c r="M86" s="669"/>
      <c r="N86" s="669"/>
      <c r="O86" s="669"/>
      <c r="P86" s="669"/>
      <c r="Q86" s="669"/>
      <c r="R86" s="669"/>
      <c r="S86" s="669"/>
      <c r="T86" s="669"/>
      <c r="U86" s="669"/>
      <c r="V86" s="669"/>
      <c r="W86" s="669"/>
      <c r="X86" s="669"/>
      <c r="Y86" s="669"/>
      <c r="Z86" s="669"/>
      <c r="AA86" s="65"/>
      <c r="AB86" s="65"/>
      <c r="AC86" s="79"/>
    </row>
    <row r="87" spans="1:68" ht="14.25" hidden="1" customHeight="1" x14ac:dyDescent="0.25">
      <c r="A87" s="670" t="s">
        <v>122</v>
      </c>
      <c r="B87" s="670"/>
      <c r="C87" s="670"/>
      <c r="D87" s="670"/>
      <c r="E87" s="670"/>
      <c r="F87" s="670"/>
      <c r="G87" s="670"/>
      <c r="H87" s="670"/>
      <c r="I87" s="670"/>
      <c r="J87" s="670"/>
      <c r="K87" s="670"/>
      <c r="L87" s="670"/>
      <c r="M87" s="670"/>
      <c r="N87" s="670"/>
      <c r="O87" s="670"/>
      <c r="P87" s="670"/>
      <c r="Q87" s="670"/>
      <c r="R87" s="670"/>
      <c r="S87" s="670"/>
      <c r="T87" s="670"/>
      <c r="U87" s="670"/>
      <c r="V87" s="670"/>
      <c r="W87" s="670"/>
      <c r="X87" s="670"/>
      <c r="Y87" s="670"/>
      <c r="Z87" s="670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65">
        <v>4680115881327</v>
      </c>
      <c r="E88" s="665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91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665">
        <v>4680115887732</v>
      </c>
      <c r="E89" s="665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91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65">
        <v>4680115881518</v>
      </c>
      <c r="E90" s="665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91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7"/>
      <c r="R90" s="667"/>
      <c r="S90" s="667"/>
      <c r="T90" s="668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665">
        <v>4680115881518</v>
      </c>
      <c r="E91" s="665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7"/>
      <c r="R91" s="667"/>
      <c r="S91" s="667"/>
      <c r="T91" s="66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190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197</v>
      </c>
      <c r="B92" s="63" t="s">
        <v>198</v>
      </c>
      <c r="C92" s="36">
        <v>4301012250</v>
      </c>
      <c r="D92" s="665">
        <v>4680115881303</v>
      </c>
      <c r="E92" s="665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91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7"/>
      <c r="R92" s="667"/>
      <c r="S92" s="667"/>
      <c r="T92" s="66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190</v>
      </c>
      <c r="AG92" s="78"/>
      <c r="AJ92" s="84" t="s">
        <v>46</v>
      </c>
      <c r="AK92" s="84">
        <v>0</v>
      </c>
      <c r="BB92" s="167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idden="1" x14ac:dyDescent="0.2">
      <c r="A93" s="659"/>
      <c r="B93" s="659"/>
      <c r="C93" s="659"/>
      <c r="D93" s="659"/>
      <c r="E93" s="659"/>
      <c r="F93" s="659"/>
      <c r="G93" s="659"/>
      <c r="H93" s="659"/>
      <c r="I93" s="659"/>
      <c r="J93" s="659"/>
      <c r="K93" s="659"/>
      <c r="L93" s="659"/>
      <c r="M93" s="659"/>
      <c r="N93" s="659"/>
      <c r="O93" s="660"/>
      <c r="P93" s="656" t="s">
        <v>40</v>
      </c>
      <c r="Q93" s="657"/>
      <c r="R93" s="657"/>
      <c r="S93" s="657"/>
      <c r="T93" s="657"/>
      <c r="U93" s="657"/>
      <c r="V93" s="658"/>
      <c r="W93" s="42" t="s">
        <v>39</v>
      </c>
      <c r="X93" s="43">
        <f>IFERROR(X88/H88,"0")+IFERROR(X89/H89,"0")+IFERROR(X90/H90,"0")+IFERROR(X91/H91,"0")+IFERROR(X92/H92,"0")</f>
        <v>0</v>
      </c>
      <c r="Y93" s="43">
        <f>IFERROR(Y88/H88,"0")+IFERROR(Y89/H89,"0")+IFERROR(Y90/H90,"0")+IFERROR(Y91/H91,"0")+IFERROR(Y92/H92,"0")</f>
        <v>0</v>
      </c>
      <c r="Z93" s="43">
        <f>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hidden="1" x14ac:dyDescent="0.2">
      <c r="A94" s="659"/>
      <c r="B94" s="659"/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60"/>
      <c r="P94" s="656" t="s">
        <v>40</v>
      </c>
      <c r="Q94" s="657"/>
      <c r="R94" s="657"/>
      <c r="S94" s="657"/>
      <c r="T94" s="657"/>
      <c r="U94" s="657"/>
      <c r="V94" s="658"/>
      <c r="W94" s="42" t="s">
        <v>0</v>
      </c>
      <c r="X94" s="43">
        <f>IFERROR(SUM(X88:X92),"0")</f>
        <v>0</v>
      </c>
      <c r="Y94" s="43">
        <f>IFERROR(SUM(Y88:Y92),"0")</f>
        <v>0</v>
      </c>
      <c r="Z94" s="42"/>
      <c r="AA94" s="67"/>
      <c r="AB94" s="67"/>
      <c r="AC94" s="67"/>
    </row>
    <row r="95" spans="1:68" ht="14.25" hidden="1" customHeight="1" x14ac:dyDescent="0.25">
      <c r="A95" s="670" t="s">
        <v>86</v>
      </c>
      <c r="B95" s="670"/>
      <c r="C95" s="670"/>
      <c r="D95" s="670"/>
      <c r="E95" s="670"/>
      <c r="F95" s="670"/>
      <c r="G95" s="670"/>
      <c r="H95" s="670"/>
      <c r="I95" s="670"/>
      <c r="J95" s="670"/>
      <c r="K95" s="670"/>
      <c r="L95" s="670"/>
      <c r="M95" s="670"/>
      <c r="N95" s="670"/>
      <c r="O95" s="670"/>
      <c r="P95" s="670"/>
      <c r="Q95" s="670"/>
      <c r="R95" s="670"/>
      <c r="S95" s="670"/>
      <c r="T95" s="670"/>
      <c r="U95" s="670"/>
      <c r="V95" s="670"/>
      <c r="W95" s="670"/>
      <c r="X95" s="670"/>
      <c r="Y95" s="670"/>
      <c r="Z95" s="670"/>
      <c r="AA95" s="66"/>
      <c r="AB95" s="66"/>
      <c r="AC95" s="80"/>
    </row>
    <row r="96" spans="1:68" ht="27" hidden="1" customHeight="1" x14ac:dyDescent="0.25">
      <c r="A96" s="63" t="s">
        <v>199</v>
      </c>
      <c r="B96" s="63" t="s">
        <v>200</v>
      </c>
      <c r="C96" s="36">
        <v>4301052101</v>
      </c>
      <c r="D96" s="665">
        <v>4607091386967</v>
      </c>
      <c r="E96" s="665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90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665">
        <v>4680115884953</v>
      </c>
      <c r="E97" s="665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205</v>
      </c>
      <c r="B98" s="63" t="s">
        <v>206</v>
      </c>
      <c r="C98" s="36">
        <v>4301052094</v>
      </c>
      <c r="D98" s="665">
        <v>4607091385731</v>
      </c>
      <c r="E98" s="665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1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665">
        <v>4680115880894</v>
      </c>
      <c r="E99" s="665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7"/>
      <c r="R99" s="667"/>
      <c r="S99" s="667"/>
      <c r="T99" s="66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idden="1" x14ac:dyDescent="0.2">
      <c r="A100" s="659"/>
      <c r="B100" s="659"/>
      <c r="C100" s="659"/>
      <c r="D100" s="659"/>
      <c r="E100" s="659"/>
      <c r="F100" s="659"/>
      <c r="G100" s="659"/>
      <c r="H100" s="659"/>
      <c r="I100" s="659"/>
      <c r="J100" s="659"/>
      <c r="K100" s="659"/>
      <c r="L100" s="659"/>
      <c r="M100" s="659"/>
      <c r="N100" s="659"/>
      <c r="O100" s="660"/>
      <c r="P100" s="656" t="s">
        <v>40</v>
      </c>
      <c r="Q100" s="657"/>
      <c r="R100" s="657"/>
      <c r="S100" s="657"/>
      <c r="T100" s="657"/>
      <c r="U100" s="657"/>
      <c r="V100" s="658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59"/>
      <c r="B101" s="659"/>
      <c r="C101" s="659"/>
      <c r="D101" s="659"/>
      <c r="E101" s="659"/>
      <c r="F101" s="659"/>
      <c r="G101" s="659"/>
      <c r="H101" s="659"/>
      <c r="I101" s="659"/>
      <c r="J101" s="659"/>
      <c r="K101" s="659"/>
      <c r="L101" s="659"/>
      <c r="M101" s="659"/>
      <c r="N101" s="659"/>
      <c r="O101" s="660"/>
      <c r="P101" s="656" t="s">
        <v>40</v>
      </c>
      <c r="Q101" s="657"/>
      <c r="R101" s="657"/>
      <c r="S101" s="657"/>
      <c r="T101" s="657"/>
      <c r="U101" s="657"/>
      <c r="V101" s="658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hidden="1" customHeight="1" x14ac:dyDescent="0.25">
      <c r="A102" s="669" t="s">
        <v>210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5"/>
      <c r="AB102" s="65"/>
      <c r="AC102" s="79"/>
    </row>
    <row r="103" spans="1:68" ht="14.25" hidden="1" customHeight="1" x14ac:dyDescent="0.25">
      <c r="A103" s="670" t="s">
        <v>122</v>
      </c>
      <c r="B103" s="670"/>
      <c r="C103" s="670"/>
      <c r="D103" s="670"/>
      <c r="E103" s="670"/>
      <c r="F103" s="670"/>
      <c r="G103" s="670"/>
      <c r="H103" s="670"/>
      <c r="I103" s="670"/>
      <c r="J103" s="670"/>
      <c r="K103" s="670"/>
      <c r="L103" s="670"/>
      <c r="M103" s="670"/>
      <c r="N103" s="670"/>
      <c r="O103" s="670"/>
      <c r="P103" s="670"/>
      <c r="Q103" s="670"/>
      <c r="R103" s="670"/>
      <c r="S103" s="670"/>
      <c r="T103" s="670"/>
      <c r="U103" s="670"/>
      <c r="V103" s="670"/>
      <c r="W103" s="670"/>
      <c r="X103" s="670"/>
      <c r="Y103" s="670"/>
      <c r="Z103" s="670"/>
      <c r="AA103" s="66"/>
      <c r="AB103" s="66"/>
      <c r="AC103" s="80"/>
    </row>
    <row r="104" spans="1:68" ht="37.5" hidden="1" customHeight="1" x14ac:dyDescent="0.25">
      <c r="A104" s="63" t="s">
        <v>211</v>
      </c>
      <c r="B104" s="63" t="s">
        <v>212</v>
      </c>
      <c r="C104" s="36">
        <v>4301011514</v>
      </c>
      <c r="D104" s="665">
        <v>4680115882133</v>
      </c>
      <c r="E104" s="665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665">
        <v>4680115882133</v>
      </c>
      <c r="E105" s="665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90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0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665">
        <v>4680115880269</v>
      </c>
      <c r="E108" s="665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0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665">
        <v>4680115881457</v>
      </c>
      <c r="E111" s="66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89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7"/>
      <c r="R111" s="667"/>
      <c r="S111" s="667"/>
      <c r="T111" s="66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665">
        <v>4680115889477</v>
      </c>
      <c r="E112" s="66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900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7"/>
      <c r="R112" s="667"/>
      <c r="S112" s="667"/>
      <c r="T112" s="66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59"/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60"/>
      <c r="P113" s="656" t="s">
        <v>40</v>
      </c>
      <c r="Q113" s="657"/>
      <c r="R113" s="657"/>
      <c r="S113" s="657"/>
      <c r="T113" s="657"/>
      <c r="U113" s="657"/>
      <c r="V113" s="658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59"/>
      <c r="B114" s="659"/>
      <c r="C114" s="659"/>
      <c r="D114" s="659"/>
      <c r="E114" s="659"/>
      <c r="F114" s="659"/>
      <c r="G114" s="659"/>
      <c r="H114" s="659"/>
      <c r="I114" s="659"/>
      <c r="J114" s="659"/>
      <c r="K114" s="659"/>
      <c r="L114" s="659"/>
      <c r="M114" s="659"/>
      <c r="N114" s="659"/>
      <c r="O114" s="660"/>
      <c r="P114" s="656" t="s">
        <v>40</v>
      </c>
      <c r="Q114" s="657"/>
      <c r="R114" s="657"/>
      <c r="S114" s="657"/>
      <c r="T114" s="657"/>
      <c r="U114" s="657"/>
      <c r="V114" s="658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70" t="s">
        <v>159</v>
      </c>
      <c r="B115" s="670"/>
      <c r="C115" s="670"/>
      <c r="D115" s="670"/>
      <c r="E115" s="670"/>
      <c r="F115" s="670"/>
      <c r="G115" s="670"/>
      <c r="H115" s="670"/>
      <c r="I115" s="670"/>
      <c r="J115" s="670"/>
      <c r="K115" s="670"/>
      <c r="L115" s="670"/>
      <c r="M115" s="670"/>
      <c r="N115" s="670"/>
      <c r="O115" s="670"/>
      <c r="P115" s="670"/>
      <c r="Q115" s="670"/>
      <c r="R115" s="670"/>
      <c r="S115" s="670"/>
      <c r="T115" s="670"/>
      <c r="U115" s="670"/>
      <c r="V115" s="670"/>
      <c r="W115" s="670"/>
      <c r="X115" s="670"/>
      <c r="Y115" s="670"/>
      <c r="Z115" s="670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665">
        <v>4680115881488</v>
      </c>
      <c r="E116" s="66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90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89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59"/>
      <c r="B119" s="659"/>
      <c r="C119" s="659"/>
      <c r="D119" s="659"/>
      <c r="E119" s="659"/>
      <c r="F119" s="659"/>
      <c r="G119" s="659"/>
      <c r="H119" s="659"/>
      <c r="I119" s="659"/>
      <c r="J119" s="659"/>
      <c r="K119" s="659"/>
      <c r="L119" s="659"/>
      <c r="M119" s="659"/>
      <c r="N119" s="659"/>
      <c r="O119" s="660"/>
      <c r="P119" s="656" t="s">
        <v>40</v>
      </c>
      <c r="Q119" s="657"/>
      <c r="R119" s="657"/>
      <c r="S119" s="657"/>
      <c r="T119" s="657"/>
      <c r="U119" s="657"/>
      <c r="V119" s="658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59"/>
      <c r="B120" s="659"/>
      <c r="C120" s="659"/>
      <c r="D120" s="659"/>
      <c r="E120" s="659"/>
      <c r="F120" s="659"/>
      <c r="G120" s="659"/>
      <c r="H120" s="659"/>
      <c r="I120" s="659"/>
      <c r="J120" s="659"/>
      <c r="K120" s="659"/>
      <c r="L120" s="659"/>
      <c r="M120" s="659"/>
      <c r="N120" s="659"/>
      <c r="O120" s="660"/>
      <c r="P120" s="656" t="s">
        <v>40</v>
      </c>
      <c r="Q120" s="657"/>
      <c r="R120" s="657"/>
      <c r="S120" s="657"/>
      <c r="T120" s="657"/>
      <c r="U120" s="657"/>
      <c r="V120" s="658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70" t="s">
        <v>86</v>
      </c>
      <c r="B121" s="670"/>
      <c r="C121" s="670"/>
      <c r="D121" s="670"/>
      <c r="E121" s="670"/>
      <c r="F121" s="670"/>
      <c r="G121" s="670"/>
      <c r="H121" s="670"/>
      <c r="I121" s="670"/>
      <c r="J121" s="670"/>
      <c r="K121" s="670"/>
      <c r="L121" s="670"/>
      <c r="M121" s="670"/>
      <c r="N121" s="670"/>
      <c r="O121" s="670"/>
      <c r="P121" s="670"/>
      <c r="Q121" s="670"/>
      <c r="R121" s="670"/>
      <c r="S121" s="670"/>
      <c r="T121" s="670"/>
      <c r="U121" s="670"/>
      <c r="V121" s="670"/>
      <c r="W121" s="670"/>
      <c r="X121" s="670"/>
      <c r="Y121" s="670"/>
      <c r="Z121" s="670"/>
      <c r="AA121" s="66"/>
      <c r="AB121" s="66"/>
      <c r="AC121" s="80"/>
    </row>
    <row r="122" spans="1:68" ht="27" hidden="1" customHeight="1" x14ac:dyDescent="0.25">
      <c r="A122" s="63" t="s">
        <v>237</v>
      </c>
      <c r="B122" s="63" t="s">
        <v>238</v>
      </c>
      <c r="C122" s="36">
        <v>4301052088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665">
        <v>4607091383256</v>
      </c>
      <c r="E123" s="665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242</v>
      </c>
      <c r="B124" s="63" t="s">
        <v>243</v>
      </c>
      <c r="C124" s="36">
        <v>4301052086</v>
      </c>
      <c r="D124" s="665">
        <v>4607091385748</v>
      </c>
      <c r="E124" s="665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8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665">
        <v>4680115884533</v>
      </c>
      <c r="E125" s="665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59"/>
      <c r="B126" s="659"/>
      <c r="C126" s="659"/>
      <c r="D126" s="659"/>
      <c r="E126" s="659"/>
      <c r="F126" s="659"/>
      <c r="G126" s="659"/>
      <c r="H126" s="659"/>
      <c r="I126" s="659"/>
      <c r="J126" s="659"/>
      <c r="K126" s="659"/>
      <c r="L126" s="659"/>
      <c r="M126" s="659"/>
      <c r="N126" s="659"/>
      <c r="O126" s="660"/>
      <c r="P126" s="656" t="s">
        <v>40</v>
      </c>
      <c r="Q126" s="657"/>
      <c r="R126" s="657"/>
      <c r="S126" s="657"/>
      <c r="T126" s="657"/>
      <c r="U126" s="657"/>
      <c r="V126" s="658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659"/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60"/>
      <c r="P127" s="656" t="s">
        <v>40</v>
      </c>
      <c r="Q127" s="657"/>
      <c r="R127" s="657"/>
      <c r="S127" s="657"/>
      <c r="T127" s="657"/>
      <c r="U127" s="657"/>
      <c r="V127" s="658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670" t="s">
        <v>179</v>
      </c>
      <c r="B128" s="670"/>
      <c r="C128" s="670"/>
      <c r="D128" s="670"/>
      <c r="E128" s="670"/>
      <c r="F128" s="670"/>
      <c r="G128" s="670"/>
      <c r="H128" s="670"/>
      <c r="I128" s="670"/>
      <c r="J128" s="670"/>
      <c r="K128" s="670"/>
      <c r="L128" s="670"/>
      <c r="M128" s="670"/>
      <c r="N128" s="670"/>
      <c r="O128" s="670"/>
      <c r="P128" s="670"/>
      <c r="Q128" s="670"/>
      <c r="R128" s="670"/>
      <c r="S128" s="670"/>
      <c r="T128" s="670"/>
      <c r="U128" s="670"/>
      <c r="V128" s="670"/>
      <c r="W128" s="670"/>
      <c r="X128" s="670"/>
      <c r="Y128" s="670"/>
      <c r="Z128" s="670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665">
        <v>4680115880238</v>
      </c>
      <c r="E129" s="665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7"/>
      <c r="R129" s="667"/>
      <c r="S129" s="667"/>
      <c r="T129" s="66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59"/>
      <c r="B130" s="659"/>
      <c r="C130" s="659"/>
      <c r="D130" s="659"/>
      <c r="E130" s="659"/>
      <c r="F130" s="659"/>
      <c r="G130" s="659"/>
      <c r="H130" s="659"/>
      <c r="I130" s="659"/>
      <c r="J130" s="659"/>
      <c r="K130" s="659"/>
      <c r="L130" s="659"/>
      <c r="M130" s="659"/>
      <c r="N130" s="659"/>
      <c r="O130" s="660"/>
      <c r="P130" s="656" t="s">
        <v>40</v>
      </c>
      <c r="Q130" s="657"/>
      <c r="R130" s="657"/>
      <c r="S130" s="657"/>
      <c r="T130" s="657"/>
      <c r="U130" s="657"/>
      <c r="V130" s="658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59"/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60"/>
      <c r="P131" s="656" t="s">
        <v>40</v>
      </c>
      <c r="Q131" s="657"/>
      <c r="R131" s="657"/>
      <c r="S131" s="657"/>
      <c r="T131" s="657"/>
      <c r="U131" s="657"/>
      <c r="V131" s="658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69" t="s">
        <v>250</v>
      </c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69"/>
      <c r="P132" s="669"/>
      <c r="Q132" s="669"/>
      <c r="R132" s="669"/>
      <c r="S132" s="669"/>
      <c r="T132" s="669"/>
      <c r="U132" s="669"/>
      <c r="V132" s="669"/>
      <c r="W132" s="669"/>
      <c r="X132" s="669"/>
      <c r="Y132" s="669"/>
      <c r="Z132" s="669"/>
      <c r="AA132" s="65"/>
      <c r="AB132" s="65"/>
      <c r="AC132" s="79"/>
    </row>
    <row r="133" spans="1:68" ht="14.25" hidden="1" customHeight="1" x14ac:dyDescent="0.25">
      <c r="A133" s="670" t="s">
        <v>122</v>
      </c>
      <c r="B133" s="670"/>
      <c r="C133" s="670"/>
      <c r="D133" s="670"/>
      <c r="E133" s="670"/>
      <c r="F133" s="670"/>
      <c r="G133" s="670"/>
      <c r="H133" s="670"/>
      <c r="I133" s="670"/>
      <c r="J133" s="670"/>
      <c r="K133" s="670"/>
      <c r="L133" s="670"/>
      <c r="M133" s="670"/>
      <c r="N133" s="670"/>
      <c r="O133" s="670"/>
      <c r="P133" s="670"/>
      <c r="Q133" s="670"/>
      <c r="R133" s="670"/>
      <c r="S133" s="670"/>
      <c r="T133" s="670"/>
      <c r="U133" s="670"/>
      <c r="V133" s="670"/>
      <c r="W133" s="670"/>
      <c r="X133" s="670"/>
      <c r="Y133" s="670"/>
      <c r="Z133" s="670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665">
        <v>4680115882577</v>
      </c>
      <c r="E134" s="665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8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7"/>
      <c r="R134" s="667"/>
      <c r="S134" s="667"/>
      <c r="T134" s="668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665">
        <v>4680115882577</v>
      </c>
      <c r="E135" s="665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8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7"/>
      <c r="R135" s="667"/>
      <c r="S135" s="667"/>
      <c r="T135" s="66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59"/>
      <c r="B136" s="659"/>
      <c r="C136" s="659"/>
      <c r="D136" s="659"/>
      <c r="E136" s="659"/>
      <c r="F136" s="659"/>
      <c r="G136" s="659"/>
      <c r="H136" s="659"/>
      <c r="I136" s="659"/>
      <c r="J136" s="659"/>
      <c r="K136" s="659"/>
      <c r="L136" s="659"/>
      <c r="M136" s="659"/>
      <c r="N136" s="659"/>
      <c r="O136" s="660"/>
      <c r="P136" s="656" t="s">
        <v>40</v>
      </c>
      <c r="Q136" s="657"/>
      <c r="R136" s="657"/>
      <c r="S136" s="657"/>
      <c r="T136" s="657"/>
      <c r="U136" s="657"/>
      <c r="V136" s="65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59"/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60"/>
      <c r="P137" s="656" t="s">
        <v>40</v>
      </c>
      <c r="Q137" s="657"/>
      <c r="R137" s="657"/>
      <c r="S137" s="657"/>
      <c r="T137" s="657"/>
      <c r="U137" s="657"/>
      <c r="V137" s="65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70" t="s">
        <v>77</v>
      </c>
      <c r="B138" s="670"/>
      <c r="C138" s="670"/>
      <c r="D138" s="670"/>
      <c r="E138" s="670"/>
      <c r="F138" s="670"/>
      <c r="G138" s="670"/>
      <c r="H138" s="670"/>
      <c r="I138" s="670"/>
      <c r="J138" s="670"/>
      <c r="K138" s="670"/>
      <c r="L138" s="670"/>
      <c r="M138" s="670"/>
      <c r="N138" s="670"/>
      <c r="O138" s="670"/>
      <c r="P138" s="670"/>
      <c r="Q138" s="670"/>
      <c r="R138" s="670"/>
      <c r="S138" s="670"/>
      <c r="T138" s="670"/>
      <c r="U138" s="670"/>
      <c r="V138" s="670"/>
      <c r="W138" s="670"/>
      <c r="X138" s="670"/>
      <c r="Y138" s="670"/>
      <c r="Z138" s="670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665">
        <v>4680115883444</v>
      </c>
      <c r="E139" s="665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8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665">
        <v>4680115883444</v>
      </c>
      <c r="E140" s="665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7"/>
      <c r="R140" s="667"/>
      <c r="S140" s="667"/>
      <c r="T140" s="668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59"/>
      <c r="B141" s="659"/>
      <c r="C141" s="659"/>
      <c r="D141" s="659"/>
      <c r="E141" s="659"/>
      <c r="F141" s="659"/>
      <c r="G141" s="659"/>
      <c r="H141" s="659"/>
      <c r="I141" s="659"/>
      <c r="J141" s="659"/>
      <c r="K141" s="659"/>
      <c r="L141" s="659"/>
      <c r="M141" s="659"/>
      <c r="N141" s="659"/>
      <c r="O141" s="660"/>
      <c r="P141" s="656" t="s">
        <v>40</v>
      </c>
      <c r="Q141" s="657"/>
      <c r="R141" s="657"/>
      <c r="S141" s="657"/>
      <c r="T141" s="657"/>
      <c r="U141" s="657"/>
      <c r="V141" s="658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59"/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60"/>
      <c r="P142" s="656" t="s">
        <v>40</v>
      </c>
      <c r="Q142" s="657"/>
      <c r="R142" s="657"/>
      <c r="S142" s="657"/>
      <c r="T142" s="657"/>
      <c r="U142" s="657"/>
      <c r="V142" s="658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70" t="s">
        <v>86</v>
      </c>
      <c r="B143" s="670"/>
      <c r="C143" s="670"/>
      <c r="D143" s="670"/>
      <c r="E143" s="670"/>
      <c r="F143" s="670"/>
      <c r="G143" s="670"/>
      <c r="H143" s="670"/>
      <c r="I143" s="670"/>
      <c r="J143" s="670"/>
      <c r="K143" s="670"/>
      <c r="L143" s="670"/>
      <c r="M143" s="670"/>
      <c r="N143" s="670"/>
      <c r="O143" s="670"/>
      <c r="P143" s="670"/>
      <c r="Q143" s="670"/>
      <c r="R143" s="670"/>
      <c r="S143" s="670"/>
      <c r="T143" s="670"/>
      <c r="U143" s="670"/>
      <c r="V143" s="670"/>
      <c r="W143" s="670"/>
      <c r="X143" s="670"/>
      <c r="Y143" s="670"/>
      <c r="Z143" s="670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665">
        <v>4680115882584</v>
      </c>
      <c r="E144" s="66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665">
        <v>4680115882584</v>
      </c>
      <c r="E145" s="665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7"/>
      <c r="R145" s="667"/>
      <c r="S145" s="667"/>
      <c r="T145" s="668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59"/>
      <c r="B146" s="659"/>
      <c r="C146" s="659"/>
      <c r="D146" s="659"/>
      <c r="E146" s="659"/>
      <c r="F146" s="659"/>
      <c r="G146" s="659"/>
      <c r="H146" s="659"/>
      <c r="I146" s="659"/>
      <c r="J146" s="659"/>
      <c r="K146" s="659"/>
      <c r="L146" s="659"/>
      <c r="M146" s="659"/>
      <c r="N146" s="659"/>
      <c r="O146" s="660"/>
      <c r="P146" s="656" t="s">
        <v>40</v>
      </c>
      <c r="Q146" s="657"/>
      <c r="R146" s="657"/>
      <c r="S146" s="657"/>
      <c r="T146" s="657"/>
      <c r="U146" s="657"/>
      <c r="V146" s="658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59"/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60"/>
      <c r="P147" s="656" t="s">
        <v>40</v>
      </c>
      <c r="Q147" s="657"/>
      <c r="R147" s="657"/>
      <c r="S147" s="657"/>
      <c r="T147" s="657"/>
      <c r="U147" s="657"/>
      <c r="V147" s="658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69" t="s">
        <v>263</v>
      </c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69"/>
      <c r="P148" s="669"/>
      <c r="Q148" s="669"/>
      <c r="R148" s="669"/>
      <c r="S148" s="669"/>
      <c r="T148" s="669"/>
      <c r="U148" s="669"/>
      <c r="V148" s="669"/>
      <c r="W148" s="669"/>
      <c r="X148" s="669"/>
      <c r="Y148" s="669"/>
      <c r="Z148" s="669"/>
      <c r="AA148" s="65"/>
      <c r="AB148" s="65"/>
      <c r="AC148" s="79"/>
    </row>
    <row r="149" spans="1:68" ht="14.25" hidden="1" customHeight="1" x14ac:dyDescent="0.25">
      <c r="A149" s="670" t="s">
        <v>86</v>
      </c>
      <c r="B149" s="670"/>
      <c r="C149" s="670"/>
      <c r="D149" s="670"/>
      <c r="E149" s="670"/>
      <c r="F149" s="670"/>
      <c r="G149" s="670"/>
      <c r="H149" s="670"/>
      <c r="I149" s="670"/>
      <c r="J149" s="670"/>
      <c r="K149" s="670"/>
      <c r="L149" s="670"/>
      <c r="M149" s="670"/>
      <c r="N149" s="670"/>
      <c r="O149" s="670"/>
      <c r="P149" s="670"/>
      <c r="Q149" s="670"/>
      <c r="R149" s="670"/>
      <c r="S149" s="670"/>
      <c r="T149" s="670"/>
      <c r="U149" s="670"/>
      <c r="V149" s="670"/>
      <c r="W149" s="670"/>
      <c r="X149" s="670"/>
      <c r="Y149" s="670"/>
      <c r="Z149" s="670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665">
        <v>4680115888203</v>
      </c>
      <c r="E150" s="665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7"/>
      <c r="R150" s="667"/>
      <c r="S150" s="667"/>
      <c r="T150" s="66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665">
        <v>4680115888180</v>
      </c>
      <c r="E151" s="665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7"/>
      <c r="R151" s="667"/>
      <c r="S151" s="667"/>
      <c r="T151" s="66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665">
        <v>4680115888180</v>
      </c>
      <c r="E152" s="66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7"/>
      <c r="R152" s="667"/>
      <c r="S152" s="667"/>
      <c r="T152" s="66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665">
        <v>4680115888197</v>
      </c>
      <c r="E153" s="66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8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7"/>
      <c r="R153" s="667"/>
      <c r="S153" s="667"/>
      <c r="T153" s="66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665">
        <v>4680115888210</v>
      </c>
      <c r="E154" s="66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665">
        <v>4680115888210</v>
      </c>
      <c r="E155" s="66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8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659"/>
      <c r="B156" s="659"/>
      <c r="C156" s="659"/>
      <c r="D156" s="659"/>
      <c r="E156" s="659"/>
      <c r="F156" s="659"/>
      <c r="G156" s="659"/>
      <c r="H156" s="659"/>
      <c r="I156" s="659"/>
      <c r="J156" s="659"/>
      <c r="K156" s="659"/>
      <c r="L156" s="659"/>
      <c r="M156" s="659"/>
      <c r="N156" s="659"/>
      <c r="O156" s="660"/>
      <c r="P156" s="656" t="s">
        <v>40</v>
      </c>
      <c r="Q156" s="657"/>
      <c r="R156" s="657"/>
      <c r="S156" s="657"/>
      <c r="T156" s="657"/>
      <c r="U156" s="657"/>
      <c r="V156" s="658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9"/>
      <c r="B157" s="659"/>
      <c r="C157" s="659"/>
      <c r="D157" s="659"/>
      <c r="E157" s="659"/>
      <c r="F157" s="659"/>
      <c r="G157" s="659"/>
      <c r="H157" s="659"/>
      <c r="I157" s="659"/>
      <c r="J157" s="659"/>
      <c r="K157" s="659"/>
      <c r="L157" s="659"/>
      <c r="M157" s="659"/>
      <c r="N157" s="659"/>
      <c r="O157" s="660"/>
      <c r="P157" s="656" t="s">
        <v>40</v>
      </c>
      <c r="Q157" s="657"/>
      <c r="R157" s="657"/>
      <c r="S157" s="657"/>
      <c r="T157" s="657"/>
      <c r="U157" s="657"/>
      <c r="V157" s="658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70" t="s">
        <v>278</v>
      </c>
      <c r="B158" s="670"/>
      <c r="C158" s="670"/>
      <c r="D158" s="670"/>
      <c r="E158" s="670"/>
      <c r="F158" s="670"/>
      <c r="G158" s="670"/>
      <c r="H158" s="670"/>
      <c r="I158" s="670"/>
      <c r="J158" s="670"/>
      <c r="K158" s="670"/>
      <c r="L158" s="670"/>
      <c r="M158" s="670"/>
      <c r="N158" s="670"/>
      <c r="O158" s="670"/>
      <c r="P158" s="670"/>
      <c r="Q158" s="670"/>
      <c r="R158" s="670"/>
      <c r="S158" s="670"/>
      <c r="T158" s="670"/>
      <c r="U158" s="670"/>
      <c r="V158" s="670"/>
      <c r="W158" s="670"/>
      <c r="X158" s="670"/>
      <c r="Y158" s="670"/>
      <c r="Z158" s="670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665">
        <v>4680115889132</v>
      </c>
      <c r="E159" s="66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8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9"/>
      <c r="B160" s="659"/>
      <c r="C160" s="659"/>
      <c r="D160" s="659"/>
      <c r="E160" s="659"/>
      <c r="F160" s="659"/>
      <c r="G160" s="659"/>
      <c r="H160" s="659"/>
      <c r="I160" s="659"/>
      <c r="J160" s="659"/>
      <c r="K160" s="659"/>
      <c r="L160" s="659"/>
      <c r="M160" s="659"/>
      <c r="N160" s="659"/>
      <c r="O160" s="660"/>
      <c r="P160" s="656" t="s">
        <v>40</v>
      </c>
      <c r="Q160" s="657"/>
      <c r="R160" s="657"/>
      <c r="S160" s="657"/>
      <c r="T160" s="657"/>
      <c r="U160" s="657"/>
      <c r="V160" s="65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9"/>
      <c r="B161" s="659"/>
      <c r="C161" s="659"/>
      <c r="D161" s="659"/>
      <c r="E161" s="659"/>
      <c r="F161" s="659"/>
      <c r="G161" s="659"/>
      <c r="H161" s="659"/>
      <c r="I161" s="659"/>
      <c r="J161" s="659"/>
      <c r="K161" s="659"/>
      <c r="L161" s="659"/>
      <c r="M161" s="659"/>
      <c r="N161" s="659"/>
      <c r="O161" s="660"/>
      <c r="P161" s="656" t="s">
        <v>40</v>
      </c>
      <c r="Q161" s="657"/>
      <c r="R161" s="657"/>
      <c r="S161" s="657"/>
      <c r="T161" s="657"/>
      <c r="U161" s="657"/>
      <c r="V161" s="65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9" t="s">
        <v>120</v>
      </c>
      <c r="B162" s="669"/>
      <c r="C162" s="669"/>
      <c r="D162" s="669"/>
      <c r="E162" s="669"/>
      <c r="F162" s="669"/>
      <c r="G162" s="669"/>
      <c r="H162" s="669"/>
      <c r="I162" s="669"/>
      <c r="J162" s="669"/>
      <c r="K162" s="669"/>
      <c r="L162" s="669"/>
      <c r="M162" s="669"/>
      <c r="N162" s="669"/>
      <c r="O162" s="669"/>
      <c r="P162" s="669"/>
      <c r="Q162" s="669"/>
      <c r="R162" s="669"/>
      <c r="S162" s="669"/>
      <c r="T162" s="669"/>
      <c r="U162" s="669"/>
      <c r="V162" s="669"/>
      <c r="W162" s="669"/>
      <c r="X162" s="669"/>
      <c r="Y162" s="669"/>
      <c r="Z162" s="669"/>
      <c r="AA162" s="65"/>
      <c r="AB162" s="65"/>
      <c r="AC162" s="79"/>
    </row>
    <row r="163" spans="1:68" ht="14.25" hidden="1" customHeight="1" x14ac:dyDescent="0.25">
      <c r="A163" s="670" t="s">
        <v>122</v>
      </c>
      <c r="B163" s="670"/>
      <c r="C163" s="670"/>
      <c r="D163" s="670"/>
      <c r="E163" s="670"/>
      <c r="F163" s="670"/>
      <c r="G163" s="670"/>
      <c r="H163" s="670"/>
      <c r="I163" s="670"/>
      <c r="J163" s="670"/>
      <c r="K163" s="670"/>
      <c r="L163" s="670"/>
      <c r="M163" s="670"/>
      <c r="N163" s="670"/>
      <c r="O163" s="670"/>
      <c r="P163" s="670"/>
      <c r="Q163" s="670"/>
      <c r="R163" s="670"/>
      <c r="S163" s="670"/>
      <c r="T163" s="670"/>
      <c r="U163" s="670"/>
      <c r="V163" s="670"/>
      <c r="W163" s="670"/>
      <c r="X163" s="670"/>
      <c r="Y163" s="670"/>
      <c r="Z163" s="670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665">
        <v>4680115887374</v>
      </c>
      <c r="E164" s="66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7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665">
        <v>4607091384604</v>
      </c>
      <c r="E165" s="66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7"/>
      <c r="R165" s="667"/>
      <c r="S165" s="667"/>
      <c r="T165" s="66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665">
        <v>4607091384604</v>
      </c>
      <c r="E166" s="66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74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7"/>
      <c r="R166" s="667"/>
      <c r="S166" s="667"/>
      <c r="T166" s="66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665">
        <v>4680115888876</v>
      </c>
      <c r="E167" s="66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7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7"/>
      <c r="R167" s="667"/>
      <c r="S167" s="667"/>
      <c r="T167" s="66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59"/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60"/>
      <c r="P168" s="656" t="s">
        <v>40</v>
      </c>
      <c r="Q168" s="657"/>
      <c r="R168" s="657"/>
      <c r="S168" s="657"/>
      <c r="T168" s="657"/>
      <c r="U168" s="657"/>
      <c r="V168" s="658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59"/>
      <c r="B169" s="659"/>
      <c r="C169" s="659"/>
      <c r="D169" s="659"/>
      <c r="E169" s="659"/>
      <c r="F169" s="659"/>
      <c r="G169" s="659"/>
      <c r="H169" s="659"/>
      <c r="I169" s="659"/>
      <c r="J169" s="659"/>
      <c r="K169" s="659"/>
      <c r="L169" s="659"/>
      <c r="M169" s="659"/>
      <c r="N169" s="659"/>
      <c r="O169" s="660"/>
      <c r="P169" s="656" t="s">
        <v>40</v>
      </c>
      <c r="Q169" s="657"/>
      <c r="R169" s="657"/>
      <c r="S169" s="657"/>
      <c r="T169" s="657"/>
      <c r="U169" s="657"/>
      <c r="V169" s="658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70" t="s">
        <v>159</v>
      </c>
      <c r="B170" s="670"/>
      <c r="C170" s="670"/>
      <c r="D170" s="670"/>
      <c r="E170" s="670"/>
      <c r="F170" s="670"/>
      <c r="G170" s="670"/>
      <c r="H170" s="670"/>
      <c r="I170" s="670"/>
      <c r="J170" s="670"/>
      <c r="K170" s="670"/>
      <c r="L170" s="670"/>
      <c r="M170" s="670"/>
      <c r="N170" s="670"/>
      <c r="O170" s="670"/>
      <c r="P170" s="670"/>
      <c r="Q170" s="670"/>
      <c r="R170" s="670"/>
      <c r="S170" s="670"/>
      <c r="T170" s="670"/>
      <c r="U170" s="670"/>
      <c r="V170" s="670"/>
      <c r="W170" s="670"/>
      <c r="X170" s="670"/>
      <c r="Y170" s="670"/>
      <c r="Z170" s="670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665">
        <v>4680115887695</v>
      </c>
      <c r="E171" s="665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665">
        <v>4680115889491</v>
      </c>
      <c r="E172" s="66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7"/>
      <c r="R172" s="667"/>
      <c r="S172" s="667"/>
      <c r="T172" s="66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59"/>
      <c r="B173" s="659"/>
      <c r="C173" s="659"/>
      <c r="D173" s="659"/>
      <c r="E173" s="659"/>
      <c r="F173" s="659"/>
      <c r="G173" s="659"/>
      <c r="H173" s="659"/>
      <c r="I173" s="659"/>
      <c r="J173" s="659"/>
      <c r="K173" s="659"/>
      <c r="L173" s="659"/>
      <c r="M173" s="659"/>
      <c r="N173" s="659"/>
      <c r="O173" s="660"/>
      <c r="P173" s="656" t="s">
        <v>40</v>
      </c>
      <c r="Q173" s="657"/>
      <c r="R173" s="657"/>
      <c r="S173" s="657"/>
      <c r="T173" s="657"/>
      <c r="U173" s="657"/>
      <c r="V173" s="658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59"/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60"/>
      <c r="P174" s="656" t="s">
        <v>40</v>
      </c>
      <c r="Q174" s="657"/>
      <c r="R174" s="657"/>
      <c r="S174" s="657"/>
      <c r="T174" s="657"/>
      <c r="U174" s="657"/>
      <c r="V174" s="658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70" t="s">
        <v>77</v>
      </c>
      <c r="B175" s="670"/>
      <c r="C175" s="670"/>
      <c r="D175" s="670"/>
      <c r="E175" s="670"/>
      <c r="F175" s="670"/>
      <c r="G175" s="670"/>
      <c r="H175" s="670"/>
      <c r="I175" s="670"/>
      <c r="J175" s="670"/>
      <c r="K175" s="670"/>
      <c r="L175" s="670"/>
      <c r="M175" s="670"/>
      <c r="N175" s="670"/>
      <c r="O175" s="670"/>
      <c r="P175" s="670"/>
      <c r="Q175" s="670"/>
      <c r="R175" s="670"/>
      <c r="S175" s="670"/>
      <c r="T175" s="670"/>
      <c r="U175" s="670"/>
      <c r="V175" s="670"/>
      <c r="W175" s="670"/>
      <c r="X175" s="670"/>
      <c r="Y175" s="670"/>
      <c r="Z175" s="670"/>
      <c r="AA175" s="66"/>
      <c r="AB175" s="66"/>
      <c r="AC175" s="80"/>
    </row>
    <row r="176" spans="1:68" ht="27" hidden="1" customHeight="1" x14ac:dyDescent="0.25">
      <c r="A176" s="63" t="s">
        <v>301</v>
      </c>
      <c r="B176" s="63" t="s">
        <v>302</v>
      </c>
      <c r="C176" s="36">
        <v>4301031496</v>
      </c>
      <c r="D176" s="665">
        <v>4680115887428</v>
      </c>
      <c r="E176" s="665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7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665">
        <v>4680115889170</v>
      </c>
      <c r="E177" s="665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7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7"/>
      <c r="R177" s="667"/>
      <c r="S177" s="667"/>
      <c r="T177" s="66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665">
        <v>4680115887398</v>
      </c>
      <c r="E178" s="66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6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7"/>
      <c r="R178" s="667"/>
      <c r="S178" s="667"/>
      <c r="T178" s="66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4301031520</v>
      </c>
      <c r="D179" s="665">
        <v>4680115887336</v>
      </c>
      <c r="E179" s="66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6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7"/>
      <c r="R179" s="667"/>
      <c r="S179" s="667"/>
      <c r="T179" s="66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665">
        <v>4680115887787</v>
      </c>
      <c r="E180" s="665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665">
        <v>4680115887787</v>
      </c>
      <c r="E181" s="66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665">
        <v>4680115887503</v>
      </c>
      <c r="E182" s="66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7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665">
        <v>4680115887763</v>
      </c>
      <c r="E183" s="66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6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665">
        <v>4680115887480</v>
      </c>
      <c r="E184" s="66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6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665">
        <v>4680115888067</v>
      </c>
      <c r="E185" s="665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665">
        <v>4680115887435</v>
      </c>
      <c r="E186" s="66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6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659"/>
      <c r="B187" s="659"/>
      <c r="C187" s="659"/>
      <c r="D187" s="659"/>
      <c r="E187" s="659"/>
      <c r="F187" s="659"/>
      <c r="G187" s="659"/>
      <c r="H187" s="659"/>
      <c r="I187" s="659"/>
      <c r="J187" s="659"/>
      <c r="K187" s="659"/>
      <c r="L187" s="659"/>
      <c r="M187" s="659"/>
      <c r="N187" s="659"/>
      <c r="O187" s="660"/>
      <c r="P187" s="656" t="s">
        <v>40</v>
      </c>
      <c r="Q187" s="657"/>
      <c r="R187" s="657"/>
      <c r="S187" s="657"/>
      <c r="T187" s="657"/>
      <c r="U187" s="657"/>
      <c r="V187" s="658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59"/>
      <c r="B188" s="659"/>
      <c r="C188" s="659"/>
      <c r="D188" s="659"/>
      <c r="E188" s="659"/>
      <c r="F188" s="659"/>
      <c r="G188" s="659"/>
      <c r="H188" s="659"/>
      <c r="I188" s="659"/>
      <c r="J188" s="659"/>
      <c r="K188" s="659"/>
      <c r="L188" s="659"/>
      <c r="M188" s="659"/>
      <c r="N188" s="659"/>
      <c r="O188" s="660"/>
      <c r="P188" s="656" t="s">
        <v>40</v>
      </c>
      <c r="Q188" s="657"/>
      <c r="R188" s="657"/>
      <c r="S188" s="657"/>
      <c r="T188" s="657"/>
      <c r="U188" s="657"/>
      <c r="V188" s="658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70" t="s">
        <v>86</v>
      </c>
      <c r="B189" s="670"/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665">
        <v>4680115888395</v>
      </c>
      <c r="E190" s="66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665">
        <v>4680115888371</v>
      </c>
      <c r="E191" s="66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665">
        <v>4680115887459</v>
      </c>
      <c r="E192" s="665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7"/>
      <c r="R192" s="667"/>
      <c r="S192" s="667"/>
      <c r="T192" s="668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59"/>
      <c r="B193" s="659"/>
      <c r="C193" s="659"/>
      <c r="D193" s="659"/>
      <c r="E193" s="659"/>
      <c r="F193" s="659"/>
      <c r="G193" s="659"/>
      <c r="H193" s="659"/>
      <c r="I193" s="659"/>
      <c r="J193" s="659"/>
      <c r="K193" s="659"/>
      <c r="L193" s="659"/>
      <c r="M193" s="659"/>
      <c r="N193" s="659"/>
      <c r="O193" s="660"/>
      <c r="P193" s="656" t="s">
        <v>40</v>
      </c>
      <c r="Q193" s="657"/>
      <c r="R193" s="657"/>
      <c r="S193" s="657"/>
      <c r="T193" s="657"/>
      <c r="U193" s="657"/>
      <c r="V193" s="658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59"/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60"/>
      <c r="P194" s="656" t="s">
        <v>40</v>
      </c>
      <c r="Q194" s="657"/>
      <c r="R194" s="657"/>
      <c r="S194" s="657"/>
      <c r="T194" s="657"/>
      <c r="U194" s="657"/>
      <c r="V194" s="658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70" t="s">
        <v>278</v>
      </c>
      <c r="B195" s="670"/>
      <c r="C195" s="670"/>
      <c r="D195" s="670"/>
      <c r="E195" s="670"/>
      <c r="F195" s="670"/>
      <c r="G195" s="670"/>
      <c r="H195" s="670"/>
      <c r="I195" s="670"/>
      <c r="J195" s="670"/>
      <c r="K195" s="670"/>
      <c r="L195" s="670"/>
      <c r="M195" s="670"/>
      <c r="N195" s="670"/>
      <c r="O195" s="670"/>
      <c r="P195" s="670"/>
      <c r="Q195" s="670"/>
      <c r="R195" s="670"/>
      <c r="S195" s="670"/>
      <c r="T195" s="670"/>
      <c r="U195" s="670"/>
      <c r="V195" s="670"/>
      <c r="W195" s="670"/>
      <c r="X195" s="670"/>
      <c r="Y195" s="670"/>
      <c r="Z195" s="670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665">
        <v>4680115889026</v>
      </c>
      <c r="E196" s="66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9"/>
      <c r="B197" s="659"/>
      <c r="C197" s="659"/>
      <c r="D197" s="659"/>
      <c r="E197" s="659"/>
      <c r="F197" s="659"/>
      <c r="G197" s="659"/>
      <c r="H197" s="659"/>
      <c r="I197" s="659"/>
      <c r="J197" s="659"/>
      <c r="K197" s="659"/>
      <c r="L197" s="659"/>
      <c r="M197" s="659"/>
      <c r="N197" s="659"/>
      <c r="O197" s="660"/>
      <c r="P197" s="656" t="s">
        <v>40</v>
      </c>
      <c r="Q197" s="657"/>
      <c r="R197" s="657"/>
      <c r="S197" s="657"/>
      <c r="T197" s="657"/>
      <c r="U197" s="657"/>
      <c r="V197" s="658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59"/>
      <c r="B198" s="659"/>
      <c r="C198" s="659"/>
      <c r="D198" s="659"/>
      <c r="E198" s="659"/>
      <c r="F198" s="659"/>
      <c r="G198" s="659"/>
      <c r="H198" s="659"/>
      <c r="I198" s="659"/>
      <c r="J198" s="659"/>
      <c r="K198" s="659"/>
      <c r="L198" s="659"/>
      <c r="M198" s="659"/>
      <c r="N198" s="659"/>
      <c r="O198" s="660"/>
      <c r="P198" s="656" t="s">
        <v>40</v>
      </c>
      <c r="Q198" s="657"/>
      <c r="R198" s="657"/>
      <c r="S198" s="657"/>
      <c r="T198" s="657"/>
      <c r="U198" s="657"/>
      <c r="V198" s="658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70" t="s">
        <v>342</v>
      </c>
      <c r="B199" s="670"/>
      <c r="C199" s="670"/>
      <c r="D199" s="670"/>
      <c r="E199" s="670"/>
      <c r="F199" s="670"/>
      <c r="G199" s="670"/>
      <c r="H199" s="670"/>
      <c r="I199" s="670"/>
      <c r="J199" s="670"/>
      <c r="K199" s="670"/>
      <c r="L199" s="670"/>
      <c r="M199" s="670"/>
      <c r="N199" s="670"/>
      <c r="O199" s="670"/>
      <c r="P199" s="670"/>
      <c r="Q199" s="670"/>
      <c r="R199" s="670"/>
      <c r="S199" s="670"/>
      <c r="T199" s="670"/>
      <c r="U199" s="670"/>
      <c r="V199" s="670"/>
      <c r="W199" s="670"/>
      <c r="X199" s="670"/>
      <c r="Y199" s="670"/>
      <c r="Z199" s="670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665">
        <v>4680115889033</v>
      </c>
      <c r="E200" s="66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5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7"/>
      <c r="R200" s="667"/>
      <c r="S200" s="667"/>
      <c r="T200" s="66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9"/>
      <c r="B201" s="659"/>
      <c r="C201" s="659"/>
      <c r="D201" s="659"/>
      <c r="E201" s="659"/>
      <c r="F201" s="659"/>
      <c r="G201" s="659"/>
      <c r="H201" s="659"/>
      <c r="I201" s="659"/>
      <c r="J201" s="659"/>
      <c r="K201" s="659"/>
      <c r="L201" s="659"/>
      <c r="M201" s="659"/>
      <c r="N201" s="659"/>
      <c r="O201" s="660"/>
      <c r="P201" s="656" t="s">
        <v>40</v>
      </c>
      <c r="Q201" s="657"/>
      <c r="R201" s="657"/>
      <c r="S201" s="657"/>
      <c r="T201" s="657"/>
      <c r="U201" s="657"/>
      <c r="V201" s="65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9"/>
      <c r="B202" s="659"/>
      <c r="C202" s="659"/>
      <c r="D202" s="659"/>
      <c r="E202" s="659"/>
      <c r="F202" s="659"/>
      <c r="G202" s="659"/>
      <c r="H202" s="659"/>
      <c r="I202" s="659"/>
      <c r="J202" s="659"/>
      <c r="K202" s="659"/>
      <c r="L202" s="659"/>
      <c r="M202" s="659"/>
      <c r="N202" s="659"/>
      <c r="O202" s="660"/>
      <c r="P202" s="656" t="s">
        <v>40</v>
      </c>
      <c r="Q202" s="657"/>
      <c r="R202" s="657"/>
      <c r="S202" s="657"/>
      <c r="T202" s="657"/>
      <c r="U202" s="657"/>
      <c r="V202" s="65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76" t="s">
        <v>346</v>
      </c>
      <c r="B203" s="676"/>
      <c r="C203" s="676"/>
      <c r="D203" s="676"/>
      <c r="E203" s="676"/>
      <c r="F203" s="676"/>
      <c r="G203" s="676"/>
      <c r="H203" s="676"/>
      <c r="I203" s="676"/>
      <c r="J203" s="676"/>
      <c r="K203" s="676"/>
      <c r="L203" s="676"/>
      <c r="M203" s="676"/>
      <c r="N203" s="676"/>
      <c r="O203" s="676"/>
      <c r="P203" s="676"/>
      <c r="Q203" s="676"/>
      <c r="R203" s="676"/>
      <c r="S203" s="676"/>
      <c r="T203" s="676"/>
      <c r="U203" s="676"/>
      <c r="V203" s="676"/>
      <c r="W203" s="676"/>
      <c r="X203" s="676"/>
      <c r="Y203" s="676"/>
      <c r="Z203" s="676"/>
      <c r="AA203" s="54"/>
      <c r="AB203" s="54"/>
      <c r="AC203" s="54"/>
    </row>
    <row r="204" spans="1:68" ht="16.5" hidden="1" customHeight="1" x14ac:dyDescent="0.25">
      <c r="A204" s="669" t="s">
        <v>347</v>
      </c>
      <c r="B204" s="669"/>
      <c r="C204" s="669"/>
      <c r="D204" s="669"/>
      <c r="E204" s="669"/>
      <c r="F204" s="669"/>
      <c r="G204" s="669"/>
      <c r="H204" s="669"/>
      <c r="I204" s="669"/>
      <c r="J204" s="669"/>
      <c r="K204" s="669"/>
      <c r="L204" s="669"/>
      <c r="M204" s="669"/>
      <c r="N204" s="669"/>
      <c r="O204" s="669"/>
      <c r="P204" s="669"/>
      <c r="Q204" s="669"/>
      <c r="R204" s="669"/>
      <c r="S204" s="669"/>
      <c r="T204" s="669"/>
      <c r="U204" s="669"/>
      <c r="V204" s="669"/>
      <c r="W204" s="669"/>
      <c r="X204" s="669"/>
      <c r="Y204" s="669"/>
      <c r="Z204" s="669"/>
      <c r="AA204" s="65"/>
      <c r="AB204" s="65"/>
      <c r="AC204" s="79"/>
    </row>
    <row r="205" spans="1:68" ht="14.25" hidden="1" customHeight="1" x14ac:dyDescent="0.25">
      <c r="A205" s="670" t="s">
        <v>122</v>
      </c>
      <c r="B205" s="670"/>
      <c r="C205" s="670"/>
      <c r="D205" s="670"/>
      <c r="E205" s="670"/>
      <c r="F205" s="670"/>
      <c r="G205" s="670"/>
      <c r="H205" s="670"/>
      <c r="I205" s="670"/>
      <c r="J205" s="670"/>
      <c r="K205" s="670"/>
      <c r="L205" s="670"/>
      <c r="M205" s="670"/>
      <c r="N205" s="670"/>
      <c r="O205" s="670"/>
      <c r="P205" s="670"/>
      <c r="Q205" s="670"/>
      <c r="R205" s="670"/>
      <c r="S205" s="670"/>
      <c r="T205" s="670"/>
      <c r="U205" s="670"/>
      <c r="V205" s="670"/>
      <c r="W205" s="670"/>
      <c r="X205" s="670"/>
      <c r="Y205" s="670"/>
      <c r="Z205" s="670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665">
        <v>4607091383423</v>
      </c>
      <c r="E206" s="66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7"/>
      <c r="R206" s="667"/>
      <c r="S206" s="667"/>
      <c r="T206" s="66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665">
        <v>4680115888760</v>
      </c>
      <c r="E207" s="66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7"/>
      <c r="R207" s="667"/>
      <c r="S207" s="667"/>
      <c r="T207" s="66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665">
        <v>4680115888807</v>
      </c>
      <c r="E208" s="66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7"/>
      <c r="R208" s="667"/>
      <c r="S208" s="667"/>
      <c r="T208" s="66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665">
        <v>4680115888852</v>
      </c>
      <c r="E209" s="66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7"/>
      <c r="R209" s="667"/>
      <c r="S209" s="667"/>
      <c r="T209" s="66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665">
        <v>4680115886957</v>
      </c>
      <c r="E210" s="66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7"/>
      <c r="R210" s="667"/>
      <c r="S210" s="667"/>
      <c r="T210" s="66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665">
        <v>4680115885660</v>
      </c>
      <c r="E211" s="66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665">
        <v>4680115886773</v>
      </c>
      <c r="E212" s="66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59"/>
      <c r="B213" s="659"/>
      <c r="C213" s="659"/>
      <c r="D213" s="659"/>
      <c r="E213" s="659"/>
      <c r="F213" s="659"/>
      <c r="G213" s="659"/>
      <c r="H213" s="659"/>
      <c r="I213" s="659"/>
      <c r="J213" s="659"/>
      <c r="K213" s="659"/>
      <c r="L213" s="659"/>
      <c r="M213" s="659"/>
      <c r="N213" s="659"/>
      <c r="O213" s="660"/>
      <c r="P213" s="656" t="s">
        <v>40</v>
      </c>
      <c r="Q213" s="657"/>
      <c r="R213" s="657"/>
      <c r="S213" s="657"/>
      <c r="T213" s="657"/>
      <c r="U213" s="657"/>
      <c r="V213" s="65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9"/>
      <c r="B214" s="659"/>
      <c r="C214" s="659"/>
      <c r="D214" s="659"/>
      <c r="E214" s="659"/>
      <c r="F214" s="659"/>
      <c r="G214" s="659"/>
      <c r="H214" s="659"/>
      <c r="I214" s="659"/>
      <c r="J214" s="659"/>
      <c r="K214" s="659"/>
      <c r="L214" s="659"/>
      <c r="M214" s="659"/>
      <c r="N214" s="659"/>
      <c r="O214" s="660"/>
      <c r="P214" s="656" t="s">
        <v>40</v>
      </c>
      <c r="Q214" s="657"/>
      <c r="R214" s="657"/>
      <c r="S214" s="657"/>
      <c r="T214" s="657"/>
      <c r="U214" s="657"/>
      <c r="V214" s="65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9" t="s">
        <v>368</v>
      </c>
      <c r="B215" s="669"/>
      <c r="C215" s="669"/>
      <c r="D215" s="669"/>
      <c r="E215" s="669"/>
      <c r="F215" s="669"/>
      <c r="G215" s="669"/>
      <c r="H215" s="669"/>
      <c r="I215" s="669"/>
      <c r="J215" s="669"/>
      <c r="K215" s="669"/>
      <c r="L215" s="669"/>
      <c r="M215" s="669"/>
      <c r="N215" s="669"/>
      <c r="O215" s="669"/>
      <c r="P215" s="669"/>
      <c r="Q215" s="669"/>
      <c r="R215" s="669"/>
      <c r="S215" s="669"/>
      <c r="T215" s="669"/>
      <c r="U215" s="669"/>
      <c r="V215" s="669"/>
      <c r="W215" s="669"/>
      <c r="X215" s="669"/>
      <c r="Y215" s="669"/>
      <c r="Z215" s="669"/>
      <c r="AA215" s="65"/>
      <c r="AB215" s="65"/>
      <c r="AC215" s="79"/>
    </row>
    <row r="216" spans="1:68" ht="14.25" hidden="1" customHeight="1" x14ac:dyDescent="0.25">
      <c r="A216" s="670" t="s">
        <v>159</v>
      </c>
      <c r="B216" s="670"/>
      <c r="C216" s="670"/>
      <c r="D216" s="670"/>
      <c r="E216" s="670"/>
      <c r="F216" s="670"/>
      <c r="G216" s="670"/>
      <c r="H216" s="670"/>
      <c r="I216" s="670"/>
      <c r="J216" s="670"/>
      <c r="K216" s="670"/>
      <c r="L216" s="670"/>
      <c r="M216" s="670"/>
      <c r="N216" s="670"/>
      <c r="O216" s="670"/>
      <c r="P216" s="670"/>
      <c r="Q216" s="670"/>
      <c r="R216" s="670"/>
      <c r="S216" s="670"/>
      <c r="T216" s="670"/>
      <c r="U216" s="670"/>
      <c r="V216" s="670"/>
      <c r="W216" s="670"/>
      <c r="X216" s="670"/>
      <c r="Y216" s="670"/>
      <c r="Z216" s="670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665">
        <v>4680115886223</v>
      </c>
      <c r="E217" s="66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9"/>
      <c r="B218" s="659"/>
      <c r="C218" s="659"/>
      <c r="D218" s="659"/>
      <c r="E218" s="659"/>
      <c r="F218" s="659"/>
      <c r="G218" s="659"/>
      <c r="H218" s="659"/>
      <c r="I218" s="659"/>
      <c r="J218" s="659"/>
      <c r="K218" s="659"/>
      <c r="L218" s="659"/>
      <c r="M218" s="659"/>
      <c r="N218" s="659"/>
      <c r="O218" s="660"/>
      <c r="P218" s="656" t="s">
        <v>40</v>
      </c>
      <c r="Q218" s="657"/>
      <c r="R218" s="657"/>
      <c r="S218" s="657"/>
      <c r="T218" s="657"/>
      <c r="U218" s="657"/>
      <c r="V218" s="65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9"/>
      <c r="B219" s="659"/>
      <c r="C219" s="659"/>
      <c r="D219" s="659"/>
      <c r="E219" s="659"/>
      <c r="F219" s="659"/>
      <c r="G219" s="659"/>
      <c r="H219" s="659"/>
      <c r="I219" s="659"/>
      <c r="J219" s="659"/>
      <c r="K219" s="659"/>
      <c r="L219" s="659"/>
      <c r="M219" s="659"/>
      <c r="N219" s="659"/>
      <c r="O219" s="660"/>
      <c r="P219" s="656" t="s">
        <v>40</v>
      </c>
      <c r="Q219" s="657"/>
      <c r="R219" s="657"/>
      <c r="S219" s="657"/>
      <c r="T219" s="657"/>
      <c r="U219" s="657"/>
      <c r="V219" s="65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70" t="s">
        <v>77</v>
      </c>
      <c r="B220" s="670"/>
      <c r="C220" s="670"/>
      <c r="D220" s="670"/>
      <c r="E220" s="670"/>
      <c r="F220" s="670"/>
      <c r="G220" s="670"/>
      <c r="H220" s="670"/>
      <c r="I220" s="670"/>
      <c r="J220" s="670"/>
      <c r="K220" s="670"/>
      <c r="L220" s="670"/>
      <c r="M220" s="670"/>
      <c r="N220" s="670"/>
      <c r="O220" s="670"/>
      <c r="P220" s="670"/>
      <c r="Q220" s="670"/>
      <c r="R220" s="670"/>
      <c r="S220" s="670"/>
      <c r="T220" s="670"/>
      <c r="U220" s="670"/>
      <c r="V220" s="670"/>
      <c r="W220" s="670"/>
      <c r="X220" s="670"/>
      <c r="Y220" s="670"/>
      <c r="Z220" s="670"/>
      <c r="AA220" s="66"/>
      <c r="AB220" s="66"/>
      <c r="AC220" s="80"/>
    </row>
    <row r="221" spans="1:68" ht="27" hidden="1" customHeight="1" x14ac:dyDescent="0.25">
      <c r="A221" s="63" t="s">
        <v>372</v>
      </c>
      <c r="B221" s="63" t="s">
        <v>373</v>
      </c>
      <c r="C221" s="36">
        <v>4301031191</v>
      </c>
      <c r="D221" s="665">
        <v>4680115880993</v>
      </c>
      <c r="E221" s="66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7"/>
      <c r="R221" s="667"/>
      <c r="S221" s="667"/>
      <c r="T221" s="66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665">
        <v>4680115881761</v>
      </c>
      <c r="E222" s="66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378</v>
      </c>
      <c r="B223" s="63" t="s">
        <v>379</v>
      </c>
      <c r="C223" s="36">
        <v>4301031201</v>
      </c>
      <c r="D223" s="665">
        <v>4680115881563</v>
      </c>
      <c r="E223" s="66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4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7"/>
      <c r="R223" s="667"/>
      <c r="S223" s="667"/>
      <c r="T223" s="66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665">
        <v>4680115887565</v>
      </c>
      <c r="E224" s="66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4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7"/>
      <c r="R224" s="667"/>
      <c r="S224" s="667"/>
      <c r="T224" s="66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665">
        <v>4680115880986</v>
      </c>
      <c r="E225" s="66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7"/>
      <c r="R225" s="667"/>
      <c r="S225" s="667"/>
      <c r="T225" s="66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665">
        <v>4680115887213</v>
      </c>
      <c r="E226" s="66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665">
        <v>4680115881785</v>
      </c>
      <c r="E227" s="66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665">
        <v>4680115888432</v>
      </c>
      <c r="E228" s="66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665">
        <v>4680115888104</v>
      </c>
      <c r="E229" s="66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665">
        <v>4680115886537</v>
      </c>
      <c r="E230" s="66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665">
        <v>4680115887596</v>
      </c>
      <c r="E231" s="66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665">
        <v>4680115881679</v>
      </c>
      <c r="E232" s="66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37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665">
        <v>4680115880191</v>
      </c>
      <c r="E233" s="66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665">
        <v>4680115880191</v>
      </c>
      <c r="E234" s="665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665">
        <v>4680115883963</v>
      </c>
      <c r="E235" s="665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hidden="1" x14ac:dyDescent="0.2">
      <c r="A236" s="659"/>
      <c r="B236" s="659"/>
      <c r="C236" s="659"/>
      <c r="D236" s="659"/>
      <c r="E236" s="659"/>
      <c r="F236" s="659"/>
      <c r="G236" s="659"/>
      <c r="H236" s="659"/>
      <c r="I236" s="659"/>
      <c r="J236" s="659"/>
      <c r="K236" s="659"/>
      <c r="L236" s="659"/>
      <c r="M236" s="659"/>
      <c r="N236" s="659"/>
      <c r="O236" s="660"/>
      <c r="P236" s="656" t="s">
        <v>40</v>
      </c>
      <c r="Q236" s="657"/>
      <c r="R236" s="657"/>
      <c r="S236" s="657"/>
      <c r="T236" s="657"/>
      <c r="U236" s="657"/>
      <c r="V236" s="658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hidden="1" x14ac:dyDescent="0.2">
      <c r="A237" s="659"/>
      <c r="B237" s="659"/>
      <c r="C237" s="659"/>
      <c r="D237" s="659"/>
      <c r="E237" s="659"/>
      <c r="F237" s="659"/>
      <c r="G237" s="659"/>
      <c r="H237" s="659"/>
      <c r="I237" s="659"/>
      <c r="J237" s="659"/>
      <c r="K237" s="659"/>
      <c r="L237" s="659"/>
      <c r="M237" s="659"/>
      <c r="N237" s="659"/>
      <c r="O237" s="660"/>
      <c r="P237" s="656" t="s">
        <v>40</v>
      </c>
      <c r="Q237" s="657"/>
      <c r="R237" s="657"/>
      <c r="S237" s="657"/>
      <c r="T237" s="657"/>
      <c r="U237" s="657"/>
      <c r="V237" s="658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hidden="1" customHeight="1" x14ac:dyDescent="0.25">
      <c r="A238" s="670" t="s">
        <v>86</v>
      </c>
      <c r="B238" s="670"/>
      <c r="C238" s="670"/>
      <c r="D238" s="670"/>
      <c r="E238" s="670"/>
      <c r="F238" s="670"/>
      <c r="G238" s="670"/>
      <c r="H238" s="670"/>
      <c r="I238" s="670"/>
      <c r="J238" s="670"/>
      <c r="K238" s="670"/>
      <c r="L238" s="670"/>
      <c r="M238" s="670"/>
      <c r="N238" s="670"/>
      <c r="O238" s="670"/>
      <c r="P238" s="670"/>
      <c r="Q238" s="670"/>
      <c r="R238" s="670"/>
      <c r="S238" s="670"/>
      <c r="T238" s="670"/>
      <c r="U238" s="670"/>
      <c r="V238" s="670"/>
      <c r="W238" s="670"/>
      <c r="X238" s="670"/>
      <c r="Y238" s="670"/>
      <c r="Z238" s="670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665">
        <v>4680115888692</v>
      </c>
      <c r="E239" s="66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665">
        <v>4680115888692</v>
      </c>
      <c r="E240" s="665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7"/>
      <c r="R240" s="667"/>
      <c r="S240" s="667"/>
      <c r="T240" s="668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665">
        <v>4680115888722</v>
      </c>
      <c r="E241" s="665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2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7"/>
      <c r="R241" s="667"/>
      <c r="S241" s="667"/>
      <c r="T241" s="668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665">
        <v>4680115888722</v>
      </c>
      <c r="E242" s="665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2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7"/>
      <c r="R242" s="667"/>
      <c r="S242" s="667"/>
      <c r="T242" s="668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665">
        <v>4680115888951</v>
      </c>
      <c r="E243" s="665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665">
        <v>4680115888951</v>
      </c>
      <c r="E244" s="665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665">
        <v>4680115888975</v>
      </c>
      <c r="E245" s="665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665">
        <v>4680115888982</v>
      </c>
      <c r="E246" s="665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2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659"/>
      <c r="B248" s="659"/>
      <c r="C248" s="659"/>
      <c r="D248" s="659"/>
      <c r="E248" s="659"/>
      <c r="F248" s="659"/>
      <c r="G248" s="659"/>
      <c r="H248" s="659"/>
      <c r="I248" s="659"/>
      <c r="J248" s="659"/>
      <c r="K248" s="659"/>
      <c r="L248" s="659"/>
      <c r="M248" s="659"/>
      <c r="N248" s="659"/>
      <c r="O248" s="660"/>
      <c r="P248" s="656" t="s">
        <v>40</v>
      </c>
      <c r="Q248" s="657"/>
      <c r="R248" s="657"/>
      <c r="S248" s="657"/>
      <c r="T248" s="657"/>
      <c r="U248" s="657"/>
      <c r="V248" s="658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59"/>
      <c r="B249" s="659"/>
      <c r="C249" s="659"/>
      <c r="D249" s="659"/>
      <c r="E249" s="659"/>
      <c r="F249" s="659"/>
      <c r="G249" s="659"/>
      <c r="H249" s="659"/>
      <c r="I249" s="659"/>
      <c r="J249" s="659"/>
      <c r="K249" s="659"/>
      <c r="L249" s="659"/>
      <c r="M249" s="659"/>
      <c r="N249" s="659"/>
      <c r="O249" s="660"/>
      <c r="P249" s="656" t="s">
        <v>40</v>
      </c>
      <c r="Q249" s="657"/>
      <c r="R249" s="657"/>
      <c r="S249" s="657"/>
      <c r="T249" s="657"/>
      <c r="U249" s="657"/>
      <c r="V249" s="658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70" t="s">
        <v>278</v>
      </c>
      <c r="B250" s="670"/>
      <c r="C250" s="670"/>
      <c r="D250" s="670"/>
      <c r="E250" s="670"/>
      <c r="F250" s="670"/>
      <c r="G250" s="670"/>
      <c r="H250" s="670"/>
      <c r="I250" s="670"/>
      <c r="J250" s="670"/>
      <c r="K250" s="670"/>
      <c r="L250" s="670"/>
      <c r="M250" s="670"/>
      <c r="N250" s="670"/>
      <c r="O250" s="670"/>
      <c r="P250" s="670"/>
      <c r="Q250" s="670"/>
      <c r="R250" s="670"/>
      <c r="S250" s="670"/>
      <c r="T250" s="670"/>
      <c r="U250" s="670"/>
      <c r="V250" s="670"/>
      <c r="W250" s="670"/>
      <c r="X250" s="670"/>
      <c r="Y250" s="670"/>
      <c r="Z250" s="670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2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2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59"/>
      <c r="B254" s="659"/>
      <c r="C254" s="659"/>
      <c r="D254" s="659"/>
      <c r="E254" s="659"/>
      <c r="F254" s="659"/>
      <c r="G254" s="659"/>
      <c r="H254" s="659"/>
      <c r="I254" s="659"/>
      <c r="J254" s="659"/>
      <c r="K254" s="659"/>
      <c r="L254" s="659"/>
      <c r="M254" s="659"/>
      <c r="N254" s="659"/>
      <c r="O254" s="660"/>
      <c r="P254" s="656" t="s">
        <v>40</v>
      </c>
      <c r="Q254" s="657"/>
      <c r="R254" s="657"/>
      <c r="S254" s="657"/>
      <c r="T254" s="657"/>
      <c r="U254" s="657"/>
      <c r="V254" s="658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59"/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60"/>
      <c r="P255" s="656" t="s">
        <v>40</v>
      </c>
      <c r="Q255" s="657"/>
      <c r="R255" s="657"/>
      <c r="S255" s="657"/>
      <c r="T255" s="657"/>
      <c r="U255" s="657"/>
      <c r="V255" s="658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70" t="s">
        <v>439</v>
      </c>
      <c r="B256" s="670"/>
      <c r="C256" s="670"/>
      <c r="D256" s="670"/>
      <c r="E256" s="670"/>
      <c r="F256" s="670"/>
      <c r="G256" s="670"/>
      <c r="H256" s="670"/>
      <c r="I256" s="670"/>
      <c r="J256" s="670"/>
      <c r="K256" s="670"/>
      <c r="L256" s="670"/>
      <c r="M256" s="670"/>
      <c r="N256" s="670"/>
      <c r="O256" s="670"/>
      <c r="P256" s="670"/>
      <c r="Q256" s="670"/>
      <c r="R256" s="670"/>
      <c r="S256" s="670"/>
      <c r="T256" s="670"/>
      <c r="U256" s="670"/>
      <c r="V256" s="670"/>
      <c r="W256" s="670"/>
      <c r="X256" s="670"/>
      <c r="Y256" s="670"/>
      <c r="Z256" s="670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59"/>
      <c r="B258" s="659"/>
      <c r="C258" s="659"/>
      <c r="D258" s="659"/>
      <c r="E258" s="659"/>
      <c r="F258" s="659"/>
      <c r="G258" s="659"/>
      <c r="H258" s="659"/>
      <c r="I258" s="659"/>
      <c r="J258" s="659"/>
      <c r="K258" s="659"/>
      <c r="L258" s="659"/>
      <c r="M258" s="659"/>
      <c r="N258" s="659"/>
      <c r="O258" s="660"/>
      <c r="P258" s="656" t="s">
        <v>40</v>
      </c>
      <c r="Q258" s="657"/>
      <c r="R258" s="657"/>
      <c r="S258" s="657"/>
      <c r="T258" s="657"/>
      <c r="U258" s="657"/>
      <c r="V258" s="658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59"/>
      <c r="B259" s="659"/>
      <c r="C259" s="659"/>
      <c r="D259" s="659"/>
      <c r="E259" s="659"/>
      <c r="F259" s="659"/>
      <c r="G259" s="659"/>
      <c r="H259" s="659"/>
      <c r="I259" s="659"/>
      <c r="J259" s="659"/>
      <c r="K259" s="659"/>
      <c r="L259" s="659"/>
      <c r="M259" s="659"/>
      <c r="N259" s="659"/>
      <c r="O259" s="660"/>
      <c r="P259" s="656" t="s">
        <v>40</v>
      </c>
      <c r="Q259" s="657"/>
      <c r="R259" s="657"/>
      <c r="S259" s="657"/>
      <c r="T259" s="657"/>
      <c r="U259" s="657"/>
      <c r="V259" s="658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9" t="s">
        <v>442</v>
      </c>
      <c r="B260" s="669"/>
      <c r="C260" s="669"/>
      <c r="D260" s="669"/>
      <c r="E260" s="669"/>
      <c r="F260" s="669"/>
      <c r="G260" s="669"/>
      <c r="H260" s="669"/>
      <c r="I260" s="669"/>
      <c r="J260" s="669"/>
      <c r="K260" s="669"/>
      <c r="L260" s="669"/>
      <c r="M260" s="669"/>
      <c r="N260" s="669"/>
      <c r="O260" s="669"/>
      <c r="P260" s="669"/>
      <c r="Q260" s="669"/>
      <c r="R260" s="669"/>
      <c r="S260" s="669"/>
      <c r="T260" s="669"/>
      <c r="U260" s="669"/>
      <c r="V260" s="669"/>
      <c r="W260" s="669"/>
      <c r="X260" s="669"/>
      <c r="Y260" s="669"/>
      <c r="Z260" s="669"/>
      <c r="AA260" s="65"/>
      <c r="AB260" s="65"/>
      <c r="AC260" s="79"/>
    </row>
    <row r="261" spans="1:68" ht="14.25" hidden="1" customHeight="1" x14ac:dyDescent="0.25">
      <c r="A261" s="670" t="s">
        <v>122</v>
      </c>
      <c r="B261" s="670"/>
      <c r="C261" s="670"/>
      <c r="D261" s="670"/>
      <c r="E261" s="670"/>
      <c r="F261" s="670"/>
      <c r="G261" s="670"/>
      <c r="H261" s="670"/>
      <c r="I261" s="670"/>
      <c r="J261" s="670"/>
      <c r="K261" s="670"/>
      <c r="L261" s="670"/>
      <c r="M261" s="670"/>
      <c r="N261" s="670"/>
      <c r="O261" s="670"/>
      <c r="P261" s="670"/>
      <c r="Q261" s="670"/>
      <c r="R261" s="670"/>
      <c r="S261" s="670"/>
      <c r="T261" s="670"/>
      <c r="U261" s="670"/>
      <c r="V261" s="670"/>
      <c r="W261" s="670"/>
      <c r="X261" s="670"/>
      <c r="Y261" s="670"/>
      <c r="Z261" s="670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9"/>
      <c r="B264" s="659"/>
      <c r="C264" s="659"/>
      <c r="D264" s="659"/>
      <c r="E264" s="659"/>
      <c r="F264" s="659"/>
      <c r="G264" s="659"/>
      <c r="H264" s="659"/>
      <c r="I264" s="659"/>
      <c r="J264" s="659"/>
      <c r="K264" s="659"/>
      <c r="L264" s="659"/>
      <c r="M264" s="659"/>
      <c r="N264" s="659"/>
      <c r="O264" s="660"/>
      <c r="P264" s="656" t="s">
        <v>40</v>
      </c>
      <c r="Q264" s="657"/>
      <c r="R264" s="657"/>
      <c r="S264" s="657"/>
      <c r="T264" s="657"/>
      <c r="U264" s="657"/>
      <c r="V264" s="65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9"/>
      <c r="B265" s="659"/>
      <c r="C265" s="659"/>
      <c r="D265" s="659"/>
      <c r="E265" s="659"/>
      <c r="F265" s="659"/>
      <c r="G265" s="659"/>
      <c r="H265" s="659"/>
      <c r="I265" s="659"/>
      <c r="J265" s="659"/>
      <c r="K265" s="659"/>
      <c r="L265" s="659"/>
      <c r="M265" s="659"/>
      <c r="N265" s="659"/>
      <c r="O265" s="660"/>
      <c r="P265" s="656" t="s">
        <v>40</v>
      </c>
      <c r="Q265" s="657"/>
      <c r="R265" s="657"/>
      <c r="S265" s="657"/>
      <c r="T265" s="657"/>
      <c r="U265" s="657"/>
      <c r="V265" s="65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70" t="s">
        <v>159</v>
      </c>
      <c r="B266" s="670"/>
      <c r="C266" s="670"/>
      <c r="D266" s="670"/>
      <c r="E266" s="670"/>
      <c r="F266" s="670"/>
      <c r="G266" s="670"/>
      <c r="H266" s="670"/>
      <c r="I266" s="670"/>
      <c r="J266" s="670"/>
      <c r="K266" s="670"/>
      <c r="L266" s="670"/>
      <c r="M266" s="670"/>
      <c r="N266" s="670"/>
      <c r="O266" s="670"/>
      <c r="P266" s="670"/>
      <c r="Q266" s="670"/>
      <c r="R266" s="670"/>
      <c r="S266" s="670"/>
      <c r="T266" s="670"/>
      <c r="U266" s="670"/>
      <c r="V266" s="670"/>
      <c r="W266" s="670"/>
      <c r="X266" s="670"/>
      <c r="Y266" s="670"/>
      <c r="Z266" s="670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59"/>
      <c r="B269" s="659"/>
      <c r="C269" s="659"/>
      <c r="D269" s="659"/>
      <c r="E269" s="659"/>
      <c r="F269" s="659"/>
      <c r="G269" s="659"/>
      <c r="H269" s="659"/>
      <c r="I269" s="659"/>
      <c r="J269" s="659"/>
      <c r="K269" s="659"/>
      <c r="L269" s="659"/>
      <c r="M269" s="659"/>
      <c r="N269" s="659"/>
      <c r="O269" s="660"/>
      <c r="P269" s="656" t="s">
        <v>40</v>
      </c>
      <c r="Q269" s="657"/>
      <c r="R269" s="657"/>
      <c r="S269" s="657"/>
      <c r="T269" s="657"/>
      <c r="U269" s="657"/>
      <c r="V269" s="658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59"/>
      <c r="B270" s="659"/>
      <c r="C270" s="659"/>
      <c r="D270" s="659"/>
      <c r="E270" s="659"/>
      <c r="F270" s="659"/>
      <c r="G270" s="659"/>
      <c r="H270" s="659"/>
      <c r="I270" s="659"/>
      <c r="J270" s="659"/>
      <c r="K270" s="659"/>
      <c r="L270" s="659"/>
      <c r="M270" s="659"/>
      <c r="N270" s="659"/>
      <c r="O270" s="660"/>
      <c r="P270" s="656" t="s">
        <v>40</v>
      </c>
      <c r="Q270" s="657"/>
      <c r="R270" s="657"/>
      <c r="S270" s="657"/>
      <c r="T270" s="657"/>
      <c r="U270" s="657"/>
      <c r="V270" s="658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70" t="s">
        <v>77</v>
      </c>
      <c r="B271" s="670"/>
      <c r="C271" s="670"/>
      <c r="D271" s="670"/>
      <c r="E271" s="670"/>
      <c r="F271" s="670"/>
      <c r="G271" s="670"/>
      <c r="H271" s="670"/>
      <c r="I271" s="670"/>
      <c r="J271" s="670"/>
      <c r="K271" s="670"/>
      <c r="L271" s="670"/>
      <c r="M271" s="670"/>
      <c r="N271" s="670"/>
      <c r="O271" s="670"/>
      <c r="P271" s="670"/>
      <c r="Q271" s="670"/>
      <c r="R271" s="670"/>
      <c r="S271" s="670"/>
      <c r="T271" s="670"/>
      <c r="U271" s="670"/>
      <c r="V271" s="670"/>
      <c r="W271" s="670"/>
      <c r="X271" s="670"/>
      <c r="Y271" s="670"/>
      <c r="Z271" s="670"/>
      <c r="AA271" s="66"/>
      <c r="AB271" s="66"/>
      <c r="AC271" s="80"/>
    </row>
    <row r="272" spans="1:68" ht="27" hidden="1" customHeight="1" x14ac:dyDescent="0.25">
      <c r="A272" s="63" t="s">
        <v>453</v>
      </c>
      <c r="B272" s="63" t="s">
        <v>454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459</v>
      </c>
      <c r="B274" s="63" t="s">
        <v>460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462</v>
      </c>
      <c r="B275" s="63" t="s">
        <v>463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465</v>
      </c>
      <c r="B276" s="63" t="s">
        <v>466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59"/>
      <c r="B280" s="659"/>
      <c r="C280" s="659"/>
      <c r="D280" s="659"/>
      <c r="E280" s="659"/>
      <c r="F280" s="659"/>
      <c r="G280" s="659"/>
      <c r="H280" s="659"/>
      <c r="I280" s="659"/>
      <c r="J280" s="659"/>
      <c r="K280" s="659"/>
      <c r="L280" s="659"/>
      <c r="M280" s="659"/>
      <c r="N280" s="659"/>
      <c r="O280" s="660"/>
      <c r="P280" s="656" t="s">
        <v>40</v>
      </c>
      <c r="Q280" s="657"/>
      <c r="R280" s="657"/>
      <c r="S280" s="657"/>
      <c r="T280" s="657"/>
      <c r="U280" s="657"/>
      <c r="V280" s="658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59"/>
      <c r="B281" s="659"/>
      <c r="C281" s="659"/>
      <c r="D281" s="659"/>
      <c r="E281" s="659"/>
      <c r="F281" s="659"/>
      <c r="G281" s="659"/>
      <c r="H281" s="659"/>
      <c r="I281" s="659"/>
      <c r="J281" s="659"/>
      <c r="K281" s="659"/>
      <c r="L281" s="659"/>
      <c r="M281" s="659"/>
      <c r="N281" s="659"/>
      <c r="O281" s="660"/>
      <c r="P281" s="656" t="s">
        <v>40</v>
      </c>
      <c r="Q281" s="657"/>
      <c r="R281" s="657"/>
      <c r="S281" s="657"/>
      <c r="T281" s="657"/>
      <c r="U281" s="657"/>
      <c r="V281" s="658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70" t="s">
        <v>86</v>
      </c>
      <c r="B282" s="670"/>
      <c r="C282" s="670"/>
      <c r="D282" s="670"/>
      <c r="E282" s="670"/>
      <c r="F282" s="670"/>
      <c r="G282" s="670"/>
      <c r="H282" s="670"/>
      <c r="I282" s="670"/>
      <c r="J282" s="670"/>
      <c r="K282" s="670"/>
      <c r="L282" s="670"/>
      <c r="M282" s="670"/>
      <c r="N282" s="670"/>
      <c r="O282" s="670"/>
      <c r="P282" s="670"/>
      <c r="Q282" s="670"/>
      <c r="R282" s="670"/>
      <c r="S282" s="670"/>
      <c r="T282" s="670"/>
      <c r="U282" s="670"/>
      <c r="V282" s="670"/>
      <c r="W282" s="670"/>
      <c r="X282" s="670"/>
      <c r="Y282" s="670"/>
      <c r="Z282" s="670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482</v>
      </c>
      <c r="B286" s="63" t="s">
        <v>483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0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489</v>
      </c>
      <c r="B289" s="63" t="s">
        <v>490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493</v>
      </c>
      <c r="B291" s="63" t="s">
        <v>494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59"/>
      <c r="B295" s="659"/>
      <c r="C295" s="659"/>
      <c r="D295" s="659"/>
      <c r="E295" s="659"/>
      <c r="F295" s="659"/>
      <c r="G295" s="659"/>
      <c r="H295" s="659"/>
      <c r="I295" s="659"/>
      <c r="J295" s="659"/>
      <c r="K295" s="659"/>
      <c r="L295" s="659"/>
      <c r="M295" s="659"/>
      <c r="N295" s="659"/>
      <c r="O295" s="660"/>
      <c r="P295" s="656" t="s">
        <v>40</v>
      </c>
      <c r="Q295" s="657"/>
      <c r="R295" s="657"/>
      <c r="S295" s="657"/>
      <c r="T295" s="657"/>
      <c r="U295" s="657"/>
      <c r="V295" s="658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59"/>
      <c r="B296" s="659"/>
      <c r="C296" s="659"/>
      <c r="D296" s="659"/>
      <c r="E296" s="659"/>
      <c r="F296" s="659"/>
      <c r="G296" s="659"/>
      <c r="H296" s="659"/>
      <c r="I296" s="659"/>
      <c r="J296" s="659"/>
      <c r="K296" s="659"/>
      <c r="L296" s="659"/>
      <c r="M296" s="659"/>
      <c r="N296" s="659"/>
      <c r="O296" s="660"/>
      <c r="P296" s="656" t="s">
        <v>40</v>
      </c>
      <c r="Q296" s="657"/>
      <c r="R296" s="657"/>
      <c r="S296" s="657"/>
      <c r="T296" s="657"/>
      <c r="U296" s="657"/>
      <c r="V296" s="658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70" t="s">
        <v>179</v>
      </c>
      <c r="B297" s="670"/>
      <c r="C297" s="670"/>
      <c r="D297" s="670"/>
      <c r="E297" s="670"/>
      <c r="F297" s="670"/>
      <c r="G297" s="670"/>
      <c r="H297" s="670"/>
      <c r="I297" s="670"/>
      <c r="J297" s="670"/>
      <c r="K297" s="670"/>
      <c r="L297" s="670"/>
      <c r="M297" s="670"/>
      <c r="N297" s="670"/>
      <c r="O297" s="670"/>
      <c r="P297" s="670"/>
      <c r="Q297" s="670"/>
      <c r="R297" s="670"/>
      <c r="S297" s="670"/>
      <c r="T297" s="670"/>
      <c r="U297" s="670"/>
      <c r="V297" s="670"/>
      <c r="W297" s="670"/>
      <c r="X297" s="670"/>
      <c r="Y297" s="670"/>
      <c r="Z297" s="670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59"/>
      <c r="B300" s="659"/>
      <c r="C300" s="659"/>
      <c r="D300" s="659"/>
      <c r="E300" s="659"/>
      <c r="F300" s="659"/>
      <c r="G300" s="659"/>
      <c r="H300" s="659"/>
      <c r="I300" s="659"/>
      <c r="J300" s="659"/>
      <c r="K300" s="659"/>
      <c r="L300" s="659"/>
      <c r="M300" s="659"/>
      <c r="N300" s="659"/>
      <c r="O300" s="660"/>
      <c r="P300" s="656" t="s">
        <v>40</v>
      </c>
      <c r="Q300" s="657"/>
      <c r="R300" s="657"/>
      <c r="S300" s="657"/>
      <c r="T300" s="657"/>
      <c r="U300" s="657"/>
      <c r="V300" s="658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59"/>
      <c r="B301" s="659"/>
      <c r="C301" s="659"/>
      <c r="D301" s="659"/>
      <c r="E301" s="659"/>
      <c r="F301" s="659"/>
      <c r="G301" s="659"/>
      <c r="H301" s="659"/>
      <c r="I301" s="659"/>
      <c r="J301" s="659"/>
      <c r="K301" s="659"/>
      <c r="L301" s="659"/>
      <c r="M301" s="659"/>
      <c r="N301" s="659"/>
      <c r="O301" s="660"/>
      <c r="P301" s="656" t="s">
        <v>40</v>
      </c>
      <c r="Q301" s="657"/>
      <c r="R301" s="657"/>
      <c r="S301" s="657"/>
      <c r="T301" s="657"/>
      <c r="U301" s="657"/>
      <c r="V301" s="658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9" t="s">
        <v>510</v>
      </c>
      <c r="B302" s="669"/>
      <c r="C302" s="669"/>
      <c r="D302" s="669"/>
      <c r="E302" s="669"/>
      <c r="F302" s="669"/>
      <c r="G302" s="669"/>
      <c r="H302" s="669"/>
      <c r="I302" s="669"/>
      <c r="J302" s="669"/>
      <c r="K302" s="669"/>
      <c r="L302" s="669"/>
      <c r="M302" s="669"/>
      <c r="N302" s="669"/>
      <c r="O302" s="669"/>
      <c r="P302" s="669"/>
      <c r="Q302" s="669"/>
      <c r="R302" s="669"/>
      <c r="S302" s="669"/>
      <c r="T302" s="669"/>
      <c r="U302" s="669"/>
      <c r="V302" s="669"/>
      <c r="W302" s="669"/>
      <c r="X302" s="669"/>
      <c r="Y302" s="669"/>
      <c r="Z302" s="669"/>
      <c r="AA302" s="65"/>
      <c r="AB302" s="65"/>
      <c r="AC302" s="79"/>
    </row>
    <row r="303" spans="1:68" ht="14.25" hidden="1" customHeight="1" x14ac:dyDescent="0.25">
      <c r="A303" s="670" t="s">
        <v>122</v>
      </c>
      <c r="B303" s="670"/>
      <c r="C303" s="670"/>
      <c r="D303" s="670"/>
      <c r="E303" s="670"/>
      <c r="F303" s="670"/>
      <c r="G303" s="670"/>
      <c r="H303" s="670"/>
      <c r="I303" s="670"/>
      <c r="J303" s="670"/>
      <c r="K303" s="670"/>
      <c r="L303" s="670"/>
      <c r="M303" s="670"/>
      <c r="N303" s="670"/>
      <c r="O303" s="670"/>
      <c r="P303" s="670"/>
      <c r="Q303" s="670"/>
      <c r="R303" s="670"/>
      <c r="S303" s="670"/>
      <c r="T303" s="670"/>
      <c r="U303" s="670"/>
      <c r="V303" s="670"/>
      <c r="W303" s="670"/>
      <c r="X303" s="670"/>
      <c r="Y303" s="670"/>
      <c r="Z303" s="670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59"/>
      <c r="B311" s="659"/>
      <c r="C311" s="659"/>
      <c r="D311" s="659"/>
      <c r="E311" s="659"/>
      <c r="F311" s="659"/>
      <c r="G311" s="659"/>
      <c r="H311" s="659"/>
      <c r="I311" s="659"/>
      <c r="J311" s="659"/>
      <c r="K311" s="659"/>
      <c r="L311" s="659"/>
      <c r="M311" s="659"/>
      <c r="N311" s="659"/>
      <c r="O311" s="660"/>
      <c r="P311" s="656" t="s">
        <v>40</v>
      </c>
      <c r="Q311" s="657"/>
      <c r="R311" s="657"/>
      <c r="S311" s="657"/>
      <c r="T311" s="657"/>
      <c r="U311" s="657"/>
      <c r="V311" s="658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59"/>
      <c r="B312" s="659"/>
      <c r="C312" s="659"/>
      <c r="D312" s="659"/>
      <c r="E312" s="659"/>
      <c r="F312" s="659"/>
      <c r="G312" s="659"/>
      <c r="H312" s="659"/>
      <c r="I312" s="659"/>
      <c r="J312" s="659"/>
      <c r="K312" s="659"/>
      <c r="L312" s="659"/>
      <c r="M312" s="659"/>
      <c r="N312" s="659"/>
      <c r="O312" s="660"/>
      <c r="P312" s="656" t="s">
        <v>40</v>
      </c>
      <c r="Q312" s="657"/>
      <c r="R312" s="657"/>
      <c r="S312" s="657"/>
      <c r="T312" s="657"/>
      <c r="U312" s="657"/>
      <c r="V312" s="658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70" t="s">
        <v>159</v>
      </c>
      <c r="B313" s="670"/>
      <c r="C313" s="670"/>
      <c r="D313" s="670"/>
      <c r="E313" s="670"/>
      <c r="F313" s="670"/>
      <c r="G313" s="670"/>
      <c r="H313" s="670"/>
      <c r="I313" s="670"/>
      <c r="J313" s="670"/>
      <c r="K313" s="670"/>
      <c r="L313" s="670"/>
      <c r="M313" s="670"/>
      <c r="N313" s="670"/>
      <c r="O313" s="670"/>
      <c r="P313" s="670"/>
      <c r="Q313" s="670"/>
      <c r="R313" s="670"/>
      <c r="S313" s="670"/>
      <c r="T313" s="670"/>
      <c r="U313" s="670"/>
      <c r="V313" s="670"/>
      <c r="W313" s="670"/>
      <c r="X313" s="670"/>
      <c r="Y313" s="670"/>
      <c r="Z313" s="670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59"/>
      <c r="B315" s="659"/>
      <c r="C315" s="659"/>
      <c r="D315" s="659"/>
      <c r="E315" s="659"/>
      <c r="F315" s="659"/>
      <c r="G315" s="659"/>
      <c r="H315" s="659"/>
      <c r="I315" s="659"/>
      <c r="J315" s="659"/>
      <c r="K315" s="659"/>
      <c r="L315" s="659"/>
      <c r="M315" s="659"/>
      <c r="N315" s="659"/>
      <c r="O315" s="660"/>
      <c r="P315" s="656" t="s">
        <v>40</v>
      </c>
      <c r="Q315" s="657"/>
      <c r="R315" s="657"/>
      <c r="S315" s="657"/>
      <c r="T315" s="657"/>
      <c r="U315" s="657"/>
      <c r="V315" s="658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59"/>
      <c r="B316" s="659"/>
      <c r="C316" s="659"/>
      <c r="D316" s="659"/>
      <c r="E316" s="659"/>
      <c r="F316" s="659"/>
      <c r="G316" s="659"/>
      <c r="H316" s="659"/>
      <c r="I316" s="659"/>
      <c r="J316" s="659"/>
      <c r="K316" s="659"/>
      <c r="L316" s="659"/>
      <c r="M316" s="659"/>
      <c r="N316" s="659"/>
      <c r="O316" s="660"/>
      <c r="P316" s="656" t="s">
        <v>40</v>
      </c>
      <c r="Q316" s="657"/>
      <c r="R316" s="657"/>
      <c r="S316" s="657"/>
      <c r="T316" s="657"/>
      <c r="U316" s="657"/>
      <c r="V316" s="658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0" t="s">
        <v>532</v>
      </c>
      <c r="B317" s="670"/>
      <c r="C317" s="670"/>
      <c r="D317" s="670"/>
      <c r="E317" s="670"/>
      <c r="F317" s="670"/>
      <c r="G317" s="670"/>
      <c r="H317" s="670"/>
      <c r="I317" s="670"/>
      <c r="J317" s="670"/>
      <c r="K317" s="670"/>
      <c r="L317" s="670"/>
      <c r="M317" s="670"/>
      <c r="N317" s="670"/>
      <c r="O317" s="670"/>
      <c r="P317" s="670"/>
      <c r="Q317" s="670"/>
      <c r="R317" s="670"/>
      <c r="S317" s="670"/>
      <c r="T317" s="670"/>
      <c r="U317" s="670"/>
      <c r="V317" s="670"/>
      <c r="W317" s="670"/>
      <c r="X317" s="670"/>
      <c r="Y317" s="670"/>
      <c r="Z317" s="670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59"/>
      <c r="B319" s="659"/>
      <c r="C319" s="659"/>
      <c r="D319" s="659"/>
      <c r="E319" s="659"/>
      <c r="F319" s="659"/>
      <c r="G319" s="659"/>
      <c r="H319" s="659"/>
      <c r="I319" s="659"/>
      <c r="J319" s="659"/>
      <c r="K319" s="659"/>
      <c r="L319" s="659"/>
      <c r="M319" s="659"/>
      <c r="N319" s="659"/>
      <c r="O319" s="660"/>
      <c r="P319" s="656" t="s">
        <v>40</v>
      </c>
      <c r="Q319" s="657"/>
      <c r="R319" s="657"/>
      <c r="S319" s="657"/>
      <c r="T319" s="657"/>
      <c r="U319" s="657"/>
      <c r="V319" s="65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59"/>
      <c r="B320" s="659"/>
      <c r="C320" s="659"/>
      <c r="D320" s="659"/>
      <c r="E320" s="659"/>
      <c r="F320" s="659"/>
      <c r="G320" s="659"/>
      <c r="H320" s="659"/>
      <c r="I320" s="659"/>
      <c r="J320" s="659"/>
      <c r="K320" s="659"/>
      <c r="L320" s="659"/>
      <c r="M320" s="659"/>
      <c r="N320" s="659"/>
      <c r="O320" s="660"/>
      <c r="P320" s="656" t="s">
        <v>40</v>
      </c>
      <c r="Q320" s="657"/>
      <c r="R320" s="657"/>
      <c r="S320" s="657"/>
      <c r="T320" s="657"/>
      <c r="U320" s="657"/>
      <c r="V320" s="65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0" t="s">
        <v>342</v>
      </c>
      <c r="B321" s="670"/>
      <c r="C321" s="670"/>
      <c r="D321" s="670"/>
      <c r="E321" s="670"/>
      <c r="F321" s="670"/>
      <c r="G321" s="670"/>
      <c r="H321" s="670"/>
      <c r="I321" s="670"/>
      <c r="J321" s="670"/>
      <c r="K321" s="670"/>
      <c r="L321" s="670"/>
      <c r="M321" s="670"/>
      <c r="N321" s="670"/>
      <c r="O321" s="670"/>
      <c r="P321" s="670"/>
      <c r="Q321" s="670"/>
      <c r="R321" s="670"/>
      <c r="S321" s="670"/>
      <c r="T321" s="670"/>
      <c r="U321" s="670"/>
      <c r="V321" s="670"/>
      <c r="W321" s="670"/>
      <c r="X321" s="670"/>
      <c r="Y321" s="670"/>
      <c r="Z321" s="670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665">
        <v>4680115886681</v>
      </c>
      <c r="E322" s="665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59"/>
      <c r="B323" s="659"/>
      <c r="C323" s="659"/>
      <c r="D323" s="659"/>
      <c r="E323" s="659"/>
      <c r="F323" s="659"/>
      <c r="G323" s="659"/>
      <c r="H323" s="659"/>
      <c r="I323" s="659"/>
      <c r="J323" s="659"/>
      <c r="K323" s="659"/>
      <c r="L323" s="659"/>
      <c r="M323" s="659"/>
      <c r="N323" s="659"/>
      <c r="O323" s="660"/>
      <c r="P323" s="656" t="s">
        <v>40</v>
      </c>
      <c r="Q323" s="657"/>
      <c r="R323" s="657"/>
      <c r="S323" s="657"/>
      <c r="T323" s="657"/>
      <c r="U323" s="657"/>
      <c r="V323" s="65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59"/>
      <c r="B324" s="659"/>
      <c r="C324" s="659"/>
      <c r="D324" s="659"/>
      <c r="E324" s="659"/>
      <c r="F324" s="659"/>
      <c r="G324" s="659"/>
      <c r="H324" s="659"/>
      <c r="I324" s="659"/>
      <c r="J324" s="659"/>
      <c r="K324" s="659"/>
      <c r="L324" s="659"/>
      <c r="M324" s="659"/>
      <c r="N324" s="659"/>
      <c r="O324" s="660"/>
      <c r="P324" s="656" t="s">
        <v>40</v>
      </c>
      <c r="Q324" s="657"/>
      <c r="R324" s="657"/>
      <c r="S324" s="657"/>
      <c r="T324" s="657"/>
      <c r="U324" s="657"/>
      <c r="V324" s="65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6.5" hidden="1" customHeight="1" x14ac:dyDescent="0.25">
      <c r="A325" s="669" t="s">
        <v>539</v>
      </c>
      <c r="B325" s="669"/>
      <c r="C325" s="669"/>
      <c r="D325" s="669"/>
      <c r="E325" s="669"/>
      <c r="F325" s="669"/>
      <c r="G325" s="669"/>
      <c r="H325" s="669"/>
      <c r="I325" s="669"/>
      <c r="J325" s="669"/>
      <c r="K325" s="669"/>
      <c r="L325" s="669"/>
      <c r="M325" s="669"/>
      <c r="N325" s="669"/>
      <c r="O325" s="669"/>
      <c r="P325" s="669"/>
      <c r="Q325" s="669"/>
      <c r="R325" s="669"/>
      <c r="S325" s="669"/>
      <c r="T325" s="669"/>
      <c r="U325" s="669"/>
      <c r="V325" s="669"/>
      <c r="W325" s="669"/>
      <c r="X325" s="669"/>
      <c r="Y325" s="669"/>
      <c r="Z325" s="669"/>
      <c r="AA325" s="65"/>
      <c r="AB325" s="65"/>
      <c r="AC325" s="79"/>
    </row>
    <row r="326" spans="1:68" ht="14.25" hidden="1" customHeight="1" x14ac:dyDescent="0.25">
      <c r="A326" s="670" t="s">
        <v>122</v>
      </c>
      <c r="B326" s="670"/>
      <c r="C326" s="670"/>
      <c r="D326" s="670"/>
      <c r="E326" s="670"/>
      <c r="F326" s="670"/>
      <c r="G326" s="670"/>
      <c r="H326" s="670"/>
      <c r="I326" s="670"/>
      <c r="J326" s="670"/>
      <c r="K326" s="670"/>
      <c r="L326" s="670"/>
      <c r="M326" s="670"/>
      <c r="N326" s="670"/>
      <c r="O326" s="670"/>
      <c r="P326" s="670"/>
      <c r="Q326" s="670"/>
      <c r="R326" s="670"/>
      <c r="S326" s="670"/>
      <c r="T326" s="670"/>
      <c r="U326" s="670"/>
      <c r="V326" s="670"/>
      <c r="W326" s="670"/>
      <c r="X326" s="670"/>
      <c r="Y326" s="670"/>
      <c r="Z326" s="670"/>
      <c r="AA326" s="66"/>
      <c r="AB326" s="66"/>
      <c r="AC326" s="80"/>
    </row>
    <row r="327" spans="1:68" ht="27" hidden="1" customHeight="1" x14ac:dyDescent="0.25">
      <c r="A327" s="63" t="s">
        <v>540</v>
      </c>
      <c r="B327" s="63" t="s">
        <v>541</v>
      </c>
      <c r="C327" s="36">
        <v>4301012390</v>
      </c>
      <c r="D327" s="665">
        <v>4680115889637</v>
      </c>
      <c r="E327" s="66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1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67"/>
      <c r="R327" s="667"/>
      <c r="S327" s="667"/>
      <c r="T327" s="66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ref="Y327:Y332" si="58"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543</v>
      </c>
      <c r="AC327" s="424" t="s">
        <v>542</v>
      </c>
      <c r="AG327" s="78"/>
      <c r="AJ327" s="84" t="s">
        <v>46</v>
      </c>
      <c r="AK327" s="84">
        <v>0</v>
      </c>
      <c r="BB327" s="425" t="s">
        <v>67</v>
      </c>
      <c r="BM327" s="78">
        <f t="shared" ref="BM327:BM332" si="59">IFERROR(X327*I327/H327,"0")</f>
        <v>0</v>
      </c>
      <c r="BN327" s="78">
        <f t="shared" ref="BN327:BN332" si="60">IFERROR(Y327*I327/H327,"0")</f>
        <v>0</v>
      </c>
      <c r="BO327" s="78">
        <f t="shared" ref="BO327:BO332" si="61">IFERROR(1/J327*(X327/H327),"0")</f>
        <v>0</v>
      </c>
      <c r="BP327" s="78">
        <f t="shared" ref="BP327:BP332" si="62">IFERROR(1/J327*(Y327/H327),"0")</f>
        <v>0</v>
      </c>
    </row>
    <row r="328" spans="1:68" ht="27" hidden="1" customHeight="1" x14ac:dyDescent="0.25">
      <c r="A328" s="63" t="s">
        <v>544</v>
      </c>
      <c r="B328" s="63" t="s">
        <v>545</v>
      </c>
      <c r="C328" s="36">
        <v>4301011855</v>
      </c>
      <c r="D328" s="665">
        <v>4680115885837</v>
      </c>
      <c r="E328" s="665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67"/>
      <c r="R328" s="667"/>
      <c r="S328" s="667"/>
      <c r="T328" s="66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8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546</v>
      </c>
      <c r="AG328" s="78"/>
      <c r="AJ328" s="84" t="s">
        <v>46</v>
      </c>
      <c r="AK328" s="84">
        <v>0</v>
      </c>
      <c r="BB328" s="427" t="s">
        <v>67</v>
      </c>
      <c r="BM328" s="78">
        <f t="shared" si="59"/>
        <v>0</v>
      </c>
      <c r="BN328" s="78">
        <f t="shared" si="60"/>
        <v>0</v>
      </c>
      <c r="BO328" s="78">
        <f t="shared" si="61"/>
        <v>0</v>
      </c>
      <c r="BP328" s="78">
        <f t="shared" si="62"/>
        <v>0</v>
      </c>
    </row>
    <row r="329" spans="1:68" ht="37.5" hidden="1" customHeight="1" x14ac:dyDescent="0.25">
      <c r="A329" s="63" t="s">
        <v>547</v>
      </c>
      <c r="B329" s="63" t="s">
        <v>548</v>
      </c>
      <c r="C329" s="36">
        <v>4301012234</v>
      </c>
      <c r="D329" s="665">
        <v>4680115887237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27" hidden="1" customHeight="1" x14ac:dyDescent="0.25">
      <c r="A330" s="63" t="s">
        <v>550</v>
      </c>
      <c r="B330" s="63" t="s">
        <v>551</v>
      </c>
      <c r="C330" s="36">
        <v>4301011850</v>
      </c>
      <c r="D330" s="665">
        <v>4680115885806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4301011852</v>
      </c>
      <c r="D331" s="665">
        <v>4680115885844</v>
      </c>
      <c r="E331" s="665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77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37.5" hidden="1" customHeight="1" x14ac:dyDescent="0.25">
      <c r="A332" s="63" t="s">
        <v>556</v>
      </c>
      <c r="B332" s="63" t="s">
        <v>557</v>
      </c>
      <c r="C332" s="36">
        <v>4301011851</v>
      </c>
      <c r="D332" s="665">
        <v>4680115885820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idden="1" x14ac:dyDescent="0.2">
      <c r="A333" s="659"/>
      <c r="B333" s="659"/>
      <c r="C333" s="659"/>
      <c r="D333" s="659"/>
      <c r="E333" s="659"/>
      <c r="F333" s="659"/>
      <c r="G333" s="659"/>
      <c r="H333" s="659"/>
      <c r="I333" s="659"/>
      <c r="J333" s="659"/>
      <c r="K333" s="659"/>
      <c r="L333" s="659"/>
      <c r="M333" s="659"/>
      <c r="N333" s="659"/>
      <c r="O333" s="660"/>
      <c r="P333" s="656" t="s">
        <v>40</v>
      </c>
      <c r="Q333" s="657"/>
      <c r="R333" s="657"/>
      <c r="S333" s="657"/>
      <c r="T333" s="657"/>
      <c r="U333" s="657"/>
      <c r="V333" s="658"/>
      <c r="W333" s="42" t="s">
        <v>39</v>
      </c>
      <c r="X333" s="43">
        <f>IFERROR(X327/H327,"0")+IFERROR(X328/H328,"0")+IFERROR(X329/H329,"0")+IFERROR(X330/H330,"0")+IFERROR(X331/H331,"0")+IFERROR(X332/H332,"0")</f>
        <v>0</v>
      </c>
      <c r="Y333" s="43">
        <f>IFERROR(Y327/H327,"0")+IFERROR(Y328/H328,"0")+IFERROR(Y329/H329,"0")+IFERROR(Y330/H330,"0")+IFERROR(Y331/H331,"0")+IFERROR(Y332/H332,"0")</f>
        <v>0</v>
      </c>
      <c r="Z333" s="43">
        <f>IFERROR(IF(Z327="",0,Z327),"0")+IFERROR(IF(Z328="",0,Z328),"0")+IFERROR(IF(Z329="",0,Z329),"0")+IFERROR(IF(Z330="",0,Z330),"0")+IFERROR(IF(Z331="",0,Z331),"0")+IFERROR(IF(Z332="",0,Z332),"0")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59"/>
      <c r="B334" s="659"/>
      <c r="C334" s="659"/>
      <c r="D334" s="659"/>
      <c r="E334" s="659"/>
      <c r="F334" s="659"/>
      <c r="G334" s="659"/>
      <c r="H334" s="659"/>
      <c r="I334" s="659"/>
      <c r="J334" s="659"/>
      <c r="K334" s="659"/>
      <c r="L334" s="659"/>
      <c r="M334" s="659"/>
      <c r="N334" s="659"/>
      <c r="O334" s="660"/>
      <c r="P334" s="656" t="s">
        <v>40</v>
      </c>
      <c r="Q334" s="657"/>
      <c r="R334" s="657"/>
      <c r="S334" s="657"/>
      <c r="T334" s="657"/>
      <c r="U334" s="657"/>
      <c r="V334" s="658"/>
      <c r="W334" s="42" t="s">
        <v>0</v>
      </c>
      <c r="X334" s="43">
        <f>IFERROR(SUM(X327:X332),"0")</f>
        <v>0</v>
      </c>
      <c r="Y334" s="43">
        <f>IFERROR(SUM(Y327:Y332),"0")</f>
        <v>0</v>
      </c>
      <c r="Z334" s="42"/>
      <c r="AA334" s="67"/>
      <c r="AB334" s="67"/>
      <c r="AC334" s="67"/>
    </row>
    <row r="335" spans="1:68" ht="16.5" hidden="1" customHeight="1" x14ac:dyDescent="0.25">
      <c r="A335" s="669" t="s">
        <v>559</v>
      </c>
      <c r="B335" s="669"/>
      <c r="C335" s="669"/>
      <c r="D335" s="669"/>
      <c r="E335" s="669"/>
      <c r="F335" s="669"/>
      <c r="G335" s="669"/>
      <c r="H335" s="669"/>
      <c r="I335" s="669"/>
      <c r="J335" s="669"/>
      <c r="K335" s="669"/>
      <c r="L335" s="669"/>
      <c r="M335" s="669"/>
      <c r="N335" s="669"/>
      <c r="O335" s="669"/>
      <c r="P335" s="669"/>
      <c r="Q335" s="669"/>
      <c r="R335" s="669"/>
      <c r="S335" s="669"/>
      <c r="T335" s="669"/>
      <c r="U335" s="669"/>
      <c r="V335" s="669"/>
      <c r="W335" s="669"/>
      <c r="X335" s="669"/>
      <c r="Y335" s="669"/>
      <c r="Z335" s="669"/>
      <c r="AA335" s="65"/>
      <c r="AB335" s="65"/>
      <c r="AC335" s="79"/>
    </row>
    <row r="336" spans="1:68" ht="14.25" hidden="1" customHeight="1" x14ac:dyDescent="0.25">
      <c r="A336" s="670" t="s">
        <v>86</v>
      </c>
      <c r="B336" s="670"/>
      <c r="C336" s="670"/>
      <c r="D336" s="670"/>
      <c r="E336" s="670"/>
      <c r="F336" s="670"/>
      <c r="G336" s="670"/>
      <c r="H336" s="670"/>
      <c r="I336" s="670"/>
      <c r="J336" s="670"/>
      <c r="K336" s="670"/>
      <c r="L336" s="670"/>
      <c r="M336" s="670"/>
      <c r="N336" s="670"/>
      <c r="O336" s="670"/>
      <c r="P336" s="670"/>
      <c r="Q336" s="670"/>
      <c r="R336" s="670"/>
      <c r="S336" s="670"/>
      <c r="T336" s="670"/>
      <c r="U336" s="670"/>
      <c r="V336" s="670"/>
      <c r="W336" s="670"/>
      <c r="X336" s="670"/>
      <c r="Y336" s="670"/>
      <c r="Z336" s="670"/>
      <c r="AA336" s="66"/>
      <c r="AB336" s="66"/>
      <c r="AC336" s="80"/>
    </row>
    <row r="337" spans="1:68" ht="27" hidden="1" customHeight="1" x14ac:dyDescent="0.25">
      <c r="A337" s="63" t="s">
        <v>560</v>
      </c>
      <c r="B337" s="63" t="s">
        <v>561</v>
      </c>
      <c r="C337" s="36">
        <v>4301051893</v>
      </c>
      <c r="D337" s="665">
        <v>4680115886186</v>
      </c>
      <c r="E337" s="665"/>
      <c r="F337" s="62">
        <v>0.3</v>
      </c>
      <c r="G337" s="37">
        <v>6</v>
      </c>
      <c r="H337" s="62">
        <v>1.8</v>
      </c>
      <c r="I337" s="62">
        <v>1.98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7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67"/>
      <c r="R337" s="667"/>
      <c r="S337" s="667"/>
      <c r="T337" s="668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562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563</v>
      </c>
      <c r="B338" s="63" t="s">
        <v>564</v>
      </c>
      <c r="C338" s="36">
        <v>4301051795</v>
      </c>
      <c r="D338" s="665">
        <v>4680115881228</v>
      </c>
      <c r="E338" s="665"/>
      <c r="F338" s="62">
        <v>0.4</v>
      </c>
      <c r="G338" s="37">
        <v>6</v>
      </c>
      <c r="H338" s="62">
        <v>2.4</v>
      </c>
      <c r="I338" s="62">
        <v>2.6520000000000001</v>
      </c>
      <c r="J338" s="37">
        <v>182</v>
      </c>
      <c r="K338" s="37" t="s">
        <v>91</v>
      </c>
      <c r="L338" s="37" t="s">
        <v>46</v>
      </c>
      <c r="M338" s="38" t="s">
        <v>97</v>
      </c>
      <c r="N338" s="38"/>
      <c r="O338" s="37">
        <v>40</v>
      </c>
      <c r="P338" s="77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4301051388</v>
      </c>
      <c r="D339" s="665">
        <v>4680115881211</v>
      </c>
      <c r="E339" s="665"/>
      <c r="F339" s="62">
        <v>0.4</v>
      </c>
      <c r="G339" s="37">
        <v>6</v>
      </c>
      <c r="H339" s="62">
        <v>2.4</v>
      </c>
      <c r="I339" s="62">
        <v>2.58</v>
      </c>
      <c r="J339" s="37">
        <v>182</v>
      </c>
      <c r="K339" s="37" t="s">
        <v>91</v>
      </c>
      <c r="L339" s="37" t="s">
        <v>46</v>
      </c>
      <c r="M339" s="38" t="s">
        <v>90</v>
      </c>
      <c r="N339" s="38"/>
      <c r="O339" s="37">
        <v>45</v>
      </c>
      <c r="P339" s="7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idden="1" x14ac:dyDescent="0.2">
      <c r="A340" s="659"/>
      <c r="B340" s="659"/>
      <c r="C340" s="659"/>
      <c r="D340" s="659"/>
      <c r="E340" s="659"/>
      <c r="F340" s="659"/>
      <c r="G340" s="659"/>
      <c r="H340" s="659"/>
      <c r="I340" s="659"/>
      <c r="J340" s="659"/>
      <c r="K340" s="659"/>
      <c r="L340" s="659"/>
      <c r="M340" s="659"/>
      <c r="N340" s="659"/>
      <c r="O340" s="660"/>
      <c r="P340" s="656" t="s">
        <v>40</v>
      </c>
      <c r="Q340" s="657"/>
      <c r="R340" s="657"/>
      <c r="S340" s="657"/>
      <c r="T340" s="657"/>
      <c r="U340" s="657"/>
      <c r="V340" s="658"/>
      <c r="W340" s="42" t="s">
        <v>39</v>
      </c>
      <c r="X340" s="43">
        <f>IFERROR(X337/H337,"0")+IFERROR(X338/H338,"0")+IFERROR(X339/H339,"0")</f>
        <v>0</v>
      </c>
      <c r="Y340" s="43">
        <f>IFERROR(Y337/H337,"0")+IFERROR(Y338/H338,"0")+IFERROR(Y339/H339,"0")</f>
        <v>0</v>
      </c>
      <c r="Z340" s="43">
        <f>IFERROR(IF(Z337="",0,Z337),"0")+IFERROR(IF(Z338="",0,Z338),"0")+IFERROR(IF(Z339="",0,Z339),"0")</f>
        <v>0</v>
      </c>
      <c r="AA340" s="67"/>
      <c r="AB340" s="67"/>
      <c r="AC340" s="67"/>
    </row>
    <row r="341" spans="1:68" hidden="1" x14ac:dyDescent="0.2">
      <c r="A341" s="659"/>
      <c r="B341" s="659"/>
      <c r="C341" s="659"/>
      <c r="D341" s="659"/>
      <c r="E341" s="659"/>
      <c r="F341" s="659"/>
      <c r="G341" s="659"/>
      <c r="H341" s="659"/>
      <c r="I341" s="659"/>
      <c r="J341" s="659"/>
      <c r="K341" s="659"/>
      <c r="L341" s="659"/>
      <c r="M341" s="659"/>
      <c r="N341" s="659"/>
      <c r="O341" s="660"/>
      <c r="P341" s="656" t="s">
        <v>40</v>
      </c>
      <c r="Q341" s="657"/>
      <c r="R341" s="657"/>
      <c r="S341" s="657"/>
      <c r="T341" s="657"/>
      <c r="U341" s="657"/>
      <c r="V341" s="658"/>
      <c r="W341" s="42" t="s">
        <v>0</v>
      </c>
      <c r="X341" s="43">
        <f>IFERROR(SUM(X337:X339),"0")</f>
        <v>0</v>
      </c>
      <c r="Y341" s="43">
        <f>IFERROR(SUM(Y337:Y339),"0")</f>
        <v>0</v>
      </c>
      <c r="Z341" s="42"/>
      <c r="AA341" s="67"/>
      <c r="AB341" s="67"/>
      <c r="AC341" s="67"/>
    </row>
    <row r="342" spans="1:68" ht="16.5" hidden="1" customHeight="1" x14ac:dyDescent="0.25">
      <c r="A342" s="669" t="s">
        <v>568</v>
      </c>
      <c r="B342" s="669"/>
      <c r="C342" s="669"/>
      <c r="D342" s="669"/>
      <c r="E342" s="669"/>
      <c r="F342" s="669"/>
      <c r="G342" s="669"/>
      <c r="H342" s="669"/>
      <c r="I342" s="669"/>
      <c r="J342" s="669"/>
      <c r="K342" s="669"/>
      <c r="L342" s="669"/>
      <c r="M342" s="669"/>
      <c r="N342" s="669"/>
      <c r="O342" s="669"/>
      <c r="P342" s="669"/>
      <c r="Q342" s="669"/>
      <c r="R342" s="669"/>
      <c r="S342" s="669"/>
      <c r="T342" s="669"/>
      <c r="U342" s="669"/>
      <c r="V342" s="669"/>
      <c r="W342" s="669"/>
      <c r="X342" s="669"/>
      <c r="Y342" s="669"/>
      <c r="Z342" s="669"/>
      <c r="AA342" s="65"/>
      <c r="AB342" s="65"/>
      <c r="AC342" s="79"/>
    </row>
    <row r="343" spans="1:68" ht="14.25" hidden="1" customHeight="1" x14ac:dyDescent="0.25">
      <c r="A343" s="670" t="s">
        <v>77</v>
      </c>
      <c r="B343" s="670"/>
      <c r="C343" s="670"/>
      <c r="D343" s="670"/>
      <c r="E343" s="670"/>
      <c r="F343" s="670"/>
      <c r="G343" s="670"/>
      <c r="H343" s="670"/>
      <c r="I343" s="670"/>
      <c r="J343" s="670"/>
      <c r="K343" s="670"/>
      <c r="L343" s="670"/>
      <c r="M343" s="670"/>
      <c r="N343" s="670"/>
      <c r="O343" s="670"/>
      <c r="P343" s="670"/>
      <c r="Q343" s="670"/>
      <c r="R343" s="670"/>
      <c r="S343" s="670"/>
      <c r="T343" s="670"/>
      <c r="U343" s="670"/>
      <c r="V343" s="670"/>
      <c r="W343" s="670"/>
      <c r="X343" s="670"/>
      <c r="Y343" s="670"/>
      <c r="Z343" s="670"/>
      <c r="AA343" s="66"/>
      <c r="AB343" s="66"/>
      <c r="AC343" s="80"/>
    </row>
    <row r="344" spans="1:68" ht="27" hidden="1" customHeight="1" x14ac:dyDescent="0.25">
      <c r="A344" s="63" t="s">
        <v>569</v>
      </c>
      <c r="B344" s="63" t="s">
        <v>570</v>
      </c>
      <c r="C344" s="36">
        <v>4301031445</v>
      </c>
      <c r="D344" s="665">
        <v>4680115888319</v>
      </c>
      <c r="E344" s="665"/>
      <c r="F344" s="62">
        <v>0.35</v>
      </c>
      <c r="G344" s="37">
        <v>6</v>
      </c>
      <c r="H344" s="62">
        <v>2.1</v>
      </c>
      <c r="I344" s="62">
        <v>2.23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45</v>
      </c>
      <c r="P344" s="77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67"/>
      <c r="R344" s="667"/>
      <c r="S344" s="667"/>
      <c r="T344" s="66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396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571</v>
      </c>
      <c r="B345" s="63" t="s">
        <v>572</v>
      </c>
      <c r="C345" s="36">
        <v>4301031502</v>
      </c>
      <c r="D345" s="665">
        <v>4680115884700</v>
      </c>
      <c r="E345" s="665"/>
      <c r="F345" s="62">
        <v>0.57999999999999996</v>
      </c>
      <c r="G345" s="37">
        <v>4</v>
      </c>
      <c r="H345" s="62">
        <v>2.3199999999999998</v>
      </c>
      <c r="I345" s="62">
        <v>2.42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77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573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4301031307</v>
      </c>
      <c r="D346" s="665">
        <v>4680115880344</v>
      </c>
      <c r="E346" s="665"/>
      <c r="F346" s="62">
        <v>0.28000000000000003</v>
      </c>
      <c r="G346" s="37">
        <v>6</v>
      </c>
      <c r="H346" s="62">
        <v>1.68</v>
      </c>
      <c r="I346" s="62">
        <v>1.78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4301031501</v>
      </c>
      <c r="D347" s="665">
        <v>4680115886919</v>
      </c>
      <c r="E347" s="665"/>
      <c r="F347" s="62">
        <v>0.4</v>
      </c>
      <c r="G347" s="37">
        <v>6</v>
      </c>
      <c r="H347" s="62">
        <v>2.4</v>
      </c>
      <c r="I347" s="62">
        <v>2.58</v>
      </c>
      <c r="J347" s="37">
        <v>182</v>
      </c>
      <c r="K347" s="37" t="s">
        <v>91</v>
      </c>
      <c r="L347" s="37" t="s">
        <v>46</v>
      </c>
      <c r="M347" s="38" t="s">
        <v>81</v>
      </c>
      <c r="N347" s="38"/>
      <c r="O347" s="37">
        <v>40</v>
      </c>
      <c r="P347" s="77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4301031246</v>
      </c>
      <c r="D348" s="665">
        <v>4680115883970</v>
      </c>
      <c r="E348" s="665"/>
      <c r="F348" s="62">
        <v>0.28000000000000003</v>
      </c>
      <c r="G348" s="37">
        <v>6</v>
      </c>
      <c r="H348" s="62">
        <v>1.68</v>
      </c>
      <c r="I348" s="62">
        <v>2.5</v>
      </c>
      <c r="J348" s="37">
        <v>234</v>
      </c>
      <c r="K348" s="37" t="s">
        <v>82</v>
      </c>
      <c r="L348" s="37" t="s">
        <v>46</v>
      </c>
      <c r="M348" s="38" t="s">
        <v>81</v>
      </c>
      <c r="N348" s="38"/>
      <c r="O348" s="37">
        <v>40</v>
      </c>
      <c r="P348" s="76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IFERROR(IF(Y348=0,"",ROUNDUP(Y348/H348,0)*0.00502),"")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59"/>
      <c r="B349" s="659"/>
      <c r="C349" s="659"/>
      <c r="D349" s="659"/>
      <c r="E349" s="659"/>
      <c r="F349" s="659"/>
      <c r="G349" s="659"/>
      <c r="H349" s="659"/>
      <c r="I349" s="659"/>
      <c r="J349" s="659"/>
      <c r="K349" s="659"/>
      <c r="L349" s="659"/>
      <c r="M349" s="659"/>
      <c r="N349" s="659"/>
      <c r="O349" s="660"/>
      <c r="P349" s="656" t="s">
        <v>40</v>
      </c>
      <c r="Q349" s="657"/>
      <c r="R349" s="657"/>
      <c r="S349" s="657"/>
      <c r="T349" s="657"/>
      <c r="U349" s="657"/>
      <c r="V349" s="658"/>
      <c r="W349" s="42" t="s">
        <v>39</v>
      </c>
      <c r="X349" s="43">
        <f>IFERROR(X344/H344,"0")+IFERROR(X345/H345,"0")+IFERROR(X346/H346,"0")+IFERROR(X347/H347,"0")+IFERROR(X348/H348,"0")</f>
        <v>0</v>
      </c>
      <c r="Y349" s="43">
        <f>IFERROR(Y344/H344,"0")+IFERROR(Y345/H345,"0")+IFERROR(Y346/H346,"0")+IFERROR(Y347/H347,"0")+IFERROR(Y348/H348,"0")</f>
        <v>0</v>
      </c>
      <c r="Z349" s="43">
        <f>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59"/>
      <c r="B350" s="659"/>
      <c r="C350" s="659"/>
      <c r="D350" s="659"/>
      <c r="E350" s="659"/>
      <c r="F350" s="659"/>
      <c r="G350" s="659"/>
      <c r="H350" s="659"/>
      <c r="I350" s="659"/>
      <c r="J350" s="659"/>
      <c r="K350" s="659"/>
      <c r="L350" s="659"/>
      <c r="M350" s="659"/>
      <c r="N350" s="659"/>
      <c r="O350" s="660"/>
      <c r="P350" s="656" t="s">
        <v>40</v>
      </c>
      <c r="Q350" s="657"/>
      <c r="R350" s="657"/>
      <c r="S350" s="657"/>
      <c r="T350" s="657"/>
      <c r="U350" s="657"/>
      <c r="V350" s="658"/>
      <c r="W350" s="42" t="s">
        <v>0</v>
      </c>
      <c r="X350" s="43">
        <f>IFERROR(SUM(X344:X348),"0")</f>
        <v>0</v>
      </c>
      <c r="Y350" s="43">
        <f>IFERROR(SUM(Y344:Y348),"0")</f>
        <v>0</v>
      </c>
      <c r="Z350" s="42"/>
      <c r="AA350" s="67"/>
      <c r="AB350" s="67"/>
      <c r="AC350" s="67"/>
    </row>
    <row r="351" spans="1:68" ht="14.25" hidden="1" customHeight="1" x14ac:dyDescent="0.25">
      <c r="A351" s="670" t="s">
        <v>86</v>
      </c>
      <c r="B351" s="670"/>
      <c r="C351" s="670"/>
      <c r="D351" s="670"/>
      <c r="E351" s="670"/>
      <c r="F351" s="670"/>
      <c r="G351" s="670"/>
      <c r="H351" s="670"/>
      <c r="I351" s="670"/>
      <c r="J351" s="670"/>
      <c r="K351" s="670"/>
      <c r="L351" s="670"/>
      <c r="M351" s="670"/>
      <c r="N351" s="670"/>
      <c r="O351" s="670"/>
      <c r="P351" s="670"/>
      <c r="Q351" s="670"/>
      <c r="R351" s="670"/>
      <c r="S351" s="670"/>
      <c r="T351" s="670"/>
      <c r="U351" s="670"/>
      <c r="V351" s="670"/>
      <c r="W351" s="670"/>
      <c r="X351" s="670"/>
      <c r="Y351" s="670"/>
      <c r="Z351" s="670"/>
      <c r="AA351" s="66"/>
      <c r="AB351" s="66"/>
      <c r="AC351" s="80"/>
    </row>
    <row r="352" spans="1:68" ht="27" hidden="1" customHeight="1" x14ac:dyDescent="0.25">
      <c r="A352" s="63" t="s">
        <v>583</v>
      </c>
      <c r="B352" s="63" t="s">
        <v>584</v>
      </c>
      <c r="C352" s="36">
        <v>4301051782</v>
      </c>
      <c r="D352" s="665">
        <v>4680115884618</v>
      </c>
      <c r="E352" s="665"/>
      <c r="F352" s="62">
        <v>0.6</v>
      </c>
      <c r="G352" s="37">
        <v>6</v>
      </c>
      <c r="H352" s="62">
        <v>3.6</v>
      </c>
      <c r="I352" s="62">
        <v>3.79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67"/>
      <c r="R352" s="667"/>
      <c r="S352" s="667"/>
      <c r="T352" s="668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585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586</v>
      </c>
      <c r="B353" s="63" t="s">
        <v>587</v>
      </c>
      <c r="C353" s="36">
        <v>4301052057</v>
      </c>
      <c r="D353" s="665">
        <v>4680115887114</v>
      </c>
      <c r="E353" s="665"/>
      <c r="F353" s="62">
        <v>0.55000000000000004</v>
      </c>
      <c r="G353" s="37">
        <v>6</v>
      </c>
      <c r="H353" s="62">
        <v>3.3</v>
      </c>
      <c r="I353" s="62">
        <v>3.49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59"/>
      <c r="B354" s="659"/>
      <c r="C354" s="659"/>
      <c r="D354" s="659"/>
      <c r="E354" s="659"/>
      <c r="F354" s="659"/>
      <c r="G354" s="659"/>
      <c r="H354" s="659"/>
      <c r="I354" s="659"/>
      <c r="J354" s="659"/>
      <c r="K354" s="659"/>
      <c r="L354" s="659"/>
      <c r="M354" s="659"/>
      <c r="N354" s="659"/>
      <c r="O354" s="660"/>
      <c r="P354" s="656" t="s">
        <v>40</v>
      </c>
      <c r="Q354" s="657"/>
      <c r="R354" s="657"/>
      <c r="S354" s="657"/>
      <c r="T354" s="657"/>
      <c r="U354" s="657"/>
      <c r="V354" s="658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hidden="1" x14ac:dyDescent="0.2">
      <c r="A355" s="659"/>
      <c r="B355" s="659"/>
      <c r="C355" s="659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  <c r="O355" s="660"/>
      <c r="P355" s="656" t="s">
        <v>40</v>
      </c>
      <c r="Q355" s="657"/>
      <c r="R355" s="657"/>
      <c r="S355" s="657"/>
      <c r="T355" s="657"/>
      <c r="U355" s="657"/>
      <c r="V355" s="658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6.5" hidden="1" customHeight="1" x14ac:dyDescent="0.25">
      <c r="A356" s="669" t="s">
        <v>589</v>
      </c>
      <c r="B356" s="669"/>
      <c r="C356" s="669"/>
      <c r="D356" s="669"/>
      <c r="E356" s="669"/>
      <c r="F356" s="669"/>
      <c r="G356" s="669"/>
      <c r="H356" s="669"/>
      <c r="I356" s="669"/>
      <c r="J356" s="669"/>
      <c r="K356" s="669"/>
      <c r="L356" s="669"/>
      <c r="M356" s="669"/>
      <c r="N356" s="669"/>
      <c r="O356" s="669"/>
      <c r="P356" s="669"/>
      <c r="Q356" s="669"/>
      <c r="R356" s="669"/>
      <c r="S356" s="669"/>
      <c r="T356" s="669"/>
      <c r="U356" s="669"/>
      <c r="V356" s="669"/>
      <c r="W356" s="669"/>
      <c r="X356" s="669"/>
      <c r="Y356" s="669"/>
      <c r="Z356" s="669"/>
      <c r="AA356" s="65"/>
      <c r="AB356" s="65"/>
      <c r="AC356" s="79"/>
    </row>
    <row r="357" spans="1:68" ht="14.25" hidden="1" customHeight="1" x14ac:dyDescent="0.25">
      <c r="A357" s="670" t="s">
        <v>122</v>
      </c>
      <c r="B357" s="670"/>
      <c r="C357" s="670"/>
      <c r="D357" s="670"/>
      <c r="E357" s="670"/>
      <c r="F357" s="670"/>
      <c r="G357" s="670"/>
      <c r="H357" s="670"/>
      <c r="I357" s="670"/>
      <c r="J357" s="670"/>
      <c r="K357" s="670"/>
      <c r="L357" s="670"/>
      <c r="M357" s="670"/>
      <c r="N357" s="670"/>
      <c r="O357" s="670"/>
      <c r="P357" s="670"/>
      <c r="Q357" s="670"/>
      <c r="R357" s="670"/>
      <c r="S357" s="670"/>
      <c r="T357" s="670"/>
      <c r="U357" s="670"/>
      <c r="V357" s="670"/>
      <c r="W357" s="670"/>
      <c r="X357" s="670"/>
      <c r="Y357" s="670"/>
      <c r="Z357" s="670"/>
      <c r="AA357" s="66"/>
      <c r="AB357" s="66"/>
      <c r="AC357" s="80"/>
    </row>
    <row r="358" spans="1:68" ht="27" hidden="1" customHeight="1" x14ac:dyDescent="0.25">
      <c r="A358" s="63" t="s">
        <v>590</v>
      </c>
      <c r="B358" s="63" t="s">
        <v>591</v>
      </c>
      <c r="C358" s="36">
        <v>4301012324</v>
      </c>
      <c r="D358" s="665">
        <v>4680115887947</v>
      </c>
      <c r="E358" s="665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67"/>
      <c r="R358" s="667"/>
      <c r="S358" s="667"/>
      <c r="T358" s="668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355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592</v>
      </c>
      <c r="B359" s="63" t="s">
        <v>593</v>
      </c>
      <c r="C359" s="36">
        <v>4301012325</v>
      </c>
      <c r="D359" s="665">
        <v>4680115887978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6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594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595</v>
      </c>
      <c r="B360" s="63" t="s">
        <v>596</v>
      </c>
      <c r="C360" s="36">
        <v>4301012327</v>
      </c>
      <c r="D360" s="665">
        <v>4680115887992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6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idden="1" x14ac:dyDescent="0.2">
      <c r="A361" s="659"/>
      <c r="B361" s="659"/>
      <c r="C361" s="659"/>
      <c r="D361" s="659"/>
      <c r="E361" s="659"/>
      <c r="F361" s="659"/>
      <c r="G361" s="659"/>
      <c r="H361" s="659"/>
      <c r="I361" s="659"/>
      <c r="J361" s="659"/>
      <c r="K361" s="659"/>
      <c r="L361" s="659"/>
      <c r="M361" s="659"/>
      <c r="N361" s="659"/>
      <c r="O361" s="660"/>
      <c r="P361" s="656" t="s">
        <v>40</v>
      </c>
      <c r="Q361" s="657"/>
      <c r="R361" s="657"/>
      <c r="S361" s="657"/>
      <c r="T361" s="657"/>
      <c r="U361" s="657"/>
      <c r="V361" s="658"/>
      <c r="W361" s="42" t="s">
        <v>39</v>
      </c>
      <c r="X361" s="43">
        <f>IFERROR(X358/H358,"0")+IFERROR(X359/H359,"0")+IFERROR(X360/H360,"0")</f>
        <v>0</v>
      </c>
      <c r="Y361" s="43">
        <f>IFERROR(Y358/H358,"0")+IFERROR(Y359/H359,"0")+IFERROR(Y360/H360,"0")</f>
        <v>0</v>
      </c>
      <c r="Z361" s="43">
        <f>IFERROR(IF(Z358="",0,Z358),"0")+IFERROR(IF(Z359="",0,Z359),"0")+IFERROR(IF(Z360="",0,Z360),"0")</f>
        <v>0</v>
      </c>
      <c r="AA361" s="67"/>
      <c r="AB361" s="67"/>
      <c r="AC361" s="67"/>
    </row>
    <row r="362" spans="1:68" hidden="1" x14ac:dyDescent="0.2">
      <c r="A362" s="659"/>
      <c r="B362" s="659"/>
      <c r="C362" s="659"/>
      <c r="D362" s="659"/>
      <c r="E362" s="659"/>
      <c r="F362" s="659"/>
      <c r="G362" s="659"/>
      <c r="H362" s="659"/>
      <c r="I362" s="659"/>
      <c r="J362" s="659"/>
      <c r="K362" s="659"/>
      <c r="L362" s="659"/>
      <c r="M362" s="659"/>
      <c r="N362" s="659"/>
      <c r="O362" s="660"/>
      <c r="P362" s="656" t="s">
        <v>40</v>
      </c>
      <c r="Q362" s="657"/>
      <c r="R362" s="657"/>
      <c r="S362" s="657"/>
      <c r="T362" s="657"/>
      <c r="U362" s="657"/>
      <c r="V362" s="658"/>
      <c r="W362" s="42" t="s">
        <v>0</v>
      </c>
      <c r="X362" s="43">
        <f>IFERROR(SUM(X358:X360),"0")</f>
        <v>0</v>
      </c>
      <c r="Y362" s="43">
        <f>IFERROR(SUM(Y358:Y360),"0")</f>
        <v>0</v>
      </c>
      <c r="Z362" s="42"/>
      <c r="AA362" s="67"/>
      <c r="AB362" s="67"/>
      <c r="AC362" s="67"/>
    </row>
    <row r="363" spans="1:68" ht="16.5" hidden="1" customHeight="1" x14ac:dyDescent="0.25">
      <c r="A363" s="669" t="s">
        <v>598</v>
      </c>
      <c r="B363" s="669"/>
      <c r="C363" s="669"/>
      <c r="D363" s="669"/>
      <c r="E363" s="669"/>
      <c r="F363" s="669"/>
      <c r="G363" s="669"/>
      <c r="H363" s="669"/>
      <c r="I363" s="669"/>
      <c r="J363" s="669"/>
      <c r="K363" s="669"/>
      <c r="L363" s="669"/>
      <c r="M363" s="669"/>
      <c r="N363" s="669"/>
      <c r="O363" s="669"/>
      <c r="P363" s="669"/>
      <c r="Q363" s="669"/>
      <c r="R363" s="669"/>
      <c r="S363" s="669"/>
      <c r="T363" s="669"/>
      <c r="U363" s="669"/>
      <c r="V363" s="669"/>
      <c r="W363" s="669"/>
      <c r="X363" s="669"/>
      <c r="Y363" s="669"/>
      <c r="Z363" s="669"/>
      <c r="AA363" s="65"/>
      <c r="AB363" s="65"/>
      <c r="AC363" s="79"/>
    </row>
    <row r="364" spans="1:68" ht="14.25" hidden="1" customHeight="1" x14ac:dyDescent="0.25">
      <c r="A364" s="670" t="s">
        <v>122</v>
      </c>
      <c r="B364" s="670"/>
      <c r="C364" s="670"/>
      <c r="D364" s="670"/>
      <c r="E364" s="670"/>
      <c r="F364" s="670"/>
      <c r="G364" s="670"/>
      <c r="H364" s="670"/>
      <c r="I364" s="670"/>
      <c r="J364" s="670"/>
      <c r="K364" s="670"/>
      <c r="L364" s="670"/>
      <c r="M364" s="670"/>
      <c r="N364" s="670"/>
      <c r="O364" s="670"/>
      <c r="P364" s="670"/>
      <c r="Q364" s="670"/>
      <c r="R364" s="670"/>
      <c r="S364" s="670"/>
      <c r="T364" s="670"/>
      <c r="U364" s="670"/>
      <c r="V364" s="670"/>
      <c r="W364" s="670"/>
      <c r="X364" s="670"/>
      <c r="Y364" s="670"/>
      <c r="Z364" s="670"/>
      <c r="AA364" s="66"/>
      <c r="AB364" s="66"/>
      <c r="AC364" s="80"/>
    </row>
    <row r="365" spans="1:68" ht="27" hidden="1" customHeight="1" x14ac:dyDescent="0.25">
      <c r="A365" s="63" t="s">
        <v>599</v>
      </c>
      <c r="B365" s="63" t="s">
        <v>600</v>
      </c>
      <c r="C365" s="36">
        <v>4301012400</v>
      </c>
      <c r="D365" s="665">
        <v>4680115889880</v>
      </c>
      <c r="E365" s="665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67"/>
      <c r="R365" s="667"/>
      <c r="S365" s="667"/>
      <c r="T365" s="66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ref="Y365:Y371" si="63"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543</v>
      </c>
      <c r="AC365" s="462" t="s">
        <v>523</v>
      </c>
      <c r="AG365" s="78"/>
      <c r="AJ365" s="84" t="s">
        <v>46</v>
      </c>
      <c r="AK365" s="84">
        <v>0</v>
      </c>
      <c r="BB365" s="463" t="s">
        <v>67</v>
      </c>
      <c r="BM365" s="78">
        <f t="shared" ref="BM365:BM371" si="64">IFERROR(X365*I365/H365,"0")</f>
        <v>0</v>
      </c>
      <c r="BN365" s="78">
        <f t="shared" ref="BN365:BN371" si="65">IFERROR(Y365*I365/H365,"0")</f>
        <v>0</v>
      </c>
      <c r="BO365" s="78">
        <f t="shared" ref="BO365:BO371" si="66">IFERROR(1/J365*(X365/H365),"0")</f>
        <v>0</v>
      </c>
      <c r="BP365" s="78">
        <f t="shared" ref="BP365:BP371" si="67">IFERROR(1/J365*(Y365/H365),"0")</f>
        <v>0</v>
      </c>
    </row>
    <row r="366" spans="1:68" ht="27" hidden="1" customHeight="1" x14ac:dyDescent="0.25">
      <c r="A366" s="63" t="s">
        <v>601</v>
      </c>
      <c r="B366" s="63" t="s">
        <v>602</v>
      </c>
      <c r="C366" s="36">
        <v>4301012360</v>
      </c>
      <c r="D366" s="665">
        <v>4680115889293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63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603</v>
      </c>
      <c r="AG366" s="78"/>
      <c r="AJ366" s="84" t="s">
        <v>46</v>
      </c>
      <c r="AK366" s="84">
        <v>0</v>
      </c>
      <c r="BB366" s="465" t="s">
        <v>67</v>
      </c>
      <c r="BM366" s="78">
        <f t="shared" si="64"/>
        <v>0</v>
      </c>
      <c r="BN366" s="78">
        <f t="shared" si="65"/>
        <v>0</v>
      </c>
      <c r="BO366" s="78">
        <f t="shared" si="66"/>
        <v>0</v>
      </c>
      <c r="BP366" s="78">
        <f t="shared" si="67"/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37.5" hidden="1" customHeight="1" x14ac:dyDescent="0.25">
      <c r="A368" s="63" t="s">
        <v>607</v>
      </c>
      <c r="B368" s="63" t="s">
        <v>608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606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617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idden="1" x14ac:dyDescent="0.2">
      <c r="A372" s="659"/>
      <c r="B372" s="659"/>
      <c r="C372" s="659"/>
      <c r="D372" s="659"/>
      <c r="E372" s="659"/>
      <c r="F372" s="659"/>
      <c r="G372" s="659"/>
      <c r="H372" s="659"/>
      <c r="I372" s="659"/>
      <c r="J372" s="659"/>
      <c r="K372" s="659"/>
      <c r="L372" s="659"/>
      <c r="M372" s="659"/>
      <c r="N372" s="659"/>
      <c r="O372" s="660"/>
      <c r="P372" s="656" t="s">
        <v>40</v>
      </c>
      <c r="Q372" s="657"/>
      <c r="R372" s="657"/>
      <c r="S372" s="657"/>
      <c r="T372" s="657"/>
      <c r="U372" s="657"/>
      <c r="V372" s="658"/>
      <c r="W372" s="42" t="s">
        <v>39</v>
      </c>
      <c r="X372" s="43">
        <f>IFERROR(X365/H365,"0")+IFERROR(X366/H366,"0")+IFERROR(X367/H367,"0")+IFERROR(X368/H368,"0")+IFERROR(X369/H369,"0")+IFERROR(X370/H370,"0")+IFERROR(X371/H371,"0")</f>
        <v>0</v>
      </c>
      <c r="Y372" s="43">
        <f>IFERROR(Y365/H365,"0")+IFERROR(Y366/H366,"0")+IFERROR(Y367/H367,"0")+IFERROR(Y368/H368,"0")+IFERROR(Y369/H369,"0")+IFERROR(Y370/H370,"0")+IFERROR(Y371/H371,"0")</f>
        <v>0</v>
      </c>
      <c r="Z372" s="43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59"/>
      <c r="B373" s="659"/>
      <c r="C373" s="659"/>
      <c r="D373" s="659"/>
      <c r="E373" s="659"/>
      <c r="F373" s="659"/>
      <c r="G373" s="659"/>
      <c r="H373" s="659"/>
      <c r="I373" s="659"/>
      <c r="J373" s="659"/>
      <c r="K373" s="659"/>
      <c r="L373" s="659"/>
      <c r="M373" s="659"/>
      <c r="N373" s="659"/>
      <c r="O373" s="660"/>
      <c r="P373" s="656" t="s">
        <v>40</v>
      </c>
      <c r="Q373" s="657"/>
      <c r="R373" s="657"/>
      <c r="S373" s="657"/>
      <c r="T373" s="657"/>
      <c r="U373" s="657"/>
      <c r="V373" s="658"/>
      <c r="W373" s="42" t="s">
        <v>0</v>
      </c>
      <c r="X373" s="43">
        <f>IFERROR(SUM(X365:X371),"0")</f>
        <v>0</v>
      </c>
      <c r="Y373" s="43">
        <f>IFERROR(SUM(Y365:Y371),"0")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70" t="s">
        <v>77</v>
      </c>
      <c r="B374" s="670"/>
      <c r="C374" s="670"/>
      <c r="D374" s="670"/>
      <c r="E374" s="670"/>
      <c r="F374" s="670"/>
      <c r="G374" s="670"/>
      <c r="H374" s="670"/>
      <c r="I374" s="670"/>
      <c r="J374" s="670"/>
      <c r="K374" s="670"/>
      <c r="L374" s="670"/>
      <c r="M374" s="670"/>
      <c r="N374" s="670"/>
      <c r="O374" s="670"/>
      <c r="P374" s="670"/>
      <c r="Q374" s="670"/>
      <c r="R374" s="670"/>
      <c r="S374" s="670"/>
      <c r="T374" s="670"/>
      <c r="U374" s="670"/>
      <c r="V374" s="670"/>
      <c r="W374" s="670"/>
      <c r="X374" s="670"/>
      <c r="Y374" s="670"/>
      <c r="Z374" s="670"/>
      <c r="AA374" s="66"/>
      <c r="AB374" s="66"/>
      <c r="AC374" s="80"/>
    </row>
    <row r="375" spans="1:68" ht="27" hidden="1" customHeight="1" x14ac:dyDescent="0.25">
      <c r="A375" s="63" t="s">
        <v>618</v>
      </c>
      <c r="B375" s="63" t="s">
        <v>619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7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8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620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9">IFERROR(X375*I375/H375,"0")</f>
        <v>0</v>
      </c>
      <c r="BN375" s="78">
        <f t="shared" ref="BN375:BN381" si="70">IFERROR(Y375*I375/H375,"0")</f>
        <v>0</v>
      </c>
      <c r="BO375" s="78">
        <f t="shared" ref="BO375:BO381" si="71">IFERROR(1/J375*(X375/H375),"0")</f>
        <v>0</v>
      </c>
      <c r="BP375" s="78">
        <f t="shared" ref="BP375:BP381" si="72">IFERROR(1/J375*(Y375/H375),"0")</f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75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si="69"/>
        <v>0</v>
      </c>
      <c r="BN376" s="78">
        <f t="shared" si="70"/>
        <v>0</v>
      </c>
      <c r="BO376" s="78">
        <f t="shared" si="71"/>
        <v>0</v>
      </c>
      <c r="BP376" s="78">
        <f t="shared" si="72"/>
        <v>0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623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5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631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5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626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75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636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idden="1" x14ac:dyDescent="0.2">
      <c r="A382" s="659"/>
      <c r="B382" s="659"/>
      <c r="C382" s="659"/>
      <c r="D382" s="659"/>
      <c r="E382" s="659"/>
      <c r="F382" s="659"/>
      <c r="G382" s="659"/>
      <c r="H382" s="659"/>
      <c r="I382" s="659"/>
      <c r="J382" s="659"/>
      <c r="K382" s="659"/>
      <c r="L382" s="659"/>
      <c r="M382" s="659"/>
      <c r="N382" s="659"/>
      <c r="O382" s="660"/>
      <c r="P382" s="656" t="s">
        <v>40</v>
      </c>
      <c r="Q382" s="657"/>
      <c r="R382" s="657"/>
      <c r="S382" s="657"/>
      <c r="T382" s="657"/>
      <c r="U382" s="657"/>
      <c r="V382" s="658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59"/>
      <c r="B383" s="659"/>
      <c r="C383" s="659"/>
      <c r="D383" s="659"/>
      <c r="E383" s="659"/>
      <c r="F383" s="659"/>
      <c r="G383" s="659"/>
      <c r="H383" s="659"/>
      <c r="I383" s="659"/>
      <c r="J383" s="659"/>
      <c r="K383" s="659"/>
      <c r="L383" s="659"/>
      <c r="M383" s="659"/>
      <c r="N383" s="659"/>
      <c r="O383" s="660"/>
      <c r="P383" s="656" t="s">
        <v>40</v>
      </c>
      <c r="Q383" s="657"/>
      <c r="R383" s="657"/>
      <c r="S383" s="657"/>
      <c r="T383" s="657"/>
      <c r="U383" s="657"/>
      <c r="V383" s="658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70" t="s">
        <v>86</v>
      </c>
      <c r="B384" s="670"/>
      <c r="C384" s="670"/>
      <c r="D384" s="670"/>
      <c r="E384" s="670"/>
      <c r="F384" s="670"/>
      <c r="G384" s="670"/>
      <c r="H384" s="670"/>
      <c r="I384" s="670"/>
      <c r="J384" s="670"/>
      <c r="K384" s="670"/>
      <c r="L384" s="670"/>
      <c r="M384" s="670"/>
      <c r="N384" s="670"/>
      <c r="O384" s="670"/>
      <c r="P384" s="670"/>
      <c r="Q384" s="670"/>
      <c r="R384" s="670"/>
      <c r="S384" s="670"/>
      <c r="T384" s="670"/>
      <c r="U384" s="670"/>
      <c r="V384" s="670"/>
      <c r="W384" s="670"/>
      <c r="X384" s="670"/>
      <c r="Y384" s="670"/>
      <c r="Z384" s="670"/>
      <c r="AA384" s="66"/>
      <c r="AB384" s="66"/>
      <c r="AC384" s="80"/>
    </row>
    <row r="385" spans="1:68" ht="27" hidden="1" customHeight="1" x14ac:dyDescent="0.25">
      <c r="A385" s="63" t="s">
        <v>637</v>
      </c>
      <c r="B385" s="63" t="s">
        <v>638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639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639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59"/>
      <c r="B389" s="659"/>
      <c r="C389" s="659"/>
      <c r="D389" s="659"/>
      <c r="E389" s="659"/>
      <c r="F389" s="659"/>
      <c r="G389" s="659"/>
      <c r="H389" s="659"/>
      <c r="I389" s="659"/>
      <c r="J389" s="659"/>
      <c r="K389" s="659"/>
      <c r="L389" s="659"/>
      <c r="M389" s="659"/>
      <c r="N389" s="659"/>
      <c r="O389" s="660"/>
      <c r="P389" s="656" t="s">
        <v>40</v>
      </c>
      <c r="Q389" s="657"/>
      <c r="R389" s="657"/>
      <c r="S389" s="657"/>
      <c r="T389" s="657"/>
      <c r="U389" s="657"/>
      <c r="V389" s="658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59"/>
      <c r="B390" s="659"/>
      <c r="C390" s="659"/>
      <c r="D390" s="659"/>
      <c r="E390" s="659"/>
      <c r="F390" s="659"/>
      <c r="G390" s="659"/>
      <c r="H390" s="659"/>
      <c r="I390" s="659"/>
      <c r="J390" s="659"/>
      <c r="K390" s="659"/>
      <c r="L390" s="659"/>
      <c r="M390" s="659"/>
      <c r="N390" s="659"/>
      <c r="O390" s="660"/>
      <c r="P390" s="656" t="s">
        <v>40</v>
      </c>
      <c r="Q390" s="657"/>
      <c r="R390" s="657"/>
      <c r="S390" s="657"/>
      <c r="T390" s="657"/>
      <c r="U390" s="657"/>
      <c r="V390" s="658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70" t="s">
        <v>179</v>
      </c>
      <c r="B391" s="670"/>
      <c r="C391" s="670"/>
      <c r="D391" s="670"/>
      <c r="E391" s="670"/>
      <c r="F391" s="670"/>
      <c r="G391" s="670"/>
      <c r="H391" s="670"/>
      <c r="I391" s="670"/>
      <c r="J391" s="670"/>
      <c r="K391" s="670"/>
      <c r="L391" s="670"/>
      <c r="M391" s="670"/>
      <c r="N391" s="670"/>
      <c r="O391" s="670"/>
      <c r="P391" s="670"/>
      <c r="Q391" s="670"/>
      <c r="R391" s="670"/>
      <c r="S391" s="670"/>
      <c r="T391" s="670"/>
      <c r="U391" s="670"/>
      <c r="V391" s="670"/>
      <c r="W391" s="670"/>
      <c r="X391" s="670"/>
      <c r="Y391" s="670"/>
      <c r="Z391" s="670"/>
      <c r="AA391" s="66"/>
      <c r="AB391" s="66"/>
      <c r="AC391" s="80"/>
    </row>
    <row r="392" spans="1:68" ht="27" hidden="1" customHeight="1" x14ac:dyDescent="0.25">
      <c r="A392" s="63" t="s">
        <v>648</v>
      </c>
      <c r="B392" s="63" t="s">
        <v>649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650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7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59"/>
      <c r="B395" s="659"/>
      <c r="C395" s="659"/>
      <c r="D395" s="659"/>
      <c r="E395" s="659"/>
      <c r="F395" s="659"/>
      <c r="G395" s="659"/>
      <c r="H395" s="659"/>
      <c r="I395" s="659"/>
      <c r="J395" s="659"/>
      <c r="K395" s="659"/>
      <c r="L395" s="659"/>
      <c r="M395" s="659"/>
      <c r="N395" s="659"/>
      <c r="O395" s="660"/>
      <c r="P395" s="656" t="s">
        <v>40</v>
      </c>
      <c r="Q395" s="657"/>
      <c r="R395" s="657"/>
      <c r="S395" s="657"/>
      <c r="T395" s="657"/>
      <c r="U395" s="657"/>
      <c r="V395" s="658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59"/>
      <c r="B396" s="659"/>
      <c r="C396" s="659"/>
      <c r="D396" s="659"/>
      <c r="E396" s="659"/>
      <c r="F396" s="659"/>
      <c r="G396" s="659"/>
      <c r="H396" s="659"/>
      <c r="I396" s="659"/>
      <c r="J396" s="659"/>
      <c r="K396" s="659"/>
      <c r="L396" s="659"/>
      <c r="M396" s="659"/>
      <c r="N396" s="659"/>
      <c r="O396" s="660"/>
      <c r="P396" s="656" t="s">
        <v>40</v>
      </c>
      <c r="Q396" s="657"/>
      <c r="R396" s="657"/>
      <c r="S396" s="657"/>
      <c r="T396" s="657"/>
      <c r="U396" s="657"/>
      <c r="V396" s="658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70" t="s">
        <v>278</v>
      </c>
      <c r="B397" s="670"/>
      <c r="C397" s="670"/>
      <c r="D397" s="670"/>
      <c r="E397" s="670"/>
      <c r="F397" s="670"/>
      <c r="G397" s="670"/>
      <c r="H397" s="670"/>
      <c r="I397" s="670"/>
      <c r="J397" s="670"/>
      <c r="K397" s="670"/>
      <c r="L397" s="670"/>
      <c r="M397" s="670"/>
      <c r="N397" s="670"/>
      <c r="O397" s="670"/>
      <c r="P397" s="670"/>
      <c r="Q397" s="670"/>
      <c r="R397" s="670"/>
      <c r="S397" s="670"/>
      <c r="T397" s="670"/>
      <c r="U397" s="670"/>
      <c r="V397" s="670"/>
      <c r="W397" s="670"/>
      <c r="X397" s="670"/>
      <c r="Y397" s="670"/>
      <c r="Z397" s="670"/>
      <c r="AA397" s="66"/>
      <c r="AB397" s="66"/>
      <c r="AC397" s="80"/>
    </row>
    <row r="398" spans="1:68" ht="27" hidden="1" customHeight="1" x14ac:dyDescent="0.25">
      <c r="A398" s="63" t="s">
        <v>657</v>
      </c>
      <c r="B398" s="63" t="s">
        <v>658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254</v>
      </c>
      <c r="N398" s="38"/>
      <c r="O398" s="37">
        <v>180</v>
      </c>
      <c r="P398" s="74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659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660</v>
      </c>
      <c r="B399" s="63" t="s">
        <v>661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659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254</v>
      </c>
      <c r="N400" s="38"/>
      <c r="O400" s="37">
        <v>180</v>
      </c>
      <c r="P400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664</v>
      </c>
      <c r="B401" s="63" t="s">
        <v>665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659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59"/>
      <c r="B402" s="659"/>
      <c r="C402" s="659"/>
      <c r="D402" s="659"/>
      <c r="E402" s="659"/>
      <c r="F402" s="659"/>
      <c r="G402" s="659"/>
      <c r="H402" s="659"/>
      <c r="I402" s="659"/>
      <c r="J402" s="659"/>
      <c r="K402" s="659"/>
      <c r="L402" s="659"/>
      <c r="M402" s="659"/>
      <c r="N402" s="659"/>
      <c r="O402" s="660"/>
      <c r="P402" s="656" t="s">
        <v>40</v>
      </c>
      <c r="Q402" s="657"/>
      <c r="R402" s="657"/>
      <c r="S402" s="657"/>
      <c r="T402" s="657"/>
      <c r="U402" s="657"/>
      <c r="V402" s="658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59"/>
      <c r="B403" s="659"/>
      <c r="C403" s="659"/>
      <c r="D403" s="659"/>
      <c r="E403" s="659"/>
      <c r="F403" s="659"/>
      <c r="G403" s="659"/>
      <c r="H403" s="659"/>
      <c r="I403" s="659"/>
      <c r="J403" s="659"/>
      <c r="K403" s="659"/>
      <c r="L403" s="659"/>
      <c r="M403" s="659"/>
      <c r="N403" s="659"/>
      <c r="O403" s="660"/>
      <c r="P403" s="656" t="s">
        <v>40</v>
      </c>
      <c r="Q403" s="657"/>
      <c r="R403" s="657"/>
      <c r="S403" s="657"/>
      <c r="T403" s="657"/>
      <c r="U403" s="657"/>
      <c r="V403" s="658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70" t="s">
        <v>666</v>
      </c>
      <c r="B404" s="670"/>
      <c r="C404" s="670"/>
      <c r="D404" s="670"/>
      <c r="E404" s="670"/>
      <c r="F404" s="670"/>
      <c r="G404" s="670"/>
      <c r="H404" s="670"/>
      <c r="I404" s="670"/>
      <c r="J404" s="670"/>
      <c r="K404" s="670"/>
      <c r="L404" s="670"/>
      <c r="M404" s="670"/>
      <c r="N404" s="670"/>
      <c r="O404" s="670"/>
      <c r="P404" s="670"/>
      <c r="Q404" s="670"/>
      <c r="R404" s="670"/>
      <c r="S404" s="670"/>
      <c r="T404" s="670"/>
      <c r="U404" s="670"/>
      <c r="V404" s="670"/>
      <c r="W404" s="670"/>
      <c r="X404" s="670"/>
      <c r="Y404" s="670"/>
      <c r="Z404" s="670"/>
      <c r="AA404" s="66"/>
      <c r="AB404" s="66"/>
      <c r="AC404" s="80"/>
    </row>
    <row r="405" spans="1:68" ht="16.5" hidden="1" customHeight="1" x14ac:dyDescent="0.25">
      <c r="A405" s="63" t="s">
        <v>667</v>
      </c>
      <c r="B405" s="63" t="s">
        <v>668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670</v>
      </c>
      <c r="N405" s="38"/>
      <c r="O405" s="37">
        <v>731</v>
      </c>
      <c r="P405" s="7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669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671</v>
      </c>
      <c r="B406" s="63" t="s">
        <v>672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670</v>
      </c>
      <c r="N406" s="38"/>
      <c r="O406" s="37">
        <v>731</v>
      </c>
      <c r="P406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669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673</v>
      </c>
      <c r="B407" s="63" t="s">
        <v>674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670</v>
      </c>
      <c r="N407" s="38"/>
      <c r="O407" s="37">
        <v>731</v>
      </c>
      <c r="P407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669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59"/>
      <c r="B408" s="659"/>
      <c r="C408" s="659"/>
      <c r="D408" s="659"/>
      <c r="E408" s="659"/>
      <c r="F408" s="659"/>
      <c r="G408" s="659"/>
      <c r="H408" s="659"/>
      <c r="I408" s="659"/>
      <c r="J408" s="659"/>
      <c r="K408" s="659"/>
      <c r="L408" s="659"/>
      <c r="M408" s="659"/>
      <c r="N408" s="659"/>
      <c r="O408" s="660"/>
      <c r="P408" s="656" t="s">
        <v>40</v>
      </c>
      <c r="Q408" s="657"/>
      <c r="R408" s="657"/>
      <c r="S408" s="657"/>
      <c r="T408" s="657"/>
      <c r="U408" s="657"/>
      <c r="V408" s="65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59"/>
      <c r="B409" s="659"/>
      <c r="C409" s="659"/>
      <c r="D409" s="659"/>
      <c r="E409" s="659"/>
      <c r="F409" s="659"/>
      <c r="G409" s="659"/>
      <c r="H409" s="659"/>
      <c r="I409" s="659"/>
      <c r="J409" s="659"/>
      <c r="K409" s="659"/>
      <c r="L409" s="659"/>
      <c r="M409" s="659"/>
      <c r="N409" s="659"/>
      <c r="O409" s="660"/>
      <c r="P409" s="656" t="s">
        <v>40</v>
      </c>
      <c r="Q409" s="657"/>
      <c r="R409" s="657"/>
      <c r="S409" s="657"/>
      <c r="T409" s="657"/>
      <c r="U409" s="657"/>
      <c r="V409" s="65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70" t="s">
        <v>675</v>
      </c>
      <c r="B410" s="670"/>
      <c r="C410" s="670"/>
      <c r="D410" s="670"/>
      <c r="E410" s="670"/>
      <c r="F410" s="670"/>
      <c r="G410" s="670"/>
      <c r="H410" s="670"/>
      <c r="I410" s="670"/>
      <c r="J410" s="670"/>
      <c r="K410" s="670"/>
      <c r="L410" s="670"/>
      <c r="M410" s="670"/>
      <c r="N410" s="670"/>
      <c r="O410" s="670"/>
      <c r="P410" s="670"/>
      <c r="Q410" s="670"/>
      <c r="R410" s="670"/>
      <c r="S410" s="670"/>
      <c r="T410" s="670"/>
      <c r="U410" s="670"/>
      <c r="V410" s="670"/>
      <c r="W410" s="670"/>
      <c r="X410" s="670"/>
      <c r="Y410" s="670"/>
      <c r="Z410" s="670"/>
      <c r="AA410" s="66"/>
      <c r="AB410" s="66"/>
      <c r="AC410" s="80"/>
    </row>
    <row r="411" spans="1:68" ht="27" hidden="1" customHeight="1" x14ac:dyDescent="0.25">
      <c r="A411" s="63" t="s">
        <v>676</v>
      </c>
      <c r="B411" s="63" t="s">
        <v>677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670</v>
      </c>
      <c r="N411" s="38"/>
      <c r="O411" s="37">
        <v>1096</v>
      </c>
      <c r="P411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678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670</v>
      </c>
      <c r="N412" s="38"/>
      <c r="O412" s="37">
        <v>1096</v>
      </c>
      <c r="P412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670</v>
      </c>
      <c r="N413" s="38"/>
      <c r="O413" s="37">
        <v>1096</v>
      </c>
      <c r="P413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678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59"/>
      <c r="B414" s="659"/>
      <c r="C414" s="659"/>
      <c r="D414" s="659"/>
      <c r="E414" s="659"/>
      <c r="F414" s="659"/>
      <c r="G414" s="659"/>
      <c r="H414" s="659"/>
      <c r="I414" s="659"/>
      <c r="J414" s="659"/>
      <c r="K414" s="659"/>
      <c r="L414" s="659"/>
      <c r="M414" s="659"/>
      <c r="N414" s="659"/>
      <c r="O414" s="660"/>
      <c r="P414" s="656" t="s">
        <v>40</v>
      </c>
      <c r="Q414" s="657"/>
      <c r="R414" s="657"/>
      <c r="S414" s="657"/>
      <c r="T414" s="657"/>
      <c r="U414" s="657"/>
      <c r="V414" s="658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59"/>
      <c r="B415" s="659"/>
      <c r="C415" s="659"/>
      <c r="D415" s="659"/>
      <c r="E415" s="659"/>
      <c r="F415" s="659"/>
      <c r="G415" s="659"/>
      <c r="H415" s="659"/>
      <c r="I415" s="659"/>
      <c r="J415" s="659"/>
      <c r="K415" s="659"/>
      <c r="L415" s="659"/>
      <c r="M415" s="659"/>
      <c r="N415" s="659"/>
      <c r="O415" s="660"/>
      <c r="P415" s="656" t="s">
        <v>40</v>
      </c>
      <c r="Q415" s="657"/>
      <c r="R415" s="657"/>
      <c r="S415" s="657"/>
      <c r="T415" s="657"/>
      <c r="U415" s="657"/>
      <c r="V415" s="658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9" t="s">
        <v>684</v>
      </c>
      <c r="B416" s="669"/>
      <c r="C416" s="669"/>
      <c r="D416" s="669"/>
      <c r="E416" s="669"/>
      <c r="F416" s="669"/>
      <c r="G416" s="669"/>
      <c r="H416" s="669"/>
      <c r="I416" s="669"/>
      <c r="J416" s="669"/>
      <c r="K416" s="669"/>
      <c r="L416" s="669"/>
      <c r="M416" s="669"/>
      <c r="N416" s="669"/>
      <c r="O416" s="669"/>
      <c r="P416" s="669"/>
      <c r="Q416" s="669"/>
      <c r="R416" s="669"/>
      <c r="S416" s="669"/>
      <c r="T416" s="669"/>
      <c r="U416" s="669"/>
      <c r="V416" s="669"/>
      <c r="W416" s="669"/>
      <c r="X416" s="669"/>
      <c r="Y416" s="669"/>
      <c r="Z416" s="669"/>
      <c r="AA416" s="65"/>
      <c r="AB416" s="65"/>
      <c r="AC416" s="79"/>
    </row>
    <row r="417" spans="1:68" ht="14.25" hidden="1" customHeight="1" x14ac:dyDescent="0.25">
      <c r="A417" s="670" t="s">
        <v>86</v>
      </c>
      <c r="B417" s="670"/>
      <c r="C417" s="670"/>
      <c r="D417" s="670"/>
      <c r="E417" s="670"/>
      <c r="F417" s="670"/>
      <c r="G417" s="670"/>
      <c r="H417" s="670"/>
      <c r="I417" s="670"/>
      <c r="J417" s="670"/>
      <c r="K417" s="670"/>
      <c r="L417" s="670"/>
      <c r="M417" s="670"/>
      <c r="N417" s="670"/>
      <c r="O417" s="670"/>
      <c r="P417" s="670"/>
      <c r="Q417" s="670"/>
      <c r="R417" s="670"/>
      <c r="S417" s="670"/>
      <c r="T417" s="670"/>
      <c r="U417" s="670"/>
      <c r="V417" s="670"/>
      <c r="W417" s="670"/>
      <c r="X417" s="670"/>
      <c r="Y417" s="670"/>
      <c r="Z417" s="670"/>
      <c r="AA417" s="66"/>
      <c r="AB417" s="66"/>
      <c r="AC417" s="80"/>
    </row>
    <row r="418" spans="1:68" ht="16.5" hidden="1" customHeight="1" x14ac:dyDescent="0.25">
      <c r="A418" s="63" t="s">
        <v>685</v>
      </c>
      <c r="B418" s="63" t="s">
        <v>686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687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688</v>
      </c>
      <c r="B419" s="63" t="s">
        <v>689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3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59"/>
      <c r="B420" s="659"/>
      <c r="C420" s="659"/>
      <c r="D420" s="659"/>
      <c r="E420" s="659"/>
      <c r="F420" s="659"/>
      <c r="G420" s="659"/>
      <c r="H420" s="659"/>
      <c r="I420" s="659"/>
      <c r="J420" s="659"/>
      <c r="K420" s="659"/>
      <c r="L420" s="659"/>
      <c r="M420" s="659"/>
      <c r="N420" s="659"/>
      <c r="O420" s="660"/>
      <c r="P420" s="656" t="s">
        <v>40</v>
      </c>
      <c r="Q420" s="657"/>
      <c r="R420" s="657"/>
      <c r="S420" s="657"/>
      <c r="T420" s="657"/>
      <c r="U420" s="657"/>
      <c r="V420" s="658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59"/>
      <c r="B421" s="659"/>
      <c r="C421" s="659"/>
      <c r="D421" s="659"/>
      <c r="E421" s="659"/>
      <c r="F421" s="659"/>
      <c r="G421" s="659"/>
      <c r="H421" s="659"/>
      <c r="I421" s="659"/>
      <c r="J421" s="659"/>
      <c r="K421" s="659"/>
      <c r="L421" s="659"/>
      <c r="M421" s="659"/>
      <c r="N421" s="659"/>
      <c r="O421" s="660"/>
      <c r="P421" s="656" t="s">
        <v>40</v>
      </c>
      <c r="Q421" s="657"/>
      <c r="R421" s="657"/>
      <c r="S421" s="657"/>
      <c r="T421" s="657"/>
      <c r="U421" s="657"/>
      <c r="V421" s="658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9" t="s">
        <v>691</v>
      </c>
      <c r="B422" s="669"/>
      <c r="C422" s="669"/>
      <c r="D422" s="669"/>
      <c r="E422" s="669"/>
      <c r="F422" s="669"/>
      <c r="G422" s="669"/>
      <c r="H422" s="669"/>
      <c r="I422" s="669"/>
      <c r="J422" s="669"/>
      <c r="K422" s="669"/>
      <c r="L422" s="669"/>
      <c r="M422" s="669"/>
      <c r="N422" s="669"/>
      <c r="O422" s="669"/>
      <c r="P422" s="669"/>
      <c r="Q422" s="669"/>
      <c r="R422" s="669"/>
      <c r="S422" s="669"/>
      <c r="T422" s="669"/>
      <c r="U422" s="669"/>
      <c r="V422" s="669"/>
      <c r="W422" s="669"/>
      <c r="X422" s="669"/>
      <c r="Y422" s="669"/>
      <c r="Z422" s="669"/>
      <c r="AA422" s="65"/>
      <c r="AB422" s="65"/>
      <c r="AC422" s="79"/>
    </row>
    <row r="423" spans="1:68" ht="14.25" hidden="1" customHeight="1" x14ac:dyDescent="0.25">
      <c r="A423" s="670" t="s">
        <v>86</v>
      </c>
      <c r="B423" s="670"/>
      <c r="C423" s="670"/>
      <c r="D423" s="670"/>
      <c r="E423" s="670"/>
      <c r="F423" s="670"/>
      <c r="G423" s="670"/>
      <c r="H423" s="670"/>
      <c r="I423" s="670"/>
      <c r="J423" s="670"/>
      <c r="K423" s="670"/>
      <c r="L423" s="670"/>
      <c r="M423" s="670"/>
      <c r="N423" s="670"/>
      <c r="O423" s="670"/>
      <c r="P423" s="670"/>
      <c r="Q423" s="670"/>
      <c r="R423" s="670"/>
      <c r="S423" s="670"/>
      <c r="T423" s="670"/>
      <c r="U423" s="670"/>
      <c r="V423" s="670"/>
      <c r="W423" s="670"/>
      <c r="X423" s="670"/>
      <c r="Y423" s="670"/>
      <c r="Z423" s="670"/>
      <c r="AA423" s="66"/>
      <c r="AB423" s="66"/>
      <c r="AC423" s="80"/>
    </row>
    <row r="424" spans="1:68" ht="27" hidden="1" customHeight="1" x14ac:dyDescent="0.25">
      <c r="A424" s="63" t="s">
        <v>692</v>
      </c>
      <c r="B424" s="63" t="s">
        <v>693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7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694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695</v>
      </c>
      <c r="B425" s="63" t="s">
        <v>696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7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698</v>
      </c>
      <c r="B426" s="63" t="s">
        <v>699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7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59"/>
      <c r="B427" s="659"/>
      <c r="C427" s="659"/>
      <c r="D427" s="659"/>
      <c r="E427" s="659"/>
      <c r="F427" s="659"/>
      <c r="G427" s="659"/>
      <c r="H427" s="659"/>
      <c r="I427" s="659"/>
      <c r="J427" s="659"/>
      <c r="K427" s="659"/>
      <c r="L427" s="659"/>
      <c r="M427" s="659"/>
      <c r="N427" s="659"/>
      <c r="O427" s="660"/>
      <c r="P427" s="656" t="s">
        <v>40</v>
      </c>
      <c r="Q427" s="657"/>
      <c r="R427" s="657"/>
      <c r="S427" s="657"/>
      <c r="T427" s="657"/>
      <c r="U427" s="657"/>
      <c r="V427" s="658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59"/>
      <c r="B428" s="659"/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  <c r="N428" s="659"/>
      <c r="O428" s="660"/>
      <c r="P428" s="656" t="s">
        <v>40</v>
      </c>
      <c r="Q428" s="657"/>
      <c r="R428" s="657"/>
      <c r="S428" s="657"/>
      <c r="T428" s="657"/>
      <c r="U428" s="657"/>
      <c r="V428" s="658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6" t="s">
        <v>701</v>
      </c>
      <c r="B429" s="676"/>
      <c r="C429" s="676"/>
      <c r="D429" s="676"/>
      <c r="E429" s="676"/>
      <c r="F429" s="676"/>
      <c r="G429" s="676"/>
      <c r="H429" s="676"/>
      <c r="I429" s="676"/>
      <c r="J429" s="676"/>
      <c r="K429" s="676"/>
      <c r="L429" s="676"/>
      <c r="M429" s="676"/>
      <c r="N429" s="676"/>
      <c r="O429" s="676"/>
      <c r="P429" s="676"/>
      <c r="Q429" s="676"/>
      <c r="R429" s="676"/>
      <c r="S429" s="676"/>
      <c r="T429" s="676"/>
      <c r="U429" s="676"/>
      <c r="V429" s="676"/>
      <c r="W429" s="676"/>
      <c r="X429" s="676"/>
      <c r="Y429" s="676"/>
      <c r="Z429" s="676"/>
      <c r="AA429" s="54"/>
      <c r="AB429" s="54"/>
      <c r="AC429" s="54"/>
    </row>
    <row r="430" spans="1:68" ht="16.5" hidden="1" customHeight="1" x14ac:dyDescent="0.25">
      <c r="A430" s="669" t="s">
        <v>702</v>
      </c>
      <c r="B430" s="669"/>
      <c r="C430" s="669"/>
      <c r="D430" s="669"/>
      <c r="E430" s="669"/>
      <c r="F430" s="669"/>
      <c r="G430" s="669"/>
      <c r="H430" s="669"/>
      <c r="I430" s="669"/>
      <c r="J430" s="669"/>
      <c r="K430" s="669"/>
      <c r="L430" s="669"/>
      <c r="M430" s="669"/>
      <c r="N430" s="669"/>
      <c r="O430" s="669"/>
      <c r="P430" s="669"/>
      <c r="Q430" s="669"/>
      <c r="R430" s="669"/>
      <c r="S430" s="669"/>
      <c r="T430" s="669"/>
      <c r="U430" s="669"/>
      <c r="V430" s="669"/>
      <c r="W430" s="669"/>
      <c r="X430" s="669"/>
      <c r="Y430" s="669"/>
      <c r="Z430" s="669"/>
      <c r="AA430" s="65"/>
      <c r="AB430" s="65"/>
      <c r="AC430" s="79"/>
    </row>
    <row r="431" spans="1:68" ht="14.25" hidden="1" customHeight="1" x14ac:dyDescent="0.25">
      <c r="A431" s="670" t="s">
        <v>122</v>
      </c>
      <c r="B431" s="670"/>
      <c r="C431" s="670"/>
      <c r="D431" s="670"/>
      <c r="E431" s="670"/>
      <c r="F431" s="670"/>
      <c r="G431" s="670"/>
      <c r="H431" s="670"/>
      <c r="I431" s="670"/>
      <c r="J431" s="670"/>
      <c r="K431" s="670"/>
      <c r="L431" s="670"/>
      <c r="M431" s="670"/>
      <c r="N431" s="670"/>
      <c r="O431" s="670"/>
      <c r="P431" s="670"/>
      <c r="Q431" s="670"/>
      <c r="R431" s="670"/>
      <c r="S431" s="670"/>
      <c r="T431" s="670"/>
      <c r="U431" s="670"/>
      <c r="V431" s="670"/>
      <c r="W431" s="670"/>
      <c r="X431" s="670"/>
      <c r="Y431" s="670"/>
      <c r="Z431" s="670"/>
      <c r="AA431" s="66"/>
      <c r="AB431" s="66"/>
      <c r="AC431" s="80"/>
    </row>
    <row r="432" spans="1:68" ht="27" hidden="1" customHeight="1" x14ac:dyDescent="0.25">
      <c r="A432" s="63" t="s">
        <v>703</v>
      </c>
      <c r="B432" s="63" t="s">
        <v>704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73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705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74">IFERROR(X432*I432/H432,"0")</f>
        <v>0</v>
      </c>
      <c r="BN432" s="78">
        <f t="shared" ref="BN432:BN439" si="75">IFERROR(Y432*I432/H432,"0")</f>
        <v>0</v>
      </c>
      <c r="BO432" s="78">
        <f t="shared" ref="BO432:BO439" si="76">IFERROR(1/J432*(X432/H432),"0")</f>
        <v>0</v>
      </c>
      <c r="BP432" s="78">
        <f t="shared" ref="BP432:BP439" si="77">IFERROR(1/J432*(Y432/H432),"0")</f>
        <v>0</v>
      </c>
    </row>
    <row r="433" spans="1:68" ht="37.5" hidden="1" customHeight="1" x14ac:dyDescent="0.25">
      <c r="A433" s="63" t="s">
        <v>706</v>
      </c>
      <c r="B433" s="63" t="s">
        <v>707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7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si="74"/>
        <v>0</v>
      </c>
      <c r="BN433" s="78">
        <f t="shared" si="75"/>
        <v>0</v>
      </c>
      <c r="BO433" s="78">
        <f t="shared" si="76"/>
        <v>0</v>
      </c>
      <c r="BP433" s="78">
        <f t="shared" si="77"/>
        <v>0</v>
      </c>
    </row>
    <row r="434" spans="1:68" ht="27" hidden="1" customHeight="1" x14ac:dyDescent="0.25">
      <c r="A434" s="63" t="s">
        <v>709</v>
      </c>
      <c r="B434" s="63" t="s">
        <v>710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0</v>
      </c>
      <c r="BN434" s="78">
        <f t="shared" si="75"/>
        <v>0</v>
      </c>
      <c r="BO434" s="78">
        <f t="shared" si="76"/>
        <v>0</v>
      </c>
      <c r="BP434" s="78">
        <f t="shared" si="77"/>
        <v>0</v>
      </c>
    </row>
    <row r="435" spans="1:68" ht="27" customHeight="1" x14ac:dyDescent="0.25">
      <c r="A435" s="63" t="s">
        <v>712</v>
      </c>
      <c r="B435" s="63" t="s">
        <v>713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3000</v>
      </c>
      <c r="Y435" s="55">
        <f t="shared" si="73"/>
        <v>3000</v>
      </c>
      <c r="Z435" s="41">
        <f>IFERROR(IF(Y435=0,"",ROUNDUP(Y435/H435,0)*0.02175),"")</f>
        <v>4.3499999999999996</v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3094</v>
      </c>
      <c r="BN435" s="78">
        <f t="shared" si="75"/>
        <v>3094</v>
      </c>
      <c r="BO435" s="78">
        <f t="shared" si="76"/>
        <v>4.1666666666666661</v>
      </c>
      <c r="BP435" s="78">
        <f t="shared" si="77"/>
        <v>4.1666666666666661</v>
      </c>
    </row>
    <row r="436" spans="1:68" ht="27" hidden="1" customHeight="1" x14ac:dyDescent="0.25">
      <c r="A436" s="63" t="s">
        <v>715</v>
      </c>
      <c r="B436" s="63" t="s">
        <v>716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2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7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37.5" hidden="1" customHeight="1" x14ac:dyDescent="0.25">
      <c r="A439" s="63" t="s">
        <v>724</v>
      </c>
      <c r="B439" s="63" t="s">
        <v>725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x14ac:dyDescent="0.2">
      <c r="A440" s="659"/>
      <c r="B440" s="659"/>
      <c r="C440" s="659"/>
      <c r="D440" s="659"/>
      <c r="E440" s="659"/>
      <c r="F440" s="659"/>
      <c r="G440" s="659"/>
      <c r="H440" s="659"/>
      <c r="I440" s="659"/>
      <c r="J440" s="659"/>
      <c r="K440" s="659"/>
      <c r="L440" s="659"/>
      <c r="M440" s="659"/>
      <c r="N440" s="659"/>
      <c r="O440" s="660"/>
      <c r="P440" s="656" t="s">
        <v>40</v>
      </c>
      <c r="Q440" s="657"/>
      <c r="R440" s="657"/>
      <c r="S440" s="657"/>
      <c r="T440" s="657"/>
      <c r="U440" s="657"/>
      <c r="V440" s="658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200</v>
      </c>
      <c r="Y440" s="43">
        <f>IFERROR(Y432/H432,"0")+IFERROR(Y433/H433,"0")+IFERROR(Y434/H434,"0")+IFERROR(Y435/H435,"0")+IFERROR(Y436/H436,"0")+IFERROR(Y437/H437,"0")+IFERROR(Y438/H438,"0")+IFERROR(Y439/H439,"0")</f>
        <v>200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4.3499999999999996</v>
      </c>
      <c r="AA440" s="67"/>
      <c r="AB440" s="67"/>
      <c r="AC440" s="67"/>
    </row>
    <row r="441" spans="1:68" x14ac:dyDescent="0.2">
      <c r="A441" s="659"/>
      <c r="B441" s="659"/>
      <c r="C441" s="659"/>
      <c r="D441" s="659"/>
      <c r="E441" s="659"/>
      <c r="F441" s="659"/>
      <c r="G441" s="659"/>
      <c r="H441" s="659"/>
      <c r="I441" s="659"/>
      <c r="J441" s="659"/>
      <c r="K441" s="659"/>
      <c r="L441" s="659"/>
      <c r="M441" s="659"/>
      <c r="N441" s="659"/>
      <c r="O441" s="660"/>
      <c r="P441" s="656" t="s">
        <v>40</v>
      </c>
      <c r="Q441" s="657"/>
      <c r="R441" s="657"/>
      <c r="S441" s="657"/>
      <c r="T441" s="657"/>
      <c r="U441" s="657"/>
      <c r="V441" s="658"/>
      <c r="W441" s="42" t="s">
        <v>0</v>
      </c>
      <c r="X441" s="43">
        <f>IFERROR(SUM(X432:X439),"0")</f>
        <v>3000</v>
      </c>
      <c r="Y441" s="43">
        <f>IFERROR(SUM(Y432:Y439),"0")</f>
        <v>3000</v>
      </c>
      <c r="Z441" s="42"/>
      <c r="AA441" s="67"/>
      <c r="AB441" s="67"/>
      <c r="AC441" s="67"/>
    </row>
    <row r="442" spans="1:68" ht="14.25" hidden="1" customHeight="1" x14ac:dyDescent="0.25">
      <c r="A442" s="670" t="s">
        <v>159</v>
      </c>
      <c r="B442" s="670"/>
      <c r="C442" s="670"/>
      <c r="D442" s="670"/>
      <c r="E442" s="670"/>
      <c r="F442" s="670"/>
      <c r="G442" s="670"/>
      <c r="H442" s="670"/>
      <c r="I442" s="670"/>
      <c r="J442" s="670"/>
      <c r="K442" s="670"/>
      <c r="L442" s="670"/>
      <c r="M442" s="670"/>
      <c r="N442" s="670"/>
      <c r="O442" s="670"/>
      <c r="P442" s="670"/>
      <c r="Q442" s="670"/>
      <c r="R442" s="670"/>
      <c r="S442" s="670"/>
      <c r="T442" s="670"/>
      <c r="U442" s="670"/>
      <c r="V442" s="670"/>
      <c r="W442" s="670"/>
      <c r="X442" s="670"/>
      <c r="Y442" s="670"/>
      <c r="Z442" s="670"/>
      <c r="AA442" s="66"/>
      <c r="AB442" s="66"/>
      <c r="AC442" s="80"/>
    </row>
    <row r="443" spans="1:68" ht="27" hidden="1" customHeight="1" x14ac:dyDescent="0.25">
      <c r="A443" s="63" t="s">
        <v>727</v>
      </c>
      <c r="B443" s="63" t="s">
        <v>728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1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729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730</v>
      </c>
      <c r="B444" s="63" t="s">
        <v>731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2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733</v>
      </c>
      <c r="B445" s="63" t="s">
        <v>734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72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59"/>
      <c r="B446" s="659"/>
      <c r="C446" s="659"/>
      <c r="D446" s="659"/>
      <c r="E446" s="659"/>
      <c r="F446" s="659"/>
      <c r="G446" s="659"/>
      <c r="H446" s="659"/>
      <c r="I446" s="659"/>
      <c r="J446" s="659"/>
      <c r="K446" s="659"/>
      <c r="L446" s="659"/>
      <c r="M446" s="659"/>
      <c r="N446" s="659"/>
      <c r="O446" s="660"/>
      <c r="P446" s="656" t="s">
        <v>40</v>
      </c>
      <c r="Q446" s="657"/>
      <c r="R446" s="657"/>
      <c r="S446" s="657"/>
      <c r="T446" s="657"/>
      <c r="U446" s="657"/>
      <c r="V446" s="65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59"/>
      <c r="B447" s="659"/>
      <c r="C447" s="659"/>
      <c r="D447" s="659"/>
      <c r="E447" s="659"/>
      <c r="F447" s="659"/>
      <c r="G447" s="659"/>
      <c r="H447" s="659"/>
      <c r="I447" s="659"/>
      <c r="J447" s="659"/>
      <c r="K447" s="659"/>
      <c r="L447" s="659"/>
      <c r="M447" s="659"/>
      <c r="N447" s="659"/>
      <c r="O447" s="660"/>
      <c r="P447" s="656" t="s">
        <v>40</v>
      </c>
      <c r="Q447" s="657"/>
      <c r="R447" s="657"/>
      <c r="S447" s="657"/>
      <c r="T447" s="657"/>
      <c r="U447" s="657"/>
      <c r="V447" s="65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70" t="s">
        <v>86</v>
      </c>
      <c r="B448" s="670"/>
      <c r="C448" s="670"/>
      <c r="D448" s="670"/>
      <c r="E448" s="670"/>
      <c r="F448" s="670"/>
      <c r="G448" s="670"/>
      <c r="H448" s="670"/>
      <c r="I448" s="670"/>
      <c r="J448" s="670"/>
      <c r="K448" s="670"/>
      <c r="L448" s="670"/>
      <c r="M448" s="670"/>
      <c r="N448" s="670"/>
      <c r="O448" s="670"/>
      <c r="P448" s="670"/>
      <c r="Q448" s="670"/>
      <c r="R448" s="670"/>
      <c r="S448" s="670"/>
      <c r="T448" s="670"/>
      <c r="U448" s="670"/>
      <c r="V448" s="670"/>
      <c r="W448" s="670"/>
      <c r="X448" s="670"/>
      <c r="Y448" s="670"/>
      <c r="Z448" s="670"/>
      <c r="AA448" s="66"/>
      <c r="AB448" s="66"/>
      <c r="AC448" s="80"/>
    </row>
    <row r="449" spans="1:68" ht="27" hidden="1" customHeight="1" x14ac:dyDescent="0.25">
      <c r="A449" s="63" t="s">
        <v>736</v>
      </c>
      <c r="B449" s="63" t="s">
        <v>737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738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739</v>
      </c>
      <c r="B450" s="63" t="s">
        <v>740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71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9"/>
      <c r="B452" s="659"/>
      <c r="C452" s="659"/>
      <c r="D452" s="659"/>
      <c r="E452" s="659"/>
      <c r="F452" s="659"/>
      <c r="G452" s="659"/>
      <c r="H452" s="659"/>
      <c r="I452" s="659"/>
      <c r="J452" s="659"/>
      <c r="K452" s="659"/>
      <c r="L452" s="659"/>
      <c r="M452" s="659"/>
      <c r="N452" s="659"/>
      <c r="O452" s="660"/>
      <c r="P452" s="656" t="s">
        <v>40</v>
      </c>
      <c r="Q452" s="657"/>
      <c r="R452" s="657"/>
      <c r="S452" s="657"/>
      <c r="T452" s="657"/>
      <c r="U452" s="657"/>
      <c r="V452" s="658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59"/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60"/>
      <c r="P453" s="656" t="s">
        <v>40</v>
      </c>
      <c r="Q453" s="657"/>
      <c r="R453" s="657"/>
      <c r="S453" s="657"/>
      <c r="T453" s="657"/>
      <c r="U453" s="657"/>
      <c r="V453" s="658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70" t="s">
        <v>179</v>
      </c>
      <c r="B454" s="670"/>
      <c r="C454" s="670"/>
      <c r="D454" s="670"/>
      <c r="E454" s="670"/>
      <c r="F454" s="670"/>
      <c r="G454" s="670"/>
      <c r="H454" s="670"/>
      <c r="I454" s="670"/>
      <c r="J454" s="670"/>
      <c r="K454" s="670"/>
      <c r="L454" s="670"/>
      <c r="M454" s="670"/>
      <c r="N454" s="670"/>
      <c r="O454" s="670"/>
      <c r="P454" s="670"/>
      <c r="Q454" s="670"/>
      <c r="R454" s="670"/>
      <c r="S454" s="670"/>
      <c r="T454" s="670"/>
      <c r="U454" s="670"/>
      <c r="V454" s="670"/>
      <c r="W454" s="670"/>
      <c r="X454" s="670"/>
      <c r="Y454" s="670"/>
      <c r="Z454" s="670"/>
      <c r="AA454" s="66"/>
      <c r="AB454" s="66"/>
      <c r="AC454" s="80"/>
    </row>
    <row r="455" spans="1:68" ht="27" hidden="1" customHeight="1" x14ac:dyDescent="0.25">
      <c r="A455" s="63" t="s">
        <v>745</v>
      </c>
      <c r="B455" s="63" t="s">
        <v>746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71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747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748</v>
      </c>
      <c r="B456" s="63" t="s">
        <v>749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7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59"/>
      <c r="B457" s="659"/>
      <c r="C457" s="659"/>
      <c r="D457" s="659"/>
      <c r="E457" s="659"/>
      <c r="F457" s="659"/>
      <c r="G457" s="659"/>
      <c r="H457" s="659"/>
      <c r="I457" s="659"/>
      <c r="J457" s="659"/>
      <c r="K457" s="659"/>
      <c r="L457" s="659"/>
      <c r="M457" s="659"/>
      <c r="N457" s="659"/>
      <c r="O457" s="660"/>
      <c r="P457" s="656" t="s">
        <v>40</v>
      </c>
      <c r="Q457" s="657"/>
      <c r="R457" s="657"/>
      <c r="S457" s="657"/>
      <c r="T457" s="657"/>
      <c r="U457" s="657"/>
      <c r="V457" s="65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59"/>
      <c r="B458" s="659"/>
      <c r="C458" s="659"/>
      <c r="D458" s="659"/>
      <c r="E458" s="659"/>
      <c r="F458" s="659"/>
      <c r="G458" s="659"/>
      <c r="H458" s="659"/>
      <c r="I458" s="659"/>
      <c r="J458" s="659"/>
      <c r="K458" s="659"/>
      <c r="L458" s="659"/>
      <c r="M458" s="659"/>
      <c r="N458" s="659"/>
      <c r="O458" s="660"/>
      <c r="P458" s="656" t="s">
        <v>40</v>
      </c>
      <c r="Q458" s="657"/>
      <c r="R458" s="657"/>
      <c r="S458" s="657"/>
      <c r="T458" s="657"/>
      <c r="U458" s="657"/>
      <c r="V458" s="65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9" t="s">
        <v>751</v>
      </c>
      <c r="B459" s="669"/>
      <c r="C459" s="669"/>
      <c r="D459" s="669"/>
      <c r="E459" s="669"/>
      <c r="F459" s="669"/>
      <c r="G459" s="669"/>
      <c r="H459" s="669"/>
      <c r="I459" s="669"/>
      <c r="J459" s="669"/>
      <c r="K459" s="669"/>
      <c r="L459" s="669"/>
      <c r="M459" s="669"/>
      <c r="N459" s="669"/>
      <c r="O459" s="669"/>
      <c r="P459" s="669"/>
      <c r="Q459" s="669"/>
      <c r="R459" s="669"/>
      <c r="S459" s="669"/>
      <c r="T459" s="669"/>
      <c r="U459" s="669"/>
      <c r="V459" s="669"/>
      <c r="W459" s="669"/>
      <c r="X459" s="669"/>
      <c r="Y459" s="669"/>
      <c r="Z459" s="669"/>
      <c r="AA459" s="65"/>
      <c r="AB459" s="65"/>
      <c r="AC459" s="79"/>
    </row>
    <row r="460" spans="1:68" ht="14.25" hidden="1" customHeight="1" x14ac:dyDescent="0.25">
      <c r="A460" s="670" t="s">
        <v>122</v>
      </c>
      <c r="B460" s="670"/>
      <c r="C460" s="670"/>
      <c r="D460" s="670"/>
      <c r="E460" s="670"/>
      <c r="F460" s="670"/>
      <c r="G460" s="670"/>
      <c r="H460" s="670"/>
      <c r="I460" s="670"/>
      <c r="J460" s="670"/>
      <c r="K460" s="670"/>
      <c r="L460" s="670"/>
      <c r="M460" s="670"/>
      <c r="N460" s="670"/>
      <c r="O460" s="670"/>
      <c r="P460" s="670"/>
      <c r="Q460" s="670"/>
      <c r="R460" s="670"/>
      <c r="S460" s="670"/>
      <c r="T460" s="670"/>
      <c r="U460" s="670"/>
      <c r="V460" s="670"/>
      <c r="W460" s="670"/>
      <c r="X460" s="670"/>
      <c r="Y460" s="670"/>
      <c r="Z460" s="670"/>
      <c r="AA460" s="66"/>
      <c r="AB460" s="66"/>
      <c r="AC460" s="80"/>
    </row>
    <row r="461" spans="1:68" ht="27" hidden="1" customHeight="1" x14ac:dyDescent="0.25">
      <c r="A461" s="63" t="s">
        <v>752</v>
      </c>
      <c r="B461" s="63" t="s">
        <v>753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754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755</v>
      </c>
      <c r="B462" s="63" t="s">
        <v>756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754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59"/>
      <c r="B463" s="659"/>
      <c r="C463" s="659"/>
      <c r="D463" s="659"/>
      <c r="E463" s="659"/>
      <c r="F463" s="659"/>
      <c r="G463" s="659"/>
      <c r="H463" s="659"/>
      <c r="I463" s="659"/>
      <c r="J463" s="659"/>
      <c r="K463" s="659"/>
      <c r="L463" s="659"/>
      <c r="M463" s="659"/>
      <c r="N463" s="659"/>
      <c r="O463" s="660"/>
      <c r="P463" s="656" t="s">
        <v>40</v>
      </c>
      <c r="Q463" s="657"/>
      <c r="R463" s="657"/>
      <c r="S463" s="657"/>
      <c r="T463" s="657"/>
      <c r="U463" s="657"/>
      <c r="V463" s="65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59"/>
      <c r="B464" s="659"/>
      <c r="C464" s="659"/>
      <c r="D464" s="659"/>
      <c r="E464" s="659"/>
      <c r="F464" s="659"/>
      <c r="G464" s="659"/>
      <c r="H464" s="659"/>
      <c r="I464" s="659"/>
      <c r="J464" s="659"/>
      <c r="K464" s="659"/>
      <c r="L464" s="659"/>
      <c r="M464" s="659"/>
      <c r="N464" s="659"/>
      <c r="O464" s="660"/>
      <c r="P464" s="656" t="s">
        <v>40</v>
      </c>
      <c r="Q464" s="657"/>
      <c r="R464" s="657"/>
      <c r="S464" s="657"/>
      <c r="T464" s="657"/>
      <c r="U464" s="657"/>
      <c r="V464" s="65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70" t="s">
        <v>77</v>
      </c>
      <c r="B465" s="670"/>
      <c r="C465" s="670"/>
      <c r="D465" s="670"/>
      <c r="E465" s="670"/>
      <c r="F465" s="670"/>
      <c r="G465" s="670"/>
      <c r="H465" s="670"/>
      <c r="I465" s="670"/>
      <c r="J465" s="670"/>
      <c r="K465" s="670"/>
      <c r="L465" s="670"/>
      <c r="M465" s="670"/>
      <c r="N465" s="670"/>
      <c r="O465" s="670"/>
      <c r="P465" s="670"/>
      <c r="Q465" s="670"/>
      <c r="R465" s="670"/>
      <c r="S465" s="670"/>
      <c r="T465" s="670"/>
      <c r="U465" s="670"/>
      <c r="V465" s="670"/>
      <c r="W465" s="670"/>
      <c r="X465" s="670"/>
      <c r="Y465" s="670"/>
      <c r="Z465" s="670"/>
      <c r="AA465" s="66"/>
      <c r="AB465" s="66"/>
      <c r="AC465" s="80"/>
    </row>
    <row r="466" spans="1:68" ht="27" hidden="1" customHeight="1" x14ac:dyDescent="0.25">
      <c r="A466" s="63" t="s">
        <v>757</v>
      </c>
      <c r="B466" s="63" t="s">
        <v>758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759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59"/>
      <c r="B467" s="659"/>
      <c r="C467" s="659"/>
      <c r="D467" s="659"/>
      <c r="E467" s="659"/>
      <c r="F467" s="659"/>
      <c r="G467" s="659"/>
      <c r="H467" s="659"/>
      <c r="I467" s="659"/>
      <c r="J467" s="659"/>
      <c r="K467" s="659"/>
      <c r="L467" s="659"/>
      <c r="M467" s="659"/>
      <c r="N467" s="659"/>
      <c r="O467" s="660"/>
      <c r="P467" s="656" t="s">
        <v>40</v>
      </c>
      <c r="Q467" s="657"/>
      <c r="R467" s="657"/>
      <c r="S467" s="657"/>
      <c r="T467" s="657"/>
      <c r="U467" s="657"/>
      <c r="V467" s="658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59"/>
      <c r="B468" s="659"/>
      <c r="C468" s="659"/>
      <c r="D468" s="659"/>
      <c r="E468" s="659"/>
      <c r="F468" s="659"/>
      <c r="G468" s="659"/>
      <c r="H468" s="659"/>
      <c r="I468" s="659"/>
      <c r="J468" s="659"/>
      <c r="K468" s="659"/>
      <c r="L468" s="659"/>
      <c r="M468" s="659"/>
      <c r="N468" s="659"/>
      <c r="O468" s="660"/>
      <c r="P468" s="656" t="s">
        <v>40</v>
      </c>
      <c r="Q468" s="657"/>
      <c r="R468" s="657"/>
      <c r="S468" s="657"/>
      <c r="T468" s="657"/>
      <c r="U468" s="657"/>
      <c r="V468" s="658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0" t="s">
        <v>86</v>
      </c>
      <c r="B469" s="670"/>
      <c r="C469" s="670"/>
      <c r="D469" s="670"/>
      <c r="E469" s="670"/>
      <c r="F469" s="670"/>
      <c r="G469" s="670"/>
      <c r="H469" s="670"/>
      <c r="I469" s="670"/>
      <c r="J469" s="670"/>
      <c r="K469" s="670"/>
      <c r="L469" s="670"/>
      <c r="M469" s="670"/>
      <c r="N469" s="670"/>
      <c r="O469" s="670"/>
      <c r="P469" s="670"/>
      <c r="Q469" s="670"/>
      <c r="R469" s="670"/>
      <c r="S469" s="670"/>
      <c r="T469" s="670"/>
      <c r="U469" s="670"/>
      <c r="V469" s="670"/>
      <c r="W469" s="670"/>
      <c r="X469" s="670"/>
      <c r="Y469" s="670"/>
      <c r="Z469" s="670"/>
      <c r="AA469" s="66"/>
      <c r="AB469" s="66"/>
      <c r="AC469" s="80"/>
    </row>
    <row r="470" spans="1:68" ht="27" hidden="1" customHeight="1" x14ac:dyDescent="0.25">
      <c r="A470" s="63" t="s">
        <v>760</v>
      </c>
      <c r="B470" s="63" t="s">
        <v>761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7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762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763</v>
      </c>
      <c r="B471" s="63" t="s">
        <v>764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762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763</v>
      </c>
      <c r="B472" s="63" t="s">
        <v>765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0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766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59"/>
      <c r="B473" s="659"/>
      <c r="C473" s="659"/>
      <c r="D473" s="659"/>
      <c r="E473" s="659"/>
      <c r="F473" s="659"/>
      <c r="G473" s="659"/>
      <c r="H473" s="659"/>
      <c r="I473" s="659"/>
      <c r="J473" s="659"/>
      <c r="K473" s="659"/>
      <c r="L473" s="659"/>
      <c r="M473" s="659"/>
      <c r="N473" s="659"/>
      <c r="O473" s="660"/>
      <c r="P473" s="656" t="s">
        <v>40</v>
      </c>
      <c r="Q473" s="657"/>
      <c r="R473" s="657"/>
      <c r="S473" s="657"/>
      <c r="T473" s="657"/>
      <c r="U473" s="657"/>
      <c r="V473" s="658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59"/>
      <c r="B474" s="659"/>
      <c r="C474" s="659"/>
      <c r="D474" s="659"/>
      <c r="E474" s="659"/>
      <c r="F474" s="659"/>
      <c r="G474" s="659"/>
      <c r="H474" s="659"/>
      <c r="I474" s="659"/>
      <c r="J474" s="659"/>
      <c r="K474" s="659"/>
      <c r="L474" s="659"/>
      <c r="M474" s="659"/>
      <c r="N474" s="659"/>
      <c r="O474" s="660"/>
      <c r="P474" s="656" t="s">
        <v>40</v>
      </c>
      <c r="Q474" s="657"/>
      <c r="R474" s="657"/>
      <c r="S474" s="657"/>
      <c r="T474" s="657"/>
      <c r="U474" s="657"/>
      <c r="V474" s="658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6" t="s">
        <v>767</v>
      </c>
      <c r="B475" s="676"/>
      <c r="C475" s="676"/>
      <c r="D475" s="676"/>
      <c r="E475" s="676"/>
      <c r="F475" s="676"/>
      <c r="G475" s="676"/>
      <c r="H475" s="676"/>
      <c r="I475" s="676"/>
      <c r="J475" s="676"/>
      <c r="K475" s="676"/>
      <c r="L475" s="676"/>
      <c r="M475" s="676"/>
      <c r="N475" s="676"/>
      <c r="O475" s="676"/>
      <c r="P475" s="676"/>
      <c r="Q475" s="676"/>
      <c r="R475" s="676"/>
      <c r="S475" s="676"/>
      <c r="T475" s="676"/>
      <c r="U475" s="676"/>
      <c r="V475" s="676"/>
      <c r="W475" s="676"/>
      <c r="X475" s="676"/>
      <c r="Y475" s="676"/>
      <c r="Z475" s="676"/>
      <c r="AA475" s="54"/>
      <c r="AB475" s="54"/>
      <c r="AC475" s="54"/>
    </row>
    <row r="476" spans="1:68" ht="16.5" hidden="1" customHeight="1" x14ac:dyDescent="0.25">
      <c r="A476" s="669" t="s">
        <v>768</v>
      </c>
      <c r="B476" s="669"/>
      <c r="C476" s="669"/>
      <c r="D476" s="669"/>
      <c r="E476" s="669"/>
      <c r="F476" s="669"/>
      <c r="G476" s="669"/>
      <c r="H476" s="669"/>
      <c r="I476" s="669"/>
      <c r="J476" s="669"/>
      <c r="K476" s="669"/>
      <c r="L476" s="669"/>
      <c r="M476" s="669"/>
      <c r="N476" s="669"/>
      <c r="O476" s="669"/>
      <c r="P476" s="669"/>
      <c r="Q476" s="669"/>
      <c r="R476" s="669"/>
      <c r="S476" s="669"/>
      <c r="T476" s="669"/>
      <c r="U476" s="669"/>
      <c r="V476" s="669"/>
      <c r="W476" s="669"/>
      <c r="X476" s="669"/>
      <c r="Y476" s="669"/>
      <c r="Z476" s="669"/>
      <c r="AA476" s="65"/>
      <c r="AB476" s="65"/>
      <c r="AC476" s="79"/>
    </row>
    <row r="477" spans="1:68" ht="14.25" hidden="1" customHeight="1" x14ac:dyDescent="0.25">
      <c r="A477" s="670" t="s">
        <v>77</v>
      </c>
      <c r="B477" s="670"/>
      <c r="C477" s="670"/>
      <c r="D477" s="670"/>
      <c r="E477" s="670"/>
      <c r="F477" s="670"/>
      <c r="G477" s="670"/>
      <c r="H477" s="670"/>
      <c r="I477" s="670"/>
      <c r="J477" s="670"/>
      <c r="K477" s="670"/>
      <c r="L477" s="670"/>
      <c r="M477" s="670"/>
      <c r="N477" s="670"/>
      <c r="O477" s="670"/>
      <c r="P477" s="670"/>
      <c r="Q477" s="670"/>
      <c r="R477" s="670"/>
      <c r="S477" s="670"/>
      <c r="T477" s="670"/>
      <c r="U477" s="670"/>
      <c r="V477" s="670"/>
      <c r="W477" s="670"/>
      <c r="X477" s="670"/>
      <c r="Y477" s="670"/>
      <c r="Z477" s="670"/>
      <c r="AA477" s="66"/>
      <c r="AB477" s="66"/>
      <c r="AC477" s="80"/>
    </row>
    <row r="478" spans="1:68" ht="27" hidden="1" customHeight="1" x14ac:dyDescent="0.25">
      <c r="A478" s="63" t="s">
        <v>769</v>
      </c>
      <c r="B478" s="63" t="s">
        <v>770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8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771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9">IFERROR(X478*I478/H478,"0")</f>
        <v>0</v>
      </c>
      <c r="BN478" s="78">
        <f t="shared" ref="BN478:BN483" si="80">IFERROR(Y478*I478/H478,"0")</f>
        <v>0</v>
      </c>
      <c r="BO478" s="78">
        <f t="shared" ref="BO478:BO483" si="81">IFERROR(1/J478*(X478/H478),"0")</f>
        <v>0</v>
      </c>
      <c r="BP478" s="78">
        <f t="shared" ref="BP478:BP483" si="82">IFERROR(1/J478*(Y478/H478),"0")</f>
        <v>0</v>
      </c>
    </row>
    <row r="479" spans="1:68" ht="27" hidden="1" customHeight="1" x14ac:dyDescent="0.25">
      <c r="A479" s="63" t="s">
        <v>772</v>
      </c>
      <c r="B479" s="63" t="s">
        <v>773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8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si="79"/>
        <v>0</v>
      </c>
      <c r="BN479" s="78">
        <f t="shared" si="80"/>
        <v>0</v>
      </c>
      <c r="BO479" s="78">
        <f t="shared" si="81"/>
        <v>0</v>
      </c>
      <c r="BP479" s="78">
        <f t="shared" si="82"/>
        <v>0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771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777</v>
      </c>
      <c r="B481" s="63" t="s">
        <v>778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779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37.5" hidden="1" customHeight="1" x14ac:dyDescent="0.25">
      <c r="A483" s="63" t="s">
        <v>783</v>
      </c>
      <c r="B483" s="63" t="s">
        <v>784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779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idden="1" x14ac:dyDescent="0.2">
      <c r="A484" s="659"/>
      <c r="B484" s="659"/>
      <c r="C484" s="659"/>
      <c r="D484" s="659"/>
      <c r="E484" s="659"/>
      <c r="F484" s="659"/>
      <c r="G484" s="659"/>
      <c r="H484" s="659"/>
      <c r="I484" s="659"/>
      <c r="J484" s="659"/>
      <c r="K484" s="659"/>
      <c r="L484" s="659"/>
      <c r="M484" s="659"/>
      <c r="N484" s="659"/>
      <c r="O484" s="660"/>
      <c r="P484" s="656" t="s">
        <v>40</v>
      </c>
      <c r="Q484" s="657"/>
      <c r="R484" s="657"/>
      <c r="S484" s="657"/>
      <c r="T484" s="657"/>
      <c r="U484" s="657"/>
      <c r="V484" s="658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59"/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60"/>
      <c r="P485" s="656" t="s">
        <v>40</v>
      </c>
      <c r="Q485" s="657"/>
      <c r="R485" s="657"/>
      <c r="S485" s="657"/>
      <c r="T485" s="657"/>
      <c r="U485" s="657"/>
      <c r="V485" s="658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70" t="s">
        <v>86</v>
      </c>
      <c r="B486" s="670"/>
      <c r="C486" s="670"/>
      <c r="D486" s="670"/>
      <c r="E486" s="670"/>
      <c r="F486" s="670"/>
      <c r="G486" s="670"/>
      <c r="H486" s="670"/>
      <c r="I486" s="670"/>
      <c r="J486" s="670"/>
      <c r="K486" s="670"/>
      <c r="L486" s="670"/>
      <c r="M486" s="670"/>
      <c r="N486" s="670"/>
      <c r="O486" s="670"/>
      <c r="P486" s="670"/>
      <c r="Q486" s="670"/>
      <c r="R486" s="670"/>
      <c r="S486" s="670"/>
      <c r="T486" s="670"/>
      <c r="U486" s="670"/>
      <c r="V486" s="670"/>
      <c r="W486" s="670"/>
      <c r="X486" s="670"/>
      <c r="Y486" s="670"/>
      <c r="Z486" s="670"/>
      <c r="AA486" s="66"/>
      <c r="AB486" s="66"/>
      <c r="AC486" s="80"/>
    </row>
    <row r="487" spans="1:68" ht="27" hidden="1" customHeight="1" x14ac:dyDescent="0.25">
      <c r="A487" s="63" t="s">
        <v>785</v>
      </c>
      <c r="B487" s="63" t="s">
        <v>786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787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788</v>
      </c>
      <c r="B488" s="63" t="s">
        <v>789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9"/>
      <c r="B489" s="659"/>
      <c r="C489" s="659"/>
      <c r="D489" s="659"/>
      <c r="E489" s="659"/>
      <c r="F489" s="659"/>
      <c r="G489" s="659"/>
      <c r="H489" s="659"/>
      <c r="I489" s="659"/>
      <c r="J489" s="659"/>
      <c r="K489" s="659"/>
      <c r="L489" s="659"/>
      <c r="M489" s="659"/>
      <c r="N489" s="659"/>
      <c r="O489" s="660"/>
      <c r="P489" s="656" t="s">
        <v>40</v>
      </c>
      <c r="Q489" s="657"/>
      <c r="R489" s="657"/>
      <c r="S489" s="657"/>
      <c r="T489" s="657"/>
      <c r="U489" s="657"/>
      <c r="V489" s="658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59"/>
      <c r="B490" s="659"/>
      <c r="C490" s="659"/>
      <c r="D490" s="659"/>
      <c r="E490" s="659"/>
      <c r="F490" s="659"/>
      <c r="G490" s="659"/>
      <c r="H490" s="659"/>
      <c r="I490" s="659"/>
      <c r="J490" s="659"/>
      <c r="K490" s="659"/>
      <c r="L490" s="659"/>
      <c r="M490" s="659"/>
      <c r="N490" s="659"/>
      <c r="O490" s="660"/>
      <c r="P490" s="656" t="s">
        <v>40</v>
      </c>
      <c r="Q490" s="657"/>
      <c r="R490" s="657"/>
      <c r="S490" s="657"/>
      <c r="T490" s="657"/>
      <c r="U490" s="657"/>
      <c r="V490" s="658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9" t="s">
        <v>791</v>
      </c>
      <c r="B491" s="669"/>
      <c r="C491" s="669"/>
      <c r="D491" s="669"/>
      <c r="E491" s="669"/>
      <c r="F491" s="669"/>
      <c r="G491" s="669"/>
      <c r="H491" s="669"/>
      <c r="I491" s="669"/>
      <c r="J491" s="669"/>
      <c r="K491" s="669"/>
      <c r="L491" s="669"/>
      <c r="M491" s="669"/>
      <c r="N491" s="669"/>
      <c r="O491" s="669"/>
      <c r="P491" s="669"/>
      <c r="Q491" s="669"/>
      <c r="R491" s="669"/>
      <c r="S491" s="669"/>
      <c r="T491" s="669"/>
      <c r="U491" s="669"/>
      <c r="V491" s="669"/>
      <c r="W491" s="669"/>
      <c r="X491" s="669"/>
      <c r="Y491" s="669"/>
      <c r="Z491" s="669"/>
      <c r="AA491" s="65"/>
      <c r="AB491" s="65"/>
      <c r="AC491" s="79"/>
    </row>
    <row r="492" spans="1:68" ht="14.25" hidden="1" customHeight="1" x14ac:dyDescent="0.25">
      <c r="A492" s="670" t="s">
        <v>159</v>
      </c>
      <c r="B492" s="670"/>
      <c r="C492" s="670"/>
      <c r="D492" s="670"/>
      <c r="E492" s="670"/>
      <c r="F492" s="670"/>
      <c r="G492" s="670"/>
      <c r="H492" s="670"/>
      <c r="I492" s="670"/>
      <c r="J492" s="670"/>
      <c r="K492" s="670"/>
      <c r="L492" s="670"/>
      <c r="M492" s="670"/>
      <c r="N492" s="670"/>
      <c r="O492" s="670"/>
      <c r="P492" s="670"/>
      <c r="Q492" s="670"/>
      <c r="R492" s="670"/>
      <c r="S492" s="670"/>
      <c r="T492" s="670"/>
      <c r="U492" s="670"/>
      <c r="V492" s="670"/>
      <c r="W492" s="670"/>
      <c r="X492" s="670"/>
      <c r="Y492" s="670"/>
      <c r="Z492" s="670"/>
      <c r="AA492" s="66"/>
      <c r="AB492" s="66"/>
      <c r="AC492" s="80"/>
    </row>
    <row r="493" spans="1:68" ht="27" hidden="1" customHeight="1" x14ac:dyDescent="0.25">
      <c r="A493" s="63" t="s">
        <v>792</v>
      </c>
      <c r="B493" s="63" t="s">
        <v>793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7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794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59"/>
      <c r="B494" s="659"/>
      <c r="C494" s="659"/>
      <c r="D494" s="659"/>
      <c r="E494" s="659"/>
      <c r="F494" s="659"/>
      <c r="G494" s="659"/>
      <c r="H494" s="659"/>
      <c r="I494" s="659"/>
      <c r="J494" s="659"/>
      <c r="K494" s="659"/>
      <c r="L494" s="659"/>
      <c r="M494" s="659"/>
      <c r="N494" s="659"/>
      <c r="O494" s="660"/>
      <c r="P494" s="656" t="s">
        <v>40</v>
      </c>
      <c r="Q494" s="657"/>
      <c r="R494" s="657"/>
      <c r="S494" s="657"/>
      <c r="T494" s="657"/>
      <c r="U494" s="657"/>
      <c r="V494" s="65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59"/>
      <c r="B495" s="659"/>
      <c r="C495" s="659"/>
      <c r="D495" s="659"/>
      <c r="E495" s="659"/>
      <c r="F495" s="659"/>
      <c r="G495" s="659"/>
      <c r="H495" s="659"/>
      <c r="I495" s="659"/>
      <c r="J495" s="659"/>
      <c r="K495" s="659"/>
      <c r="L495" s="659"/>
      <c r="M495" s="659"/>
      <c r="N495" s="659"/>
      <c r="O495" s="660"/>
      <c r="P495" s="656" t="s">
        <v>40</v>
      </c>
      <c r="Q495" s="657"/>
      <c r="R495" s="657"/>
      <c r="S495" s="657"/>
      <c r="T495" s="657"/>
      <c r="U495" s="657"/>
      <c r="V495" s="65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70" t="s">
        <v>77</v>
      </c>
      <c r="B496" s="670"/>
      <c r="C496" s="670"/>
      <c r="D496" s="670"/>
      <c r="E496" s="670"/>
      <c r="F496" s="670"/>
      <c r="G496" s="670"/>
      <c r="H496" s="670"/>
      <c r="I496" s="670"/>
      <c r="J496" s="670"/>
      <c r="K496" s="670"/>
      <c r="L496" s="670"/>
      <c r="M496" s="670"/>
      <c r="N496" s="670"/>
      <c r="O496" s="670"/>
      <c r="P496" s="670"/>
      <c r="Q496" s="670"/>
      <c r="R496" s="670"/>
      <c r="S496" s="670"/>
      <c r="T496" s="670"/>
      <c r="U496" s="670"/>
      <c r="V496" s="670"/>
      <c r="W496" s="670"/>
      <c r="X496" s="670"/>
      <c r="Y496" s="670"/>
      <c r="Z496" s="670"/>
      <c r="AA496" s="66"/>
      <c r="AB496" s="66"/>
      <c r="AC496" s="80"/>
    </row>
    <row r="497" spans="1:68" ht="27" hidden="1" customHeight="1" x14ac:dyDescent="0.25">
      <c r="A497" s="63" t="s">
        <v>795</v>
      </c>
      <c r="B497" s="63" t="s">
        <v>796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69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797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798</v>
      </c>
      <c r="B498" s="63" t="s">
        <v>799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800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59"/>
      <c r="B500" s="659"/>
      <c r="C500" s="659"/>
      <c r="D500" s="659"/>
      <c r="E500" s="659"/>
      <c r="F500" s="659"/>
      <c r="G500" s="659"/>
      <c r="H500" s="659"/>
      <c r="I500" s="659"/>
      <c r="J500" s="659"/>
      <c r="K500" s="659"/>
      <c r="L500" s="659"/>
      <c r="M500" s="659"/>
      <c r="N500" s="659"/>
      <c r="O500" s="660"/>
      <c r="P500" s="656" t="s">
        <v>40</v>
      </c>
      <c r="Q500" s="657"/>
      <c r="R500" s="657"/>
      <c r="S500" s="657"/>
      <c r="T500" s="657"/>
      <c r="U500" s="657"/>
      <c r="V500" s="658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59"/>
      <c r="B501" s="659"/>
      <c r="C501" s="659"/>
      <c r="D501" s="659"/>
      <c r="E501" s="659"/>
      <c r="F501" s="659"/>
      <c r="G501" s="659"/>
      <c r="H501" s="659"/>
      <c r="I501" s="659"/>
      <c r="J501" s="659"/>
      <c r="K501" s="659"/>
      <c r="L501" s="659"/>
      <c r="M501" s="659"/>
      <c r="N501" s="659"/>
      <c r="O501" s="660"/>
      <c r="P501" s="656" t="s">
        <v>40</v>
      </c>
      <c r="Q501" s="657"/>
      <c r="R501" s="657"/>
      <c r="S501" s="657"/>
      <c r="T501" s="657"/>
      <c r="U501" s="657"/>
      <c r="V501" s="658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6" t="s">
        <v>803</v>
      </c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6"/>
      <c r="P502" s="676"/>
      <c r="Q502" s="676"/>
      <c r="R502" s="676"/>
      <c r="S502" s="676"/>
      <c r="T502" s="676"/>
      <c r="U502" s="676"/>
      <c r="V502" s="676"/>
      <c r="W502" s="676"/>
      <c r="X502" s="676"/>
      <c r="Y502" s="676"/>
      <c r="Z502" s="676"/>
      <c r="AA502" s="54"/>
      <c r="AB502" s="54"/>
      <c r="AC502" s="54"/>
    </row>
    <row r="503" spans="1:68" ht="16.5" hidden="1" customHeight="1" x14ac:dyDescent="0.25">
      <c r="A503" s="669" t="s">
        <v>803</v>
      </c>
      <c r="B503" s="669"/>
      <c r="C503" s="669"/>
      <c r="D503" s="669"/>
      <c r="E503" s="669"/>
      <c r="F503" s="669"/>
      <c r="G503" s="669"/>
      <c r="H503" s="669"/>
      <c r="I503" s="669"/>
      <c r="J503" s="669"/>
      <c r="K503" s="669"/>
      <c r="L503" s="669"/>
      <c r="M503" s="669"/>
      <c r="N503" s="669"/>
      <c r="O503" s="669"/>
      <c r="P503" s="669"/>
      <c r="Q503" s="669"/>
      <c r="R503" s="669"/>
      <c r="S503" s="669"/>
      <c r="T503" s="669"/>
      <c r="U503" s="669"/>
      <c r="V503" s="669"/>
      <c r="W503" s="669"/>
      <c r="X503" s="669"/>
      <c r="Y503" s="669"/>
      <c r="Z503" s="669"/>
      <c r="AA503" s="65"/>
      <c r="AB503" s="65"/>
      <c r="AC503" s="79"/>
    </row>
    <row r="504" spans="1:68" ht="14.25" hidden="1" customHeight="1" x14ac:dyDescent="0.25">
      <c r="A504" s="670" t="s">
        <v>122</v>
      </c>
      <c r="B504" s="670"/>
      <c r="C504" s="670"/>
      <c r="D504" s="670"/>
      <c r="E504" s="670"/>
      <c r="F504" s="670"/>
      <c r="G504" s="670"/>
      <c r="H504" s="670"/>
      <c r="I504" s="670"/>
      <c r="J504" s="670"/>
      <c r="K504" s="670"/>
      <c r="L504" s="670"/>
      <c r="M504" s="670"/>
      <c r="N504" s="670"/>
      <c r="O504" s="670"/>
      <c r="P504" s="670"/>
      <c r="Q504" s="670"/>
      <c r="R504" s="670"/>
      <c r="S504" s="670"/>
      <c r="T504" s="670"/>
      <c r="U504" s="670"/>
      <c r="V504" s="670"/>
      <c r="W504" s="670"/>
      <c r="X504" s="670"/>
      <c r="Y504" s="670"/>
      <c r="Z504" s="670"/>
      <c r="AA504" s="66"/>
      <c r="AB504" s="66"/>
      <c r="AC504" s="80"/>
    </row>
    <row r="505" spans="1:68" ht="27" hidden="1" customHeight="1" x14ac:dyDescent="0.25">
      <c r="A505" s="63" t="s">
        <v>804</v>
      </c>
      <c r="B505" s="63" t="s">
        <v>805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6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83">IFERROR(IF(X505="",0,CEILING((X505/$H505),1)*$H505),"")</f>
        <v>0</v>
      </c>
      <c r="Z505" s="41" t="str">
        <f t="shared" ref="Z505:Z510" si="84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5">IFERROR(X505*I505/H505,"0")</f>
        <v>0</v>
      </c>
      <c r="BN505" s="78">
        <f t="shared" ref="BN505:BN513" si="86">IFERROR(Y505*I505/H505,"0")</f>
        <v>0</v>
      </c>
      <c r="BO505" s="78">
        <f t="shared" ref="BO505:BO513" si="87">IFERROR(1/J505*(X505/H505),"0")</f>
        <v>0</v>
      </c>
      <c r="BP505" s="78">
        <f t="shared" ref="BP505:BP513" si="88">IFERROR(1/J505*(Y505/H505),"0")</f>
        <v>0</v>
      </c>
    </row>
    <row r="506" spans="1:68" ht="16.5" hidden="1" customHeight="1" x14ac:dyDescent="0.25">
      <c r="A506" s="63" t="s">
        <v>806</v>
      </c>
      <c r="B506" s="63" t="s">
        <v>807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83"/>
        <v>0</v>
      </c>
      <c r="Z506" s="41" t="str">
        <f t="shared" si="84"/>
        <v/>
      </c>
      <c r="AA506" s="68" t="s">
        <v>46</v>
      </c>
      <c r="AB506" s="69" t="s">
        <v>46</v>
      </c>
      <c r="AC506" s="604" t="s">
        <v>808</v>
      </c>
      <c r="AG506" s="78"/>
      <c r="AJ506" s="84" t="s">
        <v>46</v>
      </c>
      <c r="AK506" s="84">
        <v>0</v>
      </c>
      <c r="BB506" s="605" t="s">
        <v>67</v>
      </c>
      <c r="BM506" s="78">
        <f t="shared" si="85"/>
        <v>0</v>
      </c>
      <c r="BN506" s="78">
        <f t="shared" si="86"/>
        <v>0</v>
      </c>
      <c r="BO506" s="78">
        <f t="shared" si="87"/>
        <v>0</v>
      </c>
      <c r="BP506" s="78">
        <f t="shared" si="88"/>
        <v>0</v>
      </c>
    </row>
    <row r="507" spans="1:68" ht="27" hidden="1" customHeight="1" x14ac:dyDescent="0.25">
      <c r="A507" s="63" t="s">
        <v>809</v>
      </c>
      <c r="B507" s="63" t="s">
        <v>810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812</v>
      </c>
      <c r="B508" s="63" t="s">
        <v>813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69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16.5" hidden="1" customHeight="1" x14ac:dyDescent="0.25">
      <c r="A509" s="63" t="s">
        <v>815</v>
      </c>
      <c r="B509" s="63" t="s">
        <v>816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69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27" hidden="1" customHeight="1" x14ac:dyDescent="0.25">
      <c r="A510" s="63" t="s">
        <v>818</v>
      </c>
      <c r="B510" s="63" t="s">
        <v>819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69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hidden="1" customHeight="1" x14ac:dyDescent="0.25">
      <c r="A511" s="63" t="s">
        <v>821</v>
      </c>
      <c r="B511" s="63" t="s">
        <v>822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69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hidden="1" customHeight="1" x14ac:dyDescent="0.25">
      <c r="A512" s="63" t="s">
        <v>823</v>
      </c>
      <c r="B512" s="63" t="s">
        <v>824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6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825</v>
      </c>
      <c r="B513" s="63" t="s">
        <v>826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6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820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idden="1" x14ac:dyDescent="0.2">
      <c r="A514" s="659"/>
      <c r="B514" s="659"/>
      <c r="C514" s="659"/>
      <c r="D514" s="659"/>
      <c r="E514" s="659"/>
      <c r="F514" s="659"/>
      <c r="G514" s="659"/>
      <c r="H514" s="659"/>
      <c r="I514" s="659"/>
      <c r="J514" s="659"/>
      <c r="K514" s="659"/>
      <c r="L514" s="659"/>
      <c r="M514" s="659"/>
      <c r="N514" s="659"/>
      <c r="O514" s="660"/>
      <c r="P514" s="656" t="s">
        <v>40</v>
      </c>
      <c r="Q514" s="657"/>
      <c r="R514" s="657"/>
      <c r="S514" s="657"/>
      <c r="T514" s="657"/>
      <c r="U514" s="657"/>
      <c r="V514" s="658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59"/>
      <c r="B515" s="659"/>
      <c r="C515" s="659"/>
      <c r="D515" s="659"/>
      <c r="E515" s="659"/>
      <c r="F515" s="659"/>
      <c r="G515" s="659"/>
      <c r="H515" s="659"/>
      <c r="I515" s="659"/>
      <c r="J515" s="659"/>
      <c r="K515" s="659"/>
      <c r="L515" s="659"/>
      <c r="M515" s="659"/>
      <c r="N515" s="659"/>
      <c r="O515" s="660"/>
      <c r="P515" s="656" t="s">
        <v>40</v>
      </c>
      <c r="Q515" s="657"/>
      <c r="R515" s="657"/>
      <c r="S515" s="657"/>
      <c r="T515" s="657"/>
      <c r="U515" s="657"/>
      <c r="V515" s="658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70" t="s">
        <v>159</v>
      </c>
      <c r="B516" s="670"/>
      <c r="C516" s="670"/>
      <c r="D516" s="670"/>
      <c r="E516" s="670"/>
      <c r="F516" s="670"/>
      <c r="G516" s="670"/>
      <c r="H516" s="670"/>
      <c r="I516" s="670"/>
      <c r="J516" s="670"/>
      <c r="K516" s="670"/>
      <c r="L516" s="670"/>
      <c r="M516" s="670"/>
      <c r="N516" s="670"/>
      <c r="O516" s="670"/>
      <c r="P516" s="670"/>
      <c r="Q516" s="670"/>
      <c r="R516" s="670"/>
      <c r="S516" s="670"/>
      <c r="T516" s="670"/>
      <c r="U516" s="670"/>
      <c r="V516" s="670"/>
      <c r="W516" s="670"/>
      <c r="X516" s="670"/>
      <c r="Y516" s="670"/>
      <c r="Z516" s="670"/>
      <c r="AA516" s="66"/>
      <c r="AB516" s="66"/>
      <c r="AC516" s="80"/>
    </row>
    <row r="517" spans="1:68" ht="16.5" hidden="1" customHeight="1" x14ac:dyDescent="0.25">
      <c r="A517" s="63" t="s">
        <v>827</v>
      </c>
      <c r="B517" s="63" t="s">
        <v>828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6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829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830</v>
      </c>
      <c r="B518" s="63" t="s">
        <v>831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6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829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832</v>
      </c>
      <c r="B519" s="63" t="s">
        <v>833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68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829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59"/>
      <c r="B520" s="659"/>
      <c r="C520" s="659"/>
      <c r="D520" s="659"/>
      <c r="E520" s="659"/>
      <c r="F520" s="659"/>
      <c r="G520" s="659"/>
      <c r="H520" s="659"/>
      <c r="I520" s="659"/>
      <c r="J520" s="659"/>
      <c r="K520" s="659"/>
      <c r="L520" s="659"/>
      <c r="M520" s="659"/>
      <c r="N520" s="659"/>
      <c r="O520" s="660"/>
      <c r="P520" s="656" t="s">
        <v>40</v>
      </c>
      <c r="Q520" s="657"/>
      <c r="R520" s="657"/>
      <c r="S520" s="657"/>
      <c r="T520" s="657"/>
      <c r="U520" s="657"/>
      <c r="V520" s="658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59"/>
      <c r="B521" s="659"/>
      <c r="C521" s="659"/>
      <c r="D521" s="659"/>
      <c r="E521" s="659"/>
      <c r="F521" s="659"/>
      <c r="G521" s="659"/>
      <c r="H521" s="659"/>
      <c r="I521" s="659"/>
      <c r="J521" s="659"/>
      <c r="K521" s="659"/>
      <c r="L521" s="659"/>
      <c r="M521" s="659"/>
      <c r="N521" s="659"/>
      <c r="O521" s="660"/>
      <c r="P521" s="656" t="s">
        <v>40</v>
      </c>
      <c r="Q521" s="657"/>
      <c r="R521" s="657"/>
      <c r="S521" s="657"/>
      <c r="T521" s="657"/>
      <c r="U521" s="657"/>
      <c r="V521" s="658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70" t="s">
        <v>77</v>
      </c>
      <c r="B522" s="670"/>
      <c r="C522" s="670"/>
      <c r="D522" s="670"/>
      <c r="E522" s="670"/>
      <c r="F522" s="670"/>
      <c r="G522" s="670"/>
      <c r="H522" s="670"/>
      <c r="I522" s="670"/>
      <c r="J522" s="670"/>
      <c r="K522" s="670"/>
      <c r="L522" s="670"/>
      <c r="M522" s="670"/>
      <c r="N522" s="670"/>
      <c r="O522" s="670"/>
      <c r="P522" s="670"/>
      <c r="Q522" s="670"/>
      <c r="R522" s="670"/>
      <c r="S522" s="670"/>
      <c r="T522" s="670"/>
      <c r="U522" s="670"/>
      <c r="V522" s="670"/>
      <c r="W522" s="670"/>
      <c r="X522" s="670"/>
      <c r="Y522" s="670"/>
      <c r="Z522" s="670"/>
      <c r="AA522" s="66"/>
      <c r="AB522" s="66"/>
      <c r="AC522" s="80"/>
    </row>
    <row r="523" spans="1:68" ht="27" hidden="1" customHeight="1" x14ac:dyDescent="0.25">
      <c r="A523" s="63" t="s">
        <v>834</v>
      </c>
      <c r="B523" s="63" t="s">
        <v>835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68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9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836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90">IFERROR(X523*I523/H523,"0")</f>
        <v>0</v>
      </c>
      <c r="BN523" s="78">
        <f t="shared" ref="BN523:BN529" si="91">IFERROR(Y523*I523/H523,"0")</f>
        <v>0</v>
      </c>
      <c r="BO523" s="78">
        <f t="shared" ref="BO523:BO529" si="92">IFERROR(1/J523*(X523/H523),"0")</f>
        <v>0</v>
      </c>
      <c r="BP523" s="78">
        <f t="shared" ref="BP523:BP529" si="93">IFERROR(1/J523*(Y523/H523),"0")</f>
        <v>0</v>
      </c>
    </row>
    <row r="524" spans="1:68" ht="27" customHeight="1" x14ac:dyDescent="0.25">
      <c r="A524" s="63" t="s">
        <v>837</v>
      </c>
      <c r="B524" s="63" t="s">
        <v>838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750</v>
      </c>
      <c r="Y524" s="55">
        <f t="shared" si="89"/>
        <v>755.04000000000008</v>
      </c>
      <c r="Z524" s="41">
        <f>IFERROR(IF(Y524=0,"",ROUNDUP(Y524/H524,0)*0.01196),"")</f>
        <v>1.71028</v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si="90"/>
        <v>799.71590909090901</v>
      </c>
      <c r="BN524" s="78">
        <f t="shared" si="91"/>
        <v>805.09</v>
      </c>
      <c r="BO524" s="78">
        <f t="shared" si="92"/>
        <v>1.3658216783216783</v>
      </c>
      <c r="BP524" s="78">
        <f t="shared" si="93"/>
        <v>1.375</v>
      </c>
    </row>
    <row r="525" spans="1:68" ht="27" hidden="1" customHeight="1" x14ac:dyDescent="0.25">
      <c r="A525" s="63" t="s">
        <v>840</v>
      </c>
      <c r="B525" s="63" t="s">
        <v>841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7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hidden="1" customHeight="1" x14ac:dyDescent="0.25">
      <c r="A526" s="63" t="s">
        <v>843</v>
      </c>
      <c r="B526" s="63" t="s">
        <v>844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836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hidden="1" customHeight="1" x14ac:dyDescent="0.25">
      <c r="A527" s="63" t="s">
        <v>845</v>
      </c>
      <c r="B527" s="63" t="s">
        <v>846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845</v>
      </c>
      <c r="B528" s="63" t="s">
        <v>847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839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849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x14ac:dyDescent="0.2">
      <c r="A530" s="659"/>
      <c r="B530" s="659"/>
      <c r="C530" s="659"/>
      <c r="D530" s="659"/>
      <c r="E530" s="659"/>
      <c r="F530" s="659"/>
      <c r="G530" s="659"/>
      <c r="H530" s="659"/>
      <c r="I530" s="659"/>
      <c r="J530" s="659"/>
      <c r="K530" s="659"/>
      <c r="L530" s="659"/>
      <c r="M530" s="659"/>
      <c r="N530" s="659"/>
      <c r="O530" s="660"/>
      <c r="P530" s="656" t="s">
        <v>40</v>
      </c>
      <c r="Q530" s="657"/>
      <c r="R530" s="657"/>
      <c r="S530" s="657"/>
      <c r="T530" s="657"/>
      <c r="U530" s="657"/>
      <c r="V530" s="658"/>
      <c r="W530" s="42" t="s">
        <v>39</v>
      </c>
      <c r="X530" s="43">
        <f>IFERROR(X523/H523,"0")+IFERROR(X524/H524,"0")+IFERROR(X525/H525,"0")+IFERROR(X526/H526,"0")+IFERROR(X527/H527,"0")+IFERROR(X528/H528,"0")+IFERROR(X529/H529,"0")</f>
        <v>142.04545454545453</v>
      </c>
      <c r="Y530" s="43">
        <f>IFERROR(Y523/H523,"0")+IFERROR(Y524/H524,"0")+IFERROR(Y525/H525,"0")+IFERROR(Y526/H526,"0")+IFERROR(Y527/H527,"0")+IFERROR(Y528/H528,"0")+IFERROR(Y529/H529,"0")</f>
        <v>143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1.71028</v>
      </c>
      <c r="AA530" s="67"/>
      <c r="AB530" s="67"/>
      <c r="AC530" s="67"/>
    </row>
    <row r="531" spans="1:68" x14ac:dyDescent="0.2">
      <c r="A531" s="659"/>
      <c r="B531" s="659"/>
      <c r="C531" s="659"/>
      <c r="D531" s="659"/>
      <c r="E531" s="659"/>
      <c r="F531" s="659"/>
      <c r="G531" s="659"/>
      <c r="H531" s="659"/>
      <c r="I531" s="659"/>
      <c r="J531" s="659"/>
      <c r="K531" s="659"/>
      <c r="L531" s="659"/>
      <c r="M531" s="659"/>
      <c r="N531" s="659"/>
      <c r="O531" s="660"/>
      <c r="P531" s="656" t="s">
        <v>40</v>
      </c>
      <c r="Q531" s="657"/>
      <c r="R531" s="657"/>
      <c r="S531" s="657"/>
      <c r="T531" s="657"/>
      <c r="U531" s="657"/>
      <c r="V531" s="658"/>
      <c r="W531" s="42" t="s">
        <v>0</v>
      </c>
      <c r="X531" s="43">
        <f>IFERROR(SUM(X523:X529),"0")</f>
        <v>750</v>
      </c>
      <c r="Y531" s="43">
        <f>IFERROR(SUM(Y523:Y529),"0")</f>
        <v>755.04000000000008</v>
      </c>
      <c r="Z531" s="42"/>
      <c r="AA531" s="67"/>
      <c r="AB531" s="67"/>
      <c r="AC531" s="67"/>
    </row>
    <row r="532" spans="1:68" ht="27.75" hidden="1" customHeight="1" x14ac:dyDescent="0.2">
      <c r="A532" s="676" t="s">
        <v>850</v>
      </c>
      <c r="B532" s="676"/>
      <c r="C532" s="676"/>
      <c r="D532" s="676"/>
      <c r="E532" s="676"/>
      <c r="F532" s="676"/>
      <c r="G532" s="676"/>
      <c r="H532" s="676"/>
      <c r="I532" s="676"/>
      <c r="J532" s="676"/>
      <c r="K532" s="676"/>
      <c r="L532" s="676"/>
      <c r="M532" s="676"/>
      <c r="N532" s="676"/>
      <c r="O532" s="676"/>
      <c r="P532" s="676"/>
      <c r="Q532" s="676"/>
      <c r="R532" s="676"/>
      <c r="S532" s="676"/>
      <c r="T532" s="676"/>
      <c r="U532" s="676"/>
      <c r="V532" s="676"/>
      <c r="W532" s="676"/>
      <c r="X532" s="676"/>
      <c r="Y532" s="676"/>
      <c r="Z532" s="676"/>
      <c r="AA532" s="54"/>
      <c r="AB532" s="54"/>
      <c r="AC532" s="54"/>
    </row>
    <row r="533" spans="1:68" ht="16.5" hidden="1" customHeight="1" x14ac:dyDescent="0.25">
      <c r="A533" s="669" t="s">
        <v>850</v>
      </c>
      <c r="B533" s="669"/>
      <c r="C533" s="669"/>
      <c r="D533" s="669"/>
      <c r="E533" s="669"/>
      <c r="F533" s="669"/>
      <c r="G533" s="669"/>
      <c r="H533" s="669"/>
      <c r="I533" s="669"/>
      <c r="J533" s="669"/>
      <c r="K533" s="669"/>
      <c r="L533" s="669"/>
      <c r="M533" s="669"/>
      <c r="N533" s="669"/>
      <c r="O533" s="669"/>
      <c r="P533" s="669"/>
      <c r="Q533" s="669"/>
      <c r="R533" s="669"/>
      <c r="S533" s="669"/>
      <c r="T533" s="669"/>
      <c r="U533" s="669"/>
      <c r="V533" s="669"/>
      <c r="W533" s="669"/>
      <c r="X533" s="669"/>
      <c r="Y533" s="669"/>
      <c r="Z533" s="669"/>
      <c r="AA533" s="65"/>
      <c r="AB533" s="65"/>
      <c r="AC533" s="79"/>
    </row>
    <row r="534" spans="1:68" ht="14.25" hidden="1" customHeight="1" x14ac:dyDescent="0.25">
      <c r="A534" s="670" t="s">
        <v>122</v>
      </c>
      <c r="B534" s="670"/>
      <c r="C534" s="670"/>
      <c r="D534" s="670"/>
      <c r="E534" s="670"/>
      <c r="F534" s="670"/>
      <c r="G534" s="670"/>
      <c r="H534" s="670"/>
      <c r="I534" s="670"/>
      <c r="J534" s="670"/>
      <c r="K534" s="670"/>
      <c r="L534" s="670"/>
      <c r="M534" s="670"/>
      <c r="N534" s="670"/>
      <c r="O534" s="670"/>
      <c r="P534" s="670"/>
      <c r="Q534" s="670"/>
      <c r="R534" s="670"/>
      <c r="S534" s="670"/>
      <c r="T534" s="670"/>
      <c r="U534" s="670"/>
      <c r="V534" s="670"/>
      <c r="W534" s="670"/>
      <c r="X534" s="670"/>
      <c r="Y534" s="670"/>
      <c r="Z534" s="670"/>
      <c r="AA534" s="66"/>
      <c r="AB534" s="66"/>
      <c r="AC534" s="80"/>
    </row>
    <row r="535" spans="1:68" ht="27" hidden="1" customHeight="1" x14ac:dyDescent="0.25">
      <c r="A535" s="63" t="s">
        <v>851</v>
      </c>
      <c r="B535" s="63" t="s">
        <v>852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6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853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59"/>
      <c r="B536" s="659"/>
      <c r="C536" s="659"/>
      <c r="D536" s="659"/>
      <c r="E536" s="659"/>
      <c r="F536" s="659"/>
      <c r="G536" s="659"/>
      <c r="H536" s="659"/>
      <c r="I536" s="659"/>
      <c r="J536" s="659"/>
      <c r="K536" s="659"/>
      <c r="L536" s="659"/>
      <c r="M536" s="659"/>
      <c r="N536" s="659"/>
      <c r="O536" s="660"/>
      <c r="P536" s="656" t="s">
        <v>40</v>
      </c>
      <c r="Q536" s="657"/>
      <c r="R536" s="657"/>
      <c r="S536" s="657"/>
      <c r="T536" s="657"/>
      <c r="U536" s="657"/>
      <c r="V536" s="658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59"/>
      <c r="B537" s="659"/>
      <c r="C537" s="659"/>
      <c r="D537" s="659"/>
      <c r="E537" s="659"/>
      <c r="F537" s="659"/>
      <c r="G537" s="659"/>
      <c r="H537" s="659"/>
      <c r="I537" s="659"/>
      <c r="J537" s="659"/>
      <c r="K537" s="659"/>
      <c r="L537" s="659"/>
      <c r="M537" s="659"/>
      <c r="N537" s="659"/>
      <c r="O537" s="660"/>
      <c r="P537" s="656" t="s">
        <v>40</v>
      </c>
      <c r="Q537" s="657"/>
      <c r="R537" s="657"/>
      <c r="S537" s="657"/>
      <c r="T537" s="657"/>
      <c r="U537" s="657"/>
      <c r="V537" s="658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70" t="s">
        <v>77</v>
      </c>
      <c r="B538" s="670"/>
      <c r="C538" s="670"/>
      <c r="D538" s="670"/>
      <c r="E538" s="670"/>
      <c r="F538" s="670"/>
      <c r="G538" s="670"/>
      <c r="H538" s="670"/>
      <c r="I538" s="670"/>
      <c r="J538" s="670"/>
      <c r="K538" s="670"/>
      <c r="L538" s="670"/>
      <c r="M538" s="670"/>
      <c r="N538" s="670"/>
      <c r="O538" s="670"/>
      <c r="P538" s="670"/>
      <c r="Q538" s="670"/>
      <c r="R538" s="670"/>
      <c r="S538" s="670"/>
      <c r="T538" s="670"/>
      <c r="U538" s="670"/>
      <c r="V538" s="670"/>
      <c r="W538" s="670"/>
      <c r="X538" s="670"/>
      <c r="Y538" s="670"/>
      <c r="Z538" s="670"/>
      <c r="AA538" s="66"/>
      <c r="AB538" s="66"/>
      <c r="AC538" s="80"/>
    </row>
    <row r="539" spans="1:68" ht="27" hidden="1" customHeight="1" x14ac:dyDescent="0.25">
      <c r="A539" s="63" t="s">
        <v>854</v>
      </c>
      <c r="B539" s="63" t="s">
        <v>855</v>
      </c>
      <c r="C539" s="36">
        <v>4301031500</v>
      </c>
      <c r="D539" s="665">
        <v>4640242180595</v>
      </c>
      <c r="E539" s="665"/>
      <c r="F539" s="62">
        <v>0.7</v>
      </c>
      <c r="G539" s="37">
        <v>6</v>
      </c>
      <c r="H539" s="62">
        <v>4.2</v>
      </c>
      <c r="I539" s="62">
        <v>4.45</v>
      </c>
      <c r="J539" s="37">
        <v>132</v>
      </c>
      <c r="K539" s="37" t="s">
        <v>134</v>
      </c>
      <c r="L539" s="37" t="s">
        <v>46</v>
      </c>
      <c r="M539" s="38" t="s">
        <v>81</v>
      </c>
      <c r="N539" s="38"/>
      <c r="O539" s="37">
        <v>40</v>
      </c>
      <c r="P539" s="67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IFERROR(IF(Y539=0,"",ROUNDUP(Y539/H539,0)*0.00902),"")</f>
        <v/>
      </c>
      <c r="AA539" s="68" t="s">
        <v>46</v>
      </c>
      <c r="AB539" s="69" t="s">
        <v>46</v>
      </c>
      <c r="AC539" s="642" t="s">
        <v>856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59"/>
      <c r="B540" s="659"/>
      <c r="C540" s="659"/>
      <c r="D540" s="659"/>
      <c r="E540" s="659"/>
      <c r="F540" s="659"/>
      <c r="G540" s="659"/>
      <c r="H540" s="659"/>
      <c r="I540" s="659"/>
      <c r="J540" s="659"/>
      <c r="K540" s="659"/>
      <c r="L540" s="659"/>
      <c r="M540" s="659"/>
      <c r="N540" s="659"/>
      <c r="O540" s="660"/>
      <c r="P540" s="656" t="s">
        <v>40</v>
      </c>
      <c r="Q540" s="657"/>
      <c r="R540" s="657"/>
      <c r="S540" s="657"/>
      <c r="T540" s="657"/>
      <c r="U540" s="657"/>
      <c r="V540" s="65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59"/>
      <c r="B541" s="659"/>
      <c r="C541" s="659"/>
      <c r="D541" s="659"/>
      <c r="E541" s="659"/>
      <c r="F541" s="659"/>
      <c r="G541" s="659"/>
      <c r="H541" s="659"/>
      <c r="I541" s="659"/>
      <c r="J541" s="659"/>
      <c r="K541" s="659"/>
      <c r="L541" s="659"/>
      <c r="M541" s="659"/>
      <c r="N541" s="659"/>
      <c r="O541" s="660"/>
      <c r="P541" s="656" t="s">
        <v>40</v>
      </c>
      <c r="Q541" s="657"/>
      <c r="R541" s="657"/>
      <c r="S541" s="657"/>
      <c r="T541" s="657"/>
      <c r="U541" s="657"/>
      <c r="V541" s="65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0" t="s">
        <v>86</v>
      </c>
      <c r="B542" s="670"/>
      <c r="C542" s="670"/>
      <c r="D542" s="670"/>
      <c r="E542" s="670"/>
      <c r="F542" s="670"/>
      <c r="G542" s="670"/>
      <c r="H542" s="670"/>
      <c r="I542" s="670"/>
      <c r="J542" s="670"/>
      <c r="K542" s="670"/>
      <c r="L542" s="670"/>
      <c r="M542" s="670"/>
      <c r="N542" s="670"/>
      <c r="O542" s="670"/>
      <c r="P542" s="670"/>
      <c r="Q542" s="670"/>
      <c r="R542" s="670"/>
      <c r="S542" s="670"/>
      <c r="T542" s="670"/>
      <c r="U542" s="670"/>
      <c r="V542" s="670"/>
      <c r="W542" s="670"/>
      <c r="X542" s="670"/>
      <c r="Y542" s="670"/>
      <c r="Z542" s="670"/>
      <c r="AA542" s="66"/>
      <c r="AB542" s="66"/>
      <c r="AC542" s="80"/>
    </row>
    <row r="543" spans="1:68" ht="27" hidden="1" customHeight="1" x14ac:dyDescent="0.25">
      <c r="A543" s="63" t="s">
        <v>857</v>
      </c>
      <c r="B543" s="63" t="s">
        <v>858</v>
      </c>
      <c r="C543" s="36">
        <v>4301052043</v>
      </c>
      <c r="D543" s="665">
        <v>4640242180533</v>
      </c>
      <c r="E543" s="665"/>
      <c r="F543" s="62">
        <v>1.5</v>
      </c>
      <c r="G543" s="37">
        <v>6</v>
      </c>
      <c r="H543" s="62">
        <v>9</v>
      </c>
      <c r="I543" s="62">
        <v>9.4939999999999998</v>
      </c>
      <c r="J543" s="37">
        <v>64</v>
      </c>
      <c r="K543" s="37" t="s">
        <v>127</v>
      </c>
      <c r="L543" s="37" t="s">
        <v>46</v>
      </c>
      <c r="M543" s="38" t="s">
        <v>90</v>
      </c>
      <c r="N543" s="38"/>
      <c r="O543" s="37">
        <v>45</v>
      </c>
      <c r="P543" s="6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44" t="s">
        <v>859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59"/>
      <c r="B544" s="659"/>
      <c r="C544" s="659"/>
      <c r="D544" s="659"/>
      <c r="E544" s="659"/>
      <c r="F544" s="659"/>
      <c r="G544" s="659"/>
      <c r="H544" s="659"/>
      <c r="I544" s="659"/>
      <c r="J544" s="659"/>
      <c r="K544" s="659"/>
      <c r="L544" s="659"/>
      <c r="M544" s="659"/>
      <c r="N544" s="659"/>
      <c r="O544" s="660"/>
      <c r="P544" s="656" t="s">
        <v>40</v>
      </c>
      <c r="Q544" s="657"/>
      <c r="R544" s="657"/>
      <c r="S544" s="657"/>
      <c r="T544" s="657"/>
      <c r="U544" s="657"/>
      <c r="V544" s="65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59"/>
      <c r="B545" s="659"/>
      <c r="C545" s="659"/>
      <c r="D545" s="659"/>
      <c r="E545" s="659"/>
      <c r="F545" s="659"/>
      <c r="G545" s="659"/>
      <c r="H545" s="659"/>
      <c r="I545" s="659"/>
      <c r="J545" s="659"/>
      <c r="K545" s="659"/>
      <c r="L545" s="659"/>
      <c r="M545" s="659"/>
      <c r="N545" s="659"/>
      <c r="O545" s="660"/>
      <c r="P545" s="656" t="s">
        <v>40</v>
      </c>
      <c r="Q545" s="657"/>
      <c r="R545" s="657"/>
      <c r="S545" s="657"/>
      <c r="T545" s="657"/>
      <c r="U545" s="657"/>
      <c r="V545" s="65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0" t="s">
        <v>179</v>
      </c>
      <c r="B546" s="670"/>
      <c r="C546" s="670"/>
      <c r="D546" s="670"/>
      <c r="E546" s="670"/>
      <c r="F546" s="670"/>
      <c r="G546" s="670"/>
      <c r="H546" s="670"/>
      <c r="I546" s="670"/>
      <c r="J546" s="670"/>
      <c r="K546" s="670"/>
      <c r="L546" s="670"/>
      <c r="M546" s="670"/>
      <c r="N546" s="670"/>
      <c r="O546" s="670"/>
      <c r="P546" s="670"/>
      <c r="Q546" s="670"/>
      <c r="R546" s="670"/>
      <c r="S546" s="670"/>
      <c r="T546" s="670"/>
      <c r="U546" s="670"/>
      <c r="V546" s="670"/>
      <c r="W546" s="670"/>
      <c r="X546" s="670"/>
      <c r="Y546" s="670"/>
      <c r="Z546" s="670"/>
      <c r="AA546" s="66"/>
      <c r="AB546" s="66"/>
      <c r="AC546" s="80"/>
    </row>
    <row r="547" spans="1:68" ht="27" hidden="1" customHeight="1" x14ac:dyDescent="0.25">
      <c r="A547" s="63" t="s">
        <v>860</v>
      </c>
      <c r="B547" s="63" t="s">
        <v>861</v>
      </c>
      <c r="C547" s="36">
        <v>4301060535</v>
      </c>
      <c r="D547" s="665">
        <v>4640242180120</v>
      </c>
      <c r="E547" s="66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7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862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t="27" hidden="1" customHeight="1" x14ac:dyDescent="0.25">
      <c r="A548" s="63" t="s">
        <v>863</v>
      </c>
      <c r="B548" s="63" t="s">
        <v>864</v>
      </c>
      <c r="C548" s="36">
        <v>4301060536</v>
      </c>
      <c r="D548" s="665">
        <v>4640242180137</v>
      </c>
      <c r="E548" s="665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67"/>
      <c r="R548" s="667"/>
      <c r="S548" s="667"/>
      <c r="T548" s="668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865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59"/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60"/>
      <c r="P549" s="656" t="s">
        <v>40</v>
      </c>
      <c r="Q549" s="657"/>
      <c r="R549" s="657"/>
      <c r="S549" s="657"/>
      <c r="T549" s="657"/>
      <c r="U549" s="657"/>
      <c r="V549" s="658"/>
      <c r="W549" s="42" t="s">
        <v>39</v>
      </c>
      <c r="X549" s="43">
        <f>IFERROR(X547/H547,"0")+IFERROR(X548/H548,"0")</f>
        <v>0</v>
      </c>
      <c r="Y549" s="43">
        <f>IFERROR(Y547/H547,"0")+IFERROR(Y548/H548,"0")</f>
        <v>0</v>
      </c>
      <c r="Z549" s="43">
        <f>IFERROR(IF(Z547="",0,Z547),"0")+IFERROR(IF(Z548="",0,Z548),"0")</f>
        <v>0</v>
      </c>
      <c r="AA549" s="67"/>
      <c r="AB549" s="67"/>
      <c r="AC549" s="67"/>
    </row>
    <row r="550" spans="1:68" hidden="1" x14ac:dyDescent="0.2">
      <c r="A550" s="659"/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60"/>
      <c r="P550" s="656" t="s">
        <v>40</v>
      </c>
      <c r="Q550" s="657"/>
      <c r="R550" s="657"/>
      <c r="S550" s="657"/>
      <c r="T550" s="657"/>
      <c r="U550" s="657"/>
      <c r="V550" s="658"/>
      <c r="W550" s="42" t="s">
        <v>0</v>
      </c>
      <c r="X550" s="43">
        <f>IFERROR(SUM(X547:X548),"0")</f>
        <v>0</v>
      </c>
      <c r="Y550" s="43">
        <f>IFERROR(SUM(Y547:Y548),"0")</f>
        <v>0</v>
      </c>
      <c r="Z550" s="42"/>
      <c r="AA550" s="67"/>
      <c r="AB550" s="67"/>
      <c r="AC550" s="67"/>
    </row>
    <row r="551" spans="1:68" ht="16.5" hidden="1" customHeight="1" x14ac:dyDescent="0.25">
      <c r="A551" s="669" t="s">
        <v>866</v>
      </c>
      <c r="B551" s="669"/>
      <c r="C551" s="669"/>
      <c r="D551" s="669"/>
      <c r="E551" s="669"/>
      <c r="F551" s="669"/>
      <c r="G551" s="669"/>
      <c r="H551" s="669"/>
      <c r="I551" s="669"/>
      <c r="J551" s="669"/>
      <c r="K551" s="669"/>
      <c r="L551" s="669"/>
      <c r="M551" s="669"/>
      <c r="N551" s="669"/>
      <c r="O551" s="669"/>
      <c r="P551" s="669"/>
      <c r="Q551" s="669"/>
      <c r="R551" s="669"/>
      <c r="S551" s="669"/>
      <c r="T551" s="669"/>
      <c r="U551" s="669"/>
      <c r="V551" s="669"/>
      <c r="W551" s="669"/>
      <c r="X551" s="669"/>
      <c r="Y551" s="669"/>
      <c r="Z551" s="669"/>
      <c r="AA551" s="65"/>
      <c r="AB551" s="65"/>
      <c r="AC551" s="79"/>
    </row>
    <row r="552" spans="1:68" ht="14.25" hidden="1" customHeight="1" x14ac:dyDescent="0.25">
      <c r="A552" s="670" t="s">
        <v>159</v>
      </c>
      <c r="B552" s="670"/>
      <c r="C552" s="670"/>
      <c r="D552" s="670"/>
      <c r="E552" s="670"/>
      <c r="F552" s="670"/>
      <c r="G552" s="670"/>
      <c r="H552" s="670"/>
      <c r="I552" s="670"/>
      <c r="J552" s="670"/>
      <c r="K552" s="670"/>
      <c r="L552" s="670"/>
      <c r="M552" s="670"/>
      <c r="N552" s="670"/>
      <c r="O552" s="670"/>
      <c r="P552" s="670"/>
      <c r="Q552" s="670"/>
      <c r="R552" s="670"/>
      <c r="S552" s="670"/>
      <c r="T552" s="670"/>
      <c r="U552" s="670"/>
      <c r="V552" s="670"/>
      <c r="W552" s="670"/>
      <c r="X552" s="670"/>
      <c r="Y552" s="670"/>
      <c r="Z552" s="670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4301020441</v>
      </c>
      <c r="D553" s="665">
        <v>4680115889798</v>
      </c>
      <c r="E553" s="665"/>
      <c r="F553" s="62">
        <v>1.5</v>
      </c>
      <c r="G553" s="37">
        <v>8</v>
      </c>
      <c r="H553" s="62">
        <v>12</v>
      </c>
      <c r="I553" s="62">
        <v>12.41</v>
      </c>
      <c r="J553" s="37">
        <v>64</v>
      </c>
      <c r="K553" s="37" t="s">
        <v>127</v>
      </c>
      <c r="L553" s="37" t="s">
        <v>46</v>
      </c>
      <c r="M553" s="38" t="s">
        <v>126</v>
      </c>
      <c r="N553" s="38"/>
      <c r="O553" s="37">
        <v>50</v>
      </c>
      <c r="P553" s="67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67"/>
      <c r="R553" s="667"/>
      <c r="S553" s="667"/>
      <c r="T553" s="668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0" t="s">
        <v>869</v>
      </c>
      <c r="AG553" s="78"/>
      <c r="AJ553" s="84" t="s">
        <v>46</v>
      </c>
      <c r="AK553" s="84">
        <v>0</v>
      </c>
      <c r="BB553" s="651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59"/>
      <c r="B554" s="659"/>
      <c r="C554" s="659"/>
      <c r="D554" s="659"/>
      <c r="E554" s="659"/>
      <c r="F554" s="659"/>
      <c r="G554" s="659"/>
      <c r="H554" s="659"/>
      <c r="I554" s="659"/>
      <c r="J554" s="659"/>
      <c r="K554" s="659"/>
      <c r="L554" s="659"/>
      <c r="M554" s="659"/>
      <c r="N554" s="659"/>
      <c r="O554" s="660"/>
      <c r="P554" s="656" t="s">
        <v>40</v>
      </c>
      <c r="Q554" s="657"/>
      <c r="R554" s="657"/>
      <c r="S554" s="657"/>
      <c r="T554" s="657"/>
      <c r="U554" s="657"/>
      <c r="V554" s="658"/>
      <c r="W554" s="42" t="s">
        <v>39</v>
      </c>
      <c r="X554" s="43">
        <f>IFERROR(X553/H553,"0")</f>
        <v>0</v>
      </c>
      <c r="Y554" s="43">
        <f>IFERROR(Y553/H553,"0")</f>
        <v>0</v>
      </c>
      <c r="Z554" s="43">
        <f>IFERROR(IF(Z553="",0,Z553),"0")</f>
        <v>0</v>
      </c>
      <c r="AA554" s="67"/>
      <c r="AB554" s="67"/>
      <c r="AC554" s="67"/>
    </row>
    <row r="555" spans="1:68" hidden="1" x14ac:dyDescent="0.2">
      <c r="A555" s="659"/>
      <c r="B555" s="659"/>
      <c r="C555" s="659"/>
      <c r="D555" s="659"/>
      <c r="E555" s="659"/>
      <c r="F555" s="659"/>
      <c r="G555" s="659"/>
      <c r="H555" s="659"/>
      <c r="I555" s="659"/>
      <c r="J555" s="659"/>
      <c r="K555" s="659"/>
      <c r="L555" s="659"/>
      <c r="M555" s="659"/>
      <c r="N555" s="659"/>
      <c r="O555" s="660"/>
      <c r="P555" s="656" t="s">
        <v>40</v>
      </c>
      <c r="Q555" s="657"/>
      <c r="R555" s="657"/>
      <c r="S555" s="657"/>
      <c r="T555" s="657"/>
      <c r="U555" s="657"/>
      <c r="V555" s="658"/>
      <c r="W555" s="42" t="s">
        <v>0</v>
      </c>
      <c r="X555" s="43">
        <f>IFERROR(SUM(X553:X553),"0")</f>
        <v>0</v>
      </c>
      <c r="Y555" s="43">
        <f>IFERROR(SUM(Y553:Y553),"0")</f>
        <v>0</v>
      </c>
      <c r="Z555" s="42"/>
      <c r="AA555" s="67"/>
      <c r="AB555" s="67"/>
      <c r="AC555" s="67"/>
    </row>
    <row r="556" spans="1:68" ht="15" customHeight="1" x14ac:dyDescent="0.2">
      <c r="A556" s="659"/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64"/>
      <c r="P556" s="661" t="s">
        <v>33</v>
      </c>
      <c r="Q556" s="662"/>
      <c r="R556" s="662"/>
      <c r="S556" s="662"/>
      <c r="T556" s="662"/>
      <c r="U556" s="662"/>
      <c r="V556" s="663"/>
      <c r="W556" s="42" t="s">
        <v>0</v>
      </c>
      <c r="X556" s="43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3750</v>
      </c>
      <c r="Y556" s="43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3755.04</v>
      </c>
      <c r="Z556" s="42"/>
      <c r="AA556" s="67"/>
      <c r="AB556" s="67"/>
      <c r="AC556" s="67"/>
    </row>
    <row r="557" spans="1:68" x14ac:dyDescent="0.2">
      <c r="A557" s="659"/>
      <c r="B557" s="659"/>
      <c r="C557" s="659"/>
      <c r="D557" s="659"/>
      <c r="E557" s="659"/>
      <c r="F557" s="659"/>
      <c r="G557" s="659"/>
      <c r="H557" s="659"/>
      <c r="I557" s="659"/>
      <c r="J557" s="659"/>
      <c r="K557" s="659"/>
      <c r="L557" s="659"/>
      <c r="M557" s="659"/>
      <c r="N557" s="659"/>
      <c r="O557" s="664"/>
      <c r="P557" s="661" t="s">
        <v>34</v>
      </c>
      <c r="Q557" s="662"/>
      <c r="R557" s="662"/>
      <c r="S557" s="662"/>
      <c r="T557" s="662"/>
      <c r="U557" s="662"/>
      <c r="V557" s="663"/>
      <c r="W557" s="42" t="s">
        <v>0</v>
      </c>
      <c r="X557" s="43">
        <f>IFERROR(SUM(BM22:BM553),"0")</f>
        <v>3893.715909090909</v>
      </c>
      <c r="Y557" s="43">
        <f>IFERROR(SUM(BN22:BN553),"0")</f>
        <v>3899.09</v>
      </c>
      <c r="Z557" s="42"/>
      <c r="AA557" s="67"/>
      <c r="AB557" s="67"/>
      <c r="AC557" s="67"/>
    </row>
    <row r="558" spans="1:68" x14ac:dyDescent="0.2">
      <c r="A558" s="659"/>
      <c r="B558" s="659"/>
      <c r="C558" s="659"/>
      <c r="D558" s="659"/>
      <c r="E558" s="659"/>
      <c r="F558" s="659"/>
      <c r="G558" s="659"/>
      <c r="H558" s="659"/>
      <c r="I558" s="659"/>
      <c r="J558" s="659"/>
      <c r="K558" s="659"/>
      <c r="L558" s="659"/>
      <c r="M558" s="659"/>
      <c r="N558" s="659"/>
      <c r="O558" s="664"/>
      <c r="P558" s="661" t="s">
        <v>35</v>
      </c>
      <c r="Q558" s="662"/>
      <c r="R558" s="662"/>
      <c r="S558" s="662"/>
      <c r="T558" s="662"/>
      <c r="U558" s="662"/>
      <c r="V558" s="663"/>
      <c r="W558" s="42" t="s">
        <v>20</v>
      </c>
      <c r="X558" s="44">
        <f>ROUNDUP(SUM(BO22:BO553),0)</f>
        <v>6</v>
      </c>
      <c r="Y558" s="44">
        <f>ROUNDUP(SUM(BP22:BP553),0)</f>
        <v>6</v>
      </c>
      <c r="Z558" s="42"/>
      <c r="AA558" s="67"/>
      <c r="AB558" s="67"/>
      <c r="AC558" s="67"/>
    </row>
    <row r="559" spans="1:68" x14ac:dyDescent="0.2">
      <c r="A559" s="659"/>
      <c r="B559" s="659"/>
      <c r="C559" s="659"/>
      <c r="D559" s="659"/>
      <c r="E559" s="659"/>
      <c r="F559" s="659"/>
      <c r="G559" s="659"/>
      <c r="H559" s="659"/>
      <c r="I559" s="659"/>
      <c r="J559" s="659"/>
      <c r="K559" s="659"/>
      <c r="L559" s="659"/>
      <c r="M559" s="659"/>
      <c r="N559" s="659"/>
      <c r="O559" s="664"/>
      <c r="P559" s="661" t="s">
        <v>36</v>
      </c>
      <c r="Q559" s="662"/>
      <c r="R559" s="662"/>
      <c r="S559" s="662"/>
      <c r="T559" s="662"/>
      <c r="U559" s="662"/>
      <c r="V559" s="663"/>
      <c r="W559" s="42" t="s">
        <v>0</v>
      </c>
      <c r="X559" s="43">
        <f>GrossWeightTotal+PalletQtyTotal*25</f>
        <v>4043.715909090909</v>
      </c>
      <c r="Y559" s="43">
        <f>GrossWeightTotalR+PalletQtyTotalR*25</f>
        <v>4049.09</v>
      </c>
      <c r="Z559" s="42"/>
      <c r="AA559" s="67"/>
      <c r="AB559" s="67"/>
      <c r="AC559" s="67"/>
    </row>
    <row r="560" spans="1:68" x14ac:dyDescent="0.2">
      <c r="A560" s="659"/>
      <c r="B560" s="659"/>
      <c r="C560" s="659"/>
      <c r="D560" s="659"/>
      <c r="E560" s="659"/>
      <c r="F560" s="659"/>
      <c r="G560" s="659"/>
      <c r="H560" s="659"/>
      <c r="I560" s="659"/>
      <c r="J560" s="659"/>
      <c r="K560" s="659"/>
      <c r="L560" s="659"/>
      <c r="M560" s="659"/>
      <c r="N560" s="659"/>
      <c r="O560" s="664"/>
      <c r="P560" s="661" t="s">
        <v>37</v>
      </c>
      <c r="Q560" s="662"/>
      <c r="R560" s="662"/>
      <c r="S560" s="662"/>
      <c r="T560" s="662"/>
      <c r="U560" s="662"/>
      <c r="V560" s="663"/>
      <c r="W560" s="42" t="s">
        <v>20</v>
      </c>
      <c r="X560" s="43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342.0454545454545</v>
      </c>
      <c r="Y560" s="43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343</v>
      </c>
      <c r="Z560" s="42"/>
      <c r="AA560" s="67"/>
      <c r="AB560" s="67"/>
      <c r="AC560" s="67"/>
    </row>
    <row r="561" spans="1:32" ht="14.25" hidden="1" x14ac:dyDescent="0.2">
      <c r="A561" s="659"/>
      <c r="B561" s="659"/>
      <c r="C561" s="659"/>
      <c r="D561" s="659"/>
      <c r="E561" s="659"/>
      <c r="F561" s="659"/>
      <c r="G561" s="659"/>
      <c r="H561" s="659"/>
      <c r="I561" s="659"/>
      <c r="J561" s="659"/>
      <c r="K561" s="659"/>
      <c r="L561" s="659"/>
      <c r="M561" s="659"/>
      <c r="N561" s="659"/>
      <c r="O561" s="664"/>
      <c r="P561" s="661" t="s">
        <v>38</v>
      </c>
      <c r="Q561" s="662"/>
      <c r="R561" s="662"/>
      <c r="S561" s="662"/>
      <c r="T561" s="662"/>
      <c r="U561" s="662"/>
      <c r="V561" s="663"/>
      <c r="W561" s="45" t="s">
        <v>52</v>
      </c>
      <c r="X561" s="42"/>
      <c r="Y561" s="42"/>
      <c r="Z561" s="42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6.0602799999999997</v>
      </c>
      <c r="AA561" s="67"/>
      <c r="AB561" s="67"/>
      <c r="AC561" s="67"/>
    </row>
    <row r="562" spans="1:32" ht="13.5" thickBot="1" x14ac:dyDescent="0.25"/>
    <row r="563" spans="1:32" ht="27" thickTop="1" thickBot="1" x14ac:dyDescent="0.25">
      <c r="A563" s="46" t="s">
        <v>9</v>
      </c>
      <c r="B563" s="85" t="s">
        <v>76</v>
      </c>
      <c r="C563" s="85" t="s">
        <v>45</v>
      </c>
      <c r="D563" s="652" t="s">
        <v>120</v>
      </c>
      <c r="E563" s="652" t="s">
        <v>120</v>
      </c>
      <c r="F563" s="652" t="s">
        <v>120</v>
      </c>
      <c r="G563" s="652" t="s">
        <v>120</v>
      </c>
      <c r="H563" s="652" t="s">
        <v>120</v>
      </c>
      <c r="I563" s="652" t="s">
        <v>120</v>
      </c>
      <c r="J563" s="652" t="s">
        <v>120</v>
      </c>
      <c r="K563" s="652" t="s">
        <v>346</v>
      </c>
      <c r="L563" s="652" t="s">
        <v>346</v>
      </c>
      <c r="M563" s="652" t="s">
        <v>346</v>
      </c>
      <c r="N563" s="653"/>
      <c r="O563" s="652" t="s">
        <v>346</v>
      </c>
      <c r="P563" s="652" t="s">
        <v>346</v>
      </c>
      <c r="Q563" s="652" t="s">
        <v>346</v>
      </c>
      <c r="R563" s="652" t="s">
        <v>346</v>
      </c>
      <c r="S563" s="652" t="s">
        <v>346</v>
      </c>
      <c r="T563" s="652" t="s">
        <v>346</v>
      </c>
      <c r="U563" s="652" t="s">
        <v>346</v>
      </c>
      <c r="V563" s="652" t="s">
        <v>346</v>
      </c>
      <c r="W563" s="652" t="s">
        <v>701</v>
      </c>
      <c r="X563" s="652" t="s">
        <v>701</v>
      </c>
      <c r="Y563" s="652" t="s">
        <v>767</v>
      </c>
      <c r="Z563" s="652" t="s">
        <v>767</v>
      </c>
      <c r="AA563" s="85" t="s">
        <v>803</v>
      </c>
      <c r="AB563" s="652" t="s">
        <v>850</v>
      </c>
      <c r="AC563" s="652" t="s">
        <v>850</v>
      </c>
      <c r="AF563" s="1"/>
    </row>
    <row r="564" spans="1:32" ht="14.25" customHeight="1" thickTop="1" x14ac:dyDescent="0.2">
      <c r="A564" s="654" t="s">
        <v>10</v>
      </c>
      <c r="B564" s="652" t="s">
        <v>76</v>
      </c>
      <c r="C564" s="652" t="s">
        <v>104</v>
      </c>
      <c r="D564" s="652" t="s">
        <v>121</v>
      </c>
      <c r="E564" s="652" t="s">
        <v>137</v>
      </c>
      <c r="F564" s="652" t="s">
        <v>187</v>
      </c>
      <c r="G564" s="652" t="s">
        <v>210</v>
      </c>
      <c r="H564" s="652" t="s">
        <v>250</v>
      </c>
      <c r="I564" s="652" t="s">
        <v>263</v>
      </c>
      <c r="J564" s="652" t="s">
        <v>120</v>
      </c>
      <c r="K564" s="652" t="s">
        <v>347</v>
      </c>
      <c r="L564" s="652" t="s">
        <v>368</v>
      </c>
      <c r="M564" s="652" t="s">
        <v>442</v>
      </c>
      <c r="N564" s="1"/>
      <c r="O564" s="652" t="s">
        <v>510</v>
      </c>
      <c r="P564" s="652" t="s">
        <v>539</v>
      </c>
      <c r="Q564" s="652" t="s">
        <v>559</v>
      </c>
      <c r="R564" s="652" t="s">
        <v>568</v>
      </c>
      <c r="S564" s="652" t="s">
        <v>589</v>
      </c>
      <c r="T564" s="652" t="s">
        <v>598</v>
      </c>
      <c r="U564" s="652" t="s">
        <v>684</v>
      </c>
      <c r="V564" s="652" t="s">
        <v>691</v>
      </c>
      <c r="W564" s="652" t="s">
        <v>702</v>
      </c>
      <c r="X564" s="652" t="s">
        <v>751</v>
      </c>
      <c r="Y564" s="652" t="s">
        <v>768</v>
      </c>
      <c r="Z564" s="652" t="s">
        <v>791</v>
      </c>
      <c r="AA564" s="652" t="s">
        <v>803</v>
      </c>
      <c r="AB564" s="652" t="s">
        <v>850</v>
      </c>
      <c r="AC564" s="652" t="s">
        <v>866</v>
      </c>
      <c r="AF564" s="1"/>
    </row>
    <row r="565" spans="1:32" ht="13.5" thickBot="1" x14ac:dyDescent="0.25">
      <c r="A565" s="655"/>
      <c r="B565" s="652"/>
      <c r="C565" s="652"/>
      <c r="D565" s="652"/>
      <c r="E565" s="652"/>
      <c r="F565" s="652"/>
      <c r="G565" s="652"/>
      <c r="H565" s="652"/>
      <c r="I565" s="652"/>
      <c r="J565" s="652"/>
      <c r="K565" s="652"/>
      <c r="L565" s="652"/>
      <c r="M565" s="652"/>
      <c r="N565" s="1"/>
      <c r="O565" s="652"/>
      <c r="P565" s="652"/>
      <c r="Q565" s="652"/>
      <c r="R565" s="652"/>
      <c r="S565" s="652"/>
      <c r="T565" s="652"/>
      <c r="U565" s="652"/>
      <c r="V565" s="652"/>
      <c r="W565" s="652"/>
      <c r="X565" s="652"/>
      <c r="Y565" s="652"/>
      <c r="Z565" s="652"/>
      <c r="AA565" s="652"/>
      <c r="AB565" s="652"/>
      <c r="AC565" s="652"/>
      <c r="AF565" s="1"/>
    </row>
    <row r="566" spans="1:32" ht="18" thickTop="1" thickBot="1" x14ac:dyDescent="0.25">
      <c r="A566" s="46" t="s">
        <v>13</v>
      </c>
      <c r="B566" s="52">
        <f>IFERROR(Y22*1,"0")+IFERROR(Y23*1,"0")+IFERROR(Y27*1,"0")+IFERROR(Y28*1,"0")+IFERROR(Y29*1,"0")+IFERROR(Y30*1,"0")+IFERROR(Y31*1,"0")</f>
        <v>0</v>
      </c>
      <c r="C566" s="52">
        <f>IFERROR(Y37*1,"0")+IFERROR(Y38*1,"0")+IFERROR(Y39*1,"0")+IFERROR(Y40*1,"0")+IFERROR(Y41*1,"0")</f>
        <v>0</v>
      </c>
      <c r="D566" s="52">
        <f>IFERROR(Y47*1,"0")+IFERROR(Y48*1,"0")+IFERROR(Y49*1,"0")+IFERROR(Y50*1,"0")</f>
        <v>0</v>
      </c>
      <c r="E566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0</v>
      </c>
      <c r="F566" s="52">
        <f>IFERROR(Y88*1,"0")+IFERROR(Y89*1,"0")+IFERROR(Y90*1,"0")+IFERROR(Y91*1,"0")+IFERROR(Y92*1,"0")+IFERROR(Y96*1,"0")+IFERROR(Y97*1,"0")+IFERROR(Y98*1,"0")+IFERROR(Y99*1,"0")</f>
        <v>0</v>
      </c>
      <c r="G566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66" s="52">
        <f>IFERROR(Y134*1,"0")+IFERROR(Y135*1,"0")+IFERROR(Y139*1,"0")+IFERROR(Y140*1,"0")+IFERROR(Y144*1,"0")+IFERROR(Y145*1,"0")</f>
        <v>0</v>
      </c>
      <c r="I566" s="52">
        <f>IFERROR(Y150*1,"0")+IFERROR(Y151*1,"0")+IFERROR(Y152*1,"0")+IFERROR(Y153*1,"0")+IFERROR(Y154*1,"0")+IFERROR(Y155*1,"0")+IFERROR(Y159*1,"0")</f>
        <v>0</v>
      </c>
      <c r="J566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66" s="52">
        <f>IFERROR(Y206*1,"0")+IFERROR(Y207*1,"0")+IFERROR(Y208*1,"0")+IFERROR(Y209*1,"0")+IFERROR(Y210*1,"0")+IFERROR(Y211*1,"0")+IFERROR(Y212*1,"0")</f>
        <v>0</v>
      </c>
      <c r="L566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66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6" s="1"/>
      <c r="O566" s="52">
        <f>IFERROR(Y304*1,"0")+IFERROR(Y305*1,"0")+IFERROR(Y306*1,"0")+IFERROR(Y307*1,"0")+IFERROR(Y308*1,"0")+IFERROR(Y309*1,"0")+IFERROR(Y310*1,"0")+IFERROR(Y314*1,"0")+IFERROR(Y318*1,"0")+IFERROR(Y322*1,"0")</f>
        <v>0</v>
      </c>
      <c r="P566" s="52">
        <f>IFERROR(Y327*1,"0")+IFERROR(Y328*1,"0")+IFERROR(Y329*1,"0")+IFERROR(Y330*1,"0")+IFERROR(Y331*1,"0")+IFERROR(Y332*1,"0")</f>
        <v>0</v>
      </c>
      <c r="Q566" s="52">
        <f>IFERROR(Y337*1,"0")+IFERROR(Y338*1,"0")+IFERROR(Y339*1,"0")</f>
        <v>0</v>
      </c>
      <c r="R566" s="52">
        <f>IFERROR(Y344*1,"0")+IFERROR(Y345*1,"0")+IFERROR(Y346*1,"0")+IFERROR(Y347*1,"0")+IFERROR(Y348*1,"0")+IFERROR(Y352*1,"0")+IFERROR(Y353*1,"0")</f>
        <v>0</v>
      </c>
      <c r="S566" s="52">
        <f>IFERROR(Y358*1,"0")+IFERROR(Y359*1,"0")+IFERROR(Y360*1,"0")</f>
        <v>0</v>
      </c>
      <c r="T566" s="52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66" s="52">
        <f>IFERROR(Y418*1,"0")+IFERROR(Y419*1,"0")</f>
        <v>0</v>
      </c>
      <c r="V566" s="52">
        <f>IFERROR(Y424*1,"0")+IFERROR(Y425*1,"0")+IFERROR(Y426*1,"0")</f>
        <v>0</v>
      </c>
      <c r="W566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3000</v>
      </c>
      <c r="X566" s="52">
        <f>IFERROR(Y461*1,"0")+IFERROR(Y462*1,"0")+IFERROR(Y466*1,"0")+IFERROR(Y470*1,"0")+IFERROR(Y471*1,"0")+IFERROR(Y472*1,"0")</f>
        <v>0</v>
      </c>
      <c r="Y566" s="52">
        <f>IFERROR(Y478*1,"0")+IFERROR(Y479*1,"0")+IFERROR(Y480*1,"0")+IFERROR(Y481*1,"0")+IFERROR(Y482*1,"0")+IFERROR(Y483*1,"0")+IFERROR(Y487*1,"0")+IFERROR(Y488*1,"0")</f>
        <v>0</v>
      </c>
      <c r="Z566" s="52">
        <f>IFERROR(Y493*1,"0")+IFERROR(Y497*1,"0")+IFERROR(Y498*1,"0")+IFERROR(Y499*1,"0")</f>
        <v>0</v>
      </c>
      <c r="AA566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755.04000000000008</v>
      </c>
      <c r="AB566" s="52">
        <f>IFERROR(Y535*1,"0")+IFERROR(Y539*1,"0")+IFERROR(Y543*1,"0")+IFERROR(Y547*1,"0")+IFERROR(Y548*1,"0")</f>
        <v>0</v>
      </c>
      <c r="AC566" s="52">
        <f>IFERROR(Y553*1,"0")</f>
        <v>0</v>
      </c>
      <c r="AF566" s="1"/>
    </row>
  </sheetData>
  <sheetProtection algorithmName="SHA-512" hashValue="NMGPS3c/nndizhVDoyup2vQRuyId9sYu9RlvfIuhMJKrDqVXjtoX4FYmuO1PELzVoydPdHO0DIaiFhUIjEFBoA==" saltValue="NzaJPduxW/nVRHCnbNTOOw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42,05"/>
        <filter val="200,00"/>
        <filter val="3 000,00"/>
        <filter val="3 750,00"/>
        <filter val="3 893,72"/>
        <filter val="342,05"/>
        <filter val="4 043,72"/>
        <filter val="6"/>
        <filter val="750,00"/>
      </filters>
    </filterColumn>
    <filterColumn colId="29" showButton="0"/>
    <filterColumn colId="30" showButton="0"/>
  </autoFilter>
  <dataConsolidate/>
  <mergeCells count="99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D548:E548"/>
    <mergeCell ref="P548:T548"/>
    <mergeCell ref="P549:V549"/>
    <mergeCell ref="A549:O550"/>
    <mergeCell ref="P550:V550"/>
    <mergeCell ref="A551:Z551"/>
    <mergeCell ref="A552:Z552"/>
    <mergeCell ref="D553:E553"/>
    <mergeCell ref="P553:T553"/>
    <mergeCell ref="P554:V554"/>
    <mergeCell ref="A554:O555"/>
    <mergeCell ref="P555:V555"/>
    <mergeCell ref="P556:V556"/>
    <mergeCell ref="A556:O561"/>
    <mergeCell ref="P557:V557"/>
    <mergeCell ref="P558:V558"/>
    <mergeCell ref="P559:V559"/>
    <mergeCell ref="P560:V560"/>
    <mergeCell ref="P561:V561"/>
    <mergeCell ref="D563:J563"/>
    <mergeCell ref="K563:V563"/>
    <mergeCell ref="W563:X563"/>
    <mergeCell ref="Y563:Z563"/>
    <mergeCell ref="AB563:AC563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K564:K565"/>
    <mergeCell ref="L564:L565"/>
    <mergeCell ref="M564:M565"/>
    <mergeCell ref="O564:O565"/>
    <mergeCell ref="P564:P565"/>
    <mergeCell ref="Q564:Q565"/>
    <mergeCell ref="R564:R565"/>
    <mergeCell ref="S564:S565"/>
    <mergeCell ref="T564:T565"/>
    <mergeCell ref="U564:U565"/>
    <mergeCell ref="V564:V565"/>
    <mergeCell ref="W564:W565"/>
    <mergeCell ref="X564:X565"/>
    <mergeCell ref="Y564:Y565"/>
    <mergeCell ref="Z564:Z565"/>
    <mergeCell ref="AA564:AA565"/>
    <mergeCell ref="AB564:AB565"/>
    <mergeCell ref="AC564:AC56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3" t="s">
        <v>871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873</v>
      </c>
      <c r="C6" s="53" t="s">
        <v>874</v>
      </c>
      <c r="D6" s="53" t="s">
        <v>875</v>
      </c>
      <c r="E6" s="53" t="s">
        <v>46</v>
      </c>
    </row>
    <row r="7" spans="2:8" x14ac:dyDescent="0.2">
      <c r="B7" s="53" t="s">
        <v>876</v>
      </c>
      <c r="C7" s="53" t="s">
        <v>877</v>
      </c>
      <c r="D7" s="53" t="s">
        <v>878</v>
      </c>
      <c r="E7" s="53" t="s">
        <v>46</v>
      </c>
    </row>
    <row r="8" spans="2:8" x14ac:dyDescent="0.2">
      <c r="B8" s="53" t="s">
        <v>879</v>
      </c>
      <c r="C8" s="53" t="s">
        <v>880</v>
      </c>
      <c r="D8" s="53" t="s">
        <v>881</v>
      </c>
      <c r="E8" s="53" t="s">
        <v>46</v>
      </c>
    </row>
    <row r="10" spans="2:8" x14ac:dyDescent="0.2">
      <c r="B10" s="53" t="s">
        <v>882</v>
      </c>
      <c r="C10" s="53" t="s">
        <v>874</v>
      </c>
      <c r="D10" s="53" t="s">
        <v>46</v>
      </c>
      <c r="E10" s="53" t="s">
        <v>46</v>
      </c>
    </row>
    <row r="12" spans="2:8" x14ac:dyDescent="0.2">
      <c r="B12" s="53" t="s">
        <v>883</v>
      </c>
      <c r="C12" s="53" t="s">
        <v>877</v>
      </c>
      <c r="D12" s="53" t="s">
        <v>46</v>
      </c>
      <c r="E12" s="53" t="s">
        <v>46</v>
      </c>
    </row>
    <row r="14" spans="2:8" x14ac:dyDescent="0.2">
      <c r="B14" s="53" t="s">
        <v>884</v>
      </c>
      <c r="C14" s="53" t="s">
        <v>880</v>
      </c>
      <c r="D14" s="53" t="s">
        <v>46</v>
      </c>
      <c r="E14" s="53" t="s">
        <v>46</v>
      </c>
    </row>
    <row r="16" spans="2:8" x14ac:dyDescent="0.2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892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893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894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895</v>
      </c>
      <c r="C26" s="53" t="s">
        <v>46</v>
      </c>
      <c r="D26" s="53" t="s">
        <v>46</v>
      </c>
      <c r="E26" s="53" t="s">
        <v>46</v>
      </c>
    </row>
  </sheetData>
  <sheetProtection algorithmName="SHA-512" hashValue="3TC2fsvkcxowXtKQLUxTFoDMOy83MNaIYKDr1PISeazxeNnogs8K+Kp6nyLncYw4gSyKTcUzWJIMGQCwLOkqEQ==" saltValue="hLextTsy6OhT7g3AZ6Pl9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2026-09-23T09:57:28Z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