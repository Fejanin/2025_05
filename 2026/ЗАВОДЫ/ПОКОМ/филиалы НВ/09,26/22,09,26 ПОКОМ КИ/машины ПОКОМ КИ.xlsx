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2,09,26 ПОКОМ КИ\"/>
    </mc:Choice>
  </mc:AlternateContent>
  <xr:revisionPtr revIDLastSave="0" documentId="13_ncr:1_{F47B3170-CB51-40D3-B012-86E9352064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3" i="1"/>
  <c r="V21" i="1"/>
  <c r="U21" i="1"/>
  <c r="T21" i="1"/>
  <c r="S21" i="1"/>
  <c r="R21" i="1"/>
  <c r="Q21" i="1"/>
  <c r="P21" i="1"/>
  <c r="O21" i="1"/>
  <c r="N21" i="1"/>
  <c r="C21" i="1" l="1"/>
  <c r="D21" i="1"/>
  <c r="E21" i="1" l="1"/>
  <c r="Y21" i="1" l="1"/>
  <c r="X21" i="1"/>
  <c r="W21" i="1"/>
  <c r="F21" i="1" l="1"/>
  <c r="G21" i="1"/>
  <c r="H21" i="1"/>
  <c r="I21" i="1"/>
  <c r="J21" i="1"/>
  <c r="K21" i="1"/>
  <c r="L21" i="1"/>
  <c r="M21" i="1"/>
  <c r="B21" i="1" l="1"/>
  <c r="B23" i="1" s="1"/>
  <c r="Z21" i="1" l="1"/>
</calcChain>
</file>

<file path=xl/sharedStrings.xml><?xml version="1.0" encoding="utf-8"?>
<sst xmlns="http://schemas.openxmlformats.org/spreadsheetml/2006/main" count="61" uniqueCount="40">
  <si>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</si>
  <si>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</si>
  <si>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</si>
  <si>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</si>
  <si>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</si>
  <si>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</si>
  <si>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</si>
  <si>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</si>
  <si>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</si>
  <si>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</si>
  <si>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</si>
  <si>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</si>
  <si>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</si>
  <si>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</si>
  <si>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</si>
  <si>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</si>
  <si>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</si>
  <si>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</si>
  <si>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</si>
  <si>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Логистон (ПРС)</t>
  </si>
  <si>
    <t>Мариуполь</t>
  </si>
  <si>
    <t>Колесник</t>
  </si>
  <si>
    <t>ПРС ЛП</t>
  </si>
  <si>
    <t>1 машина на 26,09</t>
  </si>
  <si>
    <t>2 машина на 26,09</t>
  </si>
  <si>
    <t>3 машина на 26,09</t>
  </si>
  <si>
    <t>Малахутин ЛП</t>
  </si>
  <si>
    <t>Малахутин2 ЛП</t>
  </si>
  <si>
    <t>ЛП</t>
  </si>
  <si>
    <t>4 машина на 26,09</t>
  </si>
  <si>
    <t>1 машина на 27,09</t>
  </si>
  <si>
    <t>2 машина на 27,09</t>
  </si>
  <si>
    <t>3 машина на 27,09</t>
  </si>
  <si>
    <t>Обрыньба</t>
  </si>
  <si>
    <t>Пушкарный(ВВ)</t>
  </si>
  <si>
    <t>НВ</t>
  </si>
  <si>
    <t>НВ_ЛП</t>
  </si>
  <si>
    <t>2/3</t>
  </si>
  <si>
    <t>1/1</t>
  </si>
  <si>
    <t>НВ_КСК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</si>
</sst>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6" xfId="0" applyFill="1" applyBorder="1"/>
    <xf numFmtId="0" fontId="0" fillId="4" borderId="18" xfId="0" applyFill="1" applyBorder="1"/>
    <xf numFmtId="0" fontId="0" fillId="5" borderId="6" xfId="0" applyFill="1" applyBorder="1"/>
    <xf numFmtId="0" fontId="0" fillId="6" borderId="11" xfId="0" applyFill="1" applyBorder="1"/>
    <xf numFmtId="0" fontId="0" fillId="6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zoomScale="115" zoomScaleNormal="115" workbookViewId="0">
      <selection activeCell="Y25" sqref="Y25"/>
    </sheetView>
  </sheetViews>
  <sheetFormatPr defaultRowHeight="15" x14ac:dyDescent="0.25"/>
  <cols>
    <col min="1" max="1" width="23.7109375" bestFit="1" customWidth="1"/>
    <col min="2" max="2" width="8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4" width="7.28515625" customWidth="1"/>
    <col min="25" max="25" width="6" customWidth="1"/>
    <col min="26" max="26" width="8.140625" bestFit="1" customWidth="1"/>
  </cols>
  <sheetData>
    <row r="1" spans="1:26" ht="15" customHeight="1" x14ac:dyDescent="0.25">
      <c r="A1" s="38" t="s">
        <v>4</v>
      </c>
      <c r="B1" s="40" t="s">
        <v>14</v>
      </c>
      <c r="C1" s="40" t="s">
        <v>15</v>
      </c>
      <c r="D1" s="40" t="s">
        <v>16</v>
      </c>
      <c r="E1" s="38" t="s">
        <v>23</v>
      </c>
      <c r="F1" s="42"/>
      <c r="G1" s="43"/>
      <c r="H1" s="38" t="s">
        <v>24</v>
      </c>
      <c r="I1" s="42"/>
      <c r="J1" s="43"/>
      <c r="K1" s="38" t="s">
        <v>25</v>
      </c>
      <c r="L1" s="42"/>
      <c r="M1" s="43"/>
      <c r="N1" s="38" t="s">
        <v>29</v>
      </c>
      <c r="O1" s="42"/>
      <c r="P1" s="43"/>
      <c r="Q1" s="38" t="s">
        <v>30</v>
      </c>
      <c r="R1" s="42"/>
      <c r="S1" s="43"/>
      <c r="T1" s="44" t="s">
        <v>31</v>
      </c>
      <c r="U1" s="45"/>
      <c r="V1" s="36"/>
      <c r="W1" s="44" t="s">
        <v>32</v>
      </c>
      <c r="X1" s="45"/>
      <c r="Y1" s="36"/>
      <c r="Z1" s="36" t="s">
        <v>5</v>
      </c>
    </row>
    <row r="2" spans="1:26" ht="30.75" thickBot="1" x14ac:dyDescent="0.3">
      <c r="A2" s="39"/>
      <c r="B2" s="41"/>
      <c r="C2" s="41"/>
      <c r="D2" s="41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17" t="s">
        <v>8</v>
      </c>
      <c r="R2" s="18" t="s">
        <v>9</v>
      </c>
      <c r="S2" s="19" t="s">
        <v>10</v>
      </c>
      <c r="T2" s="17" t="s">
        <v>8</v>
      </c>
      <c r="U2" s="18" t="s">
        <v>9</v>
      </c>
      <c r="V2" s="19" t="s">
        <v>10</v>
      </c>
      <c r="W2" s="17" t="s">
        <v>8</v>
      </c>
      <c r="X2" s="18" t="s">
        <v>9</v>
      </c>
      <c r="Y2" s="19" t="s">
        <v>10</v>
      </c>
      <c r="Z2" s="37"/>
    </row>
    <row r="3" spans="1:26" x14ac:dyDescent="0.25">
      <c r="A3" s="34" t="s">
        <v>0</v>
      </c>
      <c r="B3" s="20">
        <v>5338</v>
      </c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6">
        <v>5338</v>
      </c>
      <c r="U3" s="3"/>
      <c r="V3" s="7"/>
      <c r="W3" s="6"/>
      <c r="X3" s="3"/>
      <c r="Y3" s="7"/>
      <c r="Z3" s="8">
        <f>B3-E3-H3-K3-N3-Q3-T3-W3</f>
        <v>0</v>
      </c>
    </row>
    <row r="4" spans="1:26" x14ac:dyDescent="0.25">
      <c r="A4" s="31" t="s">
        <v>1</v>
      </c>
      <c r="B4" s="23">
        <v>28073</v>
      </c>
      <c r="C4" s="24"/>
      <c r="D4" s="25"/>
      <c r="E4" s="23"/>
      <c r="F4" s="24"/>
      <c r="G4" s="25"/>
      <c r="H4" s="4">
        <v>10568</v>
      </c>
      <c r="I4" s="2">
        <v>11897</v>
      </c>
      <c r="J4" s="5">
        <v>20</v>
      </c>
      <c r="K4" s="4"/>
      <c r="L4" s="2"/>
      <c r="M4" s="5"/>
      <c r="N4" s="4"/>
      <c r="O4" s="2"/>
      <c r="P4" s="5"/>
      <c r="Q4" s="4"/>
      <c r="R4" s="2"/>
      <c r="S4" s="5"/>
      <c r="T4" s="4"/>
      <c r="U4" s="2"/>
      <c r="V4" s="5"/>
      <c r="W4" s="4">
        <v>17505</v>
      </c>
      <c r="X4" s="2"/>
      <c r="Y4" s="5"/>
      <c r="Z4" s="8">
        <f t="shared" ref="Z4:Z20" si="0">B4-E4-H4-K4-N4-Q4-T4-W4</f>
        <v>0</v>
      </c>
    </row>
    <row r="5" spans="1:26" x14ac:dyDescent="0.25">
      <c r="A5" s="29" t="s">
        <v>2</v>
      </c>
      <c r="B5" s="23">
        <v>17793</v>
      </c>
      <c r="C5" s="24"/>
      <c r="D5" s="25"/>
      <c r="E5" s="23">
        <v>8479</v>
      </c>
      <c r="F5" s="24">
        <v>9613</v>
      </c>
      <c r="G5" s="25">
        <v>16</v>
      </c>
      <c r="H5" s="4"/>
      <c r="I5" s="2"/>
      <c r="J5" s="5"/>
      <c r="K5" s="4"/>
      <c r="L5" s="2"/>
      <c r="M5" s="5"/>
      <c r="N5" s="4">
        <v>9313</v>
      </c>
      <c r="O5" s="2">
        <v>10406</v>
      </c>
      <c r="P5" s="5">
        <v>17</v>
      </c>
      <c r="Q5" s="4"/>
      <c r="R5" s="2"/>
      <c r="S5" s="5"/>
      <c r="T5" s="4"/>
      <c r="U5" s="2"/>
      <c r="V5" s="5"/>
      <c r="W5" s="4"/>
      <c r="X5" s="2"/>
      <c r="Y5" s="5"/>
      <c r="Z5" s="8">
        <f t="shared" si="0"/>
        <v>1</v>
      </c>
    </row>
    <row r="6" spans="1:26" x14ac:dyDescent="0.25">
      <c r="A6" s="33" t="s">
        <v>3</v>
      </c>
      <c r="B6" s="4">
        <v>13777</v>
      </c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4">
        <v>13777</v>
      </c>
      <c r="R6" s="2">
        <v>15227</v>
      </c>
      <c r="S6" s="5">
        <v>24</v>
      </c>
      <c r="T6" s="4"/>
      <c r="U6" s="2"/>
      <c r="V6" s="5"/>
      <c r="W6" s="4"/>
      <c r="X6" s="2"/>
      <c r="Y6" s="5"/>
      <c r="Z6" s="8">
        <f t="shared" si="0"/>
        <v>0</v>
      </c>
    </row>
    <row r="7" spans="1:26" x14ac:dyDescent="0.25">
      <c r="A7" s="33" t="s">
        <v>20</v>
      </c>
      <c r="B7" s="4">
        <v>3759</v>
      </c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>
        <v>3759</v>
      </c>
      <c r="R7" s="2">
        <v>4458</v>
      </c>
      <c r="S7" s="5">
        <v>7</v>
      </c>
      <c r="T7" s="4"/>
      <c r="U7" s="2"/>
      <c r="V7" s="5"/>
      <c r="W7" s="4"/>
      <c r="X7" s="2"/>
      <c r="Y7" s="5"/>
      <c r="Z7" s="8">
        <f t="shared" si="0"/>
        <v>0</v>
      </c>
    </row>
    <row r="8" spans="1:26" x14ac:dyDescent="0.25">
      <c r="A8" s="35" t="s">
        <v>21</v>
      </c>
      <c r="B8" s="23">
        <v>12165</v>
      </c>
      <c r="C8" s="24">
        <v>13224</v>
      </c>
      <c r="D8" s="25">
        <v>20</v>
      </c>
      <c r="E8" s="23"/>
      <c r="F8" s="24"/>
      <c r="G8" s="25"/>
      <c r="H8" s="4"/>
      <c r="I8" s="2"/>
      <c r="J8" s="5"/>
      <c r="K8" s="4"/>
      <c r="L8" s="2"/>
      <c r="M8" s="5"/>
      <c r="N8" s="23"/>
      <c r="O8" s="24"/>
      <c r="P8" s="25"/>
      <c r="Q8" s="4"/>
      <c r="R8" s="2"/>
      <c r="S8" s="5"/>
      <c r="T8" s="23">
        <v>12165</v>
      </c>
      <c r="U8" s="24">
        <v>13224</v>
      </c>
      <c r="V8" s="25">
        <v>20</v>
      </c>
      <c r="W8" s="4"/>
      <c r="X8" s="2"/>
      <c r="Y8" s="5"/>
      <c r="Z8" s="8">
        <f t="shared" si="0"/>
        <v>0</v>
      </c>
    </row>
    <row r="9" spans="1:26" x14ac:dyDescent="0.25">
      <c r="A9" s="29" t="s">
        <v>33</v>
      </c>
      <c r="B9" s="6">
        <v>2503</v>
      </c>
      <c r="C9" s="3">
        <v>2810</v>
      </c>
      <c r="D9" s="7">
        <v>6</v>
      </c>
      <c r="E9" s="23"/>
      <c r="F9" s="24"/>
      <c r="G9" s="25"/>
      <c r="H9" s="4"/>
      <c r="I9" s="2"/>
      <c r="J9" s="5"/>
      <c r="K9" s="4"/>
      <c r="L9" s="2"/>
      <c r="M9" s="5"/>
      <c r="N9" s="6">
        <v>2503</v>
      </c>
      <c r="O9" s="3">
        <v>2810</v>
      </c>
      <c r="P9" s="7">
        <v>6</v>
      </c>
      <c r="Q9" s="4"/>
      <c r="R9" s="2"/>
      <c r="S9" s="5"/>
      <c r="T9" s="4"/>
      <c r="U9" s="2"/>
      <c r="V9" s="5"/>
      <c r="W9" s="4"/>
      <c r="X9" s="2"/>
      <c r="Y9" s="5"/>
      <c r="Z9" s="8">
        <f t="shared" si="0"/>
        <v>0</v>
      </c>
    </row>
    <row r="10" spans="1:26" x14ac:dyDescent="0.25">
      <c r="A10" s="29" t="s">
        <v>34</v>
      </c>
      <c r="B10" s="4">
        <v>5722</v>
      </c>
      <c r="C10" s="2">
        <v>6485</v>
      </c>
      <c r="D10" s="5">
        <v>9</v>
      </c>
      <c r="E10" s="23"/>
      <c r="F10" s="24"/>
      <c r="G10" s="25"/>
      <c r="H10" s="4"/>
      <c r="I10" s="2"/>
      <c r="J10" s="5"/>
      <c r="K10" s="4"/>
      <c r="L10" s="2"/>
      <c r="M10" s="5"/>
      <c r="N10" s="4">
        <v>5722</v>
      </c>
      <c r="O10" s="2">
        <v>6185</v>
      </c>
      <c r="P10" s="5">
        <v>9</v>
      </c>
      <c r="Q10" s="4"/>
      <c r="R10" s="2"/>
      <c r="S10" s="5"/>
      <c r="T10" s="4"/>
      <c r="U10" s="2"/>
      <c r="V10" s="5"/>
      <c r="W10" s="4"/>
      <c r="X10" s="2"/>
      <c r="Y10" s="5"/>
      <c r="Z10" s="8">
        <f t="shared" si="0"/>
        <v>0</v>
      </c>
    </row>
    <row r="11" spans="1:26" hidden="1" x14ac:dyDescent="0.25">
      <c r="A11" s="9" t="s">
        <v>17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9"/>
      <c r="U11" s="10"/>
      <c r="V11" s="11"/>
      <c r="W11" s="9"/>
      <c r="X11" s="10"/>
      <c r="Y11" s="11"/>
      <c r="Z11" s="8">
        <f t="shared" si="0"/>
        <v>0</v>
      </c>
    </row>
    <row r="12" spans="1:26" x14ac:dyDescent="0.25">
      <c r="A12" s="32" t="s">
        <v>22</v>
      </c>
      <c r="B12" s="26">
        <v>920</v>
      </c>
      <c r="C12" s="27">
        <v>1135</v>
      </c>
      <c r="D12" s="28">
        <v>2</v>
      </c>
      <c r="E12" s="26"/>
      <c r="F12" s="27"/>
      <c r="G12" s="28"/>
      <c r="H12" s="26">
        <v>920</v>
      </c>
      <c r="I12" s="27">
        <v>1135</v>
      </c>
      <c r="J12" s="28">
        <v>2</v>
      </c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9"/>
      <c r="X12" s="10"/>
      <c r="Y12" s="11"/>
      <c r="Z12" s="8">
        <f t="shared" si="0"/>
        <v>0</v>
      </c>
    </row>
    <row r="13" spans="1:26" hidden="1" x14ac:dyDescent="0.25">
      <c r="A13" s="9" t="s">
        <v>19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9"/>
      <c r="X13" s="10"/>
      <c r="Y13" s="11"/>
      <c r="Z13" s="8">
        <f t="shared" si="0"/>
        <v>0</v>
      </c>
    </row>
    <row r="14" spans="1:26" hidden="1" x14ac:dyDescent="0.25">
      <c r="A14" s="9" t="s">
        <v>11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9"/>
      <c r="U14" s="10"/>
      <c r="V14" s="11"/>
      <c r="W14" s="9"/>
      <c r="X14" s="10"/>
      <c r="Y14" s="11"/>
      <c r="Z14" s="8">
        <f t="shared" si="0"/>
        <v>0</v>
      </c>
    </row>
    <row r="15" spans="1:26" x14ac:dyDescent="0.25">
      <c r="A15" s="30" t="s">
        <v>12</v>
      </c>
      <c r="B15" s="26">
        <v>917</v>
      </c>
      <c r="C15" s="27">
        <v>1014</v>
      </c>
      <c r="D15" s="28">
        <v>2</v>
      </c>
      <c r="E15" s="26">
        <v>917</v>
      </c>
      <c r="F15" s="27">
        <v>1014</v>
      </c>
      <c r="G15" s="28">
        <v>2</v>
      </c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9"/>
      <c r="U15" s="10"/>
      <c r="V15" s="11"/>
      <c r="W15" s="9"/>
      <c r="X15" s="10"/>
      <c r="Y15" s="11"/>
      <c r="Z15" s="8">
        <f t="shared" si="0"/>
        <v>0</v>
      </c>
    </row>
    <row r="16" spans="1:26" x14ac:dyDescent="0.25">
      <c r="A16" s="30" t="s">
        <v>13</v>
      </c>
      <c r="B16" s="23">
        <v>8135</v>
      </c>
      <c r="C16" s="24">
        <v>8831</v>
      </c>
      <c r="D16" s="25">
        <v>13</v>
      </c>
      <c r="E16" s="23">
        <v>8135</v>
      </c>
      <c r="F16" s="24">
        <v>8831</v>
      </c>
      <c r="G16" s="25">
        <v>13</v>
      </c>
      <c r="H16" s="4"/>
      <c r="I16" s="2"/>
      <c r="J16" s="5"/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9"/>
      <c r="X16" s="10"/>
      <c r="Y16" s="11"/>
      <c r="Z16" s="8">
        <f t="shared" si="0"/>
        <v>0</v>
      </c>
    </row>
    <row r="17" spans="1:26" x14ac:dyDescent="0.25">
      <c r="A17" s="32" t="s">
        <v>7</v>
      </c>
      <c r="B17" s="26">
        <v>2218</v>
      </c>
      <c r="C17" s="27">
        <v>2434</v>
      </c>
      <c r="D17" s="28">
        <v>4</v>
      </c>
      <c r="E17" s="26"/>
      <c r="F17" s="27"/>
      <c r="G17" s="28"/>
      <c r="H17" s="26">
        <v>2218</v>
      </c>
      <c r="I17" s="27">
        <v>2434</v>
      </c>
      <c r="J17" s="28">
        <v>4</v>
      </c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9"/>
      <c r="X17" s="10"/>
      <c r="Y17" s="11"/>
      <c r="Z17" s="8">
        <f t="shared" si="0"/>
        <v>0</v>
      </c>
    </row>
    <row r="18" spans="1:26" x14ac:dyDescent="0.25">
      <c r="A18" s="9" t="s">
        <v>26</v>
      </c>
      <c r="B18" s="26">
        <v>18018</v>
      </c>
      <c r="C18" s="27">
        <v>19664</v>
      </c>
      <c r="D18" s="28">
        <v>30</v>
      </c>
      <c r="E18" s="26"/>
      <c r="F18" s="27"/>
      <c r="G18" s="28"/>
      <c r="H18" s="9"/>
      <c r="I18" s="10"/>
      <c r="J18" s="11"/>
      <c r="K18" s="26">
        <v>18018</v>
      </c>
      <c r="L18" s="27">
        <v>19664</v>
      </c>
      <c r="M18" s="28">
        <v>30</v>
      </c>
      <c r="N18" s="9"/>
      <c r="O18" s="10"/>
      <c r="P18" s="11"/>
      <c r="Q18" s="9"/>
      <c r="R18" s="10"/>
      <c r="S18" s="11"/>
      <c r="T18" s="9"/>
      <c r="U18" s="10"/>
      <c r="V18" s="11"/>
      <c r="W18" s="9"/>
      <c r="X18" s="10"/>
      <c r="Y18" s="11"/>
      <c r="Z18" s="8">
        <f t="shared" si="0"/>
        <v>0</v>
      </c>
    </row>
    <row r="19" spans="1:26" ht="15.75" thickBot="1" x14ac:dyDescent="0.3">
      <c r="A19" s="32" t="s">
        <v>27</v>
      </c>
      <c r="B19" s="26">
        <v>3755</v>
      </c>
      <c r="C19" s="27">
        <v>4049</v>
      </c>
      <c r="D19" s="28">
        <v>6</v>
      </c>
      <c r="E19" s="26"/>
      <c r="F19" s="27"/>
      <c r="G19" s="28"/>
      <c r="H19" s="26">
        <v>3755</v>
      </c>
      <c r="I19" s="27">
        <v>4049</v>
      </c>
      <c r="J19" s="28">
        <v>6</v>
      </c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9"/>
      <c r="X19" s="10"/>
      <c r="Y19" s="11"/>
      <c r="Z19" s="8">
        <f t="shared" si="0"/>
        <v>0</v>
      </c>
    </row>
    <row r="20" spans="1:26" ht="15.75" hidden="1" thickBot="1" x14ac:dyDescent="0.3">
      <c r="A20" s="9" t="s">
        <v>18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9"/>
      <c r="R20" s="10"/>
      <c r="S20" s="11"/>
      <c r="T20" s="9"/>
      <c r="U20" s="10"/>
      <c r="V20" s="11"/>
      <c r="W20" s="9"/>
      <c r="X20" s="10"/>
      <c r="Y20" s="11"/>
      <c r="Z20" s="8">
        <f t="shared" si="0"/>
        <v>0</v>
      </c>
    </row>
    <row r="21" spans="1:26" s="1" customFormat="1" ht="15.75" thickBot="1" x14ac:dyDescent="0.3">
      <c r="A21" s="12" t="s">
        <v>6</v>
      </c>
      <c r="B21" s="13">
        <f t="shared" ref="B21:V21" si="1">SUM(B3:B20)</f>
        <v>123093</v>
      </c>
      <c r="C21" s="13">
        <f t="shared" si="1"/>
        <v>59646</v>
      </c>
      <c r="D21" s="13">
        <f t="shared" si="1"/>
        <v>92</v>
      </c>
      <c r="E21" s="12">
        <f t="shared" si="1"/>
        <v>17531</v>
      </c>
      <c r="F21" s="14">
        <f t="shared" si="1"/>
        <v>19458</v>
      </c>
      <c r="G21" s="15">
        <f t="shared" si="1"/>
        <v>31</v>
      </c>
      <c r="H21" s="12">
        <f t="shared" si="1"/>
        <v>17461</v>
      </c>
      <c r="I21" s="14">
        <f t="shared" si="1"/>
        <v>19515</v>
      </c>
      <c r="J21" s="15">
        <f t="shared" si="1"/>
        <v>32</v>
      </c>
      <c r="K21" s="12">
        <f t="shared" si="1"/>
        <v>18018</v>
      </c>
      <c r="L21" s="14">
        <f t="shared" si="1"/>
        <v>19664</v>
      </c>
      <c r="M21" s="15">
        <f t="shared" si="1"/>
        <v>30</v>
      </c>
      <c r="N21" s="12">
        <f t="shared" si="1"/>
        <v>17538</v>
      </c>
      <c r="O21" s="14">
        <f t="shared" si="1"/>
        <v>19401</v>
      </c>
      <c r="P21" s="15">
        <f t="shared" si="1"/>
        <v>32</v>
      </c>
      <c r="Q21" s="12">
        <f t="shared" si="1"/>
        <v>17536</v>
      </c>
      <c r="R21" s="14">
        <f t="shared" si="1"/>
        <v>19685</v>
      </c>
      <c r="S21" s="15">
        <f t="shared" si="1"/>
        <v>31</v>
      </c>
      <c r="T21" s="12">
        <f t="shared" si="1"/>
        <v>17503</v>
      </c>
      <c r="U21" s="14">
        <f t="shared" si="1"/>
        <v>13224</v>
      </c>
      <c r="V21" s="15">
        <f t="shared" si="1"/>
        <v>20</v>
      </c>
      <c r="W21" s="12">
        <f t="shared" ref="W21:Y21" si="2">SUM(W3:W20)</f>
        <v>17505</v>
      </c>
      <c r="X21" s="14">
        <f t="shared" si="2"/>
        <v>0</v>
      </c>
      <c r="Y21" s="15">
        <f t="shared" si="2"/>
        <v>0</v>
      </c>
      <c r="Z21" s="16">
        <f>SUM(Z3:Z20)</f>
        <v>1</v>
      </c>
    </row>
    <row r="23" spans="1:26" x14ac:dyDescent="0.25">
      <c r="B23">
        <f>B21/17500</f>
        <v>7.0338857142857139</v>
      </c>
      <c r="E23" t="s">
        <v>35</v>
      </c>
      <c r="H23" t="s">
        <v>36</v>
      </c>
      <c r="K23" t="s">
        <v>28</v>
      </c>
      <c r="N23" t="s">
        <v>36</v>
      </c>
      <c r="Q23" t="s">
        <v>35</v>
      </c>
      <c r="T23" t="s">
        <v>39</v>
      </c>
      <c r="W23" t="s">
        <v>35</v>
      </c>
    </row>
    <row r="24" spans="1:26" x14ac:dyDescent="0.25">
      <c r="H24" s="46" t="s">
        <v>37</v>
      </c>
      <c r="N24" s="46" t="s">
        <v>38</v>
      </c>
    </row>
  </sheetData>
  <mergeCells count="12">
    <mergeCell ref="Z1:Z2"/>
    <mergeCell ref="A1:A2"/>
    <mergeCell ref="B1:B2"/>
    <mergeCell ref="E1:G1"/>
    <mergeCell ref="H1:J1"/>
    <mergeCell ref="K1:M1"/>
    <mergeCell ref="W1:Y1"/>
    <mergeCell ref="C1:C2"/>
    <mergeCell ref="D1:D2"/>
    <mergeCell ref="N1:P1"/>
    <mergeCell ref="Q1:S1"/>
    <mergeCell ref="T1:V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2026-09-23T12:58:59Z</dcterms:modified>
</cp:coreProperties>
</file>