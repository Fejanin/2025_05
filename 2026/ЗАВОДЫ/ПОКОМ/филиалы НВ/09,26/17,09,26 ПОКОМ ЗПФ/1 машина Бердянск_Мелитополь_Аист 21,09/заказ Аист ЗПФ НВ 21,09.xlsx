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4BF28A3-C00E-48D6-AC31-7B6952FDE32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N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P41" i="2"/>
  <c r="X37" i="2"/>
  <c r="X36" i="2"/>
  <c r="BO35" i="2"/>
  <c r="BM35" i="2"/>
  <c r="Z35" i="2"/>
  <c r="Z36" i="2" s="1"/>
  <c r="Y35" i="2"/>
  <c r="BN35" i="2" s="1"/>
  <c r="P35" i="2"/>
  <c r="BO34" i="2"/>
  <c r="BM34" i="2"/>
  <c r="Z34" i="2"/>
  <c r="Y34" i="2"/>
  <c r="BP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50" i="2" l="1"/>
  <c r="BN71" i="2"/>
  <c r="BN117" i="2"/>
  <c r="Z144" i="2"/>
  <c r="Y211" i="2"/>
  <c r="Z216" i="2"/>
  <c r="Y221" i="2"/>
  <c r="Y222" i="2"/>
  <c r="BN274" i="2"/>
  <c r="Z30" i="2"/>
  <c r="BN25" i="2"/>
  <c r="Y50" i="2"/>
  <c r="Z72" i="2"/>
  <c r="Z84" i="2"/>
  <c r="BN104" i="2"/>
  <c r="Z138" i="2"/>
  <c r="BP182" i="2"/>
  <c r="Y242" i="2"/>
  <c r="Y243" i="2"/>
  <c r="Z265" i="2"/>
  <c r="Y260" i="2"/>
  <c r="Z111" i="2"/>
  <c r="BP77" i="2"/>
  <c r="Y44" i="2"/>
  <c r="Z43" i="2"/>
  <c r="Z162" i="2"/>
  <c r="BP154" i="2"/>
  <c r="Z105" i="2"/>
  <c r="BN94" i="2"/>
  <c r="BN161" i="2"/>
  <c r="Y156" i="2"/>
  <c r="Z150" i="2"/>
  <c r="X282" i="2"/>
  <c r="Z78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X283" i="2" l="1"/>
  <c r="Z285" i="2"/>
  <c r="Y282" i="2"/>
  <c r="Y280" i="2"/>
  <c r="Y281" i="2"/>
  <c r="Y284" i="2"/>
  <c r="Y283" i="2" l="1"/>
  <c r="A293" i="2" l="1"/>
  <c r="C293" i="2"/>
  <c r="B293" i="2"/>
</calcChain>
</file>

<file path=xl/sharedStrings.xml><?xml version="1.0" encoding="utf-8"?>
<sst xmlns="http://schemas.openxmlformats.org/spreadsheetml/2006/main" count="1765" uniqueCount="418">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</sst>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5"/>
      <c r="P5" s="27" t="s">
        <v>4</v>
      </c>
      <c r="Q5" s="469">
        <v>46279</v>
      </c>
      <c r="R5" s="470"/>
      <c r="T5" s="471" t="s">
        <v>3</v>
      </c>
      <c r="U5" s="472"/>
      <c r="V5" s="473" t="s">
        <v>386</v>
      </c>
      <c r="W5" s="474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20" t="s">
        <v>79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79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1" t="s">
        <v>104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110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hidden="1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70</v>
      </c>
      <c r="Y43" s="43">
        <f>IFERROR(SUM(Y41:Y42),"0")</f>
        <v>70</v>
      </c>
      <c r="Z43" s="43">
        <f>IFERROR(IF(Z41="",0,Z41),"0")+IFERROR(IF(Z42="",0,Z42),"0")</f>
        <v>0.65869999999999995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105</v>
      </c>
      <c r="Y44" s="43">
        <f>IFERROR(SUMPRODUCT(Y41:Y42*H41:H42),"0")</f>
        <v>105</v>
      </c>
      <c r="Z44" s="42"/>
      <c r="AA44" s="67"/>
      <c r="AB44" s="67"/>
      <c r="AC44" s="67"/>
    </row>
    <row r="45" spans="1:68" ht="16.5" hidden="1" customHeight="1" x14ac:dyDescent="0.25">
      <c r="A45" s="321" t="s">
        <v>121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hidden="1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21" t="s">
        <v>131</v>
      </c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65"/>
      <c r="AB52" s="65"/>
      <c r="AC52" s="82"/>
    </row>
    <row r="53" spans="1:68" ht="14.25" hidden="1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350.4</v>
      </c>
      <c r="BN54" s="81">
        <f>IFERROR(Y54*I54,"0")</f>
        <v>350.4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48</v>
      </c>
      <c r="Y55" s="55">
        <f>IFERROR(IF(X55="","",X55),"")</f>
        <v>48</v>
      </c>
      <c r="Z55" s="41">
        <f>IFERROR(IF(X55="","",X55*0.0155),"")</f>
        <v>0.74399999999999999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349.72799999999995</v>
      </c>
      <c r="BN55" s="81">
        <f>IFERROR(Y55*I55,"0")</f>
        <v>349.72799999999995</v>
      </c>
      <c r="BO55" s="81">
        <f>IFERROR(X55/J55,"0")</f>
        <v>0.5714285714285714</v>
      </c>
      <c r="BP55" s="81">
        <f>IFERROR(Y55/J55,"0")</f>
        <v>0.5714285714285714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96</v>
      </c>
      <c r="Y58" s="43">
        <f>IFERROR(SUM(Y54:Y57),"0")</f>
        <v>96</v>
      </c>
      <c r="Z58" s="43">
        <f>IFERROR(IF(Z54="",0,Z54),"0")+IFERROR(IF(Z55="",0,Z55),"0")+IFERROR(IF(Z56="",0,Z56),"0")+IFERROR(IF(Z57="",0,Z57),"0")</f>
        <v>1.488</v>
      </c>
      <c r="AA58" s="67"/>
      <c r="AB58" s="67"/>
      <c r="AC58" s="67"/>
    </row>
    <row r="59" spans="1:68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672</v>
      </c>
      <c r="Y59" s="43">
        <f>IFERROR(SUMPRODUCT(Y54:Y57*H54:H57),"0")</f>
        <v>672</v>
      </c>
      <c r="Z59" s="42"/>
      <c r="AA59" s="67"/>
      <c r="AB59" s="67"/>
      <c r="AC59" s="67"/>
    </row>
    <row r="60" spans="1:68" ht="16.5" hidden="1" customHeight="1" x14ac:dyDescent="0.25">
      <c r="A60" s="321" t="s">
        <v>142</v>
      </c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65"/>
      <c r="AB60" s="65"/>
      <c r="AC60" s="82"/>
    </row>
    <row r="61" spans="1:68" ht="14.25" hidden="1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hidden="1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hidden="1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hidden="1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42</v>
      </c>
      <c r="Y75" s="55">
        <f>IFERROR(IF(X75="","",X75),"")</f>
        <v>42</v>
      </c>
      <c r="Z75" s="41">
        <f>IFERROR(IF(X75="","",X75*0.00941),"")</f>
        <v>0.39522000000000002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65.52</v>
      </c>
      <c r="BN75" s="81">
        <f>IFERROR(Y75*I75,"0")</f>
        <v>65.52</v>
      </c>
      <c r="BO75" s="81">
        <f>IFERROR(X75/J75,"0")</f>
        <v>0.3</v>
      </c>
      <c r="BP75" s="81">
        <f>IFERROR(Y75/J75,"0")</f>
        <v>0.3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140</v>
      </c>
      <c r="Y76" s="55">
        <f>IFERROR(IF(X76="","",X76),"")</f>
        <v>140</v>
      </c>
      <c r="Z76" s="41">
        <f>IFERROR(IF(X76="","",X76*0.00941),"")</f>
        <v>1.3173999999999999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218.4</v>
      </c>
      <c r="BN76" s="81">
        <f>IFERROR(Y76*I76,"0")</f>
        <v>218.4</v>
      </c>
      <c r="BO76" s="81">
        <f>IFERROR(X76/J76,"0")</f>
        <v>1</v>
      </c>
      <c r="BP76" s="81">
        <f>IFERROR(Y76/J76,"0")</f>
        <v>1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84</v>
      </c>
      <c r="Y77" s="55">
        <f>IFERROR(IF(X77="","",X77),"")</f>
        <v>84</v>
      </c>
      <c r="Z77" s="41">
        <f>IFERROR(IF(X77="","",X77*0.00941),"")</f>
        <v>0.79044000000000003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131.04</v>
      </c>
      <c r="BN77" s="81">
        <f>IFERROR(Y77*I77,"0")</f>
        <v>131.04</v>
      </c>
      <c r="BO77" s="81">
        <f>IFERROR(X77/J77,"0")</f>
        <v>0.6</v>
      </c>
      <c r="BP77" s="81">
        <f>IFERROR(Y77/J77,"0")</f>
        <v>0.6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266</v>
      </c>
      <c r="Y78" s="43">
        <f>IFERROR(SUM(Y75:Y77),"0")</f>
        <v>266</v>
      </c>
      <c r="Z78" s="43">
        <f>IFERROR(IF(Z75="",0,Z75),"0")+IFERROR(IF(Z76="",0,Z76),"0")+IFERROR(IF(Z77="",0,Z77),"0")</f>
        <v>2.5030599999999996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319.2</v>
      </c>
      <c r="Y79" s="43">
        <f>IFERROR(SUMPRODUCT(Y75:Y77*H75:H77),"0")</f>
        <v>319.2</v>
      </c>
      <c r="Z79" s="42"/>
      <c r="AA79" s="67"/>
      <c r="AB79" s="67"/>
      <c r="AC79" s="67"/>
    </row>
    <row r="80" spans="1:68" ht="16.5" hidden="1" customHeight="1" x14ac:dyDescent="0.25">
      <c r="A80" s="321" t="s">
        <v>163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65"/>
      <c r="AB80" s="65"/>
      <c r="AC80" s="82"/>
    </row>
    <row r="81" spans="1:68" ht="14.25" hidden="1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hidden="1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hidden="1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42</v>
      </c>
      <c r="Y89" s="43">
        <f>IFERROR(SUM(Y88:Y88),"0")</f>
        <v>42</v>
      </c>
      <c r="Z89" s="43">
        <f>IFERROR(IF(Z88="",0,Z88),"0")</f>
        <v>0.75095999999999996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151.20000000000002</v>
      </c>
      <c r="Y90" s="43">
        <f>IFERROR(SUMPRODUCT(Y88:Y88*H88:H88),"0")</f>
        <v>151.20000000000002</v>
      </c>
      <c r="Z90" s="42"/>
      <c r="AA90" s="67"/>
      <c r="AB90" s="67"/>
      <c r="AC90" s="67"/>
    </row>
    <row r="91" spans="1:68" ht="16.5" hidden="1" customHeight="1" x14ac:dyDescent="0.25">
      <c r="A91" s="321" t="s">
        <v>174</v>
      </c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65"/>
      <c r="AB91" s="65"/>
      <c r="AC91" s="82"/>
    </row>
    <row r="92" spans="1:68" ht="14.25" hidden="1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70</v>
      </c>
      <c r="Y93" s="55">
        <f>IFERROR(IF(X93="","",X93),"")</f>
        <v>70</v>
      </c>
      <c r="Z93" s="41">
        <f>IFERROR(IF(X93="","",X93*0.01788),"")</f>
        <v>1.2516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301.25200000000001</v>
      </c>
      <c r="BN93" s="81">
        <f>IFERROR(Y93*I93,"0")</f>
        <v>301.25200000000001</v>
      </c>
      <c r="BO93" s="81">
        <f>IFERROR(X93/J93,"0")</f>
        <v>1</v>
      </c>
      <c r="BP93" s="81">
        <f>IFERROR(Y93/J93,"0")</f>
        <v>1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42</v>
      </c>
      <c r="Y94" s="55">
        <f>IFERROR(IF(X94="","",X94),"")</f>
        <v>42</v>
      </c>
      <c r="Z94" s="41">
        <f>IFERROR(IF(X94="","",X94*0.01788),"")</f>
        <v>0.75095999999999996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180.75120000000001</v>
      </c>
      <c r="BN94" s="81">
        <f>IFERROR(Y94*I94,"0")</f>
        <v>180.75120000000001</v>
      </c>
      <c r="BO94" s="81">
        <f>IFERROR(X94/J94,"0")</f>
        <v>0.6</v>
      </c>
      <c r="BP94" s="81">
        <f>IFERROR(Y94/J94,"0")</f>
        <v>0.6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112</v>
      </c>
      <c r="Y95" s="43">
        <f>IFERROR(SUM(Y93:Y94),"0")</f>
        <v>112</v>
      </c>
      <c r="Z95" s="43">
        <f>IFERROR(IF(Z93="",0,Z93),"0")+IFERROR(IF(Z94="",0,Z94),"0")</f>
        <v>2.0025599999999999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403.20000000000005</v>
      </c>
      <c r="Y96" s="43">
        <f>IFERROR(SUMPRODUCT(Y93:Y94*H93:H94),"0")</f>
        <v>403.20000000000005</v>
      </c>
      <c r="Z96" s="42"/>
      <c r="AA96" s="67"/>
      <c r="AB96" s="67"/>
      <c r="AC96" s="67"/>
    </row>
    <row r="97" spans="1:68" ht="16.5" hidden="1" customHeight="1" x14ac:dyDescent="0.25">
      <c r="A97" s="321" t="s">
        <v>182</v>
      </c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65"/>
      <c r="AB97" s="65"/>
      <c r="AC97" s="82"/>
    </row>
    <row r="98" spans="1:68" ht="14.25" hidden="1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56</v>
      </c>
      <c r="Y99" s="55">
        <f t="shared" ref="Y99:Y104" si="6">IFERROR(IF(X99="","",X99),"")</f>
        <v>56</v>
      </c>
      <c r="Z99" s="41">
        <f t="shared" ref="Z99:Z104" si="7">IFERROR(IF(X99="","",X99*0.01788),"")</f>
        <v>1.0012799999999999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200.6816</v>
      </c>
      <c r="BN99" s="81">
        <f t="shared" ref="BN99:BN104" si="9">IFERROR(Y99*I99,"0")</f>
        <v>200.6816</v>
      </c>
      <c r="BO99" s="81">
        <f t="shared" ref="BO99:BO104" si="10">IFERROR(X99/J99,"0")</f>
        <v>0.8</v>
      </c>
      <c r="BP99" s="81">
        <f t="shared" ref="BP99:BP104" si="11">IFERROR(Y99/J99,"0")</f>
        <v>0.8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hidden="1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56</v>
      </c>
      <c r="Y102" s="55">
        <f t="shared" si="6"/>
        <v>56</v>
      </c>
      <c r="Z102" s="41">
        <f t="shared" si="7"/>
        <v>1.0012799999999999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200.6816</v>
      </c>
      <c r="BN102" s="81">
        <f t="shared" si="9"/>
        <v>200.6816</v>
      </c>
      <c r="BO102" s="81">
        <f t="shared" si="10"/>
        <v>0.8</v>
      </c>
      <c r="BP102" s="81">
        <f t="shared" si="11"/>
        <v>0.8</v>
      </c>
    </row>
    <row r="103" spans="1:68" ht="27" hidden="1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168</v>
      </c>
      <c r="Y105" s="43">
        <f>IFERROR(SUM(Y99:Y104),"0")</f>
        <v>168</v>
      </c>
      <c r="Z105" s="43">
        <f>IFERROR(IF(Z99="",0,Z99),"0")+IFERROR(IF(Z100="",0,Z100),"0")+IFERROR(IF(Z101="",0,Z101),"0")+IFERROR(IF(Z102="",0,Z102),"0")+IFERROR(IF(Z103="",0,Z103),"0")+IFERROR(IF(Z104="",0,Z104),"0")</f>
        <v>3.0038399999999998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483.84000000000003</v>
      </c>
      <c r="Y106" s="43">
        <f>IFERROR(SUMPRODUCT(Y99:Y104*H99:H104),"0")</f>
        <v>483.84000000000003</v>
      </c>
      <c r="Z106" s="42"/>
      <c r="AA106" s="67"/>
      <c r="AB106" s="67"/>
      <c r="AC106" s="67"/>
    </row>
    <row r="107" spans="1:68" ht="16.5" hidden="1" customHeight="1" x14ac:dyDescent="0.25">
      <c r="A107" s="321" t="s">
        <v>197</v>
      </c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65"/>
      <c r="AB107" s="65"/>
      <c r="AC107" s="82"/>
    </row>
    <row r="108" spans="1:68" ht="14.25" hidden="1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hidden="1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42</v>
      </c>
      <c r="Y110" s="55">
        <f>IFERROR(IF(X110="","",X110),"")</f>
        <v>42</v>
      </c>
      <c r="Z110" s="41">
        <f>IFERROR(IF(X110="","",X110*0.01788),"")</f>
        <v>0.75095999999999996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178.24799999999999</v>
      </c>
      <c r="BN110" s="81">
        <f>IFERROR(Y110*I110,"0")</f>
        <v>178.24799999999999</v>
      </c>
      <c r="BO110" s="81">
        <f>IFERROR(X110/J110,"0")</f>
        <v>0.6</v>
      </c>
      <c r="BP110" s="81">
        <f>IFERROR(Y110/J110,"0")</f>
        <v>0.6</v>
      </c>
    </row>
    <row r="111" spans="1:68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42</v>
      </c>
      <c r="Y111" s="43">
        <f>IFERROR(SUM(Y109:Y110),"0")</f>
        <v>42</v>
      </c>
      <c r="Z111" s="43">
        <f>IFERROR(IF(Z109="",0,Z109),"0")+IFERROR(IF(Z110="",0,Z110),"0")</f>
        <v>0.75095999999999996</v>
      </c>
      <c r="AA111" s="67"/>
      <c r="AB111" s="67"/>
      <c r="AC111" s="67"/>
    </row>
    <row r="112" spans="1:68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151.20000000000002</v>
      </c>
      <c r="Y112" s="43">
        <f>IFERROR(SUMPRODUCT(Y109:Y110*H109:H110),"0")</f>
        <v>151.20000000000002</v>
      </c>
      <c r="Z112" s="42"/>
      <c r="AA112" s="67"/>
      <c r="AB112" s="67"/>
      <c r="AC112" s="67"/>
    </row>
    <row r="113" spans="1:68" ht="16.5" hidden="1" customHeight="1" x14ac:dyDescent="0.25">
      <c r="A113" s="321" t="s">
        <v>203</v>
      </c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65"/>
      <c r="AB113" s="65"/>
      <c r="AC113" s="82"/>
    </row>
    <row r="114" spans="1:68" ht="14.25" hidden="1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36</v>
      </c>
      <c r="Y115" s="55">
        <f t="shared" ref="Y115:Y121" si="12">IFERROR(IF(X115="","",X115),"")</f>
        <v>36</v>
      </c>
      <c r="Z115" s="41">
        <f t="shared" ref="Z115:Z121" si="13">IFERROR(IF(X115="","",X115*0.0155),"")</f>
        <v>0.55800000000000005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262.08</v>
      </c>
      <c r="BN115" s="81">
        <f t="shared" ref="BN115:BN121" si="15">IFERROR(Y115*I115,"0")</f>
        <v>262.08</v>
      </c>
      <c r="BO115" s="81">
        <f t="shared" ref="BO115:BO121" si="16">IFERROR(X115/J115,"0")</f>
        <v>0.42857142857142855</v>
      </c>
      <c r="BP115" s="81">
        <f t="shared" ref="BP115:BP121" si="17">IFERROR(Y115/J115,"0")</f>
        <v>0.42857142857142855</v>
      </c>
    </row>
    <row r="116" spans="1:68" ht="27" hidden="1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ht="27" hidden="1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60</v>
      </c>
      <c r="Y121" s="55">
        <f t="shared" si="12"/>
        <v>60</v>
      </c>
      <c r="Z121" s="41">
        <f t="shared" si="13"/>
        <v>0.92999999999999994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438</v>
      </c>
      <c r="BN121" s="81">
        <f t="shared" si="15"/>
        <v>438</v>
      </c>
      <c r="BO121" s="81">
        <f t="shared" si="16"/>
        <v>0.7142857142857143</v>
      </c>
      <c r="BP121" s="81">
        <f t="shared" si="17"/>
        <v>0.7142857142857143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156</v>
      </c>
      <c r="Y122" s="43">
        <f>IFERROR(SUM(Y115:Y121),"0")</f>
        <v>156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2.4180000000000001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1092</v>
      </c>
      <c r="Y123" s="43">
        <f>IFERROR(SUMPRODUCT(Y115:Y121*H115:H121),"0")</f>
        <v>1092</v>
      </c>
      <c r="Z123" s="42"/>
      <c r="AA123" s="67"/>
      <c r="AB123" s="67"/>
      <c r="AC123" s="67"/>
    </row>
    <row r="124" spans="1:68" ht="14.25" hidden="1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28</v>
      </c>
      <c r="Y125" s="55">
        <f>IFERROR(IF(X125="","",X125),"")</f>
        <v>28</v>
      </c>
      <c r="Z125" s="41">
        <f>IFERROR(IF(X125="","",X125*0.01788),"")</f>
        <v>0.50063999999999997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93.620800000000003</v>
      </c>
      <c r="BN125" s="81">
        <f>IFERROR(Y125*I125,"0")</f>
        <v>93.620800000000003</v>
      </c>
      <c r="BO125" s="81">
        <f>IFERROR(X125/J125,"0")</f>
        <v>0.4</v>
      </c>
      <c r="BP125" s="81">
        <f>IFERROR(Y125/J125,"0")</f>
        <v>0.4</v>
      </c>
    </row>
    <row r="126" spans="1:68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28</v>
      </c>
      <c r="Y126" s="43">
        <f>IFERROR(SUM(Y125:Y125),"0")</f>
        <v>28</v>
      </c>
      <c r="Z126" s="43">
        <f>IFERROR(IF(Z125="",0,Z125),"0")</f>
        <v>0.50063999999999997</v>
      </c>
      <c r="AA126" s="67"/>
      <c r="AB126" s="67"/>
      <c r="AC126" s="67"/>
    </row>
    <row r="127" spans="1:68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73.92</v>
      </c>
      <c r="Y127" s="43">
        <f>IFERROR(SUMPRODUCT(Y125:Y125*H125:H125),"0")</f>
        <v>73.92</v>
      </c>
      <c r="Z127" s="42"/>
      <c r="AA127" s="67"/>
      <c r="AB127" s="67"/>
      <c r="AC127" s="67"/>
    </row>
    <row r="128" spans="1:68" ht="14.25" hidden="1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hidden="1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idden="1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21" t="s">
        <v>228</v>
      </c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65"/>
      <c r="AB132" s="65"/>
      <c r="AC132" s="82"/>
    </row>
    <row r="133" spans="1:68" ht="14.25" hidden="1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291">
        <v>4620207491799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70</v>
      </c>
      <c r="Y134" s="55">
        <f>IFERROR(IF(X134="","",X134),"")</f>
        <v>70</v>
      </c>
      <c r="Z134" s="41">
        <f>IFERROR(IF(X134="","",X134*0.00941),"")</f>
        <v>0.65869999999999995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126</v>
      </c>
      <c r="BN134" s="81">
        <f>IFERROR(Y134*I134,"0")</f>
        <v>126</v>
      </c>
      <c r="BO134" s="81">
        <f>IFERROR(X134/J134,"0")</f>
        <v>0.5</v>
      </c>
      <c r="BP134" s="81">
        <f>IFERROR(Y134/J134,"0")</f>
        <v>0.5</v>
      </c>
    </row>
    <row r="135" spans="1:68" ht="27" hidden="1" customHeight="1" x14ac:dyDescent="0.25">
      <c r="A135" s="63" t="s">
        <v>232</v>
      </c>
      <c r="B135" s="63" t="s">
        <v>233</v>
      </c>
      <c r="C135" s="36">
        <v>4301135850</v>
      </c>
      <c r="D135" s="291">
        <v>4620207491492</v>
      </c>
      <c r="E135" s="291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4301190118</v>
      </c>
      <c r="D136" s="291">
        <v>4620207491461</v>
      </c>
      <c r="E136" s="291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4301135865</v>
      </c>
      <c r="D137" s="291">
        <v>4620207491485</v>
      </c>
      <c r="E137" s="291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3"/>
      <c r="R137" s="293"/>
      <c r="S137" s="293"/>
      <c r="T137" s="294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39</v>
      </c>
      <c r="X138" s="43">
        <f>IFERROR(SUM(X134:X137),"0")</f>
        <v>70</v>
      </c>
      <c r="Y138" s="43">
        <f>IFERROR(SUM(Y134:Y137),"0")</f>
        <v>70</v>
      </c>
      <c r="Z138" s="43">
        <f>IFERROR(IF(Z134="",0,Z134),"0")+IFERROR(IF(Z135="",0,Z135),"0")+IFERROR(IF(Z136="",0,Z136),"0")+IFERROR(IF(Z137="",0,Z137),"0")</f>
        <v>0.65869999999999995</v>
      </c>
      <c r="AA138" s="67"/>
      <c r="AB138" s="67"/>
      <c r="AC138" s="67"/>
    </row>
    <row r="139" spans="1:68" x14ac:dyDescent="0.2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9"/>
      <c r="P139" s="295" t="s">
        <v>40</v>
      </c>
      <c r="Q139" s="296"/>
      <c r="R139" s="296"/>
      <c r="S139" s="296"/>
      <c r="T139" s="296"/>
      <c r="U139" s="296"/>
      <c r="V139" s="297"/>
      <c r="W139" s="42" t="s">
        <v>0</v>
      </c>
      <c r="X139" s="43">
        <f>IFERROR(SUMPRODUCT(X134:X137*H134:H137),"0")</f>
        <v>96.6</v>
      </c>
      <c r="Y139" s="43">
        <f>IFERROR(SUMPRODUCT(Y134:Y137*H134:H137),"0")</f>
        <v>96.6</v>
      </c>
      <c r="Z139" s="42"/>
      <c r="AA139" s="67"/>
      <c r="AB139" s="67"/>
      <c r="AC139" s="67"/>
    </row>
    <row r="140" spans="1:68" ht="14.25" hidden="1" customHeight="1" x14ac:dyDescent="0.25">
      <c r="A140" s="309" t="s">
        <v>238</v>
      </c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66"/>
      <c r="AB140" s="66"/>
      <c r="AC140" s="83"/>
    </row>
    <row r="141" spans="1:68" ht="27" hidden="1" customHeight="1" x14ac:dyDescent="0.25">
      <c r="A141" s="63" t="s">
        <v>239</v>
      </c>
      <c r="B141" s="63" t="s">
        <v>240</v>
      </c>
      <c r="C141" s="36">
        <v>4301190117</v>
      </c>
      <c r="D141" s="291">
        <v>4620207491386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242</v>
      </c>
      <c r="B142" s="63" t="s">
        <v>243</v>
      </c>
      <c r="C142" s="36">
        <v>4301190115</v>
      </c>
      <c r="D142" s="291">
        <v>4620207491362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244</v>
      </c>
      <c r="B143" s="63" t="s">
        <v>245</v>
      </c>
      <c r="C143" s="36">
        <v>4301190116</v>
      </c>
      <c r="D143" s="291">
        <v>4620207491379</v>
      </c>
      <c r="E143" s="291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3"/>
      <c r="R143" s="293"/>
      <c r="S143" s="293"/>
      <c r="T143" s="294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9"/>
      <c r="P145" s="295" t="s">
        <v>40</v>
      </c>
      <c r="Q145" s="296"/>
      <c r="R145" s="296"/>
      <c r="S145" s="296"/>
      <c r="T145" s="296"/>
      <c r="U145" s="296"/>
      <c r="V145" s="297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21" t="s">
        <v>246</v>
      </c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65"/>
      <c r="AB146" s="65"/>
      <c r="AC146" s="82"/>
    </row>
    <row r="147" spans="1:68" ht="14.25" hidden="1" customHeight="1" x14ac:dyDescent="0.25">
      <c r="A147" s="309" t="s">
        <v>155</v>
      </c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291">
        <v>4607111034014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291">
        <v>4607111033994</v>
      </c>
      <c r="E149" s="291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3"/>
      <c r="R149" s="293"/>
      <c r="S149" s="293"/>
      <c r="T149" s="294"/>
      <c r="U149" s="39" t="s">
        <v>46</v>
      </c>
      <c r="V149" s="39" t="s">
        <v>46</v>
      </c>
      <c r="W149" s="40" t="s">
        <v>39</v>
      </c>
      <c r="X149" s="58">
        <v>70</v>
      </c>
      <c r="Y149" s="55">
        <f>IFERROR(IF(X149="","",X149),"")</f>
        <v>70</v>
      </c>
      <c r="Z149" s="41">
        <f>IFERROR(IF(X149="","",X149*0.01788),"")</f>
        <v>1.2516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259.25200000000001</v>
      </c>
      <c r="BN149" s="81">
        <f>IFERROR(Y149*I149,"0")</f>
        <v>259.25200000000001</v>
      </c>
      <c r="BO149" s="81">
        <f>IFERROR(X149/J149,"0")</f>
        <v>1</v>
      </c>
      <c r="BP149" s="81">
        <f>IFERROR(Y149/J149,"0")</f>
        <v>1</v>
      </c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39</v>
      </c>
      <c r="X150" s="43">
        <f>IFERROR(SUM(X148:X149),"0")</f>
        <v>126</v>
      </c>
      <c r="Y150" s="43">
        <f>IFERROR(SUM(Y148:Y149),"0")</f>
        <v>126</v>
      </c>
      <c r="Z150" s="43">
        <f>IFERROR(IF(Z148="",0,Z148),"0")+IFERROR(IF(Z149="",0,Z149),"0")</f>
        <v>2.2528800000000002</v>
      </c>
      <c r="AA150" s="67"/>
      <c r="AB150" s="67"/>
      <c r="AC150" s="67"/>
    </row>
    <row r="151" spans="1:68" x14ac:dyDescent="0.2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9"/>
      <c r="P151" s="295" t="s">
        <v>40</v>
      </c>
      <c r="Q151" s="296"/>
      <c r="R151" s="296"/>
      <c r="S151" s="296"/>
      <c r="T151" s="296"/>
      <c r="U151" s="296"/>
      <c r="V151" s="297"/>
      <c r="W151" s="42" t="s">
        <v>0</v>
      </c>
      <c r="X151" s="43">
        <f>IFERROR(SUMPRODUCT(X148:X149*H148:H149),"0")</f>
        <v>378</v>
      </c>
      <c r="Y151" s="43">
        <f>IFERROR(SUMPRODUCT(Y148:Y149*H148:H149),"0")</f>
        <v>378</v>
      </c>
      <c r="Z151" s="42"/>
      <c r="AA151" s="67"/>
      <c r="AB151" s="67"/>
      <c r="AC151" s="67"/>
    </row>
    <row r="152" spans="1:68" ht="16.5" hidden="1" customHeight="1" x14ac:dyDescent="0.25">
      <c r="A152" s="321" t="s">
        <v>252</v>
      </c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65"/>
      <c r="AB152" s="65"/>
      <c r="AC152" s="82"/>
    </row>
    <row r="153" spans="1:68" ht="14.25" hidden="1" customHeight="1" x14ac:dyDescent="0.25">
      <c r="A153" s="309" t="s">
        <v>155</v>
      </c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291">
        <v>4607111039095</v>
      </c>
      <c r="E154" s="291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291">
        <v>4607111034199</v>
      </c>
      <c r="E155" s="291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34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3"/>
      <c r="R155" s="293"/>
      <c r="S155" s="293"/>
      <c r="T155" s="294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155.55119999999999</v>
      </c>
      <c r="BN155" s="81">
        <f>IFERROR(Y155*I155,"0")</f>
        <v>155.55119999999999</v>
      </c>
      <c r="BO155" s="81">
        <f>IFERROR(X155/J155,"0")</f>
        <v>0.6</v>
      </c>
      <c r="BP155" s="81">
        <f>IFERROR(Y155/J155,"0")</f>
        <v>0.6</v>
      </c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39</v>
      </c>
      <c r="X156" s="43">
        <f>IFERROR(SUM(X154:X155),"0")</f>
        <v>70</v>
      </c>
      <c r="Y156" s="43">
        <f>IFERROR(SUM(Y154:Y155),"0")</f>
        <v>70</v>
      </c>
      <c r="Z156" s="43">
        <f>IFERROR(IF(Z154="",0,Z154),"0")+IFERROR(IF(Z155="",0,Z155),"0")</f>
        <v>1.2515999999999998</v>
      </c>
      <c r="AA156" s="67"/>
      <c r="AB156" s="67"/>
      <c r="AC156" s="67"/>
    </row>
    <row r="157" spans="1:68" x14ac:dyDescent="0.2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9"/>
      <c r="P157" s="295" t="s">
        <v>40</v>
      </c>
      <c r="Q157" s="296"/>
      <c r="R157" s="296"/>
      <c r="S157" s="296"/>
      <c r="T157" s="296"/>
      <c r="U157" s="296"/>
      <c r="V157" s="297"/>
      <c r="W157" s="42" t="s">
        <v>0</v>
      </c>
      <c r="X157" s="43">
        <f>IFERROR(SUMPRODUCT(X154:X155*H154:H155),"0")</f>
        <v>210</v>
      </c>
      <c r="Y157" s="43">
        <f>IFERROR(SUMPRODUCT(Y154:Y155*H154:H155),"0")</f>
        <v>210</v>
      </c>
      <c r="Z157" s="42"/>
      <c r="AA157" s="67"/>
      <c r="AB157" s="67"/>
      <c r="AC157" s="67"/>
    </row>
    <row r="158" spans="1:68" ht="16.5" hidden="1" customHeight="1" x14ac:dyDescent="0.25">
      <c r="A158" s="321" t="s">
        <v>259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65"/>
      <c r="AB158" s="65"/>
      <c r="AC158" s="82"/>
    </row>
    <row r="159" spans="1:68" ht="14.25" hidden="1" customHeight="1" x14ac:dyDescent="0.25">
      <c r="A159" s="309" t="s">
        <v>155</v>
      </c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291">
        <v>4620207490914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291">
        <v>4620207490853</v>
      </c>
      <c r="E161" s="291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3"/>
      <c r="R161" s="293"/>
      <c r="S161" s="293"/>
      <c r="T161" s="294"/>
      <c r="U161" s="39" t="s">
        <v>46</v>
      </c>
      <c r="V161" s="39" t="s">
        <v>46</v>
      </c>
      <c r="W161" s="40" t="s">
        <v>39</v>
      </c>
      <c r="X161" s="58">
        <v>42</v>
      </c>
      <c r="Y161" s="55">
        <f>IFERROR(IF(X161="","",X161),"")</f>
        <v>42</v>
      </c>
      <c r="Z161" s="41">
        <f>IFERROR(IF(X161="","",X161*0.01788),"")</f>
        <v>0.75095999999999996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112.56</v>
      </c>
      <c r="BN161" s="81">
        <f>IFERROR(Y161*I161,"0")</f>
        <v>112.56</v>
      </c>
      <c r="BO161" s="81">
        <f>IFERROR(X161/J161,"0")</f>
        <v>0.6</v>
      </c>
      <c r="BP161" s="81">
        <f>IFERROR(Y161/J161,"0")</f>
        <v>0.6</v>
      </c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39</v>
      </c>
      <c r="X162" s="43">
        <f>IFERROR(SUM(X160:X161),"0")</f>
        <v>70</v>
      </c>
      <c r="Y162" s="43">
        <f>IFERROR(SUM(Y160:Y161),"0")</f>
        <v>70</v>
      </c>
      <c r="Z162" s="43">
        <f>IFERROR(IF(Z160="",0,Z160),"0")+IFERROR(IF(Z161="",0,Z161),"0")</f>
        <v>1.2515999999999998</v>
      </c>
      <c r="AA162" s="67"/>
      <c r="AB162" s="67"/>
      <c r="AC162" s="67"/>
    </row>
    <row r="163" spans="1:68" x14ac:dyDescent="0.2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9"/>
      <c r="P163" s="295" t="s">
        <v>40</v>
      </c>
      <c r="Q163" s="296"/>
      <c r="R163" s="296"/>
      <c r="S163" s="296"/>
      <c r="T163" s="296"/>
      <c r="U163" s="296"/>
      <c r="V163" s="297"/>
      <c r="W163" s="42" t="s">
        <v>0</v>
      </c>
      <c r="X163" s="43">
        <f>IFERROR(SUMPRODUCT(X160:X161*H160:H161),"0")</f>
        <v>168</v>
      </c>
      <c r="Y163" s="43">
        <f>IFERROR(SUMPRODUCT(Y160:Y161*H160:H161),"0")</f>
        <v>168</v>
      </c>
      <c r="Z163" s="42"/>
      <c r="AA163" s="67"/>
      <c r="AB163" s="67"/>
      <c r="AC163" s="67"/>
    </row>
    <row r="164" spans="1:68" ht="16.5" hidden="1" customHeight="1" x14ac:dyDescent="0.25">
      <c r="A164" s="321" t="s">
        <v>264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65"/>
      <c r="AB164" s="65"/>
      <c r="AC164" s="82"/>
    </row>
    <row r="165" spans="1:68" ht="14.25" hidden="1" customHeight="1" x14ac:dyDescent="0.25">
      <c r="A165" s="309" t="s">
        <v>155</v>
      </c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291">
        <v>4607111035806</v>
      </c>
      <c r="E166" s="291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3"/>
      <c r="R166" s="293"/>
      <c r="S166" s="293"/>
      <c r="T166" s="294"/>
      <c r="U166" s="39" t="s">
        <v>46</v>
      </c>
      <c r="V166" s="39" t="s">
        <v>46</v>
      </c>
      <c r="W166" s="40" t="s">
        <v>39</v>
      </c>
      <c r="X166" s="58">
        <v>28</v>
      </c>
      <c r="Y166" s="55">
        <f>IFERROR(IF(X166="","",X166),"")</f>
        <v>28</v>
      </c>
      <c r="Z166" s="41">
        <f>IFERROR(IF(X166="","",X166*0.01788),"")</f>
        <v>0.50063999999999997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103.70079999999999</v>
      </c>
      <c r="BN166" s="81">
        <f>IFERROR(Y166*I166,"0")</f>
        <v>103.70079999999999</v>
      </c>
      <c r="BO166" s="81">
        <f>IFERROR(X166/J166,"0")</f>
        <v>0.4</v>
      </c>
      <c r="BP166" s="81">
        <f>IFERROR(Y166/J166,"0")</f>
        <v>0.4</v>
      </c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39</v>
      </c>
      <c r="X167" s="43">
        <f>IFERROR(SUM(X166:X166),"0")</f>
        <v>28</v>
      </c>
      <c r="Y167" s="43">
        <f>IFERROR(SUM(Y166:Y166),"0")</f>
        <v>28</v>
      </c>
      <c r="Z167" s="43">
        <f>IFERROR(IF(Z166="",0,Z166),"0")</f>
        <v>0.50063999999999997</v>
      </c>
      <c r="AA167" s="67"/>
      <c r="AB167" s="67"/>
      <c r="AC167" s="67"/>
    </row>
    <row r="168" spans="1:68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9"/>
      <c r="P168" s="295" t="s">
        <v>40</v>
      </c>
      <c r="Q168" s="296"/>
      <c r="R168" s="296"/>
      <c r="S168" s="296"/>
      <c r="T168" s="296"/>
      <c r="U168" s="296"/>
      <c r="V168" s="297"/>
      <c r="W168" s="42" t="s">
        <v>0</v>
      </c>
      <c r="X168" s="43">
        <f>IFERROR(SUMPRODUCT(X166:X166*H166:H166),"0")</f>
        <v>84</v>
      </c>
      <c r="Y168" s="43">
        <f>IFERROR(SUMPRODUCT(Y166:Y166*H166:H166),"0")</f>
        <v>84</v>
      </c>
      <c r="Z168" s="42"/>
      <c r="AA168" s="67"/>
      <c r="AB168" s="67"/>
      <c r="AC168" s="67"/>
    </row>
    <row r="169" spans="1:68" ht="16.5" hidden="1" customHeight="1" x14ac:dyDescent="0.25">
      <c r="A169" s="321" t="s">
        <v>268</v>
      </c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65"/>
      <c r="AB169" s="65"/>
      <c r="AC169" s="82"/>
    </row>
    <row r="170" spans="1:68" ht="14.25" hidden="1" customHeight="1" x14ac:dyDescent="0.25">
      <c r="A170" s="309" t="s">
        <v>155</v>
      </c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66"/>
      <c r="AB170" s="66"/>
      <c r="AC170" s="83"/>
    </row>
    <row r="171" spans="1:68" ht="16.5" hidden="1" customHeight="1" x14ac:dyDescent="0.25">
      <c r="A171" s="63" t="s">
        <v>269</v>
      </c>
      <c r="B171" s="63" t="s">
        <v>270</v>
      </c>
      <c r="C171" s="36">
        <v>4301135607</v>
      </c>
      <c r="D171" s="291">
        <v>4607111039613</v>
      </c>
      <c r="E171" s="291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3"/>
      <c r="R171" s="293"/>
      <c r="S171" s="293"/>
      <c r="T171" s="294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9"/>
      <c r="P173" s="295" t="s">
        <v>40</v>
      </c>
      <c r="Q173" s="296"/>
      <c r="R173" s="296"/>
      <c r="S173" s="296"/>
      <c r="T173" s="296"/>
      <c r="U173" s="296"/>
      <c r="V173" s="29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21" t="s">
        <v>271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65"/>
      <c r="AB174" s="65"/>
      <c r="AC174" s="82"/>
    </row>
    <row r="175" spans="1:68" ht="14.25" hidden="1" customHeight="1" x14ac:dyDescent="0.25">
      <c r="A175" s="309" t="s">
        <v>155</v>
      </c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291">
        <v>4607111036568</v>
      </c>
      <c r="E176" s="291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3"/>
      <c r="R176" s="293"/>
      <c r="S176" s="293"/>
      <c r="T176" s="294"/>
      <c r="U176" s="39" t="s">
        <v>46</v>
      </c>
      <c r="V176" s="39" t="s">
        <v>46</v>
      </c>
      <c r="W176" s="40" t="s">
        <v>39</v>
      </c>
      <c r="X176" s="58">
        <v>56</v>
      </c>
      <c r="Y176" s="55">
        <f>IFERROR(IF(X176="","",X176),"")</f>
        <v>56</v>
      </c>
      <c r="Z176" s="41">
        <f>IFERROR(IF(X176="","",X176*0.00941),"")</f>
        <v>0.52695999999999998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117.70079999999999</v>
      </c>
      <c r="BN176" s="81">
        <f>IFERROR(Y176*I176,"0")</f>
        <v>117.70079999999999</v>
      </c>
      <c r="BO176" s="81">
        <f>IFERROR(X176/J176,"0")</f>
        <v>0.4</v>
      </c>
      <c r="BP176" s="81">
        <f>IFERROR(Y176/J176,"0")</f>
        <v>0.4</v>
      </c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39</v>
      </c>
      <c r="X177" s="43">
        <f>IFERROR(SUM(X176:X176),"0")</f>
        <v>56</v>
      </c>
      <c r="Y177" s="43">
        <f>IFERROR(SUM(Y176:Y176),"0")</f>
        <v>56</v>
      </c>
      <c r="Z177" s="43">
        <f>IFERROR(IF(Z176="",0,Z176),"0")</f>
        <v>0.52695999999999998</v>
      </c>
      <c r="AA177" s="67"/>
      <c r="AB177" s="67"/>
      <c r="AC177" s="67"/>
    </row>
    <row r="178" spans="1:68" x14ac:dyDescent="0.2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9"/>
      <c r="P178" s="295" t="s">
        <v>40</v>
      </c>
      <c r="Q178" s="296"/>
      <c r="R178" s="296"/>
      <c r="S178" s="296"/>
      <c r="T178" s="296"/>
      <c r="U178" s="296"/>
      <c r="V178" s="297"/>
      <c r="W178" s="42" t="s">
        <v>0</v>
      </c>
      <c r="X178" s="43">
        <f>IFERROR(SUMPRODUCT(X176:X176*H176:H176),"0")</f>
        <v>94.08</v>
      </c>
      <c r="Y178" s="43">
        <f>IFERROR(SUMPRODUCT(Y176:Y176*H176:H176),"0")</f>
        <v>94.08</v>
      </c>
      <c r="Z178" s="42"/>
      <c r="AA178" s="67"/>
      <c r="AB178" s="67"/>
      <c r="AC178" s="67"/>
    </row>
    <row r="179" spans="1:68" ht="27.75" hidden="1" customHeight="1" x14ac:dyDescent="0.2">
      <c r="A179" s="320" t="s">
        <v>275</v>
      </c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54"/>
      <c r="AB179" s="54"/>
      <c r="AC179" s="54"/>
    </row>
    <row r="180" spans="1:68" ht="16.5" hidden="1" customHeight="1" x14ac:dyDescent="0.25">
      <c r="A180" s="321" t="s">
        <v>276</v>
      </c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65"/>
      <c r="AB180" s="65"/>
      <c r="AC180" s="82"/>
    </row>
    <row r="181" spans="1:68" ht="14.25" hidden="1" customHeight="1" x14ac:dyDescent="0.25">
      <c r="A181" s="309" t="s">
        <v>80</v>
      </c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66"/>
      <c r="AB181" s="66"/>
      <c r="AC181" s="83"/>
    </row>
    <row r="182" spans="1:68" ht="16.5" hidden="1" customHeight="1" x14ac:dyDescent="0.25">
      <c r="A182" s="63" t="s">
        <v>277</v>
      </c>
      <c r="B182" s="63" t="s">
        <v>278</v>
      </c>
      <c r="C182" s="36">
        <v>4301071062</v>
      </c>
      <c r="D182" s="291">
        <v>4607111036384</v>
      </c>
      <c r="E182" s="291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hidden="1" customHeight="1" x14ac:dyDescent="0.25">
      <c r="A183" s="63" t="s">
        <v>280</v>
      </c>
      <c r="B183" s="63" t="s">
        <v>281</v>
      </c>
      <c r="C183" s="36">
        <v>4301071050</v>
      </c>
      <c r="D183" s="291">
        <v>4607111036216</v>
      </c>
      <c r="E183" s="291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3"/>
      <c r="R183" s="293"/>
      <c r="S183" s="293"/>
      <c r="T183" s="294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hidden="1" x14ac:dyDescent="0.2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9"/>
      <c r="P185" s="295" t="s">
        <v>40</v>
      </c>
      <c r="Q185" s="296"/>
      <c r="R185" s="296"/>
      <c r="S185" s="296"/>
      <c r="T185" s="296"/>
      <c r="U185" s="296"/>
      <c r="V185" s="297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hidden="1" customHeight="1" x14ac:dyDescent="0.25">
      <c r="A186" s="321" t="s">
        <v>283</v>
      </c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65"/>
      <c r="AB186" s="65"/>
      <c r="AC186" s="82"/>
    </row>
    <row r="187" spans="1:68" ht="14.25" hidden="1" customHeight="1" x14ac:dyDescent="0.25">
      <c r="A187" s="309" t="s">
        <v>80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291">
        <v>4620207491737</v>
      </c>
      <c r="E188" s="291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3"/>
      <c r="R188" s="293"/>
      <c r="S188" s="293"/>
      <c r="T188" s="294"/>
      <c r="U188" s="39" t="s">
        <v>46</v>
      </c>
      <c r="V188" s="39" t="s">
        <v>46</v>
      </c>
      <c r="W188" s="40" t="s">
        <v>39</v>
      </c>
      <c r="X188" s="58">
        <v>204</v>
      </c>
      <c r="Y188" s="55">
        <f>IFERROR(IF(X188="","",X188),"")</f>
        <v>204</v>
      </c>
      <c r="Z188" s="41">
        <f>IFERROR(IF(X188="","",X188*0.0155),"")</f>
        <v>3.1619999999999999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1073.4479999999999</v>
      </c>
      <c r="BN188" s="81">
        <f>IFERROR(Y188*I188,"0")</f>
        <v>1073.4479999999999</v>
      </c>
      <c r="BO188" s="81">
        <f>IFERROR(X188/J188,"0")</f>
        <v>2.4285714285714284</v>
      </c>
      <c r="BP188" s="81">
        <f>IFERROR(Y188/J188,"0")</f>
        <v>2.4285714285714284</v>
      </c>
    </row>
    <row r="189" spans="1:68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9"/>
      <c r="P189" s="295" t="s">
        <v>40</v>
      </c>
      <c r="Q189" s="296"/>
      <c r="R189" s="296"/>
      <c r="S189" s="296"/>
      <c r="T189" s="296"/>
      <c r="U189" s="296"/>
      <c r="V189" s="297"/>
      <c r="W189" s="42" t="s">
        <v>39</v>
      </c>
      <c r="X189" s="43">
        <f>IFERROR(SUM(X188:X188),"0")</f>
        <v>204</v>
      </c>
      <c r="Y189" s="43">
        <f>IFERROR(SUM(Y188:Y188),"0")</f>
        <v>204</v>
      </c>
      <c r="Z189" s="43">
        <f>IFERROR(IF(Z188="",0,Z188),"0")</f>
        <v>3.1619999999999999</v>
      </c>
      <c r="AA189" s="67"/>
      <c r="AB189" s="67"/>
      <c r="AC189" s="67"/>
    </row>
    <row r="190" spans="1:68" x14ac:dyDescent="0.2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9"/>
      <c r="P190" s="295" t="s">
        <v>40</v>
      </c>
      <c r="Q190" s="296"/>
      <c r="R190" s="296"/>
      <c r="S190" s="296"/>
      <c r="T190" s="296"/>
      <c r="U190" s="296"/>
      <c r="V190" s="297"/>
      <c r="W190" s="42" t="s">
        <v>0</v>
      </c>
      <c r="X190" s="43">
        <f>IFERROR(SUMPRODUCT(X188:X188*H188:H188),"0")</f>
        <v>1020</v>
      </c>
      <c r="Y190" s="43">
        <f>IFERROR(SUMPRODUCT(Y188:Y188*H188:H188),"0")</f>
        <v>1020</v>
      </c>
      <c r="Z190" s="42"/>
      <c r="AA190" s="67"/>
      <c r="AB190" s="67"/>
      <c r="AC190" s="67"/>
    </row>
    <row r="191" spans="1:68" ht="27.75" hidden="1" customHeight="1" x14ac:dyDescent="0.2">
      <c r="A191" s="320" t="s">
        <v>286</v>
      </c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54"/>
      <c r="AB191" s="54"/>
      <c r="AC191" s="54"/>
    </row>
    <row r="192" spans="1:68" ht="16.5" hidden="1" customHeight="1" x14ac:dyDescent="0.25">
      <c r="A192" s="321" t="s">
        <v>287</v>
      </c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65"/>
      <c r="AB192" s="65"/>
      <c r="AC192" s="82"/>
    </row>
    <row r="193" spans="1:68" ht="14.25" hidden="1" customHeight="1" x14ac:dyDescent="0.25">
      <c r="A193" s="309" t="s">
        <v>111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291">
        <v>4607111035691</v>
      </c>
      <c r="E194" s="291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56</v>
      </c>
      <c r="Y194" s="55">
        <f>IFERROR(IF(X194="","",X194),"")</f>
        <v>56</v>
      </c>
      <c r="Z194" s="41">
        <f>IFERROR(IF(X194="","",X194*0.01788),"")</f>
        <v>1.0012799999999999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189.72800000000001</v>
      </c>
      <c r="BN194" s="81">
        <f>IFERROR(Y194*I194,"0")</f>
        <v>189.72800000000001</v>
      </c>
      <c r="BO194" s="81">
        <f>IFERROR(X194/J194,"0")</f>
        <v>0.8</v>
      </c>
      <c r="BP194" s="81">
        <f>IFERROR(Y194/J194,"0")</f>
        <v>0.8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291">
        <v>4607111035721</v>
      </c>
      <c r="E195" s="291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3"/>
      <c r="R195" s="293"/>
      <c r="S195" s="293"/>
      <c r="T195" s="294"/>
      <c r="U195" s="39" t="s">
        <v>46</v>
      </c>
      <c r="V195" s="39" t="s">
        <v>46</v>
      </c>
      <c r="W195" s="40" t="s">
        <v>39</v>
      </c>
      <c r="X195" s="58">
        <v>56</v>
      </c>
      <c r="Y195" s="55">
        <f>IFERROR(IF(X195="","",X195),"")</f>
        <v>56</v>
      </c>
      <c r="Z195" s="41">
        <f>IFERROR(IF(X195="","",X195*0.01788),"")</f>
        <v>1.0012799999999999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189.72800000000001</v>
      </c>
      <c r="BN195" s="81">
        <f>IFERROR(Y195*I195,"0")</f>
        <v>189.72800000000001</v>
      </c>
      <c r="BO195" s="81">
        <f>IFERROR(X195/J195,"0")</f>
        <v>0.8</v>
      </c>
      <c r="BP195" s="81">
        <f>IFERROR(Y195/J195,"0")</f>
        <v>0.8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291">
        <v>4607111038487</v>
      </c>
      <c r="E196" s="291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3"/>
      <c r="R196" s="293"/>
      <c r="S196" s="293"/>
      <c r="T196" s="294"/>
      <c r="U196" s="39" t="s">
        <v>46</v>
      </c>
      <c r="V196" s="39" t="s">
        <v>46</v>
      </c>
      <c r="W196" s="40" t="s">
        <v>39</v>
      </c>
      <c r="X196" s="58">
        <v>42</v>
      </c>
      <c r="Y196" s="55">
        <f>IFERROR(IF(X196="","",X196),"")</f>
        <v>42</v>
      </c>
      <c r="Z196" s="41">
        <f>IFERROR(IF(X196="","",X196*0.01788),"")</f>
        <v>0.75095999999999996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156.91200000000001</v>
      </c>
      <c r="BN196" s="81">
        <f>IFERROR(Y196*I196,"0")</f>
        <v>156.91200000000001</v>
      </c>
      <c r="BO196" s="81">
        <f>IFERROR(X196/J196,"0")</f>
        <v>0.6</v>
      </c>
      <c r="BP196" s="81">
        <f>IFERROR(Y196/J196,"0")</f>
        <v>0.6</v>
      </c>
    </row>
    <row r="197" spans="1:68" ht="27" hidden="1" customHeight="1" x14ac:dyDescent="0.25">
      <c r="A197" s="63" t="s">
        <v>297</v>
      </c>
      <c r="B197" s="63" t="s">
        <v>298</v>
      </c>
      <c r="C197" s="36">
        <v>4301132243</v>
      </c>
      <c r="D197" s="291">
        <v>4620207491195</v>
      </c>
      <c r="E197" s="291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3"/>
      <c r="R197" s="293"/>
      <c r="S197" s="293"/>
      <c r="T197" s="29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9"/>
      <c r="P198" s="295" t="s">
        <v>40</v>
      </c>
      <c r="Q198" s="296"/>
      <c r="R198" s="296"/>
      <c r="S198" s="296"/>
      <c r="T198" s="296"/>
      <c r="U198" s="296"/>
      <c r="V198" s="297"/>
      <c r="W198" s="42" t="s">
        <v>39</v>
      </c>
      <c r="X198" s="43">
        <f>IFERROR(SUM(X194:X197),"0")</f>
        <v>154</v>
      </c>
      <c r="Y198" s="43">
        <f>IFERROR(SUM(Y194:Y197),"0")</f>
        <v>154</v>
      </c>
      <c r="Z198" s="43">
        <f>IFERROR(IF(Z194="",0,Z194),"0")+IFERROR(IF(Z195="",0,Z195),"0")+IFERROR(IF(Z196="",0,Z196),"0")+IFERROR(IF(Z197="",0,Z197),"0")</f>
        <v>2.75352</v>
      </c>
      <c r="AA198" s="67"/>
      <c r="AB198" s="67"/>
      <c r="AC198" s="67"/>
    </row>
    <row r="199" spans="1:68" x14ac:dyDescent="0.2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9"/>
      <c r="P199" s="295" t="s">
        <v>40</v>
      </c>
      <c r="Q199" s="296"/>
      <c r="R199" s="296"/>
      <c r="S199" s="296"/>
      <c r="T199" s="296"/>
      <c r="U199" s="296"/>
      <c r="V199" s="297"/>
      <c r="W199" s="42" t="s">
        <v>0</v>
      </c>
      <c r="X199" s="43">
        <f>IFERROR(SUMPRODUCT(X194:X197*H194:H197),"0")</f>
        <v>462</v>
      </c>
      <c r="Y199" s="43">
        <f>IFERROR(SUMPRODUCT(Y194:Y197*H194:H197),"0")</f>
        <v>462</v>
      </c>
      <c r="Z199" s="42"/>
      <c r="AA199" s="67"/>
      <c r="AB199" s="67"/>
      <c r="AC199" s="67"/>
    </row>
    <row r="200" spans="1:68" ht="27.75" hidden="1" customHeight="1" x14ac:dyDescent="0.2">
      <c r="A200" s="320" t="s">
        <v>300</v>
      </c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54"/>
      <c r="AB200" s="54"/>
      <c r="AC200" s="54"/>
    </row>
    <row r="201" spans="1:68" ht="16.5" hidden="1" customHeight="1" x14ac:dyDescent="0.25">
      <c r="A201" s="321" t="s">
        <v>301</v>
      </c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65"/>
      <c r="AB201" s="65"/>
      <c r="AC201" s="82"/>
    </row>
    <row r="202" spans="1:68" ht="14.25" hidden="1" customHeight="1" x14ac:dyDescent="0.25">
      <c r="A202" s="309" t="s">
        <v>111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291">
        <v>4620207491133</v>
      </c>
      <c r="E203" s="291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3"/>
      <c r="R203" s="293"/>
      <c r="S203" s="293"/>
      <c r="T203" s="294"/>
      <c r="U203" s="39" t="s">
        <v>46</v>
      </c>
      <c r="V203" s="39" t="s">
        <v>46</v>
      </c>
      <c r="W203" s="40" t="s">
        <v>39</v>
      </c>
      <c r="X203" s="58">
        <v>28</v>
      </c>
      <c r="Y203" s="55">
        <f>IFERROR(IF(X203="","",X203),"")</f>
        <v>28</v>
      </c>
      <c r="Z203" s="41">
        <f>IFERROR(IF(X203="","",X203*0.01788),"")</f>
        <v>0.50063999999999997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83.44</v>
      </c>
      <c r="BN203" s="81">
        <f>IFERROR(Y203*I203,"0")</f>
        <v>83.44</v>
      </c>
      <c r="BO203" s="81">
        <f>IFERROR(X203/J203,"0")</f>
        <v>0.4</v>
      </c>
      <c r="BP203" s="81">
        <f>IFERROR(Y203/J203,"0")</f>
        <v>0.4</v>
      </c>
    </row>
    <row r="204" spans="1:68" x14ac:dyDescent="0.2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9"/>
      <c r="P204" s="295" t="s">
        <v>40</v>
      </c>
      <c r="Q204" s="296"/>
      <c r="R204" s="296"/>
      <c r="S204" s="296"/>
      <c r="T204" s="296"/>
      <c r="U204" s="296"/>
      <c r="V204" s="297"/>
      <c r="W204" s="42" t="s">
        <v>39</v>
      </c>
      <c r="X204" s="43">
        <f>IFERROR(SUM(X203:X203),"0")</f>
        <v>28</v>
      </c>
      <c r="Y204" s="43">
        <f>IFERROR(SUM(Y203:Y203),"0")</f>
        <v>28</v>
      </c>
      <c r="Z204" s="43">
        <f>IFERROR(IF(Z203="",0,Z203),"0")</f>
        <v>0.50063999999999997</v>
      </c>
      <c r="AA204" s="67"/>
      <c r="AB204" s="67"/>
      <c r="AC204" s="67"/>
    </row>
    <row r="205" spans="1:68" x14ac:dyDescent="0.2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9"/>
      <c r="P205" s="295" t="s">
        <v>40</v>
      </c>
      <c r="Q205" s="296"/>
      <c r="R205" s="296"/>
      <c r="S205" s="296"/>
      <c r="T205" s="296"/>
      <c r="U205" s="296"/>
      <c r="V205" s="297"/>
      <c r="W205" s="42" t="s">
        <v>0</v>
      </c>
      <c r="X205" s="43">
        <f>IFERROR(SUMPRODUCT(X203:X203*H203:H203),"0")</f>
        <v>77.28</v>
      </c>
      <c r="Y205" s="43">
        <f>IFERROR(SUMPRODUCT(Y203:Y203*H203:H203),"0")</f>
        <v>77.28</v>
      </c>
      <c r="Z205" s="42"/>
      <c r="AA205" s="67"/>
      <c r="AB205" s="67"/>
      <c r="AC205" s="67"/>
    </row>
    <row r="206" spans="1:68" ht="14.25" hidden="1" customHeight="1" x14ac:dyDescent="0.25">
      <c r="A206" s="309" t="s">
        <v>155</v>
      </c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66"/>
      <c r="AB206" s="66"/>
      <c r="AC206" s="83"/>
    </row>
    <row r="207" spans="1:68" ht="27" hidden="1" customHeight="1" x14ac:dyDescent="0.25">
      <c r="A207" s="63" t="s">
        <v>305</v>
      </c>
      <c r="B207" s="63" t="s">
        <v>306</v>
      </c>
      <c r="C207" s="36">
        <v>4301135834</v>
      </c>
      <c r="D207" s="291">
        <v>4620207491188</v>
      </c>
      <c r="E207" s="291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3"/>
      <c r="R207" s="293"/>
      <c r="S207" s="293"/>
      <c r="T207" s="294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308</v>
      </c>
      <c r="B208" s="63" t="s">
        <v>309</v>
      </c>
      <c r="C208" s="36">
        <v>4301135829</v>
      </c>
      <c r="D208" s="291">
        <v>4620207490235</v>
      </c>
      <c r="E208" s="291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3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3"/>
      <c r="R208" s="293"/>
      <c r="S208" s="293"/>
      <c r="T208" s="294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311</v>
      </c>
      <c r="B209" s="63" t="s">
        <v>312</v>
      </c>
      <c r="C209" s="36">
        <v>4301135697</v>
      </c>
      <c r="D209" s="291">
        <v>4620207490259</v>
      </c>
      <c r="E209" s="29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3"/>
      <c r="R209" s="293"/>
      <c r="S209" s="293"/>
      <c r="T209" s="29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idden="1" x14ac:dyDescent="0.2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9"/>
      <c r="P210" s="295" t="s">
        <v>40</v>
      </c>
      <c r="Q210" s="296"/>
      <c r="R210" s="296"/>
      <c r="S210" s="296"/>
      <c r="T210" s="296"/>
      <c r="U210" s="296"/>
      <c r="V210" s="297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9"/>
      <c r="P211" s="295" t="s">
        <v>40</v>
      </c>
      <c r="Q211" s="296"/>
      <c r="R211" s="296"/>
      <c r="S211" s="296"/>
      <c r="T211" s="296"/>
      <c r="U211" s="296"/>
      <c r="V211" s="297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hidden="1" customHeight="1" x14ac:dyDescent="0.25">
      <c r="A212" s="321" t="s">
        <v>314</v>
      </c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65"/>
      <c r="AB212" s="65"/>
      <c r="AC212" s="82"/>
    </row>
    <row r="213" spans="1:68" ht="14.25" hidden="1" customHeight="1" x14ac:dyDescent="0.25">
      <c r="A213" s="309" t="s">
        <v>155</v>
      </c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66"/>
      <c r="AB213" s="66"/>
      <c r="AC213" s="83"/>
    </row>
    <row r="214" spans="1:68" ht="27" hidden="1" customHeight="1" x14ac:dyDescent="0.25">
      <c r="A214" s="63" t="s">
        <v>315</v>
      </c>
      <c r="B214" s="63" t="s">
        <v>316</v>
      </c>
      <c r="C214" s="36">
        <v>4301135854</v>
      </c>
      <c r="D214" s="291">
        <v>4620207491706</v>
      </c>
      <c r="E214" s="29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3"/>
      <c r="R214" s="293"/>
      <c r="S214" s="293"/>
      <c r="T214" s="29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318</v>
      </c>
      <c r="B215" s="63" t="s">
        <v>319</v>
      </c>
      <c r="C215" s="36">
        <v>4301135895</v>
      </c>
      <c r="D215" s="291">
        <v>4620207491522</v>
      </c>
      <c r="E215" s="291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3"/>
      <c r="R215" s="293"/>
      <c r="S215" s="293"/>
      <c r="T215" s="294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9"/>
      <c r="P216" s="295" t="s">
        <v>40</v>
      </c>
      <c r="Q216" s="296"/>
      <c r="R216" s="296"/>
      <c r="S216" s="296"/>
      <c r="T216" s="296"/>
      <c r="U216" s="296"/>
      <c r="V216" s="297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hidden="1" x14ac:dyDescent="0.2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9"/>
      <c r="P217" s="295" t="s">
        <v>40</v>
      </c>
      <c r="Q217" s="296"/>
      <c r="R217" s="296"/>
      <c r="S217" s="296"/>
      <c r="T217" s="296"/>
      <c r="U217" s="296"/>
      <c r="V217" s="297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21" t="s">
        <v>321</v>
      </c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65"/>
      <c r="AB218" s="65"/>
      <c r="AC218" s="82"/>
    </row>
    <row r="219" spans="1:68" ht="14.25" hidden="1" customHeight="1" x14ac:dyDescent="0.25">
      <c r="A219" s="309" t="s">
        <v>80</v>
      </c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66"/>
      <c r="AB219" s="66"/>
      <c r="AC219" s="83"/>
    </row>
    <row r="220" spans="1:68" ht="27" hidden="1" customHeight="1" x14ac:dyDescent="0.25">
      <c r="A220" s="63" t="s">
        <v>322</v>
      </c>
      <c r="B220" s="63" t="s">
        <v>323</v>
      </c>
      <c r="C220" s="36">
        <v>4301071097</v>
      </c>
      <c r="D220" s="291">
        <v>4620207491096</v>
      </c>
      <c r="E220" s="291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3"/>
      <c r="R220" s="293"/>
      <c r="S220" s="293"/>
      <c r="T220" s="29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9"/>
      <c r="P221" s="295" t="s">
        <v>40</v>
      </c>
      <c r="Q221" s="296"/>
      <c r="R221" s="296"/>
      <c r="S221" s="296"/>
      <c r="T221" s="296"/>
      <c r="U221" s="296"/>
      <c r="V221" s="29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9"/>
      <c r="P222" s="295" t="s">
        <v>40</v>
      </c>
      <c r="Q222" s="296"/>
      <c r="R222" s="296"/>
      <c r="S222" s="296"/>
      <c r="T222" s="296"/>
      <c r="U222" s="296"/>
      <c r="V222" s="29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21" t="s">
        <v>325</v>
      </c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65"/>
      <c r="AB223" s="65"/>
      <c r="AC223" s="82"/>
    </row>
    <row r="224" spans="1:68" ht="14.25" hidden="1" customHeight="1" x14ac:dyDescent="0.25">
      <c r="A224" s="309" t="s">
        <v>155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hidden="1" customHeight="1" x14ac:dyDescent="0.25">
      <c r="A225" s="63" t="s">
        <v>326</v>
      </c>
      <c r="B225" s="63" t="s">
        <v>327</v>
      </c>
      <c r="C225" s="36">
        <v>4301135694</v>
      </c>
      <c r="D225" s="291">
        <v>4620207490501</v>
      </c>
      <c r="E225" s="291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3"/>
      <c r="R225" s="293"/>
      <c r="S225" s="293"/>
      <c r="T225" s="294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9"/>
      <c r="P226" s="295" t="s">
        <v>40</v>
      </c>
      <c r="Q226" s="296"/>
      <c r="R226" s="296"/>
      <c r="S226" s="296"/>
      <c r="T226" s="296"/>
      <c r="U226" s="296"/>
      <c r="V226" s="29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9"/>
      <c r="P227" s="295" t="s">
        <v>40</v>
      </c>
      <c r="Q227" s="296"/>
      <c r="R227" s="296"/>
      <c r="S227" s="296"/>
      <c r="T227" s="296"/>
      <c r="U227" s="296"/>
      <c r="V227" s="29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20" t="s">
        <v>329</v>
      </c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54"/>
      <c r="AB228" s="54"/>
      <c r="AC228" s="54"/>
    </row>
    <row r="229" spans="1:68" ht="16.5" hidden="1" customHeight="1" x14ac:dyDescent="0.25">
      <c r="A229" s="321" t="s">
        <v>330</v>
      </c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65"/>
      <c r="AB229" s="65"/>
      <c r="AC229" s="82"/>
    </row>
    <row r="230" spans="1:68" ht="14.25" hidden="1" customHeight="1" x14ac:dyDescent="0.25">
      <c r="A230" s="309" t="s">
        <v>80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hidden="1" customHeight="1" x14ac:dyDescent="0.25">
      <c r="A231" s="63" t="s">
        <v>331</v>
      </c>
      <c r="B231" s="63" t="s">
        <v>332</v>
      </c>
      <c r="C231" s="36">
        <v>4301071036</v>
      </c>
      <c r="D231" s="291">
        <v>4607111036162</v>
      </c>
      <c r="E231" s="291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3"/>
      <c r="R231" s="293"/>
      <c r="S231" s="293"/>
      <c r="T231" s="294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295" t="s">
        <v>40</v>
      </c>
      <c r="Q232" s="296"/>
      <c r="R232" s="296"/>
      <c r="S232" s="296"/>
      <c r="T232" s="296"/>
      <c r="U232" s="296"/>
      <c r="V232" s="29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9"/>
      <c r="P233" s="295" t="s">
        <v>40</v>
      </c>
      <c r="Q233" s="296"/>
      <c r="R233" s="296"/>
      <c r="S233" s="296"/>
      <c r="T233" s="296"/>
      <c r="U233" s="296"/>
      <c r="V233" s="29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20" t="s">
        <v>334</v>
      </c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54"/>
      <c r="AB234" s="54"/>
      <c r="AC234" s="54"/>
    </row>
    <row r="235" spans="1:68" ht="16.5" hidden="1" customHeight="1" x14ac:dyDescent="0.25">
      <c r="A235" s="321" t="s">
        <v>335</v>
      </c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65"/>
      <c r="AB235" s="65"/>
      <c r="AC235" s="82"/>
    </row>
    <row r="236" spans="1:68" ht="14.25" hidden="1" customHeight="1" x14ac:dyDescent="0.25">
      <c r="A236" s="309" t="s">
        <v>336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hidden="1" customHeight="1" x14ac:dyDescent="0.25">
      <c r="A237" s="63" t="s">
        <v>337</v>
      </c>
      <c r="B237" s="63" t="s">
        <v>338</v>
      </c>
      <c r="C237" s="36">
        <v>4301133004</v>
      </c>
      <c r="D237" s="291">
        <v>4607111039774</v>
      </c>
      <c r="E237" s="291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3"/>
      <c r="R237" s="293"/>
      <c r="S237" s="293"/>
      <c r="T237" s="294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9"/>
      <c r="P238" s="295" t="s">
        <v>40</v>
      </c>
      <c r="Q238" s="296"/>
      <c r="R238" s="296"/>
      <c r="S238" s="296"/>
      <c r="T238" s="296"/>
      <c r="U238" s="296"/>
      <c r="V238" s="29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9" t="s">
        <v>155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hidden="1" customHeight="1" x14ac:dyDescent="0.25">
      <c r="A241" s="63" t="s">
        <v>340</v>
      </c>
      <c r="B241" s="63" t="s">
        <v>341</v>
      </c>
      <c r="C241" s="36">
        <v>4301135400</v>
      </c>
      <c r="D241" s="291">
        <v>4607111039361</v>
      </c>
      <c r="E241" s="291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3"/>
      <c r="R241" s="293"/>
      <c r="S241" s="293"/>
      <c r="T241" s="294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9"/>
      <c r="P242" s="295" t="s">
        <v>40</v>
      </c>
      <c r="Q242" s="296"/>
      <c r="R242" s="296"/>
      <c r="S242" s="296"/>
      <c r="T242" s="296"/>
      <c r="U242" s="296"/>
      <c r="V242" s="29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9"/>
      <c r="P243" s="295" t="s">
        <v>40</v>
      </c>
      <c r="Q243" s="296"/>
      <c r="R243" s="296"/>
      <c r="S243" s="296"/>
      <c r="T243" s="296"/>
      <c r="U243" s="296"/>
      <c r="V243" s="29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20" t="s">
        <v>342</v>
      </c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54"/>
      <c r="AB244" s="54"/>
      <c r="AC244" s="54"/>
    </row>
    <row r="245" spans="1:68" ht="16.5" hidden="1" customHeight="1" x14ac:dyDescent="0.25">
      <c r="A245" s="321" t="s">
        <v>342</v>
      </c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65"/>
      <c r="AB245" s="65"/>
      <c r="AC245" s="82"/>
    </row>
    <row r="246" spans="1:68" ht="14.25" hidden="1" customHeight="1" x14ac:dyDescent="0.25">
      <c r="A246" s="309" t="s">
        <v>149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hidden="1" customHeight="1" x14ac:dyDescent="0.25">
      <c r="A247" s="63" t="s">
        <v>343</v>
      </c>
      <c r="B247" s="63" t="s">
        <v>344</v>
      </c>
      <c r="C247" s="36">
        <v>4301136098</v>
      </c>
      <c r="D247" s="291">
        <v>4640242181943</v>
      </c>
      <c r="E247" s="291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1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3"/>
      <c r="R247" s="293"/>
      <c r="S247" s="293"/>
      <c r="T247" s="29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9"/>
      <c r="P248" s="295" t="s">
        <v>40</v>
      </c>
      <c r="Q248" s="296"/>
      <c r="R248" s="296"/>
      <c r="S248" s="296"/>
      <c r="T248" s="296"/>
      <c r="U248" s="296"/>
      <c r="V248" s="29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9"/>
      <c r="P249" s="295" t="s">
        <v>40</v>
      </c>
      <c r="Q249" s="296"/>
      <c r="R249" s="296"/>
      <c r="S249" s="296"/>
      <c r="T249" s="296"/>
      <c r="U249" s="296"/>
      <c r="V249" s="29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20" t="s">
        <v>346</v>
      </c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54"/>
      <c r="AB250" s="54"/>
      <c r="AC250" s="54"/>
    </row>
    <row r="251" spans="1:68" ht="16.5" hidden="1" customHeight="1" x14ac:dyDescent="0.25">
      <c r="A251" s="321" t="s">
        <v>346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65"/>
      <c r="AB251" s="65"/>
      <c r="AC251" s="82"/>
    </row>
    <row r="252" spans="1:68" ht="14.25" hidden="1" customHeight="1" x14ac:dyDescent="0.25">
      <c r="A252" s="309" t="s">
        <v>80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66"/>
      <c r="AB252" s="66"/>
      <c r="AC252" s="83"/>
    </row>
    <row r="253" spans="1:68" ht="27" hidden="1" customHeight="1" x14ac:dyDescent="0.25">
      <c r="A253" s="63" t="s">
        <v>347</v>
      </c>
      <c r="B253" s="63" t="s">
        <v>348</v>
      </c>
      <c r="C253" s="36">
        <v>4301071014</v>
      </c>
      <c r="D253" s="291">
        <v>4640242181264</v>
      </c>
      <c r="E253" s="291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3"/>
      <c r="R253" s="293"/>
      <c r="S253" s="293"/>
      <c r="T253" s="29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350</v>
      </c>
      <c r="B254" s="63" t="s">
        <v>351</v>
      </c>
      <c r="C254" s="36">
        <v>4301071021</v>
      </c>
      <c r="D254" s="291">
        <v>4640242181325</v>
      </c>
      <c r="E254" s="291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3"/>
      <c r="R254" s="293"/>
      <c r="S254" s="293"/>
      <c r="T254" s="29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9"/>
      <c r="P255" s="295" t="s">
        <v>40</v>
      </c>
      <c r="Q255" s="296"/>
      <c r="R255" s="296"/>
      <c r="S255" s="296"/>
      <c r="T255" s="296"/>
      <c r="U255" s="296"/>
      <c r="V255" s="297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09" t="s">
        <v>111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6"/>
      <c r="AB257" s="66"/>
      <c r="AC257" s="83"/>
    </row>
    <row r="258" spans="1:68" ht="27" hidden="1" customHeight="1" x14ac:dyDescent="0.25">
      <c r="A258" s="63" t="s">
        <v>352</v>
      </c>
      <c r="B258" s="63" t="s">
        <v>353</v>
      </c>
      <c r="C258" s="36">
        <v>4301132080</v>
      </c>
      <c r="D258" s="291">
        <v>4640242180397</v>
      </c>
      <c r="E258" s="291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3"/>
      <c r="R258" s="293"/>
      <c r="S258" s="293"/>
      <c r="T258" s="29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9"/>
      <c r="P259" s="295" t="s">
        <v>40</v>
      </c>
      <c r="Q259" s="296"/>
      <c r="R259" s="296"/>
      <c r="S259" s="296"/>
      <c r="T259" s="296"/>
      <c r="U259" s="296"/>
      <c r="V259" s="297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9"/>
      <c r="P260" s="295" t="s">
        <v>40</v>
      </c>
      <c r="Q260" s="296"/>
      <c r="R260" s="296"/>
      <c r="S260" s="296"/>
      <c r="T260" s="296"/>
      <c r="U260" s="296"/>
      <c r="V260" s="297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9" t="s">
        <v>149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hidden="1" customHeight="1" x14ac:dyDescent="0.25">
      <c r="A262" s="63" t="s">
        <v>355</v>
      </c>
      <c r="B262" s="63" t="s">
        <v>356</v>
      </c>
      <c r="C262" s="36">
        <v>4301136051</v>
      </c>
      <c r="D262" s="291">
        <v>4640242180304</v>
      </c>
      <c r="E262" s="291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3"/>
      <c r="R262" s="293"/>
      <c r="S262" s="293"/>
      <c r="T262" s="294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358</v>
      </c>
      <c r="B263" s="63" t="s">
        <v>359</v>
      </c>
      <c r="C263" s="36">
        <v>4301136053</v>
      </c>
      <c r="D263" s="291">
        <v>4640242180236</v>
      </c>
      <c r="E263" s="291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3"/>
      <c r="R263" s="293"/>
      <c r="S263" s="293"/>
      <c r="T263" s="294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360</v>
      </c>
      <c r="B264" s="63" t="s">
        <v>361</v>
      </c>
      <c r="C264" s="36">
        <v>4301136052</v>
      </c>
      <c r="D264" s="291">
        <v>4640242180410</v>
      </c>
      <c r="E264" s="291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3"/>
      <c r="R264" s="293"/>
      <c r="S264" s="293"/>
      <c r="T264" s="294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9"/>
      <c r="P265" s="295" t="s">
        <v>40</v>
      </c>
      <c r="Q265" s="296"/>
      <c r="R265" s="296"/>
      <c r="S265" s="296"/>
      <c r="T265" s="296"/>
      <c r="U265" s="296"/>
      <c r="V265" s="297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295" t="s">
        <v>40</v>
      </c>
      <c r="Q266" s="296"/>
      <c r="R266" s="296"/>
      <c r="S266" s="296"/>
      <c r="T266" s="296"/>
      <c r="U266" s="296"/>
      <c r="V266" s="297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09" t="s">
        <v>155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37.5" hidden="1" customHeight="1" x14ac:dyDescent="0.25">
      <c r="A268" s="63" t="s">
        <v>362</v>
      </c>
      <c r="B268" s="63" t="s">
        <v>363</v>
      </c>
      <c r="C268" s="36">
        <v>4301135504</v>
      </c>
      <c r="D268" s="291">
        <v>4640242181554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4301135873</v>
      </c>
      <c r="D269" s="291">
        <v>4640242182087</v>
      </c>
      <c r="E269" s="291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368</v>
      </c>
      <c r="B270" s="63" t="s">
        <v>369</v>
      </c>
      <c r="C270" s="36">
        <v>4301135374</v>
      </c>
      <c r="D270" s="291">
        <v>4640242181424</v>
      </c>
      <c r="E270" s="291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370</v>
      </c>
      <c r="B271" s="63" t="s">
        <v>371</v>
      </c>
      <c r="C271" s="36">
        <v>4301135405</v>
      </c>
      <c r="D271" s="291">
        <v>4640242181523</v>
      </c>
      <c r="E271" s="291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4301135375</v>
      </c>
      <c r="D272" s="291">
        <v>4640242181486</v>
      </c>
      <c r="E272" s="291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374</v>
      </c>
      <c r="B273" s="63" t="s">
        <v>375</v>
      </c>
      <c r="C273" s="36">
        <v>4301135402</v>
      </c>
      <c r="D273" s="291">
        <v>4640242181493</v>
      </c>
      <c r="E273" s="291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376</v>
      </c>
      <c r="B274" s="63" t="s">
        <v>377</v>
      </c>
      <c r="C274" s="36">
        <v>4301135403</v>
      </c>
      <c r="D274" s="291">
        <v>4640242181509</v>
      </c>
      <c r="E274" s="291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378</v>
      </c>
      <c r="B275" s="63" t="s">
        <v>379</v>
      </c>
      <c r="C275" s="36">
        <v>4301135304</v>
      </c>
      <c r="D275" s="291">
        <v>4640242181240</v>
      </c>
      <c r="E275" s="291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380</v>
      </c>
      <c r="B276" s="63" t="s">
        <v>381</v>
      </c>
      <c r="C276" s="36">
        <v>4301135610</v>
      </c>
      <c r="D276" s="291">
        <v>4640242181318</v>
      </c>
      <c r="E276" s="291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382</v>
      </c>
      <c r="B277" s="63" t="s">
        <v>383</v>
      </c>
      <c r="C277" s="36">
        <v>4301135306</v>
      </c>
      <c r="D277" s="291">
        <v>4640242181387</v>
      </c>
      <c r="E277" s="291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9"/>
      <c r="P278" s="295" t="s">
        <v>40</v>
      </c>
      <c r="Q278" s="296"/>
      <c r="R278" s="296"/>
      <c r="S278" s="296"/>
      <c r="T278" s="296"/>
      <c r="U278" s="296"/>
      <c r="V278" s="297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9"/>
      <c r="P279" s="295" t="s">
        <v>40</v>
      </c>
      <c r="Q279" s="296"/>
      <c r="R279" s="296"/>
      <c r="S279" s="296"/>
      <c r="T279" s="296"/>
      <c r="U279" s="296"/>
      <c r="V279" s="297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33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6041.5199999999995</v>
      </c>
      <c r="Y280" s="43">
        <f>IFERROR(Y31+Y37+Y44+Y51+Y59+Y64+Y68+Y73+Y79+Y85+Y90+Y96+Y106+Y112+Y123+Y127+Y131+Y139+Y145+Y151+Y157+Y163+Y168+Y173+Y178+Y185+Y190+Y199+Y205+Y211+Y217+Y222+Y227+Y233+Y239+Y243+Y249+Y256+Y260+Y266+Y279,"0")</f>
        <v>6041.5199999999995</v>
      </c>
      <c r="Z280" s="42"/>
      <c r="AA280" s="67"/>
      <c r="AB280" s="67"/>
      <c r="AC280" s="67"/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34</v>
      </c>
      <c r="Q281" s="301"/>
      <c r="R281" s="301"/>
      <c r="S281" s="301"/>
      <c r="T281" s="301"/>
      <c r="U281" s="301"/>
      <c r="V281" s="302"/>
      <c r="W281" s="42" t="s">
        <v>0</v>
      </c>
      <c r="X281" s="43">
        <f>IFERROR(SUM(BM22:BM277),"0")</f>
        <v>6879.7683999999999</v>
      </c>
      <c r="Y281" s="43">
        <f>IFERROR(SUM(BN22:BN277),"0")</f>
        <v>6879.7683999999999</v>
      </c>
      <c r="Z281" s="42"/>
      <c r="AA281" s="67"/>
      <c r="AB281" s="67"/>
      <c r="AC281" s="67"/>
    </row>
    <row r="282" spans="1:68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35</v>
      </c>
      <c r="Q282" s="301"/>
      <c r="R282" s="301"/>
      <c r="S282" s="301"/>
      <c r="T282" s="301"/>
      <c r="U282" s="301"/>
      <c r="V282" s="302"/>
      <c r="W282" s="42" t="s">
        <v>20</v>
      </c>
      <c r="X282" s="44">
        <f>ROUNDUP(SUM(BO22:BO277),0)</f>
        <v>22</v>
      </c>
      <c r="Y282" s="44">
        <f>ROUNDUP(SUM(BP22:BP277),0)</f>
        <v>22</v>
      </c>
      <c r="Z282" s="42"/>
      <c r="AA282" s="67"/>
      <c r="AB282" s="67"/>
      <c r="AC282" s="67"/>
    </row>
    <row r="283" spans="1:68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303"/>
      <c r="P283" s="300" t="s">
        <v>36</v>
      </c>
      <c r="Q283" s="301"/>
      <c r="R283" s="301"/>
      <c r="S283" s="301"/>
      <c r="T283" s="301"/>
      <c r="U283" s="301"/>
      <c r="V283" s="302"/>
      <c r="W283" s="42" t="s">
        <v>0</v>
      </c>
      <c r="X283" s="43">
        <f>GrossWeightTotal+PalletQtyTotal*25</f>
        <v>7429.7683999999999</v>
      </c>
      <c r="Y283" s="43">
        <f>GrossWeightTotalR+PalletQtyTotalR*25</f>
        <v>7429.7683999999999</v>
      </c>
      <c r="Z283" s="42"/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303"/>
      <c r="P284" s="300" t="s">
        <v>37</v>
      </c>
      <c r="Q284" s="301"/>
      <c r="R284" s="301"/>
      <c r="S284" s="301"/>
      <c r="T284" s="301"/>
      <c r="U284" s="301"/>
      <c r="V284" s="302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1786</v>
      </c>
      <c r="Y284" s="43">
        <f>IFERROR(Y30+Y36+Y43+Y50+Y58+Y63+Y67+Y72+Y78+Y84+Y89+Y95+Y105+Y111+Y122+Y126+Y130+Y138+Y144+Y150+Y156+Y162+Y167+Y172+Y177+Y184+Y189+Y198+Y204+Y210+Y216+Y221+Y226+Y232+Y238+Y242+Y248+Y255+Y259+Y265+Y278,"0")</f>
        <v>1786</v>
      </c>
      <c r="Z284" s="42"/>
      <c r="AA284" s="67"/>
      <c r="AB284" s="67"/>
      <c r="AC284" s="67"/>
    </row>
    <row r="285" spans="1:68" ht="14.25" hidden="1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38</v>
      </c>
      <c r="Q285" s="301"/>
      <c r="R285" s="301"/>
      <c r="S285" s="301"/>
      <c r="T285" s="301"/>
      <c r="U285" s="301"/>
      <c r="V285" s="302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26.935259999999996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88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275</v>
      </c>
      <c r="W287" s="287" t="s">
        <v>275</v>
      </c>
      <c r="X287" s="88" t="s">
        <v>286</v>
      </c>
      <c r="Y287" s="287" t="s">
        <v>300</v>
      </c>
      <c r="Z287" s="287" t="s">
        <v>300</v>
      </c>
      <c r="AA287" s="287" t="s">
        <v>300</v>
      </c>
      <c r="AB287" s="287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289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131</v>
      </c>
      <c r="G288" s="287" t="s">
        <v>142</v>
      </c>
      <c r="H288" s="287" t="s">
        <v>163</v>
      </c>
      <c r="I288" s="287" t="s">
        <v>170</v>
      </c>
      <c r="J288" s="287" t="s">
        <v>174</v>
      </c>
      <c r="K288" s="287" t="s">
        <v>182</v>
      </c>
      <c r="L288" s="287" t="s">
        <v>197</v>
      </c>
      <c r="M288" s="287" t="s">
        <v>203</v>
      </c>
      <c r="N288" s="1"/>
      <c r="O288" s="287" t="s">
        <v>228</v>
      </c>
      <c r="P288" s="287" t="s">
        <v>246</v>
      </c>
      <c r="Q288" s="287" t="s">
        <v>252</v>
      </c>
      <c r="R288" s="287" t="s">
        <v>259</v>
      </c>
      <c r="S288" s="287" t="s">
        <v>264</v>
      </c>
      <c r="T288" s="287" t="s">
        <v>268</v>
      </c>
      <c r="U288" s="287" t="s">
        <v>271</v>
      </c>
      <c r="V288" s="287" t="s">
        <v>276</v>
      </c>
      <c r="W288" s="287" t="s">
        <v>283</v>
      </c>
      <c r="X288" s="287" t="s">
        <v>287</v>
      </c>
      <c r="Y288" s="287" t="s">
        <v>301</v>
      </c>
      <c r="Z288" s="287" t="s">
        <v>314</v>
      </c>
      <c r="AA288" s="287" t="s">
        <v>321</v>
      </c>
      <c r="AB288" s="287" t="s">
        <v>325</v>
      </c>
      <c r="AC288" s="287" t="s">
        <v>330</v>
      </c>
      <c r="AD288" s="287" t="s">
        <v>335</v>
      </c>
      <c r="AE288" s="287" t="s">
        <v>342</v>
      </c>
      <c r="AF288" s="287" t="s">
        <v>346</v>
      </c>
    </row>
    <row r="289" spans="1:32" ht="13.5" thickBot="1" x14ac:dyDescent="0.25">
      <c r="A289" s="290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105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672</v>
      </c>
      <c r="G290" s="52">
        <f>IFERROR(X62*H62,"0")+IFERROR(X66*H66,"0")+IFERROR(X70*H70,"0")+IFERROR(X71*H71,"0")+IFERROR(X75*H75,"0")+IFERROR(X76*H76,"0")+IFERROR(X77*H77,"0")</f>
        <v>319.2</v>
      </c>
      <c r="H290" s="52">
        <f>IFERROR(X82*H82,"0")+IFERROR(X83*H83,"0")</f>
        <v>0</v>
      </c>
      <c r="I290" s="52">
        <f>IFERROR(X88*H88,"0")</f>
        <v>151.20000000000002</v>
      </c>
      <c r="J290" s="52">
        <f>IFERROR(X93*H93,"0")+IFERROR(X94*H94,"0")</f>
        <v>403.20000000000005</v>
      </c>
      <c r="K290" s="52">
        <f>IFERROR(X99*H99,"0")+IFERROR(X100*H100,"0")+IFERROR(X101*H101,"0")+IFERROR(X102*H102,"0")+IFERROR(X103*H103,"0")+IFERROR(X104*H104,"0")</f>
        <v>483.84000000000003</v>
      </c>
      <c r="L290" s="52">
        <f>IFERROR(X109*H109,"0")+IFERROR(X110*H110,"0")</f>
        <v>151.20000000000002</v>
      </c>
      <c r="M290" s="52">
        <f>IFERROR(X115*H115,"0")+IFERROR(X116*H116,"0")+IFERROR(X117*H117,"0")+IFERROR(X118*H118,"0")+IFERROR(X119*H119,"0")+IFERROR(X120*H120,"0")+IFERROR(X121*H121,"0")+IFERROR(X125*H125,"0")+IFERROR(X129*H129,"0")</f>
        <v>1165.92</v>
      </c>
      <c r="N290" s="1"/>
      <c r="O290" s="52">
        <f>IFERROR(X134*H134,"0")+IFERROR(X135*H135,"0")+IFERROR(X136*H136,"0")+IFERROR(X137*H137,"0")+IFERROR(X141*H141,"0")+IFERROR(X142*H142,"0")+IFERROR(X143*H143,"0")</f>
        <v>96.6</v>
      </c>
      <c r="P290" s="52">
        <f>IFERROR(X148*H148,"0")+IFERROR(X149*H149,"0")</f>
        <v>378</v>
      </c>
      <c r="Q290" s="52">
        <f>IFERROR(X154*H154,"0")+IFERROR(X155*H155,"0")</f>
        <v>210</v>
      </c>
      <c r="R290" s="52">
        <f>IFERROR(X160*H160,"0")+IFERROR(X161*H161,"0")</f>
        <v>168</v>
      </c>
      <c r="S290" s="52">
        <f>IFERROR(X166*H166,"0")</f>
        <v>84</v>
      </c>
      <c r="T290" s="52">
        <f>IFERROR(X171*H171,"0")</f>
        <v>0</v>
      </c>
      <c r="U290" s="52">
        <f>IFERROR(X176*H176,"0")</f>
        <v>94.08</v>
      </c>
      <c r="V290" s="52">
        <f>IFERROR(X182*H182,"0")+IFERROR(X183*H183,"0")</f>
        <v>0</v>
      </c>
      <c r="W290" s="52">
        <f>IFERROR(X188*H188,"0")</f>
        <v>1020</v>
      </c>
      <c r="X290" s="52">
        <f>IFERROR(X194*H194,"0")+IFERROR(X195*H195,"0")+IFERROR(X196*H196,"0")+IFERROR(X197*H197,"0")</f>
        <v>462</v>
      </c>
      <c r="Y290" s="52">
        <f>IFERROR(X203*H203,"0")+IFERROR(X207*H207,"0")+IFERROR(X208*H208,"0")+IFERROR(X209*H209,"0")</f>
        <v>77.28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2784</v>
      </c>
      <c r="B293" s="72">
        <f>SUMPRODUCT(--(BB:BB="ПГП"),--(W:W="кор"),H:H,Y:Y)+SUMPRODUCT(--(BB:BB="ПГП"),--(W:W="кг"),Y:Y)</f>
        <v>3257.52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092,00"/>
        <filter val="1 786,00"/>
        <filter val="105,00"/>
        <filter val="112,00"/>
        <filter val="126,00"/>
        <filter val="140,00"/>
        <filter val="151,20"/>
        <filter val="154,00"/>
        <filter val="156,00"/>
        <filter val="168,00"/>
        <filter val="204,00"/>
        <filter val="210,00"/>
        <filter val="22"/>
        <filter val="266,00"/>
        <filter val="28,00"/>
        <filter val="319,20"/>
        <filter val="36,00"/>
        <filter val="378,00"/>
        <filter val="403,20"/>
        <filter val="42,00"/>
        <filter val="462,00"/>
        <filter val="48,00"/>
        <filter val="483,84"/>
        <filter val="56,00"/>
        <filter val="6 041,52"/>
        <filter val="6 879,77"/>
        <filter val="60,00"/>
        <filter val="672,00"/>
        <filter val="7 429,77"/>
        <filter val="70,00"/>
        <filter val="73,92"/>
        <filter val="77,28"/>
        <filter val="84,00"/>
        <filter val="94,08"/>
        <filter val="96,00"/>
        <filter val="96,60"/>
      </filters>
    </filterColumn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bb0b2827-4eb3-461f-8866-28597c48f473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2026-08-03T14:28:33Z</cp:lastPrinted>
  <dcterms:created xsi:type="dcterms:W3CDTF">2021-11-12T12:13:19Z</dcterms:created>
  <dcterms:modified xsi:type="dcterms:W3CDTF">2026-09-15T06:31:31Z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