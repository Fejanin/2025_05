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302D5A2-0491-4672-9761-04615AB2F7E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заказа'!$A$18:$AF$281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заказа'!$B$249:$B$249</definedName>
    <definedName name="ProductId84">'Бланк заказа'!$B$250:$B$250</definedName>
    <definedName name="ProductId85">'Бланк заказа'!$B$254:$B$254</definedName>
    <definedName name="ProductId86">'Бланк заказа'!$B$258:$B$258</definedName>
    <definedName name="ProductId87">'Бланк заказа'!$B$259:$B$259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заказа'!$B$267:$B$267</definedName>
    <definedName name="ProductId93">'Бланк заказа'!$B$268:$B$268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заказа'!$B$272:$B$272</definedName>
    <definedName name="ProductId98">'Бланк заказа'!$B$273:$B$273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заказа'!$X$249:$X$249</definedName>
    <definedName name="SalesQty84">'Бланк заказа'!$X$250:$X$250</definedName>
    <definedName name="SalesQty85">'Бланк заказа'!$X$254:$X$254</definedName>
    <definedName name="SalesQty86">'Бланк заказа'!$X$258:$X$258</definedName>
    <definedName name="SalesQty87">'Бланк заказа'!$X$259:$X$259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заказа'!$X$267:$X$267</definedName>
    <definedName name="SalesQty93">'Бланк заказа'!$X$268:$X$268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заказа'!$X$272:$X$272</definedName>
    <definedName name="SalesQty98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заказа'!$Y$249:$Y$249</definedName>
    <definedName name="SalesRoundBox84">'Бланк заказа'!$Y$250:$Y$250</definedName>
    <definedName name="SalesRoundBox85">'Бланк заказа'!$Y$254:$Y$254</definedName>
    <definedName name="SalesRoundBox86">'Бланк заказа'!$Y$258:$Y$258</definedName>
    <definedName name="SalesRoundBox87">'Бланк заказа'!$Y$259:$Y$259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заказа'!$Y$267:$Y$267</definedName>
    <definedName name="SalesRoundBox93">'Бланк заказа'!$Y$268:$Y$268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заказа'!$Y$272:$Y$272</definedName>
    <definedName name="SalesRoundBox98">'Бланк заказа'!$Y$273:$Y$273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заказа'!$W$249:$W$249</definedName>
    <definedName name="UnitOfMeasure84">'Бланк заказа'!$W$250:$W$250</definedName>
    <definedName name="UnitOfMeasure85">'Бланк заказа'!$W$254:$W$254</definedName>
    <definedName name="UnitOfMeasure86">'Бланк заказа'!$W$258:$W$258</definedName>
    <definedName name="UnitOfMeasure87">'Бланк заказа'!$W$259:$W$259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заказа'!$W$267:$W$267</definedName>
    <definedName name="UnitOfMeasure93">'Бланк заказа'!$W$268:$W$268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заказа'!$W$272:$W$272</definedName>
    <definedName name="UnitOfMeasure98">'Бланк заказа'!$W$273:$W$273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6" i="2" l="1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75" i="2"/>
  <c r="X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N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BO264" i="2"/>
  <c r="BM264" i="2"/>
  <c r="Z264" i="2"/>
  <c r="Y264" i="2"/>
  <c r="BP264" i="2" s="1"/>
  <c r="P264" i="2"/>
  <c r="X262" i="2"/>
  <c r="X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P258" i="2"/>
  <c r="BO258" i="2"/>
  <c r="BN258" i="2"/>
  <c r="BM258" i="2"/>
  <c r="Z258" i="2"/>
  <c r="Y258" i="2"/>
  <c r="P258" i="2"/>
  <c r="X256" i="2"/>
  <c r="X255" i="2"/>
  <c r="BO254" i="2"/>
  <c r="BN254" i="2"/>
  <c r="BM254" i="2"/>
  <c r="Z254" i="2"/>
  <c r="Z255" i="2" s="1"/>
  <c r="Y254" i="2"/>
  <c r="Y255" i="2" s="1"/>
  <c r="P254" i="2"/>
  <c r="X252" i="2"/>
  <c r="X251" i="2"/>
  <c r="BO250" i="2"/>
  <c r="BM250" i="2"/>
  <c r="Z250" i="2"/>
  <c r="Y250" i="2"/>
  <c r="BP250" i="2" s="1"/>
  <c r="P250" i="2"/>
  <c r="BO249" i="2"/>
  <c r="BM249" i="2"/>
  <c r="Z249" i="2"/>
  <c r="Z251" i="2" s="1"/>
  <c r="Y249" i="2"/>
  <c r="BP249" i="2" s="1"/>
  <c r="P249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Y239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Y228" i="2" s="1"/>
  <c r="P227" i="2"/>
  <c r="X223" i="2"/>
  <c r="X222" i="2"/>
  <c r="BO221" i="2"/>
  <c r="BM221" i="2"/>
  <c r="Z221" i="2"/>
  <c r="Z222" i="2" s="1"/>
  <c r="Y221" i="2"/>
  <c r="Y223" i="2" s="1"/>
  <c r="P221" i="2"/>
  <c r="X218" i="2"/>
  <c r="X217" i="2"/>
  <c r="BO216" i="2"/>
  <c r="BM216" i="2"/>
  <c r="Z216" i="2"/>
  <c r="Z217" i="2" s="1"/>
  <c r="Y216" i="2"/>
  <c r="Y217" i="2" s="1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N205" i="2" s="1"/>
  <c r="P205" i="2"/>
  <c r="BO204" i="2"/>
  <c r="BM204" i="2"/>
  <c r="Z204" i="2"/>
  <c r="Y204" i="2"/>
  <c r="BP204" i="2" s="1"/>
  <c r="P204" i="2"/>
  <c r="BO203" i="2"/>
  <c r="BM203" i="2"/>
  <c r="Z203" i="2"/>
  <c r="Z206" i="2" s="1"/>
  <c r="Y203" i="2"/>
  <c r="P203" i="2"/>
  <c r="X201" i="2"/>
  <c r="Y200" i="2"/>
  <c r="X200" i="2"/>
  <c r="BP199" i="2"/>
  <c r="BO199" i="2"/>
  <c r="BN199" i="2"/>
  <c r="BM199" i="2"/>
  <c r="Z199" i="2"/>
  <c r="Z200" i="2" s="1"/>
  <c r="Y199" i="2"/>
  <c r="Y201" i="2" s="1"/>
  <c r="P199" i="2"/>
  <c r="X195" i="2"/>
  <c r="X194" i="2"/>
  <c r="BO193" i="2"/>
  <c r="BM193" i="2"/>
  <c r="Z193" i="2"/>
  <c r="Y193" i="2"/>
  <c r="BP193" i="2" s="1"/>
  <c r="P193" i="2"/>
  <c r="BP192" i="2"/>
  <c r="BO192" i="2"/>
  <c r="BN192" i="2"/>
  <c r="BM192" i="2"/>
  <c r="Z192" i="2"/>
  <c r="Y192" i="2"/>
  <c r="P192" i="2"/>
  <c r="BO191" i="2"/>
  <c r="BM191" i="2"/>
  <c r="Z191" i="2"/>
  <c r="Y191" i="2"/>
  <c r="BP191" i="2" s="1"/>
  <c r="P191" i="2"/>
  <c r="BO190" i="2"/>
  <c r="BM190" i="2"/>
  <c r="Z190" i="2"/>
  <c r="Y190" i="2"/>
  <c r="BP190" i="2" s="1"/>
  <c r="P190" i="2"/>
  <c r="X186" i="2"/>
  <c r="X185" i="2"/>
  <c r="BO184" i="2"/>
  <c r="BM184" i="2"/>
  <c r="Z184" i="2"/>
  <c r="Z185" i="2" s="1"/>
  <c r="Y184" i="2"/>
  <c r="Y185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Z180" i="2" s="1"/>
  <c r="Y178" i="2"/>
  <c r="BN178" i="2" s="1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Y168" i="2" s="1"/>
  <c r="P167" i="2"/>
  <c r="X164" i="2"/>
  <c r="X163" i="2"/>
  <c r="BO162" i="2"/>
  <c r="BM162" i="2"/>
  <c r="Z162" i="2"/>
  <c r="Z163" i="2" s="1"/>
  <c r="Y162" i="2"/>
  <c r="BN162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BN156" i="2" s="1"/>
  <c r="P156" i="2"/>
  <c r="X153" i="2"/>
  <c r="X152" i="2"/>
  <c r="BO151" i="2"/>
  <c r="BM151" i="2"/>
  <c r="Z151" i="2"/>
  <c r="Y151" i="2"/>
  <c r="P151" i="2"/>
  <c r="BO150" i="2"/>
  <c r="BM150" i="2"/>
  <c r="Z150" i="2"/>
  <c r="Y150" i="2"/>
  <c r="BP150" i="2" s="1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BP144" i="2" s="1"/>
  <c r="P144" i="2"/>
  <c r="X141" i="2"/>
  <c r="X140" i="2"/>
  <c r="BO139" i="2"/>
  <c r="BM139" i="2"/>
  <c r="Z139" i="2"/>
  <c r="Y139" i="2"/>
  <c r="BP139" i="2" s="1"/>
  <c r="P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Z133" i="2"/>
  <c r="Y133" i="2"/>
  <c r="BP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P130" i="2"/>
  <c r="X127" i="2"/>
  <c r="X126" i="2"/>
  <c r="BO125" i="2"/>
  <c r="BM125" i="2"/>
  <c r="Z125" i="2"/>
  <c r="Z126" i="2" s="1"/>
  <c r="Y125" i="2"/>
  <c r="BP125" i="2" s="1"/>
  <c r="P125" i="2"/>
  <c r="X123" i="2"/>
  <c r="X122" i="2"/>
  <c r="BO121" i="2"/>
  <c r="BM121" i="2"/>
  <c r="Z121" i="2"/>
  <c r="Z122" i="2" s="1"/>
  <c r="Y121" i="2"/>
  <c r="Y123" i="2" s="1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N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Y85" i="2" s="1"/>
  <c r="P83" i="2"/>
  <c r="X80" i="2"/>
  <c r="X79" i="2"/>
  <c r="BO78" i="2"/>
  <c r="BM78" i="2"/>
  <c r="Z78" i="2"/>
  <c r="Y78" i="2"/>
  <c r="P78" i="2"/>
  <c r="BO77" i="2"/>
  <c r="BM77" i="2"/>
  <c r="Z77" i="2"/>
  <c r="Y77" i="2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P71" i="2" s="1"/>
  <c r="P71" i="2"/>
  <c r="BO70" i="2"/>
  <c r="BM70" i="2"/>
  <c r="Z70" i="2"/>
  <c r="Y70" i="2"/>
  <c r="Y73" i="2" s="1"/>
  <c r="P70" i="2"/>
  <c r="X68" i="2"/>
  <c r="X67" i="2"/>
  <c r="BO66" i="2"/>
  <c r="BM66" i="2"/>
  <c r="Z66" i="2"/>
  <c r="Y66" i="2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P53" i="2"/>
  <c r="BO53" i="2"/>
  <c r="BN53" i="2"/>
  <c r="BM53" i="2"/>
  <c r="Z53" i="2"/>
  <c r="Y53" i="2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N35" i="2"/>
  <c r="BM35" i="2"/>
  <c r="Z35" i="2"/>
  <c r="Y35" i="2"/>
  <c r="BP35" i="2" s="1"/>
  <c r="P35" i="2"/>
  <c r="BO34" i="2"/>
  <c r="BM34" i="2"/>
  <c r="Z34" i="2"/>
  <c r="Y34" i="2"/>
  <c r="Y37" i="2" s="1"/>
  <c r="P34" i="2"/>
  <c r="X31" i="2"/>
  <c r="X30" i="2"/>
  <c r="BP29" i="2"/>
  <c r="BO29" i="2"/>
  <c r="BN29" i="2"/>
  <c r="BM29" i="2"/>
  <c r="Z29" i="2"/>
  <c r="Y29" i="2"/>
  <c r="P29" i="2"/>
  <c r="BO28" i="2"/>
  <c r="BN28" i="2"/>
  <c r="BM28" i="2"/>
  <c r="Z28" i="2"/>
  <c r="Y28" i="2"/>
  <c r="BP28" i="2" s="1"/>
  <c r="P28" i="2"/>
  <c r="BO27" i="2"/>
  <c r="BM27" i="2"/>
  <c r="Z27" i="2"/>
  <c r="Y27" i="2"/>
  <c r="BP27" i="2" s="1"/>
  <c r="P27" i="2"/>
  <c r="BP26" i="2"/>
  <c r="BO26" i="2"/>
  <c r="BN26" i="2"/>
  <c r="BM26" i="2"/>
  <c r="Z26" i="2"/>
  <c r="Y26" i="2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Z30" i="2" l="1"/>
  <c r="BN24" i="2"/>
  <c r="Z67" i="2"/>
  <c r="Y67" i="2"/>
  <c r="Z106" i="2"/>
  <c r="Z212" i="2"/>
  <c r="BN210" i="2"/>
  <c r="BN227" i="2"/>
  <c r="BP227" i="2"/>
  <c r="BN237" i="2"/>
  <c r="BP237" i="2"/>
  <c r="Y238" i="2"/>
  <c r="BN243" i="2"/>
  <c r="BP243" i="2"/>
  <c r="Y80" i="2"/>
  <c r="Y119" i="2"/>
  <c r="BN116" i="2"/>
  <c r="BN117" i="2"/>
  <c r="Y134" i="2"/>
  <c r="BN268" i="2"/>
  <c r="BN269" i="2"/>
  <c r="BN270" i="2"/>
  <c r="Z158" i="2"/>
  <c r="Z118" i="2"/>
  <c r="BN94" i="2"/>
  <c r="BN55" i="2"/>
  <c r="BN266" i="2"/>
  <c r="BN221" i="2"/>
  <c r="BP221" i="2"/>
  <c r="Y222" i="2"/>
  <c r="Z194" i="2"/>
  <c r="Z152" i="2"/>
  <c r="Z100" i="2"/>
  <c r="BN95" i="2"/>
  <c r="Z90" i="2"/>
  <c r="BN83" i="2"/>
  <c r="BP83" i="2"/>
  <c r="Y84" i="2"/>
  <c r="Z79" i="2"/>
  <c r="BN77" i="2"/>
  <c r="BP77" i="2"/>
  <c r="Y79" i="2"/>
  <c r="Y58" i="2"/>
  <c r="BN56" i="2"/>
  <c r="Y49" i="2"/>
  <c r="Z49" i="2"/>
  <c r="Z43" i="2"/>
  <c r="X280" i="2"/>
  <c r="Z134" i="2"/>
  <c r="X276" i="2"/>
  <c r="X278" i="2"/>
  <c r="Y31" i="2"/>
  <c r="X277" i="2"/>
  <c r="X279" i="2" s="1"/>
  <c r="BP25" i="2"/>
  <c r="Z36" i="2"/>
  <c r="Y43" i="2"/>
  <c r="Y50" i="2"/>
  <c r="Z57" i="2"/>
  <c r="Z73" i="2"/>
  <c r="Y74" i="2"/>
  <c r="BN88" i="2"/>
  <c r="BN89" i="2"/>
  <c r="Y90" i="2"/>
  <c r="Y100" i="2"/>
  <c r="BN99" i="2"/>
  <c r="Y101" i="2"/>
  <c r="BN105" i="2"/>
  <c r="BN112" i="2"/>
  <c r="BN114" i="2"/>
  <c r="BN130" i="2"/>
  <c r="BP130" i="2"/>
  <c r="BP131" i="2"/>
  <c r="BN137" i="2"/>
  <c r="Z146" i="2"/>
  <c r="BP156" i="2"/>
  <c r="BP162" i="2"/>
  <c r="Y169" i="2"/>
  <c r="BP178" i="2"/>
  <c r="Y181" i="2"/>
  <c r="BP205" i="2"/>
  <c r="Y213" i="2"/>
  <c r="BN211" i="2"/>
  <c r="Y218" i="2"/>
  <c r="Y229" i="2"/>
  <c r="Y235" i="2"/>
  <c r="Y245" i="2"/>
  <c r="BN250" i="2"/>
  <c r="Y256" i="2"/>
  <c r="Z274" i="2"/>
  <c r="BP267" i="2"/>
  <c r="BP271" i="2"/>
  <c r="BP272" i="2"/>
  <c r="Y44" i="2"/>
  <c r="BP70" i="2"/>
  <c r="Y91" i="2"/>
  <c r="BP96" i="2"/>
  <c r="BP113" i="2"/>
  <c r="Y126" i="2"/>
  <c r="Y135" i="2"/>
  <c r="Z140" i="2"/>
  <c r="BN138" i="2"/>
  <c r="BN139" i="2"/>
  <c r="Y153" i="2"/>
  <c r="BN167" i="2"/>
  <c r="BP167" i="2"/>
  <c r="BN179" i="2"/>
  <c r="Y180" i="2"/>
  <c r="BN184" i="2"/>
  <c r="BP184" i="2"/>
  <c r="Y186" i="2"/>
  <c r="BN191" i="2"/>
  <c r="Y194" i="2"/>
  <c r="Y207" i="2"/>
  <c r="BN204" i="2"/>
  <c r="Z261" i="2"/>
  <c r="BN23" i="2"/>
  <c r="BN111" i="2"/>
  <c r="BN121" i="2"/>
  <c r="BN145" i="2"/>
  <c r="Y163" i="2"/>
  <c r="BN203" i="2"/>
  <c r="Y206" i="2"/>
  <c r="BN260" i="2"/>
  <c r="BN265" i="2"/>
  <c r="BN34" i="2"/>
  <c r="BN61" i="2"/>
  <c r="F9" i="2"/>
  <c r="BN41" i="2"/>
  <c r="BN66" i="2"/>
  <c r="Y127" i="2"/>
  <c r="BN151" i="2"/>
  <c r="Y195" i="2"/>
  <c r="Y212" i="2"/>
  <c r="H9" i="2"/>
  <c r="BP34" i="2"/>
  <c r="BN47" i="2"/>
  <c r="BP61" i="2"/>
  <c r="BN71" i="2"/>
  <c r="BN97" i="2"/>
  <c r="BP121" i="2"/>
  <c r="BN132" i="2"/>
  <c r="BN157" i="2"/>
  <c r="BN172" i="2"/>
  <c r="BP203" i="2"/>
  <c r="Y251" i="2"/>
  <c r="BN273" i="2"/>
  <c r="J9" i="2"/>
  <c r="BP41" i="2"/>
  <c r="BP66" i="2"/>
  <c r="Y106" i="2"/>
  <c r="Y140" i="2"/>
  <c r="BP151" i="2"/>
  <c r="Y164" i="2"/>
  <c r="A10" i="2"/>
  <c r="BP47" i="2"/>
  <c r="Y62" i="2"/>
  <c r="Y122" i="2"/>
  <c r="Y146" i="2"/>
  <c r="BP172" i="2"/>
  <c r="Y261" i="2"/>
  <c r="Y152" i="2"/>
  <c r="Y252" i="2"/>
  <c r="Y107" i="2"/>
  <c r="Y141" i="2"/>
  <c r="Y158" i="2"/>
  <c r="Y173" i="2"/>
  <c r="Y274" i="2"/>
  <c r="Y147" i="2"/>
  <c r="Y262" i="2"/>
  <c r="Y68" i="2"/>
  <c r="BN48" i="2"/>
  <c r="BN72" i="2"/>
  <c r="BN98" i="2"/>
  <c r="BN133" i="2"/>
  <c r="Y159" i="2"/>
  <c r="BN190" i="2"/>
  <c r="BN216" i="2"/>
  <c r="BN233" i="2"/>
  <c r="BN249" i="2"/>
  <c r="Y275" i="2"/>
  <c r="BN42" i="2"/>
  <c r="BN27" i="2"/>
  <c r="BN54" i="2"/>
  <c r="Y118" i="2"/>
  <c r="BN104" i="2"/>
  <c r="BN22" i="2"/>
  <c r="Y36" i="2"/>
  <c r="BN110" i="2"/>
  <c r="BN144" i="2"/>
  <c r="BP216" i="2"/>
  <c r="BP233" i="2"/>
  <c r="BN259" i="2"/>
  <c r="Y30" i="2"/>
  <c r="BP54" i="2"/>
  <c r="BN65" i="2"/>
  <c r="BP78" i="2"/>
  <c r="BN125" i="2"/>
  <c r="BN150" i="2"/>
  <c r="BN193" i="2"/>
  <c r="BP254" i="2"/>
  <c r="BN264" i="2"/>
  <c r="Y57" i="2"/>
  <c r="BP22" i="2"/>
  <c r="BN70" i="2"/>
  <c r="BP110" i="2"/>
  <c r="BN78" i="2"/>
  <c r="Z281" i="2" l="1"/>
  <c r="Y276" i="2"/>
  <c r="Y277" i="2"/>
  <c r="Y280" i="2"/>
  <c r="Y278" i="2"/>
  <c r="C289" i="2" l="1"/>
  <c r="Y279" i="2"/>
  <c r="A289" i="2" s="1"/>
  <c r="B289" i="2"/>
</calcChain>
</file>

<file path=xl/sharedStrings.xml><?xml version="1.0" encoding="utf-8"?>
<sst xmlns="http://schemas.openxmlformats.org/spreadsheetml/2006/main" count="1748" uniqueCount="416">
  <si>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</si>
  <si>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</si>
  <si>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</si>
  <si>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</si>
  <si>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</si>
  <si>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</si>
  <si>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</si>
  <si>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</si>
  <si>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</si>
  <si>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</si>
  <si>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</si>
  <si>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</si>
  <si>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</si>
  <si>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</si>
  <si>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</si>
  <si>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</si>
  <si>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</si>
  <si>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</si>
  <si>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</si>
  <si>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</si>
  <si>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</si>
  <si>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</si>
  <si>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</si>
  <si>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</si>
  <si>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</si>
  <si>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</si>
  <si>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</si>
  <si>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</si>
  <si>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</si>
  <si>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</si>
  <si>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</si>
  <si>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</si>
  <si>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</si>
  <si>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</si>
  <si>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</si>
  <si>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</si>
  <si>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</si>
  <si>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</si>
  <si>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</si>
  <si>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</si>
  <si>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</si>
  <si>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</si>
  <si>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</si>
  <si>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</si>
  <si>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</si>
  <si>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</si>
  <si>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</si>
  <si>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</si>
  <si>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</si>
  <si>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</si>
  <si>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</si>
  <si>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</si>
  <si>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</si>
  <si>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</si>
  <si>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</si>
  <si>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</si>
  <si>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</si>
  <si>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</si>
  <si>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</si>
  <si>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</si>
  <si>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</si>
  <si>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</si>
  <si>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</si>
  <si>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</si>
  <si>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</si>
  <si>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</si>
  <si>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</si>
  <si>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</si>
  <si>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</si>
  <si>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</si>
  <si>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</si>
  <si>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24.08.2026</t>
  </si>
  <si>
    <t>20.08.2026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</si>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</sst>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3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  <xf numFmtId="0" fontId="7" fillId="0" borderId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3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Excel Built-in Normal" xfId="52" xr:uid="{9E515354-C822-4B32-9F24-24A4A164D414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9"/>
  <sheetViews>
    <sheetView showGridLines="0" tabSelected="1" topLeftCell="A254" zoomScaleNormal="100" zoomScaleSheetLayoutView="100" workbookViewId="0">
      <selection activeCell="AA282" sqref="AA28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/>
      <c r="R5" s="292"/>
      <c r="T5" s="293" t="s">
        <v>3</v>
      </c>
      <c r="U5" s="294"/>
      <c r="V5" s="295" t="s">
        <v>383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 xml:space="preserve"> </v>
      </c>
      <c r="R6" s="298"/>
      <c r="T6" s="299" t="s">
        <v>5</v>
      </c>
      <c r="U6" s="300"/>
      <c r="V6" s="301" t="s">
        <v>73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/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>
        <v>46275</v>
      </c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>
        <v>0.375</v>
      </c>
      <c r="R10" s="319"/>
      <c r="U10" s="29" t="s">
        <v>12</v>
      </c>
      <c r="V10" s="320" t="s">
        <v>74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75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76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77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78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hidden="1" customHeight="1" x14ac:dyDescent="0.2">
      <c r="A19" s="353" t="s">
        <v>79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hidden="1" customHeight="1" x14ac:dyDescent="0.25">
      <c r="A20" s="354" t="s">
        <v>79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hidden="1" customHeight="1" x14ac:dyDescent="0.25">
      <c r="A21" s="355" t="s">
        <v>80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356">
        <v>4620207491713</v>
      </c>
      <c r="E24" s="35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356">
        <v>4620207491720</v>
      </c>
      <c r="E25" s="35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356">
        <v>4607111035912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356">
        <v>4607111035929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356">
        <v>4607111035882</v>
      </c>
      <c r="E28" s="35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356">
        <v>4607111035905</v>
      </c>
      <c r="E29" s="35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8"/>
      <c r="R29" s="358"/>
      <c r="S29" s="358"/>
      <c r="T29" s="35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0"/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1"/>
      <c r="P30" s="367" t="s">
        <v>40</v>
      </c>
      <c r="Q30" s="368"/>
      <c r="R30" s="368"/>
      <c r="S30" s="368"/>
      <c r="T30" s="368"/>
      <c r="U30" s="368"/>
      <c r="V30" s="36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0"/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1"/>
      <c r="P31" s="367" t="s">
        <v>40</v>
      </c>
      <c r="Q31" s="368"/>
      <c r="R31" s="368"/>
      <c r="S31" s="368"/>
      <c r="T31" s="368"/>
      <c r="U31" s="368"/>
      <c r="V31" s="36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4" t="s">
        <v>104</v>
      </c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65"/>
      <c r="AB32" s="65"/>
      <c r="AC32" s="82"/>
    </row>
    <row r="33" spans="1:68" ht="14.25" hidden="1" customHeight="1" x14ac:dyDescent="0.25">
      <c r="A33" s="355" t="s">
        <v>80</v>
      </c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  <c r="Z33" s="355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356">
        <v>4607111039019</v>
      </c>
      <c r="E34" s="35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8"/>
      <c r="R34" s="358"/>
      <c r="S34" s="358"/>
      <c r="T34" s="35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356">
        <v>4607111038708</v>
      </c>
      <c r="E35" s="35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8"/>
      <c r="R35" s="358"/>
      <c r="S35" s="358"/>
      <c r="T35" s="35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0"/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1"/>
      <c r="P36" s="367" t="s">
        <v>40</v>
      </c>
      <c r="Q36" s="368"/>
      <c r="R36" s="368"/>
      <c r="S36" s="368"/>
      <c r="T36" s="368"/>
      <c r="U36" s="368"/>
      <c r="V36" s="369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0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1"/>
      <c r="P37" s="367" t="s">
        <v>40</v>
      </c>
      <c r="Q37" s="368"/>
      <c r="R37" s="368"/>
      <c r="S37" s="368"/>
      <c r="T37" s="368"/>
      <c r="U37" s="368"/>
      <c r="V37" s="369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3" t="s">
        <v>45</v>
      </c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54"/>
      <c r="AB38" s="54"/>
      <c r="AC38" s="54"/>
    </row>
    <row r="39" spans="1:68" ht="16.5" hidden="1" customHeight="1" x14ac:dyDescent="0.25">
      <c r="A39" s="354" t="s">
        <v>110</v>
      </c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65"/>
      <c r="AB39" s="65"/>
      <c r="AC39" s="82"/>
    </row>
    <row r="40" spans="1:68" ht="14.25" hidden="1" customHeight="1" x14ac:dyDescent="0.25">
      <c r="A40" s="355" t="s">
        <v>111</v>
      </c>
      <c r="B40" s="355"/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56">
        <v>4607111036537</v>
      </c>
      <c r="E41" s="35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8"/>
      <c r="R41" s="358"/>
      <c r="S41" s="358"/>
      <c r="T41" s="359"/>
      <c r="U41" s="39" t="s">
        <v>46</v>
      </c>
      <c r="V41" s="39" t="s">
        <v>46</v>
      </c>
      <c r="W41" s="40" t="s">
        <v>39</v>
      </c>
      <c r="X41" s="58">
        <v>140</v>
      </c>
      <c r="Y41" s="55">
        <f>IFERROR(IF(X41="","",X41),"")</f>
        <v>140</v>
      </c>
      <c r="Z41" s="41">
        <f>IFERROR(IF(X41="","",X41*0.00941),"")</f>
        <v>1.3173999999999999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269.05200000000002</v>
      </c>
      <c r="BN41" s="81">
        <f>IFERROR(Y41*I41,"0")</f>
        <v>269.05200000000002</v>
      </c>
      <c r="BO41" s="81">
        <f>IFERROR(X41/J41,"0")</f>
        <v>1</v>
      </c>
      <c r="BP41" s="81">
        <f>IFERROR(Y41/J41,"0")</f>
        <v>1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56">
        <v>4607111036605</v>
      </c>
      <c r="E42" s="35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8"/>
      <c r="R42" s="358"/>
      <c r="S42" s="358"/>
      <c r="T42" s="359"/>
      <c r="U42" s="39" t="s">
        <v>46</v>
      </c>
      <c r="V42" s="39" t="s">
        <v>46</v>
      </c>
      <c r="W42" s="40" t="s">
        <v>39</v>
      </c>
      <c r="X42" s="58">
        <v>42</v>
      </c>
      <c r="Y42" s="55">
        <f>IFERROR(IF(X42="","",X42),"")</f>
        <v>42</v>
      </c>
      <c r="Z42" s="41">
        <f>IFERROR(IF(X42="","",X42*0.00941),"")</f>
        <v>0.39522000000000002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80.715599999999995</v>
      </c>
      <c r="BN42" s="81">
        <f>IFERROR(Y42*I42,"0")</f>
        <v>80.715599999999995</v>
      </c>
      <c r="BO42" s="81">
        <f>IFERROR(X42/J42,"0")</f>
        <v>0.3</v>
      </c>
      <c r="BP42" s="81">
        <f>IFERROR(Y42/J42,"0")</f>
        <v>0.3</v>
      </c>
    </row>
    <row r="43" spans="1:68" x14ac:dyDescent="0.2">
      <c r="A43" s="370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1"/>
      <c r="P43" s="367" t="s">
        <v>40</v>
      </c>
      <c r="Q43" s="368"/>
      <c r="R43" s="368"/>
      <c r="S43" s="368"/>
      <c r="T43" s="368"/>
      <c r="U43" s="368"/>
      <c r="V43" s="369"/>
      <c r="W43" s="42" t="s">
        <v>39</v>
      </c>
      <c r="X43" s="43">
        <f>IFERROR(SUM(X41:X42),"0")</f>
        <v>182</v>
      </c>
      <c r="Y43" s="43">
        <f>IFERROR(SUM(Y41:Y42),"0")</f>
        <v>182</v>
      </c>
      <c r="Z43" s="43">
        <f>IFERROR(IF(Z41="",0,Z41),"0")+IFERROR(IF(Z42="",0,Z42),"0")</f>
        <v>1.7126199999999998</v>
      </c>
      <c r="AA43" s="67"/>
      <c r="AB43" s="67"/>
      <c r="AC43" s="67"/>
    </row>
    <row r="44" spans="1:68" x14ac:dyDescent="0.2">
      <c r="A44" s="370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1"/>
      <c r="P44" s="367" t="s">
        <v>40</v>
      </c>
      <c r="Q44" s="368"/>
      <c r="R44" s="368"/>
      <c r="S44" s="368"/>
      <c r="T44" s="368"/>
      <c r="U44" s="368"/>
      <c r="V44" s="369"/>
      <c r="W44" s="42" t="s">
        <v>0</v>
      </c>
      <c r="X44" s="43">
        <f>IFERROR(SUMPRODUCT(X41:X42*H41:H42),"0")</f>
        <v>273</v>
      </c>
      <c r="Y44" s="43">
        <f>IFERROR(SUMPRODUCT(Y41:Y42*H41:H42),"0")</f>
        <v>273</v>
      </c>
      <c r="Z44" s="42"/>
      <c r="AA44" s="67"/>
      <c r="AB44" s="67"/>
      <c r="AC44" s="67"/>
    </row>
    <row r="45" spans="1:68" ht="16.5" hidden="1" customHeight="1" x14ac:dyDescent="0.25">
      <c r="A45" s="354" t="s">
        <v>121</v>
      </c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65"/>
      <c r="AB45" s="65"/>
      <c r="AC45" s="82"/>
    </row>
    <row r="46" spans="1:68" ht="14.25" hidden="1" customHeight="1" x14ac:dyDescent="0.25">
      <c r="A46" s="355" t="s">
        <v>80</v>
      </c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66"/>
      <c r="AB46" s="66"/>
      <c r="AC46" s="83"/>
    </row>
    <row r="47" spans="1:68" ht="27" hidden="1" customHeight="1" x14ac:dyDescent="0.25">
      <c r="A47" s="63" t="s">
        <v>122</v>
      </c>
      <c r="B47" s="63" t="s">
        <v>123</v>
      </c>
      <c r="C47" s="36">
        <v>4301071090</v>
      </c>
      <c r="D47" s="356">
        <v>4620207490075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7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125</v>
      </c>
      <c r="B48" s="63" t="s">
        <v>126</v>
      </c>
      <c r="C48" s="36">
        <v>4301071092</v>
      </c>
      <c r="D48" s="356">
        <v>4620207490174</v>
      </c>
      <c r="E48" s="35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7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8"/>
      <c r="R48" s="358"/>
      <c r="S48" s="358"/>
      <c r="T48" s="35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70"/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1"/>
      <c r="P49" s="367" t="s">
        <v>40</v>
      </c>
      <c r="Q49" s="368"/>
      <c r="R49" s="368"/>
      <c r="S49" s="368"/>
      <c r="T49" s="368"/>
      <c r="U49" s="368"/>
      <c r="V49" s="369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0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1"/>
      <c r="P50" s="367" t="s">
        <v>40</v>
      </c>
      <c r="Q50" s="368"/>
      <c r="R50" s="368"/>
      <c r="S50" s="368"/>
      <c r="T50" s="368"/>
      <c r="U50" s="368"/>
      <c r="V50" s="369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54" t="s">
        <v>128</v>
      </c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65"/>
      <c r="AB51" s="65"/>
      <c r="AC51" s="82"/>
    </row>
    <row r="52" spans="1:68" ht="14.25" hidden="1" customHeight="1" x14ac:dyDescent="0.25">
      <c r="A52" s="355" t="s">
        <v>80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66"/>
      <c r="AB52" s="66"/>
      <c r="AC52" s="83"/>
    </row>
    <row r="53" spans="1:68" ht="27" hidden="1" customHeight="1" x14ac:dyDescent="0.25">
      <c r="A53" s="63" t="s">
        <v>129</v>
      </c>
      <c r="B53" s="63" t="s">
        <v>130</v>
      </c>
      <c r="C53" s="36">
        <v>4301071044</v>
      </c>
      <c r="D53" s="356">
        <v>4607111039385</v>
      </c>
      <c r="E53" s="35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8"/>
      <c r="R53" s="358"/>
      <c r="S53" s="358"/>
      <c r="T53" s="35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4301071031</v>
      </c>
      <c r="D54" s="356">
        <v>4607111038982</v>
      </c>
      <c r="E54" s="35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7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356">
        <v>4607111039354</v>
      </c>
      <c r="E55" s="35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>
        <v>24</v>
      </c>
      <c r="Y55" s="55">
        <f>IFERROR(IF(X55="","",X55),"")</f>
        <v>24</v>
      </c>
      <c r="Z55" s="41">
        <f>IFERROR(IF(X55="","",X55*0.0155),"")</f>
        <v>0.372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161.2704</v>
      </c>
      <c r="BN55" s="81">
        <f>IFERROR(Y55*I55,"0")</f>
        <v>161.2704</v>
      </c>
      <c r="BO55" s="81">
        <f>IFERROR(X55/J55,"0")</f>
        <v>0.2857142857142857</v>
      </c>
      <c r="BP55" s="81">
        <f>IFERROR(Y55/J55,"0")</f>
        <v>0.2857142857142857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56">
        <v>4607111039330</v>
      </c>
      <c r="E56" s="35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8"/>
      <c r="R56" s="358"/>
      <c r="S56" s="358"/>
      <c r="T56" s="359"/>
      <c r="U56" s="39" t="s">
        <v>46</v>
      </c>
      <c r="V56" s="39" t="s">
        <v>46</v>
      </c>
      <c r="W56" s="40" t="s">
        <v>39</v>
      </c>
      <c r="X56" s="58">
        <v>12</v>
      </c>
      <c r="Y56" s="55">
        <f>IFERROR(IF(X56="","",X56),"")</f>
        <v>12</v>
      </c>
      <c r="Z56" s="41">
        <f>IFERROR(IF(X56="","",X56*0.0155),"")</f>
        <v>0.186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87.6</v>
      </c>
      <c r="BN56" s="81">
        <f>IFERROR(Y56*I56,"0")</f>
        <v>87.6</v>
      </c>
      <c r="BO56" s="81">
        <f>IFERROR(X56/J56,"0")</f>
        <v>0.14285714285714285</v>
      </c>
      <c r="BP56" s="81">
        <f>IFERROR(Y56/J56,"0")</f>
        <v>0.14285714285714285</v>
      </c>
    </row>
    <row r="57" spans="1:68" x14ac:dyDescent="0.2">
      <c r="A57" s="370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1"/>
      <c r="P57" s="367" t="s">
        <v>40</v>
      </c>
      <c r="Q57" s="368"/>
      <c r="R57" s="368"/>
      <c r="S57" s="368"/>
      <c r="T57" s="368"/>
      <c r="U57" s="368"/>
      <c r="V57" s="369"/>
      <c r="W57" s="42" t="s">
        <v>39</v>
      </c>
      <c r="X57" s="43">
        <f>IFERROR(SUM(X53:X56),"0")</f>
        <v>36</v>
      </c>
      <c r="Y57" s="43">
        <f>IFERROR(SUM(Y53:Y56),"0")</f>
        <v>36</v>
      </c>
      <c r="Z57" s="43">
        <f>IFERROR(IF(Z53="",0,Z53),"0")+IFERROR(IF(Z54="",0,Z54),"0")+IFERROR(IF(Z55="",0,Z55),"0")+IFERROR(IF(Z56="",0,Z56),"0")</f>
        <v>0.55800000000000005</v>
      </c>
      <c r="AA57" s="67"/>
      <c r="AB57" s="67"/>
      <c r="AC57" s="67"/>
    </row>
    <row r="58" spans="1:68" x14ac:dyDescent="0.2">
      <c r="A58" s="370"/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1"/>
      <c r="P58" s="367" t="s">
        <v>40</v>
      </c>
      <c r="Q58" s="368"/>
      <c r="R58" s="368"/>
      <c r="S58" s="368"/>
      <c r="T58" s="368"/>
      <c r="U58" s="368"/>
      <c r="V58" s="369"/>
      <c r="W58" s="42" t="s">
        <v>0</v>
      </c>
      <c r="X58" s="43">
        <f>IFERROR(SUMPRODUCT(X53:X56*H53:H56),"0")</f>
        <v>237.60000000000002</v>
      </c>
      <c r="Y58" s="43">
        <f>IFERROR(SUMPRODUCT(Y53:Y56*H53:H56),"0")</f>
        <v>237.60000000000002</v>
      </c>
      <c r="Z58" s="42"/>
      <c r="AA58" s="67"/>
      <c r="AB58" s="67"/>
      <c r="AC58" s="67"/>
    </row>
    <row r="59" spans="1:68" ht="16.5" hidden="1" customHeight="1" x14ac:dyDescent="0.25">
      <c r="A59" s="354" t="s">
        <v>139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65"/>
      <c r="AB59" s="65"/>
      <c r="AC59" s="82"/>
    </row>
    <row r="60" spans="1:68" ht="14.25" hidden="1" customHeight="1" x14ac:dyDescent="0.25">
      <c r="A60" s="355" t="s">
        <v>111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356">
        <v>4607111039712</v>
      </c>
      <c r="E61" s="35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8"/>
      <c r="R61" s="358"/>
      <c r="S61" s="358"/>
      <c r="T61" s="35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0"/>
      <c r="B62" s="370"/>
      <c r="C62" s="370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1"/>
      <c r="P62" s="367" t="s">
        <v>40</v>
      </c>
      <c r="Q62" s="368"/>
      <c r="R62" s="368"/>
      <c r="S62" s="368"/>
      <c r="T62" s="368"/>
      <c r="U62" s="368"/>
      <c r="V62" s="369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0"/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1"/>
      <c r="P63" s="367" t="s">
        <v>40</v>
      </c>
      <c r="Q63" s="368"/>
      <c r="R63" s="368"/>
      <c r="S63" s="368"/>
      <c r="T63" s="368"/>
      <c r="U63" s="368"/>
      <c r="V63" s="369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5" t="s">
        <v>143</v>
      </c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4301136018</v>
      </c>
      <c r="D65" s="356">
        <v>4607111037008</v>
      </c>
      <c r="E65" s="356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58"/>
      <c r="R65" s="358"/>
      <c r="S65" s="358"/>
      <c r="T65" s="35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147</v>
      </c>
      <c r="B66" s="63" t="s">
        <v>148</v>
      </c>
      <c r="C66" s="36">
        <v>4301136015</v>
      </c>
      <c r="D66" s="356">
        <v>4607111037398</v>
      </c>
      <c r="E66" s="356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58"/>
      <c r="R66" s="358"/>
      <c r="S66" s="358"/>
      <c r="T66" s="359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146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0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1"/>
      <c r="P67" s="367" t="s">
        <v>40</v>
      </c>
      <c r="Q67" s="368"/>
      <c r="R67" s="368"/>
      <c r="S67" s="368"/>
      <c r="T67" s="368"/>
      <c r="U67" s="368"/>
      <c r="V67" s="369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0"/>
      <c r="B68" s="370"/>
      <c r="C68" s="370"/>
      <c r="D68" s="370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1"/>
      <c r="P68" s="367" t="s">
        <v>40</v>
      </c>
      <c r="Q68" s="368"/>
      <c r="R68" s="368"/>
      <c r="S68" s="368"/>
      <c r="T68" s="368"/>
      <c r="U68" s="368"/>
      <c r="V68" s="369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55" t="s">
        <v>149</v>
      </c>
      <c r="B69" s="355"/>
      <c r="C69" s="355"/>
      <c r="D69" s="355"/>
      <c r="E69" s="355"/>
      <c r="F69" s="355"/>
      <c r="G69" s="355"/>
      <c r="H69" s="355"/>
      <c r="I69" s="355"/>
      <c r="J69" s="355"/>
      <c r="K69" s="355"/>
      <c r="L69" s="355"/>
      <c r="M69" s="355"/>
      <c r="N69" s="355"/>
      <c r="O69" s="355"/>
      <c r="P69" s="355"/>
      <c r="Q69" s="355"/>
      <c r="R69" s="355"/>
      <c r="S69" s="355"/>
      <c r="T69" s="355"/>
      <c r="U69" s="355"/>
      <c r="V69" s="355"/>
      <c r="W69" s="355"/>
      <c r="X69" s="355"/>
      <c r="Y69" s="355"/>
      <c r="Z69" s="355"/>
      <c r="AA69" s="66"/>
      <c r="AB69" s="66"/>
      <c r="AC69" s="83"/>
    </row>
    <row r="70" spans="1:68" ht="27" hidden="1" customHeight="1" x14ac:dyDescent="0.25">
      <c r="A70" s="63" t="s">
        <v>150</v>
      </c>
      <c r="B70" s="63" t="s">
        <v>151</v>
      </c>
      <c r="C70" s="36">
        <v>4301135664</v>
      </c>
      <c r="D70" s="356">
        <v>4607111039705</v>
      </c>
      <c r="E70" s="35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58"/>
      <c r="R70" s="358"/>
      <c r="S70" s="358"/>
      <c r="T70" s="35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146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152</v>
      </c>
      <c r="B71" s="63" t="s">
        <v>153</v>
      </c>
      <c r="C71" s="36">
        <v>4301135665</v>
      </c>
      <c r="D71" s="356">
        <v>4607111039729</v>
      </c>
      <c r="E71" s="35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58"/>
      <c r="R71" s="358"/>
      <c r="S71" s="358"/>
      <c r="T71" s="35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155</v>
      </c>
      <c r="B72" s="63" t="s">
        <v>156</v>
      </c>
      <c r="C72" s="36">
        <v>4301135702</v>
      </c>
      <c r="D72" s="356">
        <v>4620207490228</v>
      </c>
      <c r="E72" s="356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116</v>
      </c>
      <c r="L72" s="37" t="s">
        <v>86</v>
      </c>
      <c r="M72" s="38" t="s">
        <v>84</v>
      </c>
      <c r="N72" s="38"/>
      <c r="O72" s="37">
        <v>365</v>
      </c>
      <c r="P72" s="38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58"/>
      <c r="R72" s="358"/>
      <c r="S72" s="358"/>
      <c r="T72" s="359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154</v>
      </c>
      <c r="AG72" s="81"/>
      <c r="AJ72" s="87" t="s">
        <v>87</v>
      </c>
      <c r="AK72" s="87">
        <v>1</v>
      </c>
      <c r="BB72" s="136" t="s">
        <v>115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idden="1" x14ac:dyDescent="0.2">
      <c r="A73" s="370"/>
      <c r="B73" s="370"/>
      <c r="C73" s="370"/>
      <c r="D73" s="370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1"/>
      <c r="P73" s="367" t="s">
        <v>40</v>
      </c>
      <c r="Q73" s="368"/>
      <c r="R73" s="368"/>
      <c r="S73" s="368"/>
      <c r="T73" s="368"/>
      <c r="U73" s="368"/>
      <c r="V73" s="369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70"/>
      <c r="B74" s="370"/>
      <c r="C74" s="370"/>
      <c r="D74" s="370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1"/>
      <c r="P74" s="367" t="s">
        <v>40</v>
      </c>
      <c r="Q74" s="368"/>
      <c r="R74" s="368"/>
      <c r="S74" s="368"/>
      <c r="T74" s="368"/>
      <c r="U74" s="368"/>
      <c r="V74" s="369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54" t="s">
        <v>157</v>
      </c>
      <c r="B75" s="354"/>
      <c r="C75" s="354"/>
      <c r="D75" s="354"/>
      <c r="E75" s="354"/>
      <c r="F75" s="354"/>
      <c r="G75" s="354"/>
      <c r="H75" s="354"/>
      <c r="I75" s="354"/>
      <c r="J75" s="354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  <c r="Z75" s="354"/>
      <c r="AA75" s="65"/>
      <c r="AB75" s="65"/>
      <c r="AC75" s="82"/>
    </row>
    <row r="76" spans="1:68" ht="14.25" hidden="1" customHeight="1" x14ac:dyDescent="0.25">
      <c r="A76" s="355" t="s">
        <v>80</v>
      </c>
      <c r="B76" s="355"/>
      <c r="C76" s="355"/>
      <c r="D76" s="355"/>
      <c r="E76" s="355"/>
      <c r="F76" s="355"/>
      <c r="G76" s="355"/>
      <c r="H76" s="355"/>
      <c r="I76" s="355"/>
      <c r="J76" s="355"/>
      <c r="K76" s="355"/>
      <c r="L76" s="355"/>
      <c r="M76" s="355"/>
      <c r="N76" s="355"/>
      <c r="O76" s="355"/>
      <c r="P76" s="355"/>
      <c r="Q76" s="355"/>
      <c r="R76" s="355"/>
      <c r="S76" s="355"/>
      <c r="T76" s="355"/>
      <c r="U76" s="355"/>
      <c r="V76" s="355"/>
      <c r="W76" s="355"/>
      <c r="X76" s="355"/>
      <c r="Y76" s="355"/>
      <c r="Z76" s="355"/>
      <c r="AA76" s="66"/>
      <c r="AB76" s="66"/>
      <c r="AC76" s="83"/>
    </row>
    <row r="77" spans="1:68" ht="27" hidden="1" customHeight="1" x14ac:dyDescent="0.25">
      <c r="A77" s="63" t="s">
        <v>158</v>
      </c>
      <c r="B77" s="63" t="s">
        <v>159</v>
      </c>
      <c r="C77" s="36">
        <v>4301070977</v>
      </c>
      <c r="D77" s="356">
        <v>4607111037411</v>
      </c>
      <c r="E77" s="356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161</v>
      </c>
      <c r="L77" s="37" t="s">
        <v>86</v>
      </c>
      <c r="M77" s="38" t="s">
        <v>84</v>
      </c>
      <c r="N77" s="38"/>
      <c r="O77" s="37">
        <v>180</v>
      </c>
      <c r="P77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58"/>
      <c r="R77" s="358"/>
      <c r="S77" s="358"/>
      <c r="T77" s="35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87</v>
      </c>
      <c r="AK77" s="87">
        <v>1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162</v>
      </c>
      <c r="B78" s="63" t="s">
        <v>163</v>
      </c>
      <c r="C78" s="36">
        <v>4301070981</v>
      </c>
      <c r="D78" s="356">
        <v>4607111036728</v>
      </c>
      <c r="E78" s="356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85</v>
      </c>
      <c r="L78" s="37" t="s">
        <v>117</v>
      </c>
      <c r="M78" s="38" t="s">
        <v>84</v>
      </c>
      <c r="N78" s="38"/>
      <c r="O78" s="37">
        <v>180</v>
      </c>
      <c r="P78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58"/>
      <c r="R78" s="358"/>
      <c r="S78" s="358"/>
      <c r="T78" s="359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160</v>
      </c>
      <c r="AG78" s="81"/>
      <c r="AJ78" s="87" t="s">
        <v>118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70"/>
      <c r="B79" s="370"/>
      <c r="C79" s="370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1"/>
      <c r="P79" s="367" t="s">
        <v>40</v>
      </c>
      <c r="Q79" s="368"/>
      <c r="R79" s="368"/>
      <c r="S79" s="368"/>
      <c r="T79" s="368"/>
      <c r="U79" s="368"/>
      <c r="V79" s="369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70"/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1"/>
      <c r="P80" s="367" t="s">
        <v>40</v>
      </c>
      <c r="Q80" s="368"/>
      <c r="R80" s="368"/>
      <c r="S80" s="368"/>
      <c r="T80" s="368"/>
      <c r="U80" s="368"/>
      <c r="V80" s="369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54" t="s">
        <v>164</v>
      </c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  <c r="AA81" s="65"/>
      <c r="AB81" s="65"/>
      <c r="AC81" s="82"/>
    </row>
    <row r="82" spans="1:68" ht="14.25" hidden="1" customHeight="1" x14ac:dyDescent="0.25">
      <c r="A82" s="355" t="s">
        <v>149</v>
      </c>
      <c r="B82" s="355"/>
      <c r="C82" s="355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5"/>
      <c r="P82" s="355"/>
      <c r="Q82" s="355"/>
      <c r="R82" s="355"/>
      <c r="S82" s="355"/>
      <c r="T82" s="355"/>
      <c r="U82" s="355"/>
      <c r="V82" s="355"/>
      <c r="W82" s="355"/>
      <c r="X82" s="355"/>
      <c r="Y82" s="355"/>
      <c r="Z82" s="355"/>
      <c r="AA82" s="66"/>
      <c r="AB82" s="66"/>
      <c r="AC82" s="83"/>
    </row>
    <row r="83" spans="1:68" ht="27" customHeight="1" x14ac:dyDescent="0.25">
      <c r="A83" s="63" t="s">
        <v>165</v>
      </c>
      <c r="B83" s="63" t="s">
        <v>166</v>
      </c>
      <c r="C83" s="36">
        <v>4301135574</v>
      </c>
      <c r="D83" s="356">
        <v>4607111033659</v>
      </c>
      <c r="E83" s="356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116</v>
      </c>
      <c r="L83" s="37" t="s">
        <v>117</v>
      </c>
      <c r="M83" s="38" t="s">
        <v>84</v>
      </c>
      <c r="N83" s="38"/>
      <c r="O83" s="37">
        <v>180</v>
      </c>
      <c r="P83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58"/>
      <c r="R83" s="358"/>
      <c r="S83" s="358"/>
      <c r="T83" s="359"/>
      <c r="U83" s="39" t="s">
        <v>46</v>
      </c>
      <c r="V83" s="39" t="s">
        <v>46</v>
      </c>
      <c r="W83" s="40" t="s">
        <v>39</v>
      </c>
      <c r="X83" s="58">
        <v>28</v>
      </c>
      <c r="Y83" s="55">
        <f>IFERROR(IF(X83="","",X83),"")</f>
        <v>28</v>
      </c>
      <c r="Z83" s="41">
        <f>IFERROR(IF(X83="","",X83*0.01788),"")</f>
        <v>0.50063999999999997</v>
      </c>
      <c r="AA83" s="68" t="s">
        <v>46</v>
      </c>
      <c r="AB83" s="69" t="s">
        <v>46</v>
      </c>
      <c r="AC83" s="141" t="s">
        <v>167</v>
      </c>
      <c r="AG83" s="81"/>
      <c r="AJ83" s="87" t="s">
        <v>118</v>
      </c>
      <c r="AK83" s="87">
        <v>14</v>
      </c>
      <c r="BB83" s="142" t="s">
        <v>115</v>
      </c>
      <c r="BM83" s="81">
        <f>IFERROR(X83*I83,"0")</f>
        <v>120.50080000000001</v>
      </c>
      <c r="BN83" s="81">
        <f>IFERROR(Y83*I83,"0")</f>
        <v>120.50080000000001</v>
      </c>
      <c r="BO83" s="81">
        <f>IFERROR(X83/J83,"0")</f>
        <v>0.4</v>
      </c>
      <c r="BP83" s="81">
        <f>IFERROR(Y83/J83,"0")</f>
        <v>0.4</v>
      </c>
    </row>
    <row r="84" spans="1:68" x14ac:dyDescent="0.2">
      <c r="A84" s="370"/>
      <c r="B84" s="370"/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1"/>
      <c r="P84" s="367" t="s">
        <v>40</v>
      </c>
      <c r="Q84" s="368"/>
      <c r="R84" s="368"/>
      <c r="S84" s="368"/>
      <c r="T84" s="368"/>
      <c r="U84" s="368"/>
      <c r="V84" s="369"/>
      <c r="W84" s="42" t="s">
        <v>39</v>
      </c>
      <c r="X84" s="43">
        <f>IFERROR(SUM(X83:X83),"0")</f>
        <v>28</v>
      </c>
      <c r="Y84" s="43">
        <f>IFERROR(SUM(Y83:Y83),"0")</f>
        <v>28</v>
      </c>
      <c r="Z84" s="43">
        <f>IFERROR(IF(Z83="",0,Z83),"0")</f>
        <v>0.50063999999999997</v>
      </c>
      <c r="AA84" s="67"/>
      <c r="AB84" s="67"/>
      <c r="AC84" s="67"/>
    </row>
    <row r="85" spans="1:68" x14ac:dyDescent="0.2">
      <c r="A85" s="370"/>
      <c r="B85" s="370"/>
      <c r="C85" s="370"/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1"/>
      <c r="P85" s="367" t="s">
        <v>40</v>
      </c>
      <c r="Q85" s="368"/>
      <c r="R85" s="368"/>
      <c r="S85" s="368"/>
      <c r="T85" s="368"/>
      <c r="U85" s="368"/>
      <c r="V85" s="369"/>
      <c r="W85" s="42" t="s">
        <v>0</v>
      </c>
      <c r="X85" s="43">
        <f>IFERROR(SUMPRODUCT(X83:X83*H83:H83),"0")</f>
        <v>100.8</v>
      </c>
      <c r="Y85" s="43">
        <f>IFERROR(SUMPRODUCT(Y83:Y83*H83:H83),"0")</f>
        <v>100.8</v>
      </c>
      <c r="Z85" s="42"/>
      <c r="AA85" s="67"/>
      <c r="AB85" s="67"/>
      <c r="AC85" s="67"/>
    </row>
    <row r="86" spans="1:68" ht="16.5" hidden="1" customHeight="1" x14ac:dyDescent="0.25">
      <c r="A86" s="354" t="s">
        <v>168</v>
      </c>
      <c r="B86" s="354"/>
      <c r="C86" s="354"/>
      <c r="D86" s="354"/>
      <c r="E86" s="354"/>
      <c r="F86" s="354"/>
      <c r="G86" s="354"/>
      <c r="H86" s="354"/>
      <c r="I86" s="354"/>
      <c r="J86" s="354"/>
      <c r="K86" s="354"/>
      <c r="L86" s="354"/>
      <c r="M86" s="354"/>
      <c r="N86" s="354"/>
      <c r="O86" s="354"/>
      <c r="P86" s="354"/>
      <c r="Q86" s="354"/>
      <c r="R86" s="354"/>
      <c r="S86" s="354"/>
      <c r="T86" s="354"/>
      <c r="U86" s="354"/>
      <c r="V86" s="354"/>
      <c r="W86" s="354"/>
      <c r="X86" s="354"/>
      <c r="Y86" s="354"/>
      <c r="Z86" s="354"/>
      <c r="AA86" s="65"/>
      <c r="AB86" s="65"/>
      <c r="AC86" s="82"/>
    </row>
    <row r="87" spans="1:68" ht="14.25" hidden="1" customHeight="1" x14ac:dyDescent="0.25">
      <c r="A87" s="355" t="s">
        <v>169</v>
      </c>
      <c r="B87" s="355"/>
      <c r="C87" s="355"/>
      <c r="D87" s="355"/>
      <c r="E87" s="355"/>
      <c r="F87" s="355"/>
      <c r="G87" s="355"/>
      <c r="H87" s="355"/>
      <c r="I87" s="355"/>
      <c r="J87" s="355"/>
      <c r="K87" s="355"/>
      <c r="L87" s="355"/>
      <c r="M87" s="355"/>
      <c r="N87" s="355"/>
      <c r="O87" s="355"/>
      <c r="P87" s="355"/>
      <c r="Q87" s="355"/>
      <c r="R87" s="355"/>
      <c r="S87" s="355"/>
      <c r="T87" s="355"/>
      <c r="U87" s="355"/>
      <c r="V87" s="355"/>
      <c r="W87" s="355"/>
      <c r="X87" s="355"/>
      <c r="Y87" s="355"/>
      <c r="Z87" s="355"/>
      <c r="AA87" s="66"/>
      <c r="AB87" s="66"/>
      <c r="AC87" s="83"/>
    </row>
    <row r="88" spans="1:68" ht="27" customHeight="1" x14ac:dyDescent="0.25">
      <c r="A88" s="63" t="s">
        <v>170</v>
      </c>
      <c r="B88" s="63" t="s">
        <v>171</v>
      </c>
      <c r="C88" s="36">
        <v>4301131047</v>
      </c>
      <c r="D88" s="356">
        <v>4607111034120</v>
      </c>
      <c r="E88" s="35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58"/>
      <c r="R88" s="358"/>
      <c r="S88" s="358"/>
      <c r="T88" s="359"/>
      <c r="U88" s="39" t="s">
        <v>46</v>
      </c>
      <c r="V88" s="39" t="s">
        <v>46</v>
      </c>
      <c r="W88" s="40" t="s">
        <v>39</v>
      </c>
      <c r="X88" s="58">
        <v>84</v>
      </c>
      <c r="Y88" s="55">
        <f>IFERROR(IF(X88="","",X88),"")</f>
        <v>84</v>
      </c>
      <c r="Z88" s="41">
        <f>IFERROR(IF(X88="","",X88*0.01788),"")</f>
        <v>1.5019199999999999</v>
      </c>
      <c r="AA88" s="68" t="s">
        <v>46</v>
      </c>
      <c r="AB88" s="69" t="s">
        <v>46</v>
      </c>
      <c r="AC88" s="143" t="s">
        <v>172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361.50240000000002</v>
      </c>
      <c r="BN88" s="81">
        <f>IFERROR(Y88*I88,"0")</f>
        <v>361.50240000000002</v>
      </c>
      <c r="BO88" s="81">
        <f>IFERROR(X88/J88,"0")</f>
        <v>1.2</v>
      </c>
      <c r="BP88" s="81">
        <f>IFERROR(Y88/J88,"0")</f>
        <v>1.2</v>
      </c>
    </row>
    <row r="89" spans="1:68" ht="27" customHeight="1" x14ac:dyDescent="0.25">
      <c r="A89" s="63" t="s">
        <v>173</v>
      </c>
      <c r="B89" s="63" t="s">
        <v>174</v>
      </c>
      <c r="C89" s="36">
        <v>4301131046</v>
      </c>
      <c r="D89" s="356">
        <v>4607111034137</v>
      </c>
      <c r="E89" s="356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116</v>
      </c>
      <c r="L89" s="37" t="s">
        <v>117</v>
      </c>
      <c r="M89" s="38" t="s">
        <v>84</v>
      </c>
      <c r="N89" s="38"/>
      <c r="O89" s="37">
        <v>180</v>
      </c>
      <c r="P89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58"/>
      <c r="R89" s="358"/>
      <c r="S89" s="358"/>
      <c r="T89" s="359"/>
      <c r="U89" s="39" t="s">
        <v>46</v>
      </c>
      <c r="V89" s="39" t="s">
        <v>46</v>
      </c>
      <c r="W89" s="40" t="s">
        <v>39</v>
      </c>
      <c r="X89" s="58">
        <v>42</v>
      </c>
      <c r="Y89" s="55">
        <f>IFERROR(IF(X89="","",X89),"")</f>
        <v>42</v>
      </c>
      <c r="Z89" s="41">
        <f>IFERROR(IF(X89="","",X89*0.01788),"")</f>
        <v>0.75095999999999996</v>
      </c>
      <c r="AA89" s="68" t="s">
        <v>46</v>
      </c>
      <c r="AB89" s="69" t="s">
        <v>46</v>
      </c>
      <c r="AC89" s="145" t="s">
        <v>175</v>
      </c>
      <c r="AG89" s="81"/>
      <c r="AJ89" s="87" t="s">
        <v>118</v>
      </c>
      <c r="AK89" s="87">
        <v>14</v>
      </c>
      <c r="BB89" s="146" t="s">
        <v>115</v>
      </c>
      <c r="BM89" s="81">
        <f>IFERROR(X89*I89,"0")</f>
        <v>180.75120000000001</v>
      </c>
      <c r="BN89" s="81">
        <f>IFERROR(Y89*I89,"0")</f>
        <v>180.75120000000001</v>
      </c>
      <c r="BO89" s="81">
        <f>IFERROR(X89/J89,"0")</f>
        <v>0.6</v>
      </c>
      <c r="BP89" s="81">
        <f>IFERROR(Y89/J89,"0")</f>
        <v>0.6</v>
      </c>
    </row>
    <row r="90" spans="1:68" x14ac:dyDescent="0.2">
      <c r="A90" s="370"/>
      <c r="B90" s="370"/>
      <c r="C90" s="370"/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1"/>
      <c r="P90" s="367" t="s">
        <v>40</v>
      </c>
      <c r="Q90" s="368"/>
      <c r="R90" s="368"/>
      <c r="S90" s="368"/>
      <c r="T90" s="368"/>
      <c r="U90" s="368"/>
      <c r="V90" s="369"/>
      <c r="W90" s="42" t="s">
        <v>39</v>
      </c>
      <c r="X90" s="43">
        <f>IFERROR(SUM(X88:X89),"0")</f>
        <v>126</v>
      </c>
      <c r="Y90" s="43">
        <f>IFERROR(SUM(Y88:Y89),"0")</f>
        <v>126</v>
      </c>
      <c r="Z90" s="43">
        <f>IFERROR(IF(Z88="",0,Z88),"0")+IFERROR(IF(Z89="",0,Z89),"0")</f>
        <v>2.2528799999999998</v>
      </c>
      <c r="AA90" s="67"/>
      <c r="AB90" s="67"/>
      <c r="AC90" s="67"/>
    </row>
    <row r="91" spans="1:68" x14ac:dyDescent="0.2">
      <c r="A91" s="370"/>
      <c r="B91" s="370"/>
      <c r="C91" s="370"/>
      <c r="D91" s="370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1"/>
      <c r="P91" s="367" t="s">
        <v>40</v>
      </c>
      <c r="Q91" s="368"/>
      <c r="R91" s="368"/>
      <c r="S91" s="368"/>
      <c r="T91" s="368"/>
      <c r="U91" s="368"/>
      <c r="V91" s="369"/>
      <c r="W91" s="42" t="s">
        <v>0</v>
      </c>
      <c r="X91" s="43">
        <f>IFERROR(SUMPRODUCT(X88:X89*H88:H89),"0")</f>
        <v>453.6</v>
      </c>
      <c r="Y91" s="43">
        <f>IFERROR(SUMPRODUCT(Y88:Y89*H88:H89),"0")</f>
        <v>453.6</v>
      </c>
      <c r="Z91" s="42"/>
      <c r="AA91" s="67"/>
      <c r="AB91" s="67"/>
      <c r="AC91" s="67"/>
    </row>
    <row r="92" spans="1:68" ht="16.5" hidden="1" customHeight="1" x14ac:dyDescent="0.25">
      <c r="A92" s="354" t="s">
        <v>176</v>
      </c>
      <c r="B92" s="354"/>
      <c r="C92" s="354"/>
      <c r="D92" s="354"/>
      <c r="E92" s="354"/>
      <c r="F92" s="354"/>
      <c r="G92" s="354"/>
      <c r="H92" s="354"/>
      <c r="I92" s="354"/>
      <c r="J92" s="354"/>
      <c r="K92" s="354"/>
      <c r="L92" s="354"/>
      <c r="M92" s="354"/>
      <c r="N92" s="354"/>
      <c r="O92" s="354"/>
      <c r="P92" s="354"/>
      <c r="Q92" s="354"/>
      <c r="R92" s="354"/>
      <c r="S92" s="354"/>
      <c r="T92" s="354"/>
      <c r="U92" s="354"/>
      <c r="V92" s="354"/>
      <c r="W92" s="354"/>
      <c r="X92" s="354"/>
      <c r="Y92" s="354"/>
      <c r="Z92" s="354"/>
      <c r="AA92" s="65"/>
      <c r="AB92" s="65"/>
      <c r="AC92" s="82"/>
    </row>
    <row r="93" spans="1:68" ht="14.25" hidden="1" customHeight="1" x14ac:dyDescent="0.25">
      <c r="A93" s="355" t="s">
        <v>149</v>
      </c>
      <c r="B93" s="355"/>
      <c r="C93" s="355"/>
      <c r="D93" s="355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5"/>
      <c r="P93" s="355"/>
      <c r="Q93" s="355"/>
      <c r="R93" s="355"/>
      <c r="S93" s="355"/>
      <c r="T93" s="355"/>
      <c r="U93" s="355"/>
      <c r="V93" s="355"/>
      <c r="W93" s="355"/>
      <c r="X93" s="355"/>
      <c r="Y93" s="355"/>
      <c r="Z93" s="355"/>
      <c r="AA93" s="66"/>
      <c r="AB93" s="66"/>
      <c r="AC93" s="83"/>
    </row>
    <row r="94" spans="1:68" ht="27" customHeight="1" x14ac:dyDescent="0.25">
      <c r="A94" s="63" t="s">
        <v>177</v>
      </c>
      <c r="B94" s="63" t="s">
        <v>178</v>
      </c>
      <c r="C94" s="36">
        <v>4301135763</v>
      </c>
      <c r="D94" s="356">
        <v>4620207491027</v>
      </c>
      <c r="E94" s="35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58"/>
      <c r="R94" s="358"/>
      <c r="S94" s="358"/>
      <c r="T94" s="359"/>
      <c r="U94" s="39" t="s">
        <v>46</v>
      </c>
      <c r="V94" s="39" t="s">
        <v>46</v>
      </c>
      <c r="W94" s="40" t="s">
        <v>39</v>
      </c>
      <c r="X94" s="58">
        <v>56</v>
      </c>
      <c r="Y94" s="55">
        <f t="shared" ref="Y94:Y99" si="6">IFERROR(IF(X94="","",X94),"")</f>
        <v>56</v>
      </c>
      <c r="Z94" s="41">
        <f t="shared" ref="Z94:Z99" si="7">IFERROR(IF(X94="","",X94*0.01788),"")</f>
        <v>1.0012799999999999</v>
      </c>
      <c r="AA94" s="68" t="s">
        <v>46</v>
      </c>
      <c r="AB94" s="69" t="s">
        <v>46</v>
      </c>
      <c r="AC94" s="147" t="s">
        <v>167</v>
      </c>
      <c r="AG94" s="81"/>
      <c r="AJ94" s="87" t="s">
        <v>118</v>
      </c>
      <c r="AK94" s="87">
        <v>14</v>
      </c>
      <c r="BB94" s="148" t="s">
        <v>115</v>
      </c>
      <c r="BM94" s="81">
        <f t="shared" ref="BM94:BM99" si="8">IFERROR(X94*I94,"0")</f>
        <v>200.6816</v>
      </c>
      <c r="BN94" s="81">
        <f t="shared" ref="BN94:BN99" si="9">IFERROR(Y94*I94,"0")</f>
        <v>200.6816</v>
      </c>
      <c r="BO94" s="81">
        <f t="shared" ref="BO94:BO99" si="10">IFERROR(X94/J94,"0")</f>
        <v>0.8</v>
      </c>
      <c r="BP94" s="81">
        <f t="shared" ref="BP94:BP99" si="11">IFERROR(Y94/J94,"0")</f>
        <v>0.8</v>
      </c>
    </row>
    <row r="95" spans="1:68" ht="27" customHeight="1" x14ac:dyDescent="0.25">
      <c r="A95" s="63" t="s">
        <v>179</v>
      </c>
      <c r="B95" s="63" t="s">
        <v>180</v>
      </c>
      <c r="C95" s="36">
        <v>4301135793</v>
      </c>
      <c r="D95" s="356">
        <v>4620207491003</v>
      </c>
      <c r="E95" s="35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117</v>
      </c>
      <c r="M95" s="38" t="s">
        <v>84</v>
      </c>
      <c r="N95" s="38"/>
      <c r="O95" s="37">
        <v>180</v>
      </c>
      <c r="P95" s="39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58"/>
      <c r="R95" s="358"/>
      <c r="S95" s="358"/>
      <c r="T95" s="359"/>
      <c r="U95" s="39" t="s">
        <v>46</v>
      </c>
      <c r="V95" s="39" t="s">
        <v>46</v>
      </c>
      <c r="W95" s="40" t="s">
        <v>39</v>
      </c>
      <c r="X95" s="58">
        <v>84</v>
      </c>
      <c r="Y95" s="55">
        <f t="shared" si="6"/>
        <v>84</v>
      </c>
      <c r="Z95" s="41">
        <f t="shared" si="7"/>
        <v>1.5019199999999999</v>
      </c>
      <c r="AA95" s="68" t="s">
        <v>46</v>
      </c>
      <c r="AB95" s="69" t="s">
        <v>46</v>
      </c>
      <c r="AC95" s="149" t="s">
        <v>167</v>
      </c>
      <c r="AG95" s="81"/>
      <c r="AJ95" s="87" t="s">
        <v>118</v>
      </c>
      <c r="AK95" s="87">
        <v>14</v>
      </c>
      <c r="BB95" s="150" t="s">
        <v>115</v>
      </c>
      <c r="BM95" s="81">
        <f t="shared" si="8"/>
        <v>301.0224</v>
      </c>
      <c r="BN95" s="81">
        <f t="shared" si="9"/>
        <v>301.0224</v>
      </c>
      <c r="BO95" s="81">
        <f t="shared" si="10"/>
        <v>1.2</v>
      </c>
      <c r="BP95" s="81">
        <f t="shared" si="11"/>
        <v>1.2</v>
      </c>
    </row>
    <row r="96" spans="1:68" ht="27" customHeight="1" x14ac:dyDescent="0.25">
      <c r="A96" s="63" t="s">
        <v>181</v>
      </c>
      <c r="B96" s="63" t="s">
        <v>182</v>
      </c>
      <c r="C96" s="36">
        <v>4301135768</v>
      </c>
      <c r="D96" s="356">
        <v>4620207491034</v>
      </c>
      <c r="E96" s="35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117</v>
      </c>
      <c r="M96" s="38" t="s">
        <v>84</v>
      </c>
      <c r="N96" s="38"/>
      <c r="O96" s="37">
        <v>180</v>
      </c>
      <c r="P96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58"/>
      <c r="R96" s="358"/>
      <c r="S96" s="358"/>
      <c r="T96" s="359"/>
      <c r="U96" s="39" t="s">
        <v>46</v>
      </c>
      <c r="V96" s="39" t="s">
        <v>46</v>
      </c>
      <c r="W96" s="40" t="s">
        <v>39</v>
      </c>
      <c r="X96" s="58">
        <v>42</v>
      </c>
      <c r="Y96" s="55">
        <f t="shared" si="6"/>
        <v>42</v>
      </c>
      <c r="Z96" s="41">
        <f t="shared" si="7"/>
        <v>0.75095999999999996</v>
      </c>
      <c r="AA96" s="68" t="s">
        <v>46</v>
      </c>
      <c r="AB96" s="69" t="s">
        <v>46</v>
      </c>
      <c r="AC96" s="151" t="s">
        <v>183</v>
      </c>
      <c r="AG96" s="81"/>
      <c r="AJ96" s="87" t="s">
        <v>118</v>
      </c>
      <c r="AK96" s="87">
        <v>14</v>
      </c>
      <c r="BB96" s="152" t="s">
        <v>115</v>
      </c>
      <c r="BM96" s="81">
        <f t="shared" si="8"/>
        <v>150.5112</v>
      </c>
      <c r="BN96" s="81">
        <f t="shared" si="9"/>
        <v>150.5112</v>
      </c>
      <c r="BO96" s="81">
        <f t="shared" si="10"/>
        <v>0.6</v>
      </c>
      <c r="BP96" s="81">
        <f t="shared" si="11"/>
        <v>0.6</v>
      </c>
    </row>
    <row r="97" spans="1:68" ht="27" customHeight="1" x14ac:dyDescent="0.25">
      <c r="A97" s="63" t="s">
        <v>184</v>
      </c>
      <c r="B97" s="63" t="s">
        <v>185</v>
      </c>
      <c r="C97" s="36">
        <v>4301135760</v>
      </c>
      <c r="D97" s="356">
        <v>4620207491010</v>
      </c>
      <c r="E97" s="35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116</v>
      </c>
      <c r="L97" s="37" t="s">
        <v>117</v>
      </c>
      <c r="M97" s="38" t="s">
        <v>84</v>
      </c>
      <c r="N97" s="38"/>
      <c r="O97" s="37">
        <v>180</v>
      </c>
      <c r="P97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58"/>
      <c r="R97" s="358"/>
      <c r="S97" s="358"/>
      <c r="T97" s="359"/>
      <c r="U97" s="39" t="s">
        <v>46</v>
      </c>
      <c r="V97" s="39" t="s">
        <v>46</v>
      </c>
      <c r="W97" s="40" t="s">
        <v>39</v>
      </c>
      <c r="X97" s="58">
        <v>56</v>
      </c>
      <c r="Y97" s="55">
        <f t="shared" si="6"/>
        <v>56</v>
      </c>
      <c r="Z97" s="41">
        <f t="shared" si="7"/>
        <v>1.0012799999999999</v>
      </c>
      <c r="AA97" s="68" t="s">
        <v>46</v>
      </c>
      <c r="AB97" s="69" t="s">
        <v>46</v>
      </c>
      <c r="AC97" s="153" t="s">
        <v>167</v>
      </c>
      <c r="AG97" s="81"/>
      <c r="AJ97" s="87" t="s">
        <v>118</v>
      </c>
      <c r="AK97" s="87">
        <v>14</v>
      </c>
      <c r="BB97" s="154" t="s">
        <v>115</v>
      </c>
      <c r="BM97" s="81">
        <f t="shared" si="8"/>
        <v>200.6816</v>
      </c>
      <c r="BN97" s="81">
        <f t="shared" si="9"/>
        <v>200.6816</v>
      </c>
      <c r="BO97" s="81">
        <f t="shared" si="10"/>
        <v>0.8</v>
      </c>
      <c r="BP97" s="81">
        <f t="shared" si="11"/>
        <v>0.8</v>
      </c>
    </row>
    <row r="98" spans="1:68" ht="27" customHeight="1" x14ac:dyDescent="0.25">
      <c r="A98" s="63" t="s">
        <v>186</v>
      </c>
      <c r="B98" s="63" t="s">
        <v>187</v>
      </c>
      <c r="C98" s="36">
        <v>4301135571</v>
      </c>
      <c r="D98" s="356">
        <v>4607111035028</v>
      </c>
      <c r="E98" s="356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116</v>
      </c>
      <c r="L98" s="37" t="s">
        <v>117</v>
      </c>
      <c r="M98" s="38" t="s">
        <v>84</v>
      </c>
      <c r="N98" s="38"/>
      <c r="O98" s="37">
        <v>180</v>
      </c>
      <c r="P98" s="39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58"/>
      <c r="R98" s="358"/>
      <c r="S98" s="358"/>
      <c r="T98" s="359"/>
      <c r="U98" s="39" t="s">
        <v>46</v>
      </c>
      <c r="V98" s="39" t="s">
        <v>46</v>
      </c>
      <c r="W98" s="40" t="s">
        <v>39</v>
      </c>
      <c r="X98" s="58">
        <v>14</v>
      </c>
      <c r="Y98" s="55">
        <f t="shared" si="6"/>
        <v>14</v>
      </c>
      <c r="Z98" s="41">
        <f t="shared" si="7"/>
        <v>0.25031999999999999</v>
      </c>
      <c r="AA98" s="68" t="s">
        <v>46</v>
      </c>
      <c r="AB98" s="69" t="s">
        <v>46</v>
      </c>
      <c r="AC98" s="155" t="s">
        <v>167</v>
      </c>
      <c r="AG98" s="81"/>
      <c r="AJ98" s="87" t="s">
        <v>118</v>
      </c>
      <c r="AK98" s="87">
        <v>14</v>
      </c>
      <c r="BB98" s="156" t="s">
        <v>115</v>
      </c>
      <c r="BM98" s="81">
        <f t="shared" si="8"/>
        <v>62.283200000000008</v>
      </c>
      <c r="BN98" s="81">
        <f t="shared" si="9"/>
        <v>62.283200000000008</v>
      </c>
      <c r="BO98" s="81">
        <f t="shared" si="10"/>
        <v>0.2</v>
      </c>
      <c r="BP98" s="81">
        <f t="shared" si="11"/>
        <v>0.2</v>
      </c>
    </row>
    <row r="99" spans="1:68" ht="27" customHeight="1" x14ac:dyDescent="0.25">
      <c r="A99" s="63" t="s">
        <v>188</v>
      </c>
      <c r="B99" s="63" t="s">
        <v>189</v>
      </c>
      <c r="C99" s="36">
        <v>4301135285</v>
      </c>
      <c r="D99" s="356">
        <v>4607111036407</v>
      </c>
      <c r="E99" s="356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116</v>
      </c>
      <c r="L99" s="37" t="s">
        <v>86</v>
      </c>
      <c r="M99" s="38" t="s">
        <v>84</v>
      </c>
      <c r="N99" s="38"/>
      <c r="O99" s="37">
        <v>180</v>
      </c>
      <c r="P99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58"/>
      <c r="R99" s="358"/>
      <c r="S99" s="358"/>
      <c r="T99" s="359"/>
      <c r="U99" s="39" t="s">
        <v>46</v>
      </c>
      <c r="V99" s="39" t="s">
        <v>46</v>
      </c>
      <c r="W99" s="40" t="s">
        <v>39</v>
      </c>
      <c r="X99" s="58">
        <v>14</v>
      </c>
      <c r="Y99" s="55">
        <f t="shared" si="6"/>
        <v>14</v>
      </c>
      <c r="Z99" s="41">
        <f t="shared" si="7"/>
        <v>0.25031999999999999</v>
      </c>
      <c r="AA99" s="68" t="s">
        <v>46</v>
      </c>
      <c r="AB99" s="69" t="s">
        <v>46</v>
      </c>
      <c r="AC99" s="157" t="s">
        <v>190</v>
      </c>
      <c r="AG99" s="81"/>
      <c r="AJ99" s="87" t="s">
        <v>87</v>
      </c>
      <c r="AK99" s="87">
        <v>1</v>
      </c>
      <c r="BB99" s="158" t="s">
        <v>115</v>
      </c>
      <c r="BM99" s="81">
        <f t="shared" si="8"/>
        <v>63.408800000000006</v>
      </c>
      <c r="BN99" s="81">
        <f t="shared" si="9"/>
        <v>63.408800000000006</v>
      </c>
      <c r="BO99" s="81">
        <f t="shared" si="10"/>
        <v>0.2</v>
      </c>
      <c r="BP99" s="81">
        <f t="shared" si="11"/>
        <v>0.2</v>
      </c>
    </row>
    <row r="100" spans="1:68" x14ac:dyDescent="0.2">
      <c r="A100" s="370"/>
      <c r="B100" s="370"/>
      <c r="C100" s="370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1"/>
      <c r="P100" s="367" t="s">
        <v>40</v>
      </c>
      <c r="Q100" s="368"/>
      <c r="R100" s="368"/>
      <c r="S100" s="368"/>
      <c r="T100" s="368"/>
      <c r="U100" s="368"/>
      <c r="V100" s="369"/>
      <c r="W100" s="42" t="s">
        <v>39</v>
      </c>
      <c r="X100" s="43">
        <f>IFERROR(SUM(X94:X99),"0")</f>
        <v>266</v>
      </c>
      <c r="Y100" s="43">
        <f>IFERROR(SUM(Y94:Y99),"0")</f>
        <v>266</v>
      </c>
      <c r="Z100" s="43">
        <f>IFERROR(IF(Z94="",0,Z94),"0")+IFERROR(IF(Z95="",0,Z95),"0")+IFERROR(IF(Z96="",0,Z96),"0")+IFERROR(IF(Z97="",0,Z97),"0")+IFERROR(IF(Z98="",0,Z98),"0")+IFERROR(IF(Z99="",0,Z99),"0")</f>
        <v>4.7560800000000008</v>
      </c>
      <c r="AA100" s="67"/>
      <c r="AB100" s="67"/>
      <c r="AC100" s="67"/>
    </row>
    <row r="101" spans="1:68" x14ac:dyDescent="0.2">
      <c r="A101" s="370"/>
      <c r="B101" s="370"/>
      <c r="C101" s="370"/>
      <c r="D101" s="370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1"/>
      <c r="P101" s="367" t="s">
        <v>40</v>
      </c>
      <c r="Q101" s="368"/>
      <c r="R101" s="368"/>
      <c r="S101" s="368"/>
      <c r="T101" s="368"/>
      <c r="U101" s="368"/>
      <c r="V101" s="369"/>
      <c r="W101" s="42" t="s">
        <v>0</v>
      </c>
      <c r="X101" s="43">
        <f>IFERROR(SUMPRODUCT(X94:X99*H94:H99),"0")</f>
        <v>797.99999999999989</v>
      </c>
      <c r="Y101" s="43">
        <f>IFERROR(SUMPRODUCT(Y94:Y99*H94:H99),"0")</f>
        <v>797.99999999999989</v>
      </c>
      <c r="Z101" s="42"/>
      <c r="AA101" s="67"/>
      <c r="AB101" s="67"/>
      <c r="AC101" s="67"/>
    </row>
    <row r="102" spans="1:68" ht="16.5" hidden="1" customHeight="1" x14ac:dyDescent="0.25">
      <c r="A102" s="354" t="s">
        <v>191</v>
      </c>
      <c r="B102" s="354"/>
      <c r="C102" s="354"/>
      <c r="D102" s="354"/>
      <c r="E102" s="354"/>
      <c r="F102" s="354"/>
      <c r="G102" s="354"/>
      <c r="H102" s="354"/>
      <c r="I102" s="354"/>
      <c r="J102" s="354"/>
      <c r="K102" s="354"/>
      <c r="L102" s="354"/>
      <c r="M102" s="354"/>
      <c r="N102" s="354"/>
      <c r="O102" s="354"/>
      <c r="P102" s="354"/>
      <c r="Q102" s="354"/>
      <c r="R102" s="354"/>
      <c r="S102" s="354"/>
      <c r="T102" s="354"/>
      <c r="U102" s="354"/>
      <c r="V102" s="354"/>
      <c r="W102" s="354"/>
      <c r="X102" s="354"/>
      <c r="Y102" s="354"/>
      <c r="Z102" s="354"/>
      <c r="AA102" s="65"/>
      <c r="AB102" s="65"/>
      <c r="AC102" s="82"/>
    </row>
    <row r="103" spans="1:68" ht="14.25" hidden="1" customHeight="1" x14ac:dyDescent="0.25">
      <c r="A103" s="355" t="s">
        <v>143</v>
      </c>
      <c r="B103" s="355"/>
      <c r="C103" s="355"/>
      <c r="D103" s="355"/>
      <c r="E103" s="355"/>
      <c r="F103" s="355"/>
      <c r="G103" s="355"/>
      <c r="H103" s="355"/>
      <c r="I103" s="355"/>
      <c r="J103" s="355"/>
      <c r="K103" s="355"/>
      <c r="L103" s="355"/>
      <c r="M103" s="355"/>
      <c r="N103" s="355"/>
      <c r="O103" s="355"/>
      <c r="P103" s="355"/>
      <c r="Q103" s="355"/>
      <c r="R103" s="355"/>
      <c r="S103" s="355"/>
      <c r="T103" s="355"/>
      <c r="U103" s="355"/>
      <c r="V103" s="355"/>
      <c r="W103" s="355"/>
      <c r="X103" s="355"/>
      <c r="Y103" s="355"/>
      <c r="Z103" s="355"/>
      <c r="AA103" s="66"/>
      <c r="AB103" s="66"/>
      <c r="AC103" s="83"/>
    </row>
    <row r="104" spans="1:68" ht="27" hidden="1" customHeight="1" x14ac:dyDescent="0.25">
      <c r="A104" s="63" t="s">
        <v>192</v>
      </c>
      <c r="B104" s="63" t="s">
        <v>193</v>
      </c>
      <c r="C104" s="36">
        <v>4301136070</v>
      </c>
      <c r="D104" s="356">
        <v>4607025784012</v>
      </c>
      <c r="E104" s="356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116</v>
      </c>
      <c r="L104" s="37" t="s">
        <v>117</v>
      </c>
      <c r="M104" s="38" t="s">
        <v>84</v>
      </c>
      <c r="N104" s="38"/>
      <c r="O104" s="37">
        <v>180</v>
      </c>
      <c r="P104" s="39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58"/>
      <c r="R104" s="358"/>
      <c r="S104" s="358"/>
      <c r="T104" s="359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118</v>
      </c>
      <c r="AK104" s="87">
        <v>14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195</v>
      </c>
      <c r="B105" s="63" t="s">
        <v>196</v>
      </c>
      <c r="C105" s="36">
        <v>4301136079</v>
      </c>
      <c r="D105" s="356">
        <v>4607025784319</v>
      </c>
      <c r="E105" s="356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116</v>
      </c>
      <c r="L105" s="37" t="s">
        <v>117</v>
      </c>
      <c r="M105" s="38" t="s">
        <v>84</v>
      </c>
      <c r="N105" s="38"/>
      <c r="O105" s="37">
        <v>180</v>
      </c>
      <c r="P105" s="40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358"/>
      <c r="R105" s="358"/>
      <c r="S105" s="358"/>
      <c r="T105" s="359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167</v>
      </c>
      <c r="AG105" s="81"/>
      <c r="AJ105" s="87" t="s">
        <v>118</v>
      </c>
      <c r="AK105" s="87">
        <v>14</v>
      </c>
      <c r="BB105" s="162" t="s">
        <v>115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70"/>
      <c r="B106" s="37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1"/>
      <c r="P106" s="367" t="s">
        <v>40</v>
      </c>
      <c r="Q106" s="368"/>
      <c r="R106" s="368"/>
      <c r="S106" s="368"/>
      <c r="T106" s="368"/>
      <c r="U106" s="368"/>
      <c r="V106" s="369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70"/>
      <c r="B107" s="370"/>
      <c r="C107" s="370"/>
      <c r="D107" s="370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1"/>
      <c r="P107" s="367" t="s">
        <v>40</v>
      </c>
      <c r="Q107" s="368"/>
      <c r="R107" s="368"/>
      <c r="S107" s="368"/>
      <c r="T107" s="368"/>
      <c r="U107" s="368"/>
      <c r="V107" s="369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54" t="s">
        <v>197</v>
      </c>
      <c r="B108" s="354"/>
      <c r="C108" s="354"/>
      <c r="D108" s="354"/>
      <c r="E108" s="354"/>
      <c r="F108" s="354"/>
      <c r="G108" s="354"/>
      <c r="H108" s="354"/>
      <c r="I108" s="354"/>
      <c r="J108" s="354"/>
      <c r="K108" s="354"/>
      <c r="L108" s="354"/>
      <c r="M108" s="354"/>
      <c r="N108" s="354"/>
      <c r="O108" s="354"/>
      <c r="P108" s="354"/>
      <c r="Q108" s="354"/>
      <c r="R108" s="354"/>
      <c r="S108" s="354"/>
      <c r="T108" s="354"/>
      <c r="U108" s="354"/>
      <c r="V108" s="354"/>
      <c r="W108" s="354"/>
      <c r="X108" s="354"/>
      <c r="Y108" s="354"/>
      <c r="Z108" s="354"/>
      <c r="AA108" s="65"/>
      <c r="AB108" s="65"/>
      <c r="AC108" s="82"/>
    </row>
    <row r="109" spans="1:68" ht="14.25" hidden="1" customHeight="1" x14ac:dyDescent="0.25">
      <c r="A109" s="355" t="s">
        <v>80</v>
      </c>
      <c r="B109" s="355"/>
      <c r="C109" s="355"/>
      <c r="D109" s="355"/>
      <c r="E109" s="355"/>
      <c r="F109" s="355"/>
      <c r="G109" s="355"/>
      <c r="H109" s="355"/>
      <c r="I109" s="355"/>
      <c r="J109" s="355"/>
      <c r="K109" s="355"/>
      <c r="L109" s="355"/>
      <c r="M109" s="355"/>
      <c r="N109" s="355"/>
      <c r="O109" s="355"/>
      <c r="P109" s="355"/>
      <c r="Q109" s="355"/>
      <c r="R109" s="355"/>
      <c r="S109" s="355"/>
      <c r="T109" s="355"/>
      <c r="U109" s="355"/>
      <c r="V109" s="355"/>
      <c r="W109" s="355"/>
      <c r="X109" s="355"/>
      <c r="Y109" s="355"/>
      <c r="Z109" s="355"/>
      <c r="AA109" s="66"/>
      <c r="AB109" s="66"/>
      <c r="AC109" s="83"/>
    </row>
    <row r="110" spans="1:68" ht="27" hidden="1" customHeight="1" x14ac:dyDescent="0.25">
      <c r="A110" s="63" t="s">
        <v>198</v>
      </c>
      <c r="B110" s="63" t="s">
        <v>199</v>
      </c>
      <c r="C110" s="36">
        <v>4301071074</v>
      </c>
      <c r="D110" s="356">
        <v>4620207491157</v>
      </c>
      <c r="E110" s="356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85</v>
      </c>
      <c r="L110" s="37" t="s">
        <v>117</v>
      </c>
      <c r="M110" s="38" t="s">
        <v>84</v>
      </c>
      <c r="N110" s="38"/>
      <c r="O110" s="37">
        <v>180</v>
      </c>
      <c r="P110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58"/>
      <c r="R110" s="358"/>
      <c r="S110" s="358"/>
      <c r="T110" s="35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200</v>
      </c>
      <c r="AG110" s="81"/>
      <c r="AJ110" s="87" t="s">
        <v>118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hidden="1" customHeight="1" x14ac:dyDescent="0.25">
      <c r="A111" s="63" t="s">
        <v>201</v>
      </c>
      <c r="B111" s="63" t="s">
        <v>202</v>
      </c>
      <c r="C111" s="36">
        <v>4301071121</v>
      </c>
      <c r="D111" s="356">
        <v>4620207491393</v>
      </c>
      <c r="E111" s="356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58"/>
      <c r="R111" s="358"/>
      <c r="S111" s="358"/>
      <c r="T111" s="359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203</v>
      </c>
      <c r="AG111" s="81"/>
      <c r="AJ111" s="87" t="s">
        <v>87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204</v>
      </c>
      <c r="B112" s="63" t="s">
        <v>205</v>
      </c>
      <c r="C112" s="36">
        <v>4301071136</v>
      </c>
      <c r="D112" s="356">
        <v>4620207491829</v>
      </c>
      <c r="E112" s="356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403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58"/>
      <c r="R112" s="358"/>
      <c r="S112" s="358"/>
      <c r="T112" s="359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203</v>
      </c>
      <c r="AG112" s="81"/>
      <c r="AJ112" s="87" t="s">
        <v>87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206</v>
      </c>
      <c r="B113" s="63" t="s">
        <v>207</v>
      </c>
      <c r="C113" s="36">
        <v>4301071051</v>
      </c>
      <c r="D113" s="356">
        <v>4607111039262</v>
      </c>
      <c r="E113" s="356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85</v>
      </c>
      <c r="L113" s="37" t="s">
        <v>117</v>
      </c>
      <c r="M113" s="38" t="s">
        <v>84</v>
      </c>
      <c r="N113" s="38"/>
      <c r="O113" s="37">
        <v>180</v>
      </c>
      <c r="P113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58"/>
      <c r="R113" s="358"/>
      <c r="S113" s="358"/>
      <c r="T113" s="35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160</v>
      </c>
      <c r="AG113" s="81"/>
      <c r="AJ113" s="87" t="s">
        <v>118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208</v>
      </c>
      <c r="B114" s="63" t="s">
        <v>209</v>
      </c>
      <c r="C114" s="36">
        <v>4301071038</v>
      </c>
      <c r="D114" s="356">
        <v>4607111039248</v>
      </c>
      <c r="E114" s="356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40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58"/>
      <c r="R114" s="358"/>
      <c r="S114" s="358"/>
      <c r="T114" s="359"/>
      <c r="U114" s="39" t="s">
        <v>46</v>
      </c>
      <c r="V114" s="39" t="s">
        <v>46</v>
      </c>
      <c r="W114" s="40" t="s">
        <v>39</v>
      </c>
      <c r="X114" s="58">
        <v>36</v>
      </c>
      <c r="Y114" s="55">
        <f t="shared" si="12"/>
        <v>36</v>
      </c>
      <c r="Z114" s="41">
        <f t="shared" si="13"/>
        <v>0.55800000000000005</v>
      </c>
      <c r="AA114" s="68" t="s">
        <v>46</v>
      </c>
      <c r="AB114" s="69" t="s">
        <v>46</v>
      </c>
      <c r="AC114" s="171" t="s">
        <v>160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262.8</v>
      </c>
      <c r="BN114" s="81">
        <f t="shared" si="15"/>
        <v>262.8</v>
      </c>
      <c r="BO114" s="81">
        <f t="shared" si="16"/>
        <v>0.42857142857142855</v>
      </c>
      <c r="BP114" s="81">
        <f t="shared" si="17"/>
        <v>0.42857142857142855</v>
      </c>
    </row>
    <row r="115" spans="1:68" ht="27" hidden="1" customHeight="1" x14ac:dyDescent="0.25">
      <c r="A115" s="63" t="s">
        <v>210</v>
      </c>
      <c r="B115" s="63" t="s">
        <v>211</v>
      </c>
      <c r="C115" s="36">
        <v>4301070979</v>
      </c>
      <c r="D115" s="356">
        <v>4607111037145</v>
      </c>
      <c r="E115" s="356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85</v>
      </c>
      <c r="L115" s="37" t="s">
        <v>86</v>
      </c>
      <c r="M115" s="38" t="s">
        <v>84</v>
      </c>
      <c r="N115" s="38"/>
      <c r="O115" s="37">
        <v>180</v>
      </c>
      <c r="P115" s="40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58"/>
      <c r="R115" s="358"/>
      <c r="S115" s="358"/>
      <c r="T115" s="35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212</v>
      </c>
      <c r="AG115" s="81"/>
      <c r="AJ115" s="87" t="s">
        <v>87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213</v>
      </c>
      <c r="B116" s="63" t="s">
        <v>214</v>
      </c>
      <c r="C116" s="36">
        <v>4301071049</v>
      </c>
      <c r="D116" s="356">
        <v>4607111039293</v>
      </c>
      <c r="E116" s="356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85</v>
      </c>
      <c r="L116" s="37" t="s">
        <v>117</v>
      </c>
      <c r="M116" s="38" t="s">
        <v>84</v>
      </c>
      <c r="N116" s="38"/>
      <c r="O116" s="37">
        <v>180</v>
      </c>
      <c r="P116" s="40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58"/>
      <c r="R116" s="358"/>
      <c r="S116" s="358"/>
      <c r="T116" s="35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118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215</v>
      </c>
      <c r="B117" s="63" t="s">
        <v>216</v>
      </c>
      <c r="C117" s="36">
        <v>4301071039</v>
      </c>
      <c r="D117" s="356">
        <v>4607111039279</v>
      </c>
      <c r="E117" s="356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40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58"/>
      <c r="R117" s="358"/>
      <c r="S117" s="358"/>
      <c r="T117" s="35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160</v>
      </c>
      <c r="AG117" s="81"/>
      <c r="AJ117" s="87" t="s">
        <v>118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x14ac:dyDescent="0.2">
      <c r="A118" s="370"/>
      <c r="B118" s="370"/>
      <c r="C118" s="370"/>
      <c r="D118" s="370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1"/>
      <c r="P118" s="367" t="s">
        <v>40</v>
      </c>
      <c r="Q118" s="368"/>
      <c r="R118" s="368"/>
      <c r="S118" s="368"/>
      <c r="T118" s="368"/>
      <c r="U118" s="368"/>
      <c r="V118" s="369"/>
      <c r="W118" s="42" t="s">
        <v>39</v>
      </c>
      <c r="X118" s="43">
        <f>IFERROR(SUM(X110:X117),"0")</f>
        <v>36</v>
      </c>
      <c r="Y118" s="43">
        <f>IFERROR(SUM(Y110:Y117),"0")</f>
        <v>36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0.55800000000000005</v>
      </c>
      <c r="AA118" s="67"/>
      <c r="AB118" s="67"/>
      <c r="AC118" s="67"/>
    </row>
    <row r="119" spans="1:68" x14ac:dyDescent="0.2">
      <c r="A119" s="370"/>
      <c r="B119" s="370"/>
      <c r="C119" s="370"/>
      <c r="D119" s="370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1"/>
      <c r="P119" s="367" t="s">
        <v>40</v>
      </c>
      <c r="Q119" s="368"/>
      <c r="R119" s="368"/>
      <c r="S119" s="368"/>
      <c r="T119" s="368"/>
      <c r="U119" s="368"/>
      <c r="V119" s="369"/>
      <c r="W119" s="42" t="s">
        <v>0</v>
      </c>
      <c r="X119" s="43">
        <f>IFERROR(SUMPRODUCT(X110:X117*H110:H117),"0")</f>
        <v>252</v>
      </c>
      <c r="Y119" s="43">
        <f>IFERROR(SUMPRODUCT(Y110:Y117*H110:H117),"0")</f>
        <v>252</v>
      </c>
      <c r="Z119" s="42"/>
      <c r="AA119" s="67"/>
      <c r="AB119" s="67"/>
      <c r="AC119" s="67"/>
    </row>
    <row r="120" spans="1:68" ht="14.25" hidden="1" customHeight="1" x14ac:dyDescent="0.25">
      <c r="A120" s="355" t="s">
        <v>149</v>
      </c>
      <c r="B120" s="355"/>
      <c r="C120" s="355"/>
      <c r="D120" s="355"/>
      <c r="E120" s="355"/>
      <c r="F120" s="355"/>
      <c r="G120" s="355"/>
      <c r="H120" s="355"/>
      <c r="I120" s="355"/>
      <c r="J120" s="355"/>
      <c r="K120" s="355"/>
      <c r="L120" s="355"/>
      <c r="M120" s="355"/>
      <c r="N120" s="355"/>
      <c r="O120" s="355"/>
      <c r="P120" s="355"/>
      <c r="Q120" s="355"/>
      <c r="R120" s="355"/>
      <c r="S120" s="355"/>
      <c r="T120" s="355"/>
      <c r="U120" s="355"/>
      <c r="V120" s="355"/>
      <c r="W120" s="355"/>
      <c r="X120" s="355"/>
      <c r="Y120" s="355"/>
      <c r="Z120" s="355"/>
      <c r="AA120" s="66"/>
      <c r="AB120" s="66"/>
      <c r="AC120" s="83"/>
    </row>
    <row r="121" spans="1:68" ht="27" customHeight="1" x14ac:dyDescent="0.25">
      <c r="A121" s="63" t="s">
        <v>217</v>
      </c>
      <c r="B121" s="63" t="s">
        <v>218</v>
      </c>
      <c r="C121" s="36">
        <v>4301135826</v>
      </c>
      <c r="D121" s="356">
        <v>4620207490983</v>
      </c>
      <c r="E121" s="356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116</v>
      </c>
      <c r="L121" s="37" t="s">
        <v>86</v>
      </c>
      <c r="M121" s="38" t="s">
        <v>84</v>
      </c>
      <c r="N121" s="38"/>
      <c r="O121" s="37">
        <v>180</v>
      </c>
      <c r="P121" s="40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58"/>
      <c r="R121" s="358"/>
      <c r="S121" s="358"/>
      <c r="T121" s="359"/>
      <c r="U121" s="39" t="s">
        <v>46</v>
      </c>
      <c r="V121" s="39" t="s">
        <v>46</v>
      </c>
      <c r="W121" s="40" t="s">
        <v>39</v>
      </c>
      <c r="X121" s="58">
        <v>126</v>
      </c>
      <c r="Y121" s="55">
        <f>IFERROR(IF(X121="","",X121),"")</f>
        <v>126</v>
      </c>
      <c r="Z121" s="41">
        <f>IFERROR(IF(X121="","",X121*0.01788),"")</f>
        <v>2.2528800000000002</v>
      </c>
      <c r="AA121" s="68" t="s">
        <v>46</v>
      </c>
      <c r="AB121" s="69" t="s">
        <v>46</v>
      </c>
      <c r="AC121" s="179" t="s">
        <v>219</v>
      </c>
      <c r="AG121" s="81"/>
      <c r="AJ121" s="87" t="s">
        <v>87</v>
      </c>
      <c r="AK121" s="87">
        <v>1</v>
      </c>
      <c r="BB121" s="180" t="s">
        <v>115</v>
      </c>
      <c r="BM121" s="81">
        <f>IFERROR(X121*I121,"0")</f>
        <v>421.29359999999997</v>
      </c>
      <c r="BN121" s="81">
        <f>IFERROR(Y121*I121,"0")</f>
        <v>421.29359999999997</v>
      </c>
      <c r="BO121" s="81">
        <f>IFERROR(X121/J121,"0")</f>
        <v>1.8</v>
      </c>
      <c r="BP121" s="81">
        <f>IFERROR(Y121/J121,"0")</f>
        <v>1.8</v>
      </c>
    </row>
    <row r="122" spans="1:68" x14ac:dyDescent="0.2">
      <c r="A122" s="370"/>
      <c r="B122" s="370"/>
      <c r="C122" s="370"/>
      <c r="D122" s="370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1"/>
      <c r="P122" s="367" t="s">
        <v>40</v>
      </c>
      <c r="Q122" s="368"/>
      <c r="R122" s="368"/>
      <c r="S122" s="368"/>
      <c r="T122" s="368"/>
      <c r="U122" s="368"/>
      <c r="V122" s="369"/>
      <c r="W122" s="42" t="s">
        <v>39</v>
      </c>
      <c r="X122" s="43">
        <f>IFERROR(SUM(X121:X121),"0")</f>
        <v>126</v>
      </c>
      <c r="Y122" s="43">
        <f>IFERROR(SUM(Y121:Y121),"0")</f>
        <v>126</v>
      </c>
      <c r="Z122" s="43">
        <f>IFERROR(IF(Z121="",0,Z121),"0")</f>
        <v>2.2528800000000002</v>
      </c>
      <c r="AA122" s="67"/>
      <c r="AB122" s="67"/>
      <c r="AC122" s="67"/>
    </row>
    <row r="123" spans="1:68" x14ac:dyDescent="0.2">
      <c r="A123" s="370"/>
      <c r="B123" s="370"/>
      <c r="C123" s="370"/>
      <c r="D123" s="370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1"/>
      <c r="P123" s="367" t="s">
        <v>40</v>
      </c>
      <c r="Q123" s="368"/>
      <c r="R123" s="368"/>
      <c r="S123" s="368"/>
      <c r="T123" s="368"/>
      <c r="U123" s="368"/>
      <c r="V123" s="369"/>
      <c r="W123" s="42" t="s">
        <v>0</v>
      </c>
      <c r="X123" s="43">
        <f>IFERROR(SUMPRODUCT(X121:X121*H121:H121),"0")</f>
        <v>332.64000000000004</v>
      </c>
      <c r="Y123" s="43">
        <f>IFERROR(SUMPRODUCT(Y121:Y121*H121:H121),"0")</f>
        <v>332.64000000000004</v>
      </c>
      <c r="Z123" s="42"/>
      <c r="AA123" s="67"/>
      <c r="AB123" s="67"/>
      <c r="AC123" s="67"/>
    </row>
    <row r="124" spans="1:68" ht="14.25" hidden="1" customHeight="1" x14ac:dyDescent="0.25">
      <c r="A124" s="355" t="s">
        <v>220</v>
      </c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5"/>
      <c r="P124" s="355"/>
      <c r="Q124" s="355"/>
      <c r="R124" s="355"/>
      <c r="S124" s="355"/>
      <c r="T124" s="355"/>
      <c r="U124" s="355"/>
      <c r="V124" s="355"/>
      <c r="W124" s="355"/>
      <c r="X124" s="355"/>
      <c r="Y124" s="355"/>
      <c r="Z124" s="355"/>
      <c r="AA124" s="66"/>
      <c r="AB124" s="66"/>
      <c r="AC124" s="83"/>
    </row>
    <row r="125" spans="1:68" ht="27" hidden="1" customHeight="1" x14ac:dyDescent="0.25">
      <c r="A125" s="63" t="s">
        <v>221</v>
      </c>
      <c r="B125" s="63" t="s">
        <v>222</v>
      </c>
      <c r="C125" s="36">
        <v>4301071094</v>
      </c>
      <c r="D125" s="356">
        <v>4620207491140</v>
      </c>
      <c r="E125" s="356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85</v>
      </c>
      <c r="L125" s="37" t="s">
        <v>86</v>
      </c>
      <c r="M125" s="38" t="s">
        <v>84</v>
      </c>
      <c r="N125" s="38"/>
      <c r="O125" s="37">
        <v>180</v>
      </c>
      <c r="P125" s="41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58"/>
      <c r="R125" s="358"/>
      <c r="S125" s="358"/>
      <c r="T125" s="359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idden="1" x14ac:dyDescent="0.2">
      <c r="A126" s="370"/>
      <c r="B126" s="370"/>
      <c r="C126" s="370"/>
      <c r="D126" s="370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1"/>
      <c r="P126" s="367" t="s">
        <v>40</v>
      </c>
      <c r="Q126" s="368"/>
      <c r="R126" s="368"/>
      <c r="S126" s="368"/>
      <c r="T126" s="368"/>
      <c r="U126" s="368"/>
      <c r="V126" s="369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370"/>
      <c r="B127" s="370"/>
      <c r="C127" s="370"/>
      <c r="D127" s="370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1"/>
      <c r="P127" s="367" t="s">
        <v>40</v>
      </c>
      <c r="Q127" s="368"/>
      <c r="R127" s="368"/>
      <c r="S127" s="368"/>
      <c r="T127" s="368"/>
      <c r="U127" s="368"/>
      <c r="V127" s="369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hidden="1" customHeight="1" x14ac:dyDescent="0.25">
      <c r="A128" s="354" t="s">
        <v>224</v>
      </c>
      <c r="B128" s="354"/>
      <c r="C128" s="354"/>
      <c r="D128" s="354"/>
      <c r="E128" s="354"/>
      <c r="F128" s="354"/>
      <c r="G128" s="354"/>
      <c r="H128" s="354"/>
      <c r="I128" s="354"/>
      <c r="J128" s="354"/>
      <c r="K128" s="354"/>
      <c r="L128" s="354"/>
      <c r="M128" s="354"/>
      <c r="N128" s="354"/>
      <c r="O128" s="354"/>
      <c r="P128" s="354"/>
      <c r="Q128" s="354"/>
      <c r="R128" s="354"/>
      <c r="S128" s="354"/>
      <c r="T128" s="354"/>
      <c r="U128" s="354"/>
      <c r="V128" s="354"/>
      <c r="W128" s="354"/>
      <c r="X128" s="354"/>
      <c r="Y128" s="354"/>
      <c r="Z128" s="354"/>
      <c r="AA128" s="65"/>
      <c r="AB128" s="65"/>
      <c r="AC128" s="82"/>
    </row>
    <row r="129" spans="1:68" ht="14.25" hidden="1" customHeight="1" x14ac:dyDescent="0.25">
      <c r="A129" s="355" t="s">
        <v>149</v>
      </c>
      <c r="B129" s="355"/>
      <c r="C129" s="355"/>
      <c r="D129" s="355"/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O129" s="355"/>
      <c r="P129" s="355"/>
      <c r="Q129" s="355"/>
      <c r="R129" s="355"/>
      <c r="S129" s="355"/>
      <c r="T129" s="355"/>
      <c r="U129" s="355"/>
      <c r="V129" s="355"/>
      <c r="W129" s="355"/>
      <c r="X129" s="355"/>
      <c r="Y129" s="355"/>
      <c r="Z129" s="355"/>
      <c r="AA129" s="66"/>
      <c r="AB129" s="66"/>
      <c r="AC129" s="83"/>
    </row>
    <row r="130" spans="1:68" ht="27" hidden="1" customHeight="1" x14ac:dyDescent="0.25">
      <c r="A130" s="63" t="s">
        <v>225</v>
      </c>
      <c r="B130" s="63" t="s">
        <v>226</v>
      </c>
      <c r="C130" s="36">
        <v>4301135848</v>
      </c>
      <c r="D130" s="356">
        <v>4620207491799</v>
      </c>
      <c r="E130" s="356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41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58"/>
      <c r="R130" s="358"/>
      <c r="S130" s="358"/>
      <c r="T130" s="359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227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228</v>
      </c>
      <c r="B131" s="63" t="s">
        <v>229</v>
      </c>
      <c r="C131" s="36">
        <v>4301135850</v>
      </c>
      <c r="D131" s="356">
        <v>4620207491492</v>
      </c>
      <c r="E131" s="35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41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58"/>
      <c r="R131" s="358"/>
      <c r="S131" s="358"/>
      <c r="T131" s="359"/>
      <c r="U131" s="39" t="s">
        <v>46</v>
      </c>
      <c r="V131" s="39" t="s">
        <v>46</v>
      </c>
      <c r="W131" s="40" t="s">
        <v>39</v>
      </c>
      <c r="X131" s="58">
        <v>126</v>
      </c>
      <c r="Y131" s="55">
        <f>IFERROR(IF(X131="","",X131),"")</f>
        <v>126</v>
      </c>
      <c r="Z131" s="41">
        <f>IFERROR(IF(X131="","",X131*0.00941),"")</f>
        <v>1.1856599999999999</v>
      </c>
      <c r="AA131" s="68" t="s">
        <v>46</v>
      </c>
      <c r="AB131" s="69" t="s">
        <v>46</v>
      </c>
      <c r="AC131" s="185" t="s">
        <v>227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226.8</v>
      </c>
      <c r="BN131" s="81">
        <f>IFERROR(Y131*I131,"0")</f>
        <v>226.8</v>
      </c>
      <c r="BO131" s="81">
        <f>IFERROR(X131/J131,"0")</f>
        <v>0.9</v>
      </c>
      <c r="BP131" s="81">
        <f>IFERROR(Y131/J131,"0")</f>
        <v>0.9</v>
      </c>
    </row>
    <row r="132" spans="1:68" ht="27" customHeight="1" x14ac:dyDescent="0.25">
      <c r="A132" s="63" t="s">
        <v>230</v>
      </c>
      <c r="B132" s="63" t="s">
        <v>231</v>
      </c>
      <c r="C132" s="36">
        <v>4301190118</v>
      </c>
      <c r="D132" s="356">
        <v>4620207491461</v>
      </c>
      <c r="E132" s="356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41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58"/>
      <c r="R132" s="358"/>
      <c r="S132" s="358"/>
      <c r="T132" s="359"/>
      <c r="U132" s="39" t="s">
        <v>46</v>
      </c>
      <c r="V132" s="39" t="s">
        <v>46</v>
      </c>
      <c r="W132" s="40" t="s">
        <v>39</v>
      </c>
      <c r="X132" s="58">
        <v>126</v>
      </c>
      <c r="Y132" s="55">
        <f>IFERROR(IF(X132="","",X132),"")</f>
        <v>126</v>
      </c>
      <c r="Z132" s="41">
        <f>IFERROR(IF(X132="","",X132*0.00941),"")</f>
        <v>1.1856599999999999</v>
      </c>
      <c r="AA132" s="68" t="s">
        <v>46</v>
      </c>
      <c r="AB132" s="69" t="s">
        <v>46</v>
      </c>
      <c r="AC132" s="187" t="s">
        <v>227</v>
      </c>
      <c r="AG132" s="81"/>
      <c r="AJ132" s="87" t="s">
        <v>87</v>
      </c>
      <c r="AK132" s="87">
        <v>1</v>
      </c>
      <c r="BB132" s="188" t="s">
        <v>115</v>
      </c>
      <c r="BM132" s="81">
        <f>IFERROR(X132*I132,"0")</f>
        <v>219.24</v>
      </c>
      <c r="BN132" s="81">
        <f>IFERROR(Y132*I132,"0")</f>
        <v>219.24</v>
      </c>
      <c r="BO132" s="81">
        <f>IFERROR(X132/J132,"0")</f>
        <v>0.9</v>
      </c>
      <c r="BP132" s="81">
        <f>IFERROR(Y132/J132,"0")</f>
        <v>0.9</v>
      </c>
    </row>
    <row r="133" spans="1:68" ht="27" customHeight="1" x14ac:dyDescent="0.25">
      <c r="A133" s="63" t="s">
        <v>232</v>
      </c>
      <c r="B133" s="63" t="s">
        <v>233</v>
      </c>
      <c r="C133" s="36">
        <v>4301135865</v>
      </c>
      <c r="D133" s="356">
        <v>4620207491485</v>
      </c>
      <c r="E133" s="356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116</v>
      </c>
      <c r="L133" s="37" t="s">
        <v>86</v>
      </c>
      <c r="M133" s="38" t="s">
        <v>84</v>
      </c>
      <c r="N133" s="38"/>
      <c r="O133" s="37">
        <v>180</v>
      </c>
      <c r="P133" s="41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58"/>
      <c r="R133" s="358"/>
      <c r="S133" s="358"/>
      <c r="T133" s="359"/>
      <c r="U133" s="39" t="s">
        <v>46</v>
      </c>
      <c r="V133" s="39" t="s">
        <v>46</v>
      </c>
      <c r="W133" s="40" t="s">
        <v>39</v>
      </c>
      <c r="X133" s="58">
        <v>140</v>
      </c>
      <c r="Y133" s="55">
        <f>IFERROR(IF(X133="","",X133),"")</f>
        <v>140</v>
      </c>
      <c r="Z133" s="41">
        <f>IFERROR(IF(X133="","",X133*0.00941),"")</f>
        <v>1.3173999999999999</v>
      </c>
      <c r="AA133" s="68" t="s">
        <v>46</v>
      </c>
      <c r="AB133" s="69" t="s">
        <v>46</v>
      </c>
      <c r="AC133" s="189" t="s">
        <v>227</v>
      </c>
      <c r="AG133" s="81"/>
      <c r="AJ133" s="87" t="s">
        <v>87</v>
      </c>
      <c r="AK133" s="87">
        <v>1</v>
      </c>
      <c r="BB133" s="190" t="s">
        <v>115</v>
      </c>
      <c r="BM133" s="81">
        <f>IFERROR(X133*I133,"0")</f>
        <v>252</v>
      </c>
      <c r="BN133" s="81">
        <f>IFERROR(Y133*I133,"0")</f>
        <v>252</v>
      </c>
      <c r="BO133" s="81">
        <f>IFERROR(X133/J133,"0")</f>
        <v>1</v>
      </c>
      <c r="BP133" s="81">
        <f>IFERROR(Y133/J133,"0")</f>
        <v>1</v>
      </c>
    </row>
    <row r="134" spans="1:68" x14ac:dyDescent="0.2">
      <c r="A134" s="370"/>
      <c r="B134" s="370"/>
      <c r="C134" s="370"/>
      <c r="D134" s="370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1"/>
      <c r="P134" s="367" t="s">
        <v>40</v>
      </c>
      <c r="Q134" s="368"/>
      <c r="R134" s="368"/>
      <c r="S134" s="368"/>
      <c r="T134" s="368"/>
      <c r="U134" s="368"/>
      <c r="V134" s="369"/>
      <c r="W134" s="42" t="s">
        <v>39</v>
      </c>
      <c r="X134" s="43">
        <f>IFERROR(SUM(X130:X133),"0")</f>
        <v>392</v>
      </c>
      <c r="Y134" s="43">
        <f>IFERROR(SUM(Y130:Y133),"0")</f>
        <v>392</v>
      </c>
      <c r="Z134" s="43">
        <f>IFERROR(IF(Z130="",0,Z130),"0")+IFERROR(IF(Z131="",0,Z131),"0")+IFERROR(IF(Z132="",0,Z132),"0")+IFERROR(IF(Z133="",0,Z133),"0")</f>
        <v>3.68872</v>
      </c>
      <c r="AA134" s="67"/>
      <c r="AB134" s="67"/>
      <c r="AC134" s="67"/>
    </row>
    <row r="135" spans="1:68" x14ac:dyDescent="0.2">
      <c r="A135" s="370"/>
      <c r="B135" s="370"/>
      <c r="C135" s="370"/>
      <c r="D135" s="370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1"/>
      <c r="P135" s="367" t="s">
        <v>40</v>
      </c>
      <c r="Q135" s="368"/>
      <c r="R135" s="368"/>
      <c r="S135" s="368"/>
      <c r="T135" s="368"/>
      <c r="U135" s="368"/>
      <c r="V135" s="369"/>
      <c r="W135" s="42" t="s">
        <v>0</v>
      </c>
      <c r="X135" s="43">
        <f>IFERROR(SUMPRODUCT(X130:X133*H130:H133),"0")</f>
        <v>533.40000000000009</v>
      </c>
      <c r="Y135" s="43">
        <f>IFERROR(SUMPRODUCT(Y130:Y133*H130:H133),"0")</f>
        <v>533.40000000000009</v>
      </c>
      <c r="Z135" s="42"/>
      <c r="AA135" s="67"/>
      <c r="AB135" s="67"/>
      <c r="AC135" s="67"/>
    </row>
    <row r="136" spans="1:68" ht="14.25" hidden="1" customHeight="1" x14ac:dyDescent="0.25">
      <c r="A136" s="355" t="s">
        <v>234</v>
      </c>
      <c r="B136" s="355"/>
      <c r="C136" s="355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5"/>
      <c r="P136" s="355"/>
      <c r="Q136" s="355"/>
      <c r="R136" s="355"/>
      <c r="S136" s="355"/>
      <c r="T136" s="355"/>
      <c r="U136" s="355"/>
      <c r="V136" s="355"/>
      <c r="W136" s="355"/>
      <c r="X136" s="355"/>
      <c r="Y136" s="355"/>
      <c r="Z136" s="355"/>
      <c r="AA136" s="66"/>
      <c r="AB136" s="66"/>
      <c r="AC136" s="83"/>
    </row>
    <row r="137" spans="1:68" ht="27" customHeight="1" x14ac:dyDescent="0.25">
      <c r="A137" s="63" t="s">
        <v>235</v>
      </c>
      <c r="B137" s="63" t="s">
        <v>236</v>
      </c>
      <c r="C137" s="36">
        <v>4301190117</v>
      </c>
      <c r="D137" s="356">
        <v>4620207491386</v>
      </c>
      <c r="E137" s="35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58"/>
      <c r="R137" s="358"/>
      <c r="S137" s="358"/>
      <c r="T137" s="359"/>
      <c r="U137" s="39" t="s">
        <v>46</v>
      </c>
      <c r="V137" s="39" t="s">
        <v>46</v>
      </c>
      <c r="W137" s="40" t="s">
        <v>39</v>
      </c>
      <c r="X137" s="58">
        <v>70</v>
      </c>
      <c r="Y137" s="55">
        <f>IFERROR(IF(X137="","",X137),"")</f>
        <v>70</v>
      </c>
      <c r="Z137" s="41">
        <f>IFERROR(IF(X137="","",X137*0.00941),"")</f>
        <v>0.65869999999999995</v>
      </c>
      <c r="AA137" s="68" t="s">
        <v>46</v>
      </c>
      <c r="AB137" s="69" t="s">
        <v>46</v>
      </c>
      <c r="AC137" s="191" t="s">
        <v>237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97.86</v>
      </c>
      <c r="BN137" s="81">
        <f>IFERROR(Y137*I137,"0")</f>
        <v>97.86</v>
      </c>
      <c r="BO137" s="81">
        <f>IFERROR(X137/J137,"0")</f>
        <v>0.5</v>
      </c>
      <c r="BP137" s="81">
        <f>IFERROR(Y137/J137,"0")</f>
        <v>0.5</v>
      </c>
    </row>
    <row r="138" spans="1:68" ht="27" customHeight="1" x14ac:dyDescent="0.25">
      <c r="A138" s="63" t="s">
        <v>238</v>
      </c>
      <c r="B138" s="63" t="s">
        <v>239</v>
      </c>
      <c r="C138" s="36">
        <v>4301190115</v>
      </c>
      <c r="D138" s="356">
        <v>4620207491362</v>
      </c>
      <c r="E138" s="356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116</v>
      </c>
      <c r="L138" s="37" t="s">
        <v>86</v>
      </c>
      <c r="M138" s="38" t="s">
        <v>84</v>
      </c>
      <c r="N138" s="38"/>
      <c r="O138" s="37">
        <v>180</v>
      </c>
      <c r="P138" s="41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58"/>
      <c r="R138" s="358"/>
      <c r="S138" s="358"/>
      <c r="T138" s="359"/>
      <c r="U138" s="39" t="s">
        <v>46</v>
      </c>
      <c r="V138" s="39" t="s">
        <v>46</v>
      </c>
      <c r="W138" s="40" t="s">
        <v>39</v>
      </c>
      <c r="X138" s="58">
        <v>70</v>
      </c>
      <c r="Y138" s="55">
        <f>IFERROR(IF(X138="","",X138),"")</f>
        <v>70</v>
      </c>
      <c r="Z138" s="41">
        <f>IFERROR(IF(X138="","",X138*0.00941),"")</f>
        <v>0.65869999999999995</v>
      </c>
      <c r="AA138" s="68" t="s">
        <v>46</v>
      </c>
      <c r="AB138" s="69" t="s">
        <v>46</v>
      </c>
      <c r="AC138" s="193" t="s">
        <v>237</v>
      </c>
      <c r="AG138" s="81"/>
      <c r="AJ138" s="87" t="s">
        <v>87</v>
      </c>
      <c r="AK138" s="87">
        <v>1</v>
      </c>
      <c r="BB138" s="194" t="s">
        <v>115</v>
      </c>
      <c r="BM138" s="81">
        <f>IFERROR(X138*I138,"0")</f>
        <v>97.86</v>
      </c>
      <c r="BN138" s="81">
        <f>IFERROR(Y138*I138,"0")</f>
        <v>97.86</v>
      </c>
      <c r="BO138" s="81">
        <f>IFERROR(X138/J138,"0")</f>
        <v>0.5</v>
      </c>
      <c r="BP138" s="81">
        <f>IFERROR(Y138/J138,"0")</f>
        <v>0.5</v>
      </c>
    </row>
    <row r="139" spans="1:68" ht="27" customHeight="1" x14ac:dyDescent="0.25">
      <c r="A139" s="63" t="s">
        <v>240</v>
      </c>
      <c r="B139" s="63" t="s">
        <v>241</v>
      </c>
      <c r="C139" s="36">
        <v>4301190116</v>
      </c>
      <c r="D139" s="356">
        <v>4620207491379</v>
      </c>
      <c r="E139" s="356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116</v>
      </c>
      <c r="L139" s="37" t="s">
        <v>86</v>
      </c>
      <c r="M139" s="38" t="s">
        <v>84</v>
      </c>
      <c r="N139" s="38"/>
      <c r="O139" s="37">
        <v>180</v>
      </c>
      <c r="P139" s="41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58"/>
      <c r="R139" s="358"/>
      <c r="S139" s="358"/>
      <c r="T139" s="359"/>
      <c r="U139" s="39" t="s">
        <v>46</v>
      </c>
      <c r="V139" s="39" t="s">
        <v>46</v>
      </c>
      <c r="W139" s="40" t="s">
        <v>39</v>
      </c>
      <c r="X139" s="58">
        <v>70</v>
      </c>
      <c r="Y139" s="55">
        <f>IFERROR(IF(X139="","",X139),"")</f>
        <v>70</v>
      </c>
      <c r="Z139" s="41">
        <f>IFERROR(IF(X139="","",X139*0.00941),"")</f>
        <v>0.65869999999999995</v>
      </c>
      <c r="AA139" s="68" t="s">
        <v>46</v>
      </c>
      <c r="AB139" s="69" t="s">
        <v>46</v>
      </c>
      <c r="AC139" s="195" t="s">
        <v>237</v>
      </c>
      <c r="AG139" s="81"/>
      <c r="AJ139" s="87" t="s">
        <v>87</v>
      </c>
      <c r="AK139" s="87">
        <v>1</v>
      </c>
      <c r="BB139" s="196" t="s">
        <v>115</v>
      </c>
      <c r="BM139" s="81">
        <f>IFERROR(X139*I139,"0")</f>
        <v>97.86</v>
      </c>
      <c r="BN139" s="81">
        <f>IFERROR(Y139*I139,"0")</f>
        <v>97.86</v>
      </c>
      <c r="BO139" s="81">
        <f>IFERROR(X139/J139,"0")</f>
        <v>0.5</v>
      </c>
      <c r="BP139" s="81">
        <f>IFERROR(Y139/J139,"0")</f>
        <v>0.5</v>
      </c>
    </row>
    <row r="140" spans="1:68" x14ac:dyDescent="0.2">
      <c r="A140" s="370"/>
      <c r="B140" s="370"/>
      <c r="C140" s="370"/>
      <c r="D140" s="370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1"/>
      <c r="P140" s="367" t="s">
        <v>40</v>
      </c>
      <c r="Q140" s="368"/>
      <c r="R140" s="368"/>
      <c r="S140" s="368"/>
      <c r="T140" s="368"/>
      <c r="U140" s="368"/>
      <c r="V140" s="369"/>
      <c r="W140" s="42" t="s">
        <v>39</v>
      </c>
      <c r="X140" s="43">
        <f>IFERROR(SUM(X137:X139),"0")</f>
        <v>210</v>
      </c>
      <c r="Y140" s="43">
        <f>IFERROR(SUM(Y137:Y139),"0")</f>
        <v>210</v>
      </c>
      <c r="Z140" s="43">
        <f>IFERROR(IF(Z137="",0,Z137),"0")+IFERROR(IF(Z138="",0,Z138),"0")+IFERROR(IF(Z139="",0,Z139),"0")</f>
        <v>1.9760999999999997</v>
      </c>
      <c r="AA140" s="67"/>
      <c r="AB140" s="67"/>
      <c r="AC140" s="67"/>
    </row>
    <row r="141" spans="1:68" x14ac:dyDescent="0.2">
      <c r="A141" s="370"/>
      <c r="B141" s="370"/>
      <c r="C141" s="370"/>
      <c r="D141" s="370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1"/>
      <c r="P141" s="367" t="s">
        <v>40</v>
      </c>
      <c r="Q141" s="368"/>
      <c r="R141" s="368"/>
      <c r="S141" s="368"/>
      <c r="T141" s="368"/>
      <c r="U141" s="368"/>
      <c r="V141" s="369"/>
      <c r="W141" s="42" t="s">
        <v>0</v>
      </c>
      <c r="X141" s="43">
        <f>IFERROR(SUMPRODUCT(X137:X139*H137:H139),"0")</f>
        <v>226.8</v>
      </c>
      <c r="Y141" s="43">
        <f>IFERROR(SUMPRODUCT(Y137:Y139*H137:H139),"0")</f>
        <v>226.8</v>
      </c>
      <c r="Z141" s="42"/>
      <c r="AA141" s="67"/>
      <c r="AB141" s="67"/>
      <c r="AC141" s="67"/>
    </row>
    <row r="142" spans="1:68" ht="16.5" hidden="1" customHeight="1" x14ac:dyDescent="0.25">
      <c r="A142" s="354" t="s">
        <v>242</v>
      </c>
      <c r="B142" s="354"/>
      <c r="C142" s="354"/>
      <c r="D142" s="354"/>
      <c r="E142" s="354"/>
      <c r="F142" s="354"/>
      <c r="G142" s="354"/>
      <c r="H142" s="354"/>
      <c r="I142" s="354"/>
      <c r="J142" s="354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4"/>
      <c r="V142" s="354"/>
      <c r="W142" s="354"/>
      <c r="X142" s="354"/>
      <c r="Y142" s="354"/>
      <c r="Z142" s="354"/>
      <c r="AA142" s="65"/>
      <c r="AB142" s="65"/>
      <c r="AC142" s="82"/>
    </row>
    <row r="143" spans="1:68" ht="14.25" hidden="1" customHeight="1" x14ac:dyDescent="0.25">
      <c r="A143" s="355" t="s">
        <v>149</v>
      </c>
      <c r="B143" s="355"/>
      <c r="C143" s="355"/>
      <c r="D143" s="355"/>
      <c r="E143" s="355"/>
      <c r="F143" s="355"/>
      <c r="G143" s="355"/>
      <c r="H143" s="355"/>
      <c r="I143" s="355"/>
      <c r="J143" s="355"/>
      <c r="K143" s="355"/>
      <c r="L143" s="355"/>
      <c r="M143" s="355"/>
      <c r="N143" s="355"/>
      <c r="O143" s="355"/>
      <c r="P143" s="355"/>
      <c r="Q143" s="355"/>
      <c r="R143" s="355"/>
      <c r="S143" s="355"/>
      <c r="T143" s="355"/>
      <c r="U143" s="355"/>
      <c r="V143" s="355"/>
      <c r="W143" s="355"/>
      <c r="X143" s="355"/>
      <c r="Y143" s="355"/>
      <c r="Z143" s="355"/>
      <c r="AA143" s="66"/>
      <c r="AB143" s="66"/>
      <c r="AC143" s="83"/>
    </row>
    <row r="144" spans="1:68" ht="27" customHeight="1" x14ac:dyDescent="0.25">
      <c r="A144" s="63" t="s">
        <v>243</v>
      </c>
      <c r="B144" s="63" t="s">
        <v>244</v>
      </c>
      <c r="C144" s="36">
        <v>4301135555</v>
      </c>
      <c r="D144" s="356">
        <v>4607111034014</v>
      </c>
      <c r="E144" s="356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116</v>
      </c>
      <c r="L144" s="37" t="s">
        <v>117</v>
      </c>
      <c r="M144" s="38" t="s">
        <v>84</v>
      </c>
      <c r="N144" s="38"/>
      <c r="O144" s="37">
        <v>180</v>
      </c>
      <c r="P144" s="41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58"/>
      <c r="R144" s="358"/>
      <c r="S144" s="358"/>
      <c r="T144" s="359"/>
      <c r="U144" s="39" t="s">
        <v>46</v>
      </c>
      <c r="V144" s="39" t="s">
        <v>46</v>
      </c>
      <c r="W144" s="40" t="s">
        <v>39</v>
      </c>
      <c r="X144" s="58">
        <v>140</v>
      </c>
      <c r="Y144" s="55">
        <f>IFERROR(IF(X144="","",X144),"")</f>
        <v>140</v>
      </c>
      <c r="Z144" s="41">
        <f>IFERROR(IF(X144="","",X144*0.01788),"")</f>
        <v>2.5032000000000001</v>
      </c>
      <c r="AA144" s="68" t="s">
        <v>46</v>
      </c>
      <c r="AB144" s="69" t="s">
        <v>46</v>
      </c>
      <c r="AC144" s="197" t="s">
        <v>245</v>
      </c>
      <c r="AG144" s="81"/>
      <c r="AJ144" s="87" t="s">
        <v>118</v>
      </c>
      <c r="AK144" s="87">
        <v>14</v>
      </c>
      <c r="BB144" s="198" t="s">
        <v>115</v>
      </c>
      <c r="BM144" s="81">
        <f>IFERROR(X144*I144,"0")</f>
        <v>518.50400000000002</v>
      </c>
      <c r="BN144" s="81">
        <f>IFERROR(Y144*I144,"0")</f>
        <v>518.50400000000002</v>
      </c>
      <c r="BO144" s="81">
        <f>IFERROR(X144/J144,"0")</f>
        <v>2</v>
      </c>
      <c r="BP144" s="81">
        <f>IFERROR(Y144/J144,"0")</f>
        <v>2</v>
      </c>
    </row>
    <row r="145" spans="1:68" ht="27" customHeight="1" x14ac:dyDescent="0.25">
      <c r="A145" s="63" t="s">
        <v>246</v>
      </c>
      <c r="B145" s="63" t="s">
        <v>247</v>
      </c>
      <c r="C145" s="36">
        <v>4301135532</v>
      </c>
      <c r="D145" s="356">
        <v>4607111033994</v>
      </c>
      <c r="E145" s="356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116</v>
      </c>
      <c r="L145" s="37" t="s">
        <v>117</v>
      </c>
      <c r="M145" s="38" t="s">
        <v>84</v>
      </c>
      <c r="N145" s="38"/>
      <c r="O145" s="37">
        <v>180</v>
      </c>
      <c r="P145" s="41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58"/>
      <c r="R145" s="358"/>
      <c r="S145" s="358"/>
      <c r="T145" s="359"/>
      <c r="U145" s="39" t="s">
        <v>46</v>
      </c>
      <c r="V145" s="39" t="s">
        <v>46</v>
      </c>
      <c r="W145" s="40" t="s">
        <v>39</v>
      </c>
      <c r="X145" s="58">
        <v>168</v>
      </c>
      <c r="Y145" s="55">
        <f>IFERROR(IF(X145="","",X145),"")</f>
        <v>168</v>
      </c>
      <c r="Z145" s="41">
        <f>IFERROR(IF(X145="","",X145*0.01788),"")</f>
        <v>3.0038399999999998</v>
      </c>
      <c r="AA145" s="68" t="s">
        <v>46</v>
      </c>
      <c r="AB145" s="69" t="s">
        <v>46</v>
      </c>
      <c r="AC145" s="199" t="s">
        <v>167</v>
      </c>
      <c r="AG145" s="81"/>
      <c r="AJ145" s="87" t="s">
        <v>118</v>
      </c>
      <c r="AK145" s="87">
        <v>14</v>
      </c>
      <c r="BB145" s="200" t="s">
        <v>115</v>
      </c>
      <c r="BM145" s="81">
        <f>IFERROR(X145*I145,"0")</f>
        <v>622.20479999999998</v>
      </c>
      <c r="BN145" s="81">
        <f>IFERROR(Y145*I145,"0")</f>
        <v>622.20479999999998</v>
      </c>
      <c r="BO145" s="81">
        <f>IFERROR(X145/J145,"0")</f>
        <v>2.4</v>
      </c>
      <c r="BP145" s="81">
        <f>IFERROR(Y145/J145,"0")</f>
        <v>2.4</v>
      </c>
    </row>
    <row r="146" spans="1:68" x14ac:dyDescent="0.2">
      <c r="A146" s="370"/>
      <c r="B146" s="370"/>
      <c r="C146" s="370"/>
      <c r="D146" s="370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1"/>
      <c r="P146" s="367" t="s">
        <v>40</v>
      </c>
      <c r="Q146" s="368"/>
      <c r="R146" s="368"/>
      <c r="S146" s="368"/>
      <c r="T146" s="368"/>
      <c r="U146" s="368"/>
      <c r="V146" s="369"/>
      <c r="W146" s="42" t="s">
        <v>39</v>
      </c>
      <c r="X146" s="43">
        <f>IFERROR(SUM(X144:X145),"0")</f>
        <v>308</v>
      </c>
      <c r="Y146" s="43">
        <f>IFERROR(SUM(Y144:Y145),"0")</f>
        <v>308</v>
      </c>
      <c r="Z146" s="43">
        <f>IFERROR(IF(Z144="",0,Z144),"0")+IFERROR(IF(Z145="",0,Z145),"0")</f>
        <v>5.5070399999999999</v>
      </c>
      <c r="AA146" s="67"/>
      <c r="AB146" s="67"/>
      <c r="AC146" s="67"/>
    </row>
    <row r="147" spans="1:68" x14ac:dyDescent="0.2">
      <c r="A147" s="370"/>
      <c r="B147" s="370"/>
      <c r="C147" s="370"/>
      <c r="D147" s="370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1"/>
      <c r="P147" s="367" t="s">
        <v>40</v>
      </c>
      <c r="Q147" s="368"/>
      <c r="R147" s="368"/>
      <c r="S147" s="368"/>
      <c r="T147" s="368"/>
      <c r="U147" s="368"/>
      <c r="V147" s="369"/>
      <c r="W147" s="42" t="s">
        <v>0</v>
      </c>
      <c r="X147" s="43">
        <f>IFERROR(SUMPRODUCT(X144:X145*H144:H145),"0")</f>
        <v>924</v>
      </c>
      <c r="Y147" s="43">
        <f>IFERROR(SUMPRODUCT(Y144:Y145*H144:H145),"0")</f>
        <v>924</v>
      </c>
      <c r="Z147" s="42"/>
      <c r="AA147" s="67"/>
      <c r="AB147" s="67"/>
      <c r="AC147" s="67"/>
    </row>
    <row r="148" spans="1:68" ht="16.5" hidden="1" customHeight="1" x14ac:dyDescent="0.25">
      <c r="A148" s="354" t="s">
        <v>248</v>
      </c>
      <c r="B148" s="354"/>
      <c r="C148" s="354"/>
      <c r="D148" s="354"/>
      <c r="E148" s="354"/>
      <c r="F148" s="354"/>
      <c r="G148" s="354"/>
      <c r="H148" s="354"/>
      <c r="I148" s="354"/>
      <c r="J148" s="354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  <c r="Z148" s="354"/>
      <c r="AA148" s="65"/>
      <c r="AB148" s="65"/>
      <c r="AC148" s="82"/>
    </row>
    <row r="149" spans="1:68" ht="14.25" hidden="1" customHeight="1" x14ac:dyDescent="0.25">
      <c r="A149" s="355" t="s">
        <v>149</v>
      </c>
      <c r="B149" s="355"/>
      <c r="C149" s="355"/>
      <c r="D149" s="355"/>
      <c r="E149" s="355"/>
      <c r="F149" s="355"/>
      <c r="G149" s="355"/>
      <c r="H149" s="355"/>
      <c r="I149" s="355"/>
      <c r="J149" s="355"/>
      <c r="K149" s="355"/>
      <c r="L149" s="355"/>
      <c r="M149" s="355"/>
      <c r="N149" s="355"/>
      <c r="O149" s="355"/>
      <c r="P149" s="355"/>
      <c r="Q149" s="355"/>
      <c r="R149" s="355"/>
      <c r="S149" s="355"/>
      <c r="T149" s="355"/>
      <c r="U149" s="355"/>
      <c r="V149" s="355"/>
      <c r="W149" s="355"/>
      <c r="X149" s="355"/>
      <c r="Y149" s="355"/>
      <c r="Z149" s="355"/>
      <c r="AA149" s="66"/>
      <c r="AB149" s="66"/>
      <c r="AC149" s="83"/>
    </row>
    <row r="150" spans="1:68" ht="27" customHeight="1" x14ac:dyDescent="0.25">
      <c r="A150" s="63" t="s">
        <v>249</v>
      </c>
      <c r="B150" s="63" t="s">
        <v>250</v>
      </c>
      <c r="C150" s="36">
        <v>4301135824</v>
      </c>
      <c r="D150" s="356">
        <v>4607111039095</v>
      </c>
      <c r="E150" s="356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42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58"/>
      <c r="R150" s="358"/>
      <c r="S150" s="358"/>
      <c r="T150" s="359"/>
      <c r="U150" s="39" t="s">
        <v>46</v>
      </c>
      <c r="V150" s="39" t="s">
        <v>46</v>
      </c>
      <c r="W150" s="40" t="s">
        <v>39</v>
      </c>
      <c r="X150" s="58">
        <v>42</v>
      </c>
      <c r="Y150" s="55">
        <f>IFERROR(IF(X150="","",X150),"")</f>
        <v>42</v>
      </c>
      <c r="Z150" s="41">
        <f>IFERROR(IF(X150="","",X150*0.01788),"")</f>
        <v>0.75095999999999996</v>
      </c>
      <c r="AA150" s="68" t="s">
        <v>46</v>
      </c>
      <c r="AB150" s="69" t="s">
        <v>46</v>
      </c>
      <c r="AC150" s="201" t="s">
        <v>251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157.416</v>
      </c>
      <c r="BN150" s="81">
        <f>IFERROR(Y150*I150,"0")</f>
        <v>157.416</v>
      </c>
      <c r="BO150" s="81">
        <f>IFERROR(X150/J150,"0")</f>
        <v>0.6</v>
      </c>
      <c r="BP150" s="81">
        <f>IFERROR(Y150/J150,"0")</f>
        <v>0.6</v>
      </c>
    </row>
    <row r="151" spans="1:68" ht="16.5" customHeight="1" x14ac:dyDescent="0.25">
      <c r="A151" s="63" t="s">
        <v>252</v>
      </c>
      <c r="B151" s="63" t="s">
        <v>253</v>
      </c>
      <c r="C151" s="36">
        <v>4301135946</v>
      </c>
      <c r="D151" s="356">
        <v>4620207491553</v>
      </c>
      <c r="E151" s="35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116</v>
      </c>
      <c r="L151" s="37" t="s">
        <v>86</v>
      </c>
      <c r="M151" s="38" t="s">
        <v>84</v>
      </c>
      <c r="N151" s="38"/>
      <c r="O151" s="37">
        <v>180</v>
      </c>
      <c r="P151" s="42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58"/>
      <c r="R151" s="358"/>
      <c r="S151" s="358"/>
      <c r="T151" s="359"/>
      <c r="U151" s="39" t="s">
        <v>46</v>
      </c>
      <c r="V151" s="39" t="s">
        <v>46</v>
      </c>
      <c r="W151" s="40" t="s">
        <v>39</v>
      </c>
      <c r="X151" s="58">
        <v>42</v>
      </c>
      <c r="Y151" s="55">
        <f>IFERROR(IF(X151="","",X151),"")</f>
        <v>42</v>
      </c>
      <c r="Z151" s="41">
        <f>IFERROR(IF(X151="","",X151*0.01788),"")</f>
        <v>0.75095999999999996</v>
      </c>
      <c r="AA151" s="68" t="s">
        <v>46</v>
      </c>
      <c r="AB151" s="69" t="s">
        <v>46</v>
      </c>
      <c r="AC151" s="203" t="s">
        <v>254</v>
      </c>
      <c r="AG151" s="81"/>
      <c r="AJ151" s="87" t="s">
        <v>87</v>
      </c>
      <c r="AK151" s="87">
        <v>1</v>
      </c>
      <c r="BB151" s="204" t="s">
        <v>115</v>
      </c>
      <c r="BM151" s="81">
        <f>IFERROR(X151*I151,"0")</f>
        <v>155.55119999999999</v>
      </c>
      <c r="BN151" s="81">
        <f>IFERROR(Y151*I151,"0")</f>
        <v>155.55119999999999</v>
      </c>
      <c r="BO151" s="81">
        <f>IFERROR(X151/J151,"0")</f>
        <v>0.6</v>
      </c>
      <c r="BP151" s="81">
        <f>IFERROR(Y151/J151,"0")</f>
        <v>0.6</v>
      </c>
    </row>
    <row r="152" spans="1:68" x14ac:dyDescent="0.2">
      <c r="A152" s="370"/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1"/>
      <c r="P152" s="367" t="s">
        <v>40</v>
      </c>
      <c r="Q152" s="368"/>
      <c r="R152" s="368"/>
      <c r="S152" s="368"/>
      <c r="T152" s="368"/>
      <c r="U152" s="368"/>
      <c r="V152" s="369"/>
      <c r="W152" s="42" t="s">
        <v>39</v>
      </c>
      <c r="X152" s="43">
        <f>IFERROR(SUM(X150:X151),"0")</f>
        <v>84</v>
      </c>
      <c r="Y152" s="43">
        <f>IFERROR(SUM(Y150:Y151),"0")</f>
        <v>84</v>
      </c>
      <c r="Z152" s="43">
        <f>IFERROR(IF(Z150="",0,Z150),"0")+IFERROR(IF(Z151="",0,Z151),"0")</f>
        <v>1.5019199999999999</v>
      </c>
      <c r="AA152" s="67"/>
      <c r="AB152" s="67"/>
      <c r="AC152" s="67"/>
    </row>
    <row r="153" spans="1:68" x14ac:dyDescent="0.2">
      <c r="A153" s="370"/>
      <c r="B153" s="370"/>
      <c r="C153" s="370"/>
      <c r="D153" s="370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1"/>
      <c r="P153" s="367" t="s">
        <v>40</v>
      </c>
      <c r="Q153" s="368"/>
      <c r="R153" s="368"/>
      <c r="S153" s="368"/>
      <c r="T153" s="368"/>
      <c r="U153" s="368"/>
      <c r="V153" s="369"/>
      <c r="W153" s="42" t="s">
        <v>0</v>
      </c>
      <c r="X153" s="43">
        <f>IFERROR(SUMPRODUCT(X150:X151*H150:H151),"0")</f>
        <v>252</v>
      </c>
      <c r="Y153" s="43">
        <f>IFERROR(SUMPRODUCT(Y150:Y151*H150:H151),"0")</f>
        <v>252</v>
      </c>
      <c r="Z153" s="42"/>
      <c r="AA153" s="67"/>
      <c r="AB153" s="67"/>
      <c r="AC153" s="67"/>
    </row>
    <row r="154" spans="1:68" ht="16.5" hidden="1" customHeight="1" x14ac:dyDescent="0.25">
      <c r="A154" s="354" t="s">
        <v>255</v>
      </c>
      <c r="B154" s="354"/>
      <c r="C154" s="354"/>
      <c r="D154" s="354"/>
      <c r="E154" s="354"/>
      <c r="F154" s="354"/>
      <c r="G154" s="354"/>
      <c r="H154" s="354"/>
      <c r="I154" s="354"/>
      <c r="J154" s="354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  <c r="Z154" s="354"/>
      <c r="AA154" s="65"/>
      <c r="AB154" s="65"/>
      <c r="AC154" s="82"/>
    </row>
    <row r="155" spans="1:68" ht="14.25" hidden="1" customHeight="1" x14ac:dyDescent="0.25">
      <c r="A155" s="355" t="s">
        <v>149</v>
      </c>
      <c r="B155" s="355"/>
      <c r="C155" s="355"/>
      <c r="D155" s="355"/>
      <c r="E155" s="355"/>
      <c r="F155" s="355"/>
      <c r="G155" s="355"/>
      <c r="H155" s="355"/>
      <c r="I155" s="355"/>
      <c r="J155" s="355"/>
      <c r="K155" s="355"/>
      <c r="L155" s="355"/>
      <c r="M155" s="355"/>
      <c r="N155" s="355"/>
      <c r="O155" s="355"/>
      <c r="P155" s="355"/>
      <c r="Q155" s="355"/>
      <c r="R155" s="355"/>
      <c r="S155" s="355"/>
      <c r="T155" s="355"/>
      <c r="U155" s="355"/>
      <c r="V155" s="355"/>
      <c r="W155" s="355"/>
      <c r="X155" s="355"/>
      <c r="Y155" s="355"/>
      <c r="Z155" s="355"/>
      <c r="AA155" s="66"/>
      <c r="AB155" s="66"/>
      <c r="AC155" s="83"/>
    </row>
    <row r="156" spans="1:68" ht="27" customHeight="1" x14ac:dyDescent="0.25">
      <c r="A156" s="63" t="s">
        <v>256</v>
      </c>
      <c r="B156" s="63" t="s">
        <v>257</v>
      </c>
      <c r="C156" s="36">
        <v>4301135753</v>
      </c>
      <c r="D156" s="356">
        <v>4620207490914</v>
      </c>
      <c r="E156" s="35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42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58"/>
      <c r="R156" s="358"/>
      <c r="S156" s="358"/>
      <c r="T156" s="359"/>
      <c r="U156" s="39" t="s">
        <v>46</v>
      </c>
      <c r="V156" s="39" t="s">
        <v>46</v>
      </c>
      <c r="W156" s="40" t="s">
        <v>39</v>
      </c>
      <c r="X156" s="58">
        <v>42</v>
      </c>
      <c r="Y156" s="55">
        <f>IFERROR(IF(X156="","",X156),"")</f>
        <v>42</v>
      </c>
      <c r="Z156" s="41">
        <f>IFERROR(IF(X156="","",X156*0.01788),"")</f>
        <v>0.75095999999999996</v>
      </c>
      <c r="AA156" s="68" t="s">
        <v>46</v>
      </c>
      <c r="AB156" s="69" t="s">
        <v>46</v>
      </c>
      <c r="AC156" s="205" t="s">
        <v>245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112.56</v>
      </c>
      <c r="BN156" s="81">
        <f>IFERROR(Y156*I156,"0")</f>
        <v>112.56</v>
      </c>
      <c r="BO156" s="81">
        <f>IFERROR(X156/J156,"0")</f>
        <v>0.6</v>
      </c>
      <c r="BP156" s="81">
        <f>IFERROR(Y156/J156,"0")</f>
        <v>0.6</v>
      </c>
    </row>
    <row r="157" spans="1:68" ht="27" customHeight="1" x14ac:dyDescent="0.25">
      <c r="A157" s="63" t="s">
        <v>258</v>
      </c>
      <c r="B157" s="63" t="s">
        <v>259</v>
      </c>
      <c r="C157" s="36">
        <v>4301135778</v>
      </c>
      <c r="D157" s="356">
        <v>4620207490853</v>
      </c>
      <c r="E157" s="356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116</v>
      </c>
      <c r="L157" s="37" t="s">
        <v>117</v>
      </c>
      <c r="M157" s="38" t="s">
        <v>84</v>
      </c>
      <c r="N157" s="38"/>
      <c r="O157" s="37">
        <v>180</v>
      </c>
      <c r="P157" s="42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58"/>
      <c r="R157" s="358"/>
      <c r="S157" s="358"/>
      <c r="T157" s="359"/>
      <c r="U157" s="39" t="s">
        <v>46</v>
      </c>
      <c r="V157" s="39" t="s">
        <v>46</v>
      </c>
      <c r="W157" s="40" t="s">
        <v>39</v>
      </c>
      <c r="X157" s="58">
        <v>42</v>
      </c>
      <c r="Y157" s="55">
        <f>IFERROR(IF(X157="","",X157),"")</f>
        <v>42</v>
      </c>
      <c r="Z157" s="41">
        <f>IFERROR(IF(X157="","",X157*0.01788),"")</f>
        <v>0.75095999999999996</v>
      </c>
      <c r="AA157" s="68" t="s">
        <v>46</v>
      </c>
      <c r="AB157" s="69" t="s">
        <v>46</v>
      </c>
      <c r="AC157" s="207" t="s">
        <v>245</v>
      </c>
      <c r="AG157" s="81"/>
      <c r="AJ157" s="87" t="s">
        <v>118</v>
      </c>
      <c r="AK157" s="87">
        <v>14</v>
      </c>
      <c r="BB157" s="208" t="s">
        <v>115</v>
      </c>
      <c r="BM157" s="81">
        <f>IFERROR(X157*I157,"0")</f>
        <v>112.56</v>
      </c>
      <c r="BN157" s="81">
        <f>IFERROR(Y157*I157,"0")</f>
        <v>112.56</v>
      </c>
      <c r="BO157" s="81">
        <f>IFERROR(X157/J157,"0")</f>
        <v>0.6</v>
      </c>
      <c r="BP157" s="81">
        <f>IFERROR(Y157/J157,"0")</f>
        <v>0.6</v>
      </c>
    </row>
    <row r="158" spans="1:68" x14ac:dyDescent="0.2">
      <c r="A158" s="370"/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1"/>
      <c r="P158" s="367" t="s">
        <v>40</v>
      </c>
      <c r="Q158" s="368"/>
      <c r="R158" s="368"/>
      <c r="S158" s="368"/>
      <c r="T158" s="368"/>
      <c r="U158" s="368"/>
      <c r="V158" s="369"/>
      <c r="W158" s="42" t="s">
        <v>39</v>
      </c>
      <c r="X158" s="43">
        <f>IFERROR(SUM(X156:X157),"0")</f>
        <v>84</v>
      </c>
      <c r="Y158" s="43">
        <f>IFERROR(SUM(Y156:Y157),"0")</f>
        <v>84</v>
      </c>
      <c r="Z158" s="43">
        <f>IFERROR(IF(Z156="",0,Z156),"0")+IFERROR(IF(Z157="",0,Z157),"0")</f>
        <v>1.5019199999999999</v>
      </c>
      <c r="AA158" s="67"/>
      <c r="AB158" s="67"/>
      <c r="AC158" s="67"/>
    </row>
    <row r="159" spans="1:68" x14ac:dyDescent="0.2">
      <c r="A159" s="370"/>
      <c r="B159" s="370"/>
      <c r="C159" s="370"/>
      <c r="D159" s="370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1"/>
      <c r="P159" s="367" t="s">
        <v>40</v>
      </c>
      <c r="Q159" s="368"/>
      <c r="R159" s="368"/>
      <c r="S159" s="368"/>
      <c r="T159" s="368"/>
      <c r="U159" s="368"/>
      <c r="V159" s="369"/>
      <c r="W159" s="42" t="s">
        <v>0</v>
      </c>
      <c r="X159" s="43">
        <f>IFERROR(SUMPRODUCT(X156:X157*H156:H157),"0")</f>
        <v>201.6</v>
      </c>
      <c r="Y159" s="43">
        <f>IFERROR(SUMPRODUCT(Y156:Y157*H156:H157),"0")</f>
        <v>201.6</v>
      </c>
      <c r="Z159" s="42"/>
      <c r="AA159" s="67"/>
      <c r="AB159" s="67"/>
      <c r="AC159" s="67"/>
    </row>
    <row r="160" spans="1:68" ht="16.5" hidden="1" customHeight="1" x14ac:dyDescent="0.25">
      <c r="A160" s="354" t="s">
        <v>260</v>
      </c>
      <c r="B160" s="354"/>
      <c r="C160" s="354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  <c r="Z160" s="354"/>
      <c r="AA160" s="65"/>
      <c r="AB160" s="65"/>
      <c r="AC160" s="82"/>
    </row>
    <row r="161" spans="1:68" ht="14.25" hidden="1" customHeight="1" x14ac:dyDescent="0.25">
      <c r="A161" s="355" t="s">
        <v>149</v>
      </c>
      <c r="B161" s="355"/>
      <c r="C161" s="355"/>
      <c r="D161" s="355"/>
      <c r="E161" s="355"/>
      <c r="F161" s="355"/>
      <c r="G161" s="355"/>
      <c r="H161" s="355"/>
      <c r="I161" s="355"/>
      <c r="J161" s="355"/>
      <c r="K161" s="355"/>
      <c r="L161" s="355"/>
      <c r="M161" s="355"/>
      <c r="N161" s="355"/>
      <c r="O161" s="355"/>
      <c r="P161" s="355"/>
      <c r="Q161" s="355"/>
      <c r="R161" s="355"/>
      <c r="S161" s="355"/>
      <c r="T161" s="355"/>
      <c r="U161" s="355"/>
      <c r="V161" s="355"/>
      <c r="W161" s="355"/>
      <c r="X161" s="355"/>
      <c r="Y161" s="355"/>
      <c r="Z161" s="355"/>
      <c r="AA161" s="66"/>
      <c r="AB161" s="66"/>
      <c r="AC161" s="83"/>
    </row>
    <row r="162" spans="1:68" ht="27" customHeight="1" x14ac:dyDescent="0.25">
      <c r="A162" s="63" t="s">
        <v>261</v>
      </c>
      <c r="B162" s="63" t="s">
        <v>262</v>
      </c>
      <c r="C162" s="36">
        <v>4301135570</v>
      </c>
      <c r="D162" s="356">
        <v>4607111035806</v>
      </c>
      <c r="E162" s="356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116</v>
      </c>
      <c r="L162" s="37" t="s">
        <v>117</v>
      </c>
      <c r="M162" s="38" t="s">
        <v>84</v>
      </c>
      <c r="N162" s="38"/>
      <c r="O162" s="37">
        <v>180</v>
      </c>
      <c r="P162" s="42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358"/>
      <c r="R162" s="358"/>
      <c r="S162" s="358"/>
      <c r="T162" s="359"/>
      <c r="U162" s="39" t="s">
        <v>46</v>
      </c>
      <c r="V162" s="39" t="s">
        <v>46</v>
      </c>
      <c r="W162" s="40" t="s">
        <v>39</v>
      </c>
      <c r="X162" s="58">
        <v>28</v>
      </c>
      <c r="Y162" s="55">
        <f>IFERROR(IF(X162="","",X162),"")</f>
        <v>28</v>
      </c>
      <c r="Z162" s="41">
        <f>IFERROR(IF(X162="","",X162*0.01788),"")</f>
        <v>0.50063999999999997</v>
      </c>
      <c r="AA162" s="68" t="s">
        <v>46</v>
      </c>
      <c r="AB162" s="69" t="s">
        <v>46</v>
      </c>
      <c r="AC162" s="209" t="s">
        <v>263</v>
      </c>
      <c r="AG162" s="81"/>
      <c r="AJ162" s="87" t="s">
        <v>118</v>
      </c>
      <c r="AK162" s="87">
        <v>14</v>
      </c>
      <c r="BB162" s="210" t="s">
        <v>115</v>
      </c>
      <c r="BM162" s="81">
        <f>IFERROR(X162*I162,"0")</f>
        <v>103.70079999999999</v>
      </c>
      <c r="BN162" s="81">
        <f>IFERROR(Y162*I162,"0")</f>
        <v>103.70079999999999</v>
      </c>
      <c r="BO162" s="81">
        <f>IFERROR(X162/J162,"0")</f>
        <v>0.4</v>
      </c>
      <c r="BP162" s="81">
        <f>IFERROR(Y162/J162,"0")</f>
        <v>0.4</v>
      </c>
    </row>
    <row r="163" spans="1:68" x14ac:dyDescent="0.2">
      <c r="A163" s="370"/>
      <c r="B163" s="370"/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1"/>
      <c r="P163" s="367" t="s">
        <v>40</v>
      </c>
      <c r="Q163" s="368"/>
      <c r="R163" s="368"/>
      <c r="S163" s="368"/>
      <c r="T163" s="368"/>
      <c r="U163" s="368"/>
      <c r="V163" s="369"/>
      <c r="W163" s="42" t="s">
        <v>39</v>
      </c>
      <c r="X163" s="43">
        <f>IFERROR(SUM(X162:X162),"0")</f>
        <v>28</v>
      </c>
      <c r="Y163" s="43">
        <f>IFERROR(SUM(Y162:Y162),"0")</f>
        <v>28</v>
      </c>
      <c r="Z163" s="43">
        <f>IFERROR(IF(Z162="",0,Z162),"0")</f>
        <v>0.50063999999999997</v>
      </c>
      <c r="AA163" s="67"/>
      <c r="AB163" s="67"/>
      <c r="AC163" s="67"/>
    </row>
    <row r="164" spans="1:68" x14ac:dyDescent="0.2">
      <c r="A164" s="370"/>
      <c r="B164" s="370"/>
      <c r="C164" s="370"/>
      <c r="D164" s="370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1"/>
      <c r="P164" s="367" t="s">
        <v>40</v>
      </c>
      <c r="Q164" s="368"/>
      <c r="R164" s="368"/>
      <c r="S164" s="368"/>
      <c r="T164" s="368"/>
      <c r="U164" s="368"/>
      <c r="V164" s="369"/>
      <c r="W164" s="42" t="s">
        <v>0</v>
      </c>
      <c r="X164" s="43">
        <f>IFERROR(SUMPRODUCT(X162:X162*H162:H162),"0")</f>
        <v>84</v>
      </c>
      <c r="Y164" s="43">
        <f>IFERROR(SUMPRODUCT(Y162:Y162*H162:H162),"0")</f>
        <v>84</v>
      </c>
      <c r="Z164" s="42"/>
      <c r="AA164" s="67"/>
      <c r="AB164" s="67"/>
      <c r="AC164" s="67"/>
    </row>
    <row r="165" spans="1:68" ht="16.5" hidden="1" customHeight="1" x14ac:dyDescent="0.25">
      <c r="A165" s="354" t="s">
        <v>264</v>
      </c>
      <c r="B165" s="354"/>
      <c r="C165" s="354"/>
      <c r="D165" s="354"/>
      <c r="E165" s="354"/>
      <c r="F165" s="354"/>
      <c r="G165" s="354"/>
      <c r="H165" s="354"/>
      <c r="I165" s="354"/>
      <c r="J165" s="354"/>
      <c r="K165" s="354"/>
      <c r="L165" s="354"/>
      <c r="M165" s="354"/>
      <c r="N165" s="354"/>
      <c r="O165" s="354"/>
      <c r="P165" s="354"/>
      <c r="Q165" s="354"/>
      <c r="R165" s="354"/>
      <c r="S165" s="354"/>
      <c r="T165" s="354"/>
      <c r="U165" s="354"/>
      <c r="V165" s="354"/>
      <c r="W165" s="354"/>
      <c r="X165" s="354"/>
      <c r="Y165" s="354"/>
      <c r="Z165" s="354"/>
      <c r="AA165" s="65"/>
      <c r="AB165" s="65"/>
      <c r="AC165" s="82"/>
    </row>
    <row r="166" spans="1:68" ht="14.25" hidden="1" customHeight="1" x14ac:dyDescent="0.25">
      <c r="A166" s="355" t="s">
        <v>149</v>
      </c>
      <c r="B166" s="355"/>
      <c r="C166" s="355"/>
      <c r="D166" s="355"/>
      <c r="E166" s="355"/>
      <c r="F166" s="355"/>
      <c r="G166" s="355"/>
      <c r="H166" s="355"/>
      <c r="I166" s="355"/>
      <c r="J166" s="355"/>
      <c r="K166" s="355"/>
      <c r="L166" s="355"/>
      <c r="M166" s="355"/>
      <c r="N166" s="355"/>
      <c r="O166" s="355"/>
      <c r="P166" s="355"/>
      <c r="Q166" s="355"/>
      <c r="R166" s="355"/>
      <c r="S166" s="355"/>
      <c r="T166" s="355"/>
      <c r="U166" s="355"/>
      <c r="V166" s="355"/>
      <c r="W166" s="355"/>
      <c r="X166" s="355"/>
      <c r="Y166" s="355"/>
      <c r="Z166" s="355"/>
      <c r="AA166" s="66"/>
      <c r="AB166" s="66"/>
      <c r="AC166" s="83"/>
    </row>
    <row r="167" spans="1:68" ht="16.5" customHeight="1" x14ac:dyDescent="0.25">
      <c r="A167" s="63" t="s">
        <v>265</v>
      </c>
      <c r="B167" s="63" t="s">
        <v>266</v>
      </c>
      <c r="C167" s="36">
        <v>4301135607</v>
      </c>
      <c r="D167" s="356">
        <v>4607111039613</v>
      </c>
      <c r="E167" s="356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116</v>
      </c>
      <c r="L167" s="37" t="s">
        <v>117</v>
      </c>
      <c r="M167" s="38" t="s">
        <v>84</v>
      </c>
      <c r="N167" s="38"/>
      <c r="O167" s="37">
        <v>180</v>
      </c>
      <c r="P167" s="42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58"/>
      <c r="R167" s="358"/>
      <c r="S167" s="358"/>
      <c r="T167" s="359"/>
      <c r="U167" s="39" t="s">
        <v>46</v>
      </c>
      <c r="V167" s="39" t="s">
        <v>46</v>
      </c>
      <c r="W167" s="40" t="s">
        <v>39</v>
      </c>
      <c r="X167" s="58">
        <v>56</v>
      </c>
      <c r="Y167" s="55">
        <f>IFERROR(IF(X167="","",X167),"")</f>
        <v>56</v>
      </c>
      <c r="Z167" s="41">
        <f>IFERROR(IF(X167="","",X167*0.00936),"")</f>
        <v>0.52415999999999996</v>
      </c>
      <c r="AA167" s="68" t="s">
        <v>46</v>
      </c>
      <c r="AB167" s="69" t="s">
        <v>46</v>
      </c>
      <c r="AC167" s="211" t="s">
        <v>251</v>
      </c>
      <c r="AG167" s="81"/>
      <c r="AJ167" s="87" t="s">
        <v>118</v>
      </c>
      <c r="AK167" s="87">
        <v>14</v>
      </c>
      <c r="BB167" s="212" t="s">
        <v>115</v>
      </c>
      <c r="BM167" s="81">
        <f>IFERROR(X167*I167,"0")</f>
        <v>173.04</v>
      </c>
      <c r="BN167" s="81">
        <f>IFERROR(Y167*I167,"0")</f>
        <v>173.04</v>
      </c>
      <c r="BO167" s="81">
        <f>IFERROR(X167/J167,"0")</f>
        <v>0.44444444444444442</v>
      </c>
      <c r="BP167" s="81">
        <f>IFERROR(Y167/J167,"0")</f>
        <v>0.44444444444444442</v>
      </c>
    </row>
    <row r="168" spans="1:68" x14ac:dyDescent="0.2">
      <c r="A168" s="370"/>
      <c r="B168" s="370"/>
      <c r="C168" s="370"/>
      <c r="D168" s="370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1"/>
      <c r="P168" s="367" t="s">
        <v>40</v>
      </c>
      <c r="Q168" s="368"/>
      <c r="R168" s="368"/>
      <c r="S168" s="368"/>
      <c r="T168" s="368"/>
      <c r="U168" s="368"/>
      <c r="V168" s="369"/>
      <c r="W168" s="42" t="s">
        <v>39</v>
      </c>
      <c r="X168" s="43">
        <f>IFERROR(SUM(X167:X167),"0")</f>
        <v>56</v>
      </c>
      <c r="Y168" s="43">
        <f>IFERROR(SUM(Y167:Y167),"0")</f>
        <v>56</v>
      </c>
      <c r="Z168" s="43">
        <f>IFERROR(IF(Z167="",0,Z167),"0")</f>
        <v>0.52415999999999996</v>
      </c>
      <c r="AA168" s="67"/>
      <c r="AB168" s="67"/>
      <c r="AC168" s="67"/>
    </row>
    <row r="169" spans="1:68" x14ac:dyDescent="0.2">
      <c r="A169" s="370"/>
      <c r="B169" s="370"/>
      <c r="C169" s="370"/>
      <c r="D169" s="370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1"/>
      <c r="P169" s="367" t="s">
        <v>40</v>
      </c>
      <c r="Q169" s="368"/>
      <c r="R169" s="368"/>
      <c r="S169" s="368"/>
      <c r="T169" s="368"/>
      <c r="U169" s="368"/>
      <c r="V169" s="369"/>
      <c r="W169" s="42" t="s">
        <v>0</v>
      </c>
      <c r="X169" s="43">
        <f>IFERROR(SUMPRODUCT(X167:X167*H167:H167),"0")</f>
        <v>151.20000000000002</v>
      </c>
      <c r="Y169" s="43">
        <f>IFERROR(SUMPRODUCT(Y167:Y167*H167:H167),"0")</f>
        <v>151.20000000000002</v>
      </c>
      <c r="Z169" s="42"/>
      <c r="AA169" s="67"/>
      <c r="AB169" s="67"/>
      <c r="AC169" s="67"/>
    </row>
    <row r="170" spans="1:68" ht="16.5" hidden="1" customHeight="1" x14ac:dyDescent="0.25">
      <c r="A170" s="354" t="s">
        <v>267</v>
      </c>
      <c r="B170" s="354"/>
      <c r="C170" s="354"/>
      <c r="D170" s="354"/>
      <c r="E170" s="354"/>
      <c r="F170" s="354"/>
      <c r="G170" s="354"/>
      <c r="H170" s="354"/>
      <c r="I170" s="354"/>
      <c r="J170" s="354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  <c r="AA170" s="65"/>
      <c r="AB170" s="65"/>
      <c r="AC170" s="82"/>
    </row>
    <row r="171" spans="1:68" ht="14.25" hidden="1" customHeight="1" x14ac:dyDescent="0.25">
      <c r="A171" s="355" t="s">
        <v>149</v>
      </c>
      <c r="B171" s="355"/>
      <c r="C171" s="355"/>
      <c r="D171" s="355"/>
      <c r="E171" s="355"/>
      <c r="F171" s="355"/>
      <c r="G171" s="355"/>
      <c r="H171" s="355"/>
      <c r="I171" s="355"/>
      <c r="J171" s="355"/>
      <c r="K171" s="355"/>
      <c r="L171" s="355"/>
      <c r="M171" s="355"/>
      <c r="N171" s="355"/>
      <c r="O171" s="355"/>
      <c r="P171" s="355"/>
      <c r="Q171" s="355"/>
      <c r="R171" s="355"/>
      <c r="S171" s="355"/>
      <c r="T171" s="355"/>
      <c r="U171" s="355"/>
      <c r="V171" s="355"/>
      <c r="W171" s="355"/>
      <c r="X171" s="355"/>
      <c r="Y171" s="355"/>
      <c r="Z171" s="355"/>
      <c r="AA171" s="66"/>
      <c r="AB171" s="66"/>
      <c r="AC171" s="83"/>
    </row>
    <row r="172" spans="1:68" ht="27" customHeight="1" x14ac:dyDescent="0.25">
      <c r="A172" s="63" t="s">
        <v>268</v>
      </c>
      <c r="B172" s="63" t="s">
        <v>269</v>
      </c>
      <c r="C172" s="36">
        <v>4301135184</v>
      </c>
      <c r="D172" s="356">
        <v>4607111036568</v>
      </c>
      <c r="E172" s="356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116</v>
      </c>
      <c r="L172" s="37" t="s">
        <v>86</v>
      </c>
      <c r="M172" s="38" t="s">
        <v>84</v>
      </c>
      <c r="N172" s="38"/>
      <c r="O172" s="37">
        <v>180</v>
      </c>
      <c r="P172" s="426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2" s="358"/>
      <c r="R172" s="358"/>
      <c r="S172" s="358"/>
      <c r="T172" s="359"/>
      <c r="U172" s="39" t="s">
        <v>46</v>
      </c>
      <c r="V172" s="39" t="s">
        <v>46</v>
      </c>
      <c r="W172" s="40" t="s">
        <v>39</v>
      </c>
      <c r="X172" s="58">
        <v>98</v>
      </c>
      <c r="Y172" s="55">
        <f>IFERROR(IF(X172="","",X172),"")</f>
        <v>98</v>
      </c>
      <c r="Z172" s="41">
        <f>IFERROR(IF(X172="","",X172*0.00941),"")</f>
        <v>0.92218</v>
      </c>
      <c r="AA172" s="68" t="s">
        <v>46</v>
      </c>
      <c r="AB172" s="69" t="s">
        <v>46</v>
      </c>
      <c r="AC172" s="213" t="s">
        <v>270</v>
      </c>
      <c r="AG172" s="81"/>
      <c r="AJ172" s="87" t="s">
        <v>87</v>
      </c>
      <c r="AK172" s="87">
        <v>1</v>
      </c>
      <c r="BB172" s="214" t="s">
        <v>115</v>
      </c>
      <c r="BM172" s="81">
        <f>IFERROR(X172*I172,"0")</f>
        <v>205.97639999999998</v>
      </c>
      <c r="BN172" s="81">
        <f>IFERROR(Y172*I172,"0")</f>
        <v>205.97639999999998</v>
      </c>
      <c r="BO172" s="81">
        <f>IFERROR(X172/J172,"0")</f>
        <v>0.7</v>
      </c>
      <c r="BP172" s="81">
        <f>IFERROR(Y172/J172,"0")</f>
        <v>0.7</v>
      </c>
    </row>
    <row r="173" spans="1:68" x14ac:dyDescent="0.2">
      <c r="A173" s="370"/>
      <c r="B173" s="370"/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1"/>
      <c r="P173" s="367" t="s">
        <v>40</v>
      </c>
      <c r="Q173" s="368"/>
      <c r="R173" s="368"/>
      <c r="S173" s="368"/>
      <c r="T173" s="368"/>
      <c r="U173" s="368"/>
      <c r="V173" s="369"/>
      <c r="W173" s="42" t="s">
        <v>39</v>
      </c>
      <c r="X173" s="43">
        <f>IFERROR(SUM(X172:X172),"0")</f>
        <v>98</v>
      </c>
      <c r="Y173" s="43">
        <f>IFERROR(SUM(Y172:Y172),"0")</f>
        <v>98</v>
      </c>
      <c r="Z173" s="43">
        <f>IFERROR(IF(Z172="",0,Z172),"0")</f>
        <v>0.92218</v>
      </c>
      <c r="AA173" s="67"/>
      <c r="AB173" s="67"/>
      <c r="AC173" s="67"/>
    </row>
    <row r="174" spans="1:68" x14ac:dyDescent="0.2">
      <c r="A174" s="370"/>
      <c r="B174" s="370"/>
      <c r="C174" s="370"/>
      <c r="D174" s="370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1"/>
      <c r="P174" s="367" t="s">
        <v>40</v>
      </c>
      <c r="Q174" s="368"/>
      <c r="R174" s="368"/>
      <c r="S174" s="368"/>
      <c r="T174" s="368"/>
      <c r="U174" s="368"/>
      <c r="V174" s="369"/>
      <c r="W174" s="42" t="s">
        <v>0</v>
      </c>
      <c r="X174" s="43">
        <f>IFERROR(SUMPRODUCT(X172:X172*H172:H172),"0")</f>
        <v>164.64</v>
      </c>
      <c r="Y174" s="43">
        <f>IFERROR(SUMPRODUCT(Y172:Y172*H172:H172),"0")</f>
        <v>164.64</v>
      </c>
      <c r="Z174" s="42"/>
      <c r="AA174" s="67"/>
      <c r="AB174" s="67"/>
      <c r="AC174" s="67"/>
    </row>
    <row r="175" spans="1:68" ht="27.75" hidden="1" customHeight="1" x14ac:dyDescent="0.2">
      <c r="A175" s="353" t="s">
        <v>271</v>
      </c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3"/>
      <c r="R175" s="353"/>
      <c r="S175" s="353"/>
      <c r="T175" s="353"/>
      <c r="U175" s="353"/>
      <c r="V175" s="353"/>
      <c r="W175" s="353"/>
      <c r="X175" s="353"/>
      <c r="Y175" s="353"/>
      <c r="Z175" s="353"/>
      <c r="AA175" s="54"/>
      <c r="AB175" s="54"/>
      <c r="AC175" s="54"/>
    </row>
    <row r="176" spans="1:68" ht="16.5" hidden="1" customHeight="1" x14ac:dyDescent="0.25">
      <c r="A176" s="354" t="s">
        <v>272</v>
      </c>
      <c r="B176" s="354"/>
      <c r="C176" s="354"/>
      <c r="D176" s="354"/>
      <c r="E176" s="354"/>
      <c r="F176" s="354"/>
      <c r="G176" s="354"/>
      <c r="H176" s="354"/>
      <c r="I176" s="354"/>
      <c r="J176" s="354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  <c r="Z176" s="354"/>
      <c r="AA176" s="65"/>
      <c r="AB176" s="65"/>
      <c r="AC176" s="82"/>
    </row>
    <row r="177" spans="1:68" ht="14.25" hidden="1" customHeight="1" x14ac:dyDescent="0.25">
      <c r="A177" s="355" t="s">
        <v>80</v>
      </c>
      <c r="B177" s="355"/>
      <c r="C177" s="355"/>
      <c r="D177" s="355"/>
      <c r="E177" s="355"/>
      <c r="F177" s="355"/>
      <c r="G177" s="355"/>
      <c r="H177" s="355"/>
      <c r="I177" s="355"/>
      <c r="J177" s="355"/>
      <c r="K177" s="355"/>
      <c r="L177" s="355"/>
      <c r="M177" s="355"/>
      <c r="N177" s="355"/>
      <c r="O177" s="355"/>
      <c r="P177" s="355"/>
      <c r="Q177" s="355"/>
      <c r="R177" s="355"/>
      <c r="S177" s="355"/>
      <c r="T177" s="355"/>
      <c r="U177" s="355"/>
      <c r="V177" s="355"/>
      <c r="W177" s="355"/>
      <c r="X177" s="355"/>
      <c r="Y177" s="355"/>
      <c r="Z177" s="355"/>
      <c r="AA177" s="66"/>
      <c r="AB177" s="66"/>
      <c r="AC177" s="83"/>
    </row>
    <row r="178" spans="1:68" ht="16.5" hidden="1" customHeight="1" x14ac:dyDescent="0.25">
      <c r="A178" s="63" t="s">
        <v>273</v>
      </c>
      <c r="B178" s="63" t="s">
        <v>274</v>
      </c>
      <c r="C178" s="36">
        <v>4301071062</v>
      </c>
      <c r="D178" s="356">
        <v>4607111036384</v>
      </c>
      <c r="E178" s="356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42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58"/>
      <c r="R178" s="358"/>
      <c r="S178" s="358"/>
      <c r="T178" s="35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275</v>
      </c>
      <c r="AG178" s="81"/>
      <c r="AJ178" s="87" t="s">
        <v>87</v>
      </c>
      <c r="AK178" s="87">
        <v>1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hidden="1" customHeight="1" x14ac:dyDescent="0.25">
      <c r="A179" s="63" t="s">
        <v>276</v>
      </c>
      <c r="B179" s="63" t="s">
        <v>277</v>
      </c>
      <c r="C179" s="36">
        <v>4301071050</v>
      </c>
      <c r="D179" s="356">
        <v>4607111036216</v>
      </c>
      <c r="E179" s="356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85</v>
      </c>
      <c r="L179" s="37" t="s">
        <v>117</v>
      </c>
      <c r="M179" s="38" t="s">
        <v>84</v>
      </c>
      <c r="N179" s="38"/>
      <c r="O179" s="37">
        <v>180</v>
      </c>
      <c r="P179" s="42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58"/>
      <c r="R179" s="358"/>
      <c r="S179" s="358"/>
      <c r="T179" s="35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278</v>
      </c>
      <c r="AG179" s="81"/>
      <c r="AJ179" s="87" t="s">
        <v>118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idden="1" x14ac:dyDescent="0.2">
      <c r="A180" s="370"/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1"/>
      <c r="P180" s="367" t="s">
        <v>40</v>
      </c>
      <c r="Q180" s="368"/>
      <c r="R180" s="368"/>
      <c r="S180" s="368"/>
      <c r="T180" s="368"/>
      <c r="U180" s="368"/>
      <c r="V180" s="369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hidden="1" x14ac:dyDescent="0.2">
      <c r="A181" s="370"/>
      <c r="B181" s="370"/>
      <c r="C181" s="370"/>
      <c r="D181" s="370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1"/>
      <c r="P181" s="367" t="s">
        <v>40</v>
      </c>
      <c r="Q181" s="368"/>
      <c r="R181" s="368"/>
      <c r="S181" s="368"/>
      <c r="T181" s="368"/>
      <c r="U181" s="368"/>
      <c r="V181" s="369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hidden="1" customHeight="1" x14ac:dyDescent="0.25">
      <c r="A182" s="354" t="s">
        <v>279</v>
      </c>
      <c r="B182" s="354"/>
      <c r="C182" s="354"/>
      <c r="D182" s="354"/>
      <c r="E182" s="354"/>
      <c r="F182" s="354"/>
      <c r="G182" s="354"/>
      <c r="H182" s="354"/>
      <c r="I182" s="354"/>
      <c r="J182" s="354"/>
      <c r="K182" s="354"/>
      <c r="L182" s="354"/>
      <c r="M182" s="354"/>
      <c r="N182" s="354"/>
      <c r="O182" s="354"/>
      <c r="P182" s="354"/>
      <c r="Q182" s="354"/>
      <c r="R182" s="354"/>
      <c r="S182" s="354"/>
      <c r="T182" s="354"/>
      <c r="U182" s="354"/>
      <c r="V182" s="354"/>
      <c r="W182" s="354"/>
      <c r="X182" s="354"/>
      <c r="Y182" s="354"/>
      <c r="Z182" s="354"/>
      <c r="AA182" s="65"/>
      <c r="AB182" s="65"/>
      <c r="AC182" s="82"/>
    </row>
    <row r="183" spans="1:68" ht="14.25" hidden="1" customHeight="1" x14ac:dyDescent="0.25">
      <c r="A183" s="355" t="s">
        <v>80</v>
      </c>
      <c r="B183" s="355"/>
      <c r="C183" s="355"/>
      <c r="D183" s="355"/>
      <c r="E183" s="355"/>
      <c r="F183" s="355"/>
      <c r="G183" s="355"/>
      <c r="H183" s="355"/>
      <c r="I183" s="355"/>
      <c r="J183" s="355"/>
      <c r="K183" s="355"/>
      <c r="L183" s="355"/>
      <c r="M183" s="355"/>
      <c r="N183" s="355"/>
      <c r="O183" s="355"/>
      <c r="P183" s="355"/>
      <c r="Q183" s="355"/>
      <c r="R183" s="355"/>
      <c r="S183" s="355"/>
      <c r="T183" s="355"/>
      <c r="U183" s="355"/>
      <c r="V183" s="355"/>
      <c r="W183" s="355"/>
      <c r="X183" s="355"/>
      <c r="Y183" s="355"/>
      <c r="Z183" s="355"/>
      <c r="AA183" s="66"/>
      <c r="AB183" s="66"/>
      <c r="AC183" s="83"/>
    </row>
    <row r="184" spans="1:68" ht="27" hidden="1" customHeight="1" x14ac:dyDescent="0.25">
      <c r="A184" s="63" t="s">
        <v>280</v>
      </c>
      <c r="B184" s="63" t="s">
        <v>281</v>
      </c>
      <c r="C184" s="36">
        <v>4301071117</v>
      </c>
      <c r="D184" s="356">
        <v>4620207491737</v>
      </c>
      <c r="E184" s="356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85</v>
      </c>
      <c r="L184" s="37" t="s">
        <v>86</v>
      </c>
      <c r="M184" s="38" t="s">
        <v>84</v>
      </c>
      <c r="N184" s="38"/>
      <c r="O184" s="37">
        <v>180</v>
      </c>
      <c r="P184" s="42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58"/>
      <c r="R184" s="358"/>
      <c r="S184" s="358"/>
      <c r="T184" s="359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278</v>
      </c>
      <c r="AG184" s="81"/>
      <c r="AJ184" s="87" t="s">
        <v>87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idden="1" x14ac:dyDescent="0.2">
      <c r="A185" s="370"/>
      <c r="B185" s="370"/>
      <c r="C185" s="370"/>
      <c r="D185" s="370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1"/>
      <c r="P185" s="367" t="s">
        <v>40</v>
      </c>
      <c r="Q185" s="368"/>
      <c r="R185" s="368"/>
      <c r="S185" s="368"/>
      <c r="T185" s="368"/>
      <c r="U185" s="368"/>
      <c r="V185" s="369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hidden="1" x14ac:dyDescent="0.2">
      <c r="A186" s="370"/>
      <c r="B186" s="370"/>
      <c r="C186" s="370"/>
      <c r="D186" s="370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1"/>
      <c r="P186" s="367" t="s">
        <v>40</v>
      </c>
      <c r="Q186" s="368"/>
      <c r="R186" s="368"/>
      <c r="S186" s="368"/>
      <c r="T186" s="368"/>
      <c r="U186" s="368"/>
      <c r="V186" s="369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hidden="1" customHeight="1" x14ac:dyDescent="0.2">
      <c r="A187" s="353" t="s">
        <v>282</v>
      </c>
      <c r="B187" s="353"/>
      <c r="C187" s="353"/>
      <c r="D187" s="353"/>
      <c r="E187" s="353"/>
      <c r="F187" s="353"/>
      <c r="G187" s="353"/>
      <c r="H187" s="353"/>
      <c r="I187" s="353"/>
      <c r="J187" s="353"/>
      <c r="K187" s="353"/>
      <c r="L187" s="353"/>
      <c r="M187" s="353"/>
      <c r="N187" s="353"/>
      <c r="O187" s="353"/>
      <c r="P187" s="353"/>
      <c r="Q187" s="353"/>
      <c r="R187" s="353"/>
      <c r="S187" s="353"/>
      <c r="T187" s="353"/>
      <c r="U187" s="353"/>
      <c r="V187" s="353"/>
      <c r="W187" s="353"/>
      <c r="X187" s="353"/>
      <c r="Y187" s="353"/>
      <c r="Z187" s="353"/>
      <c r="AA187" s="54"/>
      <c r="AB187" s="54"/>
      <c r="AC187" s="54"/>
    </row>
    <row r="188" spans="1:68" ht="16.5" hidden="1" customHeight="1" x14ac:dyDescent="0.25">
      <c r="A188" s="354" t="s">
        <v>283</v>
      </c>
      <c r="B188" s="354"/>
      <c r="C188" s="354"/>
      <c r="D188" s="354"/>
      <c r="E188" s="354"/>
      <c r="F188" s="354"/>
      <c r="G188" s="354"/>
      <c r="H188" s="354"/>
      <c r="I188" s="354"/>
      <c r="J188" s="354"/>
      <c r="K188" s="354"/>
      <c r="L188" s="354"/>
      <c r="M188" s="354"/>
      <c r="N188" s="354"/>
      <c r="O188" s="354"/>
      <c r="P188" s="354"/>
      <c r="Q188" s="354"/>
      <c r="R188" s="354"/>
      <c r="S188" s="354"/>
      <c r="T188" s="354"/>
      <c r="U188" s="354"/>
      <c r="V188" s="354"/>
      <c r="W188" s="354"/>
      <c r="X188" s="354"/>
      <c r="Y188" s="354"/>
      <c r="Z188" s="354"/>
      <c r="AA188" s="65"/>
      <c r="AB188" s="65"/>
      <c r="AC188" s="82"/>
    </row>
    <row r="189" spans="1:68" ht="14.25" hidden="1" customHeight="1" x14ac:dyDescent="0.25">
      <c r="A189" s="355" t="s">
        <v>111</v>
      </c>
      <c r="B189" s="355"/>
      <c r="C189" s="355"/>
      <c r="D189" s="355"/>
      <c r="E189" s="355"/>
      <c r="F189" s="355"/>
      <c r="G189" s="355"/>
      <c r="H189" s="355"/>
      <c r="I189" s="355"/>
      <c r="J189" s="355"/>
      <c r="K189" s="355"/>
      <c r="L189" s="355"/>
      <c r="M189" s="355"/>
      <c r="N189" s="355"/>
      <c r="O189" s="355"/>
      <c r="P189" s="355"/>
      <c r="Q189" s="355"/>
      <c r="R189" s="355"/>
      <c r="S189" s="355"/>
      <c r="T189" s="355"/>
      <c r="U189" s="355"/>
      <c r="V189" s="355"/>
      <c r="W189" s="355"/>
      <c r="X189" s="355"/>
      <c r="Y189" s="355"/>
      <c r="Z189" s="355"/>
      <c r="AA189" s="66"/>
      <c r="AB189" s="66"/>
      <c r="AC189" s="83"/>
    </row>
    <row r="190" spans="1:68" ht="16.5" customHeight="1" x14ac:dyDescent="0.25">
      <c r="A190" s="63" t="s">
        <v>284</v>
      </c>
      <c r="B190" s="63" t="s">
        <v>285</v>
      </c>
      <c r="C190" s="36">
        <v>4301132179</v>
      </c>
      <c r="D190" s="356">
        <v>4607111035691</v>
      </c>
      <c r="E190" s="35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4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58"/>
      <c r="R190" s="358"/>
      <c r="S190" s="358"/>
      <c r="T190" s="359"/>
      <c r="U190" s="39" t="s">
        <v>46</v>
      </c>
      <c r="V190" s="39" t="s">
        <v>46</v>
      </c>
      <c r="W190" s="40" t="s">
        <v>39</v>
      </c>
      <c r="X190" s="58">
        <v>42</v>
      </c>
      <c r="Y190" s="55">
        <f>IFERROR(IF(X190="","",X190),"")</f>
        <v>42</v>
      </c>
      <c r="Z190" s="41">
        <f>IFERROR(IF(X190="","",X190*0.01788),"")</f>
        <v>0.75095999999999996</v>
      </c>
      <c r="AA190" s="68" t="s">
        <v>46</v>
      </c>
      <c r="AB190" s="69" t="s">
        <v>46</v>
      </c>
      <c r="AC190" s="221" t="s">
        <v>286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142.29599999999999</v>
      </c>
      <c r="BN190" s="81">
        <f>IFERROR(Y190*I190,"0")</f>
        <v>142.29599999999999</v>
      </c>
      <c r="BO190" s="81">
        <f>IFERROR(X190/J190,"0")</f>
        <v>0.6</v>
      </c>
      <c r="BP190" s="81">
        <f>IFERROR(Y190/J190,"0")</f>
        <v>0.6</v>
      </c>
    </row>
    <row r="191" spans="1:68" ht="27" customHeight="1" x14ac:dyDescent="0.25">
      <c r="A191" s="63" t="s">
        <v>287</v>
      </c>
      <c r="B191" s="63" t="s">
        <v>288</v>
      </c>
      <c r="C191" s="36">
        <v>4301132182</v>
      </c>
      <c r="D191" s="356">
        <v>4607111035721</v>
      </c>
      <c r="E191" s="356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365</v>
      </c>
      <c r="P191" s="4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58"/>
      <c r="R191" s="358"/>
      <c r="S191" s="358"/>
      <c r="T191" s="359"/>
      <c r="U191" s="39" t="s">
        <v>46</v>
      </c>
      <c r="V191" s="39" t="s">
        <v>46</v>
      </c>
      <c r="W191" s="40" t="s">
        <v>39</v>
      </c>
      <c r="X191" s="58">
        <v>28</v>
      </c>
      <c r="Y191" s="55">
        <f>IFERROR(IF(X191="","",X191),"")</f>
        <v>28</v>
      </c>
      <c r="Z191" s="41">
        <f>IFERROR(IF(X191="","",X191*0.01788),"")</f>
        <v>0.50063999999999997</v>
      </c>
      <c r="AA191" s="68" t="s">
        <v>46</v>
      </c>
      <c r="AB191" s="69" t="s">
        <v>46</v>
      </c>
      <c r="AC191" s="223" t="s">
        <v>289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94.864000000000004</v>
      </c>
      <c r="BN191" s="81">
        <f>IFERROR(Y191*I191,"0")</f>
        <v>94.864000000000004</v>
      </c>
      <c r="BO191" s="81">
        <f>IFERROR(X191/J191,"0")</f>
        <v>0.4</v>
      </c>
      <c r="BP191" s="81">
        <f>IFERROR(Y191/J191,"0")</f>
        <v>0.4</v>
      </c>
    </row>
    <row r="192" spans="1:68" ht="27" hidden="1" customHeight="1" x14ac:dyDescent="0.25">
      <c r="A192" s="63" t="s">
        <v>290</v>
      </c>
      <c r="B192" s="63" t="s">
        <v>291</v>
      </c>
      <c r="C192" s="36">
        <v>4301132170</v>
      </c>
      <c r="D192" s="356">
        <v>4607111038487</v>
      </c>
      <c r="E192" s="356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116</v>
      </c>
      <c r="L192" s="37" t="s">
        <v>117</v>
      </c>
      <c r="M192" s="38" t="s">
        <v>84</v>
      </c>
      <c r="N192" s="38"/>
      <c r="O192" s="37">
        <v>180</v>
      </c>
      <c r="P192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58"/>
      <c r="R192" s="358"/>
      <c r="S192" s="358"/>
      <c r="T192" s="35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292</v>
      </c>
      <c r="AG192" s="81"/>
      <c r="AJ192" s="87" t="s">
        <v>118</v>
      </c>
      <c r="AK192" s="87">
        <v>14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293</v>
      </c>
      <c r="B193" s="63" t="s">
        <v>294</v>
      </c>
      <c r="C193" s="36">
        <v>4301132243</v>
      </c>
      <c r="D193" s="356">
        <v>4620207491195</v>
      </c>
      <c r="E193" s="356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116</v>
      </c>
      <c r="L193" s="37" t="s">
        <v>86</v>
      </c>
      <c r="M193" s="38" t="s">
        <v>84</v>
      </c>
      <c r="N193" s="38"/>
      <c r="O193" s="37">
        <v>180</v>
      </c>
      <c r="P193" s="4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58"/>
      <c r="R193" s="358"/>
      <c r="S193" s="358"/>
      <c r="T193" s="359"/>
      <c r="U193" s="39" t="s">
        <v>46</v>
      </c>
      <c r="V193" s="39" t="s">
        <v>46</v>
      </c>
      <c r="W193" s="40" t="s">
        <v>39</v>
      </c>
      <c r="X193" s="58">
        <v>126</v>
      </c>
      <c r="Y193" s="55">
        <f>IFERROR(IF(X193="","",X193),"")</f>
        <v>126</v>
      </c>
      <c r="Z193" s="41">
        <f>IFERROR(IF(X193="","",X193*0.01788),"")</f>
        <v>2.2528800000000002</v>
      </c>
      <c r="AA193" s="68" t="s">
        <v>46</v>
      </c>
      <c r="AB193" s="69" t="s">
        <v>46</v>
      </c>
      <c r="AC193" s="227" t="s">
        <v>295</v>
      </c>
      <c r="AG193" s="81"/>
      <c r="AJ193" s="87" t="s">
        <v>87</v>
      </c>
      <c r="AK193" s="87">
        <v>1</v>
      </c>
      <c r="BB193" s="228" t="s">
        <v>115</v>
      </c>
      <c r="BM193" s="81">
        <f>IFERROR(X193*I193,"0")</f>
        <v>396.64800000000002</v>
      </c>
      <c r="BN193" s="81">
        <f>IFERROR(Y193*I193,"0")</f>
        <v>396.64800000000002</v>
      </c>
      <c r="BO193" s="81">
        <f>IFERROR(X193/J193,"0")</f>
        <v>1.8</v>
      </c>
      <c r="BP193" s="81">
        <f>IFERROR(Y193/J193,"0")</f>
        <v>1.8</v>
      </c>
    </row>
    <row r="194" spans="1:68" x14ac:dyDescent="0.2">
      <c r="A194" s="370"/>
      <c r="B194" s="370"/>
      <c r="C194" s="370"/>
      <c r="D194" s="370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1"/>
      <c r="P194" s="367" t="s">
        <v>40</v>
      </c>
      <c r="Q194" s="368"/>
      <c r="R194" s="368"/>
      <c r="S194" s="368"/>
      <c r="T194" s="368"/>
      <c r="U194" s="368"/>
      <c r="V194" s="369"/>
      <c r="W194" s="42" t="s">
        <v>39</v>
      </c>
      <c r="X194" s="43">
        <f>IFERROR(SUM(X190:X193),"0")</f>
        <v>196</v>
      </c>
      <c r="Y194" s="43">
        <f>IFERROR(SUM(Y190:Y193),"0")</f>
        <v>196</v>
      </c>
      <c r="Z194" s="43">
        <f>IFERROR(IF(Z190="",0,Z190),"0")+IFERROR(IF(Z191="",0,Z191),"0")+IFERROR(IF(Z192="",0,Z192),"0")+IFERROR(IF(Z193="",0,Z193),"0")</f>
        <v>3.50448</v>
      </c>
      <c r="AA194" s="67"/>
      <c r="AB194" s="67"/>
      <c r="AC194" s="67"/>
    </row>
    <row r="195" spans="1:68" x14ac:dyDescent="0.2">
      <c r="A195" s="370"/>
      <c r="B195" s="370"/>
      <c r="C195" s="370"/>
      <c r="D195" s="370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1"/>
      <c r="P195" s="367" t="s">
        <v>40</v>
      </c>
      <c r="Q195" s="368"/>
      <c r="R195" s="368"/>
      <c r="S195" s="368"/>
      <c r="T195" s="368"/>
      <c r="U195" s="368"/>
      <c r="V195" s="369"/>
      <c r="W195" s="42" t="s">
        <v>0</v>
      </c>
      <c r="X195" s="43">
        <f>IFERROR(SUMPRODUCT(X190:X193*H190:H193),"0")</f>
        <v>557.76</v>
      </c>
      <c r="Y195" s="43">
        <f>IFERROR(SUMPRODUCT(Y190:Y193*H190:H193),"0")</f>
        <v>557.76</v>
      </c>
      <c r="Z195" s="42"/>
      <c r="AA195" s="67"/>
      <c r="AB195" s="67"/>
      <c r="AC195" s="67"/>
    </row>
    <row r="196" spans="1:68" ht="27.75" hidden="1" customHeight="1" x14ac:dyDescent="0.2">
      <c r="A196" s="353" t="s">
        <v>296</v>
      </c>
      <c r="B196" s="353"/>
      <c r="C196" s="353"/>
      <c r="D196" s="353"/>
      <c r="E196" s="353"/>
      <c r="F196" s="353"/>
      <c r="G196" s="353"/>
      <c r="H196" s="353"/>
      <c r="I196" s="353"/>
      <c r="J196" s="353"/>
      <c r="K196" s="353"/>
      <c r="L196" s="353"/>
      <c r="M196" s="353"/>
      <c r="N196" s="353"/>
      <c r="O196" s="353"/>
      <c r="P196" s="353"/>
      <c r="Q196" s="353"/>
      <c r="R196" s="353"/>
      <c r="S196" s="353"/>
      <c r="T196" s="353"/>
      <c r="U196" s="353"/>
      <c r="V196" s="353"/>
      <c r="W196" s="353"/>
      <c r="X196" s="353"/>
      <c r="Y196" s="353"/>
      <c r="Z196" s="353"/>
      <c r="AA196" s="54"/>
      <c r="AB196" s="54"/>
      <c r="AC196" s="54"/>
    </row>
    <row r="197" spans="1:68" ht="16.5" hidden="1" customHeight="1" x14ac:dyDescent="0.25">
      <c r="A197" s="354" t="s">
        <v>297</v>
      </c>
      <c r="B197" s="354"/>
      <c r="C197" s="354"/>
      <c r="D197" s="354"/>
      <c r="E197" s="354"/>
      <c r="F197" s="354"/>
      <c r="G197" s="354"/>
      <c r="H197" s="354"/>
      <c r="I197" s="354"/>
      <c r="J197" s="354"/>
      <c r="K197" s="354"/>
      <c r="L197" s="354"/>
      <c r="M197" s="354"/>
      <c r="N197" s="354"/>
      <c r="O197" s="354"/>
      <c r="P197" s="354"/>
      <c r="Q197" s="354"/>
      <c r="R197" s="354"/>
      <c r="S197" s="354"/>
      <c r="T197" s="354"/>
      <c r="U197" s="354"/>
      <c r="V197" s="354"/>
      <c r="W197" s="354"/>
      <c r="X197" s="354"/>
      <c r="Y197" s="354"/>
      <c r="Z197" s="354"/>
      <c r="AA197" s="65"/>
      <c r="AB197" s="65"/>
      <c r="AC197" s="82"/>
    </row>
    <row r="198" spans="1:68" ht="14.25" hidden="1" customHeight="1" x14ac:dyDescent="0.25">
      <c r="A198" s="355" t="s">
        <v>111</v>
      </c>
      <c r="B198" s="355"/>
      <c r="C198" s="355"/>
      <c r="D198" s="355"/>
      <c r="E198" s="355"/>
      <c r="F198" s="355"/>
      <c r="G198" s="355"/>
      <c r="H198" s="355"/>
      <c r="I198" s="355"/>
      <c r="J198" s="355"/>
      <c r="K198" s="355"/>
      <c r="L198" s="355"/>
      <c r="M198" s="355"/>
      <c r="N198" s="355"/>
      <c r="O198" s="355"/>
      <c r="P198" s="355"/>
      <c r="Q198" s="355"/>
      <c r="R198" s="355"/>
      <c r="S198" s="355"/>
      <c r="T198" s="355"/>
      <c r="U198" s="355"/>
      <c r="V198" s="355"/>
      <c r="W198" s="355"/>
      <c r="X198" s="355"/>
      <c r="Y198" s="355"/>
      <c r="Z198" s="355"/>
      <c r="AA198" s="66"/>
      <c r="AB198" s="66"/>
      <c r="AC198" s="83"/>
    </row>
    <row r="199" spans="1:68" ht="27" hidden="1" customHeight="1" x14ac:dyDescent="0.25">
      <c r="A199" s="63" t="s">
        <v>298</v>
      </c>
      <c r="B199" s="63" t="s">
        <v>299</v>
      </c>
      <c r="C199" s="36">
        <v>4301132227</v>
      </c>
      <c r="D199" s="356">
        <v>4620207491133</v>
      </c>
      <c r="E199" s="356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116</v>
      </c>
      <c r="L199" s="37" t="s">
        <v>117</v>
      </c>
      <c r="M199" s="38" t="s">
        <v>84</v>
      </c>
      <c r="N199" s="38"/>
      <c r="O199" s="37">
        <v>180</v>
      </c>
      <c r="P199" s="4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58"/>
      <c r="R199" s="358"/>
      <c r="S199" s="358"/>
      <c r="T199" s="35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300</v>
      </c>
      <c r="AG199" s="81"/>
      <c r="AJ199" s="87" t="s">
        <v>118</v>
      </c>
      <c r="AK199" s="87">
        <v>14</v>
      </c>
      <c r="BB199" s="230" t="s">
        <v>115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idden="1" x14ac:dyDescent="0.2">
      <c r="A200" s="370"/>
      <c r="B200" s="370"/>
      <c r="C200" s="370"/>
      <c r="D200" s="370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1"/>
      <c r="P200" s="367" t="s">
        <v>40</v>
      </c>
      <c r="Q200" s="368"/>
      <c r="R200" s="368"/>
      <c r="S200" s="368"/>
      <c r="T200" s="368"/>
      <c r="U200" s="368"/>
      <c r="V200" s="369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370"/>
      <c r="B201" s="370"/>
      <c r="C201" s="370"/>
      <c r="D201" s="370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1"/>
      <c r="P201" s="367" t="s">
        <v>40</v>
      </c>
      <c r="Q201" s="368"/>
      <c r="R201" s="368"/>
      <c r="S201" s="368"/>
      <c r="T201" s="368"/>
      <c r="U201" s="368"/>
      <c r="V201" s="369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hidden="1" customHeight="1" x14ac:dyDescent="0.25">
      <c r="A202" s="355" t="s">
        <v>149</v>
      </c>
      <c r="B202" s="355"/>
      <c r="C202" s="355"/>
      <c r="D202" s="355"/>
      <c r="E202" s="355"/>
      <c r="F202" s="355"/>
      <c r="G202" s="355"/>
      <c r="H202" s="355"/>
      <c r="I202" s="355"/>
      <c r="J202" s="355"/>
      <c r="K202" s="355"/>
      <c r="L202" s="355"/>
      <c r="M202" s="355"/>
      <c r="N202" s="355"/>
      <c r="O202" s="355"/>
      <c r="P202" s="355"/>
      <c r="Q202" s="355"/>
      <c r="R202" s="355"/>
      <c r="S202" s="355"/>
      <c r="T202" s="355"/>
      <c r="U202" s="355"/>
      <c r="V202" s="355"/>
      <c r="W202" s="355"/>
      <c r="X202" s="355"/>
      <c r="Y202" s="355"/>
      <c r="Z202" s="355"/>
      <c r="AA202" s="66"/>
      <c r="AB202" s="66"/>
      <c r="AC202" s="83"/>
    </row>
    <row r="203" spans="1:68" ht="27" hidden="1" customHeight="1" x14ac:dyDescent="0.25">
      <c r="A203" s="63" t="s">
        <v>301</v>
      </c>
      <c r="B203" s="63" t="s">
        <v>302</v>
      </c>
      <c r="C203" s="36">
        <v>4301135834</v>
      </c>
      <c r="D203" s="356">
        <v>4620207491188</v>
      </c>
      <c r="E203" s="35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86</v>
      </c>
      <c r="M203" s="38" t="s">
        <v>84</v>
      </c>
      <c r="N203" s="38"/>
      <c r="O203" s="37">
        <v>180</v>
      </c>
      <c r="P203" s="43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58"/>
      <c r="R203" s="358"/>
      <c r="S203" s="358"/>
      <c r="T203" s="35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303</v>
      </c>
      <c r="AG203" s="81"/>
      <c r="AJ203" s="87" t="s">
        <v>87</v>
      </c>
      <c r="AK203" s="87">
        <v>1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304</v>
      </c>
      <c r="B204" s="63" t="s">
        <v>305</v>
      </c>
      <c r="C204" s="36">
        <v>4301135696</v>
      </c>
      <c r="D204" s="356">
        <v>4620207490235</v>
      </c>
      <c r="E204" s="35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43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58"/>
      <c r="R204" s="358"/>
      <c r="S204" s="358"/>
      <c r="T204" s="35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306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307</v>
      </c>
      <c r="B205" s="63" t="s">
        <v>308</v>
      </c>
      <c r="C205" s="36">
        <v>4301135697</v>
      </c>
      <c r="D205" s="356">
        <v>4620207490259</v>
      </c>
      <c r="E205" s="356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116</v>
      </c>
      <c r="L205" s="37" t="s">
        <v>117</v>
      </c>
      <c r="M205" s="38" t="s">
        <v>84</v>
      </c>
      <c r="N205" s="38"/>
      <c r="O205" s="37">
        <v>180</v>
      </c>
      <c r="P205" s="4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58"/>
      <c r="R205" s="358"/>
      <c r="S205" s="358"/>
      <c r="T205" s="35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309</v>
      </c>
      <c r="AG205" s="81"/>
      <c r="AJ205" s="87" t="s">
        <v>118</v>
      </c>
      <c r="AK205" s="87">
        <v>14</v>
      </c>
      <c r="BB205" s="236" t="s">
        <v>115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idden="1" x14ac:dyDescent="0.2">
      <c r="A206" s="370"/>
      <c r="B206" s="370"/>
      <c r="C206" s="370"/>
      <c r="D206" s="370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1"/>
      <c r="P206" s="367" t="s">
        <v>40</v>
      </c>
      <c r="Q206" s="368"/>
      <c r="R206" s="368"/>
      <c r="S206" s="368"/>
      <c r="T206" s="368"/>
      <c r="U206" s="368"/>
      <c r="V206" s="369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370"/>
      <c r="B207" s="370"/>
      <c r="C207" s="370"/>
      <c r="D207" s="370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1"/>
      <c r="P207" s="367" t="s">
        <v>40</v>
      </c>
      <c r="Q207" s="368"/>
      <c r="R207" s="368"/>
      <c r="S207" s="368"/>
      <c r="T207" s="368"/>
      <c r="U207" s="368"/>
      <c r="V207" s="369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hidden="1" customHeight="1" x14ac:dyDescent="0.25">
      <c r="A208" s="354" t="s">
        <v>310</v>
      </c>
      <c r="B208" s="354"/>
      <c r="C208" s="354"/>
      <c r="D208" s="354"/>
      <c r="E208" s="354"/>
      <c r="F208" s="354"/>
      <c r="G208" s="354"/>
      <c r="H208" s="354"/>
      <c r="I208" s="354"/>
      <c r="J208" s="354"/>
      <c r="K208" s="354"/>
      <c r="L208" s="354"/>
      <c r="M208" s="354"/>
      <c r="N208" s="354"/>
      <c r="O208" s="354"/>
      <c r="P208" s="354"/>
      <c r="Q208" s="354"/>
      <c r="R208" s="354"/>
      <c r="S208" s="354"/>
      <c r="T208" s="354"/>
      <c r="U208" s="354"/>
      <c r="V208" s="354"/>
      <c r="W208" s="354"/>
      <c r="X208" s="354"/>
      <c r="Y208" s="354"/>
      <c r="Z208" s="354"/>
      <c r="AA208" s="65"/>
      <c r="AB208" s="65"/>
      <c r="AC208" s="82"/>
    </row>
    <row r="209" spans="1:68" ht="14.25" hidden="1" customHeight="1" x14ac:dyDescent="0.25">
      <c r="A209" s="355" t="s">
        <v>149</v>
      </c>
      <c r="B209" s="355"/>
      <c r="C209" s="355"/>
      <c r="D209" s="355"/>
      <c r="E209" s="355"/>
      <c r="F209" s="355"/>
      <c r="G209" s="355"/>
      <c r="H209" s="355"/>
      <c r="I209" s="355"/>
      <c r="J209" s="355"/>
      <c r="K209" s="355"/>
      <c r="L209" s="355"/>
      <c r="M209" s="355"/>
      <c r="N209" s="355"/>
      <c r="O209" s="355"/>
      <c r="P209" s="355"/>
      <c r="Q209" s="355"/>
      <c r="R209" s="355"/>
      <c r="S209" s="355"/>
      <c r="T209" s="355"/>
      <c r="U209" s="355"/>
      <c r="V209" s="355"/>
      <c r="W209" s="355"/>
      <c r="X209" s="355"/>
      <c r="Y209" s="355"/>
      <c r="Z209" s="355"/>
      <c r="AA209" s="66"/>
      <c r="AB209" s="66"/>
      <c r="AC209" s="83"/>
    </row>
    <row r="210" spans="1:68" ht="27" hidden="1" customHeight="1" x14ac:dyDescent="0.25">
      <c r="A210" s="63" t="s">
        <v>311</v>
      </c>
      <c r="B210" s="63" t="s">
        <v>312</v>
      </c>
      <c r="C210" s="36">
        <v>4301135854</v>
      </c>
      <c r="D210" s="356">
        <v>4620207491706</v>
      </c>
      <c r="E210" s="356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43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58"/>
      <c r="R210" s="358"/>
      <c r="S210" s="358"/>
      <c r="T210" s="35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313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hidden="1" customHeight="1" x14ac:dyDescent="0.25">
      <c r="A211" s="63" t="s">
        <v>314</v>
      </c>
      <c r="B211" s="63" t="s">
        <v>315</v>
      </c>
      <c r="C211" s="36">
        <v>4301135895</v>
      </c>
      <c r="D211" s="356">
        <v>4620207491522</v>
      </c>
      <c r="E211" s="356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116</v>
      </c>
      <c r="L211" s="37" t="s">
        <v>86</v>
      </c>
      <c r="M211" s="38" t="s">
        <v>84</v>
      </c>
      <c r="N211" s="38"/>
      <c r="O211" s="37">
        <v>180</v>
      </c>
      <c r="P211" s="43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58"/>
      <c r="R211" s="358"/>
      <c r="S211" s="358"/>
      <c r="T211" s="35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316</v>
      </c>
      <c r="AG211" s="81"/>
      <c r="AJ211" s="87" t="s">
        <v>87</v>
      </c>
      <c r="AK211" s="87">
        <v>1</v>
      </c>
      <c r="BB211" s="240" t="s">
        <v>115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idden="1" x14ac:dyDescent="0.2">
      <c r="A212" s="370"/>
      <c r="B212" s="370"/>
      <c r="C212" s="370"/>
      <c r="D212" s="370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1"/>
      <c r="P212" s="367" t="s">
        <v>40</v>
      </c>
      <c r="Q212" s="368"/>
      <c r="R212" s="368"/>
      <c r="S212" s="368"/>
      <c r="T212" s="368"/>
      <c r="U212" s="368"/>
      <c r="V212" s="369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hidden="1" x14ac:dyDescent="0.2">
      <c r="A213" s="370"/>
      <c r="B213" s="370"/>
      <c r="C213" s="370"/>
      <c r="D213" s="370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1"/>
      <c r="P213" s="367" t="s">
        <v>40</v>
      </c>
      <c r="Q213" s="368"/>
      <c r="R213" s="368"/>
      <c r="S213" s="368"/>
      <c r="T213" s="368"/>
      <c r="U213" s="368"/>
      <c r="V213" s="369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hidden="1" customHeight="1" x14ac:dyDescent="0.25">
      <c r="A214" s="354" t="s">
        <v>317</v>
      </c>
      <c r="B214" s="354"/>
      <c r="C214" s="354"/>
      <c r="D214" s="354"/>
      <c r="E214" s="354"/>
      <c r="F214" s="354"/>
      <c r="G214" s="354"/>
      <c r="H214" s="354"/>
      <c r="I214" s="354"/>
      <c r="J214" s="354"/>
      <c r="K214" s="354"/>
      <c r="L214" s="354"/>
      <c r="M214" s="354"/>
      <c r="N214" s="354"/>
      <c r="O214" s="354"/>
      <c r="P214" s="354"/>
      <c r="Q214" s="354"/>
      <c r="R214" s="354"/>
      <c r="S214" s="354"/>
      <c r="T214" s="354"/>
      <c r="U214" s="354"/>
      <c r="V214" s="354"/>
      <c r="W214" s="354"/>
      <c r="X214" s="354"/>
      <c r="Y214" s="354"/>
      <c r="Z214" s="354"/>
      <c r="AA214" s="65"/>
      <c r="AB214" s="65"/>
      <c r="AC214" s="82"/>
    </row>
    <row r="215" spans="1:68" ht="14.25" hidden="1" customHeight="1" x14ac:dyDescent="0.25">
      <c r="A215" s="355" t="s">
        <v>80</v>
      </c>
      <c r="B215" s="355"/>
      <c r="C215" s="355"/>
      <c r="D215" s="355"/>
      <c r="E215" s="355"/>
      <c r="F215" s="355"/>
      <c r="G215" s="355"/>
      <c r="H215" s="355"/>
      <c r="I215" s="355"/>
      <c r="J215" s="355"/>
      <c r="K215" s="355"/>
      <c r="L215" s="355"/>
      <c r="M215" s="355"/>
      <c r="N215" s="355"/>
      <c r="O215" s="355"/>
      <c r="P215" s="355"/>
      <c r="Q215" s="355"/>
      <c r="R215" s="355"/>
      <c r="S215" s="355"/>
      <c r="T215" s="355"/>
      <c r="U215" s="355"/>
      <c r="V215" s="355"/>
      <c r="W215" s="355"/>
      <c r="X215" s="355"/>
      <c r="Y215" s="355"/>
      <c r="Z215" s="355"/>
      <c r="AA215" s="66"/>
      <c r="AB215" s="66"/>
      <c r="AC215" s="83"/>
    </row>
    <row r="216" spans="1:68" ht="27" hidden="1" customHeight="1" x14ac:dyDescent="0.25">
      <c r="A216" s="63" t="s">
        <v>318</v>
      </c>
      <c r="B216" s="63" t="s">
        <v>319</v>
      </c>
      <c r="C216" s="36">
        <v>4301071097</v>
      </c>
      <c r="D216" s="356">
        <v>4620207491096</v>
      </c>
      <c r="E216" s="356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85</v>
      </c>
      <c r="L216" s="37" t="s">
        <v>117</v>
      </c>
      <c r="M216" s="38" t="s">
        <v>84</v>
      </c>
      <c r="N216" s="38"/>
      <c r="O216" s="37">
        <v>180</v>
      </c>
      <c r="P216" s="44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58"/>
      <c r="R216" s="358"/>
      <c r="S216" s="358"/>
      <c r="T216" s="359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320</v>
      </c>
      <c r="AG216" s="81"/>
      <c r="AJ216" s="87" t="s">
        <v>118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idden="1" x14ac:dyDescent="0.2">
      <c r="A217" s="370"/>
      <c r="B217" s="370"/>
      <c r="C217" s="370"/>
      <c r="D217" s="370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1"/>
      <c r="P217" s="367" t="s">
        <v>40</v>
      </c>
      <c r="Q217" s="368"/>
      <c r="R217" s="368"/>
      <c r="S217" s="368"/>
      <c r="T217" s="368"/>
      <c r="U217" s="368"/>
      <c r="V217" s="369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370"/>
      <c r="B218" s="370"/>
      <c r="C218" s="370"/>
      <c r="D218" s="370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1"/>
      <c r="P218" s="367" t="s">
        <v>40</v>
      </c>
      <c r="Q218" s="368"/>
      <c r="R218" s="368"/>
      <c r="S218" s="368"/>
      <c r="T218" s="368"/>
      <c r="U218" s="368"/>
      <c r="V218" s="369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hidden="1" customHeight="1" x14ac:dyDescent="0.25">
      <c r="A219" s="354" t="s">
        <v>321</v>
      </c>
      <c r="B219" s="354"/>
      <c r="C219" s="354"/>
      <c r="D219" s="354"/>
      <c r="E219" s="354"/>
      <c r="F219" s="354"/>
      <c r="G219" s="354"/>
      <c r="H219" s="354"/>
      <c r="I219" s="354"/>
      <c r="J219" s="354"/>
      <c r="K219" s="354"/>
      <c r="L219" s="354"/>
      <c r="M219" s="354"/>
      <c r="N219" s="354"/>
      <c r="O219" s="354"/>
      <c r="P219" s="354"/>
      <c r="Q219" s="354"/>
      <c r="R219" s="354"/>
      <c r="S219" s="354"/>
      <c r="T219" s="354"/>
      <c r="U219" s="354"/>
      <c r="V219" s="354"/>
      <c r="W219" s="354"/>
      <c r="X219" s="354"/>
      <c r="Y219" s="354"/>
      <c r="Z219" s="354"/>
      <c r="AA219" s="65"/>
      <c r="AB219" s="65"/>
      <c r="AC219" s="82"/>
    </row>
    <row r="220" spans="1:68" ht="14.25" hidden="1" customHeight="1" x14ac:dyDescent="0.25">
      <c r="A220" s="355" t="s">
        <v>149</v>
      </c>
      <c r="B220" s="355"/>
      <c r="C220" s="355"/>
      <c r="D220" s="355"/>
      <c r="E220" s="355"/>
      <c r="F220" s="355"/>
      <c r="G220" s="355"/>
      <c r="H220" s="355"/>
      <c r="I220" s="355"/>
      <c r="J220" s="355"/>
      <c r="K220" s="355"/>
      <c r="L220" s="355"/>
      <c r="M220" s="355"/>
      <c r="N220" s="355"/>
      <c r="O220" s="355"/>
      <c r="P220" s="355"/>
      <c r="Q220" s="355"/>
      <c r="R220" s="355"/>
      <c r="S220" s="355"/>
      <c r="T220" s="355"/>
      <c r="U220" s="355"/>
      <c r="V220" s="355"/>
      <c r="W220" s="355"/>
      <c r="X220" s="355"/>
      <c r="Y220" s="355"/>
      <c r="Z220" s="355"/>
      <c r="AA220" s="66"/>
      <c r="AB220" s="66"/>
      <c r="AC220" s="83"/>
    </row>
    <row r="221" spans="1:68" ht="27" customHeight="1" x14ac:dyDescent="0.25">
      <c r="A221" s="63" t="s">
        <v>322</v>
      </c>
      <c r="B221" s="63" t="s">
        <v>323</v>
      </c>
      <c r="C221" s="36">
        <v>4301135694</v>
      </c>
      <c r="D221" s="356">
        <v>4620207490501</v>
      </c>
      <c r="E221" s="356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116</v>
      </c>
      <c r="L221" s="37" t="s">
        <v>86</v>
      </c>
      <c r="M221" s="38" t="s">
        <v>84</v>
      </c>
      <c r="N221" s="38"/>
      <c r="O221" s="37">
        <v>180</v>
      </c>
      <c r="P221" s="44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58"/>
      <c r="R221" s="358"/>
      <c r="S221" s="358"/>
      <c r="T221" s="359"/>
      <c r="U221" s="39" t="s">
        <v>46</v>
      </c>
      <c r="V221" s="39" t="s">
        <v>46</v>
      </c>
      <c r="W221" s="40" t="s">
        <v>39</v>
      </c>
      <c r="X221" s="58">
        <v>126</v>
      </c>
      <c r="Y221" s="55">
        <f>IFERROR(IF(X221="","",X221),"")</f>
        <v>126</v>
      </c>
      <c r="Z221" s="41">
        <f>IFERROR(IF(X221="","",X221*0.01788),"")</f>
        <v>2.2528800000000002</v>
      </c>
      <c r="AA221" s="68" t="s">
        <v>46</v>
      </c>
      <c r="AB221" s="69" t="s">
        <v>46</v>
      </c>
      <c r="AC221" s="243" t="s">
        <v>324</v>
      </c>
      <c r="AG221" s="81"/>
      <c r="AJ221" s="87" t="s">
        <v>87</v>
      </c>
      <c r="AK221" s="87">
        <v>1</v>
      </c>
      <c r="BB221" s="244" t="s">
        <v>115</v>
      </c>
      <c r="BM221" s="81">
        <f>IFERROR(X221*I221,"0")</f>
        <v>391.05360000000002</v>
      </c>
      <c r="BN221" s="81">
        <f>IFERROR(Y221*I221,"0")</f>
        <v>391.05360000000002</v>
      </c>
      <c r="BO221" s="81">
        <f>IFERROR(X221/J221,"0")</f>
        <v>1.8</v>
      </c>
      <c r="BP221" s="81">
        <f>IFERROR(Y221/J221,"0")</f>
        <v>1.8</v>
      </c>
    </row>
    <row r="222" spans="1:68" x14ac:dyDescent="0.2">
      <c r="A222" s="370"/>
      <c r="B222" s="370"/>
      <c r="C222" s="370"/>
      <c r="D222" s="370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1"/>
      <c r="P222" s="367" t="s">
        <v>40</v>
      </c>
      <c r="Q222" s="368"/>
      <c r="R222" s="368"/>
      <c r="S222" s="368"/>
      <c r="T222" s="368"/>
      <c r="U222" s="368"/>
      <c r="V222" s="369"/>
      <c r="W222" s="42" t="s">
        <v>39</v>
      </c>
      <c r="X222" s="43">
        <f>IFERROR(SUM(X221:X221),"0")</f>
        <v>126</v>
      </c>
      <c r="Y222" s="43">
        <f>IFERROR(SUM(Y221:Y221),"0")</f>
        <v>126</v>
      </c>
      <c r="Z222" s="43">
        <f>IFERROR(IF(Z221="",0,Z221),"0")</f>
        <v>2.2528800000000002</v>
      </c>
      <c r="AA222" s="67"/>
      <c r="AB222" s="67"/>
      <c r="AC222" s="67"/>
    </row>
    <row r="223" spans="1:68" x14ac:dyDescent="0.2">
      <c r="A223" s="370"/>
      <c r="B223" s="370"/>
      <c r="C223" s="370"/>
      <c r="D223" s="370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1"/>
      <c r="P223" s="367" t="s">
        <v>40</v>
      </c>
      <c r="Q223" s="368"/>
      <c r="R223" s="368"/>
      <c r="S223" s="368"/>
      <c r="T223" s="368"/>
      <c r="U223" s="368"/>
      <c r="V223" s="369"/>
      <c r="W223" s="42" t="s">
        <v>0</v>
      </c>
      <c r="X223" s="43">
        <f>IFERROR(SUMPRODUCT(X221:X221*H221:H221),"0")</f>
        <v>302.39999999999998</v>
      </c>
      <c r="Y223" s="43">
        <f>IFERROR(SUMPRODUCT(Y221:Y221*H221:H221),"0")</f>
        <v>302.39999999999998</v>
      </c>
      <c r="Z223" s="42"/>
      <c r="AA223" s="67"/>
      <c r="AB223" s="67"/>
      <c r="AC223" s="67"/>
    </row>
    <row r="224" spans="1:68" ht="27.75" hidden="1" customHeight="1" x14ac:dyDescent="0.2">
      <c r="A224" s="353" t="s">
        <v>325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54"/>
      <c r="AB224" s="54"/>
      <c r="AC224" s="54"/>
    </row>
    <row r="225" spans="1:68" ht="16.5" hidden="1" customHeight="1" x14ac:dyDescent="0.25">
      <c r="A225" s="354" t="s">
        <v>326</v>
      </c>
      <c r="B225" s="354"/>
      <c r="C225" s="354"/>
      <c r="D225" s="354"/>
      <c r="E225" s="354"/>
      <c r="F225" s="354"/>
      <c r="G225" s="354"/>
      <c r="H225" s="354"/>
      <c r="I225" s="354"/>
      <c r="J225" s="354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  <c r="Z225" s="354"/>
      <c r="AA225" s="65"/>
      <c r="AB225" s="65"/>
      <c r="AC225" s="82"/>
    </row>
    <row r="226" spans="1:68" ht="14.25" hidden="1" customHeight="1" x14ac:dyDescent="0.25">
      <c r="A226" s="355" t="s">
        <v>80</v>
      </c>
      <c r="B226" s="355"/>
      <c r="C226" s="355"/>
      <c r="D226" s="355"/>
      <c r="E226" s="355"/>
      <c r="F226" s="355"/>
      <c r="G226" s="355"/>
      <c r="H226" s="355"/>
      <c r="I226" s="355"/>
      <c r="J226" s="355"/>
      <c r="K226" s="355"/>
      <c r="L226" s="355"/>
      <c r="M226" s="355"/>
      <c r="N226" s="355"/>
      <c r="O226" s="355"/>
      <c r="P226" s="355"/>
      <c r="Q226" s="355"/>
      <c r="R226" s="355"/>
      <c r="S226" s="355"/>
      <c r="T226" s="355"/>
      <c r="U226" s="355"/>
      <c r="V226" s="355"/>
      <c r="W226" s="355"/>
      <c r="X226" s="355"/>
      <c r="Y226" s="355"/>
      <c r="Z226" s="355"/>
      <c r="AA226" s="66"/>
      <c r="AB226" s="66"/>
      <c r="AC226" s="83"/>
    </row>
    <row r="227" spans="1:68" ht="27" hidden="1" customHeight="1" x14ac:dyDescent="0.25">
      <c r="A227" s="63" t="s">
        <v>327</v>
      </c>
      <c r="B227" s="63" t="s">
        <v>328</v>
      </c>
      <c r="C227" s="36">
        <v>4301071036</v>
      </c>
      <c r="D227" s="356">
        <v>4607111036162</v>
      </c>
      <c r="E227" s="356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85</v>
      </c>
      <c r="L227" s="37" t="s">
        <v>86</v>
      </c>
      <c r="M227" s="38" t="s">
        <v>84</v>
      </c>
      <c r="N227" s="38"/>
      <c r="O227" s="37">
        <v>90</v>
      </c>
      <c r="P227" s="4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58"/>
      <c r="R227" s="358"/>
      <c r="S227" s="358"/>
      <c r="T227" s="359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329</v>
      </c>
      <c r="AG227" s="81"/>
      <c r="AJ227" s="87" t="s">
        <v>87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370"/>
      <c r="B228" s="370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1"/>
      <c r="P228" s="367" t="s">
        <v>40</v>
      </c>
      <c r="Q228" s="368"/>
      <c r="R228" s="368"/>
      <c r="S228" s="368"/>
      <c r="T228" s="368"/>
      <c r="U228" s="368"/>
      <c r="V228" s="369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370"/>
      <c r="B229" s="370"/>
      <c r="C229" s="370"/>
      <c r="D229" s="370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1"/>
      <c r="P229" s="367" t="s">
        <v>40</v>
      </c>
      <c r="Q229" s="368"/>
      <c r="R229" s="368"/>
      <c r="S229" s="368"/>
      <c r="T229" s="368"/>
      <c r="U229" s="368"/>
      <c r="V229" s="369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53" t="s">
        <v>330</v>
      </c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54"/>
      <c r="AB230" s="54"/>
      <c r="AC230" s="54"/>
    </row>
    <row r="231" spans="1:68" ht="16.5" hidden="1" customHeight="1" x14ac:dyDescent="0.25">
      <c r="A231" s="354" t="s">
        <v>331</v>
      </c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  <c r="Z231" s="354"/>
      <c r="AA231" s="65"/>
      <c r="AB231" s="65"/>
      <c r="AC231" s="82"/>
    </row>
    <row r="232" spans="1:68" ht="14.25" hidden="1" customHeight="1" x14ac:dyDescent="0.25">
      <c r="A232" s="355" t="s">
        <v>332</v>
      </c>
      <c r="B232" s="355"/>
      <c r="C232" s="355"/>
      <c r="D232" s="355"/>
      <c r="E232" s="355"/>
      <c r="F232" s="355"/>
      <c r="G232" s="355"/>
      <c r="H232" s="355"/>
      <c r="I232" s="355"/>
      <c r="J232" s="355"/>
      <c r="K232" s="355"/>
      <c r="L232" s="355"/>
      <c r="M232" s="355"/>
      <c r="N232" s="355"/>
      <c r="O232" s="355"/>
      <c r="P232" s="355"/>
      <c r="Q232" s="355"/>
      <c r="R232" s="355"/>
      <c r="S232" s="355"/>
      <c r="T232" s="355"/>
      <c r="U232" s="355"/>
      <c r="V232" s="355"/>
      <c r="W232" s="355"/>
      <c r="X232" s="355"/>
      <c r="Y232" s="355"/>
      <c r="Z232" s="355"/>
      <c r="AA232" s="66"/>
      <c r="AB232" s="66"/>
      <c r="AC232" s="83"/>
    </row>
    <row r="233" spans="1:68" ht="27" hidden="1" customHeight="1" x14ac:dyDescent="0.25">
      <c r="A233" s="63" t="s">
        <v>333</v>
      </c>
      <c r="B233" s="63" t="s">
        <v>334</v>
      </c>
      <c r="C233" s="36">
        <v>4301133004</v>
      </c>
      <c r="D233" s="356">
        <v>4607111039774</v>
      </c>
      <c r="E233" s="356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116</v>
      </c>
      <c r="L233" s="37" t="s">
        <v>86</v>
      </c>
      <c r="M233" s="38" t="s">
        <v>84</v>
      </c>
      <c r="N233" s="38"/>
      <c r="O233" s="37">
        <v>180</v>
      </c>
      <c r="P233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8"/>
      <c r="R233" s="358"/>
      <c r="S233" s="358"/>
      <c r="T233" s="359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335</v>
      </c>
      <c r="AG233" s="81"/>
      <c r="AJ233" s="87" t="s">
        <v>87</v>
      </c>
      <c r="AK233" s="87">
        <v>1</v>
      </c>
      <c r="BB233" s="248" t="s">
        <v>115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370"/>
      <c r="B234" s="370"/>
      <c r="C234" s="370"/>
      <c r="D234" s="370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1"/>
      <c r="P234" s="367" t="s">
        <v>40</v>
      </c>
      <c r="Q234" s="368"/>
      <c r="R234" s="368"/>
      <c r="S234" s="368"/>
      <c r="T234" s="368"/>
      <c r="U234" s="368"/>
      <c r="V234" s="369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370"/>
      <c r="B235" s="370"/>
      <c r="C235" s="370"/>
      <c r="D235" s="370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1"/>
      <c r="P235" s="367" t="s">
        <v>40</v>
      </c>
      <c r="Q235" s="368"/>
      <c r="R235" s="368"/>
      <c r="S235" s="368"/>
      <c r="T235" s="368"/>
      <c r="U235" s="368"/>
      <c r="V235" s="369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hidden="1" customHeight="1" x14ac:dyDescent="0.25">
      <c r="A236" s="355" t="s">
        <v>149</v>
      </c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5"/>
      <c r="M236" s="355"/>
      <c r="N236" s="355"/>
      <c r="O236" s="355"/>
      <c r="P236" s="355"/>
      <c r="Q236" s="355"/>
      <c r="R236" s="355"/>
      <c r="S236" s="355"/>
      <c r="T236" s="355"/>
      <c r="U236" s="355"/>
      <c r="V236" s="355"/>
      <c r="W236" s="355"/>
      <c r="X236" s="355"/>
      <c r="Y236" s="355"/>
      <c r="Z236" s="355"/>
      <c r="AA236" s="66"/>
      <c r="AB236" s="66"/>
      <c r="AC236" s="83"/>
    </row>
    <row r="237" spans="1:68" ht="37.5" hidden="1" customHeight="1" x14ac:dyDescent="0.25">
      <c r="A237" s="63" t="s">
        <v>336</v>
      </c>
      <c r="B237" s="63" t="s">
        <v>337</v>
      </c>
      <c r="C237" s="36">
        <v>4301135400</v>
      </c>
      <c r="D237" s="356">
        <v>4607111039361</v>
      </c>
      <c r="E237" s="356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8"/>
      <c r="R237" s="358"/>
      <c r="S237" s="358"/>
      <c r="T237" s="359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335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1"/>
      <c r="P238" s="367" t="s">
        <v>40</v>
      </c>
      <c r="Q238" s="368"/>
      <c r="R238" s="368"/>
      <c r="S238" s="368"/>
      <c r="T238" s="368"/>
      <c r="U238" s="368"/>
      <c r="V238" s="369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370"/>
      <c r="B239" s="370"/>
      <c r="C239" s="370"/>
      <c r="D239" s="370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1"/>
      <c r="P239" s="367" t="s">
        <v>40</v>
      </c>
      <c r="Q239" s="368"/>
      <c r="R239" s="368"/>
      <c r="S239" s="368"/>
      <c r="T239" s="368"/>
      <c r="U239" s="368"/>
      <c r="V239" s="369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53" t="s">
        <v>338</v>
      </c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  <c r="AA240" s="54"/>
      <c r="AB240" s="54"/>
      <c r="AC240" s="54"/>
    </row>
    <row r="241" spans="1:68" ht="16.5" hidden="1" customHeight="1" x14ac:dyDescent="0.25">
      <c r="A241" s="354" t="s">
        <v>338</v>
      </c>
      <c r="B241" s="354"/>
      <c r="C241" s="354"/>
      <c r="D241" s="354"/>
      <c r="E241" s="354"/>
      <c r="F241" s="354"/>
      <c r="G241" s="354"/>
      <c r="H241" s="354"/>
      <c r="I241" s="354"/>
      <c r="J241" s="354"/>
      <c r="K241" s="354"/>
      <c r="L241" s="354"/>
      <c r="M241" s="354"/>
      <c r="N241" s="354"/>
      <c r="O241" s="354"/>
      <c r="P241" s="354"/>
      <c r="Q241" s="354"/>
      <c r="R241" s="354"/>
      <c r="S241" s="354"/>
      <c r="T241" s="354"/>
      <c r="U241" s="354"/>
      <c r="V241" s="354"/>
      <c r="W241" s="354"/>
      <c r="X241" s="354"/>
      <c r="Y241" s="354"/>
      <c r="Z241" s="354"/>
      <c r="AA241" s="65"/>
      <c r="AB241" s="65"/>
      <c r="AC241" s="82"/>
    </row>
    <row r="242" spans="1:68" ht="14.25" hidden="1" customHeight="1" x14ac:dyDescent="0.25">
      <c r="A242" s="355" t="s">
        <v>111</v>
      </c>
      <c r="B242" s="355"/>
      <c r="C242" s="355"/>
      <c r="D242" s="355"/>
      <c r="E242" s="355"/>
      <c r="F242" s="355"/>
      <c r="G242" s="355"/>
      <c r="H242" s="355"/>
      <c r="I242" s="355"/>
      <c r="J242" s="355"/>
      <c r="K242" s="355"/>
      <c r="L242" s="355"/>
      <c r="M242" s="355"/>
      <c r="N242" s="355"/>
      <c r="O242" s="355"/>
      <c r="P242" s="355"/>
      <c r="Q242" s="355"/>
      <c r="R242" s="355"/>
      <c r="S242" s="355"/>
      <c r="T242" s="355"/>
      <c r="U242" s="355"/>
      <c r="V242" s="355"/>
      <c r="W242" s="355"/>
      <c r="X242" s="355"/>
      <c r="Y242" s="355"/>
      <c r="Z242" s="355"/>
      <c r="AA242" s="66"/>
      <c r="AB242" s="66"/>
      <c r="AC242" s="83"/>
    </row>
    <row r="243" spans="1:68" ht="27" hidden="1" customHeight="1" x14ac:dyDescent="0.25">
      <c r="A243" s="63" t="s">
        <v>339</v>
      </c>
      <c r="B243" s="63" t="s">
        <v>340</v>
      </c>
      <c r="C243" s="36">
        <v>4301132228</v>
      </c>
      <c r="D243" s="356">
        <v>4640242181950</v>
      </c>
      <c r="E243" s="356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116</v>
      </c>
      <c r="L243" s="37" t="s">
        <v>86</v>
      </c>
      <c r="M243" s="38" t="s">
        <v>84</v>
      </c>
      <c r="N243" s="38"/>
      <c r="O243" s="37">
        <v>365</v>
      </c>
      <c r="P243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58"/>
      <c r="R243" s="358"/>
      <c r="S243" s="358"/>
      <c r="T243" s="359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341</v>
      </c>
      <c r="AG243" s="81"/>
      <c r="AJ243" s="87" t="s">
        <v>87</v>
      </c>
      <c r="AK243" s="87">
        <v>1</v>
      </c>
      <c r="BB243" s="252" t="s">
        <v>115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70"/>
      <c r="B244" s="370"/>
      <c r="C244" s="370"/>
      <c r="D244" s="370"/>
      <c r="E244" s="370"/>
      <c r="F244" s="370"/>
      <c r="G244" s="370"/>
      <c r="H244" s="370"/>
      <c r="I244" s="370"/>
      <c r="J244" s="370"/>
      <c r="K244" s="370"/>
      <c r="L244" s="370"/>
      <c r="M244" s="370"/>
      <c r="N244" s="370"/>
      <c r="O244" s="371"/>
      <c r="P244" s="367" t="s">
        <v>40</v>
      </c>
      <c r="Q244" s="368"/>
      <c r="R244" s="368"/>
      <c r="S244" s="368"/>
      <c r="T244" s="368"/>
      <c r="U244" s="368"/>
      <c r="V244" s="369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70"/>
      <c r="B245" s="370"/>
      <c r="C245" s="370"/>
      <c r="D245" s="370"/>
      <c r="E245" s="370"/>
      <c r="F245" s="370"/>
      <c r="G245" s="370"/>
      <c r="H245" s="370"/>
      <c r="I245" s="370"/>
      <c r="J245" s="370"/>
      <c r="K245" s="370"/>
      <c r="L245" s="370"/>
      <c r="M245" s="370"/>
      <c r="N245" s="370"/>
      <c r="O245" s="371"/>
      <c r="P245" s="367" t="s">
        <v>40</v>
      </c>
      <c r="Q245" s="368"/>
      <c r="R245" s="368"/>
      <c r="S245" s="368"/>
      <c r="T245" s="368"/>
      <c r="U245" s="368"/>
      <c r="V245" s="369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hidden="1" customHeight="1" x14ac:dyDescent="0.2">
      <c r="A246" s="353" t="s">
        <v>342</v>
      </c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  <c r="AA246" s="54"/>
      <c r="AB246" s="54"/>
      <c r="AC246" s="54"/>
    </row>
    <row r="247" spans="1:68" ht="16.5" hidden="1" customHeight="1" x14ac:dyDescent="0.25">
      <c r="A247" s="354" t="s">
        <v>342</v>
      </c>
      <c r="B247" s="354"/>
      <c r="C247" s="354"/>
      <c r="D247" s="354"/>
      <c r="E247" s="354"/>
      <c r="F247" s="354"/>
      <c r="G247" s="354"/>
      <c r="H247" s="354"/>
      <c r="I247" s="354"/>
      <c r="J247" s="354"/>
      <c r="K247" s="354"/>
      <c r="L247" s="354"/>
      <c r="M247" s="354"/>
      <c r="N247" s="354"/>
      <c r="O247" s="354"/>
      <c r="P247" s="354"/>
      <c r="Q247" s="354"/>
      <c r="R247" s="354"/>
      <c r="S247" s="354"/>
      <c r="T247" s="354"/>
      <c r="U247" s="354"/>
      <c r="V247" s="354"/>
      <c r="W247" s="354"/>
      <c r="X247" s="354"/>
      <c r="Y247" s="354"/>
      <c r="Z247" s="354"/>
      <c r="AA247" s="65"/>
      <c r="AB247" s="65"/>
      <c r="AC247" s="82"/>
    </row>
    <row r="248" spans="1:68" ht="14.25" hidden="1" customHeight="1" x14ac:dyDescent="0.25">
      <c r="A248" s="355" t="s">
        <v>80</v>
      </c>
      <c r="B248" s="355"/>
      <c r="C248" s="355"/>
      <c r="D248" s="355"/>
      <c r="E248" s="355"/>
      <c r="F248" s="355"/>
      <c r="G248" s="355"/>
      <c r="H248" s="355"/>
      <c r="I248" s="355"/>
      <c r="J248" s="355"/>
      <c r="K248" s="355"/>
      <c r="L248" s="355"/>
      <c r="M248" s="355"/>
      <c r="N248" s="355"/>
      <c r="O248" s="355"/>
      <c r="P248" s="355"/>
      <c r="Q248" s="355"/>
      <c r="R248" s="355"/>
      <c r="S248" s="355"/>
      <c r="T248" s="355"/>
      <c r="U248" s="355"/>
      <c r="V248" s="355"/>
      <c r="W248" s="355"/>
      <c r="X248" s="355"/>
      <c r="Y248" s="355"/>
      <c r="Z248" s="355"/>
      <c r="AA248" s="66"/>
      <c r="AB248" s="66"/>
      <c r="AC248" s="83"/>
    </row>
    <row r="249" spans="1:68" ht="27" hidden="1" customHeight="1" x14ac:dyDescent="0.25">
      <c r="A249" s="63" t="s">
        <v>343</v>
      </c>
      <c r="B249" s="63" t="s">
        <v>344</v>
      </c>
      <c r="C249" s="36">
        <v>4301071014</v>
      </c>
      <c r="D249" s="356">
        <v>4640242181264</v>
      </c>
      <c r="E249" s="356"/>
      <c r="F249" s="62">
        <v>0.7</v>
      </c>
      <c r="G249" s="37">
        <v>10</v>
      </c>
      <c r="H249" s="62">
        <v>7</v>
      </c>
      <c r="I249" s="62">
        <v>7.28</v>
      </c>
      <c r="J249" s="37">
        <v>84</v>
      </c>
      <c r="K249" s="37" t="s">
        <v>85</v>
      </c>
      <c r="L249" s="37" t="s">
        <v>86</v>
      </c>
      <c r="M249" s="38" t="s">
        <v>84</v>
      </c>
      <c r="N249" s="38"/>
      <c r="O249" s="37">
        <v>180</v>
      </c>
      <c r="P249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9" s="358"/>
      <c r="R249" s="358"/>
      <c r="S249" s="358"/>
      <c r="T249" s="359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3" t="s">
        <v>345</v>
      </c>
      <c r="AG249" s="81"/>
      <c r="AJ249" s="87" t="s">
        <v>87</v>
      </c>
      <c r="AK249" s="87">
        <v>1</v>
      </c>
      <c r="BB249" s="254" t="s">
        <v>70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hidden="1" customHeight="1" x14ac:dyDescent="0.25">
      <c r="A250" s="63" t="s">
        <v>346</v>
      </c>
      <c r="B250" s="63" t="s">
        <v>347</v>
      </c>
      <c r="C250" s="36">
        <v>4301071021</v>
      </c>
      <c r="D250" s="356">
        <v>4640242181325</v>
      </c>
      <c r="E250" s="356"/>
      <c r="F250" s="62">
        <v>0.7</v>
      </c>
      <c r="G250" s="37">
        <v>10</v>
      </c>
      <c r="H250" s="62">
        <v>7</v>
      </c>
      <c r="I250" s="62">
        <v>7.28</v>
      </c>
      <c r="J250" s="37">
        <v>84</v>
      </c>
      <c r="K250" s="37" t="s">
        <v>85</v>
      </c>
      <c r="L250" s="37" t="s">
        <v>117</v>
      </c>
      <c r="M250" s="38" t="s">
        <v>84</v>
      </c>
      <c r="N250" s="38"/>
      <c r="O250" s="37">
        <v>180</v>
      </c>
      <c r="P250" s="44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0" s="358"/>
      <c r="R250" s="358"/>
      <c r="S250" s="358"/>
      <c r="T250" s="359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5" t="s">
        <v>345</v>
      </c>
      <c r="AG250" s="81"/>
      <c r="AJ250" s="87" t="s">
        <v>118</v>
      </c>
      <c r="AK250" s="87">
        <v>12</v>
      </c>
      <c r="BB250" s="256" t="s">
        <v>70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idden="1" x14ac:dyDescent="0.2">
      <c r="A251" s="370"/>
      <c r="B251" s="370"/>
      <c r="C251" s="370"/>
      <c r="D251" s="370"/>
      <c r="E251" s="370"/>
      <c r="F251" s="370"/>
      <c r="G251" s="370"/>
      <c r="H251" s="370"/>
      <c r="I251" s="370"/>
      <c r="J251" s="370"/>
      <c r="K251" s="370"/>
      <c r="L251" s="370"/>
      <c r="M251" s="370"/>
      <c r="N251" s="370"/>
      <c r="O251" s="371"/>
      <c r="P251" s="367" t="s">
        <v>40</v>
      </c>
      <c r="Q251" s="368"/>
      <c r="R251" s="368"/>
      <c r="S251" s="368"/>
      <c r="T251" s="368"/>
      <c r="U251" s="368"/>
      <c r="V251" s="369"/>
      <c r="W251" s="42" t="s">
        <v>39</v>
      </c>
      <c r="X251" s="43">
        <f>IFERROR(SUM(X249:X250),"0")</f>
        <v>0</v>
      </c>
      <c r="Y251" s="43">
        <f>IFERROR(SUM(Y249:Y250),"0")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370"/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1"/>
      <c r="P252" s="367" t="s">
        <v>40</v>
      </c>
      <c r="Q252" s="368"/>
      <c r="R252" s="368"/>
      <c r="S252" s="368"/>
      <c r="T252" s="368"/>
      <c r="U252" s="368"/>
      <c r="V252" s="369"/>
      <c r="W252" s="42" t="s">
        <v>0</v>
      </c>
      <c r="X252" s="43">
        <f>IFERROR(SUMPRODUCT(X249:X250*H249:H250),"0")</f>
        <v>0</v>
      </c>
      <c r="Y252" s="43">
        <f>IFERROR(SUMPRODUCT(Y249:Y250*H249:H250),"0")</f>
        <v>0</v>
      </c>
      <c r="Z252" s="42"/>
      <c r="AA252" s="67"/>
      <c r="AB252" s="67"/>
      <c r="AC252" s="67"/>
    </row>
    <row r="253" spans="1:68" ht="14.25" hidden="1" customHeight="1" x14ac:dyDescent="0.25">
      <c r="A253" s="355" t="s">
        <v>111</v>
      </c>
      <c r="B253" s="355"/>
      <c r="C253" s="355"/>
      <c r="D253" s="355"/>
      <c r="E253" s="355"/>
      <c r="F253" s="355"/>
      <c r="G253" s="355"/>
      <c r="H253" s="355"/>
      <c r="I253" s="355"/>
      <c r="J253" s="355"/>
      <c r="K253" s="355"/>
      <c r="L253" s="355"/>
      <c r="M253" s="355"/>
      <c r="N253" s="355"/>
      <c r="O253" s="355"/>
      <c r="P253" s="355"/>
      <c r="Q253" s="355"/>
      <c r="R253" s="355"/>
      <c r="S253" s="355"/>
      <c r="T253" s="355"/>
      <c r="U253" s="355"/>
      <c r="V253" s="355"/>
      <c r="W253" s="355"/>
      <c r="X253" s="355"/>
      <c r="Y253" s="355"/>
      <c r="Z253" s="355"/>
      <c r="AA253" s="66"/>
      <c r="AB253" s="66"/>
      <c r="AC253" s="83"/>
    </row>
    <row r="254" spans="1:68" ht="27" customHeight="1" x14ac:dyDescent="0.25">
      <c r="A254" s="63" t="s">
        <v>348</v>
      </c>
      <c r="B254" s="63" t="s">
        <v>349</v>
      </c>
      <c r="C254" s="36">
        <v>4301132080</v>
      </c>
      <c r="D254" s="356">
        <v>4640242180397</v>
      </c>
      <c r="E254" s="356"/>
      <c r="F254" s="62">
        <v>1</v>
      </c>
      <c r="G254" s="37">
        <v>6</v>
      </c>
      <c r="H254" s="62">
        <v>6</v>
      </c>
      <c r="I254" s="62">
        <v>6.26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4" s="358"/>
      <c r="R254" s="358"/>
      <c r="S254" s="358"/>
      <c r="T254" s="359"/>
      <c r="U254" s="39" t="s">
        <v>46</v>
      </c>
      <c r="V254" s="39" t="s">
        <v>46</v>
      </c>
      <c r="W254" s="40" t="s">
        <v>39</v>
      </c>
      <c r="X254" s="58">
        <v>84</v>
      </c>
      <c r="Y254" s="55">
        <f>IFERROR(IF(X254="","",X254),"")</f>
        <v>84</v>
      </c>
      <c r="Z254" s="41">
        <f>IFERROR(IF(X254="","",X254*0.0155),"")</f>
        <v>1.302</v>
      </c>
      <c r="AA254" s="68" t="s">
        <v>46</v>
      </c>
      <c r="AB254" s="69" t="s">
        <v>46</v>
      </c>
      <c r="AC254" s="257" t="s">
        <v>350</v>
      </c>
      <c r="AG254" s="81"/>
      <c r="AJ254" s="87" t="s">
        <v>118</v>
      </c>
      <c r="AK254" s="87">
        <v>12</v>
      </c>
      <c r="BB254" s="258" t="s">
        <v>115</v>
      </c>
      <c r="BM254" s="81">
        <f>IFERROR(X254*I254,"0")</f>
        <v>525.84</v>
      </c>
      <c r="BN254" s="81">
        <f>IFERROR(Y254*I254,"0")</f>
        <v>525.84</v>
      </c>
      <c r="BO254" s="81">
        <f>IFERROR(X254/J254,"0")</f>
        <v>1</v>
      </c>
      <c r="BP254" s="81">
        <f>IFERROR(Y254/J254,"0")</f>
        <v>1</v>
      </c>
    </row>
    <row r="255" spans="1:68" x14ac:dyDescent="0.2">
      <c r="A255" s="370"/>
      <c r="B255" s="370"/>
      <c r="C255" s="370"/>
      <c r="D255" s="370"/>
      <c r="E255" s="370"/>
      <c r="F255" s="370"/>
      <c r="G255" s="370"/>
      <c r="H255" s="370"/>
      <c r="I255" s="370"/>
      <c r="J255" s="370"/>
      <c r="K255" s="370"/>
      <c r="L255" s="370"/>
      <c r="M255" s="370"/>
      <c r="N255" s="370"/>
      <c r="O255" s="371"/>
      <c r="P255" s="367" t="s">
        <v>40</v>
      </c>
      <c r="Q255" s="368"/>
      <c r="R255" s="368"/>
      <c r="S255" s="368"/>
      <c r="T255" s="368"/>
      <c r="U255" s="368"/>
      <c r="V255" s="369"/>
      <c r="W255" s="42" t="s">
        <v>39</v>
      </c>
      <c r="X255" s="43">
        <f>IFERROR(SUM(X254:X254),"0")</f>
        <v>84</v>
      </c>
      <c r="Y255" s="43">
        <f>IFERROR(SUM(Y254:Y254),"0")</f>
        <v>84</v>
      </c>
      <c r="Z255" s="43">
        <f>IFERROR(IF(Z254="",0,Z254),"0")</f>
        <v>1.302</v>
      </c>
      <c r="AA255" s="67"/>
      <c r="AB255" s="67"/>
      <c r="AC255" s="67"/>
    </row>
    <row r="256" spans="1:68" x14ac:dyDescent="0.2">
      <c r="A256" s="370"/>
      <c r="B256" s="370"/>
      <c r="C256" s="370"/>
      <c r="D256" s="370"/>
      <c r="E256" s="370"/>
      <c r="F256" s="370"/>
      <c r="G256" s="370"/>
      <c r="H256" s="370"/>
      <c r="I256" s="370"/>
      <c r="J256" s="370"/>
      <c r="K256" s="370"/>
      <c r="L256" s="370"/>
      <c r="M256" s="370"/>
      <c r="N256" s="370"/>
      <c r="O256" s="371"/>
      <c r="P256" s="367" t="s">
        <v>40</v>
      </c>
      <c r="Q256" s="368"/>
      <c r="R256" s="368"/>
      <c r="S256" s="368"/>
      <c r="T256" s="368"/>
      <c r="U256" s="368"/>
      <c r="V256" s="369"/>
      <c r="W256" s="42" t="s">
        <v>0</v>
      </c>
      <c r="X256" s="43">
        <f>IFERROR(SUMPRODUCT(X254:X254*H254:H254),"0")</f>
        <v>504</v>
      </c>
      <c r="Y256" s="43">
        <f>IFERROR(SUMPRODUCT(Y254:Y254*H254:H254),"0")</f>
        <v>504</v>
      </c>
      <c r="Z256" s="42"/>
      <c r="AA256" s="67"/>
      <c r="AB256" s="67"/>
      <c r="AC256" s="67"/>
    </row>
    <row r="257" spans="1:68" ht="14.25" hidden="1" customHeight="1" x14ac:dyDescent="0.25">
      <c r="A257" s="355" t="s">
        <v>143</v>
      </c>
      <c r="B257" s="355"/>
      <c r="C257" s="355"/>
      <c r="D257" s="355"/>
      <c r="E257" s="355"/>
      <c r="F257" s="355"/>
      <c r="G257" s="355"/>
      <c r="H257" s="355"/>
      <c r="I257" s="355"/>
      <c r="J257" s="355"/>
      <c r="K257" s="355"/>
      <c r="L257" s="355"/>
      <c r="M257" s="355"/>
      <c r="N257" s="355"/>
      <c r="O257" s="355"/>
      <c r="P257" s="355"/>
      <c r="Q257" s="355"/>
      <c r="R257" s="355"/>
      <c r="S257" s="355"/>
      <c r="T257" s="355"/>
      <c r="U257" s="355"/>
      <c r="V257" s="355"/>
      <c r="W257" s="355"/>
      <c r="X257" s="355"/>
      <c r="Y257" s="355"/>
      <c r="Z257" s="355"/>
      <c r="AA257" s="66"/>
      <c r="AB257" s="66"/>
      <c r="AC257" s="83"/>
    </row>
    <row r="258" spans="1:68" ht="27" hidden="1" customHeight="1" x14ac:dyDescent="0.25">
      <c r="A258" s="63" t="s">
        <v>351</v>
      </c>
      <c r="B258" s="63" t="s">
        <v>352</v>
      </c>
      <c r="C258" s="36">
        <v>4301136051</v>
      </c>
      <c r="D258" s="356">
        <v>4640242180304</v>
      </c>
      <c r="E258" s="356"/>
      <c r="F258" s="62">
        <v>2.7</v>
      </c>
      <c r="G258" s="37">
        <v>1</v>
      </c>
      <c r="H258" s="62">
        <v>2.7</v>
      </c>
      <c r="I258" s="62">
        <v>2.8906000000000001</v>
      </c>
      <c r="J258" s="37">
        <v>126</v>
      </c>
      <c r="K258" s="37" t="s">
        <v>116</v>
      </c>
      <c r="L258" s="37" t="s">
        <v>117</v>
      </c>
      <c r="M258" s="38" t="s">
        <v>84</v>
      </c>
      <c r="N258" s="38"/>
      <c r="O258" s="37">
        <v>180</v>
      </c>
      <c r="P258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358"/>
      <c r="R258" s="358"/>
      <c r="S258" s="358"/>
      <c r="T258" s="359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9" t="s">
        <v>353</v>
      </c>
      <c r="AG258" s="81"/>
      <c r="AJ258" s="87" t="s">
        <v>118</v>
      </c>
      <c r="AK258" s="87">
        <v>14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27" hidden="1" customHeight="1" x14ac:dyDescent="0.25">
      <c r="A259" s="63" t="s">
        <v>354</v>
      </c>
      <c r="B259" s="63" t="s">
        <v>355</v>
      </c>
      <c r="C259" s="36">
        <v>4301136053</v>
      </c>
      <c r="D259" s="356">
        <v>4640242180236</v>
      </c>
      <c r="E259" s="356"/>
      <c r="F259" s="62">
        <v>5</v>
      </c>
      <c r="G259" s="37">
        <v>1</v>
      </c>
      <c r="H259" s="62">
        <v>5</v>
      </c>
      <c r="I259" s="62">
        <v>5.2350000000000003</v>
      </c>
      <c r="J259" s="37">
        <v>84</v>
      </c>
      <c r="K259" s="37" t="s">
        <v>85</v>
      </c>
      <c r="L259" s="37" t="s">
        <v>117</v>
      </c>
      <c r="M259" s="38" t="s">
        <v>84</v>
      </c>
      <c r="N259" s="38"/>
      <c r="O259" s="37">
        <v>180</v>
      </c>
      <c r="P259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358"/>
      <c r="R259" s="358"/>
      <c r="S259" s="358"/>
      <c r="T259" s="359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61" t="s">
        <v>353</v>
      </c>
      <c r="AG259" s="81"/>
      <c r="AJ259" s="87" t="s">
        <v>118</v>
      </c>
      <c r="AK259" s="87">
        <v>12</v>
      </c>
      <c r="BB259" s="262" t="s">
        <v>115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hidden="1" customHeight="1" x14ac:dyDescent="0.25">
      <c r="A260" s="63" t="s">
        <v>356</v>
      </c>
      <c r="B260" s="63" t="s">
        <v>357</v>
      </c>
      <c r="C260" s="36">
        <v>4301136052</v>
      </c>
      <c r="D260" s="356">
        <v>4640242180410</v>
      </c>
      <c r="E260" s="356"/>
      <c r="F260" s="62">
        <v>2.2400000000000002</v>
      </c>
      <c r="G260" s="37">
        <v>1</v>
      </c>
      <c r="H260" s="62">
        <v>2.2400000000000002</v>
      </c>
      <c r="I260" s="62">
        <v>2.4319999999999999</v>
      </c>
      <c r="J260" s="37">
        <v>126</v>
      </c>
      <c r="K260" s="37" t="s">
        <v>116</v>
      </c>
      <c r="L260" s="37" t="s">
        <v>86</v>
      </c>
      <c r="M260" s="38" t="s">
        <v>84</v>
      </c>
      <c r="N260" s="38"/>
      <c r="O260" s="37">
        <v>180</v>
      </c>
      <c r="P260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358"/>
      <c r="R260" s="358"/>
      <c r="S260" s="358"/>
      <c r="T260" s="359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3" t="s">
        <v>353</v>
      </c>
      <c r="AG260" s="81"/>
      <c r="AJ260" s="87" t="s">
        <v>87</v>
      </c>
      <c r="AK260" s="87">
        <v>1</v>
      </c>
      <c r="BB260" s="264" t="s">
        <v>115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70"/>
      <c r="B261" s="370"/>
      <c r="C261" s="370"/>
      <c r="D261" s="370"/>
      <c r="E261" s="370"/>
      <c r="F261" s="370"/>
      <c r="G261" s="370"/>
      <c r="H261" s="370"/>
      <c r="I261" s="370"/>
      <c r="J261" s="370"/>
      <c r="K261" s="370"/>
      <c r="L261" s="370"/>
      <c r="M261" s="370"/>
      <c r="N261" s="370"/>
      <c r="O261" s="371"/>
      <c r="P261" s="367" t="s">
        <v>40</v>
      </c>
      <c r="Q261" s="368"/>
      <c r="R261" s="368"/>
      <c r="S261" s="368"/>
      <c r="T261" s="368"/>
      <c r="U261" s="368"/>
      <c r="V261" s="369"/>
      <c r="W261" s="42" t="s">
        <v>39</v>
      </c>
      <c r="X261" s="43">
        <f>IFERROR(SUM(X258:X260),"0")</f>
        <v>0</v>
      </c>
      <c r="Y261" s="43">
        <f>IFERROR(SUM(Y258:Y260),"0")</f>
        <v>0</v>
      </c>
      <c r="Z261" s="43">
        <f>IFERROR(IF(Z258="",0,Z258),"0")+IFERROR(IF(Z259="",0,Z259),"0")+IFERROR(IF(Z260="",0,Z260),"0")</f>
        <v>0</v>
      </c>
      <c r="AA261" s="67"/>
      <c r="AB261" s="67"/>
      <c r="AC261" s="67"/>
    </row>
    <row r="262" spans="1:68" hidden="1" x14ac:dyDescent="0.2">
      <c r="A262" s="370"/>
      <c r="B262" s="370"/>
      <c r="C262" s="370"/>
      <c r="D262" s="370"/>
      <c r="E262" s="370"/>
      <c r="F262" s="370"/>
      <c r="G262" s="370"/>
      <c r="H262" s="370"/>
      <c r="I262" s="370"/>
      <c r="J262" s="370"/>
      <c r="K262" s="370"/>
      <c r="L262" s="370"/>
      <c r="M262" s="370"/>
      <c r="N262" s="370"/>
      <c r="O262" s="371"/>
      <c r="P262" s="367" t="s">
        <v>40</v>
      </c>
      <c r="Q262" s="368"/>
      <c r="R262" s="368"/>
      <c r="S262" s="368"/>
      <c r="T262" s="368"/>
      <c r="U262" s="368"/>
      <c r="V262" s="369"/>
      <c r="W262" s="42" t="s">
        <v>0</v>
      </c>
      <c r="X262" s="43">
        <f>IFERROR(SUMPRODUCT(X258:X260*H258:H260),"0")</f>
        <v>0</v>
      </c>
      <c r="Y262" s="43">
        <f>IFERROR(SUMPRODUCT(Y258:Y260*H258:H260),"0")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55" t="s">
        <v>149</v>
      </c>
      <c r="B263" s="355"/>
      <c r="C263" s="355"/>
      <c r="D263" s="355"/>
      <c r="E263" s="355"/>
      <c r="F263" s="355"/>
      <c r="G263" s="355"/>
      <c r="H263" s="355"/>
      <c r="I263" s="355"/>
      <c r="J263" s="355"/>
      <c r="K263" s="355"/>
      <c r="L263" s="355"/>
      <c r="M263" s="355"/>
      <c r="N263" s="355"/>
      <c r="O263" s="355"/>
      <c r="P263" s="355"/>
      <c r="Q263" s="355"/>
      <c r="R263" s="355"/>
      <c r="S263" s="355"/>
      <c r="T263" s="355"/>
      <c r="U263" s="355"/>
      <c r="V263" s="355"/>
      <c r="W263" s="355"/>
      <c r="X263" s="355"/>
      <c r="Y263" s="355"/>
      <c r="Z263" s="355"/>
      <c r="AA263" s="66"/>
      <c r="AB263" s="66"/>
      <c r="AC263" s="83"/>
    </row>
    <row r="264" spans="1:68" ht="37.5" hidden="1" customHeight="1" x14ac:dyDescent="0.25">
      <c r="A264" s="63" t="s">
        <v>358</v>
      </c>
      <c r="B264" s="63" t="s">
        <v>359</v>
      </c>
      <c r="C264" s="36">
        <v>4301135504</v>
      </c>
      <c r="D264" s="356">
        <v>4640242181554</v>
      </c>
      <c r="E264" s="356"/>
      <c r="F264" s="62">
        <v>3</v>
      </c>
      <c r="G264" s="37">
        <v>1</v>
      </c>
      <c r="H264" s="62">
        <v>3</v>
      </c>
      <c r="I264" s="62">
        <v>3.1920000000000002</v>
      </c>
      <c r="J264" s="37">
        <v>126</v>
      </c>
      <c r="K264" s="37" t="s">
        <v>116</v>
      </c>
      <c r="L264" s="37" t="s">
        <v>117</v>
      </c>
      <c r="M264" s="38" t="s">
        <v>84</v>
      </c>
      <c r="N264" s="38"/>
      <c r="O264" s="37">
        <v>180</v>
      </c>
      <c r="P264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358"/>
      <c r="R264" s="358"/>
      <c r="S264" s="358"/>
      <c r="T264" s="359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ref="Y264:Y273" si="18"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360</v>
      </c>
      <c r="AG264" s="81"/>
      <c r="AJ264" s="87" t="s">
        <v>118</v>
      </c>
      <c r="AK264" s="87">
        <v>14</v>
      </c>
      <c r="BB264" s="266" t="s">
        <v>115</v>
      </c>
      <c r="BM264" s="81">
        <f t="shared" ref="BM264:BM273" si="19">IFERROR(X264*I264,"0")</f>
        <v>0</v>
      </c>
      <c r="BN264" s="81">
        <f t="shared" ref="BN264:BN273" si="20">IFERROR(Y264*I264,"0")</f>
        <v>0</v>
      </c>
      <c r="BO264" s="81">
        <f t="shared" ref="BO264:BO273" si="21">IFERROR(X264/J264,"0")</f>
        <v>0</v>
      </c>
      <c r="BP264" s="81">
        <f t="shared" ref="BP264:BP273" si="22">IFERROR(Y264/J264,"0")</f>
        <v>0</v>
      </c>
    </row>
    <row r="265" spans="1:68" ht="27" customHeight="1" x14ac:dyDescent="0.25">
      <c r="A265" s="63" t="s">
        <v>361</v>
      </c>
      <c r="B265" s="63" t="s">
        <v>362</v>
      </c>
      <c r="C265" s="36">
        <v>4301137046</v>
      </c>
      <c r="D265" s="356">
        <v>4620207492093</v>
      </c>
      <c r="E265" s="356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116</v>
      </c>
      <c r="L265" s="37" t="s">
        <v>86</v>
      </c>
      <c r="M265" s="38" t="s">
        <v>84</v>
      </c>
      <c r="N265" s="38"/>
      <c r="O265" s="37">
        <v>180</v>
      </c>
      <c r="P265" s="453" t="s">
        <v>363</v>
      </c>
      <c r="Q265" s="358"/>
      <c r="R265" s="358"/>
      <c r="S265" s="358"/>
      <c r="T265" s="359"/>
      <c r="U265" s="39" t="s">
        <v>46</v>
      </c>
      <c r="V265" s="39" t="s">
        <v>46</v>
      </c>
      <c r="W265" s="40" t="s">
        <v>39</v>
      </c>
      <c r="X265" s="58">
        <v>126</v>
      </c>
      <c r="Y265" s="55">
        <f t="shared" si="18"/>
        <v>126</v>
      </c>
      <c r="Z265" s="41">
        <f>IFERROR(IF(X265="","",X265*0.00936),"")</f>
        <v>1.17936</v>
      </c>
      <c r="AA265" s="68" t="s">
        <v>46</v>
      </c>
      <c r="AB265" s="69" t="s">
        <v>46</v>
      </c>
      <c r="AC265" s="267" t="s">
        <v>364</v>
      </c>
      <c r="AG265" s="81"/>
      <c r="AJ265" s="87" t="s">
        <v>87</v>
      </c>
      <c r="AK265" s="87">
        <v>1</v>
      </c>
      <c r="BB265" s="268" t="s">
        <v>115</v>
      </c>
      <c r="BM265" s="81">
        <f t="shared" si="19"/>
        <v>490.392</v>
      </c>
      <c r="BN265" s="81">
        <f t="shared" si="20"/>
        <v>490.392</v>
      </c>
      <c r="BO265" s="81">
        <f t="shared" si="21"/>
        <v>1</v>
      </c>
      <c r="BP265" s="81">
        <f t="shared" si="22"/>
        <v>1</v>
      </c>
    </row>
    <row r="266" spans="1:68" ht="27" customHeight="1" x14ac:dyDescent="0.25">
      <c r="A266" s="63" t="s">
        <v>365</v>
      </c>
      <c r="B266" s="63" t="s">
        <v>366</v>
      </c>
      <c r="C266" s="36">
        <v>4301135374</v>
      </c>
      <c r="D266" s="356">
        <v>4640242181424</v>
      </c>
      <c r="E266" s="356"/>
      <c r="F266" s="62">
        <v>5.5</v>
      </c>
      <c r="G266" s="37">
        <v>1</v>
      </c>
      <c r="H266" s="62">
        <v>5.5</v>
      </c>
      <c r="I266" s="62">
        <v>5.7350000000000003</v>
      </c>
      <c r="J266" s="37">
        <v>84</v>
      </c>
      <c r="K266" s="37" t="s">
        <v>85</v>
      </c>
      <c r="L266" s="37" t="s">
        <v>117</v>
      </c>
      <c r="M266" s="38" t="s">
        <v>84</v>
      </c>
      <c r="N266" s="38"/>
      <c r="O266" s="37">
        <v>180</v>
      </c>
      <c r="P266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358"/>
      <c r="R266" s="358"/>
      <c r="S266" s="358"/>
      <c r="T266" s="359"/>
      <c r="U266" s="39" t="s">
        <v>46</v>
      </c>
      <c r="V266" s="39" t="s">
        <v>46</v>
      </c>
      <c r="W266" s="40" t="s">
        <v>39</v>
      </c>
      <c r="X266" s="58">
        <v>180</v>
      </c>
      <c r="Y266" s="55">
        <f t="shared" si="18"/>
        <v>180</v>
      </c>
      <c r="Z266" s="41">
        <f>IFERROR(IF(X266="","",X266*0.0155),"")</f>
        <v>2.79</v>
      </c>
      <c r="AA266" s="68" t="s">
        <v>46</v>
      </c>
      <c r="AB266" s="69" t="s">
        <v>46</v>
      </c>
      <c r="AC266" s="269" t="s">
        <v>360</v>
      </c>
      <c r="AG266" s="81"/>
      <c r="AJ266" s="87" t="s">
        <v>118</v>
      </c>
      <c r="AK266" s="87">
        <v>12</v>
      </c>
      <c r="BB266" s="270" t="s">
        <v>115</v>
      </c>
      <c r="BM266" s="81">
        <f t="shared" si="19"/>
        <v>1032.3</v>
      </c>
      <c r="BN266" s="81">
        <f t="shared" si="20"/>
        <v>1032.3</v>
      </c>
      <c r="BO266" s="81">
        <f t="shared" si="21"/>
        <v>2.1428571428571428</v>
      </c>
      <c r="BP266" s="81">
        <f t="shared" si="22"/>
        <v>2.1428571428571428</v>
      </c>
    </row>
    <row r="267" spans="1:68" ht="27" customHeight="1" x14ac:dyDescent="0.25">
      <c r="A267" s="63" t="s">
        <v>367</v>
      </c>
      <c r="B267" s="63" t="s">
        <v>368</v>
      </c>
      <c r="C267" s="36">
        <v>4301135405</v>
      </c>
      <c r="D267" s="356">
        <v>4640242181523</v>
      </c>
      <c r="E267" s="356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70</v>
      </c>
      <c r="Y267" s="55">
        <f t="shared" si="18"/>
        <v>70</v>
      </c>
      <c r="Z267" s="41">
        <f t="shared" ref="Z267:Z272" si="23">IFERROR(IF(X267="","",X267*0.00936),"")</f>
        <v>0.6552</v>
      </c>
      <c r="AA267" s="68" t="s">
        <v>46</v>
      </c>
      <c r="AB267" s="69" t="s">
        <v>46</v>
      </c>
      <c r="AC267" s="271" t="s">
        <v>369</v>
      </c>
      <c r="AG267" s="81"/>
      <c r="AJ267" s="87" t="s">
        <v>118</v>
      </c>
      <c r="AK267" s="87">
        <v>14</v>
      </c>
      <c r="BB267" s="272" t="s">
        <v>115</v>
      </c>
      <c r="BM267" s="81">
        <f t="shared" si="19"/>
        <v>223.44</v>
      </c>
      <c r="BN267" s="81">
        <f t="shared" si="20"/>
        <v>223.44</v>
      </c>
      <c r="BO267" s="81">
        <f t="shared" si="21"/>
        <v>0.55555555555555558</v>
      </c>
      <c r="BP267" s="81">
        <f t="shared" si="22"/>
        <v>0.55555555555555558</v>
      </c>
    </row>
    <row r="268" spans="1:68" ht="27" customHeight="1" x14ac:dyDescent="0.25">
      <c r="A268" s="63" t="s">
        <v>370</v>
      </c>
      <c r="B268" s="63" t="s">
        <v>371</v>
      </c>
      <c r="C268" s="36">
        <v>4301135375</v>
      </c>
      <c r="D268" s="356">
        <v>4640242181486</v>
      </c>
      <c r="E268" s="356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182</v>
      </c>
      <c r="Y268" s="55">
        <f t="shared" si="18"/>
        <v>182</v>
      </c>
      <c r="Z268" s="41">
        <f t="shared" si="23"/>
        <v>1.7035200000000001</v>
      </c>
      <c r="AA268" s="68" t="s">
        <v>46</v>
      </c>
      <c r="AB268" s="69" t="s">
        <v>46</v>
      </c>
      <c r="AC268" s="273" t="s">
        <v>360</v>
      </c>
      <c r="AG268" s="81"/>
      <c r="AJ268" s="87" t="s">
        <v>118</v>
      </c>
      <c r="AK268" s="87">
        <v>14</v>
      </c>
      <c r="BB268" s="274" t="s">
        <v>115</v>
      </c>
      <c r="BM268" s="81">
        <f t="shared" si="19"/>
        <v>708.34399999999994</v>
      </c>
      <c r="BN268" s="81">
        <f t="shared" si="20"/>
        <v>708.34399999999994</v>
      </c>
      <c r="BO268" s="81">
        <f t="shared" si="21"/>
        <v>1.4444444444444444</v>
      </c>
      <c r="BP268" s="81">
        <f t="shared" si="22"/>
        <v>1.4444444444444444</v>
      </c>
    </row>
    <row r="269" spans="1:68" ht="37.5" hidden="1" customHeight="1" x14ac:dyDescent="0.25">
      <c r="A269" s="63" t="s">
        <v>372</v>
      </c>
      <c r="B269" s="63" t="s">
        <v>373</v>
      </c>
      <c r="C269" s="36">
        <v>4301135402</v>
      </c>
      <c r="D269" s="356">
        <v>4640242181493</v>
      </c>
      <c r="E269" s="356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116</v>
      </c>
      <c r="L269" s="37" t="s">
        <v>117</v>
      </c>
      <c r="M269" s="38" t="s">
        <v>84</v>
      </c>
      <c r="N269" s="38"/>
      <c r="O269" s="37">
        <v>180</v>
      </c>
      <c r="P269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358"/>
      <c r="R269" s="358"/>
      <c r="S269" s="358"/>
      <c r="T269" s="359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5" t="s">
        <v>360</v>
      </c>
      <c r="AG269" s="81"/>
      <c r="AJ269" s="87" t="s">
        <v>118</v>
      </c>
      <c r="AK269" s="87">
        <v>14</v>
      </c>
      <c r="BB269" s="276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37.5" hidden="1" customHeight="1" x14ac:dyDescent="0.25">
      <c r="A270" s="63" t="s">
        <v>374</v>
      </c>
      <c r="B270" s="63" t="s">
        <v>375</v>
      </c>
      <c r="C270" s="36">
        <v>4301135403</v>
      </c>
      <c r="D270" s="356">
        <v>4640242181509</v>
      </c>
      <c r="E270" s="356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116</v>
      </c>
      <c r="L270" s="37" t="s">
        <v>86</v>
      </c>
      <c r="M270" s="38" t="s">
        <v>84</v>
      </c>
      <c r="N270" s="38"/>
      <c r="O270" s="37">
        <v>180</v>
      </c>
      <c r="P270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358"/>
      <c r="R270" s="358"/>
      <c r="S270" s="358"/>
      <c r="T270" s="35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7" t="s">
        <v>360</v>
      </c>
      <c r="AG270" s="81"/>
      <c r="AJ270" s="87" t="s">
        <v>87</v>
      </c>
      <c r="AK270" s="87">
        <v>1</v>
      </c>
      <c r="BB270" s="278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376</v>
      </c>
      <c r="B271" s="63" t="s">
        <v>377</v>
      </c>
      <c r="C271" s="36">
        <v>4301135304</v>
      </c>
      <c r="D271" s="356">
        <v>4640242181240</v>
      </c>
      <c r="E271" s="356"/>
      <c r="F271" s="62">
        <v>0.3</v>
      </c>
      <c r="G271" s="37">
        <v>9</v>
      </c>
      <c r="H271" s="62">
        <v>2.7</v>
      </c>
      <c r="I271" s="62">
        <v>2.88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9" t="s">
        <v>360</v>
      </c>
      <c r="AG271" s="81"/>
      <c r="AJ271" s="87" t="s">
        <v>118</v>
      </c>
      <c r="AK271" s="87">
        <v>14</v>
      </c>
      <c r="BB271" s="280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378</v>
      </c>
      <c r="B272" s="63" t="s">
        <v>379</v>
      </c>
      <c r="C272" s="36">
        <v>4301135610</v>
      </c>
      <c r="D272" s="356">
        <v>4640242181318</v>
      </c>
      <c r="E272" s="356"/>
      <c r="F272" s="62">
        <v>0.3</v>
      </c>
      <c r="G272" s="37">
        <v>9</v>
      </c>
      <c r="H272" s="62">
        <v>2.7</v>
      </c>
      <c r="I272" s="62">
        <v>2.988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358"/>
      <c r="R272" s="358"/>
      <c r="S272" s="358"/>
      <c r="T272" s="35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81" t="s">
        <v>369</v>
      </c>
      <c r="AG272" s="81"/>
      <c r="AJ272" s="87" t="s">
        <v>118</v>
      </c>
      <c r="AK272" s="87">
        <v>14</v>
      </c>
      <c r="BB272" s="282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380</v>
      </c>
      <c r="B273" s="63" t="s">
        <v>381</v>
      </c>
      <c r="C273" s="36">
        <v>4301135306</v>
      </c>
      <c r="D273" s="356">
        <v>4640242181387</v>
      </c>
      <c r="E273" s="356"/>
      <c r="F273" s="62">
        <v>0.3</v>
      </c>
      <c r="G273" s="37">
        <v>9</v>
      </c>
      <c r="H273" s="62">
        <v>2.7</v>
      </c>
      <c r="I273" s="62">
        <v>2.8450000000000002</v>
      </c>
      <c r="J273" s="37">
        <v>234</v>
      </c>
      <c r="K273" s="37" t="s">
        <v>161</v>
      </c>
      <c r="L273" s="37" t="s">
        <v>117</v>
      </c>
      <c r="M273" s="38" t="s">
        <v>84</v>
      </c>
      <c r="N273" s="38"/>
      <c r="O273" s="37">
        <v>180</v>
      </c>
      <c r="P273" s="4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358"/>
      <c r="R273" s="358"/>
      <c r="S273" s="358"/>
      <c r="T273" s="35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>IFERROR(IF(X273="","",X273*0.00502),"")</f>
        <v>0</v>
      </c>
      <c r="AA273" s="68" t="s">
        <v>46</v>
      </c>
      <c r="AB273" s="69" t="s">
        <v>46</v>
      </c>
      <c r="AC273" s="283" t="s">
        <v>360</v>
      </c>
      <c r="AG273" s="81"/>
      <c r="AJ273" s="87" t="s">
        <v>118</v>
      </c>
      <c r="AK273" s="87">
        <v>18</v>
      </c>
      <c r="BB273" s="284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x14ac:dyDescent="0.2">
      <c r="A274" s="370"/>
      <c r="B274" s="370"/>
      <c r="C274" s="370"/>
      <c r="D274" s="370"/>
      <c r="E274" s="370"/>
      <c r="F274" s="370"/>
      <c r="G274" s="370"/>
      <c r="H274" s="370"/>
      <c r="I274" s="370"/>
      <c r="J274" s="370"/>
      <c r="K274" s="370"/>
      <c r="L274" s="370"/>
      <c r="M274" s="370"/>
      <c r="N274" s="370"/>
      <c r="O274" s="371"/>
      <c r="P274" s="367" t="s">
        <v>40</v>
      </c>
      <c r="Q274" s="368"/>
      <c r="R274" s="368"/>
      <c r="S274" s="368"/>
      <c r="T274" s="368"/>
      <c r="U274" s="368"/>
      <c r="V274" s="369"/>
      <c r="W274" s="42" t="s">
        <v>39</v>
      </c>
      <c r="X274" s="43">
        <f>IFERROR(SUM(X264:X273),"0")</f>
        <v>558</v>
      </c>
      <c r="Y274" s="43">
        <f>IFERROR(SUM(Y264:Y273),"0")</f>
        <v>558</v>
      </c>
      <c r="Z274" s="43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6.3280799999999999</v>
      </c>
      <c r="AA274" s="67"/>
      <c r="AB274" s="67"/>
      <c r="AC274" s="67"/>
    </row>
    <row r="275" spans="1:68" x14ac:dyDescent="0.2">
      <c r="A275" s="370"/>
      <c r="B275" s="370"/>
      <c r="C275" s="370"/>
      <c r="D275" s="370"/>
      <c r="E275" s="370"/>
      <c r="F275" s="370"/>
      <c r="G275" s="370"/>
      <c r="H275" s="370"/>
      <c r="I275" s="370"/>
      <c r="J275" s="370"/>
      <c r="K275" s="370"/>
      <c r="L275" s="370"/>
      <c r="M275" s="370"/>
      <c r="N275" s="370"/>
      <c r="O275" s="371"/>
      <c r="P275" s="367" t="s">
        <v>40</v>
      </c>
      <c r="Q275" s="368"/>
      <c r="R275" s="368"/>
      <c r="S275" s="368"/>
      <c r="T275" s="368"/>
      <c r="U275" s="368"/>
      <c r="V275" s="369"/>
      <c r="W275" s="42" t="s">
        <v>0</v>
      </c>
      <c r="X275" s="43">
        <f>IFERROR(SUMPRODUCT(X264:X273*H264:H273),"0")</f>
        <v>2339.6</v>
      </c>
      <c r="Y275" s="43">
        <f>IFERROR(SUMPRODUCT(Y264:Y273*H264:H273),"0")</f>
        <v>2339.6</v>
      </c>
      <c r="Z275" s="42"/>
      <c r="AA275" s="67"/>
      <c r="AB275" s="67"/>
      <c r="AC275" s="67"/>
    </row>
    <row r="276" spans="1:68" ht="15" customHeight="1" x14ac:dyDescent="0.2">
      <c r="A276" s="370"/>
      <c r="B276" s="370"/>
      <c r="C276" s="370"/>
      <c r="D276" s="370"/>
      <c r="E276" s="370"/>
      <c r="F276" s="370"/>
      <c r="G276" s="370"/>
      <c r="H276" s="370"/>
      <c r="I276" s="370"/>
      <c r="J276" s="370"/>
      <c r="K276" s="370"/>
      <c r="L276" s="370"/>
      <c r="M276" s="370"/>
      <c r="N276" s="370"/>
      <c r="O276" s="465"/>
      <c r="P276" s="462" t="s">
        <v>33</v>
      </c>
      <c r="Q276" s="463"/>
      <c r="R276" s="463"/>
      <c r="S276" s="463"/>
      <c r="T276" s="463"/>
      <c r="U276" s="463"/>
      <c r="V276" s="464"/>
      <c r="W276" s="42" t="s">
        <v>0</v>
      </c>
      <c r="X276" s="43">
        <f>IFERROR(X31+X37+X44+X50+X58+X63+X68+X74+X80+X85+X91+X101+X107+X119+X123+X127+X135+X141+X147+X153+X159+X164+X169+X174+X181+X186+X195+X201+X207+X213+X218+X223+X229+X235+X239+X245+X252+X256+X262+X275,"0")</f>
        <v>8689.0400000000009</v>
      </c>
      <c r="Y276" s="43">
        <f>IFERROR(Y31+Y37+Y44+Y50+Y58+Y63+Y68+Y74+Y80+Y85+Y91+Y101+Y107+Y119+Y123+Y127+Y135+Y141+Y147+Y153+Y159+Y164+Y169+Y174+Y181+Y186+Y195+Y201+Y207+Y213+Y218+Y223+Y229+Y235+Y239+Y245+Y252+Y256+Y262+Y275,"0")</f>
        <v>8689.0400000000009</v>
      </c>
      <c r="Z276" s="42"/>
      <c r="AA276" s="67"/>
      <c r="AB276" s="67"/>
      <c r="AC276" s="67"/>
    </row>
    <row r="277" spans="1:68" x14ac:dyDescent="0.2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465"/>
      <c r="P277" s="462" t="s">
        <v>34</v>
      </c>
      <c r="Q277" s="463"/>
      <c r="R277" s="463"/>
      <c r="S277" s="463"/>
      <c r="T277" s="463"/>
      <c r="U277" s="463"/>
      <c r="V277" s="464"/>
      <c r="W277" s="42" t="s">
        <v>0</v>
      </c>
      <c r="X277" s="43">
        <f>IFERROR(SUM(BM22:BM273),"0")</f>
        <v>10082.385600000001</v>
      </c>
      <c r="Y277" s="43">
        <f>IFERROR(SUM(BN22:BN273),"0")</f>
        <v>10082.385600000001</v>
      </c>
      <c r="Z277" s="42"/>
      <c r="AA277" s="67"/>
      <c r="AB277" s="67"/>
      <c r="AC277" s="67"/>
    </row>
    <row r="278" spans="1:68" x14ac:dyDescent="0.2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465"/>
      <c r="P278" s="462" t="s">
        <v>35</v>
      </c>
      <c r="Q278" s="463"/>
      <c r="R278" s="463"/>
      <c r="S278" s="463"/>
      <c r="T278" s="463"/>
      <c r="U278" s="463"/>
      <c r="V278" s="464"/>
      <c r="W278" s="42" t="s">
        <v>20</v>
      </c>
      <c r="X278" s="44">
        <f>ROUNDUP(SUM(BO22:BO273),0)</f>
        <v>34</v>
      </c>
      <c r="Y278" s="44">
        <f>ROUNDUP(SUM(BP22:BP273),0)</f>
        <v>34</v>
      </c>
      <c r="Z278" s="42"/>
      <c r="AA278" s="67"/>
      <c r="AB278" s="67"/>
      <c r="AC278" s="67"/>
    </row>
    <row r="279" spans="1:68" x14ac:dyDescent="0.2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465"/>
      <c r="P279" s="462" t="s">
        <v>36</v>
      </c>
      <c r="Q279" s="463"/>
      <c r="R279" s="463"/>
      <c r="S279" s="463"/>
      <c r="T279" s="463"/>
      <c r="U279" s="463"/>
      <c r="V279" s="464"/>
      <c r="W279" s="42" t="s">
        <v>0</v>
      </c>
      <c r="X279" s="43">
        <f>GrossWeightTotal+PalletQtyTotal*25</f>
        <v>10932.385600000001</v>
      </c>
      <c r="Y279" s="43">
        <f>GrossWeightTotalR+PalletQtyTotalR*25</f>
        <v>10932.385600000001</v>
      </c>
      <c r="Z279" s="42"/>
      <c r="AA279" s="67"/>
      <c r="AB279" s="67"/>
      <c r="AC279" s="67"/>
    </row>
    <row r="280" spans="1:68" x14ac:dyDescent="0.2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465"/>
      <c r="P280" s="462" t="s">
        <v>37</v>
      </c>
      <c r="Q280" s="463"/>
      <c r="R280" s="463"/>
      <c r="S280" s="463"/>
      <c r="T280" s="463"/>
      <c r="U280" s="463"/>
      <c r="V280" s="464"/>
      <c r="W280" s="42" t="s">
        <v>20</v>
      </c>
      <c r="X280" s="43">
        <f>IFERROR(X30+X36+X43+X49+X57+X62+X67+X73+X79+X84+X90+X100+X106+X118+X122+X126+X134+X140+X146+X152+X158+X163+X168+X173+X180+X185+X194+X200+X206+X212+X217+X222+X228+X234+X238+X244+X251+X255+X261+X274,"0")</f>
        <v>3024</v>
      </c>
      <c r="Y280" s="43">
        <f>IFERROR(Y30+Y36+Y43+Y49+Y57+Y62+Y67+Y73+Y79+Y84+Y90+Y100+Y106+Y118+Y122+Y126+Y134+Y140+Y146+Y152+Y158+Y163+Y168+Y173+Y180+Y185+Y194+Y200+Y206+Y212+Y217+Y222+Y228+Y234+Y238+Y244+Y251+Y255+Y261+Y274,"0")</f>
        <v>3024</v>
      </c>
      <c r="Z280" s="42"/>
      <c r="AA280" s="67"/>
      <c r="AB280" s="67"/>
      <c r="AC280" s="67"/>
    </row>
    <row r="281" spans="1:68" ht="14.25" hidden="1" x14ac:dyDescent="0.2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465"/>
      <c r="P281" s="462" t="s">
        <v>38</v>
      </c>
      <c r="Q281" s="463"/>
      <c r="R281" s="463"/>
      <c r="S281" s="463"/>
      <c r="T281" s="463"/>
      <c r="U281" s="463"/>
      <c r="V281" s="464"/>
      <c r="W281" s="45" t="s">
        <v>52</v>
      </c>
      <c r="X281" s="42"/>
      <c r="Y281" s="42"/>
      <c r="Z281" s="42">
        <f>IFERROR(Z30+Z36+Z43+Z49+Z57+Z62+Z67+Z73+Z79+Z84+Z90+Z100+Z106+Z118+Z122+Z126+Z134+Z140+Z146+Z152+Z158+Z163+Z168+Z173+Z180+Z185+Z194+Z200+Z206+Z212+Z217+Z222+Z228+Z234+Z238+Z244+Z251+Z255+Z261+Z274,"0")</f>
        <v>42.101219999999991</v>
      </c>
      <c r="AA281" s="67"/>
      <c r="AB281" s="67"/>
      <c r="AC281" s="67"/>
    </row>
    <row r="282" spans="1:68" ht="13.5" thickBot="1" x14ac:dyDescent="0.25"/>
    <row r="283" spans="1:68" ht="27" thickTop="1" thickBot="1" x14ac:dyDescent="0.25">
      <c r="A283" s="46" t="s">
        <v>9</v>
      </c>
      <c r="B283" s="466" t="s">
        <v>79</v>
      </c>
      <c r="C283" s="466" t="s">
        <v>79</v>
      </c>
      <c r="D283" s="466" t="s">
        <v>45</v>
      </c>
      <c r="E283" s="466" t="s">
        <v>45</v>
      </c>
      <c r="F283" s="466" t="s">
        <v>45</v>
      </c>
      <c r="G283" s="466" t="s">
        <v>45</v>
      </c>
      <c r="H283" s="466" t="s">
        <v>45</v>
      </c>
      <c r="I283" s="466" t="s">
        <v>45</v>
      </c>
      <c r="J283" s="466" t="s">
        <v>45</v>
      </c>
      <c r="K283" s="466" t="s">
        <v>45</v>
      </c>
      <c r="L283" s="466" t="s">
        <v>45</v>
      </c>
      <c r="M283" s="466" t="s">
        <v>45</v>
      </c>
      <c r="N283" s="467"/>
      <c r="O283" s="466" t="s">
        <v>45</v>
      </c>
      <c r="P283" s="466" t="s">
        <v>45</v>
      </c>
      <c r="Q283" s="466" t="s">
        <v>45</v>
      </c>
      <c r="R283" s="466" t="s">
        <v>45</v>
      </c>
      <c r="S283" s="466" t="s">
        <v>45</v>
      </c>
      <c r="T283" s="466" t="s">
        <v>45</v>
      </c>
      <c r="U283" s="466" t="s">
        <v>45</v>
      </c>
      <c r="V283" s="466" t="s">
        <v>271</v>
      </c>
      <c r="W283" s="466" t="s">
        <v>271</v>
      </c>
      <c r="X283" s="88" t="s">
        <v>282</v>
      </c>
      <c r="Y283" s="466" t="s">
        <v>296</v>
      </c>
      <c r="Z283" s="466" t="s">
        <v>296</v>
      </c>
      <c r="AA283" s="466" t="s">
        <v>296</v>
      </c>
      <c r="AB283" s="466" t="s">
        <v>296</v>
      </c>
      <c r="AC283" s="88" t="s">
        <v>325</v>
      </c>
      <c r="AD283" s="88" t="s">
        <v>330</v>
      </c>
      <c r="AE283" s="88" t="s">
        <v>338</v>
      </c>
      <c r="AF283" s="88" t="s">
        <v>342</v>
      </c>
    </row>
    <row r="284" spans="1:68" ht="14.25" customHeight="1" thickTop="1" x14ac:dyDescent="0.2">
      <c r="A284" s="468" t="s">
        <v>10</v>
      </c>
      <c r="B284" s="466" t="s">
        <v>79</v>
      </c>
      <c r="C284" s="466" t="s">
        <v>104</v>
      </c>
      <c r="D284" s="466" t="s">
        <v>110</v>
      </c>
      <c r="E284" s="466" t="s">
        <v>121</v>
      </c>
      <c r="F284" s="466" t="s">
        <v>128</v>
      </c>
      <c r="G284" s="466" t="s">
        <v>139</v>
      </c>
      <c r="H284" s="466" t="s">
        <v>157</v>
      </c>
      <c r="I284" s="466" t="s">
        <v>164</v>
      </c>
      <c r="J284" s="466" t="s">
        <v>168</v>
      </c>
      <c r="K284" s="466" t="s">
        <v>176</v>
      </c>
      <c r="L284" s="466" t="s">
        <v>191</v>
      </c>
      <c r="M284" s="466" t="s">
        <v>197</v>
      </c>
      <c r="N284" s="1"/>
      <c r="O284" s="466" t="s">
        <v>224</v>
      </c>
      <c r="P284" s="466" t="s">
        <v>242</v>
      </c>
      <c r="Q284" s="466" t="s">
        <v>248</v>
      </c>
      <c r="R284" s="466" t="s">
        <v>255</v>
      </c>
      <c r="S284" s="466" t="s">
        <v>260</v>
      </c>
      <c r="T284" s="466" t="s">
        <v>264</v>
      </c>
      <c r="U284" s="466" t="s">
        <v>267</v>
      </c>
      <c r="V284" s="466" t="s">
        <v>272</v>
      </c>
      <c r="W284" s="466" t="s">
        <v>279</v>
      </c>
      <c r="X284" s="466" t="s">
        <v>283</v>
      </c>
      <c r="Y284" s="466" t="s">
        <v>297</v>
      </c>
      <c r="Z284" s="466" t="s">
        <v>310</v>
      </c>
      <c r="AA284" s="466" t="s">
        <v>317</v>
      </c>
      <c r="AB284" s="466" t="s">
        <v>321</v>
      </c>
      <c r="AC284" s="466" t="s">
        <v>326</v>
      </c>
      <c r="AD284" s="466" t="s">
        <v>331</v>
      </c>
      <c r="AE284" s="466" t="s">
        <v>338</v>
      </c>
      <c r="AF284" s="466" t="s">
        <v>342</v>
      </c>
    </row>
    <row r="285" spans="1:68" ht="13.5" thickBot="1" x14ac:dyDescent="0.25">
      <c r="A285" s="469"/>
      <c r="B285" s="466"/>
      <c r="C285" s="466"/>
      <c r="D285" s="466"/>
      <c r="E285" s="466"/>
      <c r="F285" s="466"/>
      <c r="G285" s="466"/>
      <c r="H285" s="466"/>
      <c r="I285" s="466"/>
      <c r="J285" s="466"/>
      <c r="K285" s="466"/>
      <c r="L285" s="466"/>
      <c r="M285" s="466"/>
      <c r="N285" s="1"/>
      <c r="O285" s="466"/>
      <c r="P285" s="466"/>
      <c r="Q285" s="466"/>
      <c r="R285" s="466"/>
      <c r="S285" s="466"/>
      <c r="T285" s="466"/>
      <c r="U285" s="466"/>
      <c r="V285" s="466"/>
      <c r="W285" s="466"/>
      <c r="X285" s="466"/>
      <c r="Y285" s="466"/>
      <c r="Z285" s="466"/>
      <c r="AA285" s="466"/>
      <c r="AB285" s="466"/>
      <c r="AC285" s="466"/>
      <c r="AD285" s="466"/>
      <c r="AE285" s="466"/>
      <c r="AF285" s="466"/>
    </row>
    <row r="286" spans="1:68" ht="18" thickTop="1" thickBot="1" x14ac:dyDescent="0.25">
      <c r="A286" s="46" t="s">
        <v>13</v>
      </c>
      <c r="B286" s="52">
        <f>IFERROR(X22*H22,"0")+IFERROR(X23*H23,"0")+IFERROR(X24*H24,"0")+IFERROR(X25*H25,"0")+IFERROR(X26*H26,"0")+IFERROR(X27*H27,"0")+IFERROR(X28*H28,"0")+IFERROR(X29*H29,"0")</f>
        <v>0</v>
      </c>
      <c r="C286" s="52">
        <f>IFERROR(X34*H34,"0")+IFERROR(X35*H35,"0")</f>
        <v>0</v>
      </c>
      <c r="D286" s="52">
        <f>IFERROR(X41*H41,"0")+IFERROR(X42*H42,"0")</f>
        <v>273</v>
      </c>
      <c r="E286" s="52">
        <f>IFERROR(X47*H47,"0")+IFERROR(X48*H48,"0")</f>
        <v>0</v>
      </c>
      <c r="F286" s="52">
        <f>IFERROR(X53*H53,"0")+IFERROR(X54*H54,"0")+IFERROR(X55*H55,"0")+IFERROR(X56*H56,"0")</f>
        <v>237.60000000000002</v>
      </c>
      <c r="G286" s="52">
        <f>IFERROR(X61*H61,"0")+IFERROR(X65*H65,"0")+IFERROR(X66*H66,"0")+IFERROR(X70*H70,"0")+IFERROR(X71*H71,"0")+IFERROR(X72*H72,"0")</f>
        <v>0</v>
      </c>
      <c r="H286" s="52">
        <f>IFERROR(X77*H77,"0")+IFERROR(X78*H78,"0")</f>
        <v>0</v>
      </c>
      <c r="I286" s="52">
        <f>IFERROR(X83*H83,"0")</f>
        <v>100.8</v>
      </c>
      <c r="J286" s="52">
        <f>IFERROR(X88*H88,"0")+IFERROR(X89*H89,"0")</f>
        <v>453.6</v>
      </c>
      <c r="K286" s="52">
        <f>IFERROR(X94*H94,"0")+IFERROR(X95*H95,"0")+IFERROR(X96*H96,"0")+IFERROR(X97*H97,"0")+IFERROR(X98*H98,"0")+IFERROR(X99*H99,"0")</f>
        <v>797.99999999999989</v>
      </c>
      <c r="L286" s="52">
        <f>IFERROR(X104*H104,"0")+IFERROR(X105*H105,"0")</f>
        <v>0</v>
      </c>
      <c r="M286" s="52">
        <f>IFERROR(X110*H110,"0")+IFERROR(X111*H111,"0")+IFERROR(X112*H112,"0")+IFERROR(X113*H113,"0")+IFERROR(X114*H114,"0")+IFERROR(X115*H115,"0")+IFERROR(X116*H116,"0")+IFERROR(X117*H117,"0")+IFERROR(X121*H121,"0")+IFERROR(X125*H125,"0")</f>
        <v>584.6400000000001</v>
      </c>
      <c r="N286" s="1"/>
      <c r="O286" s="52">
        <f>IFERROR(X130*H130,"0")+IFERROR(X131*H131,"0")+IFERROR(X132*H132,"0")+IFERROR(X133*H133,"0")+IFERROR(X137*H137,"0")+IFERROR(X138*H138,"0")+IFERROR(X139*H139,"0")</f>
        <v>760.20000000000016</v>
      </c>
      <c r="P286" s="52">
        <f>IFERROR(X144*H144,"0")+IFERROR(X145*H145,"0")</f>
        <v>924</v>
      </c>
      <c r="Q286" s="52">
        <f>IFERROR(X150*H150,"0")+IFERROR(X151*H151,"0")</f>
        <v>252</v>
      </c>
      <c r="R286" s="52">
        <f>IFERROR(X156*H156,"0")+IFERROR(X157*H157,"0")</f>
        <v>201.6</v>
      </c>
      <c r="S286" s="52">
        <f>IFERROR(X162*H162,"0")</f>
        <v>84</v>
      </c>
      <c r="T286" s="52">
        <f>IFERROR(X167*H167,"0")</f>
        <v>151.20000000000002</v>
      </c>
      <c r="U286" s="52">
        <f>IFERROR(X172*H172,"0")</f>
        <v>164.64</v>
      </c>
      <c r="V286" s="52">
        <f>IFERROR(X178*H178,"0")+IFERROR(X179*H179,"0")</f>
        <v>0</v>
      </c>
      <c r="W286" s="52">
        <f>IFERROR(X184*H184,"0")</f>
        <v>0</v>
      </c>
      <c r="X286" s="52">
        <f>IFERROR(X190*H190,"0")+IFERROR(X191*H191,"0")+IFERROR(X192*H192,"0")+IFERROR(X193*H193,"0")</f>
        <v>557.76</v>
      </c>
      <c r="Y286" s="52">
        <f>IFERROR(X199*H199,"0")+IFERROR(X203*H203,"0")+IFERROR(X204*H204,"0")+IFERROR(X205*H205,"0")</f>
        <v>0</v>
      </c>
      <c r="Z286" s="52">
        <f>IFERROR(X210*H210,"0")+IFERROR(X211*H211,"0")</f>
        <v>0</v>
      </c>
      <c r="AA286" s="52">
        <f>IFERROR(X216*H216,"0")</f>
        <v>0</v>
      </c>
      <c r="AB286" s="52">
        <f>IFERROR(X221*H221,"0")</f>
        <v>302.39999999999998</v>
      </c>
      <c r="AC286" s="52">
        <f>IFERROR(X227*H227,"0")</f>
        <v>0</v>
      </c>
      <c r="AD286" s="52">
        <f>IFERROR(X233*H233,"0")+IFERROR(X237*H237,"0")</f>
        <v>0</v>
      </c>
      <c r="AE286" s="52">
        <f>IFERROR(X243*H243,"0")</f>
        <v>0</v>
      </c>
      <c r="AF286" s="52">
        <f>IFERROR(X249*H249,"0")+IFERROR(X250*H250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2843.6</v>
      </c>
    </row>
    <row r="287" spans="1:68" ht="13.5" thickTop="1" x14ac:dyDescent="0.2">
      <c r="C287" s="1"/>
    </row>
    <row r="288" spans="1:68" ht="19.5" customHeight="1" x14ac:dyDescent="0.2">
      <c r="A288" s="70" t="s">
        <v>62</v>
      </c>
      <c r="B288" s="70" t="s">
        <v>63</v>
      </c>
      <c r="C288" s="70" t="s">
        <v>65</v>
      </c>
    </row>
    <row r="289" spans="1:3" x14ac:dyDescent="0.2">
      <c r="A289" s="71">
        <f>SUMPRODUCT(--(BB:BB="ЗПФ"),--(W:W="кор"),H:H,Y:Y)+SUMPRODUCT(--(BB:BB="ЗПФ"),--(W:W="кг"),Y:Y)</f>
        <v>489.6</v>
      </c>
      <c r="B289" s="72">
        <f>SUMPRODUCT(--(BB:BB="ПГП"),--(W:W="кор"),H:H,Y:Y)+SUMPRODUCT(--(BB:BB="ПГП"),--(W:W="кг"),Y:Y)</f>
        <v>8199.44</v>
      </c>
      <c r="C289" s="72">
        <f>SUMPRODUCT(--(BB:BB="КИЗ"),--(W:W="кор"),H:H,Y:Y)+SUMPRODUCT(--(BB:BB="КИЗ"),--(W:W="кг"),Y:Y)</f>
        <v>0</v>
      </c>
    </row>
  </sheetData>
  <sheetProtection algorithmName="SHA-512" hashValue="0slcZoiElWXA6C55xyLVEPJaukagwW2kINVv3DAgfh3lHlFcaqzm2XaFwXdeLX95lj8yF+2UURI94G81FsZVJg==" saltValue="JQAuawmUyiHj3CaxHISCFA==" spinCount="100000" sheet="1" objects="1" scenarios="1" sort="0" autoFilter="0" pivotTables="0"/>
  <autoFilter ref="A18:AF28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 082,39"/>
        <filter val="10 932,39"/>
        <filter val="100,80"/>
        <filter val="12,00"/>
        <filter val="126,00"/>
        <filter val="14,00"/>
        <filter val="140,00"/>
        <filter val="151,20"/>
        <filter val="164,64"/>
        <filter val="168,00"/>
        <filter val="180,00"/>
        <filter val="182,00"/>
        <filter val="196,00"/>
        <filter val="2 339,60"/>
        <filter val="201,60"/>
        <filter val="210,00"/>
        <filter val="226,80"/>
        <filter val="237,60"/>
        <filter val="24,00"/>
        <filter val="252,00"/>
        <filter val="266,00"/>
        <filter val="273,00"/>
        <filter val="28,00"/>
        <filter val="3 024,00"/>
        <filter val="302,40"/>
        <filter val="308,00"/>
        <filter val="332,64"/>
        <filter val="34"/>
        <filter val="36,00"/>
        <filter val="392,00"/>
        <filter val="42,00"/>
        <filter val="453,60"/>
        <filter val="504,00"/>
        <filter val="533,40"/>
        <filter val="557,76"/>
        <filter val="558,00"/>
        <filter val="56,00"/>
        <filter val="70,00"/>
        <filter val="798,00"/>
        <filter val="8 689,04"/>
        <filter val="84,00"/>
        <filter val="924,00"/>
        <filter val="98,00"/>
      </filters>
    </filterColumn>
    <filterColumn colId="29" showButton="0"/>
    <filterColumn colId="30" showButton="0"/>
  </autoFilter>
  <dataConsolidate/>
  <mergeCells count="503">
    <mergeCell ref="AE284:AE285"/>
    <mergeCell ref="AF284:AF285"/>
    <mergeCell ref="V284:V285"/>
    <mergeCell ref="W284:W285"/>
    <mergeCell ref="X284:X285"/>
    <mergeCell ref="Y284:Y285"/>
    <mergeCell ref="Z284:Z285"/>
    <mergeCell ref="AA284:AA285"/>
    <mergeCell ref="AB284:AB285"/>
    <mergeCell ref="AC284:AC285"/>
    <mergeCell ref="AD284:AD285"/>
    <mergeCell ref="B283:C283"/>
    <mergeCell ref="D283:U283"/>
    <mergeCell ref="V283:W283"/>
    <mergeCell ref="Y283:AB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O284:O285"/>
    <mergeCell ref="P284:P285"/>
    <mergeCell ref="Q284:Q285"/>
    <mergeCell ref="R284:R285"/>
    <mergeCell ref="S284:S285"/>
    <mergeCell ref="T284:T285"/>
    <mergeCell ref="U284:U285"/>
    <mergeCell ref="D273:E273"/>
    <mergeCell ref="P273:T273"/>
    <mergeCell ref="P274:V274"/>
    <mergeCell ref="A274:O275"/>
    <mergeCell ref="P275:V275"/>
    <mergeCell ref="P276:V276"/>
    <mergeCell ref="A276:O281"/>
    <mergeCell ref="P277:V277"/>
    <mergeCell ref="P278:V278"/>
    <mergeCell ref="P279:V279"/>
    <mergeCell ref="P280:V280"/>
    <mergeCell ref="P281:V281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7:Z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P244:V244"/>
    <mergeCell ref="A244:O245"/>
    <mergeCell ref="P245:V245"/>
    <mergeCell ref="A246:Z246"/>
    <mergeCell ref="A247:Z247"/>
    <mergeCell ref="A248:Z248"/>
    <mergeCell ref="D249:E249"/>
    <mergeCell ref="P249:T249"/>
    <mergeCell ref="D250:E250"/>
    <mergeCell ref="P250:T250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9" priority="62" stopIfTrue="1">
      <formula>IF($V$5="самовывоз",1,0)</formula>
    </cfRule>
  </conditionalFormatting>
  <conditionalFormatting sqref="H9:I9">
    <cfRule type="expression" dxfId="8" priority="55" stopIfTrue="1">
      <formula>IF($V$5="самовывоз",1,0)</formula>
    </cfRule>
  </conditionalFormatting>
  <conditionalFormatting sqref="F9:G9">
    <cfRule type="expression" dxfId="7" priority="54" stopIfTrue="1">
      <formula>IF($V$5="самовывоз",1,0)</formula>
    </cfRule>
  </conditionalFormatting>
  <conditionalFormatting sqref="F10:G10">
    <cfRule type="expression" dxfId="6" priority="53" stopIfTrue="1">
      <formula>IF($V$5="самовывоз",1,0)</formula>
    </cfRule>
  </conditionalFormatting>
  <conditionalFormatting sqref="D9:E9">
    <cfRule type="expression" dxfId="5" priority="52" stopIfTrue="1">
      <formula>IF($V$5="самовывоз",1,0)</formula>
    </cfRule>
  </conditionalFormatting>
  <conditionalFormatting sqref="D10:E10">
    <cfRule type="expression" dxfId="4" priority="51" stopIfTrue="1">
      <formula>IF($V$5="самовывоз",1,0)</formula>
    </cfRule>
  </conditionalFormatting>
  <conditionalFormatting sqref="P8:R8 P5:R6">
    <cfRule type="expression" dxfId="3" priority="50" stopIfTrue="1">
      <formula>IF($V$5="доставка",1,0)</formula>
    </cfRule>
  </conditionalFormatting>
  <conditionalFormatting sqref="X190">
    <cfRule type="duplicateValues" dxfId="2" priority="10"/>
  </conditionalFormatting>
  <conditionalFormatting sqref="X191">
    <cfRule type="duplicateValues" dxfId="1" priority="9"/>
  </conditionalFormatting>
  <conditionalFormatting sqref="X193">
    <cfRule type="duplicateValues" dxfId="0" priority="8"/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0 X265 X260 X249 X243 X237 X233 X227 X221 X210:X211 X203 X193 X184 X178 X172 X156 X150:X151 X137:X139 X130:X133 X125 X121 X115 X111:X112 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3 X266:X269 X264 X258:X259 X254 X250 X216 X204:X205 X199 X190:X192 X179 X167 X162 X157 X144:X145 X116:X117 X113:X114 X110 X104:X105 X94:X98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385</v>
      </c>
      <c r="C6" s="53" t="s">
        <v>386</v>
      </c>
      <c r="D6" s="53" t="s">
        <v>387</v>
      </c>
      <c r="E6" s="53" t="s">
        <v>46</v>
      </c>
    </row>
    <row r="7" spans="2:8" x14ac:dyDescent="0.2">
      <c r="B7" s="53" t="s">
        <v>388</v>
      </c>
      <c r="C7" s="53" t="s">
        <v>389</v>
      </c>
      <c r="D7" s="53" t="s">
        <v>390</v>
      </c>
      <c r="E7" s="53" t="s">
        <v>46</v>
      </c>
    </row>
    <row r="8" spans="2:8" x14ac:dyDescent="0.2">
      <c r="B8" s="53" t="s">
        <v>391</v>
      </c>
      <c r="C8" s="53" t="s">
        <v>392</v>
      </c>
      <c r="D8" s="53" t="s">
        <v>393</v>
      </c>
      <c r="E8" s="53" t="s">
        <v>46</v>
      </c>
    </row>
    <row r="9" spans="2:8" x14ac:dyDescent="0.2">
      <c r="B9" s="53" t="s">
        <v>394</v>
      </c>
      <c r="C9" s="53" t="s">
        <v>395</v>
      </c>
      <c r="D9" s="53" t="s">
        <v>396</v>
      </c>
      <c r="E9" s="53" t="s">
        <v>46</v>
      </c>
    </row>
    <row r="10" spans="2:8" x14ac:dyDescent="0.2">
      <c r="B10" s="53" t="s">
        <v>397</v>
      </c>
      <c r="C10" s="53" t="s">
        <v>398</v>
      </c>
      <c r="D10" s="53" t="s">
        <v>399</v>
      </c>
      <c r="E10" s="53" t="s">
        <v>46</v>
      </c>
    </row>
    <row r="12" spans="2:8" x14ac:dyDescent="0.2">
      <c r="B12" s="53" t="s">
        <v>400</v>
      </c>
      <c r="C12" s="53" t="s">
        <v>386</v>
      </c>
      <c r="D12" s="53" t="s">
        <v>46</v>
      </c>
      <c r="E12" s="53" t="s">
        <v>46</v>
      </c>
    </row>
    <row r="14" spans="2:8" x14ac:dyDescent="0.2">
      <c r="B14" s="53" t="s">
        <v>401</v>
      </c>
      <c r="C14" s="53" t="s">
        <v>389</v>
      </c>
      <c r="D14" s="53" t="s">
        <v>46</v>
      </c>
      <c r="E14" s="53" t="s">
        <v>46</v>
      </c>
    </row>
    <row r="16" spans="2:8" x14ac:dyDescent="0.2">
      <c r="B16" s="53" t="s">
        <v>402</v>
      </c>
      <c r="C16" s="53" t="s">
        <v>392</v>
      </c>
      <c r="D16" s="53" t="s">
        <v>46</v>
      </c>
      <c r="E16" s="53" t="s">
        <v>46</v>
      </c>
    </row>
    <row r="18" spans="2:5" x14ac:dyDescent="0.2">
      <c r="B18" s="53" t="s">
        <v>403</v>
      </c>
      <c r="C18" s="53" t="s">
        <v>395</v>
      </c>
      <c r="D18" s="53" t="s">
        <v>46</v>
      </c>
      <c r="E18" s="53" t="s">
        <v>46</v>
      </c>
    </row>
    <row r="20" spans="2:5" x14ac:dyDescent="0.2">
      <c r="B20" s="53" t="s">
        <v>404</v>
      </c>
      <c r="C20" s="53" t="s">
        <v>398</v>
      </c>
      <c r="D20" s="53" t="s">
        <v>46</v>
      </c>
      <c r="E20" s="53" t="s">
        <v>46</v>
      </c>
    </row>
    <row r="22" spans="2:5" x14ac:dyDescent="0.2">
      <c r="B22" s="53" t="s">
        <v>405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408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409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410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415</v>
      </c>
      <c r="C32" s="53" t="s">
        <v>46</v>
      </c>
      <c r="D32" s="53" t="s">
        <v>46</v>
      </c>
      <c r="E32" s="53" t="s">
        <v>46</v>
      </c>
    </row>
  </sheetData>
  <sheetProtection algorithmName="SHA-512" hashValue="b8rFihNppq1brqR0dVgJkkDXUo+E9XaDYhv2UpoDdSxzMs8jZEMaX+AdeW5jASswfmUZ17an9IG7oE0zhwpq/g==" saltValue="6xxZ8sfALxDRteDYFrVh6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2026-08-28T13:37:11Z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