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8,08 Горняк(Луганск) ЗПФ НВ на доставку 10,09\"/>
    </mc:Choice>
  </mc:AlternateContent>
  <xr:revisionPtr revIDLastSave="0" documentId="13_ncr:1_{7512AC76-0C3D-4001-BC15-830B72E3F1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28" i="2" l="1"/>
  <c r="Z34" i="2"/>
  <c r="Z275" i="2" s="1"/>
  <c r="Z82" i="2"/>
  <c r="Y94" i="2"/>
  <c r="Z110" i="2"/>
  <c r="Z143" i="2"/>
  <c r="BN27" i="2"/>
  <c r="BP27" i="2"/>
  <c r="BN33" i="2"/>
  <c r="BP33" i="2"/>
  <c r="Y61" i="2"/>
  <c r="Y62" i="2"/>
  <c r="BP60" i="2"/>
  <c r="Y71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1" i="2" l="1"/>
  <c r="Y272" i="2"/>
  <c r="Y273" i="2" s="1"/>
  <c r="Y274" i="2"/>
  <c r="Y35" i="2" l="1"/>
  <c r="Y270" i="2"/>
  <c r="C283" i="2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<sst xmlns="http://schemas.openxmlformats.org/spreadsheetml/2006/main" count="1723" uniqueCount="411">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</sst>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/>
      <c r="I5" s="455"/>
      <c r="J5" s="455"/>
      <c r="K5" s="455"/>
      <c r="L5" s="455"/>
      <c r="M5" s="455"/>
      <c r="N5" s="72"/>
      <c r="P5" s="26" t="s">
        <v>4</v>
      </c>
      <c r="Q5" s="457"/>
      <c r="R5" s="457"/>
      <c r="T5" s="458" t="s">
        <v>3</v>
      </c>
      <c r="U5" s="459"/>
      <c r="V5" s="460" t="s">
        <v>378</v>
      </c>
      <c r="W5" s="461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 xml:space="preserve"> 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/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46275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hidden="1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hidden="1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hidden="1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hidden="1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hidden="1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hidden="1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hidden="1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hidden="1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hidden="1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hidden="1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hidden="1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140</v>
      </c>
      <c r="Y97" s="53">
        <f t="shared" ref="Y97:Y103" si="6">IFERROR(IF(X97="","",X97),"")</f>
        <v>140</v>
      </c>
      <c r="Z97" s="39">
        <f t="shared" ref="Z97:Z102" si="7">IFERROR(IF(X97="","",X97*0.01788),"")</f>
        <v>2.5032000000000001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501.70400000000001</v>
      </c>
      <c r="BN97" s="78">
        <f t="shared" ref="BN97:BN103" si="9">IFERROR(Y97*I97,"0")</f>
        <v>501.70400000000001</v>
      </c>
      <c r="BO97" s="78">
        <f t="shared" ref="BO97:BO103" si="10">IFERROR(X97/J97,"0")</f>
        <v>2</v>
      </c>
      <c r="BP97" s="78">
        <f t="shared" ref="BP97:BP103" si="11">IFERROR(Y97/J97,"0")</f>
        <v>2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140</v>
      </c>
      <c r="Y98" s="53">
        <f t="shared" si="6"/>
        <v>140</v>
      </c>
      <c r="Z98" s="39">
        <f t="shared" si="7"/>
        <v>2.5032000000000001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501.70400000000001</v>
      </c>
      <c r="BN98" s="78">
        <f t="shared" si="9"/>
        <v>501.70400000000001</v>
      </c>
      <c r="BO98" s="78">
        <f t="shared" si="10"/>
        <v>2</v>
      </c>
      <c r="BP98" s="78">
        <f t="shared" si="11"/>
        <v>2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210</v>
      </c>
      <c r="Y100" s="53">
        <f t="shared" si="6"/>
        <v>210</v>
      </c>
      <c r="Z100" s="39">
        <f t="shared" si="7"/>
        <v>3.7547999999999999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752.55600000000004</v>
      </c>
      <c r="BN100" s="78">
        <f t="shared" si="9"/>
        <v>752.55600000000004</v>
      </c>
      <c r="BO100" s="78">
        <f t="shared" si="10"/>
        <v>3</v>
      </c>
      <c r="BP100" s="78">
        <f t="shared" si="11"/>
        <v>3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14</v>
      </c>
      <c r="Y103" s="53">
        <f t="shared" si="6"/>
        <v>14</v>
      </c>
      <c r="Z103" s="39">
        <f>IFERROR(IF(X103="","",X103*0.00941),"")</f>
        <v>0.13174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24.36</v>
      </c>
      <c r="BN103" s="78">
        <f t="shared" si="9"/>
        <v>24.36</v>
      </c>
      <c r="BO103" s="78">
        <f t="shared" si="10"/>
        <v>0.1</v>
      </c>
      <c r="BP103" s="78">
        <f t="shared" si="11"/>
        <v>0.1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504</v>
      </c>
      <c r="Y104" s="41">
        <f>IFERROR(SUM(Y97:Y103),"0")</f>
        <v>504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8.8929400000000012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1429.6799999999998</v>
      </c>
      <c r="Y105" s="41">
        <f>IFERROR(SUMPRODUCT(Y97:Y103*H97:H103),"0")</f>
        <v>1429.6799999999998</v>
      </c>
      <c r="Z105" s="40"/>
      <c r="AA105" s="64"/>
      <c r="AB105" s="64"/>
      <c r="AC105" s="64"/>
    </row>
    <row r="106" spans="1:68" ht="16.5" hidden="1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hidden="1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hidden="1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14</v>
      </c>
      <c r="Y124" s="53">
        <f>IFERROR(IF(X124="","",X124),"")</f>
        <v>14</v>
      </c>
      <c r="Z124" s="39">
        <f>IFERROR(IF(X124="","",X124*0.01788),"")</f>
        <v>0.25031999999999999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46.810400000000001</v>
      </c>
      <c r="BN124" s="78">
        <f>IFERROR(Y124*I124,"0")</f>
        <v>46.810400000000001</v>
      </c>
      <c r="BO124" s="78">
        <f>IFERROR(X124/J124,"0")</f>
        <v>0.2</v>
      </c>
      <c r="BP124" s="78">
        <f>IFERROR(Y124/J124,"0")</f>
        <v>0.2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14</v>
      </c>
      <c r="Y125" s="41">
        <f>IFERROR(SUM(Y124:Y124),"0")</f>
        <v>14</v>
      </c>
      <c r="Z125" s="41">
        <f>IFERROR(IF(Z124="",0,Z124),"0")</f>
        <v>0.25031999999999999</v>
      </c>
      <c r="AA125" s="64"/>
      <c r="AB125" s="64"/>
      <c r="AC125" s="64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36.96</v>
      </c>
      <c r="Y126" s="41">
        <f>IFERROR(SUMPRODUCT(Y124:Y124*H124:H124),"0")</f>
        <v>36.96</v>
      </c>
      <c r="Z126" s="40"/>
      <c r="AA126" s="64"/>
      <c r="AB126" s="64"/>
      <c r="AC126" s="64"/>
    </row>
    <row r="127" spans="1:68" ht="14.25" hidden="1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hidden="1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hidden="1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14</v>
      </c>
      <c r="Y140" s="53">
        <f>IFERROR(IF(X140="","",X140),"")</f>
        <v>14</v>
      </c>
      <c r="Z140" s="39">
        <f>IFERROR(IF(X140="","",X140*0.00941),"")</f>
        <v>0.13174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25.2</v>
      </c>
      <c r="BN140" s="78">
        <f>IFERROR(Y140*I140,"0")</f>
        <v>25.2</v>
      </c>
      <c r="BO140" s="78">
        <f>IFERROR(X140/J140,"0")</f>
        <v>0.1</v>
      </c>
      <c r="BP140" s="78">
        <f>IFERROR(Y140/J140,"0")</f>
        <v>0.1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210</v>
      </c>
      <c r="Y142" s="53">
        <f>IFERROR(IF(X142="","",X142),"")</f>
        <v>210</v>
      </c>
      <c r="Z142" s="39">
        <f>IFERROR(IF(X142="","",X142*0.01788),"")</f>
        <v>3.7547999999999999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777.75599999999997</v>
      </c>
      <c r="BN142" s="78">
        <f>IFERROR(Y142*I142,"0")</f>
        <v>777.75599999999997</v>
      </c>
      <c r="BO142" s="78">
        <f>IFERROR(X142/J142,"0")</f>
        <v>3</v>
      </c>
      <c r="BP142" s="78">
        <f>IFERROR(Y142/J142,"0")</f>
        <v>3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364</v>
      </c>
      <c r="Y143" s="41">
        <f>IFERROR(SUM(Y140:Y142),"0")</f>
        <v>364</v>
      </c>
      <c r="Z143" s="41">
        <f>IFERROR(IF(Z140="",0,Z140),"0")+IFERROR(IF(Z141="",0,Z141),"0")+IFERROR(IF(Z142="",0,Z142),"0")</f>
        <v>6.3897399999999998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1069.32</v>
      </c>
      <c r="Y144" s="41">
        <f>IFERROR(SUMPRODUCT(Y140:Y142*H140:H142),"0")</f>
        <v>1069.32</v>
      </c>
      <c r="Z144" s="40"/>
      <c r="AA144" s="64"/>
      <c r="AB144" s="64"/>
      <c r="AC144" s="64"/>
    </row>
    <row r="145" spans="1:68" ht="16.5" hidden="1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hidden="1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14</v>
      </c>
      <c r="Y147" s="53">
        <f>IFERROR(IF(X147="","",X147),"")</f>
        <v>14</v>
      </c>
      <c r="Z147" s="39">
        <f>IFERROR(IF(X147="","",X147*0.00941),"")</f>
        <v>0.13174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25.2</v>
      </c>
      <c r="BN147" s="78">
        <f>IFERROR(Y147*I147,"0")</f>
        <v>25.2</v>
      </c>
      <c r="BO147" s="78">
        <f>IFERROR(X147/J147,"0")</f>
        <v>0.1</v>
      </c>
      <c r="BP147" s="78">
        <f>IFERROR(Y147/J147,"0")</f>
        <v>0.1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84</v>
      </c>
      <c r="Y150" s="41">
        <f>IFERROR(SUM(Y147:Y149),"0")</f>
        <v>84</v>
      </c>
      <c r="Z150" s="41">
        <f>IFERROR(IF(Z147="",0,Z147),"0")+IFERROR(IF(Z148="",0,Z148),"0")+IFERROR(IF(Z149="",0,Z149),"0")</f>
        <v>1.38334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229.32</v>
      </c>
      <c r="Y151" s="41">
        <f>IFERROR(SUMPRODUCT(Y147:Y149*H147:H149),"0")</f>
        <v>229.32</v>
      </c>
      <c r="Z151" s="40"/>
      <c r="AA151" s="64"/>
      <c r="AB151" s="64"/>
      <c r="AC151" s="64"/>
    </row>
    <row r="152" spans="1:68" ht="16.5" hidden="1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hidden="1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hidden="1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70</v>
      </c>
      <c r="Y160" s="53">
        <f>IFERROR(IF(X160="","",X160),"")</f>
        <v>70</v>
      </c>
      <c r="Z160" s="39">
        <f>IFERROR(IF(X160="","",X160*0.01788),"")</f>
        <v>1.2516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259.25200000000001</v>
      </c>
      <c r="BN160" s="78">
        <f>IFERROR(Y160*I160,"0")</f>
        <v>259.25200000000001</v>
      </c>
      <c r="BO160" s="78">
        <f>IFERROR(X160/J160,"0")</f>
        <v>1</v>
      </c>
      <c r="BP160" s="78">
        <f>IFERROR(Y160/J160,"0")</f>
        <v>1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70</v>
      </c>
      <c r="Y161" s="41">
        <f>IFERROR(SUM(Y160:Y160),"0")</f>
        <v>70</v>
      </c>
      <c r="Z161" s="41">
        <f>IFERROR(IF(Z160="",0,Z160),"0")</f>
        <v>1.2516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210</v>
      </c>
      <c r="Y162" s="41">
        <f>IFERROR(SUMPRODUCT(Y160:Y160*H160:H160),"0")</f>
        <v>210</v>
      </c>
      <c r="Z162" s="40"/>
      <c r="AA162" s="64"/>
      <c r="AB162" s="64"/>
      <c r="AC162" s="64"/>
    </row>
    <row r="163" spans="1:68" ht="16.5" hidden="1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hidden="1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hidden="1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hidden="1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hidden="1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hidden="1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hidden="1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70</v>
      </c>
      <c r="Y188" s="53">
        <f>IFERROR(IF(X188="","",X188),"")</f>
        <v>70</v>
      </c>
      <c r="Z188" s="39">
        <f>IFERROR(IF(X188="","",X188*0.01788),"")</f>
        <v>1.2516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237.16</v>
      </c>
      <c r="BN188" s="78">
        <f>IFERROR(Y188*I188,"0")</f>
        <v>237.16</v>
      </c>
      <c r="BO188" s="78">
        <f>IFERROR(X188/J188,"0")</f>
        <v>1</v>
      </c>
      <c r="BP188" s="78">
        <f>IFERROR(Y188/J188,"0")</f>
        <v>1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70</v>
      </c>
      <c r="Y189" s="53">
        <f>IFERROR(IF(X189="","",X189),"")</f>
        <v>70</v>
      </c>
      <c r="Z189" s="39">
        <f>IFERROR(IF(X189="","",X189*0.01788),"")</f>
        <v>1.2516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237.16</v>
      </c>
      <c r="BN189" s="78">
        <f>IFERROR(Y189*I189,"0")</f>
        <v>237.16</v>
      </c>
      <c r="BO189" s="78">
        <f>IFERROR(X189/J189,"0")</f>
        <v>1</v>
      </c>
      <c r="BP189" s="78">
        <f>IFERROR(Y189/J189,"0")</f>
        <v>1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70</v>
      </c>
      <c r="Y190" s="53">
        <f>IFERROR(IF(X190="","",X190),"")</f>
        <v>70</v>
      </c>
      <c r="Z190" s="39">
        <f>IFERROR(IF(X190="","",X190*0.01788),"")</f>
        <v>1.2516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261.52000000000004</v>
      </c>
      <c r="BN190" s="78">
        <f>IFERROR(Y190*I190,"0")</f>
        <v>261.52000000000004</v>
      </c>
      <c r="BO190" s="78">
        <f>IFERROR(X190/J190,"0")</f>
        <v>1</v>
      </c>
      <c r="BP190" s="78">
        <f>IFERROR(Y190/J190,"0")</f>
        <v>1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210</v>
      </c>
      <c r="Y192" s="41">
        <f>IFERROR(SUM(Y188:Y191),"0")</f>
        <v>210</v>
      </c>
      <c r="Z192" s="41">
        <f>IFERROR(IF(Z188="",0,Z188),"0")+IFERROR(IF(Z189="",0,Z189),"0")+IFERROR(IF(Z190="",0,Z190),"0")+IFERROR(IF(Z191="",0,Z191),"0")</f>
        <v>3.7548000000000004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630</v>
      </c>
      <c r="Y193" s="41">
        <f>IFERROR(SUMPRODUCT(Y188:Y191*H188:H191),"0")</f>
        <v>630</v>
      </c>
      <c r="Z193" s="40"/>
      <c r="AA193" s="64"/>
      <c r="AB193" s="64"/>
      <c r="AC193" s="64"/>
    </row>
    <row r="194" spans="1:68" ht="27.75" hidden="1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hidden="1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hidden="1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hidden="1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hidden="1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14</v>
      </c>
      <c r="Y214" s="53">
        <f>IFERROR(IF(X214="","",X214),"")</f>
        <v>14</v>
      </c>
      <c r="Z214" s="39">
        <f>IFERROR(IF(X214="","",X214*0.01788),"")</f>
        <v>0.25031999999999999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43.450400000000002</v>
      </c>
      <c r="BN214" s="78">
        <f>IFERROR(Y214*I214,"0")</f>
        <v>43.450400000000002</v>
      </c>
      <c r="BO214" s="78">
        <f>IFERROR(X214/J214,"0")</f>
        <v>0.2</v>
      </c>
      <c r="BP214" s="78">
        <f>IFERROR(Y214/J214,"0")</f>
        <v>0.2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14</v>
      </c>
      <c r="Y216" s="41">
        <f>IFERROR(SUM(Y214:Y215),"0")</f>
        <v>14</v>
      </c>
      <c r="Z216" s="41">
        <f>IFERROR(IF(Z214="",0,Z214),"0")+IFERROR(IF(Z215="",0,Z215),"0")</f>
        <v>0.25031999999999999</v>
      </c>
      <c r="AA216" s="64"/>
      <c r="AB216" s="64"/>
      <c r="AC216" s="64"/>
    </row>
    <row r="217" spans="1:68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33.6</v>
      </c>
      <c r="Y217" s="41">
        <f>IFERROR(SUMPRODUCT(Y214:Y215*H214:H215),"0")</f>
        <v>33.6</v>
      </c>
      <c r="Z217" s="40"/>
      <c r="AA217" s="64"/>
      <c r="AB217" s="64"/>
      <c r="AC217" s="64"/>
    </row>
    <row r="218" spans="1:68" ht="27.75" hidden="1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hidden="1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hidden="1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hidden="1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hidden="1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hidden="1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hidden="1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hidden="1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hidden="1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hidden="1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168</v>
      </c>
      <c r="Y253" s="53">
        <f>IFERROR(IF(X253="","",X253),"")</f>
        <v>168</v>
      </c>
      <c r="Z253" s="39">
        <f>IFERROR(IF(X253="","",X253*0.0155),"")</f>
        <v>2.6040000000000001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879.48</v>
      </c>
      <c r="BN253" s="78">
        <f>IFERROR(Y253*I253,"0")</f>
        <v>879.48</v>
      </c>
      <c r="BO253" s="78">
        <f>IFERROR(X253/J253,"0")</f>
        <v>2</v>
      </c>
      <c r="BP253" s="78">
        <f>IFERROR(Y253/J253,"0")</f>
        <v>2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168</v>
      </c>
      <c r="Y255" s="41">
        <f>IFERROR(SUM(Y252:Y254),"0")</f>
        <v>168</v>
      </c>
      <c r="Z255" s="41">
        <f>IFERROR(IF(Z252="",0,Z252),"0")+IFERROR(IF(Z253="",0,Z253),"0")+IFERROR(IF(Z254="",0,Z254),"0")</f>
        <v>2.6040000000000001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840</v>
      </c>
      <c r="Y256" s="41">
        <f>IFERROR(SUMPRODUCT(Y252:Y254*H252:H254),"0")</f>
        <v>840</v>
      </c>
      <c r="Z256" s="40"/>
      <c r="AA256" s="64"/>
      <c r="AB256" s="64"/>
      <c r="AC256" s="64"/>
    </row>
    <row r="257" spans="1:68" ht="14.25" hidden="1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IFERROR(IF(X259="","",X259*0.0155),"")</f>
        <v>3.9060000000000001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1317.96</v>
      </c>
      <c r="BN259" s="78">
        <f t="shared" si="20"/>
        <v>1317.96</v>
      </c>
      <c r="BO259" s="78">
        <f t="shared" si="21"/>
        <v>3</v>
      </c>
      <c r="BP259" s="78">
        <f t="shared" si="22"/>
        <v>3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504</v>
      </c>
      <c r="Y262" s="53">
        <f t="shared" si="18"/>
        <v>504</v>
      </c>
      <c r="Z262" s="39">
        <f t="shared" si="23"/>
        <v>4.7174399999999999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1961.568</v>
      </c>
      <c r="BN262" s="78">
        <f t="shared" si="20"/>
        <v>1961.568</v>
      </c>
      <c r="BO262" s="78">
        <f t="shared" si="21"/>
        <v>4</v>
      </c>
      <c r="BP262" s="78">
        <f t="shared" si="22"/>
        <v>4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924</v>
      </c>
      <c r="Y268" s="41">
        <f>IFERROR(SUM(Y258:Y267),"0")</f>
        <v>924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11.22744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4048.8</v>
      </c>
      <c r="Y269" s="41">
        <f>IFERROR(SUMPRODUCT(Y258:Y267*H258:H267),"0")</f>
        <v>4048.8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9787.68</v>
      </c>
      <c r="Y270" s="41">
        <f>IFERROR(Y29+Y35+Y42+Y49+Y57+Y62+Y66+Y71+Y77+Y83+Y88+Y94+Y105+Y111+Y122+Y126+Y130+Y137+Y144+Y151+Y157+Y162+Y167+Y172+Y179+Y184+Y193+Y199+Y206+Y211+Y217+Y223+Y229+Y235+Y239+Y246+Y250+Y256+Y269,"0")</f>
        <v>9787.68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10947.0088</v>
      </c>
      <c r="Y271" s="41">
        <f>IFERROR(SUM(BN22:BN267),"0")</f>
        <v>10947.0088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32</v>
      </c>
      <c r="Y272" s="42">
        <f>ROUNDUP(SUM(BP22:BP267),0)</f>
        <v>32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11747.0088</v>
      </c>
      <c r="Y273" s="41">
        <f>GrossWeightTotalR+PalletQtyTotalR*25</f>
        <v>11747.0088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2590</v>
      </c>
      <c r="Y274" s="41">
        <f>IFERROR(Y28+Y34+Y41+Y48+Y56+Y61+Y65+Y70+Y76+Y82+Y87+Y93+Y104+Y110+Y121+Y125+Y129+Y136+Y143+Y150+Y156+Y161+Y166+Y171+Y178+Y183+Y192+Y198+Y205+Y210+Y216+Y222+Y228+Y234+Y238+Y245+Y249+Y255+Y268,"0")</f>
        <v>2590</v>
      </c>
      <c r="Z274" s="40"/>
      <c r="AA274" s="64"/>
      <c r="AB274" s="64"/>
      <c r="AC274" s="64"/>
    </row>
    <row r="275" spans="1:32" ht="14.25" hidden="1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39.860099999999996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1429.6799999999998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36.96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1069.32</v>
      </c>
      <c r="Q280" s="50">
        <f>IFERROR(X147*H147,"0")+IFERROR(X148*H148,"0")+IFERROR(X149*H149,"0")</f>
        <v>229.32</v>
      </c>
      <c r="R280" s="50">
        <f>IFERROR(X154*H154,"0")+IFERROR(X155*H155,"0")</f>
        <v>0</v>
      </c>
      <c r="S280" s="50">
        <f>IFERROR(X160*H160,"0")</f>
        <v>210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630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33.6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5896.8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9787.68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69,32"/>
        <filter val="1 429,68"/>
        <filter val="10 947,01"/>
        <filter val="11 747,01"/>
        <filter val="14,00"/>
        <filter val="140,00"/>
        <filter val="168,00"/>
        <filter val="2 590,00"/>
        <filter val="210,00"/>
        <filter val="229,32"/>
        <filter val="252,00"/>
        <filter val="32"/>
        <filter val="33,60"/>
        <filter val="36,96"/>
        <filter val="364,00"/>
        <filter val="4 048,80"/>
        <filter val="504,00"/>
        <filter val="630,00"/>
        <filter val="70,00"/>
        <filter val="84,00"/>
        <filter val="840,00"/>
        <filter val="9 787,68"/>
        <filter val="924,00"/>
      </filters>
    </filterColumn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2026-09-04T10:55:17Z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