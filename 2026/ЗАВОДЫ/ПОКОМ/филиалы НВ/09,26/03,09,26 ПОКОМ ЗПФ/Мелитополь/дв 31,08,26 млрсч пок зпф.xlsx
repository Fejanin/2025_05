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"/>
    </mc:Choice>
  </mc:AlternateContent>
  <xr:revisionPtr revIDLastSave="0" documentId="13_ncr:1_{F00E390B-2EE8-4C3C-BFB4-823F897F7AA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Sheet!$A$3:$AQ$70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4" i="1" l="1"/>
  <c r="W14" i="1"/>
  <c r="V27" i="1"/>
  <c r="W27" i="1"/>
  <c r="V29" i="1"/>
  <c r="W29" i="1"/>
  <c r="V30" i="1"/>
  <c r="W30" i="1"/>
  <c r="V31" i="1"/>
  <c r="W31" i="1"/>
  <c r="V32" i="1"/>
  <c r="W32" i="1"/>
  <c r="V33" i="1"/>
  <c r="W33" i="1"/>
  <c r="V37" i="1"/>
  <c r="W37" i="1"/>
  <c r="V42" i="1"/>
  <c r="W42" i="1"/>
  <c r="V44" i="1"/>
  <c r="W44" i="1"/>
  <c r="V46" i="1"/>
  <c r="W46" i="1"/>
  <c r="V48" i="1"/>
  <c r="W48" i="1"/>
  <c r="V52" i="1"/>
  <c r="W52" i="1"/>
  <c r="V61" i="1"/>
  <c r="W61" i="1"/>
  <c r="V62" i="1"/>
  <c r="W62" i="1"/>
  <c r="V65" i="1"/>
  <c r="W65" i="1"/>
  <c r="U27" i="1" l="1"/>
  <c r="U29" i="1"/>
  <c r="U30" i="1"/>
  <c r="U31" i="1"/>
  <c r="U32" i="1"/>
  <c r="U42" i="1"/>
  <c r="U48" i="1"/>
  <c r="T27" i="1"/>
  <c r="T29" i="1"/>
  <c r="T30" i="1"/>
  <c r="T31" i="1"/>
  <c r="T32" i="1"/>
  <c r="T42" i="1"/>
  <c r="T48" i="1"/>
  <c r="AM24" i="1" l="1"/>
  <c r="AN24" i="1" s="1"/>
  <c r="AK24" i="1"/>
  <c r="S24" i="1"/>
  <c r="P24" i="1"/>
  <c r="Y24" i="1" s="1"/>
  <c r="AQ24" i="1" l="1"/>
  <c r="X24" i="1"/>
  <c r="AM55" i="1" l="1"/>
  <c r="AM53" i="1"/>
  <c r="AM52" i="1"/>
  <c r="AN52" i="1" s="1"/>
  <c r="AM35" i="1"/>
  <c r="AM14" i="1"/>
  <c r="S14" i="1" s="1"/>
  <c r="P70" i="1"/>
  <c r="Y70" i="1" s="1"/>
  <c r="L70" i="1"/>
  <c r="F69" i="1"/>
  <c r="E69" i="1"/>
  <c r="P69" i="1" s="1"/>
  <c r="P68" i="1"/>
  <c r="L68" i="1"/>
  <c r="P67" i="1"/>
  <c r="Y67" i="1" s="1"/>
  <c r="L67" i="1"/>
  <c r="P66" i="1"/>
  <c r="Y66" i="1" s="1"/>
  <c r="L66" i="1"/>
  <c r="P65" i="1"/>
  <c r="L65" i="1"/>
  <c r="F65" i="1"/>
  <c r="P64" i="1"/>
  <c r="L64" i="1"/>
  <c r="P63" i="1"/>
  <c r="Y63" i="1" s="1"/>
  <c r="L63" i="1"/>
  <c r="P62" i="1"/>
  <c r="Y62" i="1" s="1"/>
  <c r="L62" i="1"/>
  <c r="P61" i="1"/>
  <c r="Y61" i="1" s="1"/>
  <c r="L61" i="1"/>
  <c r="AM60" i="1"/>
  <c r="AQ60" i="1" s="1"/>
  <c r="AK60" i="1"/>
  <c r="P60" i="1"/>
  <c r="Y60" i="1" s="1"/>
  <c r="L60" i="1"/>
  <c r="P59" i="1"/>
  <c r="Y59" i="1" s="1"/>
  <c r="L59" i="1"/>
  <c r="P58" i="1"/>
  <c r="L58" i="1"/>
  <c r="P57" i="1"/>
  <c r="Y57" i="1" s="1"/>
  <c r="L57" i="1"/>
  <c r="P56" i="1"/>
  <c r="L56" i="1"/>
  <c r="P55" i="1"/>
  <c r="Y55" i="1" s="1"/>
  <c r="L55" i="1"/>
  <c r="P54" i="1"/>
  <c r="Y54" i="1" s="1"/>
  <c r="L54" i="1"/>
  <c r="AK53" i="1"/>
  <c r="P53" i="1"/>
  <c r="Y53" i="1" s="1"/>
  <c r="L53" i="1"/>
  <c r="P52" i="1"/>
  <c r="Y52" i="1" s="1"/>
  <c r="L52" i="1"/>
  <c r="P51" i="1"/>
  <c r="L51" i="1"/>
  <c r="P50" i="1"/>
  <c r="L50" i="1"/>
  <c r="P49" i="1"/>
  <c r="R49" i="1" s="1"/>
  <c r="L49" i="1"/>
  <c r="P48" i="1"/>
  <c r="Y48" i="1" s="1"/>
  <c r="L48" i="1"/>
  <c r="P47" i="1"/>
  <c r="Y47" i="1" s="1"/>
  <c r="L47" i="1"/>
  <c r="P46" i="1"/>
  <c r="L46" i="1"/>
  <c r="F46" i="1"/>
  <c r="P45" i="1"/>
  <c r="L45" i="1"/>
  <c r="P44" i="1"/>
  <c r="Y44" i="1" s="1"/>
  <c r="L44" i="1"/>
  <c r="P43" i="1"/>
  <c r="Y43" i="1" s="1"/>
  <c r="L43" i="1"/>
  <c r="P42" i="1"/>
  <c r="Y42" i="1" s="1"/>
  <c r="L42" i="1"/>
  <c r="P41" i="1"/>
  <c r="Y41" i="1" s="1"/>
  <c r="L41" i="1"/>
  <c r="P40" i="1"/>
  <c r="Y40" i="1" s="1"/>
  <c r="L40" i="1"/>
  <c r="P39" i="1"/>
  <c r="Y39" i="1" s="1"/>
  <c r="L39" i="1"/>
  <c r="P38" i="1"/>
  <c r="L38" i="1"/>
  <c r="P37" i="1"/>
  <c r="Y37" i="1" s="1"/>
  <c r="L37" i="1"/>
  <c r="P36" i="1"/>
  <c r="Y36" i="1" s="1"/>
  <c r="L36" i="1"/>
  <c r="P35" i="1"/>
  <c r="Y35" i="1" s="1"/>
  <c r="L35" i="1"/>
  <c r="P34" i="1"/>
  <c r="Y34" i="1" s="1"/>
  <c r="L34" i="1"/>
  <c r="P33" i="1"/>
  <c r="Y33" i="1" s="1"/>
  <c r="L33" i="1"/>
  <c r="P32" i="1"/>
  <c r="Y32" i="1" s="1"/>
  <c r="L32" i="1"/>
  <c r="P31" i="1"/>
  <c r="Y31" i="1" s="1"/>
  <c r="L31" i="1"/>
  <c r="P30" i="1"/>
  <c r="Y30" i="1" s="1"/>
  <c r="L30" i="1"/>
  <c r="P29" i="1"/>
  <c r="L29" i="1"/>
  <c r="P28" i="1"/>
  <c r="Y28" i="1" s="1"/>
  <c r="L28" i="1"/>
  <c r="P27" i="1"/>
  <c r="Y27" i="1" s="1"/>
  <c r="L27" i="1"/>
  <c r="P26" i="1"/>
  <c r="Y26" i="1" s="1"/>
  <c r="L26" i="1"/>
  <c r="P25" i="1"/>
  <c r="Y25" i="1" s="1"/>
  <c r="L25" i="1"/>
  <c r="P23" i="1"/>
  <c r="Y23" i="1" s="1"/>
  <c r="L23" i="1"/>
  <c r="P22" i="1"/>
  <c r="Y22" i="1" s="1"/>
  <c r="L22" i="1"/>
  <c r="P21" i="1"/>
  <c r="Y21" i="1" s="1"/>
  <c r="L21" i="1"/>
  <c r="P20" i="1"/>
  <c r="Y20" i="1" s="1"/>
  <c r="L20" i="1"/>
  <c r="P19" i="1"/>
  <c r="Y19" i="1" s="1"/>
  <c r="L19" i="1"/>
  <c r="P18" i="1"/>
  <c r="Y18" i="1" s="1"/>
  <c r="L18" i="1"/>
  <c r="F17" i="1"/>
  <c r="E17" i="1"/>
  <c r="P16" i="1"/>
  <c r="Y16" i="1" s="1"/>
  <c r="L16" i="1"/>
  <c r="P15" i="1"/>
  <c r="Y15" i="1" s="1"/>
  <c r="L15" i="1"/>
  <c r="P14" i="1"/>
  <c r="Y14" i="1" s="1"/>
  <c r="L14" i="1"/>
  <c r="P13" i="1"/>
  <c r="L13" i="1"/>
  <c r="P12" i="1"/>
  <c r="L12" i="1"/>
  <c r="P11" i="1"/>
  <c r="Y11" i="1" s="1"/>
  <c r="L11" i="1"/>
  <c r="P10" i="1"/>
  <c r="Y10" i="1" s="1"/>
  <c r="L10" i="1"/>
  <c r="P9" i="1"/>
  <c r="X9" i="1" s="1"/>
  <c r="L9" i="1"/>
  <c r="P8" i="1"/>
  <c r="X8" i="1" s="1"/>
  <c r="L8" i="1"/>
  <c r="P7" i="1"/>
  <c r="L7" i="1"/>
  <c r="P6" i="1"/>
  <c r="Y6" i="1" s="1"/>
  <c r="L6" i="1"/>
  <c r="AI5" i="1"/>
  <c r="AH5" i="1"/>
  <c r="AG5" i="1"/>
  <c r="AF5" i="1"/>
  <c r="AE5" i="1"/>
  <c r="AD5" i="1"/>
  <c r="AC5" i="1"/>
  <c r="AB5" i="1"/>
  <c r="AA5" i="1"/>
  <c r="Z5" i="1"/>
  <c r="O5" i="1"/>
  <c r="N5" i="1"/>
  <c r="M5" i="1"/>
  <c r="K5" i="1"/>
  <c r="R50" i="1" l="1"/>
  <c r="AM50" i="1" s="1"/>
  <c r="S50" i="1" s="1"/>
  <c r="X50" i="1" s="1"/>
  <c r="Y51" i="1"/>
  <c r="R51" i="1"/>
  <c r="Y68" i="1"/>
  <c r="R68" i="1"/>
  <c r="Y13" i="1"/>
  <c r="R13" i="1"/>
  <c r="Y38" i="1"/>
  <c r="R38" i="1"/>
  <c r="Y45" i="1"/>
  <c r="R45" i="1"/>
  <c r="AM45" i="1" s="1"/>
  <c r="AQ45" i="1" s="1"/>
  <c r="Y56" i="1"/>
  <c r="R56" i="1"/>
  <c r="Y64" i="1"/>
  <c r="R64" i="1"/>
  <c r="E5" i="1"/>
  <c r="R36" i="1"/>
  <c r="F5" i="1"/>
  <c r="AK65" i="1"/>
  <c r="Y49" i="1"/>
  <c r="Y50" i="1"/>
  <c r="AM30" i="1"/>
  <c r="AQ30" i="1" s="1"/>
  <c r="AM58" i="1"/>
  <c r="AQ58" i="1" s="1"/>
  <c r="AK58" i="1"/>
  <c r="AM12" i="1"/>
  <c r="AQ12" i="1" s="1"/>
  <c r="AK12" i="1"/>
  <c r="AQ35" i="1"/>
  <c r="S35" i="1"/>
  <c r="X35" i="1" s="1"/>
  <c r="AM49" i="1"/>
  <c r="AQ49" i="1" s="1"/>
  <c r="AK49" i="1"/>
  <c r="AM29" i="1"/>
  <c r="AQ29" i="1" s="1"/>
  <c r="AK29" i="1"/>
  <c r="AM7" i="1"/>
  <c r="AQ7" i="1" s="1"/>
  <c r="AK7" i="1"/>
  <c r="AQ53" i="1"/>
  <c r="S53" i="1"/>
  <c r="X53" i="1" s="1"/>
  <c r="Y12" i="1"/>
  <c r="AM51" i="1"/>
  <c r="AQ51" i="1" s="1"/>
  <c r="AK6" i="1"/>
  <c r="AM6" i="1"/>
  <c r="AN6" i="1" s="1"/>
  <c r="Y46" i="1"/>
  <c r="R15" i="1"/>
  <c r="AK52" i="1"/>
  <c r="AK14" i="1"/>
  <c r="Y29" i="1"/>
  <c r="Y69" i="1"/>
  <c r="R23" i="1"/>
  <c r="R25" i="1"/>
  <c r="Y65" i="1"/>
  <c r="R26" i="1"/>
  <c r="R47" i="1"/>
  <c r="AK35" i="1"/>
  <c r="AM65" i="1"/>
  <c r="AQ65" i="1" s="1"/>
  <c r="AN55" i="1"/>
  <c r="S55" i="1"/>
  <c r="X55" i="1" s="1"/>
  <c r="AK50" i="1"/>
  <c r="AK55" i="1"/>
  <c r="Y8" i="1"/>
  <c r="X10" i="1"/>
  <c r="X14" i="1"/>
  <c r="AQ55" i="1"/>
  <c r="L69" i="1"/>
  <c r="AQ52" i="1"/>
  <c r="AN60" i="1"/>
  <c r="L17" i="1"/>
  <c r="AN35" i="1"/>
  <c r="P17" i="1"/>
  <c r="R17" i="1" s="1"/>
  <c r="S60" i="1"/>
  <c r="X60" i="1" s="1"/>
  <c r="AN53" i="1"/>
  <c r="AN14" i="1"/>
  <c r="Y58" i="1"/>
  <c r="Y9" i="1"/>
  <c r="Y7" i="1"/>
  <c r="S52" i="1"/>
  <c r="X52" i="1" s="1"/>
  <c r="AQ14" i="1"/>
  <c r="X70" i="1"/>
  <c r="AQ50" i="1" l="1"/>
  <c r="AN50" i="1"/>
  <c r="AN58" i="1"/>
  <c r="S30" i="1"/>
  <c r="X30" i="1" s="1"/>
  <c r="AN30" i="1"/>
  <c r="L5" i="1"/>
  <c r="AN12" i="1"/>
  <c r="S12" i="1"/>
  <c r="X12" i="1" s="1"/>
  <c r="S58" i="1"/>
  <c r="X58" i="1" s="1"/>
  <c r="S51" i="1"/>
  <c r="X51" i="1" s="1"/>
  <c r="AN45" i="1"/>
  <c r="S49" i="1"/>
  <c r="X49" i="1" s="1"/>
  <c r="AK45" i="1"/>
  <c r="S45" i="1"/>
  <c r="X45" i="1" s="1"/>
  <c r="AN49" i="1"/>
  <c r="AN65" i="1"/>
  <c r="AK30" i="1"/>
  <c r="S65" i="1"/>
  <c r="X65" i="1" s="1"/>
  <c r="AN7" i="1"/>
  <c r="S6" i="1"/>
  <c r="X6" i="1" s="1"/>
  <c r="AN29" i="1"/>
  <c r="AQ6" i="1"/>
  <c r="AM32" i="1"/>
  <c r="AK32" i="1"/>
  <c r="AK26" i="1"/>
  <c r="AM26" i="1"/>
  <c r="AM39" i="1"/>
  <c r="AK39" i="1"/>
  <c r="AM66" i="1"/>
  <c r="AK66" i="1"/>
  <c r="AK18" i="1"/>
  <c r="AM18" i="1"/>
  <c r="AK31" i="1"/>
  <c r="AM31" i="1"/>
  <c r="AM25" i="1"/>
  <c r="AK25" i="1"/>
  <c r="AM64" i="1"/>
  <c r="AK64" i="1"/>
  <c r="AM38" i="1"/>
  <c r="AK38" i="1"/>
  <c r="AM59" i="1"/>
  <c r="AK59" i="1"/>
  <c r="AM44" i="1"/>
  <c r="AK44" i="1"/>
  <c r="AK57" i="1"/>
  <c r="AM57" i="1"/>
  <c r="AM37" i="1"/>
  <c r="AK37" i="1"/>
  <c r="AM16" i="1"/>
  <c r="AK16" i="1"/>
  <c r="AM63" i="1"/>
  <c r="AK63" i="1"/>
  <c r="AM46" i="1"/>
  <c r="AK46" i="1"/>
  <c r="AM43" i="1"/>
  <c r="AK43" i="1"/>
  <c r="AM56" i="1"/>
  <c r="AK56" i="1"/>
  <c r="AK51" i="1"/>
  <c r="AM69" i="1"/>
  <c r="AK69" i="1"/>
  <c r="AM22" i="1"/>
  <c r="AK22" i="1"/>
  <c r="AM36" i="1"/>
  <c r="AK36" i="1"/>
  <c r="AM11" i="1"/>
  <c r="AK11" i="1"/>
  <c r="AM62" i="1"/>
  <c r="AK62" i="1"/>
  <c r="AM15" i="1"/>
  <c r="AK15" i="1"/>
  <c r="AM68" i="1"/>
  <c r="AK68" i="1"/>
  <c r="AM42" i="1"/>
  <c r="AK42" i="1"/>
  <c r="AM54" i="1"/>
  <c r="AK54" i="1"/>
  <c r="Y17" i="1"/>
  <c r="AM48" i="1"/>
  <c r="AK48" i="1"/>
  <c r="AM21" i="1"/>
  <c r="AK21" i="1"/>
  <c r="AM34" i="1"/>
  <c r="AK34" i="1"/>
  <c r="AM19" i="1"/>
  <c r="AK19" i="1"/>
  <c r="AM28" i="1"/>
  <c r="AK28" i="1"/>
  <c r="AM61" i="1"/>
  <c r="AK61" i="1"/>
  <c r="AK13" i="1"/>
  <c r="AM13" i="1"/>
  <c r="AM41" i="1"/>
  <c r="AK41" i="1"/>
  <c r="S7" i="1"/>
  <c r="X7" i="1" s="1"/>
  <c r="AM67" i="1"/>
  <c r="AK67" i="1"/>
  <c r="AM20" i="1"/>
  <c r="AK20" i="1"/>
  <c r="AM33" i="1"/>
  <c r="AK33" i="1"/>
  <c r="AK47" i="1"/>
  <c r="AM47" i="1"/>
  <c r="AN51" i="1"/>
  <c r="S29" i="1"/>
  <c r="X29" i="1" s="1"/>
  <c r="AM27" i="1"/>
  <c r="AK27" i="1"/>
  <c r="AK40" i="1"/>
  <c r="AM40" i="1"/>
  <c r="P5" i="1"/>
  <c r="AM17" i="1" l="1"/>
  <c r="AM5" i="1" s="1"/>
  <c r="AK17" i="1"/>
  <c r="AK5" i="1" s="1"/>
  <c r="AQ25" i="1"/>
  <c r="S25" i="1"/>
  <c r="X25" i="1" s="1"/>
  <c r="AN25" i="1"/>
  <c r="AN41" i="1"/>
  <c r="AQ41" i="1"/>
  <c r="S41" i="1"/>
  <c r="X41" i="1" s="1"/>
  <c r="AQ31" i="1"/>
  <c r="S31" i="1"/>
  <c r="X31" i="1" s="1"/>
  <c r="AN31" i="1"/>
  <c r="AQ56" i="1"/>
  <c r="AN56" i="1"/>
  <c r="S56" i="1"/>
  <c r="X56" i="1" s="1"/>
  <c r="AQ38" i="1"/>
  <c r="AN38" i="1"/>
  <c r="S38" i="1"/>
  <c r="X38" i="1" s="1"/>
  <c r="S18" i="1"/>
  <c r="X18" i="1" s="1"/>
  <c r="AQ18" i="1"/>
  <c r="AN18" i="1"/>
  <c r="AN54" i="1"/>
  <c r="AQ54" i="1"/>
  <c r="S54" i="1"/>
  <c r="X54" i="1" s="1"/>
  <c r="S68" i="1"/>
  <c r="X68" i="1" s="1"/>
  <c r="AQ68" i="1"/>
  <c r="AN68" i="1"/>
  <c r="S16" i="1"/>
  <c r="X16" i="1" s="1"/>
  <c r="AN16" i="1"/>
  <c r="AQ16" i="1"/>
  <c r="AQ40" i="1"/>
  <c r="S40" i="1"/>
  <c r="X40" i="1" s="1"/>
  <c r="AN40" i="1"/>
  <c r="AQ19" i="1"/>
  <c r="S19" i="1"/>
  <c r="X19" i="1" s="1"/>
  <c r="AN19" i="1"/>
  <c r="AN66" i="1"/>
  <c r="S66" i="1"/>
  <c r="X66" i="1" s="1"/>
  <c r="AQ66" i="1"/>
  <c r="S59" i="1"/>
  <c r="X59" i="1" s="1"/>
  <c r="AN59" i="1"/>
  <c r="AQ59" i="1"/>
  <c r="R5" i="1"/>
  <c r="AN11" i="1"/>
  <c r="S11" i="1"/>
  <c r="X11" i="1" s="1"/>
  <c r="AQ11" i="1"/>
  <c r="S64" i="1"/>
  <c r="X64" i="1" s="1"/>
  <c r="AQ64" i="1"/>
  <c r="AN64" i="1"/>
  <c r="AQ63" i="1"/>
  <c r="AN63" i="1"/>
  <c r="S63" i="1"/>
  <c r="X63" i="1" s="1"/>
  <c r="S23" i="1"/>
  <c r="X23" i="1" s="1"/>
  <c r="S39" i="1"/>
  <c r="X39" i="1" s="1"/>
  <c r="AN39" i="1"/>
  <c r="AQ39" i="1"/>
  <c r="AQ42" i="1"/>
  <c r="S42" i="1"/>
  <c r="X42" i="1" s="1"/>
  <c r="AN42" i="1"/>
  <c r="S37" i="1"/>
  <c r="X37" i="1" s="1"/>
  <c r="AN37" i="1"/>
  <c r="AQ37" i="1"/>
  <c r="AQ36" i="1"/>
  <c r="AN36" i="1"/>
  <c r="S36" i="1"/>
  <c r="X36" i="1" s="1"/>
  <c r="S57" i="1"/>
  <c r="X57" i="1" s="1"/>
  <c r="AQ57" i="1"/>
  <c r="AN57" i="1"/>
  <c r="S26" i="1"/>
  <c r="X26" i="1" s="1"/>
  <c r="AN26" i="1"/>
  <c r="AQ26" i="1"/>
  <c r="AQ13" i="1"/>
  <c r="AN13" i="1"/>
  <c r="S13" i="1"/>
  <c r="X13" i="1" s="1"/>
  <c r="AQ61" i="1"/>
  <c r="AN61" i="1"/>
  <c r="S61" i="1"/>
  <c r="X61" i="1" s="1"/>
  <c r="AQ62" i="1"/>
  <c r="S62" i="1"/>
  <c r="X62" i="1" s="1"/>
  <c r="AN62" i="1"/>
  <c r="AQ47" i="1"/>
  <c r="AN47" i="1"/>
  <c r="S47" i="1"/>
  <c r="X47" i="1" s="1"/>
  <c r="AQ21" i="1"/>
  <c r="AN21" i="1"/>
  <c r="S21" i="1"/>
  <c r="X21" i="1" s="1"/>
  <c r="AQ69" i="1"/>
  <c r="AN69" i="1"/>
  <c r="S69" i="1"/>
  <c r="X69" i="1" s="1"/>
  <c r="AQ46" i="1"/>
  <c r="S46" i="1"/>
  <c r="X46" i="1" s="1"/>
  <c r="AN46" i="1"/>
  <c r="S28" i="1"/>
  <c r="X28" i="1" s="1"/>
  <c r="AN28" i="1"/>
  <c r="AQ28" i="1"/>
  <c r="AN34" i="1"/>
  <c r="AQ34" i="1"/>
  <c r="S34" i="1"/>
  <c r="X34" i="1" s="1"/>
  <c r="AQ33" i="1"/>
  <c r="S33" i="1"/>
  <c r="X33" i="1" s="1"/>
  <c r="AN33" i="1"/>
  <c r="AQ22" i="1"/>
  <c r="AN22" i="1"/>
  <c r="S22" i="1"/>
  <c r="X22" i="1" s="1"/>
  <c r="AQ67" i="1"/>
  <c r="S67" i="1"/>
  <c r="X67" i="1" s="1"/>
  <c r="AN67" i="1"/>
  <c r="AQ43" i="1"/>
  <c r="AN43" i="1"/>
  <c r="S43" i="1"/>
  <c r="X43" i="1" s="1"/>
  <c r="AQ15" i="1"/>
  <c r="AN15" i="1"/>
  <c r="S15" i="1"/>
  <c r="X15" i="1" s="1"/>
  <c r="AQ27" i="1"/>
  <c r="AN27" i="1"/>
  <c r="S27" i="1"/>
  <c r="X27" i="1" s="1"/>
  <c r="AN20" i="1"/>
  <c r="S20" i="1"/>
  <c r="X20" i="1" s="1"/>
  <c r="AQ20" i="1"/>
  <c r="S48" i="1"/>
  <c r="X48" i="1" s="1"/>
  <c r="AN48" i="1"/>
  <c r="AQ48" i="1"/>
  <c r="AN44" i="1"/>
  <c r="S44" i="1"/>
  <c r="X44" i="1" s="1"/>
  <c r="AQ44" i="1"/>
  <c r="AQ32" i="1"/>
  <c r="S32" i="1"/>
  <c r="X32" i="1" s="1"/>
  <c r="AN32" i="1"/>
  <c r="AQ17" i="1" l="1"/>
  <c r="AQ5" i="1" s="1"/>
  <c r="AN17" i="1"/>
  <c r="AN5" i="1" s="1"/>
  <c r="S17" i="1"/>
  <c r="X17" i="1" s="1"/>
  <c r="S5" i="1" l="1"/>
</calcChain>
</file>

<file path=xl/sharedStrings.xml><?xml version="1.0" encoding="utf-8"?>
<sst xmlns="http://schemas.openxmlformats.org/spreadsheetml/2006/main" count="277" uniqueCount="184">
  <si>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</si>
  <si>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</si>
  <si>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</si>
  <si>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</si>
  <si>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</si>
  <si>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</si>
  <si>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</si>
  <si>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</si>
  <si>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</si>
  <si>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</si>
  <si>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</si>
  <si>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</si>
  <si>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</si>
  <si>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</si>
  <si>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</si>
  <si>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</si>
  <si>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</si>
  <si>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</si>
  <si>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</si>
  <si>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</si>
  <si>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</si>
  <si>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</si>
  <si>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</si>
  <si>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</si>
  <si>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</si>
  <si>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</si>
  <si>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</si>
  <si>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</si>
  <si>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</si>
  <si>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</si>
  <si>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</si>
  <si>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</si>
  <si>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</si>
  <si>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</si>
  <si>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</si>
  <si>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</si>
  <si>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</si>
  <si>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</si>
  <si>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</si>
  <si>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</si>
  <si>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</si>
  <si>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</si>
  <si>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</si>
  <si>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</si>
  <si>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</si>
  <si>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</si>
  <si>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</si>
  <si>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</si>
  <si>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</si>
  <si>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</si>
  <si>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</si>
  <si>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</si>
  <si>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</si>
  <si>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</si>
  <si>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</si>
  <si>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</si>
  <si>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</si>
  <si>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</si>
  <si>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</si>
  <si>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</si>
  <si>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</si>
  <si>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</si>
  <si>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</si>
  <si>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</si>
  <si>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</si>
  <si>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</si>
  <si>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</si>
  <si>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</si>
  <si>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</si>
  <si>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</si>
  <si>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</si>
  <si>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</si>
  <si>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</si>
  <si>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</si>
  <si>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</si>
  <si>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нужно увеличить продажи!!!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</si>
  <si>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</si>
  <si>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</si>
  <si>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</si>
  <si>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</si>
  <si>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</si>
  <si>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</si>
  <si>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</si>
  <si>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</si>
  <si>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</si>
  <si>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</si>
  <si>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</si>
  <si>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</si>
  <si>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</si>
  <si>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</si>
  <si>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</si>
  <si>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</si>
  <si>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</si>
  <si>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</si>
  <si>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</si>
  <si>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</si>
  <si>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</si>
  <si>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</si>
  <si>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</si>
  <si>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</si>
  <si>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</si>
  <si>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</si>
  <si>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</si>
  <si>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</si>
  <si>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</si>
  <si>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</si>
  <si>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</si>
  <si>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</si>
  <si>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</si>
  <si>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</si>
  <si>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</si>
  <si>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</si>
  <si>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</si>
  <si>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</si>
  <si>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</si>
  <si>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</si>
  <si>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</si>
  <si>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</si>
  <si>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</si>
  <si>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</si>
  <si>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</si>
  <si>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</si>
  <si>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</si>
  <si>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</si>
  <si>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</si>
  <si>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</si>
  <si>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</si>
  <si>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</si>
  <si>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</si>
  <si>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</si>
  <si>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</si>
  <si>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</si>
  <si>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</si>
  <si>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</si>
  <si>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</si>
  <si>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</si>
  <si>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</si>
  <si>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</si>
  <si>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</si>
  <si>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</si>
  <si>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</si>
  <si>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</si>
  <si>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</si>
  <si>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</si>
  <si>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</si>
  <si>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</si>
  <si>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</si>
  <si>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</si>
  <si>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</si>
  <si>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</si>
  <si>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</si>
  <si>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</si>
  <si>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</si>
  <si>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</si>
  <si>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</si>
  <si>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</si>
  <si>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</si>
  <si>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</si>
  <si>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</si>
  <si>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</si>
  <si>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</si>
  <si>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</si>
  <si>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</si>
  <si>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</si>
  <si>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</si>
  <si>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</si>
  <si>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</si>
  <si>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</si>
  <si>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</si>
  <si>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</si>
  <si>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</si>
  <si>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</si>
  <si>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ТК</t>
  </si>
  <si>
    <t>Боярко</t>
  </si>
  <si>
    <t>ротация / на вывод</t>
  </si>
  <si>
    <t>Мини-сосиски в ароматном тесте ВЕС ТМ Зареченские продукты  ПОКОМ</t>
  </si>
  <si>
    <t>новинка по ротации</t>
  </si>
  <si>
    <t>180кг</t>
  </si>
  <si>
    <t>Промо ЖЦ</t>
  </si>
  <si>
    <t>ТК ком</t>
  </si>
  <si>
    <t>Склад</t>
  </si>
  <si>
    <t>Склад ком</t>
  </si>
  <si>
    <t>дн</t>
  </si>
  <si>
    <t>04,09,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</si>
</sst>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10826%20&#1084;&#1083;&#1088;&#1089;&#1095;%20&#1087;&#1086;&#1082;%20&#1079;&#1087;&#1092;%20(&#1082;&#1083;&#1072;&#1076;&#1086;&#1074;&#1097;&#1080;&#1082;%20&#1052;&#1077;&#1083;&#1080;&#1090;&#1086;&#1087;&#1086;&#1083;&#1100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310826%20&#1084;&#1083;&#1088;&#1089;&#1095;%20&#1087;&#1086;&#1082;%20&#1079;&#1087;&#1092;%20&#1041;&#1086;&#1103;&#1088;&#1082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нет</v>
          </cell>
          <cell r="P4" t="str">
            <v>31,08,</v>
          </cell>
        </row>
        <row r="5">
          <cell r="E5">
            <v>6251.3</v>
          </cell>
          <cell r="F5">
            <v>17268.000000000004</v>
          </cell>
          <cell r="K5">
            <v>6653.1</v>
          </cell>
          <cell r="L5">
            <v>-401.8</v>
          </cell>
          <cell r="M5">
            <v>0</v>
          </cell>
          <cell r="N5">
            <v>0</v>
          </cell>
          <cell r="O5">
            <v>0</v>
          </cell>
          <cell r="P5">
            <v>1250.2599999999998</v>
          </cell>
          <cell r="Q5">
            <v>6696.1600000000008</v>
          </cell>
          <cell r="R5">
            <v>6624.6</v>
          </cell>
        </row>
        <row r="6">
          <cell r="A6" t="str">
            <v>Чебупицца со вкусом Утка по-пекински ТМ Горячая штучка ТС Чебупицца 0,23 кг.  ПОКОМ</v>
          </cell>
          <cell r="B6" t="str">
            <v>шт</v>
          </cell>
          <cell r="D6">
            <v>504</v>
          </cell>
          <cell r="F6">
            <v>480</v>
          </cell>
          <cell r="G6">
            <v>0.23</v>
          </cell>
          <cell r="I6" t="str">
            <v>матрица</v>
          </cell>
          <cell r="L6">
            <v>0</v>
          </cell>
          <cell r="P6">
            <v>0</v>
          </cell>
          <cell r="R6">
            <v>0</v>
          </cell>
        </row>
        <row r="7">
          <cell r="A7" t="str">
            <v>Чебупели со вкусом Фо бо ТМ Горячая штучка 0,22 кг  ПОКОМ</v>
          </cell>
          <cell r="B7" t="str">
            <v>шт</v>
          </cell>
          <cell r="D7">
            <v>252</v>
          </cell>
          <cell r="F7">
            <v>217</v>
          </cell>
          <cell r="G7">
            <v>0.22</v>
          </cell>
          <cell r="I7" t="str">
            <v>матрица</v>
          </cell>
          <cell r="L7">
            <v>0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10</v>
          </cell>
          <cell r="E8">
            <v>3</v>
          </cell>
          <cell r="F8">
            <v>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K8">
            <v>3</v>
          </cell>
          <cell r="L8">
            <v>0</v>
          </cell>
          <cell r="P8">
            <v>0.6</v>
          </cell>
        </row>
        <row r="9">
          <cell r="A9" t="str">
            <v>БОНУС_Пельмени Бульмени со сливочным маслом ТМ Горячая штучка флоу-пак сфера 0,7 кг .  Поком</v>
          </cell>
          <cell r="B9" t="str">
            <v>шт</v>
          </cell>
          <cell r="C9">
            <v>33</v>
          </cell>
          <cell r="F9">
            <v>33</v>
          </cell>
          <cell r="G9">
            <v>0</v>
          </cell>
          <cell r="I9" t="str">
            <v>бонус</v>
          </cell>
          <cell r="J9" t="str">
            <v>Пельмени Бульмени со сливочным маслом ТМ Горячая штучка флоу-пак сфера 0,7 кг .  Поком</v>
          </cell>
          <cell r="L9">
            <v>0</v>
          </cell>
          <cell r="P9">
            <v>0</v>
          </cell>
        </row>
        <row r="10">
          <cell r="A10" t="str">
            <v>БОНУС_Чебупицца курочка по-итальянски Горячая штучка 0,25 кг зам  ПОКОМ</v>
          </cell>
          <cell r="B10" t="str">
            <v>шт</v>
          </cell>
          <cell r="C10">
            <v>101</v>
          </cell>
          <cell r="F10">
            <v>101</v>
          </cell>
          <cell r="G10">
            <v>0</v>
          </cell>
          <cell r="I10" t="str">
            <v>бонус</v>
          </cell>
          <cell r="J10" t="str">
            <v>Чебупицца курочка по-итальянски Горячая штучка 0,25 кг зам  ПОКОМ</v>
          </cell>
          <cell r="L10">
            <v>0</v>
          </cell>
          <cell r="P10">
            <v>0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>
            <v>96</v>
          </cell>
          <cell r="E11">
            <v>11</v>
          </cell>
          <cell r="F11">
            <v>76</v>
          </cell>
          <cell r="G11">
            <v>0.22</v>
          </cell>
          <cell r="H11">
            <v>180</v>
          </cell>
          <cell r="I11" t="str">
            <v>P005065</v>
          </cell>
          <cell r="K11">
            <v>11</v>
          </cell>
          <cell r="L11">
            <v>0</v>
          </cell>
          <cell r="P11">
            <v>2.2000000000000002</v>
          </cell>
          <cell r="R11">
            <v>0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>
            <v>360</v>
          </cell>
          <cell r="E12">
            <v>89</v>
          </cell>
          <cell r="F12">
            <v>259</v>
          </cell>
          <cell r="G12">
            <v>0.3</v>
          </cell>
          <cell r="H12">
            <v>180</v>
          </cell>
          <cell r="I12" t="str">
            <v>P004598</v>
          </cell>
          <cell r="K12">
            <v>101</v>
          </cell>
          <cell r="L12">
            <v>-12</v>
          </cell>
          <cell r="P12">
            <v>17.8</v>
          </cell>
          <cell r="R12">
            <v>0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>
            <v>152</v>
          </cell>
          <cell r="D13">
            <v>168</v>
          </cell>
          <cell r="E13">
            <v>156</v>
          </cell>
          <cell r="F13">
            <v>37</v>
          </cell>
          <cell r="G13">
            <v>0.28000000000000003</v>
          </cell>
          <cell r="H13">
            <v>180</v>
          </cell>
          <cell r="I13" t="str">
            <v>P004597</v>
          </cell>
          <cell r="K13">
            <v>170</v>
          </cell>
          <cell r="L13">
            <v>-14</v>
          </cell>
          <cell r="P13">
            <v>31.2</v>
          </cell>
          <cell r="Q13">
            <v>306.2</v>
          </cell>
          <cell r="R13">
            <v>336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>
            <v>88</v>
          </cell>
          <cell r="D14">
            <v>336</v>
          </cell>
          <cell r="E14">
            <v>85</v>
          </cell>
          <cell r="F14">
            <v>309</v>
          </cell>
          <cell r="G14">
            <v>0.24</v>
          </cell>
          <cell r="H14">
            <v>180</v>
          </cell>
          <cell r="I14" t="str">
            <v>P004969</v>
          </cell>
          <cell r="K14">
            <v>109</v>
          </cell>
          <cell r="L14">
            <v>-24</v>
          </cell>
          <cell r="P14">
            <v>17</v>
          </cell>
          <cell r="R14">
            <v>0</v>
          </cell>
          <cell r="S14">
            <v>672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шт</v>
          </cell>
          <cell r="C15">
            <v>380</v>
          </cell>
          <cell r="D15">
            <v>168</v>
          </cell>
          <cell r="E15">
            <v>237</v>
          </cell>
          <cell r="F15">
            <v>289</v>
          </cell>
          <cell r="G15">
            <v>0.24</v>
          </cell>
          <cell r="H15">
            <v>180</v>
          </cell>
          <cell r="I15" t="str">
            <v>P004971</v>
          </cell>
          <cell r="K15">
            <v>242</v>
          </cell>
          <cell r="L15">
            <v>-5</v>
          </cell>
          <cell r="P15">
            <v>47.4</v>
          </cell>
          <cell r="Q15">
            <v>422</v>
          </cell>
          <cell r="R15">
            <v>504</v>
          </cell>
        </row>
        <row r="16">
          <cell r="A16" t="str">
            <v>Готовые чебупели с мясом ТМ Горячая штучка 0,24 кг  ПОКОМ</v>
          </cell>
          <cell r="B16" t="str">
            <v>шт</v>
          </cell>
          <cell r="C16">
            <v>66</v>
          </cell>
          <cell r="D16">
            <v>168</v>
          </cell>
          <cell r="E16">
            <v>52</v>
          </cell>
          <cell r="F16">
            <v>150</v>
          </cell>
          <cell r="G16">
            <v>0.24</v>
          </cell>
          <cell r="H16">
            <v>180</v>
          </cell>
          <cell r="I16" t="str">
            <v>P004974</v>
          </cell>
          <cell r="K16">
            <v>52</v>
          </cell>
          <cell r="L16">
            <v>0</v>
          </cell>
          <cell r="P16">
            <v>10.4</v>
          </cell>
          <cell r="R16">
            <v>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425</v>
          </cell>
          <cell r="D17">
            <v>168</v>
          </cell>
          <cell r="E17">
            <v>351</v>
          </cell>
          <cell r="F17">
            <v>190</v>
          </cell>
          <cell r="G17">
            <v>0.24</v>
          </cell>
          <cell r="H17">
            <v>180</v>
          </cell>
          <cell r="I17" t="str">
            <v>P004966</v>
          </cell>
          <cell r="K17">
            <v>365</v>
          </cell>
          <cell r="L17">
            <v>-14</v>
          </cell>
          <cell r="P17">
            <v>70.2</v>
          </cell>
          <cell r="Q17">
            <v>722.6</v>
          </cell>
          <cell r="R17">
            <v>672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18</v>
          </cell>
          <cell r="D18">
            <v>224</v>
          </cell>
          <cell r="E18">
            <v>20</v>
          </cell>
          <cell r="F18">
            <v>183</v>
          </cell>
          <cell r="G18">
            <v>0.48</v>
          </cell>
          <cell r="H18">
            <v>180</v>
          </cell>
          <cell r="I18" t="str">
            <v>P004595</v>
          </cell>
          <cell r="K18">
            <v>20</v>
          </cell>
          <cell r="L18">
            <v>0</v>
          </cell>
          <cell r="P18">
            <v>4</v>
          </cell>
          <cell r="R18">
            <v>0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491</v>
          </cell>
          <cell r="E19">
            <v>164</v>
          </cell>
          <cell r="F19">
            <v>324</v>
          </cell>
          <cell r="G19">
            <v>0.36</v>
          </cell>
          <cell r="H19">
            <v>180</v>
          </cell>
          <cell r="I19" t="str">
            <v>P004583</v>
          </cell>
          <cell r="K19">
            <v>168</v>
          </cell>
          <cell r="L19">
            <v>-4</v>
          </cell>
          <cell r="P19">
            <v>32.799999999999997</v>
          </cell>
          <cell r="Q19">
            <v>0</v>
          </cell>
          <cell r="R19">
            <v>0</v>
          </cell>
        </row>
        <row r="20">
          <cell r="A20" t="str">
            <v>Жареные вареники с картофелем и беконом ТМ Стародворье 0,2 кг  ПОКОМ</v>
          </cell>
          <cell r="B20" t="str">
            <v>шт</v>
          </cell>
          <cell r="C20">
            <v>82</v>
          </cell>
          <cell r="E20">
            <v>16</v>
          </cell>
          <cell r="F20">
            <v>54</v>
          </cell>
          <cell r="G20">
            <v>0.2</v>
          </cell>
          <cell r="H20">
            <v>180</v>
          </cell>
          <cell r="I20" t="str">
            <v>P005129</v>
          </cell>
          <cell r="K20">
            <v>16</v>
          </cell>
          <cell r="L20">
            <v>0</v>
          </cell>
          <cell r="P20">
            <v>3.2</v>
          </cell>
          <cell r="R20">
            <v>0</v>
          </cell>
        </row>
        <row r="21">
          <cell r="A21" t="str">
            <v>Круггетсы с сырным соусом ТМ Горячая штучка ТС Круггетсы флоу-пак 0,2 кг  ПОКОМ</v>
          </cell>
          <cell r="B21" t="str">
            <v>шт</v>
          </cell>
          <cell r="C21">
            <v>2148</v>
          </cell>
          <cell r="E21">
            <v>161</v>
          </cell>
          <cell r="F21">
            <v>1972</v>
          </cell>
          <cell r="G21">
            <v>0.2</v>
          </cell>
          <cell r="H21">
            <v>180</v>
          </cell>
          <cell r="I21" t="str">
            <v>P004956</v>
          </cell>
          <cell r="K21">
            <v>164</v>
          </cell>
          <cell r="L21">
            <v>-3</v>
          </cell>
          <cell r="P21">
            <v>32.200000000000003</v>
          </cell>
          <cell r="R21">
            <v>0</v>
          </cell>
        </row>
        <row r="22">
          <cell r="A22" t="str">
            <v>Круггетсы сочные ТМ Горячая штучка ТС Круггетсы флоу-пак  0,2 кг.  ПОКОМ</v>
          </cell>
          <cell r="B22" t="str">
            <v>шт</v>
          </cell>
          <cell r="C22">
            <v>44</v>
          </cell>
          <cell r="D22">
            <v>168</v>
          </cell>
          <cell r="E22">
            <v>22</v>
          </cell>
          <cell r="F22">
            <v>184</v>
          </cell>
          <cell r="G22">
            <v>0.2</v>
          </cell>
          <cell r="H22">
            <v>180</v>
          </cell>
          <cell r="I22" t="str">
            <v>P004953</v>
          </cell>
          <cell r="K22">
            <v>25</v>
          </cell>
          <cell r="L22">
            <v>-3</v>
          </cell>
          <cell r="P22">
            <v>4.4000000000000004</v>
          </cell>
          <cell r="R22">
            <v>0</v>
          </cell>
        </row>
        <row r="23">
          <cell r="A23" t="str">
            <v>Мини-сосиски в тесте 5кг ВЕС ТМ Зареченские  ПОКОМ</v>
          </cell>
          <cell r="B23" t="str">
            <v>кг</v>
          </cell>
          <cell r="C23">
            <v>105</v>
          </cell>
          <cell r="E23">
            <v>45</v>
          </cell>
          <cell r="F23">
            <v>45</v>
          </cell>
          <cell r="G23">
            <v>1</v>
          </cell>
          <cell r="H23">
            <v>180</v>
          </cell>
          <cell r="I23" t="str">
            <v>P005235</v>
          </cell>
          <cell r="K23">
            <v>45</v>
          </cell>
          <cell r="L23">
            <v>0</v>
          </cell>
          <cell r="P23">
            <v>9</v>
          </cell>
          <cell r="Q23">
            <v>90</v>
          </cell>
          <cell r="R23">
            <v>120</v>
          </cell>
        </row>
        <row r="24">
          <cell r="A24" t="str">
            <v>Мини-чебуреки с мясом ТМ Зареченские ТС Зареченские продукты ПОКОМ</v>
          </cell>
          <cell r="B24" t="str">
            <v>кг</v>
          </cell>
          <cell r="C24">
            <v>44</v>
          </cell>
          <cell r="E24">
            <v>27.5</v>
          </cell>
          <cell r="G24">
            <v>1</v>
          </cell>
          <cell r="H24">
            <v>180</v>
          </cell>
          <cell r="I24" t="str">
            <v>P004358</v>
          </cell>
          <cell r="K24">
            <v>27.5</v>
          </cell>
          <cell r="L24">
            <v>0</v>
          </cell>
          <cell r="P24">
            <v>5.5</v>
          </cell>
          <cell r="Q24">
            <v>82.5</v>
          </cell>
          <cell r="R24">
            <v>66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31.6</v>
          </cell>
          <cell r="D25">
            <v>87</v>
          </cell>
          <cell r="E25">
            <v>27</v>
          </cell>
          <cell r="F25">
            <v>58.6</v>
          </cell>
          <cell r="G25">
            <v>1</v>
          </cell>
          <cell r="H25">
            <v>180</v>
          </cell>
          <cell r="I25" t="str">
            <v>P004394</v>
          </cell>
          <cell r="K25">
            <v>32</v>
          </cell>
          <cell r="L25">
            <v>-5</v>
          </cell>
          <cell r="P25">
            <v>5.4</v>
          </cell>
          <cell r="Q25">
            <v>22.4</v>
          </cell>
          <cell r="R25">
            <v>42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357</v>
          </cell>
          <cell r="D26">
            <v>168</v>
          </cell>
          <cell r="E26">
            <v>277</v>
          </cell>
          <cell r="F26">
            <v>216</v>
          </cell>
          <cell r="G26">
            <v>0.25</v>
          </cell>
          <cell r="H26">
            <v>365</v>
          </cell>
          <cell r="I26" t="str">
            <v>P004602</v>
          </cell>
          <cell r="K26">
            <v>275</v>
          </cell>
          <cell r="L26">
            <v>2</v>
          </cell>
          <cell r="P26">
            <v>55.4</v>
          </cell>
          <cell r="Q26">
            <v>559.6</v>
          </cell>
          <cell r="R26">
            <v>588</v>
          </cell>
          <cell r="S26" t="str">
            <v>750шт</v>
          </cell>
          <cell r="T26" t="str">
            <v xml:space="preserve">Промо N+1 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611</v>
          </cell>
          <cell r="E27">
            <v>87</v>
          </cell>
          <cell r="F27">
            <v>519</v>
          </cell>
          <cell r="G27">
            <v>0.25</v>
          </cell>
          <cell r="H27">
            <v>365</v>
          </cell>
          <cell r="I27" t="str">
            <v>P004600</v>
          </cell>
          <cell r="K27">
            <v>85</v>
          </cell>
          <cell r="L27">
            <v>2</v>
          </cell>
          <cell r="P27">
            <v>17.399999999999999</v>
          </cell>
          <cell r="R27">
            <v>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C28">
            <v>13</v>
          </cell>
          <cell r="D28">
            <v>144</v>
          </cell>
          <cell r="E28">
            <v>-2.8</v>
          </cell>
          <cell r="F28">
            <v>157</v>
          </cell>
          <cell r="G28">
            <v>1</v>
          </cell>
          <cell r="H28">
            <v>180</v>
          </cell>
          <cell r="I28" t="str">
            <v>P003486</v>
          </cell>
          <cell r="K28">
            <v>53</v>
          </cell>
          <cell r="L28">
            <v>-55.8</v>
          </cell>
          <cell r="P28">
            <v>-0.55999999999999994</v>
          </cell>
          <cell r="R28">
            <v>0</v>
          </cell>
          <cell r="S28">
            <v>504</v>
          </cell>
          <cell r="T28" t="str">
            <v>Промо ЖЦ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8</v>
          </cell>
          <cell r="E29">
            <v>15</v>
          </cell>
          <cell r="F29">
            <v>-7</v>
          </cell>
          <cell r="G29">
            <v>0.23</v>
          </cell>
          <cell r="H29">
            <v>180</v>
          </cell>
          <cell r="I29" t="str">
            <v>P005043</v>
          </cell>
          <cell r="K29">
            <v>15</v>
          </cell>
          <cell r="L29">
            <v>0</v>
          </cell>
          <cell r="P29">
            <v>3</v>
          </cell>
          <cell r="Q29">
            <v>150</v>
          </cell>
          <cell r="R29">
            <v>168</v>
          </cell>
          <cell r="S29" t="str">
            <v>350шт</v>
          </cell>
          <cell r="T29" t="str">
            <v xml:space="preserve">Промо N+1 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330</v>
          </cell>
          <cell r="D30">
            <v>171</v>
          </cell>
          <cell r="E30">
            <v>242</v>
          </cell>
          <cell r="F30">
            <v>239</v>
          </cell>
          <cell r="G30">
            <v>0.25</v>
          </cell>
          <cell r="H30">
            <v>365</v>
          </cell>
          <cell r="I30" t="str">
            <v>P004497</v>
          </cell>
          <cell r="K30">
            <v>247</v>
          </cell>
          <cell r="L30">
            <v>-5</v>
          </cell>
          <cell r="P30">
            <v>48.4</v>
          </cell>
          <cell r="Q30">
            <v>487</v>
          </cell>
          <cell r="R30">
            <v>504</v>
          </cell>
          <cell r="S30" t="str">
            <v>650шт</v>
          </cell>
          <cell r="T30" t="str">
            <v xml:space="preserve">Промо N+1 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361</v>
          </cell>
          <cell r="D31">
            <v>339</v>
          </cell>
          <cell r="E31">
            <v>213</v>
          </cell>
          <cell r="F31">
            <v>446</v>
          </cell>
          <cell r="G31">
            <v>0.25</v>
          </cell>
          <cell r="H31">
            <v>365</v>
          </cell>
          <cell r="I31" t="str">
            <v>P004496</v>
          </cell>
          <cell r="K31">
            <v>216</v>
          </cell>
          <cell r="L31">
            <v>-3</v>
          </cell>
          <cell r="P31">
            <v>42.6</v>
          </cell>
          <cell r="Q31">
            <v>193</v>
          </cell>
          <cell r="R31">
            <v>168</v>
          </cell>
          <cell r="S31" t="str">
            <v>672шт</v>
          </cell>
          <cell r="T31" t="str">
            <v xml:space="preserve">Промо N+1 </v>
          </cell>
        </row>
        <row r="32">
          <cell r="A32" t="str">
            <v>Наггетсы с куриным филе и сыром ТМ Вязанка ТС Из печи Сливушки 0,25 кг.  Поком</v>
          </cell>
          <cell r="B32" t="str">
            <v>шт</v>
          </cell>
          <cell r="C32">
            <v>398</v>
          </cell>
          <cell r="D32">
            <v>342</v>
          </cell>
          <cell r="E32">
            <v>266</v>
          </cell>
          <cell r="F32">
            <v>429</v>
          </cell>
          <cell r="G32">
            <v>0.25</v>
          </cell>
          <cell r="H32">
            <v>180</v>
          </cell>
          <cell r="I32" t="str">
            <v>P004535</v>
          </cell>
          <cell r="K32">
            <v>273</v>
          </cell>
          <cell r="L32">
            <v>-7</v>
          </cell>
          <cell r="P32">
            <v>53.2</v>
          </cell>
          <cell r="Q32">
            <v>369</v>
          </cell>
          <cell r="R32">
            <v>336</v>
          </cell>
          <cell r="S32">
            <v>672</v>
          </cell>
        </row>
        <row r="33">
          <cell r="A33" t="str">
            <v>Пекерсы с индейкой в сливочном соусе ТМ Горячая штучка 0,25 кг зам  ПОКОМ</v>
          </cell>
          <cell r="B33" t="str">
            <v>шт</v>
          </cell>
          <cell r="C33">
            <v>11</v>
          </cell>
          <cell r="D33">
            <v>168</v>
          </cell>
          <cell r="E33">
            <v>9</v>
          </cell>
          <cell r="F33">
            <v>146</v>
          </cell>
          <cell r="G33">
            <v>0.25</v>
          </cell>
          <cell r="H33">
            <v>180</v>
          </cell>
          <cell r="I33" t="str">
            <v>P004594</v>
          </cell>
          <cell r="K33">
            <v>9</v>
          </cell>
          <cell r="L33">
            <v>0</v>
          </cell>
          <cell r="P33">
            <v>1.8</v>
          </cell>
          <cell r="R33">
            <v>0</v>
          </cell>
        </row>
        <row r="34">
          <cell r="A34" t="str">
            <v>Пельмени Grandmeni с говядиной ТМ Горячаяштучка флоу-пак сфера 0,7 кг.  Поком</v>
          </cell>
          <cell r="B34" t="str">
            <v>шт</v>
          </cell>
          <cell r="C34">
            <v>55</v>
          </cell>
          <cell r="D34">
            <v>96</v>
          </cell>
          <cell r="E34">
            <v>21</v>
          </cell>
          <cell r="F34">
            <v>128</v>
          </cell>
          <cell r="G34">
            <v>0.7</v>
          </cell>
          <cell r="H34">
            <v>180</v>
          </cell>
          <cell r="I34" t="str">
            <v>P004887</v>
          </cell>
          <cell r="K34">
            <v>23</v>
          </cell>
          <cell r="L34">
            <v>-2</v>
          </cell>
          <cell r="P34">
            <v>4.2</v>
          </cell>
          <cell r="R34">
            <v>0</v>
          </cell>
        </row>
        <row r="35">
          <cell r="A35" t="str">
            <v>Пельмени Grandmeni с говядиной и свининой ТМ Горячаяштучка флоу-па классическая форма 0,7 кг.  Поком</v>
          </cell>
          <cell r="B35" t="str">
            <v>шт</v>
          </cell>
          <cell r="C35">
            <v>77</v>
          </cell>
          <cell r="D35">
            <v>96</v>
          </cell>
          <cell r="E35">
            <v>51</v>
          </cell>
          <cell r="F35">
            <v>122</v>
          </cell>
          <cell r="G35">
            <v>0.7</v>
          </cell>
          <cell r="H35">
            <v>180</v>
          </cell>
          <cell r="I35" t="str">
            <v>P004889</v>
          </cell>
          <cell r="K35">
            <v>48</v>
          </cell>
          <cell r="L35">
            <v>3</v>
          </cell>
          <cell r="P35">
            <v>10.199999999999999</v>
          </cell>
          <cell r="Q35">
            <v>51.399999999999977</v>
          </cell>
          <cell r="R35">
            <v>96</v>
          </cell>
        </row>
        <row r="36">
          <cell r="A36" t="str">
            <v>Пельмени Grandmeni со сливочным маслом  ТМ Горячая штучка флоу-пак сфера 0,7 кг.  Поком</v>
          </cell>
          <cell r="B36" t="str">
            <v>шт</v>
          </cell>
          <cell r="C36">
            <v>11</v>
          </cell>
          <cell r="E36">
            <v>10</v>
          </cell>
          <cell r="F36">
            <v>1</v>
          </cell>
          <cell r="G36">
            <v>0.7</v>
          </cell>
          <cell r="H36">
            <v>180</v>
          </cell>
          <cell r="I36" t="str">
            <v>P004888</v>
          </cell>
          <cell r="K36">
            <v>22</v>
          </cell>
          <cell r="L36">
            <v>-12</v>
          </cell>
          <cell r="P36">
            <v>2</v>
          </cell>
          <cell r="Q36">
            <v>0</v>
          </cell>
          <cell r="R36">
            <v>0</v>
          </cell>
          <cell r="S36">
            <v>240</v>
          </cell>
        </row>
        <row r="37">
          <cell r="A37" t="str">
            <v>Пельмени Бигбули #МЕГАВКУСИЩЕ с сочной грудинкой  ТМ Горячая штучка  флоу-пак сфера 0,7 кг.  Поком</v>
          </cell>
          <cell r="B37" t="str">
            <v>шт</v>
          </cell>
          <cell r="C37">
            <v>246</v>
          </cell>
          <cell r="D37">
            <v>120</v>
          </cell>
          <cell r="E37">
            <v>160</v>
          </cell>
          <cell r="F37">
            <v>194</v>
          </cell>
          <cell r="G37">
            <v>0.7</v>
          </cell>
          <cell r="H37">
            <v>180</v>
          </cell>
          <cell r="I37" t="str">
            <v>P004440</v>
          </cell>
          <cell r="K37">
            <v>170</v>
          </cell>
          <cell r="L37">
            <v>-10</v>
          </cell>
          <cell r="P37">
            <v>32</v>
          </cell>
          <cell r="Q37">
            <v>286</v>
          </cell>
          <cell r="R37">
            <v>240</v>
          </cell>
        </row>
        <row r="38">
          <cell r="A38" t="str">
            <v>Пельмени Бигбули с мясом ТМ Горячая штучка БУЛЬМЕНИ ТС Бигбули ГШ  флоу-пак сфера 0,7.   Поком</v>
          </cell>
          <cell r="B38" t="str">
            <v>шт</v>
          </cell>
          <cell r="C38">
            <v>378</v>
          </cell>
          <cell r="E38">
            <v>77</v>
          </cell>
          <cell r="F38">
            <v>297</v>
          </cell>
          <cell r="G38">
            <v>0.7</v>
          </cell>
          <cell r="H38">
            <v>180</v>
          </cell>
          <cell r="I38" t="str">
            <v>P004442</v>
          </cell>
          <cell r="K38">
            <v>77</v>
          </cell>
          <cell r="L38">
            <v>0</v>
          </cell>
          <cell r="P38">
            <v>15.4</v>
          </cell>
          <cell r="R38">
            <v>0</v>
          </cell>
        </row>
        <row r="39">
          <cell r="A39" t="str">
            <v>Пельмени Бигбули со сливочным маслом  ТС Бигбули ГШ#МЕГАМАСЛИЩЕ флоу-пак сфера 0,7.  Поком</v>
          </cell>
          <cell r="B39" t="str">
            <v>шт</v>
          </cell>
          <cell r="C39">
            <v>120</v>
          </cell>
          <cell r="D39">
            <v>490</v>
          </cell>
          <cell r="E39">
            <v>128</v>
          </cell>
          <cell r="F39">
            <v>466</v>
          </cell>
          <cell r="G39">
            <v>0.7</v>
          </cell>
          <cell r="H39">
            <v>180</v>
          </cell>
          <cell r="I39" t="str">
            <v>P004203</v>
          </cell>
          <cell r="K39">
            <v>171</v>
          </cell>
          <cell r="L39">
            <v>-43</v>
          </cell>
          <cell r="P39">
            <v>25.6</v>
          </cell>
          <cell r="R39">
            <v>0</v>
          </cell>
        </row>
        <row r="40">
          <cell r="A40" t="str">
            <v>Пельмени Бульмени мини с мясом и оливковым маслом  ТС Бульмени ГШ флоу-пак сфера 0,7кг  Поком</v>
          </cell>
          <cell r="B40" t="str">
            <v>шт</v>
          </cell>
          <cell r="C40">
            <v>87</v>
          </cell>
          <cell r="D40">
            <v>240</v>
          </cell>
          <cell r="E40">
            <v>80</v>
          </cell>
          <cell r="F40">
            <v>235</v>
          </cell>
          <cell r="G40">
            <v>0.7</v>
          </cell>
          <cell r="H40">
            <v>180</v>
          </cell>
          <cell r="I40" t="str">
            <v>P004819</v>
          </cell>
          <cell r="K40">
            <v>90</v>
          </cell>
          <cell r="L40">
            <v>-10</v>
          </cell>
          <cell r="P40">
            <v>16</v>
          </cell>
          <cell r="R40">
            <v>0</v>
          </cell>
        </row>
        <row r="41">
          <cell r="A41" t="str">
            <v>Пельмени Бульмени с говядиной и свининой Наваристые Горячая штучка ВЕС  ПОКОМ</v>
          </cell>
          <cell r="B41" t="str">
            <v>кг</v>
          </cell>
          <cell r="C41">
            <v>375</v>
          </cell>
          <cell r="D41">
            <v>300</v>
          </cell>
          <cell r="E41">
            <v>230</v>
          </cell>
          <cell r="F41">
            <v>425</v>
          </cell>
          <cell r="G41">
            <v>1</v>
          </cell>
          <cell r="H41">
            <v>180</v>
          </cell>
          <cell r="I41" t="str">
            <v>P003697</v>
          </cell>
          <cell r="K41">
            <v>230</v>
          </cell>
          <cell r="L41">
            <v>0</v>
          </cell>
          <cell r="P41">
            <v>46</v>
          </cell>
          <cell r="Q41">
            <v>265</v>
          </cell>
          <cell r="R41">
            <v>240</v>
          </cell>
          <cell r="S41">
            <v>390</v>
          </cell>
          <cell r="T41" t="str">
            <v>Промо ЖЦ</v>
          </cell>
        </row>
        <row r="42">
          <cell r="A42" t="str">
            <v>Пельмени Бульмени с говядиной и свининой ТМ Горячая штучка  флоу-пак сфера 0,4 кг  Поком</v>
          </cell>
          <cell r="B42" t="str">
            <v>шт</v>
          </cell>
          <cell r="C42">
            <v>182</v>
          </cell>
          <cell r="D42">
            <v>384</v>
          </cell>
          <cell r="E42">
            <v>129</v>
          </cell>
          <cell r="F42">
            <v>417</v>
          </cell>
          <cell r="G42">
            <v>0.4</v>
          </cell>
          <cell r="H42">
            <v>180</v>
          </cell>
          <cell r="I42" t="str">
            <v>P004474</v>
          </cell>
          <cell r="K42">
            <v>145</v>
          </cell>
          <cell r="L42">
            <v>-16</v>
          </cell>
          <cell r="P42">
            <v>25.8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БУЛЬМЕНИ  флоу-пак сфера 0,7 кг.  Поком</v>
          </cell>
          <cell r="B43" t="str">
            <v>шт</v>
          </cell>
          <cell r="C43">
            <v>504</v>
          </cell>
          <cell r="E43">
            <v>188</v>
          </cell>
          <cell r="F43">
            <v>294</v>
          </cell>
          <cell r="G43">
            <v>0.7</v>
          </cell>
          <cell r="H43">
            <v>180</v>
          </cell>
          <cell r="I43" t="str">
            <v>P004345</v>
          </cell>
          <cell r="K43">
            <v>203</v>
          </cell>
          <cell r="L43">
            <v>-15</v>
          </cell>
          <cell r="P43">
            <v>37.6</v>
          </cell>
          <cell r="Q43">
            <v>270</v>
          </cell>
          <cell r="R43">
            <v>240</v>
          </cell>
          <cell r="S43">
            <v>360</v>
          </cell>
        </row>
        <row r="44">
          <cell r="A44" t="str">
            <v>Пельмени Бульмени со сливочным маслом ТМ Горячая штучка  флоу-пак сфера 0,4 кг .  Поком</v>
          </cell>
          <cell r="B44" t="str">
            <v>шт</v>
          </cell>
          <cell r="C44">
            <v>761</v>
          </cell>
          <cell r="D44">
            <v>2</v>
          </cell>
          <cell r="E44">
            <v>240</v>
          </cell>
          <cell r="F44">
            <v>519</v>
          </cell>
          <cell r="G44">
            <v>0.4</v>
          </cell>
          <cell r="H44">
            <v>180</v>
          </cell>
          <cell r="I44" t="str">
            <v>P004444</v>
          </cell>
          <cell r="K44">
            <v>234</v>
          </cell>
          <cell r="L44">
            <v>6</v>
          </cell>
          <cell r="P44">
            <v>48</v>
          </cell>
          <cell r="Q44">
            <v>201</v>
          </cell>
          <cell r="R44">
            <v>192</v>
          </cell>
        </row>
        <row r="45">
          <cell r="A45" t="str">
            <v>Пельмени Бульмени со сливочным маслом ТМ Горячая штучка флоу-пак сфера 0,7 кг .  Поком</v>
          </cell>
          <cell r="B45" t="str">
            <v>шт</v>
          </cell>
          <cell r="C45">
            <v>457</v>
          </cell>
          <cell r="D45">
            <v>360</v>
          </cell>
          <cell r="E45">
            <v>264</v>
          </cell>
          <cell r="F45">
            <v>524</v>
          </cell>
          <cell r="G45">
            <v>0.7</v>
          </cell>
          <cell r="H45">
            <v>180</v>
          </cell>
          <cell r="I45" t="str">
            <v>P004346</v>
          </cell>
          <cell r="K45">
            <v>277</v>
          </cell>
          <cell r="L45">
            <v>-13</v>
          </cell>
          <cell r="P45">
            <v>52.8</v>
          </cell>
          <cell r="Q45">
            <v>268</v>
          </cell>
          <cell r="R45">
            <v>240</v>
          </cell>
          <cell r="S45">
            <v>360</v>
          </cell>
        </row>
        <row r="46">
          <cell r="A46" t="str">
            <v>Пельмени Домашние со сливочным маслом ТМ Зареченские  продукты флоу-пак сфера 0,7 кг.  Поком</v>
          </cell>
          <cell r="B46" t="str">
            <v>шт</v>
          </cell>
          <cell r="C46">
            <v>156</v>
          </cell>
          <cell r="E46">
            <v>63</v>
          </cell>
          <cell r="F46">
            <v>88</v>
          </cell>
          <cell r="G46">
            <v>0.7</v>
          </cell>
          <cell r="H46">
            <v>180</v>
          </cell>
          <cell r="I46" t="str">
            <v>P004060</v>
          </cell>
          <cell r="K46">
            <v>63</v>
          </cell>
          <cell r="L46">
            <v>0</v>
          </cell>
          <cell r="P46">
            <v>12.6</v>
          </cell>
          <cell r="Q46">
            <v>101</v>
          </cell>
          <cell r="R46">
            <v>120</v>
          </cell>
          <cell r="S46">
            <v>0</v>
          </cell>
        </row>
        <row r="47">
          <cell r="A47" t="str">
            <v>Пельмени Медвежье ушко Премиум Мясные ТМ Медвежье ушко классическая форма флоу-пак 0,8 кг. ПОКОМ</v>
          </cell>
          <cell r="B47" t="str">
            <v>шт</v>
          </cell>
          <cell r="C47">
            <v>105</v>
          </cell>
          <cell r="D47">
            <v>96</v>
          </cell>
          <cell r="E47">
            <v>26</v>
          </cell>
          <cell r="F47">
            <v>167</v>
          </cell>
          <cell r="G47">
            <v>0.8</v>
          </cell>
          <cell r="H47">
            <v>180</v>
          </cell>
          <cell r="I47" t="str">
            <v>P005158</v>
          </cell>
          <cell r="K47">
            <v>26</v>
          </cell>
          <cell r="L47">
            <v>0</v>
          </cell>
          <cell r="P47">
            <v>5.2</v>
          </cell>
          <cell r="R47">
            <v>0</v>
          </cell>
          <cell r="S47">
            <v>50</v>
          </cell>
          <cell r="T47" t="str">
            <v>Промо ЖЦ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317</v>
          </cell>
          <cell r="E48">
            <v>110</v>
          </cell>
          <cell r="F48">
            <v>185</v>
          </cell>
          <cell r="G48">
            <v>1</v>
          </cell>
          <cell r="H48">
            <v>180</v>
          </cell>
          <cell r="I48" t="str">
            <v>P005048</v>
          </cell>
          <cell r="K48">
            <v>104</v>
          </cell>
          <cell r="L48">
            <v>6</v>
          </cell>
          <cell r="P48">
            <v>22</v>
          </cell>
          <cell r="Q48">
            <v>145</v>
          </cell>
          <cell r="R48">
            <v>120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301</v>
          </cell>
          <cell r="D49">
            <v>8</v>
          </cell>
          <cell r="E49">
            <v>109</v>
          </cell>
          <cell r="F49">
            <v>188</v>
          </cell>
          <cell r="G49">
            <v>0.9</v>
          </cell>
          <cell r="H49">
            <v>180</v>
          </cell>
          <cell r="I49" t="str">
            <v>P005107</v>
          </cell>
          <cell r="K49">
            <v>117</v>
          </cell>
          <cell r="L49">
            <v>-8</v>
          </cell>
          <cell r="P49">
            <v>21.8</v>
          </cell>
          <cell r="Q49">
            <v>139</v>
          </cell>
          <cell r="R49">
            <v>96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205</v>
          </cell>
          <cell r="D50">
            <v>96</v>
          </cell>
          <cell r="E50">
            <v>109</v>
          </cell>
          <cell r="F50">
            <v>184</v>
          </cell>
          <cell r="G50">
            <v>0.9</v>
          </cell>
          <cell r="H50">
            <v>180</v>
          </cell>
          <cell r="I50" t="str">
            <v>P005105</v>
          </cell>
          <cell r="K50">
            <v>117</v>
          </cell>
          <cell r="L50">
            <v>-8</v>
          </cell>
          <cell r="P50">
            <v>21.8</v>
          </cell>
          <cell r="Q50">
            <v>143</v>
          </cell>
          <cell r="R50">
            <v>96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-10</v>
          </cell>
          <cell r="D51">
            <v>180</v>
          </cell>
          <cell r="F51">
            <v>160</v>
          </cell>
          <cell r="G51">
            <v>1</v>
          </cell>
          <cell r="H51">
            <v>180</v>
          </cell>
          <cell r="I51" t="str">
            <v>P004472</v>
          </cell>
          <cell r="L51">
            <v>0</v>
          </cell>
          <cell r="P51">
            <v>0</v>
          </cell>
          <cell r="R51">
            <v>0</v>
          </cell>
          <cell r="S51">
            <v>180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105</v>
          </cell>
          <cell r="D52">
            <v>660</v>
          </cell>
          <cell r="E52">
            <v>110</v>
          </cell>
          <cell r="F52">
            <v>625</v>
          </cell>
          <cell r="G52">
            <v>1</v>
          </cell>
          <cell r="H52">
            <v>180</v>
          </cell>
          <cell r="I52" t="str">
            <v>P004081</v>
          </cell>
          <cell r="K52">
            <v>108</v>
          </cell>
          <cell r="L52">
            <v>2</v>
          </cell>
          <cell r="P52">
            <v>22</v>
          </cell>
          <cell r="R52">
            <v>0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225.7</v>
          </cell>
          <cell r="F53">
            <v>225.7</v>
          </cell>
          <cell r="G53">
            <v>1</v>
          </cell>
          <cell r="H53">
            <v>180</v>
          </cell>
          <cell r="I53" t="str">
            <v>P004359</v>
          </cell>
          <cell r="L53">
            <v>0</v>
          </cell>
          <cell r="P53">
            <v>0</v>
          </cell>
          <cell r="R53">
            <v>0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101</v>
          </cell>
          <cell r="D54">
            <v>84</v>
          </cell>
          <cell r="E54">
            <v>15</v>
          </cell>
          <cell r="F54">
            <v>143</v>
          </cell>
          <cell r="G54">
            <v>0.23</v>
          </cell>
          <cell r="H54">
            <v>180</v>
          </cell>
          <cell r="I54" t="str">
            <v>P005182</v>
          </cell>
          <cell r="K54">
            <v>15</v>
          </cell>
          <cell r="L54">
            <v>0</v>
          </cell>
          <cell r="P54">
            <v>3</v>
          </cell>
          <cell r="R54">
            <v>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348</v>
          </cell>
          <cell r="D55">
            <v>336</v>
          </cell>
          <cell r="E55">
            <v>256</v>
          </cell>
          <cell r="F55">
            <v>383</v>
          </cell>
          <cell r="G55">
            <v>0.25</v>
          </cell>
          <cell r="H55">
            <v>180</v>
          </cell>
          <cell r="I55" t="str">
            <v>P004489</v>
          </cell>
          <cell r="K55">
            <v>261</v>
          </cell>
          <cell r="L55">
            <v>-5</v>
          </cell>
          <cell r="P55">
            <v>51.2</v>
          </cell>
          <cell r="Q55">
            <v>385</v>
          </cell>
          <cell r="R55">
            <v>336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432</v>
          </cell>
          <cell r="E56">
            <v>88</v>
          </cell>
          <cell r="F56">
            <v>314</v>
          </cell>
          <cell r="G56">
            <v>0.25</v>
          </cell>
          <cell r="H56">
            <v>180</v>
          </cell>
          <cell r="I56" t="str">
            <v>P005058</v>
          </cell>
          <cell r="K56">
            <v>94</v>
          </cell>
          <cell r="L56">
            <v>-6</v>
          </cell>
          <cell r="P56">
            <v>17.600000000000001</v>
          </cell>
          <cell r="R56">
            <v>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205</v>
          </cell>
          <cell r="F57">
            <v>202</v>
          </cell>
          <cell r="G57">
            <v>0.18</v>
          </cell>
          <cell r="H57">
            <v>180</v>
          </cell>
          <cell r="I57" t="str">
            <v>P005201</v>
          </cell>
          <cell r="L57">
            <v>0</v>
          </cell>
          <cell r="P57">
            <v>0</v>
          </cell>
          <cell r="R57">
            <v>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100</v>
          </cell>
          <cell r="F58">
            <v>97</v>
          </cell>
          <cell r="G58">
            <v>0.18</v>
          </cell>
          <cell r="H58">
            <v>180</v>
          </cell>
          <cell r="I58" t="str">
            <v>P005199</v>
          </cell>
          <cell r="L58">
            <v>0</v>
          </cell>
          <cell r="P58">
            <v>0</v>
          </cell>
          <cell r="R58">
            <v>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68</v>
          </cell>
          <cell r="F59">
            <v>68</v>
          </cell>
          <cell r="G59">
            <v>0.18</v>
          </cell>
          <cell r="H59">
            <v>180</v>
          </cell>
          <cell r="I59" t="str">
            <v>P005200</v>
          </cell>
          <cell r="L59">
            <v>0</v>
          </cell>
          <cell r="P59">
            <v>0</v>
          </cell>
          <cell r="R59">
            <v>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103</v>
          </cell>
          <cell r="D60">
            <v>336</v>
          </cell>
          <cell r="E60">
            <v>104</v>
          </cell>
          <cell r="F60">
            <v>293</v>
          </cell>
          <cell r="G60">
            <v>0.3</v>
          </cell>
          <cell r="H60">
            <v>180</v>
          </cell>
          <cell r="I60" t="str">
            <v>P004588</v>
          </cell>
          <cell r="K60">
            <v>127</v>
          </cell>
          <cell r="L60">
            <v>-23</v>
          </cell>
          <cell r="P60">
            <v>20.8</v>
          </cell>
          <cell r="Q60">
            <v>102.19999999999999</v>
          </cell>
          <cell r="R60">
            <v>168</v>
          </cell>
          <cell r="S60">
            <v>672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29</v>
          </cell>
          <cell r="D61">
            <v>672</v>
          </cell>
          <cell r="E61">
            <v>28</v>
          </cell>
          <cell r="F61">
            <v>595</v>
          </cell>
          <cell r="G61">
            <v>0.3</v>
          </cell>
          <cell r="H61">
            <v>180</v>
          </cell>
          <cell r="I61" t="str">
            <v>P004589</v>
          </cell>
          <cell r="K61">
            <v>119</v>
          </cell>
          <cell r="L61">
            <v>-91</v>
          </cell>
          <cell r="P61">
            <v>5.6</v>
          </cell>
          <cell r="R61">
            <v>0</v>
          </cell>
          <cell r="S61">
            <v>672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19</v>
          </cell>
          <cell r="D62">
            <v>196</v>
          </cell>
          <cell r="E62">
            <v>10</v>
          </cell>
          <cell r="F62">
            <v>202</v>
          </cell>
          <cell r="G62">
            <v>0.3</v>
          </cell>
          <cell r="H62">
            <v>180</v>
          </cell>
          <cell r="I62" t="str">
            <v>P004113</v>
          </cell>
          <cell r="K62">
            <v>13</v>
          </cell>
          <cell r="L62">
            <v>-3</v>
          </cell>
          <cell r="P62">
            <v>2</v>
          </cell>
          <cell r="R62">
            <v>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430</v>
          </cell>
          <cell r="D63">
            <v>675</v>
          </cell>
          <cell r="E63">
            <v>373</v>
          </cell>
          <cell r="F63">
            <v>636</v>
          </cell>
          <cell r="G63">
            <v>0.25</v>
          </cell>
          <cell r="H63">
            <v>180</v>
          </cell>
          <cell r="I63" t="str">
            <v>P004486</v>
          </cell>
          <cell r="K63">
            <v>382</v>
          </cell>
          <cell r="L63">
            <v>-9</v>
          </cell>
          <cell r="P63">
            <v>74.599999999999994</v>
          </cell>
          <cell r="Q63">
            <v>483</v>
          </cell>
          <cell r="R63">
            <v>504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397</v>
          </cell>
          <cell r="D64">
            <v>675</v>
          </cell>
          <cell r="E64">
            <v>330</v>
          </cell>
          <cell r="F64">
            <v>791</v>
          </cell>
          <cell r="G64">
            <v>0.25</v>
          </cell>
          <cell r="H64">
            <v>180</v>
          </cell>
          <cell r="I64" t="str">
            <v>P004484</v>
          </cell>
          <cell r="K64">
            <v>339</v>
          </cell>
          <cell r="L64">
            <v>-9</v>
          </cell>
          <cell r="P64">
            <v>66</v>
          </cell>
          <cell r="Q64">
            <v>199</v>
          </cell>
          <cell r="R64">
            <v>168</v>
          </cell>
          <cell r="S64">
            <v>672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-4</v>
          </cell>
          <cell r="D65">
            <v>168</v>
          </cell>
          <cell r="F65">
            <v>137</v>
          </cell>
          <cell r="G65">
            <v>0.2</v>
          </cell>
          <cell r="H65">
            <v>365</v>
          </cell>
          <cell r="I65" t="str">
            <v>P004818</v>
          </cell>
          <cell r="K65">
            <v>6</v>
          </cell>
          <cell r="L65">
            <v>-6</v>
          </cell>
          <cell r="P65">
            <v>0</v>
          </cell>
          <cell r="R65">
            <v>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54</v>
          </cell>
          <cell r="D66">
            <v>252</v>
          </cell>
          <cell r="E66">
            <v>55</v>
          </cell>
          <cell r="F66">
            <v>236</v>
          </cell>
          <cell r="G66">
            <v>0.23</v>
          </cell>
          <cell r="H66">
            <v>180</v>
          </cell>
          <cell r="I66" t="str">
            <v>P005180</v>
          </cell>
          <cell r="K66">
            <v>63</v>
          </cell>
          <cell r="L66">
            <v>-8</v>
          </cell>
          <cell r="P66">
            <v>11</v>
          </cell>
          <cell r="R66">
            <v>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218.7</v>
          </cell>
          <cell r="E67">
            <v>129.6</v>
          </cell>
          <cell r="F67">
            <v>83.7</v>
          </cell>
          <cell r="G67">
            <v>1</v>
          </cell>
          <cell r="H67">
            <v>180</v>
          </cell>
          <cell r="I67" t="str">
            <v>P003478</v>
          </cell>
          <cell r="K67">
            <v>125.6</v>
          </cell>
          <cell r="L67">
            <v>4</v>
          </cell>
          <cell r="P67">
            <v>25.919999999999998</v>
          </cell>
          <cell r="Q67">
            <v>253.26</v>
          </cell>
          <cell r="R67">
            <v>264.60000000000002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5</v>
          </cell>
          <cell r="D68">
            <v>600</v>
          </cell>
          <cell r="E68">
            <v>95</v>
          </cell>
          <cell r="F68">
            <v>534.5</v>
          </cell>
          <cell r="G68">
            <v>1</v>
          </cell>
          <cell r="H68">
            <v>180</v>
          </cell>
          <cell r="I68" t="str">
            <v>P003476</v>
          </cell>
          <cell r="K68">
            <v>5</v>
          </cell>
          <cell r="L68">
            <v>90</v>
          </cell>
          <cell r="P68">
            <v>19</v>
          </cell>
          <cell r="R68">
            <v>0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104.5</v>
          </cell>
          <cell r="E69">
            <v>90</v>
          </cell>
          <cell r="F69">
            <v>-5.5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155</v>
          </cell>
          <cell r="L69">
            <v>-65</v>
          </cell>
          <cell r="P69">
            <v>18</v>
          </cell>
        </row>
        <row r="70">
          <cell r="A70" t="str">
            <v>Снеки «Мини-сосиски в тесте» Весовые ТМ «Зареченские» 3,7 кг</v>
          </cell>
          <cell r="B70" t="str">
            <v>кг</v>
          </cell>
          <cell r="I70" t="str">
            <v>P004364</v>
          </cell>
          <cell r="S70" t="str">
            <v>180кг</v>
          </cell>
          <cell r="T70" t="str">
            <v>Промо ЖЦ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нет</v>
          </cell>
          <cell r="P4" t="str">
            <v>31,08,</v>
          </cell>
        </row>
        <row r="5">
          <cell r="E5">
            <v>6251.3</v>
          </cell>
          <cell r="F5">
            <v>17268.000000000004</v>
          </cell>
          <cell r="K5">
            <v>6653.1</v>
          </cell>
          <cell r="L5">
            <v>-401.8</v>
          </cell>
          <cell r="M5">
            <v>0</v>
          </cell>
          <cell r="N5">
            <v>0</v>
          </cell>
          <cell r="O5">
            <v>0</v>
          </cell>
          <cell r="P5">
            <v>1250.2599999999998</v>
          </cell>
          <cell r="Q5">
            <v>6696.1600000000008</v>
          </cell>
          <cell r="R5">
            <v>6624.6</v>
          </cell>
        </row>
        <row r="6">
          <cell r="A6" t="str">
            <v>Чебупицца со вкусом Утка по-пекински ТМ Горячая штучка ТС Чебупицца 0,23 кг.  ПОКОМ</v>
          </cell>
          <cell r="B6" t="str">
            <v>шт</v>
          </cell>
          <cell r="D6">
            <v>504</v>
          </cell>
          <cell r="F6">
            <v>480</v>
          </cell>
          <cell r="G6">
            <v>0.23</v>
          </cell>
          <cell r="I6" t="str">
            <v>матрица</v>
          </cell>
          <cell r="L6">
            <v>0</v>
          </cell>
          <cell r="P6">
            <v>0</v>
          </cell>
          <cell r="R6">
            <v>0</v>
          </cell>
        </row>
        <row r="7">
          <cell r="A7" t="str">
            <v>Чебупели со вкусом Фо бо ТМ Горячая штучка 0,22 кг  ПОКОМ</v>
          </cell>
          <cell r="B7" t="str">
            <v>шт</v>
          </cell>
          <cell r="D7">
            <v>252</v>
          </cell>
          <cell r="F7">
            <v>217</v>
          </cell>
          <cell r="G7">
            <v>0.22</v>
          </cell>
          <cell r="I7" t="str">
            <v>матрица</v>
          </cell>
          <cell r="L7">
            <v>0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10</v>
          </cell>
          <cell r="E8">
            <v>3</v>
          </cell>
          <cell r="F8">
            <v>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K8">
            <v>3</v>
          </cell>
          <cell r="L8">
            <v>0</v>
          </cell>
          <cell r="P8">
            <v>0.6</v>
          </cell>
        </row>
        <row r="9">
          <cell r="A9" t="str">
            <v>БОНУС_Пельмени Бульмени со сливочным маслом ТМ Горячая штучка флоу-пак сфера 0,7 кг .  Поком</v>
          </cell>
          <cell r="B9" t="str">
            <v>шт</v>
          </cell>
          <cell r="C9">
            <v>33</v>
          </cell>
          <cell r="F9">
            <v>33</v>
          </cell>
          <cell r="G9">
            <v>0</v>
          </cell>
          <cell r="I9" t="str">
            <v>бонус</v>
          </cell>
          <cell r="J9" t="str">
            <v>Пельмени Бульмени со сливочным маслом ТМ Горячая штучка флоу-пак сфера 0,7 кг .  Поком</v>
          </cell>
          <cell r="L9">
            <v>0</v>
          </cell>
          <cell r="P9">
            <v>0</v>
          </cell>
        </row>
        <row r="10">
          <cell r="A10" t="str">
            <v>БОНУС_Чебупицца курочка по-итальянски Горячая штучка 0,25 кг зам  ПОКОМ</v>
          </cell>
          <cell r="B10" t="str">
            <v>шт</v>
          </cell>
          <cell r="C10">
            <v>101</v>
          </cell>
          <cell r="F10">
            <v>101</v>
          </cell>
          <cell r="G10">
            <v>0</v>
          </cell>
          <cell r="I10" t="str">
            <v>бонус</v>
          </cell>
          <cell r="J10" t="str">
            <v>Чебупицца курочка по-итальянски Горячая штучка 0,25 кг зам  ПОКОМ</v>
          </cell>
          <cell r="L10">
            <v>0</v>
          </cell>
          <cell r="P10">
            <v>0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>
            <v>96</v>
          </cell>
          <cell r="E11">
            <v>11</v>
          </cell>
          <cell r="F11">
            <v>76</v>
          </cell>
          <cell r="G11">
            <v>0.22</v>
          </cell>
          <cell r="H11">
            <v>180</v>
          </cell>
          <cell r="I11" t="str">
            <v>P005065</v>
          </cell>
          <cell r="K11">
            <v>11</v>
          </cell>
          <cell r="L11">
            <v>0</v>
          </cell>
          <cell r="P11">
            <v>2.2000000000000002</v>
          </cell>
          <cell r="R11">
            <v>0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>
            <v>360</v>
          </cell>
          <cell r="E12">
            <v>89</v>
          </cell>
          <cell r="F12">
            <v>259</v>
          </cell>
          <cell r="G12">
            <v>0.3</v>
          </cell>
          <cell r="H12">
            <v>180</v>
          </cell>
          <cell r="I12" t="str">
            <v>P004598</v>
          </cell>
          <cell r="K12">
            <v>101</v>
          </cell>
          <cell r="L12">
            <v>-12</v>
          </cell>
          <cell r="P12">
            <v>17.8</v>
          </cell>
          <cell r="R12">
            <v>0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>
            <v>152</v>
          </cell>
          <cell r="D13">
            <v>168</v>
          </cell>
          <cell r="E13">
            <v>156</v>
          </cell>
          <cell r="F13">
            <v>37</v>
          </cell>
          <cell r="G13">
            <v>0.28000000000000003</v>
          </cell>
          <cell r="H13">
            <v>180</v>
          </cell>
          <cell r="I13" t="str">
            <v>P004597</v>
          </cell>
          <cell r="K13">
            <v>170</v>
          </cell>
          <cell r="L13">
            <v>-14</v>
          </cell>
          <cell r="P13">
            <v>31.2</v>
          </cell>
          <cell r="Q13">
            <v>306.2</v>
          </cell>
          <cell r="R13">
            <v>336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>
            <v>88</v>
          </cell>
          <cell r="D14">
            <v>336</v>
          </cell>
          <cell r="E14">
            <v>85</v>
          </cell>
          <cell r="F14">
            <v>309</v>
          </cell>
          <cell r="G14">
            <v>0.24</v>
          </cell>
          <cell r="H14">
            <v>180</v>
          </cell>
          <cell r="I14" t="str">
            <v>P004969</v>
          </cell>
          <cell r="K14">
            <v>109</v>
          </cell>
          <cell r="L14">
            <v>-24</v>
          </cell>
          <cell r="P14">
            <v>17</v>
          </cell>
          <cell r="R14">
            <v>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шт</v>
          </cell>
          <cell r="C15">
            <v>380</v>
          </cell>
          <cell r="D15">
            <v>168</v>
          </cell>
          <cell r="E15">
            <v>237</v>
          </cell>
          <cell r="F15">
            <v>289</v>
          </cell>
          <cell r="G15">
            <v>0.24</v>
          </cell>
          <cell r="H15">
            <v>180</v>
          </cell>
          <cell r="I15" t="str">
            <v>P004971</v>
          </cell>
          <cell r="K15">
            <v>242</v>
          </cell>
          <cell r="L15">
            <v>-5</v>
          </cell>
          <cell r="P15">
            <v>47.4</v>
          </cell>
          <cell r="Q15">
            <v>422</v>
          </cell>
          <cell r="R15">
            <v>504</v>
          </cell>
        </row>
        <row r="16">
          <cell r="A16" t="str">
            <v>Готовые чебупели с мясом ТМ Горячая штучка 0,24 кг  ПОКОМ</v>
          </cell>
          <cell r="B16" t="str">
            <v>шт</v>
          </cell>
          <cell r="C16">
            <v>66</v>
          </cell>
          <cell r="D16">
            <v>168</v>
          </cell>
          <cell r="E16">
            <v>52</v>
          </cell>
          <cell r="F16">
            <v>150</v>
          </cell>
          <cell r="G16">
            <v>0.24</v>
          </cell>
          <cell r="H16">
            <v>180</v>
          </cell>
          <cell r="I16" t="str">
            <v>P004974</v>
          </cell>
          <cell r="K16">
            <v>52</v>
          </cell>
          <cell r="L16">
            <v>0</v>
          </cell>
          <cell r="P16">
            <v>10.4</v>
          </cell>
          <cell r="R16">
            <v>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425</v>
          </cell>
          <cell r="D17">
            <v>168</v>
          </cell>
          <cell r="E17">
            <v>351</v>
          </cell>
          <cell r="F17">
            <v>190</v>
          </cell>
          <cell r="G17">
            <v>0.24</v>
          </cell>
          <cell r="H17">
            <v>180</v>
          </cell>
          <cell r="I17" t="str">
            <v>P004966</v>
          </cell>
          <cell r="K17">
            <v>365</v>
          </cell>
          <cell r="L17">
            <v>-14</v>
          </cell>
          <cell r="P17">
            <v>70.2</v>
          </cell>
          <cell r="Q17">
            <v>722.6</v>
          </cell>
          <cell r="R17">
            <v>672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18</v>
          </cell>
          <cell r="D18">
            <v>224</v>
          </cell>
          <cell r="E18">
            <v>20</v>
          </cell>
          <cell r="F18">
            <v>183</v>
          </cell>
          <cell r="G18">
            <v>0.48</v>
          </cell>
          <cell r="H18">
            <v>180</v>
          </cell>
          <cell r="I18" t="str">
            <v>P004595</v>
          </cell>
          <cell r="K18">
            <v>20</v>
          </cell>
          <cell r="L18">
            <v>0</v>
          </cell>
          <cell r="P18">
            <v>4</v>
          </cell>
          <cell r="R18">
            <v>0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491</v>
          </cell>
          <cell r="E19">
            <v>164</v>
          </cell>
          <cell r="F19">
            <v>324</v>
          </cell>
          <cell r="G19">
            <v>0.36</v>
          </cell>
          <cell r="H19">
            <v>180</v>
          </cell>
          <cell r="I19" t="str">
            <v>P004583</v>
          </cell>
          <cell r="K19">
            <v>168</v>
          </cell>
          <cell r="L19">
            <v>-4</v>
          </cell>
          <cell r="P19">
            <v>32.799999999999997</v>
          </cell>
          <cell r="Q19">
            <v>0</v>
          </cell>
          <cell r="R19">
            <v>0</v>
          </cell>
        </row>
        <row r="20">
          <cell r="A20" t="str">
            <v>Жареные вареники с картофелем и беконом ТМ Стародворье 0,2 кг  ПОКОМ</v>
          </cell>
          <cell r="B20" t="str">
            <v>шт</v>
          </cell>
          <cell r="C20">
            <v>82</v>
          </cell>
          <cell r="E20">
            <v>16</v>
          </cell>
          <cell r="F20">
            <v>54</v>
          </cell>
          <cell r="G20">
            <v>0.2</v>
          </cell>
          <cell r="H20">
            <v>180</v>
          </cell>
          <cell r="I20" t="str">
            <v>P005129</v>
          </cell>
          <cell r="K20">
            <v>16</v>
          </cell>
          <cell r="L20">
            <v>0</v>
          </cell>
          <cell r="P20">
            <v>3.2</v>
          </cell>
          <cell r="R20">
            <v>0</v>
          </cell>
        </row>
        <row r="21">
          <cell r="A21" t="str">
            <v>Круггетсы с сырным соусом ТМ Горячая штучка ТС Круггетсы флоу-пак 0,2 кг  ПОКОМ</v>
          </cell>
          <cell r="B21" t="str">
            <v>шт</v>
          </cell>
          <cell r="C21">
            <v>2148</v>
          </cell>
          <cell r="E21">
            <v>161</v>
          </cell>
          <cell r="F21">
            <v>1972</v>
          </cell>
          <cell r="G21">
            <v>0.2</v>
          </cell>
          <cell r="H21">
            <v>180</v>
          </cell>
          <cell r="I21" t="str">
            <v>P004956</v>
          </cell>
          <cell r="K21">
            <v>164</v>
          </cell>
          <cell r="L21">
            <v>-3</v>
          </cell>
          <cell r="P21">
            <v>32.200000000000003</v>
          </cell>
          <cell r="R21">
            <v>0</v>
          </cell>
        </row>
        <row r="22">
          <cell r="A22" t="str">
            <v>Круггетсы сочные ТМ Горячая штучка ТС Круггетсы флоу-пак  0,2 кг.  ПОКОМ</v>
          </cell>
          <cell r="B22" t="str">
            <v>шт</v>
          </cell>
          <cell r="C22">
            <v>44</v>
          </cell>
          <cell r="D22">
            <v>168</v>
          </cell>
          <cell r="E22">
            <v>22</v>
          </cell>
          <cell r="F22">
            <v>184</v>
          </cell>
          <cell r="G22">
            <v>0.2</v>
          </cell>
          <cell r="H22">
            <v>180</v>
          </cell>
          <cell r="I22" t="str">
            <v>P004953</v>
          </cell>
          <cell r="K22">
            <v>25</v>
          </cell>
          <cell r="L22">
            <v>-3</v>
          </cell>
          <cell r="P22">
            <v>4.4000000000000004</v>
          </cell>
          <cell r="R22">
            <v>0</v>
          </cell>
        </row>
        <row r="23">
          <cell r="A23" t="str">
            <v>Мини-сосиски в тесте 5кг ВЕС ТМ Зареченские  ПОКОМ</v>
          </cell>
          <cell r="B23" t="str">
            <v>кг</v>
          </cell>
          <cell r="C23">
            <v>105</v>
          </cell>
          <cell r="E23">
            <v>45</v>
          </cell>
          <cell r="F23">
            <v>45</v>
          </cell>
          <cell r="G23">
            <v>1</v>
          </cell>
          <cell r="H23">
            <v>180</v>
          </cell>
          <cell r="I23" t="str">
            <v>P005235</v>
          </cell>
          <cell r="K23">
            <v>45</v>
          </cell>
          <cell r="L23">
            <v>0</v>
          </cell>
          <cell r="P23">
            <v>9</v>
          </cell>
          <cell r="Q23">
            <v>90</v>
          </cell>
          <cell r="R23">
            <v>120</v>
          </cell>
        </row>
        <row r="24">
          <cell r="A24" t="str">
            <v>Мини-чебуреки с мясом ТМ Зареченские ТС Зареченские продукты ПОКОМ</v>
          </cell>
          <cell r="B24" t="str">
            <v>кг</v>
          </cell>
          <cell r="C24">
            <v>44</v>
          </cell>
          <cell r="E24">
            <v>27.5</v>
          </cell>
          <cell r="G24">
            <v>1</v>
          </cell>
          <cell r="H24">
            <v>180</v>
          </cell>
          <cell r="I24" t="str">
            <v>P004358</v>
          </cell>
          <cell r="K24">
            <v>27.5</v>
          </cell>
          <cell r="L24">
            <v>0</v>
          </cell>
          <cell r="P24">
            <v>5.5</v>
          </cell>
          <cell r="Q24">
            <v>82.5</v>
          </cell>
          <cell r="R24">
            <v>66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31.6</v>
          </cell>
          <cell r="D25">
            <v>87</v>
          </cell>
          <cell r="E25">
            <v>27</v>
          </cell>
          <cell r="F25">
            <v>58.6</v>
          </cell>
          <cell r="G25">
            <v>1</v>
          </cell>
          <cell r="H25">
            <v>180</v>
          </cell>
          <cell r="I25" t="str">
            <v>P004394</v>
          </cell>
          <cell r="K25">
            <v>32</v>
          </cell>
          <cell r="L25">
            <v>-5</v>
          </cell>
          <cell r="P25">
            <v>5.4</v>
          </cell>
          <cell r="Q25">
            <v>22.4</v>
          </cell>
          <cell r="R25">
            <v>42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357</v>
          </cell>
          <cell r="D26">
            <v>168</v>
          </cell>
          <cell r="E26">
            <v>277</v>
          </cell>
          <cell r="F26">
            <v>216</v>
          </cell>
          <cell r="G26">
            <v>0.25</v>
          </cell>
          <cell r="H26">
            <v>365</v>
          </cell>
          <cell r="I26" t="str">
            <v>P004602</v>
          </cell>
          <cell r="K26">
            <v>275</v>
          </cell>
          <cell r="L26">
            <v>2</v>
          </cell>
          <cell r="P26">
            <v>55.4</v>
          </cell>
          <cell r="Q26">
            <v>559.6</v>
          </cell>
          <cell r="R26">
            <v>588</v>
          </cell>
          <cell r="S26" t="str">
            <v>750шт</v>
          </cell>
          <cell r="T26" t="str">
            <v xml:space="preserve">Промо N+1 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611</v>
          </cell>
          <cell r="E27">
            <v>87</v>
          </cell>
          <cell r="F27">
            <v>519</v>
          </cell>
          <cell r="G27">
            <v>0.25</v>
          </cell>
          <cell r="H27">
            <v>365</v>
          </cell>
          <cell r="I27" t="str">
            <v>P004600</v>
          </cell>
          <cell r="K27">
            <v>85</v>
          </cell>
          <cell r="L27">
            <v>2</v>
          </cell>
          <cell r="P27">
            <v>17.399999999999999</v>
          </cell>
          <cell r="R27">
            <v>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C28">
            <v>13</v>
          </cell>
          <cell r="D28">
            <v>144</v>
          </cell>
          <cell r="E28">
            <v>-2.8</v>
          </cell>
          <cell r="F28">
            <v>157</v>
          </cell>
          <cell r="G28">
            <v>1</v>
          </cell>
          <cell r="H28">
            <v>180</v>
          </cell>
          <cell r="I28" t="str">
            <v>P003486</v>
          </cell>
          <cell r="K28">
            <v>53</v>
          </cell>
          <cell r="L28">
            <v>-55.8</v>
          </cell>
          <cell r="P28">
            <v>-0.55999999999999994</v>
          </cell>
          <cell r="R28">
            <v>0</v>
          </cell>
          <cell r="S28" t="str">
            <v>100кг</v>
          </cell>
          <cell r="T28" t="str">
            <v>Промо ЖЦ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8</v>
          </cell>
          <cell r="E29">
            <v>15</v>
          </cell>
          <cell r="F29">
            <v>-7</v>
          </cell>
          <cell r="G29">
            <v>0.23</v>
          </cell>
          <cell r="H29">
            <v>180</v>
          </cell>
          <cell r="I29" t="str">
            <v>P005043</v>
          </cell>
          <cell r="K29">
            <v>15</v>
          </cell>
          <cell r="L29">
            <v>0</v>
          </cell>
          <cell r="P29">
            <v>3</v>
          </cell>
          <cell r="Q29">
            <v>150</v>
          </cell>
          <cell r="R29">
            <v>168</v>
          </cell>
          <cell r="S29" t="str">
            <v>350шт</v>
          </cell>
          <cell r="T29" t="str">
            <v xml:space="preserve">Промо N+1 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330</v>
          </cell>
          <cell r="D30">
            <v>171</v>
          </cell>
          <cell r="E30">
            <v>242</v>
          </cell>
          <cell r="F30">
            <v>239</v>
          </cell>
          <cell r="G30">
            <v>0.25</v>
          </cell>
          <cell r="H30">
            <v>365</v>
          </cell>
          <cell r="I30" t="str">
            <v>P004497</v>
          </cell>
          <cell r="K30">
            <v>247</v>
          </cell>
          <cell r="L30">
            <v>-5</v>
          </cell>
          <cell r="P30">
            <v>48.4</v>
          </cell>
          <cell r="Q30">
            <v>487</v>
          </cell>
          <cell r="R30">
            <v>504</v>
          </cell>
          <cell r="S30" t="str">
            <v>650шт</v>
          </cell>
          <cell r="T30" t="str">
            <v xml:space="preserve">Промо N+1 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361</v>
          </cell>
          <cell r="D31">
            <v>339</v>
          </cell>
          <cell r="E31">
            <v>213</v>
          </cell>
          <cell r="F31">
            <v>446</v>
          </cell>
          <cell r="G31">
            <v>0.25</v>
          </cell>
          <cell r="H31">
            <v>365</v>
          </cell>
          <cell r="I31" t="str">
            <v>P004496</v>
          </cell>
          <cell r="K31">
            <v>216</v>
          </cell>
          <cell r="L31">
            <v>-3</v>
          </cell>
          <cell r="P31">
            <v>42.6</v>
          </cell>
          <cell r="Q31">
            <v>193</v>
          </cell>
          <cell r="R31">
            <v>168</v>
          </cell>
          <cell r="S31" t="str">
            <v>350шт</v>
          </cell>
          <cell r="T31" t="str">
            <v xml:space="preserve">Промо N+1 </v>
          </cell>
        </row>
        <row r="32">
          <cell r="A32" t="str">
            <v>Наггетсы с куриным филе и сыром ТМ Вязанка ТС Из печи Сливушки 0,25 кг.  Поком</v>
          </cell>
          <cell r="B32" t="str">
            <v>шт</v>
          </cell>
          <cell r="C32">
            <v>398</v>
          </cell>
          <cell r="D32">
            <v>342</v>
          </cell>
          <cell r="E32">
            <v>266</v>
          </cell>
          <cell r="F32">
            <v>429</v>
          </cell>
          <cell r="G32">
            <v>0.25</v>
          </cell>
          <cell r="H32">
            <v>180</v>
          </cell>
          <cell r="I32" t="str">
            <v>P004535</v>
          </cell>
          <cell r="K32">
            <v>273</v>
          </cell>
          <cell r="L32">
            <v>-7</v>
          </cell>
          <cell r="P32">
            <v>53.2</v>
          </cell>
          <cell r="Q32">
            <v>369</v>
          </cell>
          <cell r="R32">
            <v>336</v>
          </cell>
        </row>
        <row r="33">
          <cell r="A33" t="str">
            <v>Пекерсы с индейкой в сливочном соусе ТМ Горячая штучка 0,25 кг зам  ПОКОМ</v>
          </cell>
          <cell r="B33" t="str">
            <v>шт</v>
          </cell>
          <cell r="C33">
            <v>11</v>
          </cell>
          <cell r="D33">
            <v>168</v>
          </cell>
          <cell r="E33">
            <v>9</v>
          </cell>
          <cell r="F33">
            <v>146</v>
          </cell>
          <cell r="G33">
            <v>0.25</v>
          </cell>
          <cell r="H33">
            <v>180</v>
          </cell>
          <cell r="I33" t="str">
            <v>P004594</v>
          </cell>
          <cell r="K33">
            <v>9</v>
          </cell>
          <cell r="L33">
            <v>0</v>
          </cell>
          <cell r="P33">
            <v>1.8</v>
          </cell>
          <cell r="R33">
            <v>0</v>
          </cell>
        </row>
        <row r="34">
          <cell r="A34" t="str">
            <v>Пельмени Grandmeni с говядиной ТМ Горячаяштучка флоу-пак сфера 0,7 кг.  Поком</v>
          </cell>
          <cell r="B34" t="str">
            <v>шт</v>
          </cell>
          <cell r="C34">
            <v>55</v>
          </cell>
          <cell r="D34">
            <v>96</v>
          </cell>
          <cell r="E34">
            <v>21</v>
          </cell>
          <cell r="F34">
            <v>128</v>
          </cell>
          <cell r="G34">
            <v>0.7</v>
          </cell>
          <cell r="H34">
            <v>180</v>
          </cell>
          <cell r="I34" t="str">
            <v>P004887</v>
          </cell>
          <cell r="K34">
            <v>23</v>
          </cell>
          <cell r="L34">
            <v>-2</v>
          </cell>
          <cell r="P34">
            <v>4.2</v>
          </cell>
          <cell r="R34">
            <v>0</v>
          </cell>
        </row>
        <row r="35">
          <cell r="A35" t="str">
            <v>Пельмени Grandmeni с говядиной и свининой ТМ Горячаяштучка флоу-па классическая форма 0,7 кг.  Поком</v>
          </cell>
          <cell r="B35" t="str">
            <v>шт</v>
          </cell>
          <cell r="C35">
            <v>77</v>
          </cell>
          <cell r="D35">
            <v>96</v>
          </cell>
          <cell r="E35">
            <v>51</v>
          </cell>
          <cell r="F35">
            <v>122</v>
          </cell>
          <cell r="G35">
            <v>0.7</v>
          </cell>
          <cell r="H35">
            <v>180</v>
          </cell>
          <cell r="I35" t="str">
            <v>P004889</v>
          </cell>
          <cell r="K35">
            <v>48</v>
          </cell>
          <cell r="L35">
            <v>3</v>
          </cell>
          <cell r="P35">
            <v>10.199999999999999</v>
          </cell>
          <cell r="Q35">
            <v>51.399999999999977</v>
          </cell>
          <cell r="R35">
            <v>96</v>
          </cell>
        </row>
        <row r="36">
          <cell r="A36" t="str">
            <v>Пельмени Grandmeni со сливочным маслом  ТМ Горячая штучка флоу-пак сфера 0,7 кг.  Поком</v>
          </cell>
          <cell r="B36" t="str">
            <v>шт</v>
          </cell>
          <cell r="C36">
            <v>11</v>
          </cell>
          <cell r="E36">
            <v>10</v>
          </cell>
          <cell r="F36">
            <v>1</v>
          </cell>
          <cell r="G36">
            <v>0.7</v>
          </cell>
          <cell r="H36">
            <v>180</v>
          </cell>
          <cell r="I36" t="str">
            <v>P004888</v>
          </cell>
          <cell r="K36">
            <v>22</v>
          </cell>
          <cell r="L36">
            <v>-12</v>
          </cell>
          <cell r="P36">
            <v>2</v>
          </cell>
          <cell r="Q36">
            <v>0</v>
          </cell>
          <cell r="R36">
            <v>0</v>
          </cell>
        </row>
        <row r="37">
          <cell r="A37" t="str">
            <v>Пельмени Бигбули #МЕГАВКУСИЩЕ с сочной грудинкой  ТМ Горячая штучка  флоу-пак сфера 0,7 кг.  Поком</v>
          </cell>
          <cell r="B37" t="str">
            <v>шт</v>
          </cell>
          <cell r="C37">
            <v>246</v>
          </cell>
          <cell r="D37">
            <v>120</v>
          </cell>
          <cell r="E37">
            <v>160</v>
          </cell>
          <cell r="F37">
            <v>194</v>
          </cell>
          <cell r="G37">
            <v>0.7</v>
          </cell>
          <cell r="H37">
            <v>180</v>
          </cell>
          <cell r="I37" t="str">
            <v>P004440</v>
          </cell>
          <cell r="K37">
            <v>170</v>
          </cell>
          <cell r="L37">
            <v>-10</v>
          </cell>
          <cell r="P37">
            <v>32</v>
          </cell>
          <cell r="Q37">
            <v>286</v>
          </cell>
          <cell r="R37">
            <v>240</v>
          </cell>
        </row>
        <row r="38">
          <cell r="A38" t="str">
            <v>Пельмени Бигбули с мясом ТМ Горячая штучка БУЛЬМЕНИ ТС Бигбули ГШ  флоу-пак сфера 0,7.   Поком</v>
          </cell>
          <cell r="B38" t="str">
            <v>шт</v>
          </cell>
          <cell r="C38">
            <v>378</v>
          </cell>
          <cell r="E38">
            <v>77</v>
          </cell>
          <cell r="F38">
            <v>297</v>
          </cell>
          <cell r="G38">
            <v>0.7</v>
          </cell>
          <cell r="H38">
            <v>180</v>
          </cell>
          <cell r="I38" t="str">
            <v>P004442</v>
          </cell>
          <cell r="K38">
            <v>77</v>
          </cell>
          <cell r="L38">
            <v>0</v>
          </cell>
          <cell r="P38">
            <v>15.4</v>
          </cell>
          <cell r="R38">
            <v>0</v>
          </cell>
        </row>
        <row r="39">
          <cell r="A39" t="str">
            <v>Пельмени Бигбули со сливочным маслом  ТС Бигбули ГШ#МЕГАМАСЛИЩЕ флоу-пак сфера 0,7.  Поком</v>
          </cell>
          <cell r="B39" t="str">
            <v>шт</v>
          </cell>
          <cell r="C39">
            <v>120</v>
          </cell>
          <cell r="D39">
            <v>490</v>
          </cell>
          <cell r="E39">
            <v>128</v>
          </cell>
          <cell r="F39">
            <v>466</v>
          </cell>
          <cell r="G39">
            <v>0.7</v>
          </cell>
          <cell r="H39">
            <v>180</v>
          </cell>
          <cell r="I39" t="str">
            <v>P004203</v>
          </cell>
          <cell r="K39">
            <v>171</v>
          </cell>
          <cell r="L39">
            <v>-43</v>
          </cell>
          <cell r="P39">
            <v>25.6</v>
          </cell>
          <cell r="R39">
            <v>0</v>
          </cell>
        </row>
        <row r="40">
          <cell r="A40" t="str">
            <v>Пельмени Бульмени мини с мясом и оливковым маслом  ТС Бульмени ГШ флоу-пак сфера 0,7кг  Поком</v>
          </cell>
          <cell r="B40" t="str">
            <v>шт</v>
          </cell>
          <cell r="C40">
            <v>87</v>
          </cell>
          <cell r="D40">
            <v>240</v>
          </cell>
          <cell r="E40">
            <v>80</v>
          </cell>
          <cell r="F40">
            <v>235</v>
          </cell>
          <cell r="G40">
            <v>0.7</v>
          </cell>
          <cell r="H40">
            <v>180</v>
          </cell>
          <cell r="I40" t="str">
            <v>P004819</v>
          </cell>
          <cell r="K40">
            <v>90</v>
          </cell>
          <cell r="L40">
            <v>-10</v>
          </cell>
          <cell r="P40">
            <v>16</v>
          </cell>
          <cell r="R40">
            <v>0</v>
          </cell>
        </row>
        <row r="41">
          <cell r="A41" t="str">
            <v>Пельмени Бульмени с говядиной и свининой Наваристые Горячая штучка ВЕС  ПОКОМ</v>
          </cell>
          <cell r="B41" t="str">
            <v>кг</v>
          </cell>
          <cell r="C41">
            <v>375</v>
          </cell>
          <cell r="D41">
            <v>300</v>
          </cell>
          <cell r="E41">
            <v>230</v>
          </cell>
          <cell r="F41">
            <v>425</v>
          </cell>
          <cell r="G41">
            <v>1</v>
          </cell>
          <cell r="H41">
            <v>180</v>
          </cell>
          <cell r="I41" t="str">
            <v>P003697</v>
          </cell>
          <cell r="K41">
            <v>230</v>
          </cell>
          <cell r="L41">
            <v>0</v>
          </cell>
          <cell r="P41">
            <v>46</v>
          </cell>
          <cell r="Q41">
            <v>265</v>
          </cell>
          <cell r="R41">
            <v>240</v>
          </cell>
          <cell r="S41">
            <v>390</v>
          </cell>
          <cell r="T41" t="str">
            <v>Промо ЖЦ</v>
          </cell>
        </row>
        <row r="42">
          <cell r="A42" t="str">
            <v>Пельмени Бульмени с говядиной и свининой ТМ Горячая штучка  флоу-пак сфера 0,4 кг  Поком</v>
          </cell>
          <cell r="B42" t="str">
            <v>шт</v>
          </cell>
          <cell r="C42">
            <v>182</v>
          </cell>
          <cell r="D42">
            <v>384</v>
          </cell>
          <cell r="E42">
            <v>129</v>
          </cell>
          <cell r="F42">
            <v>417</v>
          </cell>
          <cell r="G42">
            <v>0.4</v>
          </cell>
          <cell r="H42">
            <v>180</v>
          </cell>
          <cell r="I42" t="str">
            <v>P004474</v>
          </cell>
          <cell r="K42">
            <v>145</v>
          </cell>
          <cell r="L42">
            <v>-16</v>
          </cell>
          <cell r="P42">
            <v>25.8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БУЛЬМЕНИ  флоу-пак сфера 0,7 кг.  Поком</v>
          </cell>
          <cell r="B43" t="str">
            <v>шт</v>
          </cell>
          <cell r="C43">
            <v>504</v>
          </cell>
          <cell r="E43">
            <v>188</v>
          </cell>
          <cell r="F43">
            <v>294</v>
          </cell>
          <cell r="G43">
            <v>0.7</v>
          </cell>
          <cell r="H43">
            <v>180</v>
          </cell>
          <cell r="I43" t="str">
            <v>P004345</v>
          </cell>
          <cell r="K43">
            <v>203</v>
          </cell>
          <cell r="L43">
            <v>-15</v>
          </cell>
          <cell r="P43">
            <v>37.6</v>
          </cell>
          <cell r="Q43">
            <v>270</v>
          </cell>
          <cell r="R43">
            <v>240</v>
          </cell>
        </row>
        <row r="44">
          <cell r="A44" t="str">
            <v>Пельмени Бульмени со сливочным маслом ТМ Горячая штучка  флоу-пак сфера 0,4 кг .  Поком</v>
          </cell>
          <cell r="B44" t="str">
            <v>шт</v>
          </cell>
          <cell r="C44">
            <v>761</v>
          </cell>
          <cell r="D44">
            <v>2</v>
          </cell>
          <cell r="E44">
            <v>240</v>
          </cell>
          <cell r="F44">
            <v>519</v>
          </cell>
          <cell r="G44">
            <v>0.4</v>
          </cell>
          <cell r="H44">
            <v>180</v>
          </cell>
          <cell r="I44" t="str">
            <v>P004444</v>
          </cell>
          <cell r="K44">
            <v>234</v>
          </cell>
          <cell r="L44">
            <v>6</v>
          </cell>
          <cell r="P44">
            <v>48</v>
          </cell>
          <cell r="Q44">
            <v>201</v>
          </cell>
          <cell r="R44">
            <v>192</v>
          </cell>
        </row>
        <row r="45">
          <cell r="A45" t="str">
            <v>Пельмени Бульмени со сливочным маслом ТМ Горячая штучка флоу-пак сфера 0,7 кг .  Поком</v>
          </cell>
          <cell r="B45" t="str">
            <v>шт</v>
          </cell>
          <cell r="C45">
            <v>457</v>
          </cell>
          <cell r="D45">
            <v>360</v>
          </cell>
          <cell r="E45">
            <v>264</v>
          </cell>
          <cell r="F45">
            <v>524</v>
          </cell>
          <cell r="G45">
            <v>0.7</v>
          </cell>
          <cell r="H45">
            <v>180</v>
          </cell>
          <cell r="I45" t="str">
            <v>P004346</v>
          </cell>
          <cell r="K45">
            <v>277</v>
          </cell>
          <cell r="L45">
            <v>-13</v>
          </cell>
          <cell r="P45">
            <v>52.8</v>
          </cell>
          <cell r="Q45">
            <v>268</v>
          </cell>
          <cell r="R45">
            <v>240</v>
          </cell>
        </row>
        <row r="46">
          <cell r="A46" t="str">
            <v>Пельмени Домашние со сливочным маслом ТМ Зареченские  продукты флоу-пак сфера 0,7 кг.  Поком</v>
          </cell>
          <cell r="B46" t="str">
            <v>шт</v>
          </cell>
          <cell r="C46">
            <v>156</v>
          </cell>
          <cell r="E46">
            <v>63</v>
          </cell>
          <cell r="F46">
            <v>88</v>
          </cell>
          <cell r="G46">
            <v>0.7</v>
          </cell>
          <cell r="H46">
            <v>180</v>
          </cell>
          <cell r="I46" t="str">
            <v>P004060</v>
          </cell>
          <cell r="K46">
            <v>63</v>
          </cell>
          <cell r="L46">
            <v>0</v>
          </cell>
          <cell r="P46">
            <v>12.6</v>
          </cell>
          <cell r="Q46">
            <v>101</v>
          </cell>
          <cell r="R46">
            <v>120</v>
          </cell>
        </row>
        <row r="47">
          <cell r="A47" t="str">
            <v>Пельмени Медвежье ушко Премиум Мясные ТМ Медвежье ушко классическая форма флоу-пак 0,8 кг. ПОКОМ</v>
          </cell>
          <cell r="B47" t="str">
            <v>шт</v>
          </cell>
          <cell r="C47">
            <v>105</v>
          </cell>
          <cell r="D47">
            <v>96</v>
          </cell>
          <cell r="E47">
            <v>26</v>
          </cell>
          <cell r="F47">
            <v>167</v>
          </cell>
          <cell r="G47">
            <v>0.8</v>
          </cell>
          <cell r="H47">
            <v>180</v>
          </cell>
          <cell r="I47" t="str">
            <v>P005158</v>
          </cell>
          <cell r="K47">
            <v>26</v>
          </cell>
          <cell r="L47">
            <v>0</v>
          </cell>
          <cell r="P47">
            <v>5.2</v>
          </cell>
          <cell r="R47">
            <v>0</v>
          </cell>
          <cell r="S47" t="str">
            <v>50шт</v>
          </cell>
          <cell r="T47" t="str">
            <v>Промо ЖЦ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317</v>
          </cell>
          <cell r="E48">
            <v>110</v>
          </cell>
          <cell r="F48">
            <v>185</v>
          </cell>
          <cell r="G48">
            <v>1</v>
          </cell>
          <cell r="H48">
            <v>180</v>
          </cell>
          <cell r="I48" t="str">
            <v>P005048</v>
          </cell>
          <cell r="K48">
            <v>104</v>
          </cell>
          <cell r="L48">
            <v>6</v>
          </cell>
          <cell r="P48">
            <v>22</v>
          </cell>
          <cell r="Q48">
            <v>145</v>
          </cell>
          <cell r="R48">
            <v>120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301</v>
          </cell>
          <cell r="D49">
            <v>8</v>
          </cell>
          <cell r="E49">
            <v>109</v>
          </cell>
          <cell r="F49">
            <v>188</v>
          </cell>
          <cell r="G49">
            <v>0.9</v>
          </cell>
          <cell r="H49">
            <v>180</v>
          </cell>
          <cell r="I49" t="str">
            <v>P005107</v>
          </cell>
          <cell r="K49">
            <v>117</v>
          </cell>
          <cell r="L49">
            <v>-8</v>
          </cell>
          <cell r="P49">
            <v>21.8</v>
          </cell>
          <cell r="Q49">
            <v>139</v>
          </cell>
          <cell r="R49">
            <v>96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205</v>
          </cell>
          <cell r="D50">
            <v>96</v>
          </cell>
          <cell r="E50">
            <v>109</v>
          </cell>
          <cell r="F50">
            <v>184</v>
          </cell>
          <cell r="G50">
            <v>0.9</v>
          </cell>
          <cell r="H50">
            <v>180</v>
          </cell>
          <cell r="I50" t="str">
            <v>P005105</v>
          </cell>
          <cell r="K50">
            <v>117</v>
          </cell>
          <cell r="L50">
            <v>-8</v>
          </cell>
          <cell r="P50">
            <v>21.8</v>
          </cell>
          <cell r="Q50">
            <v>143</v>
          </cell>
          <cell r="R50">
            <v>96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-10</v>
          </cell>
          <cell r="D51">
            <v>180</v>
          </cell>
          <cell r="F51">
            <v>160</v>
          </cell>
          <cell r="G51">
            <v>1</v>
          </cell>
          <cell r="H51">
            <v>180</v>
          </cell>
          <cell r="I51" t="str">
            <v>P004472</v>
          </cell>
          <cell r="L51">
            <v>0</v>
          </cell>
          <cell r="P51">
            <v>0</v>
          </cell>
          <cell r="R51">
            <v>0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105</v>
          </cell>
          <cell r="D52">
            <v>660</v>
          </cell>
          <cell r="E52">
            <v>110</v>
          </cell>
          <cell r="F52">
            <v>625</v>
          </cell>
          <cell r="G52">
            <v>1</v>
          </cell>
          <cell r="H52">
            <v>180</v>
          </cell>
          <cell r="I52" t="str">
            <v>P004081</v>
          </cell>
          <cell r="K52">
            <v>108</v>
          </cell>
          <cell r="L52">
            <v>2</v>
          </cell>
          <cell r="P52">
            <v>22</v>
          </cell>
          <cell r="R52">
            <v>0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225.7</v>
          </cell>
          <cell r="F53">
            <v>225.7</v>
          </cell>
          <cell r="G53">
            <v>1</v>
          </cell>
          <cell r="H53">
            <v>180</v>
          </cell>
          <cell r="I53" t="str">
            <v>P004359</v>
          </cell>
          <cell r="L53">
            <v>0</v>
          </cell>
          <cell r="P53">
            <v>0</v>
          </cell>
          <cell r="R53">
            <v>0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101</v>
          </cell>
          <cell r="D54">
            <v>84</v>
          </cell>
          <cell r="E54">
            <v>15</v>
          </cell>
          <cell r="F54">
            <v>143</v>
          </cell>
          <cell r="G54">
            <v>0.23</v>
          </cell>
          <cell r="H54">
            <v>180</v>
          </cell>
          <cell r="I54" t="str">
            <v>P005182</v>
          </cell>
          <cell r="K54">
            <v>15</v>
          </cell>
          <cell r="L54">
            <v>0</v>
          </cell>
          <cell r="P54">
            <v>3</v>
          </cell>
          <cell r="R54">
            <v>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348</v>
          </cell>
          <cell r="D55">
            <v>336</v>
          </cell>
          <cell r="E55">
            <v>256</v>
          </cell>
          <cell r="F55">
            <v>383</v>
          </cell>
          <cell r="G55">
            <v>0.25</v>
          </cell>
          <cell r="H55">
            <v>180</v>
          </cell>
          <cell r="I55" t="str">
            <v>P004489</v>
          </cell>
          <cell r="K55">
            <v>261</v>
          </cell>
          <cell r="L55">
            <v>-5</v>
          </cell>
          <cell r="P55">
            <v>51.2</v>
          </cell>
          <cell r="Q55">
            <v>385</v>
          </cell>
          <cell r="R55">
            <v>336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432</v>
          </cell>
          <cell r="E56">
            <v>88</v>
          </cell>
          <cell r="F56">
            <v>314</v>
          </cell>
          <cell r="G56">
            <v>0.25</v>
          </cell>
          <cell r="H56">
            <v>180</v>
          </cell>
          <cell r="I56" t="str">
            <v>P005058</v>
          </cell>
          <cell r="K56">
            <v>94</v>
          </cell>
          <cell r="L56">
            <v>-6</v>
          </cell>
          <cell r="P56">
            <v>17.600000000000001</v>
          </cell>
          <cell r="R56">
            <v>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205</v>
          </cell>
          <cell r="F57">
            <v>202</v>
          </cell>
          <cell r="G57">
            <v>0.18</v>
          </cell>
          <cell r="H57">
            <v>180</v>
          </cell>
          <cell r="I57" t="str">
            <v>P005201</v>
          </cell>
          <cell r="L57">
            <v>0</v>
          </cell>
          <cell r="P57">
            <v>0</v>
          </cell>
          <cell r="R57">
            <v>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100</v>
          </cell>
          <cell r="F58">
            <v>97</v>
          </cell>
          <cell r="G58">
            <v>0.18</v>
          </cell>
          <cell r="H58">
            <v>180</v>
          </cell>
          <cell r="I58" t="str">
            <v>P005199</v>
          </cell>
          <cell r="L58">
            <v>0</v>
          </cell>
          <cell r="P58">
            <v>0</v>
          </cell>
          <cell r="R58">
            <v>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68</v>
          </cell>
          <cell r="F59">
            <v>68</v>
          </cell>
          <cell r="G59">
            <v>0.18</v>
          </cell>
          <cell r="H59">
            <v>180</v>
          </cell>
          <cell r="I59" t="str">
            <v>P005200</v>
          </cell>
          <cell r="L59">
            <v>0</v>
          </cell>
          <cell r="P59">
            <v>0</v>
          </cell>
          <cell r="R59">
            <v>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103</v>
          </cell>
          <cell r="D60">
            <v>336</v>
          </cell>
          <cell r="E60">
            <v>104</v>
          </cell>
          <cell r="F60">
            <v>293</v>
          </cell>
          <cell r="G60">
            <v>0.3</v>
          </cell>
          <cell r="H60">
            <v>180</v>
          </cell>
          <cell r="I60" t="str">
            <v>P004588</v>
          </cell>
          <cell r="K60">
            <v>127</v>
          </cell>
          <cell r="L60">
            <v>-23</v>
          </cell>
          <cell r="P60">
            <v>20.8</v>
          </cell>
          <cell r="Q60">
            <v>102.19999999999999</v>
          </cell>
          <cell r="R60">
            <v>168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29</v>
          </cell>
          <cell r="D61">
            <v>672</v>
          </cell>
          <cell r="E61">
            <v>28</v>
          </cell>
          <cell r="F61">
            <v>595</v>
          </cell>
          <cell r="G61">
            <v>0.3</v>
          </cell>
          <cell r="H61">
            <v>180</v>
          </cell>
          <cell r="I61" t="str">
            <v>P004589</v>
          </cell>
          <cell r="K61">
            <v>119</v>
          </cell>
          <cell r="L61">
            <v>-91</v>
          </cell>
          <cell r="P61">
            <v>5.6</v>
          </cell>
          <cell r="R61">
            <v>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19</v>
          </cell>
          <cell r="D62">
            <v>196</v>
          </cell>
          <cell r="E62">
            <v>10</v>
          </cell>
          <cell r="F62">
            <v>202</v>
          </cell>
          <cell r="G62">
            <v>0.3</v>
          </cell>
          <cell r="H62">
            <v>180</v>
          </cell>
          <cell r="I62" t="str">
            <v>P004113</v>
          </cell>
          <cell r="K62">
            <v>13</v>
          </cell>
          <cell r="L62">
            <v>-3</v>
          </cell>
          <cell r="P62">
            <v>2</v>
          </cell>
          <cell r="R62">
            <v>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430</v>
          </cell>
          <cell r="D63">
            <v>675</v>
          </cell>
          <cell r="E63">
            <v>373</v>
          </cell>
          <cell r="F63">
            <v>636</v>
          </cell>
          <cell r="G63">
            <v>0.25</v>
          </cell>
          <cell r="H63">
            <v>180</v>
          </cell>
          <cell r="I63" t="str">
            <v>P004486</v>
          </cell>
          <cell r="K63">
            <v>382</v>
          </cell>
          <cell r="L63">
            <v>-9</v>
          </cell>
          <cell r="P63">
            <v>74.599999999999994</v>
          </cell>
          <cell r="Q63">
            <v>483</v>
          </cell>
          <cell r="R63">
            <v>504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397</v>
          </cell>
          <cell r="D64">
            <v>675</v>
          </cell>
          <cell r="E64">
            <v>330</v>
          </cell>
          <cell r="F64">
            <v>791</v>
          </cell>
          <cell r="G64">
            <v>0.25</v>
          </cell>
          <cell r="H64">
            <v>180</v>
          </cell>
          <cell r="I64" t="str">
            <v>P004484</v>
          </cell>
          <cell r="K64">
            <v>339</v>
          </cell>
          <cell r="L64">
            <v>-9</v>
          </cell>
          <cell r="P64">
            <v>66</v>
          </cell>
          <cell r="Q64">
            <v>199</v>
          </cell>
          <cell r="R64">
            <v>168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-4</v>
          </cell>
          <cell r="D65">
            <v>168</v>
          </cell>
          <cell r="F65">
            <v>137</v>
          </cell>
          <cell r="G65">
            <v>0.2</v>
          </cell>
          <cell r="H65">
            <v>365</v>
          </cell>
          <cell r="I65" t="str">
            <v>P004818</v>
          </cell>
          <cell r="K65">
            <v>6</v>
          </cell>
          <cell r="L65">
            <v>-6</v>
          </cell>
          <cell r="P65">
            <v>0</v>
          </cell>
          <cell r="R65">
            <v>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54</v>
          </cell>
          <cell r="D66">
            <v>252</v>
          </cell>
          <cell r="E66">
            <v>55</v>
          </cell>
          <cell r="F66">
            <v>236</v>
          </cell>
          <cell r="G66">
            <v>0.23</v>
          </cell>
          <cell r="H66">
            <v>180</v>
          </cell>
          <cell r="I66" t="str">
            <v>P005180</v>
          </cell>
          <cell r="K66">
            <v>63</v>
          </cell>
          <cell r="L66">
            <v>-8</v>
          </cell>
          <cell r="P66">
            <v>11</v>
          </cell>
          <cell r="R66">
            <v>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218.7</v>
          </cell>
          <cell r="E67">
            <v>129.6</v>
          </cell>
          <cell r="F67">
            <v>83.7</v>
          </cell>
          <cell r="G67">
            <v>1</v>
          </cell>
          <cell r="H67">
            <v>180</v>
          </cell>
          <cell r="I67" t="str">
            <v>P003478</v>
          </cell>
          <cell r="K67">
            <v>125.6</v>
          </cell>
          <cell r="L67">
            <v>4</v>
          </cell>
          <cell r="P67">
            <v>25.919999999999998</v>
          </cell>
          <cell r="Q67">
            <v>253.26</v>
          </cell>
          <cell r="R67">
            <v>264.60000000000002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5</v>
          </cell>
          <cell r="D68">
            <v>600</v>
          </cell>
          <cell r="E68">
            <v>95</v>
          </cell>
          <cell r="F68">
            <v>534.5</v>
          </cell>
          <cell r="G68">
            <v>1</v>
          </cell>
          <cell r="H68">
            <v>180</v>
          </cell>
          <cell r="I68" t="str">
            <v>P003476</v>
          </cell>
          <cell r="K68">
            <v>5</v>
          </cell>
          <cell r="L68">
            <v>90</v>
          </cell>
          <cell r="P68">
            <v>19</v>
          </cell>
          <cell r="R68">
            <v>0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104.5</v>
          </cell>
          <cell r="E69">
            <v>90</v>
          </cell>
          <cell r="F69">
            <v>-5.5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155</v>
          </cell>
          <cell r="L69">
            <v>-65</v>
          </cell>
          <cell r="P69">
            <v>18</v>
          </cell>
        </row>
        <row r="70">
          <cell r="A70" t="str">
            <v>Снеки «Мини-сосиски в тесте» Весовые ТМ «Зареченские» 3,7 кг</v>
          </cell>
          <cell r="B70" t="str">
            <v>кг</v>
          </cell>
          <cell r="I70" t="str">
            <v>P004364</v>
          </cell>
          <cell r="S70" t="str">
            <v>180кг</v>
          </cell>
          <cell r="T70" t="str">
            <v>Промо ЖЦ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4" sqref="AN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3" width="7" style="22" customWidth="1"/>
    <col min="24" max="25" width="5" customWidth="1"/>
    <col min="26" max="35" width="6" customWidth="1"/>
    <col min="36" max="36" width="21.140625" customWidth="1"/>
    <col min="37" max="37" width="6" customWidth="1"/>
    <col min="38" max="38" width="6" style="6" customWidth="1"/>
    <col min="39" max="39" width="7" style="12" customWidth="1"/>
    <col min="40" max="40" width="6" customWidth="1"/>
    <col min="41" max="42" width="5" customWidth="1"/>
    <col min="43" max="43" width="6" style="12" customWidth="1"/>
    <col min="44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4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7"/>
      <c r="AM1" s="9"/>
      <c r="AN1" s="1"/>
      <c r="AO1" s="1"/>
      <c r="AP1" s="1"/>
      <c r="AQ1" s="9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182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7"/>
      <c r="AM2" s="9"/>
      <c r="AN2" s="1"/>
      <c r="AO2" s="1"/>
      <c r="AP2" s="1"/>
      <c r="AQ2" s="9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172</v>
      </c>
      <c r="U3" s="3" t="s">
        <v>179</v>
      </c>
      <c r="V3" s="3" t="s">
        <v>180</v>
      </c>
      <c r="W3" s="3" t="s">
        <v>181</v>
      </c>
      <c r="X3" s="2" t="s">
        <v>18</v>
      </c>
      <c r="Y3" s="2" t="s">
        <v>19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20</v>
      </c>
      <c r="AJ3" s="2" t="s">
        <v>21</v>
      </c>
      <c r="AK3" s="2" t="s">
        <v>22</v>
      </c>
      <c r="AL3" s="8" t="s">
        <v>23</v>
      </c>
      <c r="AM3" s="10" t="s">
        <v>24</v>
      </c>
      <c r="AN3" s="2" t="s">
        <v>25</v>
      </c>
      <c r="AO3" s="2" t="s">
        <v>26</v>
      </c>
      <c r="AP3" s="2" t="s">
        <v>27</v>
      </c>
      <c r="AQ3" s="10" t="s">
        <v>28</v>
      </c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173</v>
      </c>
      <c r="U4" s="1"/>
      <c r="V4" s="1"/>
      <c r="W4" s="1"/>
      <c r="X4" s="1"/>
      <c r="Y4" s="1"/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  <c r="AJ4" s="1"/>
      <c r="AK4" s="1"/>
      <c r="AL4" s="7"/>
      <c r="AM4" s="9" t="s">
        <v>183</v>
      </c>
      <c r="AN4" s="1"/>
      <c r="AO4" s="1"/>
      <c r="AP4" s="1"/>
      <c r="AQ4" s="9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6251.3</v>
      </c>
      <c r="F5" s="4">
        <f>SUM(F6:F499)</f>
        <v>17268.000000000004</v>
      </c>
      <c r="G5" s="7"/>
      <c r="H5" s="1"/>
      <c r="I5" s="1"/>
      <c r="J5" s="1"/>
      <c r="K5" s="4">
        <f t="shared" ref="K5:S5" si="0">SUM(K6:K499)</f>
        <v>6653.1</v>
      </c>
      <c r="L5" s="4">
        <f t="shared" si="0"/>
        <v>-401.8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1250.2599999999998</v>
      </c>
      <c r="Q5" s="4">
        <v>6696.1600000000008</v>
      </c>
      <c r="R5" s="4">
        <f t="shared" si="0"/>
        <v>12753.840000000002</v>
      </c>
      <c r="S5" s="4">
        <f t="shared" si="0"/>
        <v>13035.6</v>
      </c>
      <c r="T5" s="4"/>
      <c r="U5" s="4"/>
      <c r="V5" s="4"/>
      <c r="W5" s="4"/>
      <c r="X5" s="1"/>
      <c r="Y5" s="1"/>
      <c r="Z5" s="4">
        <f t="shared" ref="Z5:AI5" si="1">SUM(Z6:Z499)</f>
        <v>1005.9999999999998</v>
      </c>
      <c r="AA5" s="4">
        <f t="shared" si="1"/>
        <v>1633.6000000000001</v>
      </c>
      <c r="AB5" s="4">
        <f t="shared" si="1"/>
        <v>773.64000000000021</v>
      </c>
      <c r="AC5" s="4">
        <f t="shared" si="1"/>
        <v>959.2</v>
      </c>
      <c r="AD5" s="4">
        <f t="shared" si="1"/>
        <v>1478.3799999999999</v>
      </c>
      <c r="AE5" s="4">
        <f t="shared" si="1"/>
        <v>1825.9600000000007</v>
      </c>
      <c r="AF5" s="4">
        <f t="shared" si="1"/>
        <v>1747.9200000000008</v>
      </c>
      <c r="AG5" s="4">
        <f t="shared" si="1"/>
        <v>1567.3199999999997</v>
      </c>
      <c r="AH5" s="4">
        <f t="shared" si="1"/>
        <v>1885.3</v>
      </c>
      <c r="AI5" s="4">
        <f t="shared" si="1"/>
        <v>2126.94</v>
      </c>
      <c r="AJ5" s="1"/>
      <c r="AK5" s="4">
        <f>SUM(AK6:AK499)</f>
        <v>5510.728000000001</v>
      </c>
      <c r="AL5" s="7"/>
      <c r="AM5" s="11">
        <f>SUM(AM6:AM499)</f>
        <v>1504</v>
      </c>
      <c r="AN5" s="4">
        <f>SUM(AN6:AN499)</f>
        <v>5671.56</v>
      </c>
      <c r="AO5" s="1"/>
      <c r="AP5" s="1"/>
      <c r="AQ5" s="11">
        <f>SUM(AQ6:AQ499)</f>
        <v>17.120634920634924</v>
      </c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41</v>
      </c>
      <c r="B6" s="1" t="s">
        <v>42</v>
      </c>
      <c r="C6" s="1"/>
      <c r="D6" s="1">
        <v>504</v>
      </c>
      <c r="E6" s="1"/>
      <c r="F6" s="1">
        <v>480</v>
      </c>
      <c r="G6" s="7">
        <v>0.23</v>
      </c>
      <c r="H6" s="1"/>
      <c r="I6" s="1" t="s">
        <v>43</v>
      </c>
      <c r="J6" s="1"/>
      <c r="K6" s="1"/>
      <c r="L6" s="1">
        <f t="shared" ref="L6:L38" si="2">E6-K6</f>
        <v>0</v>
      </c>
      <c r="M6" s="1"/>
      <c r="N6" s="1"/>
      <c r="O6" s="1"/>
      <c r="P6" s="1">
        <f t="shared" ref="P6:P38" si="3">E6/5</f>
        <v>0</v>
      </c>
      <c r="Q6" s="5"/>
      <c r="R6" s="5"/>
      <c r="S6" s="5">
        <f>AL6*AM6</f>
        <v>0</v>
      </c>
      <c r="T6" s="23"/>
      <c r="U6" s="23"/>
      <c r="V6" s="23"/>
      <c r="W6" s="23"/>
      <c r="X6" s="1" t="e">
        <f t="shared" ref="X6:X38" si="4">(F6+S6)/P6</f>
        <v>#DIV/0!</v>
      </c>
      <c r="Y6" s="1" t="e">
        <f t="shared" ref="Y6:Y38" si="5">F6/P6</f>
        <v>#DIV/0!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 t="s">
        <v>44</v>
      </c>
      <c r="AK6" s="1">
        <f>G6*R6</f>
        <v>0</v>
      </c>
      <c r="AL6" s="7">
        <v>6</v>
      </c>
      <c r="AM6" s="9">
        <f>MROUND(R6, AL6*AO6)/AL6</f>
        <v>0</v>
      </c>
      <c r="AN6" s="1">
        <f>AM6*AL6*G6</f>
        <v>0</v>
      </c>
      <c r="AO6" s="1">
        <v>14</v>
      </c>
      <c r="AP6" s="1">
        <v>140</v>
      </c>
      <c r="AQ6" s="9">
        <f>AM6/AP6</f>
        <v>0</v>
      </c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45</v>
      </c>
      <c r="B7" s="1" t="s">
        <v>42</v>
      </c>
      <c r="C7" s="1"/>
      <c r="D7" s="1">
        <v>252</v>
      </c>
      <c r="E7" s="1"/>
      <c r="F7" s="1">
        <v>217</v>
      </c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/>
      <c r="R7" s="5"/>
      <c r="S7" s="5">
        <f>AL7*AM7</f>
        <v>0</v>
      </c>
      <c r="T7" s="23"/>
      <c r="U7" s="23"/>
      <c r="V7" s="23"/>
      <c r="W7" s="23"/>
      <c r="X7" s="1" t="e">
        <f t="shared" si="4"/>
        <v>#DIV/0!</v>
      </c>
      <c r="Y7" s="1" t="e">
        <f t="shared" si="5"/>
        <v>#DIV/0!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 t="s">
        <v>44</v>
      </c>
      <c r="AK7" s="1">
        <f>G7*R7</f>
        <v>0</v>
      </c>
      <c r="AL7" s="7">
        <v>6</v>
      </c>
      <c r="AM7" s="9">
        <f>MROUND(R7, AL7*AO7)/AL7</f>
        <v>0</v>
      </c>
      <c r="AN7" s="1">
        <f>AM7*AL7*G7</f>
        <v>0</v>
      </c>
      <c r="AO7" s="1">
        <v>14</v>
      </c>
      <c r="AP7" s="1">
        <v>140</v>
      </c>
      <c r="AQ7" s="9">
        <f>AM7/AP7</f>
        <v>0</v>
      </c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3" t="s">
        <v>46</v>
      </c>
      <c r="B8" s="13" t="s">
        <v>42</v>
      </c>
      <c r="C8" s="13">
        <v>10</v>
      </c>
      <c r="D8" s="13"/>
      <c r="E8" s="17">
        <v>3</v>
      </c>
      <c r="F8" s="17">
        <v>7</v>
      </c>
      <c r="G8" s="14">
        <v>0</v>
      </c>
      <c r="H8" s="13"/>
      <c r="I8" s="13" t="s">
        <v>47</v>
      </c>
      <c r="J8" s="13" t="s">
        <v>48</v>
      </c>
      <c r="K8" s="13">
        <v>3</v>
      </c>
      <c r="L8" s="13">
        <f t="shared" si="2"/>
        <v>0</v>
      </c>
      <c r="M8" s="13"/>
      <c r="N8" s="13"/>
      <c r="O8" s="13"/>
      <c r="P8" s="13">
        <f t="shared" si="3"/>
        <v>0.6</v>
      </c>
      <c r="Q8" s="15"/>
      <c r="R8" s="15"/>
      <c r="S8" s="15"/>
      <c r="T8" s="23"/>
      <c r="U8" s="23"/>
      <c r="V8" s="23"/>
      <c r="W8" s="23"/>
      <c r="X8" s="13">
        <f t="shared" si="4"/>
        <v>11.666666666666668</v>
      </c>
      <c r="Y8" s="13">
        <f t="shared" si="5"/>
        <v>11.666666666666668</v>
      </c>
      <c r="Z8" s="13">
        <v>0.6</v>
      </c>
      <c r="AA8" s="13">
        <v>5.4</v>
      </c>
      <c r="AB8" s="13">
        <v>1.4</v>
      </c>
      <c r="AC8" s="13">
        <v>0.8</v>
      </c>
      <c r="AD8" s="13">
        <v>4</v>
      </c>
      <c r="AE8" s="13">
        <v>2</v>
      </c>
      <c r="AF8" s="13">
        <v>1.8</v>
      </c>
      <c r="AG8" s="13">
        <v>1.4</v>
      </c>
      <c r="AH8" s="13">
        <v>3</v>
      </c>
      <c r="AI8" s="13">
        <v>9</v>
      </c>
      <c r="AJ8" s="13"/>
      <c r="AK8" s="13"/>
      <c r="AL8" s="14"/>
      <c r="AM8" s="16"/>
      <c r="AN8" s="13"/>
      <c r="AO8" s="13"/>
      <c r="AP8" s="13"/>
      <c r="AQ8" s="16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23"/>
      <c r="U9" s="23"/>
      <c r="V9" s="23"/>
      <c r="W9" s="23"/>
      <c r="X9" s="13" t="e">
        <f t="shared" si="4"/>
        <v>#DIV/0!</v>
      </c>
      <c r="Y9" s="13" t="e">
        <f t="shared" si="5"/>
        <v>#DIV/0!</v>
      </c>
      <c r="Z9" s="13">
        <v>0</v>
      </c>
      <c r="AA9" s="13">
        <v>0</v>
      </c>
      <c r="AB9" s="13">
        <v>0</v>
      </c>
      <c r="AC9" s="13">
        <v>0</v>
      </c>
      <c r="AD9" s="13">
        <v>4.4000000000000004</v>
      </c>
      <c r="AE9" s="13">
        <v>2</v>
      </c>
      <c r="AF9" s="13">
        <v>0.6</v>
      </c>
      <c r="AG9" s="13">
        <v>0.8</v>
      </c>
      <c r="AH9" s="13">
        <v>1.6</v>
      </c>
      <c r="AI9" s="13">
        <v>2.2000000000000002</v>
      </c>
      <c r="AJ9" s="13"/>
      <c r="AK9" s="13"/>
      <c r="AL9" s="14"/>
      <c r="AM9" s="16"/>
      <c r="AN9" s="13"/>
      <c r="AO9" s="13"/>
      <c r="AP9" s="13"/>
      <c r="AQ9" s="16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5"/>
      <c r="T10" s="23"/>
      <c r="U10" s="23"/>
      <c r="V10" s="23"/>
      <c r="W10" s="23"/>
      <c r="X10" s="13" t="e">
        <f t="shared" si="4"/>
        <v>#DIV/0!</v>
      </c>
      <c r="Y10" s="13" t="e">
        <f t="shared" si="5"/>
        <v>#DIV/0!</v>
      </c>
      <c r="Z10" s="13">
        <v>0</v>
      </c>
      <c r="AA10" s="13">
        <v>0</v>
      </c>
      <c r="AB10" s="13">
        <v>0</v>
      </c>
      <c r="AC10" s="13">
        <v>0.2</v>
      </c>
      <c r="AD10" s="13">
        <v>1.4</v>
      </c>
      <c r="AE10" s="13">
        <v>1</v>
      </c>
      <c r="AF10" s="13">
        <v>1</v>
      </c>
      <c r="AG10" s="13">
        <v>0.6</v>
      </c>
      <c r="AH10" s="13">
        <v>2.6</v>
      </c>
      <c r="AI10" s="13">
        <v>2.6</v>
      </c>
      <c r="AJ10" s="13"/>
      <c r="AK10" s="13"/>
      <c r="AL10" s="14"/>
      <c r="AM10" s="16"/>
      <c r="AN10" s="13"/>
      <c r="AO10" s="13"/>
      <c r="AP10" s="13"/>
      <c r="AQ10" s="16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53</v>
      </c>
      <c r="B11" s="1" t="s">
        <v>42</v>
      </c>
      <c r="C11" s="1">
        <v>96</v>
      </c>
      <c r="D11" s="1"/>
      <c r="E11" s="1">
        <v>11</v>
      </c>
      <c r="F11" s="1">
        <v>76</v>
      </c>
      <c r="G11" s="7">
        <v>0.22</v>
      </c>
      <c r="H11" s="1">
        <v>180</v>
      </c>
      <c r="I11" s="1" t="s">
        <v>54</v>
      </c>
      <c r="J11" s="1"/>
      <c r="K11" s="1">
        <v>11</v>
      </c>
      <c r="L11" s="1">
        <f t="shared" si="2"/>
        <v>0</v>
      </c>
      <c r="M11" s="1"/>
      <c r="N11" s="1"/>
      <c r="O11" s="1"/>
      <c r="P11" s="1">
        <f t="shared" si="3"/>
        <v>2.2000000000000002</v>
      </c>
      <c r="Q11" s="5"/>
      <c r="R11" s="5"/>
      <c r="S11" s="5">
        <f t="shared" ref="S11:S43" si="6">AL11*AM11</f>
        <v>0</v>
      </c>
      <c r="T11" s="23"/>
      <c r="U11" s="23"/>
      <c r="V11" s="23"/>
      <c r="W11" s="23"/>
      <c r="X11" s="1">
        <f t="shared" si="4"/>
        <v>34.54545454545454</v>
      </c>
      <c r="Y11" s="1">
        <f t="shared" si="5"/>
        <v>34.54545454545454</v>
      </c>
      <c r="Z11" s="1">
        <v>6.4</v>
      </c>
      <c r="AA11" s="1">
        <v>5.2</v>
      </c>
      <c r="AB11" s="1">
        <v>2.2000000000000002</v>
      </c>
      <c r="AC11" s="1">
        <v>2.2000000000000002</v>
      </c>
      <c r="AD11" s="1">
        <v>2.2000000000000002</v>
      </c>
      <c r="AE11" s="1">
        <v>4.2</v>
      </c>
      <c r="AF11" s="1">
        <v>9</v>
      </c>
      <c r="AG11" s="1">
        <v>5.2</v>
      </c>
      <c r="AH11" s="1">
        <v>9.4</v>
      </c>
      <c r="AI11" s="1">
        <v>12.2</v>
      </c>
      <c r="AJ11" s="19" t="s">
        <v>75</v>
      </c>
      <c r="AK11" s="1">
        <f t="shared" ref="AK11:AK43" si="7">G11*R11</f>
        <v>0</v>
      </c>
      <c r="AL11" s="7">
        <v>12</v>
      </c>
      <c r="AM11" s="9">
        <f t="shared" ref="AM11:AM43" si="8">MROUND(R11, AL11*AO11)/AL11</f>
        <v>0</v>
      </c>
      <c r="AN11" s="1">
        <f t="shared" ref="AN11:AN43" si="9">AM11*AL11*G11</f>
        <v>0</v>
      </c>
      <c r="AO11" s="1">
        <v>14</v>
      </c>
      <c r="AP11" s="1">
        <v>70</v>
      </c>
      <c r="AQ11" s="9">
        <f t="shared" ref="AQ11:AQ43" si="10">AM11/AP11</f>
        <v>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55</v>
      </c>
      <c r="B12" s="1" t="s">
        <v>42</v>
      </c>
      <c r="C12" s="1">
        <v>360</v>
      </c>
      <c r="D12" s="1"/>
      <c r="E12" s="1">
        <v>89</v>
      </c>
      <c r="F12" s="1">
        <v>259</v>
      </c>
      <c r="G12" s="7">
        <v>0.3</v>
      </c>
      <c r="H12" s="1">
        <v>180</v>
      </c>
      <c r="I12" s="1" t="s">
        <v>56</v>
      </c>
      <c r="J12" s="1"/>
      <c r="K12" s="1">
        <v>101</v>
      </c>
      <c r="L12" s="1">
        <f t="shared" si="2"/>
        <v>-12</v>
      </c>
      <c r="M12" s="1"/>
      <c r="N12" s="1"/>
      <c r="O12" s="1"/>
      <c r="P12" s="1">
        <f t="shared" si="3"/>
        <v>17.8</v>
      </c>
      <c r="Q12" s="5"/>
      <c r="R12" s="5"/>
      <c r="S12" s="5">
        <f t="shared" si="6"/>
        <v>0</v>
      </c>
      <c r="T12" s="23"/>
      <c r="U12" s="23"/>
      <c r="V12" s="23"/>
      <c r="W12" s="23"/>
      <c r="X12" s="1">
        <f t="shared" si="4"/>
        <v>14.550561797752808</v>
      </c>
      <c r="Y12" s="1">
        <f t="shared" si="5"/>
        <v>14.550561797752808</v>
      </c>
      <c r="Z12" s="1">
        <v>7.6</v>
      </c>
      <c r="AA12" s="1">
        <v>32.4</v>
      </c>
      <c r="AB12" s="1">
        <v>5.2</v>
      </c>
      <c r="AC12" s="1">
        <v>10.6</v>
      </c>
      <c r="AD12" s="1">
        <v>20</v>
      </c>
      <c r="AE12" s="1">
        <v>26.4</v>
      </c>
      <c r="AF12" s="1">
        <v>15.4</v>
      </c>
      <c r="AG12" s="1">
        <v>23.2</v>
      </c>
      <c r="AH12" s="1">
        <v>37</v>
      </c>
      <c r="AI12" s="1">
        <v>40.6</v>
      </c>
      <c r="AJ12" s="1"/>
      <c r="AK12" s="1">
        <f t="shared" si="7"/>
        <v>0</v>
      </c>
      <c r="AL12" s="7">
        <v>12</v>
      </c>
      <c r="AM12" s="9">
        <f t="shared" si="8"/>
        <v>0</v>
      </c>
      <c r="AN12" s="1">
        <f t="shared" si="9"/>
        <v>0</v>
      </c>
      <c r="AO12" s="1">
        <v>14</v>
      </c>
      <c r="AP12" s="1">
        <v>70</v>
      </c>
      <c r="AQ12" s="9">
        <f t="shared" si="10"/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57</v>
      </c>
      <c r="B13" s="1" t="s">
        <v>42</v>
      </c>
      <c r="C13" s="1">
        <v>152</v>
      </c>
      <c r="D13" s="1">
        <v>168</v>
      </c>
      <c r="E13" s="1">
        <v>156</v>
      </c>
      <c r="F13" s="1">
        <v>37</v>
      </c>
      <c r="G13" s="7">
        <v>0.28000000000000003</v>
      </c>
      <c r="H13" s="1">
        <v>180</v>
      </c>
      <c r="I13" s="1" t="s">
        <v>58</v>
      </c>
      <c r="J13" s="1"/>
      <c r="K13" s="1">
        <v>170</v>
      </c>
      <c r="L13" s="1">
        <f t="shared" si="2"/>
        <v>-14</v>
      </c>
      <c r="M13" s="1"/>
      <c r="N13" s="1"/>
      <c r="O13" s="1"/>
      <c r="P13" s="1">
        <f t="shared" si="3"/>
        <v>31.2</v>
      </c>
      <c r="Q13" s="5">
        <v>306.2</v>
      </c>
      <c r="R13" s="5">
        <f>15*P13-F13+$R$1*P13</f>
        <v>493.4</v>
      </c>
      <c r="S13" s="5">
        <f t="shared" si="6"/>
        <v>504</v>
      </c>
      <c r="T13" s="23"/>
      <c r="U13" s="23"/>
      <c r="V13" s="23"/>
      <c r="W13" s="23"/>
      <c r="X13" s="1">
        <f t="shared" si="4"/>
        <v>17.339743589743591</v>
      </c>
      <c r="Y13" s="1">
        <f t="shared" si="5"/>
        <v>1.1858974358974359</v>
      </c>
      <c r="Z13" s="1">
        <v>40.4</v>
      </c>
      <c r="AA13" s="1">
        <v>24.2</v>
      </c>
      <c r="AB13" s="1">
        <v>17.2</v>
      </c>
      <c r="AC13" s="1">
        <v>20</v>
      </c>
      <c r="AD13" s="1">
        <v>23.6</v>
      </c>
      <c r="AE13" s="1">
        <v>38.6</v>
      </c>
      <c r="AF13" s="1">
        <v>35.200000000000003</v>
      </c>
      <c r="AG13" s="1">
        <v>35.4</v>
      </c>
      <c r="AH13" s="1">
        <v>43.4</v>
      </c>
      <c r="AI13" s="1">
        <v>40.799999999999997</v>
      </c>
      <c r="AJ13" s="1"/>
      <c r="AK13" s="1">
        <f t="shared" si="7"/>
        <v>138.15200000000002</v>
      </c>
      <c r="AL13" s="7">
        <v>6</v>
      </c>
      <c r="AM13" s="9">
        <f t="shared" si="8"/>
        <v>84</v>
      </c>
      <c r="AN13" s="1">
        <f t="shared" si="9"/>
        <v>141.12</v>
      </c>
      <c r="AO13" s="1">
        <v>14</v>
      </c>
      <c r="AP13" s="1">
        <v>140</v>
      </c>
      <c r="AQ13" s="9">
        <f t="shared" si="10"/>
        <v>0.6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59</v>
      </c>
      <c r="B14" s="1" t="s">
        <v>42</v>
      </c>
      <c r="C14" s="1">
        <v>88</v>
      </c>
      <c r="D14" s="1">
        <v>336</v>
      </c>
      <c r="E14" s="1">
        <v>85</v>
      </c>
      <c r="F14" s="1">
        <v>309</v>
      </c>
      <c r="G14" s="7">
        <v>0.24</v>
      </c>
      <c r="H14" s="1">
        <v>180</v>
      </c>
      <c r="I14" s="1" t="s">
        <v>60</v>
      </c>
      <c r="J14" s="1"/>
      <c r="K14" s="1">
        <v>109</v>
      </c>
      <c r="L14" s="1">
        <f t="shared" si="2"/>
        <v>-24</v>
      </c>
      <c r="M14" s="1"/>
      <c r="N14" s="1"/>
      <c r="O14" s="1"/>
      <c r="P14" s="1">
        <f t="shared" si="3"/>
        <v>17</v>
      </c>
      <c r="Q14" s="5"/>
      <c r="R14" s="5">
        <v>672</v>
      </c>
      <c r="S14" s="5">
        <f t="shared" si="6"/>
        <v>672</v>
      </c>
      <c r="T14" s="23"/>
      <c r="U14" s="23"/>
      <c r="V14" s="23">
        <f>VLOOKUP(A14,[1]Sheet!$A:$T,19,0)</f>
        <v>672</v>
      </c>
      <c r="W14" s="23">
        <f>VLOOKUP(A14,[1]Sheet!$A:$T,20,0)</f>
        <v>0</v>
      </c>
      <c r="X14" s="1">
        <f t="shared" si="4"/>
        <v>57.705882352941174</v>
      </c>
      <c r="Y14" s="1">
        <f t="shared" si="5"/>
        <v>18.176470588235293</v>
      </c>
      <c r="Z14" s="1">
        <v>5.6</v>
      </c>
      <c r="AA14" s="1">
        <v>39.6</v>
      </c>
      <c r="AB14" s="1">
        <v>8.1999999999999993</v>
      </c>
      <c r="AC14" s="1">
        <v>21</v>
      </c>
      <c r="AD14" s="1">
        <v>31</v>
      </c>
      <c r="AE14" s="1">
        <v>43.6</v>
      </c>
      <c r="AF14" s="1">
        <v>23</v>
      </c>
      <c r="AG14" s="1">
        <v>30.6</v>
      </c>
      <c r="AH14" s="1">
        <v>31.6</v>
      </c>
      <c r="AI14" s="1">
        <v>45.6</v>
      </c>
      <c r="AJ14" s="1"/>
      <c r="AK14" s="1">
        <f t="shared" si="7"/>
        <v>161.28</v>
      </c>
      <c r="AL14" s="7">
        <v>12</v>
      </c>
      <c r="AM14" s="9">
        <f t="shared" si="8"/>
        <v>56</v>
      </c>
      <c r="AN14" s="1">
        <f t="shared" si="9"/>
        <v>161.28</v>
      </c>
      <c r="AO14" s="1">
        <v>14</v>
      </c>
      <c r="AP14" s="1">
        <v>70</v>
      </c>
      <c r="AQ14" s="9">
        <f t="shared" si="10"/>
        <v>0.8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61</v>
      </c>
      <c r="B15" s="1" t="s">
        <v>42</v>
      </c>
      <c r="C15" s="1">
        <v>380</v>
      </c>
      <c r="D15" s="1">
        <v>168</v>
      </c>
      <c r="E15" s="1">
        <v>237</v>
      </c>
      <c r="F15" s="1">
        <v>289</v>
      </c>
      <c r="G15" s="7">
        <v>0.24</v>
      </c>
      <c r="H15" s="1">
        <v>180</v>
      </c>
      <c r="I15" s="1" t="s">
        <v>62</v>
      </c>
      <c r="J15" s="1"/>
      <c r="K15" s="1">
        <v>242</v>
      </c>
      <c r="L15" s="1">
        <f t="shared" si="2"/>
        <v>-5</v>
      </c>
      <c r="M15" s="1"/>
      <c r="N15" s="1"/>
      <c r="O15" s="1"/>
      <c r="P15" s="1">
        <f t="shared" si="3"/>
        <v>47.4</v>
      </c>
      <c r="Q15" s="5">
        <v>422</v>
      </c>
      <c r="R15" s="5">
        <f t="shared" ref="R15:R47" si="11">15*P15-F15</f>
        <v>422</v>
      </c>
      <c r="S15" s="5">
        <f t="shared" si="6"/>
        <v>504</v>
      </c>
      <c r="T15" s="23"/>
      <c r="U15" s="23"/>
      <c r="V15" s="23"/>
      <c r="W15" s="23"/>
      <c r="X15" s="1">
        <f t="shared" si="4"/>
        <v>16.729957805907173</v>
      </c>
      <c r="Y15" s="1">
        <f t="shared" si="5"/>
        <v>6.0970464135021096</v>
      </c>
      <c r="Z15" s="1">
        <v>27</v>
      </c>
      <c r="AA15" s="1">
        <v>44</v>
      </c>
      <c r="AB15" s="1">
        <v>21.6</v>
      </c>
      <c r="AC15" s="1">
        <v>30.4</v>
      </c>
      <c r="AD15" s="1">
        <v>46.2</v>
      </c>
      <c r="AE15" s="1">
        <v>55.4</v>
      </c>
      <c r="AF15" s="1">
        <v>42</v>
      </c>
      <c r="AG15" s="1">
        <v>52</v>
      </c>
      <c r="AH15" s="1">
        <v>61.8</v>
      </c>
      <c r="AI15" s="1">
        <v>59.6</v>
      </c>
      <c r="AJ15" s="1"/>
      <c r="AK15" s="1">
        <f t="shared" si="7"/>
        <v>101.28</v>
      </c>
      <c r="AL15" s="7">
        <v>12</v>
      </c>
      <c r="AM15" s="9">
        <f t="shared" si="8"/>
        <v>42</v>
      </c>
      <c r="AN15" s="1">
        <f t="shared" si="9"/>
        <v>120.96</v>
      </c>
      <c r="AO15" s="1">
        <v>14</v>
      </c>
      <c r="AP15" s="1">
        <v>70</v>
      </c>
      <c r="AQ15" s="9">
        <f t="shared" si="10"/>
        <v>0.6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63</v>
      </c>
      <c r="B16" s="1" t="s">
        <v>42</v>
      </c>
      <c r="C16" s="1">
        <v>66</v>
      </c>
      <c r="D16" s="1">
        <v>168</v>
      </c>
      <c r="E16" s="1">
        <v>52</v>
      </c>
      <c r="F16" s="1">
        <v>150</v>
      </c>
      <c r="G16" s="7">
        <v>0.24</v>
      </c>
      <c r="H16" s="1">
        <v>180</v>
      </c>
      <c r="I16" s="1" t="s">
        <v>64</v>
      </c>
      <c r="J16" s="1"/>
      <c r="K16" s="1">
        <v>52</v>
      </c>
      <c r="L16" s="1">
        <f t="shared" si="2"/>
        <v>0</v>
      </c>
      <c r="M16" s="1"/>
      <c r="N16" s="1"/>
      <c r="O16" s="1"/>
      <c r="P16" s="1">
        <f t="shared" si="3"/>
        <v>10.4</v>
      </c>
      <c r="Q16" s="5"/>
      <c r="R16" s="5"/>
      <c r="S16" s="5">
        <f t="shared" si="6"/>
        <v>0</v>
      </c>
      <c r="T16" s="23"/>
      <c r="U16" s="23"/>
      <c r="V16" s="23"/>
      <c r="W16" s="23"/>
      <c r="X16" s="1">
        <f t="shared" si="4"/>
        <v>14.423076923076923</v>
      </c>
      <c r="Y16" s="1">
        <f t="shared" si="5"/>
        <v>14.423076923076923</v>
      </c>
      <c r="Z16" s="1">
        <v>20</v>
      </c>
      <c r="AA16" s="1">
        <v>24</v>
      </c>
      <c r="AB16" s="1">
        <v>22.4</v>
      </c>
      <c r="AC16" s="1">
        <v>16.2</v>
      </c>
      <c r="AD16" s="1">
        <v>15.6</v>
      </c>
      <c r="AE16" s="1">
        <v>26</v>
      </c>
      <c r="AF16" s="1">
        <v>21.6</v>
      </c>
      <c r="AG16" s="1">
        <v>18.600000000000001</v>
      </c>
      <c r="AH16" s="1">
        <v>22.6</v>
      </c>
      <c r="AI16" s="1">
        <v>23.2</v>
      </c>
      <c r="AJ16" s="1"/>
      <c r="AK16" s="1">
        <f t="shared" si="7"/>
        <v>0</v>
      </c>
      <c r="AL16" s="7">
        <v>12</v>
      </c>
      <c r="AM16" s="9">
        <f t="shared" si="8"/>
        <v>0</v>
      </c>
      <c r="AN16" s="1">
        <f t="shared" si="9"/>
        <v>0</v>
      </c>
      <c r="AO16" s="1">
        <v>14</v>
      </c>
      <c r="AP16" s="1">
        <v>70</v>
      </c>
      <c r="AQ16" s="9">
        <f t="shared" si="10"/>
        <v>0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48</v>
      </c>
      <c r="B17" s="1" t="s">
        <v>42</v>
      </c>
      <c r="C17" s="1">
        <v>425</v>
      </c>
      <c r="D17" s="1">
        <v>168</v>
      </c>
      <c r="E17" s="17">
        <f>348+E8</f>
        <v>351</v>
      </c>
      <c r="F17" s="17">
        <f>183+F8</f>
        <v>190</v>
      </c>
      <c r="G17" s="7">
        <v>0.24</v>
      </c>
      <c r="H17" s="1">
        <v>180</v>
      </c>
      <c r="I17" s="1" t="s">
        <v>65</v>
      </c>
      <c r="J17" s="1"/>
      <c r="K17" s="1">
        <v>365</v>
      </c>
      <c r="L17" s="1">
        <f t="shared" si="2"/>
        <v>-14</v>
      </c>
      <c r="M17" s="1"/>
      <c r="N17" s="1"/>
      <c r="O17" s="1"/>
      <c r="P17" s="1">
        <f t="shared" si="3"/>
        <v>70.2</v>
      </c>
      <c r="Q17" s="5">
        <v>722.6</v>
      </c>
      <c r="R17" s="5">
        <f>15*P17-F17+$R$1*P17</f>
        <v>1003.4</v>
      </c>
      <c r="S17" s="5">
        <f t="shared" si="6"/>
        <v>1008</v>
      </c>
      <c r="T17" s="23"/>
      <c r="U17" s="23"/>
      <c r="V17" s="23"/>
      <c r="W17" s="23"/>
      <c r="X17" s="1">
        <f t="shared" si="4"/>
        <v>17.065527065527064</v>
      </c>
      <c r="Y17" s="1">
        <f t="shared" si="5"/>
        <v>2.7065527065527064</v>
      </c>
      <c r="Z17" s="1">
        <v>37.6</v>
      </c>
      <c r="AA17" s="1">
        <v>51</v>
      </c>
      <c r="AB17" s="1">
        <v>22.6</v>
      </c>
      <c r="AC17" s="1">
        <v>23.8</v>
      </c>
      <c r="AD17" s="1">
        <v>59.6</v>
      </c>
      <c r="AE17" s="1">
        <v>67.8</v>
      </c>
      <c r="AF17" s="1">
        <v>51.2</v>
      </c>
      <c r="AG17" s="1">
        <v>52.2</v>
      </c>
      <c r="AH17" s="1">
        <v>59.2</v>
      </c>
      <c r="AI17" s="1">
        <v>81</v>
      </c>
      <c r="AJ17" s="1"/>
      <c r="AK17" s="1">
        <f t="shared" si="7"/>
        <v>240.81599999999997</v>
      </c>
      <c r="AL17" s="7">
        <v>12</v>
      </c>
      <c r="AM17" s="9">
        <f t="shared" si="8"/>
        <v>84</v>
      </c>
      <c r="AN17" s="1">
        <f t="shared" si="9"/>
        <v>241.92</v>
      </c>
      <c r="AO17" s="1">
        <v>14</v>
      </c>
      <c r="AP17" s="1">
        <v>70</v>
      </c>
      <c r="AQ17" s="9">
        <f t="shared" si="10"/>
        <v>1.2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66</v>
      </c>
      <c r="B18" s="1" t="s">
        <v>42</v>
      </c>
      <c r="C18" s="1">
        <v>18</v>
      </c>
      <c r="D18" s="1">
        <v>224</v>
      </c>
      <c r="E18" s="1">
        <v>20</v>
      </c>
      <c r="F18" s="1">
        <v>183</v>
      </c>
      <c r="G18" s="7">
        <v>0.48</v>
      </c>
      <c r="H18" s="1">
        <v>180</v>
      </c>
      <c r="I18" s="1" t="s">
        <v>67</v>
      </c>
      <c r="J18" s="1"/>
      <c r="K18" s="1">
        <v>20</v>
      </c>
      <c r="L18" s="1">
        <f t="shared" si="2"/>
        <v>0</v>
      </c>
      <c r="M18" s="1"/>
      <c r="N18" s="1"/>
      <c r="O18" s="1"/>
      <c r="P18" s="1">
        <f t="shared" si="3"/>
        <v>4</v>
      </c>
      <c r="Q18" s="5"/>
      <c r="R18" s="5"/>
      <c r="S18" s="5">
        <f t="shared" si="6"/>
        <v>0</v>
      </c>
      <c r="T18" s="23"/>
      <c r="U18" s="23"/>
      <c r="V18" s="23"/>
      <c r="W18" s="23"/>
      <c r="X18" s="1">
        <f t="shared" si="4"/>
        <v>45.75</v>
      </c>
      <c r="Y18" s="1">
        <f t="shared" si="5"/>
        <v>45.75</v>
      </c>
      <c r="Z18" s="1">
        <v>16.600000000000001</v>
      </c>
      <c r="AA18" s="1">
        <v>20.2</v>
      </c>
      <c r="AB18" s="1">
        <v>11.4</v>
      </c>
      <c r="AC18" s="1">
        <v>10</v>
      </c>
      <c r="AD18" s="1">
        <v>9.6</v>
      </c>
      <c r="AE18" s="1">
        <v>17.8</v>
      </c>
      <c r="AF18" s="1">
        <v>11.8</v>
      </c>
      <c r="AG18" s="1">
        <v>10.8</v>
      </c>
      <c r="AH18" s="1">
        <v>8.1999999999999993</v>
      </c>
      <c r="AI18" s="1">
        <v>7</v>
      </c>
      <c r="AJ18" s="1"/>
      <c r="AK18" s="1">
        <f t="shared" si="7"/>
        <v>0</v>
      </c>
      <c r="AL18" s="7">
        <v>8</v>
      </c>
      <c r="AM18" s="9">
        <f t="shared" si="8"/>
        <v>0</v>
      </c>
      <c r="AN18" s="1">
        <f t="shared" si="9"/>
        <v>0</v>
      </c>
      <c r="AO18" s="1">
        <v>14</v>
      </c>
      <c r="AP18" s="1">
        <v>70</v>
      </c>
      <c r="AQ18" s="9">
        <f t="shared" si="10"/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68</v>
      </c>
      <c r="B19" s="1" t="s">
        <v>42</v>
      </c>
      <c r="C19" s="1">
        <v>491</v>
      </c>
      <c r="D19" s="1"/>
      <c r="E19" s="1">
        <v>164</v>
      </c>
      <c r="F19" s="1">
        <v>324</v>
      </c>
      <c r="G19" s="7">
        <v>0.36</v>
      </c>
      <c r="H19" s="1">
        <v>180</v>
      </c>
      <c r="I19" s="1" t="s">
        <v>69</v>
      </c>
      <c r="J19" s="1"/>
      <c r="K19" s="1">
        <v>168</v>
      </c>
      <c r="L19" s="1">
        <f t="shared" si="2"/>
        <v>-4</v>
      </c>
      <c r="M19" s="1"/>
      <c r="N19" s="1"/>
      <c r="O19" s="1"/>
      <c r="P19" s="1">
        <f t="shared" si="3"/>
        <v>32.799999999999997</v>
      </c>
      <c r="Q19" s="20">
        <v>0</v>
      </c>
      <c r="R19" s="20">
        <v>0</v>
      </c>
      <c r="S19" s="20">
        <f t="shared" si="6"/>
        <v>0</v>
      </c>
      <c r="T19" s="23"/>
      <c r="U19" s="23"/>
      <c r="V19" s="23"/>
      <c r="W19" s="23"/>
      <c r="X19" s="1">
        <f t="shared" si="4"/>
        <v>9.8780487804878057</v>
      </c>
      <c r="Y19" s="1">
        <f t="shared" si="5"/>
        <v>9.8780487804878057</v>
      </c>
      <c r="Z19" s="1">
        <v>10</v>
      </c>
      <c r="AA19" s="1">
        <v>29.2</v>
      </c>
      <c r="AB19" s="1">
        <v>6.2</v>
      </c>
      <c r="AC19" s="1">
        <v>11.4</v>
      </c>
      <c r="AD19" s="1">
        <v>30.2</v>
      </c>
      <c r="AE19" s="1">
        <v>50.4</v>
      </c>
      <c r="AF19" s="1">
        <v>33.799999999999997</v>
      </c>
      <c r="AG19" s="1">
        <v>23.6</v>
      </c>
      <c r="AH19" s="1">
        <v>27.2</v>
      </c>
      <c r="AI19" s="1">
        <v>32.6</v>
      </c>
      <c r="AJ19" s="21" t="s">
        <v>70</v>
      </c>
      <c r="AK19" s="1">
        <f t="shared" si="7"/>
        <v>0</v>
      </c>
      <c r="AL19" s="7">
        <v>10</v>
      </c>
      <c r="AM19" s="9">
        <f t="shared" si="8"/>
        <v>0</v>
      </c>
      <c r="AN19" s="1">
        <f t="shared" si="9"/>
        <v>0</v>
      </c>
      <c r="AO19" s="1">
        <v>14</v>
      </c>
      <c r="AP19" s="1">
        <v>70</v>
      </c>
      <c r="AQ19" s="9">
        <f t="shared" si="10"/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71</v>
      </c>
      <c r="B20" s="1" t="s">
        <v>42</v>
      </c>
      <c r="C20" s="1">
        <v>82</v>
      </c>
      <c r="D20" s="1"/>
      <c r="E20" s="1">
        <v>16</v>
      </c>
      <c r="F20" s="1">
        <v>54</v>
      </c>
      <c r="G20" s="7">
        <v>0.2</v>
      </c>
      <c r="H20" s="1">
        <v>180</v>
      </c>
      <c r="I20" s="1" t="s">
        <v>72</v>
      </c>
      <c r="J20" s="1"/>
      <c r="K20" s="1">
        <v>16</v>
      </c>
      <c r="L20" s="1">
        <f t="shared" si="2"/>
        <v>0</v>
      </c>
      <c r="M20" s="1"/>
      <c r="N20" s="1"/>
      <c r="O20" s="1"/>
      <c r="P20" s="1">
        <f t="shared" si="3"/>
        <v>3.2</v>
      </c>
      <c r="Q20" s="5"/>
      <c r="R20" s="5"/>
      <c r="S20" s="5">
        <f t="shared" si="6"/>
        <v>0</v>
      </c>
      <c r="T20" s="23"/>
      <c r="U20" s="23"/>
      <c r="V20" s="23"/>
      <c r="W20" s="23"/>
      <c r="X20" s="1">
        <f t="shared" si="4"/>
        <v>16.875</v>
      </c>
      <c r="Y20" s="1">
        <f t="shared" si="5"/>
        <v>16.875</v>
      </c>
      <c r="Z20" s="1">
        <v>5.6</v>
      </c>
      <c r="AA20" s="1">
        <v>2.4</v>
      </c>
      <c r="AB20" s="1">
        <v>0.2</v>
      </c>
      <c r="AC20" s="1">
        <v>0.2</v>
      </c>
      <c r="AD20" s="1">
        <v>0.6</v>
      </c>
      <c r="AE20" s="1">
        <v>2.8</v>
      </c>
      <c r="AF20" s="1">
        <v>1.6</v>
      </c>
      <c r="AG20" s="1">
        <v>4</v>
      </c>
      <c r="AH20" s="1">
        <v>4.5999999999999996</v>
      </c>
      <c r="AI20" s="1">
        <v>1.6</v>
      </c>
      <c r="AJ20" s="1"/>
      <c r="AK20" s="1">
        <f t="shared" si="7"/>
        <v>0</v>
      </c>
      <c r="AL20" s="7">
        <v>12</v>
      </c>
      <c r="AM20" s="9">
        <f t="shared" si="8"/>
        <v>0</v>
      </c>
      <c r="AN20" s="1">
        <f t="shared" si="9"/>
        <v>0</v>
      </c>
      <c r="AO20" s="1">
        <v>14</v>
      </c>
      <c r="AP20" s="1">
        <v>70</v>
      </c>
      <c r="AQ20" s="9">
        <f t="shared" si="10"/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73</v>
      </c>
      <c r="B21" s="1" t="s">
        <v>42</v>
      </c>
      <c r="C21" s="1">
        <v>2148</v>
      </c>
      <c r="D21" s="1"/>
      <c r="E21" s="1">
        <v>161</v>
      </c>
      <c r="F21" s="1">
        <v>1972</v>
      </c>
      <c r="G21" s="7">
        <v>0.2</v>
      </c>
      <c r="H21" s="1">
        <v>180</v>
      </c>
      <c r="I21" s="1" t="s">
        <v>74</v>
      </c>
      <c r="J21" s="1"/>
      <c r="K21" s="1">
        <v>164</v>
      </c>
      <c r="L21" s="1">
        <f t="shared" si="2"/>
        <v>-3</v>
      </c>
      <c r="M21" s="1"/>
      <c r="N21" s="1"/>
      <c r="O21" s="1"/>
      <c r="P21" s="1">
        <f t="shared" si="3"/>
        <v>32.200000000000003</v>
      </c>
      <c r="Q21" s="5"/>
      <c r="R21" s="5"/>
      <c r="S21" s="5">
        <f t="shared" si="6"/>
        <v>0</v>
      </c>
      <c r="T21" s="23"/>
      <c r="U21" s="23"/>
      <c r="V21" s="23"/>
      <c r="W21" s="23"/>
      <c r="X21" s="1">
        <f t="shared" si="4"/>
        <v>61.242236024844715</v>
      </c>
      <c r="Y21" s="1">
        <f t="shared" si="5"/>
        <v>61.242236024844715</v>
      </c>
      <c r="Z21" s="1">
        <v>11.4</v>
      </c>
      <c r="AA21" s="1">
        <v>32.200000000000003</v>
      </c>
      <c r="AB21" s="1">
        <v>7</v>
      </c>
      <c r="AC21" s="1">
        <v>18</v>
      </c>
      <c r="AD21" s="1">
        <v>31.800000000000011</v>
      </c>
      <c r="AE21" s="1">
        <v>32</v>
      </c>
      <c r="AF21" s="1">
        <v>22.4</v>
      </c>
      <c r="AG21" s="1">
        <v>24.8</v>
      </c>
      <c r="AH21" s="1">
        <v>25.2</v>
      </c>
      <c r="AI21" s="1">
        <v>34.799999999999997</v>
      </c>
      <c r="AJ21" s="19" t="s">
        <v>75</v>
      </c>
      <c r="AK21" s="1">
        <f t="shared" si="7"/>
        <v>0</v>
      </c>
      <c r="AL21" s="7">
        <v>12</v>
      </c>
      <c r="AM21" s="9">
        <f t="shared" si="8"/>
        <v>0</v>
      </c>
      <c r="AN21" s="1">
        <f t="shared" si="9"/>
        <v>0</v>
      </c>
      <c r="AO21" s="1">
        <v>14</v>
      </c>
      <c r="AP21" s="1">
        <v>70</v>
      </c>
      <c r="AQ21" s="9">
        <f t="shared" si="10"/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76</v>
      </c>
      <c r="B22" s="1" t="s">
        <v>42</v>
      </c>
      <c r="C22" s="1">
        <v>44</v>
      </c>
      <c r="D22" s="1">
        <v>168</v>
      </c>
      <c r="E22" s="1">
        <v>22</v>
      </c>
      <c r="F22" s="1">
        <v>184</v>
      </c>
      <c r="G22" s="7">
        <v>0.2</v>
      </c>
      <c r="H22" s="1">
        <v>180</v>
      </c>
      <c r="I22" s="1" t="s">
        <v>77</v>
      </c>
      <c r="J22" s="1"/>
      <c r="K22" s="1">
        <v>25</v>
      </c>
      <c r="L22" s="1">
        <f t="shared" si="2"/>
        <v>-3</v>
      </c>
      <c r="M22" s="1"/>
      <c r="N22" s="1"/>
      <c r="O22" s="1"/>
      <c r="P22" s="1">
        <f t="shared" si="3"/>
        <v>4.4000000000000004</v>
      </c>
      <c r="Q22" s="5"/>
      <c r="R22" s="5"/>
      <c r="S22" s="5">
        <f t="shared" si="6"/>
        <v>0</v>
      </c>
      <c r="T22" s="23"/>
      <c r="U22" s="23"/>
      <c r="V22" s="23"/>
      <c r="W22" s="23"/>
      <c r="X22" s="1">
        <f t="shared" si="4"/>
        <v>41.818181818181813</v>
      </c>
      <c r="Y22" s="1">
        <f t="shared" si="5"/>
        <v>41.818181818181813</v>
      </c>
      <c r="Z22" s="1">
        <v>8.8000000000000007</v>
      </c>
      <c r="AA22" s="1">
        <v>10.4</v>
      </c>
      <c r="AB22" s="1">
        <v>6</v>
      </c>
      <c r="AC22" s="1">
        <v>7.4</v>
      </c>
      <c r="AD22" s="1">
        <v>12.6</v>
      </c>
      <c r="AE22" s="1">
        <v>12.8</v>
      </c>
      <c r="AF22" s="1">
        <v>16.8</v>
      </c>
      <c r="AG22" s="1">
        <v>19.2</v>
      </c>
      <c r="AH22" s="1">
        <v>19.399999999999999</v>
      </c>
      <c r="AI22" s="1">
        <v>16.8</v>
      </c>
      <c r="AJ22" s="18" t="s">
        <v>96</v>
      </c>
      <c r="AK22" s="1">
        <f t="shared" si="7"/>
        <v>0</v>
      </c>
      <c r="AL22" s="7">
        <v>12</v>
      </c>
      <c r="AM22" s="9">
        <f t="shared" si="8"/>
        <v>0</v>
      </c>
      <c r="AN22" s="1">
        <f t="shared" si="9"/>
        <v>0</v>
      </c>
      <c r="AO22" s="1">
        <v>14</v>
      </c>
      <c r="AP22" s="1">
        <v>70</v>
      </c>
      <c r="AQ22" s="9">
        <f t="shared" si="10"/>
        <v>0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3" t="s">
        <v>78</v>
      </c>
      <c r="B23" s="13" t="s">
        <v>79</v>
      </c>
      <c r="C23" s="13">
        <v>105</v>
      </c>
      <c r="D23" s="13"/>
      <c r="E23" s="13">
        <v>45</v>
      </c>
      <c r="F23" s="13">
        <v>45</v>
      </c>
      <c r="G23" s="14">
        <v>0</v>
      </c>
      <c r="H23" s="13">
        <v>180</v>
      </c>
      <c r="I23" s="13" t="s">
        <v>174</v>
      </c>
      <c r="J23" s="13"/>
      <c r="K23" s="13">
        <v>45</v>
      </c>
      <c r="L23" s="13">
        <f t="shared" si="2"/>
        <v>0</v>
      </c>
      <c r="M23" s="13"/>
      <c r="N23" s="13"/>
      <c r="O23" s="13"/>
      <c r="P23" s="13">
        <f t="shared" si="3"/>
        <v>9</v>
      </c>
      <c r="Q23" s="15">
        <v>90</v>
      </c>
      <c r="R23" s="15">
        <f t="shared" si="11"/>
        <v>90</v>
      </c>
      <c r="S23" s="15">
        <f t="shared" si="6"/>
        <v>0</v>
      </c>
      <c r="T23" s="23"/>
      <c r="U23" s="23"/>
      <c r="V23" s="23"/>
      <c r="W23" s="23"/>
      <c r="X23" s="13">
        <f t="shared" si="4"/>
        <v>5</v>
      </c>
      <c r="Y23" s="13">
        <f t="shared" si="5"/>
        <v>5</v>
      </c>
      <c r="Z23" s="13">
        <v>11</v>
      </c>
      <c r="AA23" s="13">
        <v>7</v>
      </c>
      <c r="AB23" s="13">
        <v>9</v>
      </c>
      <c r="AC23" s="13">
        <v>13</v>
      </c>
      <c r="AD23" s="13">
        <v>12</v>
      </c>
      <c r="AE23" s="13">
        <v>20</v>
      </c>
      <c r="AF23" s="13">
        <v>16</v>
      </c>
      <c r="AG23" s="13">
        <v>16</v>
      </c>
      <c r="AH23" s="13">
        <v>11</v>
      </c>
      <c r="AI23" s="13">
        <v>13</v>
      </c>
      <c r="AJ23" s="13"/>
      <c r="AK23" s="13"/>
      <c r="AL23" s="14"/>
      <c r="AM23" s="16"/>
      <c r="AN23" s="13"/>
      <c r="AO23" s="13"/>
      <c r="AP23" s="13"/>
      <c r="AQ23" s="16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s="22" customFormat="1" x14ac:dyDescent="0.25">
      <c r="A24" s="1" t="s">
        <v>175</v>
      </c>
      <c r="B24" s="1" t="s">
        <v>79</v>
      </c>
      <c r="C24" s="1"/>
      <c r="D24" s="1"/>
      <c r="E24" s="1"/>
      <c r="F24" s="1"/>
      <c r="G24" s="7">
        <v>1</v>
      </c>
      <c r="H24" s="1"/>
      <c r="I24" s="1" t="s">
        <v>176</v>
      </c>
      <c r="J24" s="1"/>
      <c r="K24" s="1"/>
      <c r="L24" s="1"/>
      <c r="M24" s="1"/>
      <c r="N24" s="1"/>
      <c r="O24" s="1"/>
      <c r="P24" s="1">
        <f t="shared" ref="P24" si="12">E24/5</f>
        <v>0</v>
      </c>
      <c r="Q24" s="5"/>
      <c r="R24" s="5">
        <v>180</v>
      </c>
      <c r="S24" s="5">
        <f t="shared" ref="S24" si="13">AL24*AM24</f>
        <v>155.4</v>
      </c>
      <c r="T24" s="23" t="s">
        <v>177</v>
      </c>
      <c r="U24" s="23" t="s">
        <v>178</v>
      </c>
      <c r="V24" s="23" t="s">
        <v>177</v>
      </c>
      <c r="W24" s="23" t="s">
        <v>178</v>
      </c>
      <c r="X24" s="1" t="e">
        <f t="shared" ref="X24" si="14">(F24+S24)/P24</f>
        <v>#DIV/0!</v>
      </c>
      <c r="Y24" s="1" t="e">
        <f t="shared" ref="Y24" si="15">F24/P24</f>
        <v>#DIV/0!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/>
      <c r="AK24" s="1">
        <f t="shared" si="7"/>
        <v>180</v>
      </c>
      <c r="AL24" s="7">
        <v>3.7</v>
      </c>
      <c r="AM24" s="9">
        <f t="shared" ref="AM24" si="16">MROUND(R24, AL24*AO24)/AL24</f>
        <v>42</v>
      </c>
      <c r="AN24" s="1">
        <f t="shared" ref="AN24" si="17">AM24*AL24*G24</f>
        <v>155.4</v>
      </c>
      <c r="AO24" s="1">
        <v>14</v>
      </c>
      <c r="AP24" s="1">
        <v>126</v>
      </c>
      <c r="AQ24" s="9">
        <f t="shared" si="10"/>
        <v>0.33333333333333331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80</v>
      </c>
      <c r="B25" s="1" t="s">
        <v>79</v>
      </c>
      <c r="C25" s="1">
        <v>44</v>
      </c>
      <c r="D25" s="1"/>
      <c r="E25" s="1">
        <v>27.5</v>
      </c>
      <c r="F25" s="1"/>
      <c r="G25" s="7">
        <v>1</v>
      </c>
      <c r="H25" s="1">
        <v>180</v>
      </c>
      <c r="I25" s="1" t="s">
        <v>81</v>
      </c>
      <c r="J25" s="1"/>
      <c r="K25" s="1">
        <v>27.5</v>
      </c>
      <c r="L25" s="1">
        <f t="shared" si="2"/>
        <v>0</v>
      </c>
      <c r="M25" s="1"/>
      <c r="N25" s="1"/>
      <c r="O25" s="1"/>
      <c r="P25" s="1">
        <f t="shared" si="3"/>
        <v>5.5</v>
      </c>
      <c r="Q25" s="5">
        <v>82.5</v>
      </c>
      <c r="R25" s="5">
        <f t="shared" si="11"/>
        <v>82.5</v>
      </c>
      <c r="S25" s="5">
        <f t="shared" si="6"/>
        <v>66</v>
      </c>
      <c r="T25" s="23"/>
      <c r="U25" s="23"/>
      <c r="V25" s="23"/>
      <c r="W25" s="23"/>
      <c r="X25" s="1">
        <f t="shared" si="4"/>
        <v>12</v>
      </c>
      <c r="Y25" s="1">
        <f t="shared" si="5"/>
        <v>0</v>
      </c>
      <c r="Z25" s="1">
        <v>5.5</v>
      </c>
      <c r="AA25" s="1">
        <v>4.4000000000000004</v>
      </c>
      <c r="AB25" s="1">
        <v>4.4000000000000004</v>
      </c>
      <c r="AC25" s="1">
        <v>6.6</v>
      </c>
      <c r="AD25" s="1">
        <v>9.9</v>
      </c>
      <c r="AE25" s="1">
        <v>7.7</v>
      </c>
      <c r="AF25" s="1">
        <v>12.1</v>
      </c>
      <c r="AG25" s="1">
        <v>4.4000000000000004</v>
      </c>
      <c r="AH25" s="1">
        <v>6.6</v>
      </c>
      <c r="AI25" s="1">
        <v>9.9</v>
      </c>
      <c r="AJ25" s="1"/>
      <c r="AK25" s="1">
        <f t="shared" si="7"/>
        <v>82.5</v>
      </c>
      <c r="AL25" s="7">
        <v>5.5</v>
      </c>
      <c r="AM25" s="9">
        <f t="shared" si="8"/>
        <v>12</v>
      </c>
      <c r="AN25" s="1">
        <f t="shared" si="9"/>
        <v>66</v>
      </c>
      <c r="AO25" s="1">
        <v>12</v>
      </c>
      <c r="AP25" s="1">
        <v>84</v>
      </c>
      <c r="AQ25" s="9">
        <f t="shared" si="10"/>
        <v>0.14285714285714285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82</v>
      </c>
      <c r="B26" s="1" t="s">
        <v>79</v>
      </c>
      <c r="C26" s="1">
        <v>31.6</v>
      </c>
      <c r="D26" s="1">
        <v>87</v>
      </c>
      <c r="E26" s="1">
        <v>27</v>
      </c>
      <c r="F26" s="1">
        <v>58.6</v>
      </c>
      <c r="G26" s="7">
        <v>1</v>
      </c>
      <c r="H26" s="1">
        <v>180</v>
      </c>
      <c r="I26" s="1" t="s">
        <v>83</v>
      </c>
      <c r="J26" s="1"/>
      <c r="K26" s="1">
        <v>32</v>
      </c>
      <c r="L26" s="1">
        <f t="shared" si="2"/>
        <v>-5</v>
      </c>
      <c r="M26" s="1"/>
      <c r="N26" s="1"/>
      <c r="O26" s="1"/>
      <c r="P26" s="1">
        <f t="shared" si="3"/>
        <v>5.4</v>
      </c>
      <c r="Q26" s="5">
        <v>22.4</v>
      </c>
      <c r="R26" s="5">
        <f t="shared" si="11"/>
        <v>22.4</v>
      </c>
      <c r="S26" s="5">
        <f t="shared" si="6"/>
        <v>42</v>
      </c>
      <c r="T26" s="23"/>
      <c r="U26" s="23"/>
      <c r="V26" s="23"/>
      <c r="W26" s="23"/>
      <c r="X26" s="1">
        <f t="shared" si="4"/>
        <v>18.629629629629626</v>
      </c>
      <c r="Y26" s="1">
        <f t="shared" si="5"/>
        <v>10.851851851851851</v>
      </c>
      <c r="Z26" s="1">
        <v>8.4</v>
      </c>
      <c r="AA26" s="1">
        <v>8.4</v>
      </c>
      <c r="AB26" s="1">
        <v>6.6</v>
      </c>
      <c r="AC26" s="1">
        <v>6</v>
      </c>
      <c r="AD26" s="1">
        <v>7.8</v>
      </c>
      <c r="AE26" s="1">
        <v>9.6</v>
      </c>
      <c r="AF26" s="1">
        <v>9.14</v>
      </c>
      <c r="AG26" s="1">
        <v>7.94</v>
      </c>
      <c r="AH26" s="1">
        <v>9.6</v>
      </c>
      <c r="AI26" s="1">
        <v>13.2</v>
      </c>
      <c r="AJ26" s="1"/>
      <c r="AK26" s="1">
        <f t="shared" si="7"/>
        <v>22.4</v>
      </c>
      <c r="AL26" s="7">
        <v>3</v>
      </c>
      <c r="AM26" s="9">
        <f t="shared" si="8"/>
        <v>14</v>
      </c>
      <c r="AN26" s="1">
        <f t="shared" si="9"/>
        <v>42</v>
      </c>
      <c r="AO26" s="1">
        <v>14</v>
      </c>
      <c r="AP26" s="1">
        <v>126</v>
      </c>
      <c r="AQ26" s="9">
        <f t="shared" si="10"/>
        <v>0.1111111111111111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84</v>
      </c>
      <c r="B27" s="1" t="s">
        <v>42</v>
      </c>
      <c r="C27" s="1">
        <v>357</v>
      </c>
      <c r="D27" s="1">
        <v>168</v>
      </c>
      <c r="E27" s="1">
        <v>277</v>
      </c>
      <c r="F27" s="1">
        <v>216</v>
      </c>
      <c r="G27" s="7">
        <v>0.25</v>
      </c>
      <c r="H27" s="1">
        <v>365</v>
      </c>
      <c r="I27" s="1" t="s">
        <v>85</v>
      </c>
      <c r="J27" s="1"/>
      <c r="K27" s="1">
        <v>275</v>
      </c>
      <c r="L27" s="1">
        <f t="shared" si="2"/>
        <v>2</v>
      </c>
      <c r="M27" s="1"/>
      <c r="N27" s="1"/>
      <c r="O27" s="1"/>
      <c r="P27" s="1">
        <f t="shared" si="3"/>
        <v>55.4</v>
      </c>
      <c r="Q27" s="5">
        <v>559.6</v>
      </c>
      <c r="R27" s="5">
        <v>750</v>
      </c>
      <c r="S27" s="5">
        <f t="shared" si="6"/>
        <v>756</v>
      </c>
      <c r="T27" s="23" t="str">
        <f>VLOOKUP(A27,[2]Sheet!$A:$T,19,0)</f>
        <v>750шт</v>
      </c>
      <c r="U27" s="23" t="str">
        <f>VLOOKUP(A27,[2]Sheet!$A:$T,20,0)</f>
        <v xml:space="preserve">Промо N+1 </v>
      </c>
      <c r="V27" s="23" t="str">
        <f>VLOOKUP(A27,[1]Sheet!$A:$T,19,0)</f>
        <v>750шт</v>
      </c>
      <c r="W27" s="23" t="str">
        <f>VLOOKUP(A27,[1]Sheet!$A:$T,20,0)</f>
        <v xml:space="preserve">Промо N+1 </v>
      </c>
      <c r="X27" s="1">
        <f t="shared" si="4"/>
        <v>17.545126353790614</v>
      </c>
      <c r="Y27" s="1">
        <f t="shared" si="5"/>
        <v>3.8989169675090252</v>
      </c>
      <c r="Z27" s="1">
        <v>35</v>
      </c>
      <c r="AA27" s="1">
        <v>41.8</v>
      </c>
      <c r="AB27" s="1">
        <v>13.8</v>
      </c>
      <c r="AC27" s="1">
        <v>16.399999999999999</v>
      </c>
      <c r="AD27" s="1">
        <v>28.2</v>
      </c>
      <c r="AE27" s="1">
        <v>55</v>
      </c>
      <c r="AF27" s="1">
        <v>59.6</v>
      </c>
      <c r="AG27" s="1">
        <v>60.6</v>
      </c>
      <c r="AH27" s="1">
        <v>73.400000000000006</v>
      </c>
      <c r="AI27" s="1">
        <v>73.599999999999994</v>
      </c>
      <c r="AJ27" s="1"/>
      <c r="AK27" s="1">
        <f t="shared" si="7"/>
        <v>187.5</v>
      </c>
      <c r="AL27" s="7">
        <v>6</v>
      </c>
      <c r="AM27" s="9">
        <f t="shared" si="8"/>
        <v>126</v>
      </c>
      <c r="AN27" s="1">
        <f t="shared" si="9"/>
        <v>189</v>
      </c>
      <c r="AO27" s="1">
        <v>14</v>
      </c>
      <c r="AP27" s="1">
        <v>140</v>
      </c>
      <c r="AQ27" s="9">
        <f t="shared" si="10"/>
        <v>0.9</v>
      </c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86</v>
      </c>
      <c r="B28" s="1" t="s">
        <v>42</v>
      </c>
      <c r="C28" s="1">
        <v>611</v>
      </c>
      <c r="D28" s="1"/>
      <c r="E28" s="1">
        <v>87</v>
      </c>
      <c r="F28" s="1">
        <v>519</v>
      </c>
      <c r="G28" s="7">
        <v>0.25</v>
      </c>
      <c r="H28" s="1">
        <v>365</v>
      </c>
      <c r="I28" s="1" t="s">
        <v>87</v>
      </c>
      <c r="J28" s="1"/>
      <c r="K28" s="1">
        <v>85</v>
      </c>
      <c r="L28" s="1">
        <f t="shared" si="2"/>
        <v>2</v>
      </c>
      <c r="M28" s="1"/>
      <c r="N28" s="1"/>
      <c r="O28" s="1"/>
      <c r="P28" s="1">
        <f t="shared" si="3"/>
        <v>17.399999999999999</v>
      </c>
      <c r="Q28" s="5"/>
      <c r="R28" s="5"/>
      <c r="S28" s="5">
        <f t="shared" si="6"/>
        <v>0</v>
      </c>
      <c r="T28" s="23"/>
      <c r="U28" s="23"/>
      <c r="V28" s="23"/>
      <c r="W28" s="23"/>
      <c r="X28" s="1">
        <f t="shared" si="4"/>
        <v>29.827586206896555</v>
      </c>
      <c r="Y28" s="1">
        <f t="shared" si="5"/>
        <v>29.827586206896555</v>
      </c>
      <c r="Z28" s="1">
        <v>17.2</v>
      </c>
      <c r="AA28" s="1">
        <v>7.8</v>
      </c>
      <c r="AB28" s="1">
        <v>9.8000000000000007</v>
      </c>
      <c r="AC28" s="1">
        <v>8.8000000000000007</v>
      </c>
      <c r="AD28" s="1">
        <v>5</v>
      </c>
      <c r="AE28" s="1">
        <v>18.600000000000001</v>
      </c>
      <c r="AF28" s="1">
        <v>2.2000000000000002</v>
      </c>
      <c r="AG28" s="1">
        <v>0.4</v>
      </c>
      <c r="AH28" s="1">
        <v>0</v>
      </c>
      <c r="AI28" s="1">
        <v>2.2000000000000002</v>
      </c>
      <c r="AJ28" s="19" t="s">
        <v>75</v>
      </c>
      <c r="AK28" s="1">
        <f t="shared" si="7"/>
        <v>0</v>
      </c>
      <c r="AL28" s="7">
        <v>6</v>
      </c>
      <c r="AM28" s="9">
        <f t="shared" si="8"/>
        <v>0</v>
      </c>
      <c r="AN28" s="1">
        <f t="shared" si="9"/>
        <v>0</v>
      </c>
      <c r="AO28" s="1">
        <v>14</v>
      </c>
      <c r="AP28" s="1">
        <v>140</v>
      </c>
      <c r="AQ28" s="9">
        <f t="shared" si="10"/>
        <v>0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88</v>
      </c>
      <c r="B29" s="1" t="s">
        <v>79</v>
      </c>
      <c r="C29" s="1">
        <v>13</v>
      </c>
      <c r="D29" s="1">
        <v>144</v>
      </c>
      <c r="E29" s="1">
        <v>-2.8</v>
      </c>
      <c r="F29" s="1">
        <v>157</v>
      </c>
      <c r="G29" s="7">
        <v>1</v>
      </c>
      <c r="H29" s="1">
        <v>180</v>
      </c>
      <c r="I29" s="1" t="s">
        <v>89</v>
      </c>
      <c r="J29" s="1"/>
      <c r="K29" s="1">
        <v>53</v>
      </c>
      <c r="L29" s="1">
        <f t="shared" si="2"/>
        <v>-55.8</v>
      </c>
      <c r="M29" s="1"/>
      <c r="N29" s="1"/>
      <c r="O29" s="1"/>
      <c r="P29" s="1">
        <f t="shared" si="3"/>
        <v>-0.55999999999999994</v>
      </c>
      <c r="Q29" s="5"/>
      <c r="R29" s="5">
        <v>504</v>
      </c>
      <c r="S29" s="5">
        <f t="shared" si="6"/>
        <v>504</v>
      </c>
      <c r="T29" s="23" t="str">
        <f>VLOOKUP(A29,[2]Sheet!$A:$T,19,0)</f>
        <v>100кг</v>
      </c>
      <c r="U29" s="23" t="str">
        <f>VLOOKUP(A29,[2]Sheet!$A:$T,20,0)</f>
        <v>Промо ЖЦ</v>
      </c>
      <c r="V29" s="23">
        <f>VLOOKUP(A29,[1]Sheet!$A:$T,19,0)</f>
        <v>504</v>
      </c>
      <c r="W29" s="23" t="str">
        <f>VLOOKUP(A29,[1]Sheet!$A:$T,20,0)</f>
        <v>Промо ЖЦ</v>
      </c>
      <c r="X29" s="1">
        <f t="shared" si="4"/>
        <v>-1180.3571428571429</v>
      </c>
      <c r="Y29" s="1">
        <f t="shared" si="5"/>
        <v>-280.35714285714289</v>
      </c>
      <c r="Z29" s="1">
        <v>0</v>
      </c>
      <c r="AA29" s="1">
        <v>12</v>
      </c>
      <c r="AB29" s="1">
        <v>26.4</v>
      </c>
      <c r="AC29" s="1">
        <v>14.4</v>
      </c>
      <c r="AD29" s="1">
        <v>0</v>
      </c>
      <c r="AE29" s="1">
        <v>8.4</v>
      </c>
      <c r="AF29" s="1">
        <v>30</v>
      </c>
      <c r="AG29" s="1">
        <v>27.4</v>
      </c>
      <c r="AH29" s="1">
        <v>25.2</v>
      </c>
      <c r="AI29" s="1">
        <v>28.8</v>
      </c>
      <c r="AJ29" s="19" t="s">
        <v>75</v>
      </c>
      <c r="AK29" s="1">
        <f t="shared" si="7"/>
        <v>504</v>
      </c>
      <c r="AL29" s="7">
        <v>6</v>
      </c>
      <c r="AM29" s="9">
        <f t="shared" si="8"/>
        <v>84</v>
      </c>
      <c r="AN29" s="1">
        <f t="shared" si="9"/>
        <v>504</v>
      </c>
      <c r="AO29" s="1">
        <v>12</v>
      </c>
      <c r="AP29" s="1">
        <v>84</v>
      </c>
      <c r="AQ29" s="9">
        <f t="shared" si="10"/>
        <v>1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90</v>
      </c>
      <c r="B30" s="1" t="s">
        <v>42</v>
      </c>
      <c r="C30" s="1">
        <v>8</v>
      </c>
      <c r="D30" s="1"/>
      <c r="E30" s="1">
        <v>15</v>
      </c>
      <c r="F30" s="1">
        <v>-7</v>
      </c>
      <c r="G30" s="7">
        <v>0.23</v>
      </c>
      <c r="H30" s="1">
        <v>180</v>
      </c>
      <c r="I30" s="1" t="s">
        <v>91</v>
      </c>
      <c r="J30" s="1"/>
      <c r="K30" s="1">
        <v>15</v>
      </c>
      <c r="L30" s="1">
        <f t="shared" si="2"/>
        <v>0</v>
      </c>
      <c r="M30" s="1"/>
      <c r="N30" s="1"/>
      <c r="O30" s="1"/>
      <c r="P30" s="1">
        <f t="shared" si="3"/>
        <v>3</v>
      </c>
      <c r="Q30" s="5">
        <v>150</v>
      </c>
      <c r="R30" s="5">
        <v>350</v>
      </c>
      <c r="S30" s="5">
        <f t="shared" si="6"/>
        <v>336</v>
      </c>
      <c r="T30" s="23" t="str">
        <f>VLOOKUP(A30,[2]Sheet!$A:$T,19,0)</f>
        <v>350шт</v>
      </c>
      <c r="U30" s="23" t="str">
        <f>VLOOKUP(A30,[2]Sheet!$A:$T,20,0)</f>
        <v xml:space="preserve">Промо N+1 </v>
      </c>
      <c r="V30" s="23" t="str">
        <f>VLOOKUP(A30,[1]Sheet!$A:$T,19,0)</f>
        <v>350шт</v>
      </c>
      <c r="W30" s="23" t="str">
        <f>VLOOKUP(A30,[1]Sheet!$A:$T,20,0)</f>
        <v xml:space="preserve">Промо N+1 </v>
      </c>
      <c r="X30" s="1">
        <f t="shared" si="4"/>
        <v>109.66666666666667</v>
      </c>
      <c r="Y30" s="1">
        <f t="shared" si="5"/>
        <v>-2.3333333333333335</v>
      </c>
      <c r="Z30" s="1">
        <v>7.8</v>
      </c>
      <c r="AA30" s="1">
        <v>2</v>
      </c>
      <c r="AB30" s="1">
        <v>3.8</v>
      </c>
      <c r="AC30" s="1">
        <v>3.2</v>
      </c>
      <c r="AD30" s="1">
        <v>1.8</v>
      </c>
      <c r="AE30" s="1">
        <v>4</v>
      </c>
      <c r="AF30" s="1">
        <v>5.2</v>
      </c>
      <c r="AG30" s="1">
        <v>11.4</v>
      </c>
      <c r="AH30" s="1">
        <v>6</v>
      </c>
      <c r="AI30" s="1">
        <v>3.8</v>
      </c>
      <c r="AJ30" s="1"/>
      <c r="AK30" s="1">
        <f t="shared" si="7"/>
        <v>80.5</v>
      </c>
      <c r="AL30" s="7">
        <v>12</v>
      </c>
      <c r="AM30" s="9">
        <f t="shared" si="8"/>
        <v>28</v>
      </c>
      <c r="AN30" s="1">
        <f t="shared" si="9"/>
        <v>77.28</v>
      </c>
      <c r="AO30" s="1">
        <v>14</v>
      </c>
      <c r="AP30" s="1">
        <v>70</v>
      </c>
      <c r="AQ30" s="9">
        <f t="shared" si="10"/>
        <v>0.4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92</v>
      </c>
      <c r="B31" s="1" t="s">
        <v>42</v>
      </c>
      <c r="C31" s="1">
        <v>330</v>
      </c>
      <c r="D31" s="1">
        <v>171</v>
      </c>
      <c r="E31" s="1">
        <v>242</v>
      </c>
      <c r="F31" s="1">
        <v>239</v>
      </c>
      <c r="G31" s="7">
        <v>0.25</v>
      </c>
      <c r="H31" s="1">
        <v>365</v>
      </c>
      <c r="I31" s="1" t="s">
        <v>93</v>
      </c>
      <c r="J31" s="1"/>
      <c r="K31" s="1">
        <v>247</v>
      </c>
      <c r="L31" s="1">
        <f t="shared" si="2"/>
        <v>-5</v>
      </c>
      <c r="M31" s="1"/>
      <c r="N31" s="1"/>
      <c r="O31" s="1"/>
      <c r="P31" s="1">
        <f t="shared" si="3"/>
        <v>48.4</v>
      </c>
      <c r="Q31" s="5">
        <v>487</v>
      </c>
      <c r="R31" s="5">
        <v>650</v>
      </c>
      <c r="S31" s="5">
        <f t="shared" si="6"/>
        <v>672</v>
      </c>
      <c r="T31" s="23" t="str">
        <f>VLOOKUP(A31,[2]Sheet!$A:$T,19,0)</f>
        <v>650шт</v>
      </c>
      <c r="U31" s="23" t="str">
        <f>VLOOKUP(A31,[2]Sheet!$A:$T,20,0)</f>
        <v xml:space="preserve">Промо N+1 </v>
      </c>
      <c r="V31" s="23" t="str">
        <f>VLOOKUP(A31,[1]Sheet!$A:$T,19,0)</f>
        <v>650шт</v>
      </c>
      <c r="W31" s="23" t="str">
        <f>VLOOKUP(A31,[1]Sheet!$A:$T,20,0)</f>
        <v xml:space="preserve">Промо N+1 </v>
      </c>
      <c r="X31" s="1">
        <f t="shared" si="4"/>
        <v>18.822314049586776</v>
      </c>
      <c r="Y31" s="1">
        <f t="shared" si="5"/>
        <v>4.9380165289256199</v>
      </c>
      <c r="Z31" s="1">
        <v>23.8</v>
      </c>
      <c r="AA31" s="1">
        <v>46.4</v>
      </c>
      <c r="AB31" s="1">
        <v>19.2</v>
      </c>
      <c r="AC31" s="1">
        <v>32.200000000000003</v>
      </c>
      <c r="AD31" s="1">
        <v>40</v>
      </c>
      <c r="AE31" s="1">
        <v>54.8</v>
      </c>
      <c r="AF31" s="1">
        <v>48</v>
      </c>
      <c r="AG31" s="1">
        <v>42.2</v>
      </c>
      <c r="AH31" s="1">
        <v>63</v>
      </c>
      <c r="AI31" s="1">
        <v>66.400000000000006</v>
      </c>
      <c r="AJ31" s="1"/>
      <c r="AK31" s="1">
        <f t="shared" si="7"/>
        <v>162.5</v>
      </c>
      <c r="AL31" s="7">
        <v>12</v>
      </c>
      <c r="AM31" s="9">
        <f t="shared" si="8"/>
        <v>56</v>
      </c>
      <c r="AN31" s="1">
        <f t="shared" si="9"/>
        <v>168</v>
      </c>
      <c r="AO31" s="1">
        <v>14</v>
      </c>
      <c r="AP31" s="1">
        <v>70</v>
      </c>
      <c r="AQ31" s="9">
        <f t="shared" si="10"/>
        <v>0.8</v>
      </c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94</v>
      </c>
      <c r="B32" s="1" t="s">
        <v>42</v>
      </c>
      <c r="C32" s="1">
        <v>361</v>
      </c>
      <c r="D32" s="1">
        <v>339</v>
      </c>
      <c r="E32" s="1">
        <v>213</v>
      </c>
      <c r="F32" s="1">
        <v>446</v>
      </c>
      <c r="G32" s="7">
        <v>0.25</v>
      </c>
      <c r="H32" s="1">
        <v>365</v>
      </c>
      <c r="I32" s="1" t="s">
        <v>95</v>
      </c>
      <c r="J32" s="1"/>
      <c r="K32" s="1">
        <v>216</v>
      </c>
      <c r="L32" s="1">
        <f t="shared" si="2"/>
        <v>-3</v>
      </c>
      <c r="M32" s="1"/>
      <c r="N32" s="1"/>
      <c r="O32" s="1"/>
      <c r="P32" s="1">
        <f t="shared" si="3"/>
        <v>42.6</v>
      </c>
      <c r="Q32" s="5">
        <v>193</v>
      </c>
      <c r="R32" s="5">
        <v>672</v>
      </c>
      <c r="S32" s="5">
        <f t="shared" si="6"/>
        <v>672</v>
      </c>
      <c r="T32" s="23" t="str">
        <f>VLOOKUP(A32,[2]Sheet!$A:$T,19,0)</f>
        <v>350шт</v>
      </c>
      <c r="U32" s="23" t="str">
        <f>VLOOKUP(A32,[2]Sheet!$A:$T,20,0)</f>
        <v xml:space="preserve">Промо N+1 </v>
      </c>
      <c r="V32" s="23" t="str">
        <f>VLOOKUP(A32,[1]Sheet!$A:$T,19,0)</f>
        <v>672шт</v>
      </c>
      <c r="W32" s="23" t="str">
        <f>VLOOKUP(A32,[1]Sheet!$A:$T,20,0)</f>
        <v xml:space="preserve">Промо N+1 </v>
      </c>
      <c r="X32" s="1">
        <f t="shared" si="4"/>
        <v>26.24413145539906</v>
      </c>
      <c r="Y32" s="1">
        <f t="shared" si="5"/>
        <v>10.469483568075116</v>
      </c>
      <c r="Z32" s="1">
        <v>21.6</v>
      </c>
      <c r="AA32" s="1">
        <v>58</v>
      </c>
      <c r="AB32" s="1">
        <v>24.4</v>
      </c>
      <c r="AC32" s="1">
        <v>24.4</v>
      </c>
      <c r="AD32" s="1">
        <v>37.4</v>
      </c>
      <c r="AE32" s="1">
        <v>56.2</v>
      </c>
      <c r="AF32" s="1">
        <v>50.2</v>
      </c>
      <c r="AG32" s="1">
        <v>42.6</v>
      </c>
      <c r="AH32" s="1">
        <v>63.6</v>
      </c>
      <c r="AI32" s="1">
        <v>75</v>
      </c>
      <c r="AJ32" s="1"/>
      <c r="AK32" s="1">
        <f t="shared" si="7"/>
        <v>168</v>
      </c>
      <c r="AL32" s="7">
        <v>12</v>
      </c>
      <c r="AM32" s="9">
        <f t="shared" si="8"/>
        <v>56</v>
      </c>
      <c r="AN32" s="1">
        <f t="shared" si="9"/>
        <v>168</v>
      </c>
      <c r="AO32" s="1">
        <v>14</v>
      </c>
      <c r="AP32" s="1">
        <v>70</v>
      </c>
      <c r="AQ32" s="9">
        <f t="shared" si="10"/>
        <v>0.8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97</v>
      </c>
      <c r="B33" s="1" t="s">
        <v>42</v>
      </c>
      <c r="C33" s="1">
        <v>398</v>
      </c>
      <c r="D33" s="1">
        <v>342</v>
      </c>
      <c r="E33" s="1">
        <v>266</v>
      </c>
      <c r="F33" s="1">
        <v>429</v>
      </c>
      <c r="G33" s="7">
        <v>0.25</v>
      </c>
      <c r="H33" s="1">
        <v>180</v>
      </c>
      <c r="I33" s="1" t="s">
        <v>98</v>
      </c>
      <c r="J33" s="1"/>
      <c r="K33" s="1">
        <v>273</v>
      </c>
      <c r="L33" s="1">
        <f t="shared" si="2"/>
        <v>-7</v>
      </c>
      <c r="M33" s="1"/>
      <c r="N33" s="1"/>
      <c r="O33" s="1"/>
      <c r="P33" s="1">
        <f t="shared" si="3"/>
        <v>53.2</v>
      </c>
      <c r="Q33" s="5">
        <v>369</v>
      </c>
      <c r="R33" s="5">
        <v>672</v>
      </c>
      <c r="S33" s="5">
        <f t="shared" si="6"/>
        <v>672</v>
      </c>
      <c r="T33" s="23"/>
      <c r="U33" s="23"/>
      <c r="V33" s="23">
        <f>VLOOKUP(A33,[1]Sheet!$A:$T,19,0)</f>
        <v>672</v>
      </c>
      <c r="W33" s="23">
        <f>VLOOKUP(A33,[1]Sheet!$A:$T,20,0)</f>
        <v>0</v>
      </c>
      <c r="X33" s="1">
        <f t="shared" si="4"/>
        <v>20.695488721804509</v>
      </c>
      <c r="Y33" s="1">
        <f t="shared" si="5"/>
        <v>8.0639097744360893</v>
      </c>
      <c r="Z33" s="1">
        <v>20.399999999999999</v>
      </c>
      <c r="AA33" s="1">
        <v>51.4</v>
      </c>
      <c r="AB33" s="1">
        <v>13.6</v>
      </c>
      <c r="AC33" s="1">
        <v>24</v>
      </c>
      <c r="AD33" s="1">
        <v>47.2</v>
      </c>
      <c r="AE33" s="1">
        <v>59.2</v>
      </c>
      <c r="AF33" s="1">
        <v>52.2</v>
      </c>
      <c r="AG33" s="1">
        <v>42.6</v>
      </c>
      <c r="AH33" s="1">
        <v>61.4</v>
      </c>
      <c r="AI33" s="1">
        <v>66.599999999999994</v>
      </c>
      <c r="AJ33" s="1"/>
      <c r="AK33" s="1">
        <f t="shared" si="7"/>
        <v>168</v>
      </c>
      <c r="AL33" s="7">
        <v>12</v>
      </c>
      <c r="AM33" s="9">
        <f t="shared" si="8"/>
        <v>56</v>
      </c>
      <c r="AN33" s="1">
        <f t="shared" si="9"/>
        <v>168</v>
      </c>
      <c r="AO33" s="1">
        <v>14</v>
      </c>
      <c r="AP33" s="1">
        <v>70</v>
      </c>
      <c r="AQ33" s="9">
        <f t="shared" si="10"/>
        <v>0.8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99</v>
      </c>
      <c r="B34" s="1" t="s">
        <v>42</v>
      </c>
      <c r="C34" s="1">
        <v>11</v>
      </c>
      <c r="D34" s="1">
        <v>168</v>
      </c>
      <c r="E34" s="1">
        <v>9</v>
      </c>
      <c r="F34" s="1">
        <v>146</v>
      </c>
      <c r="G34" s="7">
        <v>0.25</v>
      </c>
      <c r="H34" s="1">
        <v>180</v>
      </c>
      <c r="I34" s="1" t="s">
        <v>100</v>
      </c>
      <c r="J34" s="1"/>
      <c r="K34" s="1">
        <v>9</v>
      </c>
      <c r="L34" s="1">
        <f t="shared" si="2"/>
        <v>0</v>
      </c>
      <c r="M34" s="1"/>
      <c r="N34" s="1"/>
      <c r="O34" s="1"/>
      <c r="P34" s="1">
        <f t="shared" si="3"/>
        <v>1.8</v>
      </c>
      <c r="Q34" s="5"/>
      <c r="R34" s="5"/>
      <c r="S34" s="5">
        <f t="shared" si="6"/>
        <v>0</v>
      </c>
      <c r="T34" s="23"/>
      <c r="U34" s="23"/>
      <c r="V34" s="23"/>
      <c r="W34" s="23"/>
      <c r="X34" s="1">
        <f t="shared" si="4"/>
        <v>81.111111111111114</v>
      </c>
      <c r="Y34" s="1">
        <f t="shared" si="5"/>
        <v>81.111111111111114</v>
      </c>
      <c r="Z34" s="1">
        <v>5.4</v>
      </c>
      <c r="AA34" s="1">
        <v>12.4</v>
      </c>
      <c r="AB34" s="1">
        <v>6.2</v>
      </c>
      <c r="AC34" s="1">
        <v>7.2</v>
      </c>
      <c r="AD34" s="1">
        <v>7.8</v>
      </c>
      <c r="AE34" s="1">
        <v>0</v>
      </c>
      <c r="AF34" s="1">
        <v>8</v>
      </c>
      <c r="AG34" s="1">
        <v>6.8</v>
      </c>
      <c r="AH34" s="1">
        <v>5.6</v>
      </c>
      <c r="AI34" s="1">
        <v>5.4</v>
      </c>
      <c r="AJ34" s="1"/>
      <c r="AK34" s="1">
        <f t="shared" si="7"/>
        <v>0</v>
      </c>
      <c r="AL34" s="7">
        <v>12</v>
      </c>
      <c r="AM34" s="9">
        <f t="shared" si="8"/>
        <v>0</v>
      </c>
      <c r="AN34" s="1">
        <f t="shared" si="9"/>
        <v>0</v>
      </c>
      <c r="AO34" s="1">
        <v>14</v>
      </c>
      <c r="AP34" s="1">
        <v>70</v>
      </c>
      <c r="AQ34" s="9">
        <f t="shared" si="10"/>
        <v>0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101</v>
      </c>
      <c r="B35" s="1" t="s">
        <v>42</v>
      </c>
      <c r="C35" s="1">
        <v>55</v>
      </c>
      <c r="D35" s="1">
        <v>96</v>
      </c>
      <c r="E35" s="1">
        <v>21</v>
      </c>
      <c r="F35" s="1">
        <v>128</v>
      </c>
      <c r="G35" s="7">
        <v>0.7</v>
      </c>
      <c r="H35" s="1">
        <v>180</v>
      </c>
      <c r="I35" s="1" t="s">
        <v>102</v>
      </c>
      <c r="J35" s="1"/>
      <c r="K35" s="1">
        <v>23</v>
      </c>
      <c r="L35" s="1">
        <f t="shared" si="2"/>
        <v>-2</v>
      </c>
      <c r="M35" s="1"/>
      <c r="N35" s="1"/>
      <c r="O35" s="1"/>
      <c r="P35" s="1">
        <f t="shared" si="3"/>
        <v>4.2</v>
      </c>
      <c r="Q35" s="5"/>
      <c r="R35" s="5"/>
      <c r="S35" s="5">
        <f t="shared" si="6"/>
        <v>0</v>
      </c>
      <c r="T35" s="23"/>
      <c r="U35" s="23"/>
      <c r="V35" s="23"/>
      <c r="W35" s="23"/>
      <c r="X35" s="1">
        <f t="shared" si="4"/>
        <v>30.476190476190474</v>
      </c>
      <c r="Y35" s="1">
        <f t="shared" si="5"/>
        <v>30.476190476190474</v>
      </c>
      <c r="Z35" s="1">
        <v>7.2</v>
      </c>
      <c r="AA35" s="1">
        <v>9.6</v>
      </c>
      <c r="AB35" s="1">
        <v>7.8</v>
      </c>
      <c r="AC35" s="1">
        <v>6.4</v>
      </c>
      <c r="AD35" s="1">
        <v>6.6</v>
      </c>
      <c r="AE35" s="1">
        <v>11.4</v>
      </c>
      <c r="AF35" s="1">
        <v>15.4</v>
      </c>
      <c r="AG35" s="1">
        <v>11.2</v>
      </c>
      <c r="AH35" s="1">
        <v>13.6</v>
      </c>
      <c r="AI35" s="1">
        <v>17</v>
      </c>
      <c r="AJ35" s="19" t="s">
        <v>75</v>
      </c>
      <c r="AK35" s="1">
        <f t="shared" si="7"/>
        <v>0</v>
      </c>
      <c r="AL35" s="7">
        <v>8</v>
      </c>
      <c r="AM35" s="9">
        <f t="shared" si="8"/>
        <v>0</v>
      </c>
      <c r="AN35" s="1">
        <f t="shared" si="9"/>
        <v>0</v>
      </c>
      <c r="AO35" s="1">
        <v>12</v>
      </c>
      <c r="AP35" s="1">
        <v>84</v>
      </c>
      <c r="AQ35" s="9">
        <f t="shared" si="10"/>
        <v>0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103</v>
      </c>
      <c r="B36" s="1" t="s">
        <v>42</v>
      </c>
      <c r="C36" s="1">
        <v>77</v>
      </c>
      <c r="D36" s="1">
        <v>96</v>
      </c>
      <c r="E36" s="1">
        <v>51</v>
      </c>
      <c r="F36" s="1">
        <v>122</v>
      </c>
      <c r="G36" s="7">
        <v>0.7</v>
      </c>
      <c r="H36" s="1">
        <v>180</v>
      </c>
      <c r="I36" s="1" t="s">
        <v>104</v>
      </c>
      <c r="J36" s="1"/>
      <c r="K36" s="1">
        <v>48</v>
      </c>
      <c r="L36" s="1">
        <f t="shared" si="2"/>
        <v>3</v>
      </c>
      <c r="M36" s="1"/>
      <c r="N36" s="1"/>
      <c r="O36" s="1"/>
      <c r="P36" s="1">
        <f t="shared" si="3"/>
        <v>10.199999999999999</v>
      </c>
      <c r="Q36" s="5">
        <v>51.399999999999977</v>
      </c>
      <c r="R36" s="5">
        <f>17*P36-F36</f>
        <v>51.399999999999977</v>
      </c>
      <c r="S36" s="5">
        <f t="shared" si="6"/>
        <v>96</v>
      </c>
      <c r="T36" s="23"/>
      <c r="U36" s="23"/>
      <c r="V36" s="23"/>
      <c r="W36" s="23"/>
      <c r="X36" s="1">
        <f t="shared" si="4"/>
        <v>21.372549019607845</v>
      </c>
      <c r="Y36" s="1">
        <f t="shared" si="5"/>
        <v>11.96078431372549</v>
      </c>
      <c r="Z36" s="1">
        <v>14.2</v>
      </c>
      <c r="AA36" s="1">
        <v>11.2</v>
      </c>
      <c r="AB36" s="1">
        <v>3</v>
      </c>
      <c r="AC36" s="1">
        <v>1.4</v>
      </c>
      <c r="AD36" s="1">
        <v>4.2</v>
      </c>
      <c r="AE36" s="1">
        <v>3.6</v>
      </c>
      <c r="AF36" s="1">
        <v>13.4</v>
      </c>
      <c r="AG36" s="1">
        <v>14</v>
      </c>
      <c r="AH36" s="1">
        <v>11.2</v>
      </c>
      <c r="AI36" s="1">
        <v>12.2</v>
      </c>
      <c r="AJ36" s="1"/>
      <c r="AK36" s="1">
        <f t="shared" si="7"/>
        <v>35.979999999999983</v>
      </c>
      <c r="AL36" s="7">
        <v>8</v>
      </c>
      <c r="AM36" s="9">
        <f t="shared" si="8"/>
        <v>12</v>
      </c>
      <c r="AN36" s="1">
        <f t="shared" si="9"/>
        <v>67.199999999999989</v>
      </c>
      <c r="AO36" s="1">
        <v>12</v>
      </c>
      <c r="AP36" s="1">
        <v>84</v>
      </c>
      <c r="AQ36" s="9">
        <f t="shared" si="10"/>
        <v>0.14285714285714285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105</v>
      </c>
      <c r="B37" s="1" t="s">
        <v>42</v>
      </c>
      <c r="C37" s="1">
        <v>11</v>
      </c>
      <c r="D37" s="1"/>
      <c r="E37" s="1">
        <v>10</v>
      </c>
      <c r="F37" s="1">
        <v>1</v>
      </c>
      <c r="G37" s="7">
        <v>0.7</v>
      </c>
      <c r="H37" s="1">
        <v>180</v>
      </c>
      <c r="I37" s="1" t="s">
        <v>106</v>
      </c>
      <c r="J37" s="1"/>
      <c r="K37" s="1">
        <v>22</v>
      </c>
      <c r="L37" s="1">
        <f t="shared" si="2"/>
        <v>-12</v>
      </c>
      <c r="M37" s="1"/>
      <c r="N37" s="1"/>
      <c r="O37" s="1"/>
      <c r="P37" s="1">
        <f t="shared" si="3"/>
        <v>2</v>
      </c>
      <c r="Q37" s="20">
        <v>0</v>
      </c>
      <c r="R37" s="20">
        <v>0</v>
      </c>
      <c r="S37" s="20">
        <f t="shared" si="6"/>
        <v>0</v>
      </c>
      <c r="T37" s="23"/>
      <c r="U37" s="23"/>
      <c r="V37" s="23">
        <f>VLOOKUP(A37,[1]Sheet!$A:$T,19,0)</f>
        <v>240</v>
      </c>
      <c r="W37" s="23">
        <f>VLOOKUP(A37,[1]Sheet!$A:$T,20,0)</f>
        <v>0</v>
      </c>
      <c r="X37" s="1">
        <f t="shared" si="4"/>
        <v>0.5</v>
      </c>
      <c r="Y37" s="1">
        <f t="shared" si="5"/>
        <v>0.5</v>
      </c>
      <c r="Z37" s="1">
        <v>4</v>
      </c>
      <c r="AA37" s="1">
        <v>8.6</v>
      </c>
      <c r="AB37" s="1">
        <v>4.5999999999999996</v>
      </c>
      <c r="AC37" s="1">
        <v>5.8</v>
      </c>
      <c r="AD37" s="1">
        <v>8.6</v>
      </c>
      <c r="AE37" s="1">
        <v>6.2</v>
      </c>
      <c r="AF37" s="1">
        <v>12.8</v>
      </c>
      <c r="AG37" s="1">
        <v>13.4</v>
      </c>
      <c r="AH37" s="1">
        <v>16.600000000000001</v>
      </c>
      <c r="AI37" s="1">
        <v>18.399999999999999</v>
      </c>
      <c r="AJ37" s="21" t="s">
        <v>70</v>
      </c>
      <c r="AK37" s="1">
        <f t="shared" si="7"/>
        <v>0</v>
      </c>
      <c r="AL37" s="7">
        <v>8</v>
      </c>
      <c r="AM37" s="9">
        <f t="shared" si="8"/>
        <v>0</v>
      </c>
      <c r="AN37" s="1">
        <f t="shared" si="9"/>
        <v>0</v>
      </c>
      <c r="AO37" s="1">
        <v>12</v>
      </c>
      <c r="AP37" s="1">
        <v>84</v>
      </c>
      <c r="AQ37" s="9">
        <f t="shared" si="10"/>
        <v>0</v>
      </c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107</v>
      </c>
      <c r="B38" s="1" t="s">
        <v>42</v>
      </c>
      <c r="C38" s="1">
        <v>246</v>
      </c>
      <c r="D38" s="1">
        <v>120</v>
      </c>
      <c r="E38" s="1">
        <v>160</v>
      </c>
      <c r="F38" s="1">
        <v>194</v>
      </c>
      <c r="G38" s="7">
        <v>0.7</v>
      </c>
      <c r="H38" s="1">
        <v>180</v>
      </c>
      <c r="I38" s="1" t="s">
        <v>108</v>
      </c>
      <c r="J38" s="1"/>
      <c r="K38" s="1">
        <v>170</v>
      </c>
      <c r="L38" s="1">
        <f t="shared" si="2"/>
        <v>-10</v>
      </c>
      <c r="M38" s="1"/>
      <c r="N38" s="1"/>
      <c r="O38" s="1"/>
      <c r="P38" s="1">
        <f t="shared" si="3"/>
        <v>32</v>
      </c>
      <c r="Q38" s="5">
        <v>286</v>
      </c>
      <c r="R38" s="5">
        <f>15*P38-F38+$R$1*P38</f>
        <v>350</v>
      </c>
      <c r="S38" s="5">
        <f t="shared" si="6"/>
        <v>360</v>
      </c>
      <c r="T38" s="23"/>
      <c r="U38" s="23"/>
      <c r="V38" s="23"/>
      <c r="W38" s="23"/>
      <c r="X38" s="1">
        <f t="shared" si="4"/>
        <v>17.3125</v>
      </c>
      <c r="Y38" s="1">
        <f t="shared" si="5"/>
        <v>6.0625</v>
      </c>
      <c r="Z38" s="1">
        <v>8.8000000000000007</v>
      </c>
      <c r="AA38" s="1">
        <v>28.4</v>
      </c>
      <c r="AB38" s="1">
        <v>3.6</v>
      </c>
      <c r="AC38" s="1">
        <v>9</v>
      </c>
      <c r="AD38" s="1">
        <v>25.2</v>
      </c>
      <c r="AE38" s="1">
        <v>39.200000000000003</v>
      </c>
      <c r="AF38" s="1">
        <v>32.6</v>
      </c>
      <c r="AG38" s="1">
        <v>28.4</v>
      </c>
      <c r="AH38" s="1">
        <v>32.799999999999997</v>
      </c>
      <c r="AI38" s="1">
        <v>27</v>
      </c>
      <c r="AJ38" s="1"/>
      <c r="AK38" s="1">
        <f t="shared" si="7"/>
        <v>244.99999999999997</v>
      </c>
      <c r="AL38" s="7">
        <v>10</v>
      </c>
      <c r="AM38" s="9">
        <f t="shared" si="8"/>
        <v>36</v>
      </c>
      <c r="AN38" s="1">
        <f t="shared" si="9"/>
        <v>251.99999999999997</v>
      </c>
      <c r="AO38" s="1">
        <v>12</v>
      </c>
      <c r="AP38" s="1">
        <v>84</v>
      </c>
      <c r="AQ38" s="9">
        <f t="shared" si="10"/>
        <v>0.42857142857142855</v>
      </c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109</v>
      </c>
      <c r="B39" s="1" t="s">
        <v>42</v>
      </c>
      <c r="C39" s="1">
        <v>378</v>
      </c>
      <c r="D39" s="1"/>
      <c r="E39" s="1">
        <v>77</v>
      </c>
      <c r="F39" s="1">
        <v>297</v>
      </c>
      <c r="G39" s="7">
        <v>0.7</v>
      </c>
      <c r="H39" s="1">
        <v>180</v>
      </c>
      <c r="I39" s="1" t="s">
        <v>110</v>
      </c>
      <c r="J39" s="1"/>
      <c r="K39" s="1">
        <v>77</v>
      </c>
      <c r="L39" s="1">
        <f t="shared" ref="L39:L70" si="18">E39-K39</f>
        <v>0</v>
      </c>
      <c r="M39" s="1"/>
      <c r="N39" s="1"/>
      <c r="O39" s="1"/>
      <c r="P39" s="1">
        <f t="shared" ref="P39:P70" si="19">E39/5</f>
        <v>15.4</v>
      </c>
      <c r="Q39" s="5"/>
      <c r="R39" s="5"/>
      <c r="S39" s="5">
        <f t="shared" si="6"/>
        <v>0</v>
      </c>
      <c r="T39" s="23"/>
      <c r="U39" s="23"/>
      <c r="V39" s="23"/>
      <c r="W39" s="23"/>
      <c r="X39" s="1">
        <f t="shared" ref="X39:X70" si="20">(F39+S39)/P39</f>
        <v>19.285714285714285</v>
      </c>
      <c r="Y39" s="1">
        <f t="shared" ref="Y39:Y70" si="21">F39/P39</f>
        <v>19.285714285714285</v>
      </c>
      <c r="Z39" s="1">
        <v>18.2</v>
      </c>
      <c r="AA39" s="1">
        <v>6.6</v>
      </c>
      <c r="AB39" s="1">
        <v>6.4</v>
      </c>
      <c r="AC39" s="1">
        <v>7.8</v>
      </c>
      <c r="AD39" s="1">
        <v>6.6</v>
      </c>
      <c r="AE39" s="1">
        <v>14</v>
      </c>
      <c r="AF39" s="1">
        <v>17</v>
      </c>
      <c r="AG39" s="1">
        <v>15</v>
      </c>
      <c r="AH39" s="1">
        <v>11.4</v>
      </c>
      <c r="AI39" s="1">
        <v>12.2</v>
      </c>
      <c r="AJ39" s="1"/>
      <c r="AK39" s="1">
        <f t="shared" si="7"/>
        <v>0</v>
      </c>
      <c r="AL39" s="7">
        <v>10</v>
      </c>
      <c r="AM39" s="9">
        <f t="shared" si="8"/>
        <v>0</v>
      </c>
      <c r="AN39" s="1">
        <f t="shared" si="9"/>
        <v>0</v>
      </c>
      <c r="AO39" s="1">
        <v>12</v>
      </c>
      <c r="AP39" s="1">
        <v>84</v>
      </c>
      <c r="AQ39" s="9">
        <f t="shared" si="10"/>
        <v>0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111</v>
      </c>
      <c r="B40" s="1" t="s">
        <v>42</v>
      </c>
      <c r="C40" s="1">
        <v>120</v>
      </c>
      <c r="D40" s="1">
        <v>490</v>
      </c>
      <c r="E40" s="1">
        <v>128</v>
      </c>
      <c r="F40" s="1">
        <v>466</v>
      </c>
      <c r="G40" s="7">
        <v>0.7</v>
      </c>
      <c r="H40" s="1">
        <v>180</v>
      </c>
      <c r="I40" s="1" t="s">
        <v>112</v>
      </c>
      <c r="J40" s="1"/>
      <c r="K40" s="1">
        <v>171</v>
      </c>
      <c r="L40" s="1">
        <f t="shared" si="18"/>
        <v>-43</v>
      </c>
      <c r="M40" s="1"/>
      <c r="N40" s="1"/>
      <c r="O40" s="1"/>
      <c r="P40" s="1">
        <f t="shared" si="19"/>
        <v>25.6</v>
      </c>
      <c r="Q40" s="5"/>
      <c r="R40" s="5"/>
      <c r="S40" s="5">
        <f t="shared" si="6"/>
        <v>0</v>
      </c>
      <c r="T40" s="23"/>
      <c r="U40" s="23"/>
      <c r="V40" s="23"/>
      <c r="W40" s="23"/>
      <c r="X40" s="1">
        <f t="shared" si="20"/>
        <v>18.203125</v>
      </c>
      <c r="Y40" s="1">
        <f t="shared" si="21"/>
        <v>18.203125</v>
      </c>
      <c r="Z40" s="1">
        <v>14</v>
      </c>
      <c r="AA40" s="1">
        <v>45.2</v>
      </c>
      <c r="AB40" s="1">
        <v>5.4</v>
      </c>
      <c r="AC40" s="1">
        <v>20</v>
      </c>
      <c r="AD40" s="1">
        <v>27.2</v>
      </c>
      <c r="AE40" s="1">
        <v>41.4</v>
      </c>
      <c r="AF40" s="1">
        <v>33</v>
      </c>
      <c r="AG40" s="1">
        <v>32.6</v>
      </c>
      <c r="AH40" s="1">
        <v>34.799999999999997</v>
      </c>
      <c r="AI40" s="1">
        <v>29.4</v>
      </c>
      <c r="AJ40" s="1"/>
      <c r="AK40" s="1">
        <f t="shared" si="7"/>
        <v>0</v>
      </c>
      <c r="AL40" s="7">
        <v>10</v>
      </c>
      <c r="AM40" s="9">
        <f t="shared" si="8"/>
        <v>0</v>
      </c>
      <c r="AN40" s="1">
        <f t="shared" si="9"/>
        <v>0</v>
      </c>
      <c r="AO40" s="1">
        <v>12</v>
      </c>
      <c r="AP40" s="1">
        <v>84</v>
      </c>
      <c r="AQ40" s="9">
        <f t="shared" si="10"/>
        <v>0</v>
      </c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113</v>
      </c>
      <c r="B41" s="1" t="s">
        <v>42</v>
      </c>
      <c r="C41" s="1">
        <v>87</v>
      </c>
      <c r="D41" s="1">
        <v>240</v>
      </c>
      <c r="E41" s="1">
        <v>80</v>
      </c>
      <c r="F41" s="1">
        <v>235</v>
      </c>
      <c r="G41" s="7">
        <v>0.7</v>
      </c>
      <c r="H41" s="1">
        <v>180</v>
      </c>
      <c r="I41" s="1" t="s">
        <v>114</v>
      </c>
      <c r="J41" s="1"/>
      <c r="K41" s="1">
        <v>90</v>
      </c>
      <c r="L41" s="1">
        <f t="shared" si="18"/>
        <v>-10</v>
      </c>
      <c r="M41" s="1"/>
      <c r="N41" s="1"/>
      <c r="O41" s="1"/>
      <c r="P41" s="1">
        <f t="shared" si="19"/>
        <v>16</v>
      </c>
      <c r="Q41" s="5"/>
      <c r="R41" s="5"/>
      <c r="S41" s="5">
        <f t="shared" si="6"/>
        <v>0</v>
      </c>
      <c r="T41" s="23"/>
      <c r="U41" s="23"/>
      <c r="V41" s="23"/>
      <c r="W41" s="23"/>
      <c r="X41" s="1">
        <f t="shared" si="20"/>
        <v>14.6875</v>
      </c>
      <c r="Y41" s="1">
        <f t="shared" si="21"/>
        <v>14.6875</v>
      </c>
      <c r="Z41" s="1">
        <v>-0.8</v>
      </c>
      <c r="AA41" s="1">
        <v>24.6</v>
      </c>
      <c r="AB41" s="1">
        <v>3.4</v>
      </c>
      <c r="AC41" s="1">
        <v>10.8</v>
      </c>
      <c r="AD41" s="1">
        <v>18.2</v>
      </c>
      <c r="AE41" s="1">
        <v>24.6</v>
      </c>
      <c r="AF41" s="1">
        <v>21.2</v>
      </c>
      <c r="AG41" s="1">
        <v>14.6</v>
      </c>
      <c r="AH41" s="1">
        <v>28.4</v>
      </c>
      <c r="AI41" s="1">
        <v>26.6</v>
      </c>
      <c r="AJ41" s="1"/>
      <c r="AK41" s="1">
        <f t="shared" si="7"/>
        <v>0</v>
      </c>
      <c r="AL41" s="7">
        <v>10</v>
      </c>
      <c r="AM41" s="9">
        <f t="shared" si="8"/>
        <v>0</v>
      </c>
      <c r="AN41" s="1">
        <f t="shared" si="9"/>
        <v>0</v>
      </c>
      <c r="AO41" s="1">
        <v>12</v>
      </c>
      <c r="AP41" s="1">
        <v>84</v>
      </c>
      <c r="AQ41" s="9">
        <f t="shared" si="10"/>
        <v>0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115</v>
      </c>
      <c r="B42" s="1" t="s">
        <v>79</v>
      </c>
      <c r="C42" s="1">
        <v>375</v>
      </c>
      <c r="D42" s="1">
        <v>300</v>
      </c>
      <c r="E42" s="1">
        <v>230</v>
      </c>
      <c r="F42" s="1">
        <v>425</v>
      </c>
      <c r="G42" s="7">
        <v>1</v>
      </c>
      <c r="H42" s="1">
        <v>180</v>
      </c>
      <c r="I42" s="1" t="s">
        <v>116</v>
      </c>
      <c r="J42" s="1"/>
      <c r="K42" s="1">
        <v>230</v>
      </c>
      <c r="L42" s="1">
        <f t="shared" si="18"/>
        <v>0</v>
      </c>
      <c r="M42" s="1"/>
      <c r="N42" s="1"/>
      <c r="O42" s="1"/>
      <c r="P42" s="1">
        <f t="shared" si="19"/>
        <v>46</v>
      </c>
      <c r="Q42" s="5">
        <v>265</v>
      </c>
      <c r="R42" s="5">
        <v>390</v>
      </c>
      <c r="S42" s="5">
        <f t="shared" si="6"/>
        <v>420</v>
      </c>
      <c r="T42" s="23">
        <f>VLOOKUP(A42,[2]Sheet!$A:$T,19,0)</f>
        <v>390</v>
      </c>
      <c r="U42" s="23" t="str">
        <f>VLOOKUP(A42,[2]Sheet!$A:$T,20,0)</f>
        <v>Промо ЖЦ</v>
      </c>
      <c r="V42" s="23">
        <f>VLOOKUP(A42,[1]Sheet!$A:$T,19,0)</f>
        <v>390</v>
      </c>
      <c r="W42" s="23" t="str">
        <f>VLOOKUP(A42,[1]Sheet!$A:$T,20,0)</f>
        <v>Промо ЖЦ</v>
      </c>
      <c r="X42" s="1">
        <f t="shared" si="20"/>
        <v>18.369565217391305</v>
      </c>
      <c r="Y42" s="1">
        <f t="shared" si="21"/>
        <v>9.2391304347826093</v>
      </c>
      <c r="Z42" s="1">
        <v>48</v>
      </c>
      <c r="AA42" s="1">
        <v>56</v>
      </c>
      <c r="AB42" s="1">
        <v>38</v>
      </c>
      <c r="AC42" s="1">
        <v>29</v>
      </c>
      <c r="AD42" s="1">
        <v>34.299999999999997</v>
      </c>
      <c r="AE42" s="1">
        <v>64</v>
      </c>
      <c r="AF42" s="1">
        <v>64</v>
      </c>
      <c r="AG42" s="1">
        <v>55</v>
      </c>
      <c r="AH42" s="1">
        <v>69</v>
      </c>
      <c r="AI42" s="1">
        <v>70</v>
      </c>
      <c r="AJ42" s="1"/>
      <c r="AK42" s="1">
        <f t="shared" si="7"/>
        <v>390</v>
      </c>
      <c r="AL42" s="7">
        <v>5</v>
      </c>
      <c r="AM42" s="9">
        <f t="shared" si="8"/>
        <v>84</v>
      </c>
      <c r="AN42" s="1">
        <f t="shared" si="9"/>
        <v>420</v>
      </c>
      <c r="AO42" s="1">
        <v>12</v>
      </c>
      <c r="AP42" s="1">
        <v>144</v>
      </c>
      <c r="AQ42" s="9">
        <f t="shared" si="10"/>
        <v>0.58333333333333337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117</v>
      </c>
      <c r="B43" s="1" t="s">
        <v>42</v>
      </c>
      <c r="C43" s="1">
        <v>182</v>
      </c>
      <c r="D43" s="1">
        <v>384</v>
      </c>
      <c r="E43" s="1">
        <v>129</v>
      </c>
      <c r="F43" s="1">
        <v>417</v>
      </c>
      <c r="G43" s="7">
        <v>0.4</v>
      </c>
      <c r="H43" s="1">
        <v>180</v>
      </c>
      <c r="I43" s="1" t="s">
        <v>118</v>
      </c>
      <c r="J43" s="1"/>
      <c r="K43" s="1">
        <v>145</v>
      </c>
      <c r="L43" s="1">
        <f t="shared" si="18"/>
        <v>-16</v>
      </c>
      <c r="M43" s="1"/>
      <c r="N43" s="1"/>
      <c r="O43" s="1"/>
      <c r="P43" s="1">
        <f t="shared" si="19"/>
        <v>25.8</v>
      </c>
      <c r="Q43" s="5"/>
      <c r="R43" s="5"/>
      <c r="S43" s="5">
        <f t="shared" si="6"/>
        <v>0</v>
      </c>
      <c r="T43" s="23"/>
      <c r="U43" s="23"/>
      <c r="V43" s="23"/>
      <c r="W43" s="23"/>
      <c r="X43" s="1">
        <f t="shared" si="20"/>
        <v>16.162790697674417</v>
      </c>
      <c r="Y43" s="1">
        <f t="shared" si="21"/>
        <v>16.162790697674417</v>
      </c>
      <c r="Z43" s="1">
        <v>2.4</v>
      </c>
      <c r="AA43" s="1">
        <v>37.6</v>
      </c>
      <c r="AB43" s="1">
        <v>6.2</v>
      </c>
      <c r="AC43" s="1">
        <v>15.4</v>
      </c>
      <c r="AD43" s="1">
        <v>25</v>
      </c>
      <c r="AE43" s="1">
        <v>41.6</v>
      </c>
      <c r="AF43" s="1">
        <v>35.6</v>
      </c>
      <c r="AG43" s="1">
        <v>16.600000000000001</v>
      </c>
      <c r="AH43" s="1">
        <v>24.8</v>
      </c>
      <c r="AI43" s="1">
        <v>29</v>
      </c>
      <c r="AJ43" s="1"/>
      <c r="AK43" s="1">
        <f t="shared" si="7"/>
        <v>0</v>
      </c>
      <c r="AL43" s="7">
        <v>16</v>
      </c>
      <c r="AM43" s="9">
        <f t="shared" si="8"/>
        <v>0</v>
      </c>
      <c r="AN43" s="1">
        <f t="shared" si="9"/>
        <v>0</v>
      </c>
      <c r="AO43" s="1">
        <v>12</v>
      </c>
      <c r="AP43" s="1">
        <v>84</v>
      </c>
      <c r="AQ43" s="9">
        <f t="shared" si="10"/>
        <v>0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119</v>
      </c>
      <c r="B44" s="1" t="s">
        <v>42</v>
      </c>
      <c r="C44" s="1">
        <v>504</v>
      </c>
      <c r="D44" s="1"/>
      <c r="E44" s="1">
        <v>188</v>
      </c>
      <c r="F44" s="1">
        <v>294</v>
      </c>
      <c r="G44" s="7">
        <v>0.7</v>
      </c>
      <c r="H44" s="1">
        <v>180</v>
      </c>
      <c r="I44" s="1" t="s">
        <v>120</v>
      </c>
      <c r="J44" s="1"/>
      <c r="K44" s="1">
        <v>203</v>
      </c>
      <c r="L44" s="1">
        <f t="shared" si="18"/>
        <v>-15</v>
      </c>
      <c r="M44" s="1"/>
      <c r="N44" s="1"/>
      <c r="O44" s="1"/>
      <c r="P44" s="1">
        <f t="shared" si="19"/>
        <v>37.6</v>
      </c>
      <c r="Q44" s="5">
        <v>270</v>
      </c>
      <c r="R44" s="5">
        <v>360</v>
      </c>
      <c r="S44" s="5">
        <f t="shared" ref="S44:S69" si="22">AL44*AM44</f>
        <v>360</v>
      </c>
      <c r="T44" s="23"/>
      <c r="U44" s="23"/>
      <c r="V44" s="23">
        <f>VLOOKUP(A44,[1]Sheet!$A:$T,19,0)</f>
        <v>360</v>
      </c>
      <c r="W44" s="23">
        <f>VLOOKUP(A44,[1]Sheet!$A:$T,20,0)</f>
        <v>0</v>
      </c>
      <c r="X44" s="1">
        <f t="shared" si="20"/>
        <v>17.393617021276594</v>
      </c>
      <c r="Y44" s="1">
        <f t="shared" si="21"/>
        <v>7.8191489361702127</v>
      </c>
      <c r="Z44" s="1">
        <v>13.2</v>
      </c>
      <c r="AA44" s="1">
        <v>38.4</v>
      </c>
      <c r="AB44" s="1">
        <v>18.8</v>
      </c>
      <c r="AC44" s="1">
        <v>43.4</v>
      </c>
      <c r="AD44" s="1">
        <v>49.6</v>
      </c>
      <c r="AE44" s="1">
        <v>66.599999999999994</v>
      </c>
      <c r="AF44" s="1">
        <v>62.6</v>
      </c>
      <c r="AG44" s="1">
        <v>48.6</v>
      </c>
      <c r="AH44" s="1">
        <v>60.2</v>
      </c>
      <c r="AI44" s="1">
        <v>71.2</v>
      </c>
      <c r="AJ44" s="1"/>
      <c r="AK44" s="1">
        <f t="shared" ref="AK44:AK69" si="23">G44*R44</f>
        <v>251.99999999999997</v>
      </c>
      <c r="AL44" s="7">
        <v>10</v>
      </c>
      <c r="AM44" s="9">
        <f t="shared" ref="AM44:AM69" si="24">MROUND(R44, AL44*AO44)/AL44</f>
        <v>36</v>
      </c>
      <c r="AN44" s="1">
        <f t="shared" ref="AN44:AN69" si="25">AM44*AL44*G44</f>
        <v>251.99999999999997</v>
      </c>
      <c r="AO44" s="1">
        <v>12</v>
      </c>
      <c r="AP44" s="1">
        <v>84</v>
      </c>
      <c r="AQ44" s="9">
        <f t="shared" ref="AQ44:AQ69" si="26">AM44/AP44</f>
        <v>0.42857142857142855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121</v>
      </c>
      <c r="B45" s="1" t="s">
        <v>42</v>
      </c>
      <c r="C45" s="1">
        <v>761</v>
      </c>
      <c r="D45" s="1">
        <v>2</v>
      </c>
      <c r="E45" s="1">
        <v>240</v>
      </c>
      <c r="F45" s="1">
        <v>519</v>
      </c>
      <c r="G45" s="7">
        <v>0.4</v>
      </c>
      <c r="H45" s="1">
        <v>180</v>
      </c>
      <c r="I45" s="1" t="s">
        <v>122</v>
      </c>
      <c r="J45" s="1"/>
      <c r="K45" s="1">
        <v>234</v>
      </c>
      <c r="L45" s="1">
        <f t="shared" si="18"/>
        <v>6</v>
      </c>
      <c r="M45" s="1"/>
      <c r="N45" s="1"/>
      <c r="O45" s="1"/>
      <c r="P45" s="1">
        <f t="shared" si="19"/>
        <v>48</v>
      </c>
      <c r="Q45" s="5">
        <v>201</v>
      </c>
      <c r="R45" s="5">
        <f>15*P45-F45+$R$1*P45</f>
        <v>297</v>
      </c>
      <c r="S45" s="5">
        <f t="shared" si="22"/>
        <v>384</v>
      </c>
      <c r="T45" s="23"/>
      <c r="U45" s="23"/>
      <c r="V45" s="23"/>
      <c r="W45" s="23"/>
      <c r="X45" s="1">
        <f t="shared" si="20"/>
        <v>18.8125</v>
      </c>
      <c r="Y45" s="1">
        <f t="shared" si="21"/>
        <v>10.8125</v>
      </c>
      <c r="Z45" s="1">
        <v>14.2</v>
      </c>
      <c r="AA45" s="1">
        <v>28</v>
      </c>
      <c r="AB45" s="1">
        <v>14.6</v>
      </c>
      <c r="AC45" s="1">
        <v>10</v>
      </c>
      <c r="AD45" s="1">
        <v>19.600000000000001</v>
      </c>
      <c r="AE45" s="1">
        <v>61.6</v>
      </c>
      <c r="AF45" s="1">
        <v>32</v>
      </c>
      <c r="AG45" s="1">
        <v>39.200000000000003</v>
      </c>
      <c r="AH45" s="1">
        <v>45.4</v>
      </c>
      <c r="AI45" s="1">
        <v>42.8</v>
      </c>
      <c r="AJ45" s="1"/>
      <c r="AK45" s="1">
        <f t="shared" si="23"/>
        <v>118.80000000000001</v>
      </c>
      <c r="AL45" s="7">
        <v>16</v>
      </c>
      <c r="AM45" s="9">
        <f t="shared" si="24"/>
        <v>24</v>
      </c>
      <c r="AN45" s="1">
        <f t="shared" si="25"/>
        <v>153.60000000000002</v>
      </c>
      <c r="AO45" s="1">
        <v>12</v>
      </c>
      <c r="AP45" s="1">
        <v>84</v>
      </c>
      <c r="AQ45" s="9">
        <f t="shared" si="26"/>
        <v>0.2857142857142857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50</v>
      </c>
      <c r="B46" s="1" t="s">
        <v>42</v>
      </c>
      <c r="C46" s="1">
        <v>457</v>
      </c>
      <c r="D46" s="1">
        <v>360</v>
      </c>
      <c r="E46" s="1">
        <v>264</v>
      </c>
      <c r="F46" s="17">
        <f>491+F9</f>
        <v>524</v>
      </c>
      <c r="G46" s="7">
        <v>0.7</v>
      </c>
      <c r="H46" s="1">
        <v>180</v>
      </c>
      <c r="I46" s="1" t="s">
        <v>123</v>
      </c>
      <c r="J46" s="1"/>
      <c r="K46" s="1">
        <v>277</v>
      </c>
      <c r="L46" s="1">
        <f t="shared" si="18"/>
        <v>-13</v>
      </c>
      <c r="M46" s="1"/>
      <c r="N46" s="1"/>
      <c r="O46" s="1"/>
      <c r="P46" s="1">
        <f t="shared" si="19"/>
        <v>52.8</v>
      </c>
      <c r="Q46" s="5">
        <v>268</v>
      </c>
      <c r="R46" s="5">
        <v>360</v>
      </c>
      <c r="S46" s="5">
        <f t="shared" si="22"/>
        <v>360</v>
      </c>
      <c r="T46" s="23"/>
      <c r="U46" s="23"/>
      <c r="V46" s="23">
        <f>VLOOKUP(A46,[1]Sheet!$A:$T,19,0)</f>
        <v>360</v>
      </c>
      <c r="W46" s="23">
        <f>VLOOKUP(A46,[1]Sheet!$A:$T,20,0)</f>
        <v>0</v>
      </c>
      <c r="X46" s="1">
        <f t="shared" si="20"/>
        <v>16.742424242424242</v>
      </c>
      <c r="Y46" s="1">
        <f t="shared" si="21"/>
        <v>9.9242424242424256</v>
      </c>
      <c r="Z46" s="1">
        <v>42.6</v>
      </c>
      <c r="AA46" s="1">
        <v>70.599999999999994</v>
      </c>
      <c r="AB46" s="1">
        <v>32.4</v>
      </c>
      <c r="AC46" s="1">
        <v>40.6</v>
      </c>
      <c r="AD46" s="1">
        <v>94.2</v>
      </c>
      <c r="AE46" s="1">
        <v>100.4</v>
      </c>
      <c r="AF46" s="1">
        <v>78.8</v>
      </c>
      <c r="AG46" s="1">
        <v>69.599999999999994</v>
      </c>
      <c r="AH46" s="1">
        <v>109</v>
      </c>
      <c r="AI46" s="1">
        <v>125.2</v>
      </c>
      <c r="AJ46" s="1"/>
      <c r="AK46" s="1">
        <f t="shared" si="23"/>
        <v>251.99999999999997</v>
      </c>
      <c r="AL46" s="7">
        <v>10</v>
      </c>
      <c r="AM46" s="9">
        <f t="shared" si="24"/>
        <v>36</v>
      </c>
      <c r="AN46" s="1">
        <f t="shared" si="25"/>
        <v>251.99999999999997</v>
      </c>
      <c r="AO46" s="1">
        <v>12</v>
      </c>
      <c r="AP46" s="1">
        <v>84</v>
      </c>
      <c r="AQ46" s="9">
        <f t="shared" si="26"/>
        <v>0.42857142857142855</v>
      </c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124</v>
      </c>
      <c r="B47" s="1" t="s">
        <v>42</v>
      </c>
      <c r="C47" s="1">
        <v>156</v>
      </c>
      <c r="D47" s="1"/>
      <c r="E47" s="1">
        <v>63</v>
      </c>
      <c r="F47" s="1">
        <v>88</v>
      </c>
      <c r="G47" s="7">
        <v>0.7</v>
      </c>
      <c r="H47" s="1">
        <v>180</v>
      </c>
      <c r="I47" s="1" t="s">
        <v>125</v>
      </c>
      <c r="J47" s="1"/>
      <c r="K47" s="1">
        <v>63</v>
      </c>
      <c r="L47" s="1">
        <f t="shared" si="18"/>
        <v>0</v>
      </c>
      <c r="M47" s="1"/>
      <c r="N47" s="1"/>
      <c r="O47" s="1"/>
      <c r="P47" s="1">
        <f t="shared" si="19"/>
        <v>12.6</v>
      </c>
      <c r="Q47" s="5">
        <v>101</v>
      </c>
      <c r="R47" s="5">
        <f t="shared" si="11"/>
        <v>101</v>
      </c>
      <c r="S47" s="5">
        <f t="shared" si="22"/>
        <v>120</v>
      </c>
      <c r="T47" s="23"/>
      <c r="U47" s="23"/>
      <c r="V47" s="23"/>
      <c r="W47" s="23"/>
      <c r="X47" s="1">
        <f t="shared" si="20"/>
        <v>16.50793650793651</v>
      </c>
      <c r="Y47" s="1">
        <f t="shared" si="21"/>
        <v>6.9841269841269842</v>
      </c>
      <c r="Z47" s="1">
        <v>13</v>
      </c>
      <c r="AA47" s="1">
        <v>13.2</v>
      </c>
      <c r="AB47" s="1">
        <v>15.6</v>
      </c>
      <c r="AC47" s="1">
        <v>15.6</v>
      </c>
      <c r="AD47" s="1">
        <v>58.4</v>
      </c>
      <c r="AE47" s="1">
        <v>28.4</v>
      </c>
      <c r="AF47" s="1">
        <v>59.8</v>
      </c>
      <c r="AG47" s="1">
        <v>43.8</v>
      </c>
      <c r="AH47" s="1">
        <v>36.799999999999997</v>
      </c>
      <c r="AI47" s="1">
        <v>50.6</v>
      </c>
      <c r="AJ47" s="1"/>
      <c r="AK47" s="1">
        <f t="shared" si="23"/>
        <v>70.699999999999989</v>
      </c>
      <c r="AL47" s="7">
        <v>10</v>
      </c>
      <c r="AM47" s="9">
        <f t="shared" si="24"/>
        <v>12</v>
      </c>
      <c r="AN47" s="1">
        <f t="shared" si="25"/>
        <v>84</v>
      </c>
      <c r="AO47" s="1">
        <v>12</v>
      </c>
      <c r="AP47" s="1">
        <v>84</v>
      </c>
      <c r="AQ47" s="9">
        <f t="shared" si="26"/>
        <v>0.14285714285714285</v>
      </c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126</v>
      </c>
      <c r="B48" s="1" t="s">
        <v>42</v>
      </c>
      <c r="C48" s="1">
        <v>105</v>
      </c>
      <c r="D48" s="1">
        <v>96</v>
      </c>
      <c r="E48" s="1">
        <v>26</v>
      </c>
      <c r="F48" s="1">
        <v>167</v>
      </c>
      <c r="G48" s="7">
        <v>0.8</v>
      </c>
      <c r="H48" s="1">
        <v>180</v>
      </c>
      <c r="I48" s="1" t="s">
        <v>127</v>
      </c>
      <c r="J48" s="1"/>
      <c r="K48" s="1">
        <v>26</v>
      </c>
      <c r="L48" s="1">
        <f t="shared" si="18"/>
        <v>0</v>
      </c>
      <c r="M48" s="1"/>
      <c r="N48" s="1"/>
      <c r="O48" s="1"/>
      <c r="P48" s="1">
        <f t="shared" si="19"/>
        <v>5.2</v>
      </c>
      <c r="Q48" s="5"/>
      <c r="R48" s="5">
        <v>50</v>
      </c>
      <c r="S48" s="5">
        <f t="shared" si="22"/>
        <v>96</v>
      </c>
      <c r="T48" s="23" t="str">
        <f>VLOOKUP(A48,[2]Sheet!$A:$T,19,0)</f>
        <v>50шт</v>
      </c>
      <c r="U48" s="23" t="str">
        <f>VLOOKUP(A48,[2]Sheet!$A:$T,20,0)</f>
        <v>Промо ЖЦ</v>
      </c>
      <c r="V48" s="23">
        <f>VLOOKUP(A48,[1]Sheet!$A:$T,19,0)</f>
        <v>50</v>
      </c>
      <c r="W48" s="23" t="str">
        <f>VLOOKUP(A48,[1]Sheet!$A:$T,20,0)</f>
        <v>Промо ЖЦ</v>
      </c>
      <c r="X48" s="1">
        <f t="shared" si="20"/>
        <v>50.576923076923073</v>
      </c>
      <c r="Y48" s="1">
        <f t="shared" si="21"/>
        <v>32.115384615384613</v>
      </c>
      <c r="Z48" s="1">
        <v>10.4</v>
      </c>
      <c r="AA48" s="1">
        <v>14</v>
      </c>
      <c r="AB48" s="1">
        <v>3.6</v>
      </c>
      <c r="AC48" s="1">
        <v>9</v>
      </c>
      <c r="AD48" s="1">
        <v>5.4</v>
      </c>
      <c r="AE48" s="1">
        <v>11.8</v>
      </c>
      <c r="AF48" s="1">
        <v>31</v>
      </c>
      <c r="AG48" s="1">
        <v>15.8</v>
      </c>
      <c r="AH48" s="1">
        <v>0</v>
      </c>
      <c r="AI48" s="1">
        <v>0</v>
      </c>
      <c r="AJ48" s="1"/>
      <c r="AK48" s="1">
        <f t="shared" si="23"/>
        <v>40</v>
      </c>
      <c r="AL48" s="7">
        <v>8</v>
      </c>
      <c r="AM48" s="9">
        <f t="shared" si="24"/>
        <v>12</v>
      </c>
      <c r="AN48" s="1">
        <f t="shared" si="25"/>
        <v>76.800000000000011</v>
      </c>
      <c r="AO48" s="1">
        <v>12</v>
      </c>
      <c r="AP48" s="1">
        <v>84</v>
      </c>
      <c r="AQ48" s="9">
        <f t="shared" si="26"/>
        <v>0.14285714285714285</v>
      </c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128</v>
      </c>
      <c r="B49" s="1" t="s">
        <v>42</v>
      </c>
      <c r="C49" s="1">
        <v>317</v>
      </c>
      <c r="D49" s="1"/>
      <c r="E49" s="1">
        <v>110</v>
      </c>
      <c r="F49" s="1">
        <v>185</v>
      </c>
      <c r="G49" s="7">
        <v>1</v>
      </c>
      <c r="H49" s="1">
        <v>180</v>
      </c>
      <c r="I49" s="1" t="s">
        <v>129</v>
      </c>
      <c r="J49" s="1"/>
      <c r="K49" s="1">
        <v>104</v>
      </c>
      <c r="L49" s="1">
        <f t="shared" si="18"/>
        <v>6</v>
      </c>
      <c r="M49" s="1"/>
      <c r="N49" s="1"/>
      <c r="O49" s="1"/>
      <c r="P49" s="1">
        <f t="shared" si="19"/>
        <v>22</v>
      </c>
      <c r="Q49" s="5">
        <v>145</v>
      </c>
      <c r="R49" s="5">
        <f t="shared" ref="R49:R51" si="27">15*P49-F49+$R$1*P49</f>
        <v>189</v>
      </c>
      <c r="S49" s="5">
        <f t="shared" si="22"/>
        <v>180</v>
      </c>
      <c r="T49" s="23"/>
      <c r="U49" s="23"/>
      <c r="V49" s="23"/>
      <c r="W49" s="23"/>
      <c r="X49" s="1">
        <f t="shared" si="20"/>
        <v>16.59090909090909</v>
      </c>
      <c r="Y49" s="1">
        <f t="shared" si="21"/>
        <v>8.4090909090909083</v>
      </c>
      <c r="Z49" s="1">
        <v>24.4</v>
      </c>
      <c r="AA49" s="1">
        <v>18.600000000000001</v>
      </c>
      <c r="AB49" s="1">
        <v>12</v>
      </c>
      <c r="AC49" s="1">
        <v>17.600000000000001</v>
      </c>
      <c r="AD49" s="1">
        <v>23.8</v>
      </c>
      <c r="AE49" s="1">
        <v>49.8</v>
      </c>
      <c r="AF49" s="1">
        <v>39.4</v>
      </c>
      <c r="AG49" s="1">
        <v>42.6</v>
      </c>
      <c r="AH49" s="1">
        <v>54.4</v>
      </c>
      <c r="AI49" s="1">
        <v>53</v>
      </c>
      <c r="AJ49" s="1"/>
      <c r="AK49" s="1">
        <f t="shared" si="23"/>
        <v>189</v>
      </c>
      <c r="AL49" s="7">
        <v>5</v>
      </c>
      <c r="AM49" s="9">
        <f t="shared" si="24"/>
        <v>36</v>
      </c>
      <c r="AN49" s="1">
        <f t="shared" si="25"/>
        <v>180</v>
      </c>
      <c r="AO49" s="1">
        <v>12</v>
      </c>
      <c r="AP49" s="1">
        <v>84</v>
      </c>
      <c r="AQ49" s="9">
        <f t="shared" si="26"/>
        <v>0.42857142857142855</v>
      </c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130</v>
      </c>
      <c r="B50" s="1" t="s">
        <v>42</v>
      </c>
      <c r="C50" s="1">
        <v>301</v>
      </c>
      <c r="D50" s="1">
        <v>8</v>
      </c>
      <c r="E50" s="1">
        <v>109</v>
      </c>
      <c r="F50" s="1">
        <v>188</v>
      </c>
      <c r="G50" s="7">
        <v>0.9</v>
      </c>
      <c r="H50" s="1">
        <v>180</v>
      </c>
      <c r="I50" s="1" t="s">
        <v>131</v>
      </c>
      <c r="J50" s="1"/>
      <c r="K50" s="1">
        <v>117</v>
      </c>
      <c r="L50" s="1">
        <f t="shared" si="18"/>
        <v>-8</v>
      </c>
      <c r="M50" s="1"/>
      <c r="N50" s="1"/>
      <c r="O50" s="1"/>
      <c r="P50" s="1">
        <f t="shared" si="19"/>
        <v>21.8</v>
      </c>
      <c r="Q50" s="5">
        <v>139</v>
      </c>
      <c r="R50" s="5">
        <f t="shared" si="27"/>
        <v>182.6</v>
      </c>
      <c r="S50" s="5">
        <f t="shared" si="22"/>
        <v>192</v>
      </c>
      <c r="T50" s="23"/>
      <c r="U50" s="23"/>
      <c r="V50" s="23"/>
      <c r="W50" s="23"/>
      <c r="X50" s="1">
        <f t="shared" si="20"/>
        <v>17.431192660550458</v>
      </c>
      <c r="Y50" s="1">
        <f t="shared" si="21"/>
        <v>8.6238532110091732</v>
      </c>
      <c r="Z50" s="1">
        <v>9.8000000000000007</v>
      </c>
      <c r="AA50" s="1">
        <v>24</v>
      </c>
      <c r="AB50" s="1">
        <v>7.2</v>
      </c>
      <c r="AC50" s="1">
        <v>11.6</v>
      </c>
      <c r="AD50" s="1">
        <v>22.4</v>
      </c>
      <c r="AE50" s="1">
        <v>38.799999999999997</v>
      </c>
      <c r="AF50" s="1">
        <v>10</v>
      </c>
      <c r="AG50" s="1">
        <v>0</v>
      </c>
      <c r="AH50" s="1">
        <v>10.8</v>
      </c>
      <c r="AI50" s="1">
        <v>29.2</v>
      </c>
      <c r="AJ50" s="1"/>
      <c r="AK50" s="1">
        <f t="shared" si="23"/>
        <v>164.34</v>
      </c>
      <c r="AL50" s="7">
        <v>8</v>
      </c>
      <c r="AM50" s="9">
        <f t="shared" si="24"/>
        <v>24</v>
      </c>
      <c r="AN50" s="1">
        <f t="shared" si="25"/>
        <v>172.8</v>
      </c>
      <c r="AO50" s="1">
        <v>12</v>
      </c>
      <c r="AP50" s="1">
        <v>84</v>
      </c>
      <c r="AQ50" s="9">
        <f t="shared" si="26"/>
        <v>0.2857142857142857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132</v>
      </c>
      <c r="B51" s="1" t="s">
        <v>42</v>
      </c>
      <c r="C51" s="1">
        <v>205</v>
      </c>
      <c r="D51" s="1">
        <v>96</v>
      </c>
      <c r="E51" s="1">
        <v>109</v>
      </c>
      <c r="F51" s="1">
        <v>184</v>
      </c>
      <c r="G51" s="7">
        <v>0.9</v>
      </c>
      <c r="H51" s="1">
        <v>180</v>
      </c>
      <c r="I51" s="1" t="s">
        <v>133</v>
      </c>
      <c r="J51" s="1"/>
      <c r="K51" s="1">
        <v>117</v>
      </c>
      <c r="L51" s="1">
        <f t="shared" si="18"/>
        <v>-8</v>
      </c>
      <c r="M51" s="1"/>
      <c r="N51" s="1"/>
      <c r="O51" s="1"/>
      <c r="P51" s="1">
        <f t="shared" si="19"/>
        <v>21.8</v>
      </c>
      <c r="Q51" s="5">
        <v>143</v>
      </c>
      <c r="R51" s="5">
        <f t="shared" si="27"/>
        <v>186.6</v>
      </c>
      <c r="S51" s="5">
        <f t="shared" si="22"/>
        <v>192</v>
      </c>
      <c r="T51" s="23"/>
      <c r="U51" s="23"/>
      <c r="V51" s="23"/>
      <c r="W51" s="23"/>
      <c r="X51" s="1">
        <f t="shared" si="20"/>
        <v>17.247706422018346</v>
      </c>
      <c r="Y51" s="1">
        <f t="shared" si="21"/>
        <v>8.4403669724770634</v>
      </c>
      <c r="Z51" s="1">
        <v>5.4</v>
      </c>
      <c r="AA51" s="1">
        <v>19.8</v>
      </c>
      <c r="AB51" s="1">
        <v>3.2</v>
      </c>
      <c r="AC51" s="1">
        <v>8.1999999999999993</v>
      </c>
      <c r="AD51" s="1">
        <v>21.8</v>
      </c>
      <c r="AE51" s="1">
        <v>28.8</v>
      </c>
      <c r="AF51" s="1">
        <v>1.6</v>
      </c>
      <c r="AG51" s="1">
        <v>1.4</v>
      </c>
      <c r="AH51" s="1">
        <v>30</v>
      </c>
      <c r="AI51" s="1">
        <v>45.2</v>
      </c>
      <c r="AJ51" s="1"/>
      <c r="AK51" s="1">
        <f t="shared" si="23"/>
        <v>167.94</v>
      </c>
      <c r="AL51" s="7">
        <v>8</v>
      </c>
      <c r="AM51" s="9">
        <f t="shared" si="24"/>
        <v>24</v>
      </c>
      <c r="AN51" s="1">
        <f t="shared" si="25"/>
        <v>172.8</v>
      </c>
      <c r="AO51" s="1">
        <v>12</v>
      </c>
      <c r="AP51" s="1">
        <v>84</v>
      </c>
      <c r="AQ51" s="9">
        <f t="shared" si="26"/>
        <v>0.2857142857142857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134</v>
      </c>
      <c r="B52" s="1" t="s">
        <v>79</v>
      </c>
      <c r="C52" s="1">
        <v>-10</v>
      </c>
      <c r="D52" s="1">
        <v>180</v>
      </c>
      <c r="E52" s="1"/>
      <c r="F52" s="1">
        <v>160</v>
      </c>
      <c r="G52" s="7">
        <v>1</v>
      </c>
      <c r="H52" s="1">
        <v>180</v>
      </c>
      <c r="I52" s="1" t="s">
        <v>135</v>
      </c>
      <c r="J52" s="1"/>
      <c r="K52" s="1"/>
      <c r="L52" s="1">
        <f t="shared" si="18"/>
        <v>0</v>
      </c>
      <c r="M52" s="1"/>
      <c r="N52" s="1"/>
      <c r="O52" s="1"/>
      <c r="P52" s="1">
        <f t="shared" si="19"/>
        <v>0</v>
      </c>
      <c r="Q52" s="5"/>
      <c r="R52" s="5">
        <v>180</v>
      </c>
      <c r="S52" s="5">
        <f t="shared" si="22"/>
        <v>180</v>
      </c>
      <c r="T52" s="23"/>
      <c r="U52" s="23"/>
      <c r="V52" s="23">
        <f>VLOOKUP(A52,[1]Sheet!$A:$T,19,0)</f>
        <v>180</v>
      </c>
      <c r="W52" s="23">
        <f>VLOOKUP(A52,[1]Sheet!$A:$T,20,0)</f>
        <v>0</v>
      </c>
      <c r="X52" s="1" t="e">
        <f t="shared" si="20"/>
        <v>#DIV/0!</v>
      </c>
      <c r="Y52" s="1" t="e">
        <f t="shared" si="21"/>
        <v>#DIV/0!</v>
      </c>
      <c r="Z52" s="1">
        <v>0</v>
      </c>
      <c r="AA52" s="1">
        <v>15</v>
      </c>
      <c r="AB52" s="1">
        <v>11</v>
      </c>
      <c r="AC52" s="1">
        <v>14</v>
      </c>
      <c r="AD52" s="1">
        <v>42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 t="s">
        <v>136</v>
      </c>
      <c r="AK52" s="1">
        <f t="shared" si="23"/>
        <v>180</v>
      </c>
      <c r="AL52" s="7">
        <v>5</v>
      </c>
      <c r="AM52" s="9">
        <f t="shared" si="24"/>
        <v>36</v>
      </c>
      <c r="AN52" s="1">
        <f t="shared" si="25"/>
        <v>180</v>
      </c>
      <c r="AO52" s="1">
        <v>12</v>
      </c>
      <c r="AP52" s="1">
        <v>144</v>
      </c>
      <c r="AQ52" s="9">
        <f t="shared" si="26"/>
        <v>0.25</v>
      </c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137</v>
      </c>
      <c r="B53" s="1" t="s">
        <v>42</v>
      </c>
      <c r="C53" s="1">
        <v>105</v>
      </c>
      <c r="D53" s="1">
        <v>660</v>
      </c>
      <c r="E53" s="1">
        <v>110</v>
      </c>
      <c r="F53" s="1">
        <v>625</v>
      </c>
      <c r="G53" s="7">
        <v>1</v>
      </c>
      <c r="H53" s="1">
        <v>180</v>
      </c>
      <c r="I53" s="1" t="s">
        <v>138</v>
      </c>
      <c r="J53" s="1"/>
      <c r="K53" s="1">
        <v>108</v>
      </c>
      <c r="L53" s="1">
        <f t="shared" si="18"/>
        <v>2</v>
      </c>
      <c r="M53" s="1"/>
      <c r="N53" s="1"/>
      <c r="O53" s="1"/>
      <c r="P53" s="1">
        <f t="shared" si="19"/>
        <v>22</v>
      </c>
      <c r="Q53" s="5"/>
      <c r="R53" s="5"/>
      <c r="S53" s="5">
        <f t="shared" si="22"/>
        <v>0</v>
      </c>
      <c r="T53" s="23"/>
      <c r="U53" s="23"/>
      <c r="V53" s="23"/>
      <c r="W53" s="23"/>
      <c r="X53" s="1">
        <f t="shared" si="20"/>
        <v>28.40909090909091</v>
      </c>
      <c r="Y53" s="1">
        <f t="shared" si="21"/>
        <v>28.40909090909091</v>
      </c>
      <c r="Z53" s="1">
        <v>43.4</v>
      </c>
      <c r="AA53" s="1">
        <v>64.8</v>
      </c>
      <c r="AB53" s="1">
        <v>47.4</v>
      </c>
      <c r="AC53" s="1">
        <v>58</v>
      </c>
      <c r="AD53" s="1">
        <v>64</v>
      </c>
      <c r="AE53" s="1">
        <v>0</v>
      </c>
      <c r="AF53" s="1">
        <v>86.8</v>
      </c>
      <c r="AG53" s="1">
        <v>21.8</v>
      </c>
      <c r="AH53" s="1">
        <v>2.4</v>
      </c>
      <c r="AI53" s="1">
        <v>29</v>
      </c>
      <c r="AJ53" s="1"/>
      <c r="AK53" s="1">
        <f t="shared" si="23"/>
        <v>0</v>
      </c>
      <c r="AL53" s="7">
        <v>5</v>
      </c>
      <c r="AM53" s="9">
        <f t="shared" si="24"/>
        <v>0</v>
      </c>
      <c r="AN53" s="1">
        <f t="shared" si="25"/>
        <v>0</v>
      </c>
      <c r="AO53" s="1">
        <v>12</v>
      </c>
      <c r="AP53" s="1">
        <v>84</v>
      </c>
      <c r="AQ53" s="9">
        <f t="shared" si="26"/>
        <v>0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139</v>
      </c>
      <c r="B54" s="1" t="s">
        <v>79</v>
      </c>
      <c r="C54" s="1">
        <v>225.7</v>
      </c>
      <c r="D54" s="1"/>
      <c r="E54" s="1"/>
      <c r="F54" s="1">
        <v>225.7</v>
      </c>
      <c r="G54" s="7">
        <v>1</v>
      </c>
      <c r="H54" s="1">
        <v>180</v>
      </c>
      <c r="I54" s="1" t="s">
        <v>140</v>
      </c>
      <c r="J54" s="1"/>
      <c r="K54" s="1"/>
      <c r="L54" s="1">
        <f t="shared" si="18"/>
        <v>0</v>
      </c>
      <c r="M54" s="1"/>
      <c r="N54" s="1"/>
      <c r="O54" s="1"/>
      <c r="P54" s="1">
        <f t="shared" si="19"/>
        <v>0</v>
      </c>
      <c r="Q54" s="5"/>
      <c r="R54" s="5"/>
      <c r="S54" s="5">
        <f t="shared" si="22"/>
        <v>0</v>
      </c>
      <c r="T54" s="23"/>
      <c r="U54" s="23"/>
      <c r="V54" s="23"/>
      <c r="W54" s="23"/>
      <c r="X54" s="1" t="e">
        <f t="shared" si="20"/>
        <v>#DIV/0!</v>
      </c>
      <c r="Y54" s="1" t="e">
        <f t="shared" si="21"/>
        <v>#DIV/0!</v>
      </c>
      <c r="Z54" s="1">
        <v>0</v>
      </c>
      <c r="AA54" s="1">
        <v>1.48</v>
      </c>
      <c r="AB54" s="1">
        <v>0</v>
      </c>
      <c r="AC54" s="1">
        <v>0</v>
      </c>
      <c r="AD54" s="1">
        <v>0.74</v>
      </c>
      <c r="AE54" s="1">
        <v>2.2200000000000002</v>
      </c>
      <c r="AF54" s="1">
        <v>0.74</v>
      </c>
      <c r="AG54" s="1">
        <v>1.48</v>
      </c>
      <c r="AH54" s="1">
        <v>1.48</v>
      </c>
      <c r="AI54" s="1">
        <v>0</v>
      </c>
      <c r="AJ54" s="19" t="s">
        <v>75</v>
      </c>
      <c r="AK54" s="1">
        <f t="shared" si="23"/>
        <v>0</v>
      </c>
      <c r="AL54" s="7">
        <v>3.7</v>
      </c>
      <c r="AM54" s="9">
        <f t="shared" si="24"/>
        <v>0</v>
      </c>
      <c r="AN54" s="1">
        <f t="shared" si="25"/>
        <v>0</v>
      </c>
      <c r="AO54" s="1">
        <v>14</v>
      </c>
      <c r="AP54" s="1">
        <v>126</v>
      </c>
      <c r="AQ54" s="9">
        <f t="shared" si="26"/>
        <v>0</v>
      </c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141</v>
      </c>
      <c r="B55" s="1" t="s">
        <v>42</v>
      </c>
      <c r="C55" s="1">
        <v>101</v>
      </c>
      <c r="D55" s="1">
        <v>84</v>
      </c>
      <c r="E55" s="1">
        <v>15</v>
      </c>
      <c r="F55" s="1">
        <v>143</v>
      </c>
      <c r="G55" s="7">
        <v>0.23</v>
      </c>
      <c r="H55" s="1">
        <v>180</v>
      </c>
      <c r="I55" s="1" t="s">
        <v>142</v>
      </c>
      <c r="J55" s="1"/>
      <c r="K55" s="1">
        <v>15</v>
      </c>
      <c r="L55" s="1">
        <f t="shared" si="18"/>
        <v>0</v>
      </c>
      <c r="M55" s="1"/>
      <c r="N55" s="1"/>
      <c r="O55" s="1"/>
      <c r="P55" s="1">
        <f t="shared" si="19"/>
        <v>3</v>
      </c>
      <c r="Q55" s="5"/>
      <c r="R55" s="5"/>
      <c r="S55" s="5">
        <f t="shared" si="22"/>
        <v>0</v>
      </c>
      <c r="T55" s="23"/>
      <c r="U55" s="23"/>
      <c r="V55" s="23"/>
      <c r="W55" s="23"/>
      <c r="X55" s="1">
        <f t="shared" si="20"/>
        <v>47.666666666666664</v>
      </c>
      <c r="Y55" s="1">
        <f t="shared" si="21"/>
        <v>47.666666666666664</v>
      </c>
      <c r="Z55" s="1">
        <v>6.4</v>
      </c>
      <c r="AA55" s="1">
        <v>14.6</v>
      </c>
      <c r="AB55" s="1">
        <v>1.8</v>
      </c>
      <c r="AC55" s="1">
        <v>2.2000000000000002</v>
      </c>
      <c r="AD55" s="1">
        <v>10</v>
      </c>
      <c r="AE55" s="1">
        <v>17.399999999999999</v>
      </c>
      <c r="AF55" s="1">
        <v>6.8</v>
      </c>
      <c r="AG55" s="1">
        <v>19.8</v>
      </c>
      <c r="AH55" s="1">
        <v>19.600000000000001</v>
      </c>
      <c r="AI55" s="1">
        <v>23.8</v>
      </c>
      <c r="AJ55" s="1"/>
      <c r="AK55" s="1">
        <f t="shared" si="23"/>
        <v>0</v>
      </c>
      <c r="AL55" s="7">
        <v>6</v>
      </c>
      <c r="AM55" s="9">
        <f t="shared" si="24"/>
        <v>0</v>
      </c>
      <c r="AN55" s="1">
        <f t="shared" si="25"/>
        <v>0</v>
      </c>
      <c r="AO55" s="1">
        <v>14</v>
      </c>
      <c r="AP55" s="1">
        <v>140</v>
      </c>
      <c r="AQ55" s="9">
        <f t="shared" si="26"/>
        <v>0</v>
      </c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143</v>
      </c>
      <c r="B56" s="1" t="s">
        <v>42</v>
      </c>
      <c r="C56" s="1">
        <v>348</v>
      </c>
      <c r="D56" s="1">
        <v>336</v>
      </c>
      <c r="E56" s="1">
        <v>256</v>
      </c>
      <c r="F56" s="1">
        <v>383</v>
      </c>
      <c r="G56" s="7">
        <v>0.25</v>
      </c>
      <c r="H56" s="1">
        <v>180</v>
      </c>
      <c r="I56" s="1" t="s">
        <v>144</v>
      </c>
      <c r="J56" s="1"/>
      <c r="K56" s="1">
        <v>261</v>
      </c>
      <c r="L56" s="1">
        <f t="shared" si="18"/>
        <v>-5</v>
      </c>
      <c r="M56" s="1"/>
      <c r="N56" s="1"/>
      <c r="O56" s="1"/>
      <c r="P56" s="1">
        <f t="shared" si="19"/>
        <v>51.2</v>
      </c>
      <c r="Q56" s="5">
        <v>385</v>
      </c>
      <c r="R56" s="5">
        <f>15*P56-F56+$R$1*P56</f>
        <v>487.4</v>
      </c>
      <c r="S56" s="5">
        <f t="shared" si="22"/>
        <v>504</v>
      </c>
      <c r="T56" s="23"/>
      <c r="U56" s="23"/>
      <c r="V56" s="23"/>
      <c r="W56" s="23"/>
      <c r="X56" s="1">
        <f t="shared" si="20"/>
        <v>17.32421875</v>
      </c>
      <c r="Y56" s="1">
        <f t="shared" si="21"/>
        <v>7.48046875</v>
      </c>
      <c r="Z56" s="1">
        <v>31.2</v>
      </c>
      <c r="AA56" s="1">
        <v>52.2</v>
      </c>
      <c r="AB56" s="1">
        <v>15</v>
      </c>
      <c r="AC56" s="1">
        <v>29.4</v>
      </c>
      <c r="AD56" s="1">
        <v>38.6</v>
      </c>
      <c r="AE56" s="1">
        <v>60</v>
      </c>
      <c r="AF56" s="1">
        <v>51.4</v>
      </c>
      <c r="AG56" s="1">
        <v>51</v>
      </c>
      <c r="AH56" s="1">
        <v>51.2</v>
      </c>
      <c r="AI56" s="1">
        <v>45.6</v>
      </c>
      <c r="AJ56" s="1"/>
      <c r="AK56" s="1">
        <f t="shared" si="23"/>
        <v>121.85</v>
      </c>
      <c r="AL56" s="7">
        <v>12</v>
      </c>
      <c r="AM56" s="9">
        <f t="shared" si="24"/>
        <v>42</v>
      </c>
      <c r="AN56" s="1">
        <f t="shared" si="25"/>
        <v>126</v>
      </c>
      <c r="AO56" s="1">
        <v>14</v>
      </c>
      <c r="AP56" s="1">
        <v>70</v>
      </c>
      <c r="AQ56" s="9">
        <f t="shared" si="26"/>
        <v>0.6</v>
      </c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145</v>
      </c>
      <c r="B57" s="1" t="s">
        <v>42</v>
      </c>
      <c r="C57" s="1">
        <v>432</v>
      </c>
      <c r="D57" s="1"/>
      <c r="E57" s="1">
        <v>88</v>
      </c>
      <c r="F57" s="1">
        <v>314</v>
      </c>
      <c r="G57" s="7">
        <v>0.25</v>
      </c>
      <c r="H57" s="1">
        <v>180</v>
      </c>
      <c r="I57" s="1" t="s">
        <v>146</v>
      </c>
      <c r="J57" s="1"/>
      <c r="K57" s="1">
        <v>94</v>
      </c>
      <c r="L57" s="1">
        <f t="shared" si="18"/>
        <v>-6</v>
      </c>
      <c r="M57" s="1"/>
      <c r="N57" s="1"/>
      <c r="O57" s="1"/>
      <c r="P57" s="1">
        <f t="shared" si="19"/>
        <v>17.600000000000001</v>
      </c>
      <c r="Q57" s="5"/>
      <c r="R57" s="5"/>
      <c r="S57" s="5">
        <f t="shared" si="22"/>
        <v>0</v>
      </c>
      <c r="T57" s="23"/>
      <c r="U57" s="23"/>
      <c r="V57" s="23"/>
      <c r="W57" s="23"/>
      <c r="X57" s="1">
        <f t="shared" si="20"/>
        <v>17.84090909090909</v>
      </c>
      <c r="Y57" s="1">
        <f t="shared" si="21"/>
        <v>17.84090909090909</v>
      </c>
      <c r="Z57" s="1">
        <v>23.2</v>
      </c>
      <c r="AA57" s="1">
        <v>12.2</v>
      </c>
      <c r="AB57" s="1">
        <v>9.4</v>
      </c>
      <c r="AC57" s="1">
        <v>12.6</v>
      </c>
      <c r="AD57" s="1">
        <v>5.6</v>
      </c>
      <c r="AE57" s="1">
        <v>17.399999999999999</v>
      </c>
      <c r="AF57" s="1">
        <v>20.399999999999999</v>
      </c>
      <c r="AG57" s="1">
        <v>30.8</v>
      </c>
      <c r="AH57" s="1">
        <v>26.4</v>
      </c>
      <c r="AI57" s="1">
        <v>24</v>
      </c>
      <c r="AJ57" s="1"/>
      <c r="AK57" s="1">
        <f t="shared" si="23"/>
        <v>0</v>
      </c>
      <c r="AL57" s="7">
        <v>12</v>
      </c>
      <c r="AM57" s="9">
        <f t="shared" si="24"/>
        <v>0</v>
      </c>
      <c r="AN57" s="1">
        <f t="shared" si="25"/>
        <v>0</v>
      </c>
      <c r="AO57" s="1">
        <v>14</v>
      </c>
      <c r="AP57" s="1">
        <v>70</v>
      </c>
      <c r="AQ57" s="9">
        <f t="shared" si="26"/>
        <v>0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147</v>
      </c>
      <c r="B58" s="1" t="s">
        <v>42</v>
      </c>
      <c r="C58" s="1">
        <v>205</v>
      </c>
      <c r="D58" s="1"/>
      <c r="E58" s="1"/>
      <c r="F58" s="1">
        <v>202</v>
      </c>
      <c r="G58" s="7">
        <v>0.18</v>
      </c>
      <c r="H58" s="1">
        <v>180</v>
      </c>
      <c r="I58" s="1" t="s">
        <v>148</v>
      </c>
      <c r="J58" s="1"/>
      <c r="K58" s="1"/>
      <c r="L58" s="1">
        <f t="shared" si="18"/>
        <v>0</v>
      </c>
      <c r="M58" s="1"/>
      <c r="N58" s="1"/>
      <c r="O58" s="1"/>
      <c r="P58" s="1">
        <f t="shared" si="19"/>
        <v>0</v>
      </c>
      <c r="Q58" s="5"/>
      <c r="R58" s="5"/>
      <c r="S58" s="5">
        <f t="shared" si="22"/>
        <v>0</v>
      </c>
      <c r="T58" s="23"/>
      <c r="U58" s="23"/>
      <c r="V58" s="23"/>
      <c r="W58" s="23"/>
      <c r="X58" s="1" t="e">
        <f t="shared" si="20"/>
        <v>#DIV/0!</v>
      </c>
      <c r="Y58" s="1" t="e">
        <f t="shared" si="21"/>
        <v>#DIV/0!</v>
      </c>
      <c r="Z58" s="1">
        <v>2.6</v>
      </c>
      <c r="AA58" s="1">
        <v>0.4</v>
      </c>
      <c r="AB58" s="1">
        <v>0</v>
      </c>
      <c r="AC58" s="1">
        <v>0</v>
      </c>
      <c r="AD58" s="1">
        <v>0</v>
      </c>
      <c r="AE58" s="1">
        <v>1.2</v>
      </c>
      <c r="AF58" s="1">
        <v>3</v>
      </c>
      <c r="AG58" s="1">
        <v>3</v>
      </c>
      <c r="AH58" s="1">
        <v>1.4</v>
      </c>
      <c r="AI58" s="1">
        <v>3.2</v>
      </c>
      <c r="AJ58" s="19" t="s">
        <v>75</v>
      </c>
      <c r="AK58" s="1">
        <f t="shared" si="23"/>
        <v>0</v>
      </c>
      <c r="AL58" s="7">
        <v>6</v>
      </c>
      <c r="AM58" s="9">
        <f t="shared" si="24"/>
        <v>0</v>
      </c>
      <c r="AN58" s="1">
        <f t="shared" si="25"/>
        <v>0</v>
      </c>
      <c r="AO58" s="1">
        <v>14</v>
      </c>
      <c r="AP58" s="1">
        <v>140</v>
      </c>
      <c r="AQ58" s="9">
        <f t="shared" si="26"/>
        <v>0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149</v>
      </c>
      <c r="B59" s="1" t="s">
        <v>42</v>
      </c>
      <c r="C59" s="1">
        <v>100</v>
      </c>
      <c r="D59" s="1"/>
      <c r="E59" s="1"/>
      <c r="F59" s="1">
        <v>97</v>
      </c>
      <c r="G59" s="7">
        <v>0.18</v>
      </c>
      <c r="H59" s="1">
        <v>180</v>
      </c>
      <c r="I59" s="1" t="s">
        <v>150</v>
      </c>
      <c r="J59" s="1"/>
      <c r="K59" s="1"/>
      <c r="L59" s="1">
        <f t="shared" si="18"/>
        <v>0</v>
      </c>
      <c r="M59" s="1"/>
      <c r="N59" s="1"/>
      <c r="O59" s="1"/>
      <c r="P59" s="1">
        <f t="shared" si="19"/>
        <v>0</v>
      </c>
      <c r="Q59" s="5"/>
      <c r="R59" s="5"/>
      <c r="S59" s="5">
        <f t="shared" si="22"/>
        <v>0</v>
      </c>
      <c r="T59" s="23"/>
      <c r="U59" s="23"/>
      <c r="V59" s="23"/>
      <c r="W59" s="23"/>
      <c r="X59" s="1" t="e">
        <f t="shared" si="20"/>
        <v>#DIV/0!</v>
      </c>
      <c r="Y59" s="1" t="e">
        <f t="shared" si="21"/>
        <v>#DIV/0!</v>
      </c>
      <c r="Z59" s="1">
        <v>2.6</v>
      </c>
      <c r="AA59" s="1">
        <v>1.2</v>
      </c>
      <c r="AB59" s="1">
        <v>0</v>
      </c>
      <c r="AC59" s="1">
        <v>0</v>
      </c>
      <c r="AD59" s="1">
        <v>0</v>
      </c>
      <c r="AE59" s="1">
        <v>2.2000000000000002</v>
      </c>
      <c r="AF59" s="1">
        <v>3.4</v>
      </c>
      <c r="AG59" s="1">
        <v>3.8</v>
      </c>
      <c r="AH59" s="1">
        <v>1.4</v>
      </c>
      <c r="AI59" s="1">
        <v>3.2</v>
      </c>
      <c r="AJ59" s="19" t="s">
        <v>75</v>
      </c>
      <c r="AK59" s="1">
        <f t="shared" si="23"/>
        <v>0</v>
      </c>
      <c r="AL59" s="7">
        <v>6</v>
      </c>
      <c r="AM59" s="9">
        <f t="shared" si="24"/>
        <v>0</v>
      </c>
      <c r="AN59" s="1">
        <f t="shared" si="25"/>
        <v>0</v>
      </c>
      <c r="AO59" s="1">
        <v>14</v>
      </c>
      <c r="AP59" s="1">
        <v>140</v>
      </c>
      <c r="AQ59" s="9">
        <f t="shared" si="26"/>
        <v>0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151</v>
      </c>
      <c r="B60" s="1" t="s">
        <v>42</v>
      </c>
      <c r="C60" s="1">
        <v>68</v>
      </c>
      <c r="D60" s="1"/>
      <c r="E60" s="1"/>
      <c r="F60" s="1">
        <v>68</v>
      </c>
      <c r="G60" s="7">
        <v>0.18</v>
      </c>
      <c r="H60" s="1">
        <v>180</v>
      </c>
      <c r="I60" s="1" t="s">
        <v>152</v>
      </c>
      <c r="J60" s="1"/>
      <c r="K60" s="1"/>
      <c r="L60" s="1">
        <f t="shared" si="18"/>
        <v>0</v>
      </c>
      <c r="M60" s="1"/>
      <c r="N60" s="1"/>
      <c r="O60" s="1"/>
      <c r="P60" s="1">
        <f t="shared" si="19"/>
        <v>0</v>
      </c>
      <c r="Q60" s="5"/>
      <c r="R60" s="5"/>
      <c r="S60" s="5">
        <f t="shared" si="22"/>
        <v>0</v>
      </c>
      <c r="T60" s="23"/>
      <c r="U60" s="23"/>
      <c r="V60" s="23"/>
      <c r="W60" s="23"/>
      <c r="X60" s="1" t="e">
        <f t="shared" si="20"/>
        <v>#DIV/0!</v>
      </c>
      <c r="Y60" s="1" t="e">
        <f t="shared" si="21"/>
        <v>#DIV/0!</v>
      </c>
      <c r="Z60" s="1">
        <v>2.4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0.2</v>
      </c>
      <c r="AH60" s="1">
        <v>0.2</v>
      </c>
      <c r="AI60" s="1">
        <v>2.4</v>
      </c>
      <c r="AJ60" s="19" t="s">
        <v>75</v>
      </c>
      <c r="AK60" s="1">
        <f t="shared" si="23"/>
        <v>0</v>
      </c>
      <c r="AL60" s="7">
        <v>6</v>
      </c>
      <c r="AM60" s="9">
        <f t="shared" si="24"/>
        <v>0</v>
      </c>
      <c r="AN60" s="1">
        <f t="shared" si="25"/>
        <v>0</v>
      </c>
      <c r="AO60" s="1">
        <v>14</v>
      </c>
      <c r="AP60" s="1">
        <v>140</v>
      </c>
      <c r="AQ60" s="9">
        <f t="shared" si="26"/>
        <v>0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153</v>
      </c>
      <c r="B61" s="1" t="s">
        <v>42</v>
      </c>
      <c r="C61" s="1">
        <v>103</v>
      </c>
      <c r="D61" s="1">
        <v>336</v>
      </c>
      <c r="E61" s="1">
        <v>104</v>
      </c>
      <c r="F61" s="1">
        <v>293</v>
      </c>
      <c r="G61" s="7">
        <v>0.3</v>
      </c>
      <c r="H61" s="1">
        <v>180</v>
      </c>
      <c r="I61" s="1" t="s">
        <v>154</v>
      </c>
      <c r="J61" s="1"/>
      <c r="K61" s="1">
        <v>127</v>
      </c>
      <c r="L61" s="1">
        <f t="shared" si="18"/>
        <v>-23</v>
      </c>
      <c r="M61" s="1"/>
      <c r="N61" s="1"/>
      <c r="O61" s="1"/>
      <c r="P61" s="1">
        <f t="shared" si="19"/>
        <v>20.8</v>
      </c>
      <c r="Q61" s="5">
        <v>102.19999999999999</v>
      </c>
      <c r="R61" s="5">
        <v>672</v>
      </c>
      <c r="S61" s="5">
        <f t="shared" si="22"/>
        <v>672</v>
      </c>
      <c r="T61" s="23"/>
      <c r="U61" s="23"/>
      <c r="V61" s="23">
        <f>VLOOKUP(A61,[1]Sheet!$A:$T,19,0)</f>
        <v>672</v>
      </c>
      <c r="W61" s="23">
        <f>VLOOKUP(A61,[1]Sheet!$A:$T,20,0)</f>
        <v>0</v>
      </c>
      <c r="X61" s="1">
        <f t="shared" si="20"/>
        <v>46.394230769230766</v>
      </c>
      <c r="Y61" s="1">
        <f t="shared" si="21"/>
        <v>14.086538461538462</v>
      </c>
      <c r="Z61" s="1">
        <v>41.6</v>
      </c>
      <c r="AA61" s="1">
        <v>40.200000000000003</v>
      </c>
      <c r="AB61" s="1">
        <v>25</v>
      </c>
      <c r="AC61" s="1">
        <v>23.6</v>
      </c>
      <c r="AD61" s="1">
        <v>28.6</v>
      </c>
      <c r="AE61" s="1">
        <v>41.2</v>
      </c>
      <c r="AF61" s="1">
        <v>54.4</v>
      </c>
      <c r="AG61" s="1">
        <v>50</v>
      </c>
      <c r="AH61" s="1">
        <v>52.2</v>
      </c>
      <c r="AI61" s="1">
        <v>48.8</v>
      </c>
      <c r="AJ61" s="1"/>
      <c r="AK61" s="1">
        <f t="shared" si="23"/>
        <v>201.6</v>
      </c>
      <c r="AL61" s="7">
        <v>12</v>
      </c>
      <c r="AM61" s="9">
        <f t="shared" si="24"/>
        <v>56</v>
      </c>
      <c r="AN61" s="1">
        <f t="shared" si="25"/>
        <v>201.6</v>
      </c>
      <c r="AO61" s="1">
        <v>14</v>
      </c>
      <c r="AP61" s="1">
        <v>70</v>
      </c>
      <c r="AQ61" s="9">
        <f t="shared" si="26"/>
        <v>0.8</v>
      </c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155</v>
      </c>
      <c r="B62" s="1" t="s">
        <v>42</v>
      </c>
      <c r="C62" s="1">
        <v>29</v>
      </c>
      <c r="D62" s="1">
        <v>672</v>
      </c>
      <c r="E62" s="1">
        <v>28</v>
      </c>
      <c r="F62" s="1">
        <v>595</v>
      </c>
      <c r="G62" s="7">
        <v>0.3</v>
      </c>
      <c r="H62" s="1">
        <v>180</v>
      </c>
      <c r="I62" s="1" t="s">
        <v>156</v>
      </c>
      <c r="J62" s="1"/>
      <c r="K62" s="1">
        <v>119</v>
      </c>
      <c r="L62" s="1">
        <f t="shared" si="18"/>
        <v>-91</v>
      </c>
      <c r="M62" s="1"/>
      <c r="N62" s="1"/>
      <c r="O62" s="1"/>
      <c r="P62" s="1">
        <f t="shared" si="19"/>
        <v>5.6</v>
      </c>
      <c r="Q62" s="5"/>
      <c r="R62" s="5">
        <v>672</v>
      </c>
      <c r="S62" s="5">
        <f t="shared" si="22"/>
        <v>672</v>
      </c>
      <c r="T62" s="23"/>
      <c r="U62" s="23"/>
      <c r="V62" s="23">
        <f>VLOOKUP(A62,[1]Sheet!$A:$T,19,0)</f>
        <v>672</v>
      </c>
      <c r="W62" s="23">
        <f>VLOOKUP(A62,[1]Sheet!$A:$T,20,0)</f>
        <v>0</v>
      </c>
      <c r="X62" s="1">
        <f t="shared" si="20"/>
        <v>226.25000000000003</v>
      </c>
      <c r="Y62" s="1">
        <f t="shared" si="21"/>
        <v>106.25</v>
      </c>
      <c r="Z62" s="1">
        <v>17.8</v>
      </c>
      <c r="AA62" s="1">
        <v>67.8</v>
      </c>
      <c r="AB62" s="1">
        <v>27</v>
      </c>
      <c r="AC62" s="1">
        <v>25</v>
      </c>
      <c r="AD62" s="1">
        <v>47.4</v>
      </c>
      <c r="AE62" s="1">
        <v>47.8</v>
      </c>
      <c r="AF62" s="1">
        <v>71.400000000000006</v>
      </c>
      <c r="AG62" s="1">
        <v>60.4</v>
      </c>
      <c r="AH62" s="1">
        <v>65.599999999999994</v>
      </c>
      <c r="AI62" s="1">
        <v>64.8</v>
      </c>
      <c r="AJ62" s="1"/>
      <c r="AK62" s="1">
        <f t="shared" si="23"/>
        <v>201.6</v>
      </c>
      <c r="AL62" s="7">
        <v>12</v>
      </c>
      <c r="AM62" s="9">
        <f t="shared" si="24"/>
        <v>56</v>
      </c>
      <c r="AN62" s="1">
        <f t="shared" si="25"/>
        <v>201.6</v>
      </c>
      <c r="AO62" s="1">
        <v>14</v>
      </c>
      <c r="AP62" s="1">
        <v>70</v>
      </c>
      <c r="AQ62" s="9">
        <f t="shared" si="26"/>
        <v>0.8</v>
      </c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157</v>
      </c>
      <c r="B63" s="1" t="s">
        <v>42</v>
      </c>
      <c r="C63" s="1">
        <v>19</v>
      </c>
      <c r="D63" s="1">
        <v>196</v>
      </c>
      <c r="E63" s="1">
        <v>10</v>
      </c>
      <c r="F63" s="1">
        <v>202</v>
      </c>
      <c r="G63" s="7">
        <v>0.3</v>
      </c>
      <c r="H63" s="1">
        <v>180</v>
      </c>
      <c r="I63" s="1" t="s">
        <v>158</v>
      </c>
      <c r="J63" s="1"/>
      <c r="K63" s="1">
        <v>13</v>
      </c>
      <c r="L63" s="1">
        <f t="shared" si="18"/>
        <v>-3</v>
      </c>
      <c r="M63" s="1"/>
      <c r="N63" s="1"/>
      <c r="O63" s="1"/>
      <c r="P63" s="1">
        <f t="shared" si="19"/>
        <v>2</v>
      </c>
      <c r="Q63" s="5"/>
      <c r="R63" s="5"/>
      <c r="S63" s="5">
        <f t="shared" si="22"/>
        <v>0</v>
      </c>
      <c r="T63" s="23"/>
      <c r="U63" s="23"/>
      <c r="V63" s="23"/>
      <c r="W63" s="23"/>
      <c r="X63" s="1">
        <f t="shared" si="20"/>
        <v>101</v>
      </c>
      <c r="Y63" s="1">
        <f t="shared" si="21"/>
        <v>101</v>
      </c>
      <c r="Z63" s="1">
        <v>7.8</v>
      </c>
      <c r="AA63" s="1">
        <v>6</v>
      </c>
      <c r="AB63" s="1">
        <v>4.4000000000000004</v>
      </c>
      <c r="AC63" s="1">
        <v>4.5999999999999996</v>
      </c>
      <c r="AD63" s="1">
        <v>6.4</v>
      </c>
      <c r="AE63" s="1">
        <v>4.2</v>
      </c>
      <c r="AF63" s="1">
        <v>5.6</v>
      </c>
      <c r="AG63" s="1">
        <v>2.4</v>
      </c>
      <c r="AH63" s="1">
        <v>0.6</v>
      </c>
      <c r="AI63" s="1">
        <v>3.2</v>
      </c>
      <c r="AJ63" s="18" t="s">
        <v>96</v>
      </c>
      <c r="AK63" s="1">
        <f t="shared" si="23"/>
        <v>0</v>
      </c>
      <c r="AL63" s="7">
        <v>14</v>
      </c>
      <c r="AM63" s="9">
        <f t="shared" si="24"/>
        <v>0</v>
      </c>
      <c r="AN63" s="1">
        <f t="shared" si="25"/>
        <v>0</v>
      </c>
      <c r="AO63" s="1">
        <v>14</v>
      </c>
      <c r="AP63" s="1">
        <v>70</v>
      </c>
      <c r="AQ63" s="9">
        <f t="shared" si="26"/>
        <v>0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159</v>
      </c>
      <c r="B64" s="1" t="s">
        <v>42</v>
      </c>
      <c r="C64" s="1">
        <v>430</v>
      </c>
      <c r="D64" s="1">
        <v>675</v>
      </c>
      <c r="E64" s="1">
        <v>373</v>
      </c>
      <c r="F64" s="1">
        <v>636</v>
      </c>
      <c r="G64" s="7">
        <v>0.25</v>
      </c>
      <c r="H64" s="1">
        <v>180</v>
      </c>
      <c r="I64" s="1" t="s">
        <v>160</v>
      </c>
      <c r="J64" s="1"/>
      <c r="K64" s="1">
        <v>382</v>
      </c>
      <c r="L64" s="1">
        <f t="shared" si="18"/>
        <v>-9</v>
      </c>
      <c r="M64" s="1"/>
      <c r="N64" s="1"/>
      <c r="O64" s="1"/>
      <c r="P64" s="1">
        <f t="shared" si="19"/>
        <v>74.599999999999994</v>
      </c>
      <c r="Q64" s="5">
        <v>483</v>
      </c>
      <c r="R64" s="5">
        <f>15*P64-F64+$R$1*P64</f>
        <v>632.20000000000005</v>
      </c>
      <c r="S64" s="5">
        <f t="shared" si="22"/>
        <v>672</v>
      </c>
      <c r="T64" s="23"/>
      <c r="U64" s="23"/>
      <c r="V64" s="23"/>
      <c r="W64" s="23"/>
      <c r="X64" s="1">
        <f t="shared" si="20"/>
        <v>17.533512064343164</v>
      </c>
      <c r="Y64" s="1">
        <f t="shared" si="21"/>
        <v>8.5254691689008055</v>
      </c>
      <c r="Z64" s="1">
        <v>53.6</v>
      </c>
      <c r="AA64" s="1">
        <v>85.2</v>
      </c>
      <c r="AB64" s="1">
        <v>38.200000000000003</v>
      </c>
      <c r="AC64" s="1">
        <v>48.8</v>
      </c>
      <c r="AD64" s="1">
        <v>69</v>
      </c>
      <c r="AE64" s="1">
        <v>89</v>
      </c>
      <c r="AF64" s="1">
        <v>75.400000000000006</v>
      </c>
      <c r="AG64" s="1">
        <v>75.599999999999994</v>
      </c>
      <c r="AH64" s="1">
        <v>78.599999999999994</v>
      </c>
      <c r="AI64" s="1">
        <v>104.4</v>
      </c>
      <c r="AJ64" s="1"/>
      <c r="AK64" s="1">
        <f t="shared" si="23"/>
        <v>158.05000000000001</v>
      </c>
      <c r="AL64" s="7">
        <v>12</v>
      </c>
      <c r="AM64" s="9">
        <f t="shared" si="24"/>
        <v>56</v>
      </c>
      <c r="AN64" s="1">
        <f t="shared" si="25"/>
        <v>168</v>
      </c>
      <c r="AO64" s="1">
        <v>14</v>
      </c>
      <c r="AP64" s="1">
        <v>70</v>
      </c>
      <c r="AQ64" s="9">
        <f t="shared" si="26"/>
        <v>0.8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52</v>
      </c>
      <c r="B65" s="1" t="s">
        <v>42</v>
      </c>
      <c r="C65" s="1">
        <v>397</v>
      </c>
      <c r="D65" s="1">
        <v>675</v>
      </c>
      <c r="E65" s="1">
        <v>330</v>
      </c>
      <c r="F65" s="17">
        <f>690+F10</f>
        <v>791</v>
      </c>
      <c r="G65" s="7">
        <v>0.25</v>
      </c>
      <c r="H65" s="1">
        <v>180</v>
      </c>
      <c r="I65" s="1" t="s">
        <v>161</v>
      </c>
      <c r="J65" s="1"/>
      <c r="K65" s="1">
        <v>339</v>
      </c>
      <c r="L65" s="1">
        <f t="shared" si="18"/>
        <v>-9</v>
      </c>
      <c r="M65" s="1"/>
      <c r="N65" s="1"/>
      <c r="O65" s="1"/>
      <c r="P65" s="1">
        <f t="shared" si="19"/>
        <v>66</v>
      </c>
      <c r="Q65" s="5">
        <v>199</v>
      </c>
      <c r="R65" s="5">
        <v>672</v>
      </c>
      <c r="S65" s="5">
        <f t="shared" si="22"/>
        <v>672</v>
      </c>
      <c r="T65" s="23"/>
      <c r="U65" s="23"/>
      <c r="V65" s="23">
        <f>VLOOKUP(A65,[1]Sheet!$A:$T,19,0)</f>
        <v>672</v>
      </c>
      <c r="W65" s="23">
        <f>VLOOKUP(A65,[1]Sheet!$A:$T,20,0)</f>
        <v>0</v>
      </c>
      <c r="X65" s="1">
        <f t="shared" si="20"/>
        <v>22.166666666666668</v>
      </c>
      <c r="Y65" s="1">
        <f t="shared" si="21"/>
        <v>11.984848484848484</v>
      </c>
      <c r="Z65" s="1">
        <v>52.4</v>
      </c>
      <c r="AA65" s="1">
        <v>88.2</v>
      </c>
      <c r="AB65" s="1">
        <v>30.6</v>
      </c>
      <c r="AC65" s="1">
        <v>34.799999999999997</v>
      </c>
      <c r="AD65" s="1">
        <v>74.8</v>
      </c>
      <c r="AE65" s="1">
        <v>96</v>
      </c>
      <c r="AF65" s="1">
        <v>80.400000000000006</v>
      </c>
      <c r="AG65" s="1">
        <v>82.2</v>
      </c>
      <c r="AH65" s="1">
        <v>100.4</v>
      </c>
      <c r="AI65" s="1">
        <v>114</v>
      </c>
      <c r="AJ65" s="1"/>
      <c r="AK65" s="1">
        <f t="shared" si="23"/>
        <v>168</v>
      </c>
      <c r="AL65" s="7">
        <v>12</v>
      </c>
      <c r="AM65" s="9">
        <f t="shared" si="24"/>
        <v>56</v>
      </c>
      <c r="AN65" s="1">
        <f t="shared" si="25"/>
        <v>168</v>
      </c>
      <c r="AO65" s="1">
        <v>14</v>
      </c>
      <c r="AP65" s="1">
        <v>70</v>
      </c>
      <c r="AQ65" s="9">
        <f t="shared" si="26"/>
        <v>0.8</v>
      </c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162</v>
      </c>
      <c r="B66" s="1" t="s">
        <v>42</v>
      </c>
      <c r="C66" s="1">
        <v>-4</v>
      </c>
      <c r="D66" s="1">
        <v>168</v>
      </c>
      <c r="E66" s="1"/>
      <c r="F66" s="1">
        <v>137</v>
      </c>
      <c r="G66" s="7">
        <v>0.2</v>
      </c>
      <c r="H66" s="1">
        <v>365</v>
      </c>
      <c r="I66" s="1" t="s">
        <v>163</v>
      </c>
      <c r="J66" s="1"/>
      <c r="K66" s="1">
        <v>6</v>
      </c>
      <c r="L66" s="1">
        <f t="shared" si="18"/>
        <v>-6</v>
      </c>
      <c r="M66" s="1"/>
      <c r="N66" s="1"/>
      <c r="O66" s="1"/>
      <c r="P66" s="1">
        <f t="shared" si="19"/>
        <v>0</v>
      </c>
      <c r="Q66" s="5"/>
      <c r="R66" s="5"/>
      <c r="S66" s="5">
        <f t="shared" si="22"/>
        <v>0</v>
      </c>
      <c r="T66" s="23"/>
      <c r="U66" s="23"/>
      <c r="V66" s="23"/>
      <c r="W66" s="23"/>
      <c r="X66" s="1" t="e">
        <f t="shared" si="20"/>
        <v>#DIV/0!</v>
      </c>
      <c r="Y66" s="1" t="e">
        <f t="shared" si="21"/>
        <v>#DIV/0!</v>
      </c>
      <c r="Z66" s="1">
        <v>0</v>
      </c>
      <c r="AA66" s="1">
        <v>14.8</v>
      </c>
      <c r="AB66" s="1">
        <v>8.1999999999999993</v>
      </c>
      <c r="AC66" s="1">
        <v>9</v>
      </c>
      <c r="AD66" s="1">
        <v>7.6</v>
      </c>
      <c r="AE66" s="1">
        <v>12.4</v>
      </c>
      <c r="AF66" s="1">
        <v>8.4</v>
      </c>
      <c r="AG66" s="1">
        <v>6.6</v>
      </c>
      <c r="AH66" s="1">
        <v>11.4</v>
      </c>
      <c r="AI66" s="1">
        <v>15.8</v>
      </c>
      <c r="AJ66" s="1"/>
      <c r="AK66" s="1">
        <f t="shared" si="23"/>
        <v>0</v>
      </c>
      <c r="AL66" s="7">
        <v>6</v>
      </c>
      <c r="AM66" s="9">
        <f t="shared" si="24"/>
        <v>0</v>
      </c>
      <c r="AN66" s="1">
        <f t="shared" si="25"/>
        <v>0</v>
      </c>
      <c r="AO66" s="1">
        <v>14</v>
      </c>
      <c r="AP66" s="1">
        <v>140</v>
      </c>
      <c r="AQ66" s="9">
        <f t="shared" si="26"/>
        <v>0</v>
      </c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164</v>
      </c>
      <c r="B67" s="1" t="s">
        <v>42</v>
      </c>
      <c r="C67" s="1">
        <v>54</v>
      </c>
      <c r="D67" s="1">
        <v>252</v>
      </c>
      <c r="E67" s="1">
        <v>55</v>
      </c>
      <c r="F67" s="1">
        <v>236</v>
      </c>
      <c r="G67" s="7">
        <v>0.23</v>
      </c>
      <c r="H67" s="1">
        <v>180</v>
      </c>
      <c r="I67" s="1" t="s">
        <v>165</v>
      </c>
      <c r="J67" s="1"/>
      <c r="K67" s="1">
        <v>63</v>
      </c>
      <c r="L67" s="1">
        <f t="shared" si="18"/>
        <v>-8</v>
      </c>
      <c r="M67" s="1"/>
      <c r="N67" s="1"/>
      <c r="O67" s="1"/>
      <c r="P67" s="1">
        <f t="shared" si="19"/>
        <v>11</v>
      </c>
      <c r="Q67" s="5"/>
      <c r="R67" s="5"/>
      <c r="S67" s="5">
        <f t="shared" si="22"/>
        <v>0</v>
      </c>
      <c r="T67" s="23"/>
      <c r="U67" s="23"/>
      <c r="V67" s="23"/>
      <c r="W67" s="23"/>
      <c r="X67" s="1">
        <f t="shared" si="20"/>
        <v>21.454545454545453</v>
      </c>
      <c r="Y67" s="1">
        <f t="shared" si="21"/>
        <v>21.454545454545453</v>
      </c>
      <c r="Z67" s="1">
        <v>15.8</v>
      </c>
      <c r="AA67" s="1">
        <v>25.8</v>
      </c>
      <c r="AB67" s="1">
        <v>9.6</v>
      </c>
      <c r="AC67" s="1">
        <v>15</v>
      </c>
      <c r="AD67" s="1">
        <v>28.4</v>
      </c>
      <c r="AE67" s="1">
        <v>29.2</v>
      </c>
      <c r="AF67" s="1">
        <v>19.8</v>
      </c>
      <c r="AG67" s="1">
        <v>17.399999999999999</v>
      </c>
      <c r="AH67" s="1">
        <v>31.8</v>
      </c>
      <c r="AI67" s="1">
        <v>39.6</v>
      </c>
      <c r="AJ67" s="1"/>
      <c r="AK67" s="1">
        <f t="shared" si="23"/>
        <v>0</v>
      </c>
      <c r="AL67" s="7">
        <v>6</v>
      </c>
      <c r="AM67" s="9">
        <f t="shared" si="24"/>
        <v>0</v>
      </c>
      <c r="AN67" s="1">
        <f t="shared" si="25"/>
        <v>0</v>
      </c>
      <c r="AO67" s="1">
        <v>14</v>
      </c>
      <c r="AP67" s="1">
        <v>140</v>
      </c>
      <c r="AQ67" s="9">
        <f t="shared" si="26"/>
        <v>0</v>
      </c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166</v>
      </c>
      <c r="B68" s="1" t="s">
        <v>79</v>
      </c>
      <c r="C68" s="1">
        <v>218.7</v>
      </c>
      <c r="D68" s="1"/>
      <c r="E68" s="1">
        <v>129.6</v>
      </c>
      <c r="F68" s="1">
        <v>83.7</v>
      </c>
      <c r="G68" s="7">
        <v>1</v>
      </c>
      <c r="H68" s="1">
        <v>180</v>
      </c>
      <c r="I68" s="1" t="s">
        <v>167</v>
      </c>
      <c r="J68" s="1"/>
      <c r="K68" s="1">
        <v>125.6</v>
      </c>
      <c r="L68" s="1">
        <f t="shared" si="18"/>
        <v>4</v>
      </c>
      <c r="M68" s="1"/>
      <c r="N68" s="1"/>
      <c r="O68" s="1"/>
      <c r="P68" s="1">
        <f t="shared" si="19"/>
        <v>25.919999999999998</v>
      </c>
      <c r="Q68" s="5">
        <v>253.26</v>
      </c>
      <c r="R68" s="5">
        <f>15*P68-F68+$R$1*P68</f>
        <v>356.93999999999994</v>
      </c>
      <c r="S68" s="5">
        <f t="shared" si="22"/>
        <v>340.20000000000005</v>
      </c>
      <c r="T68" s="23"/>
      <c r="U68" s="23"/>
      <c r="V68" s="23"/>
      <c r="W68" s="23"/>
      <c r="X68" s="1">
        <f t="shared" si="20"/>
        <v>16.354166666666668</v>
      </c>
      <c r="Y68" s="1">
        <f t="shared" si="21"/>
        <v>3.229166666666667</v>
      </c>
      <c r="Z68" s="1">
        <v>13.5</v>
      </c>
      <c r="AA68" s="1">
        <v>5.52</v>
      </c>
      <c r="AB68" s="1">
        <v>7.44</v>
      </c>
      <c r="AC68" s="1">
        <v>4.2</v>
      </c>
      <c r="AD68" s="1">
        <v>3.24</v>
      </c>
      <c r="AE68" s="1">
        <v>3.24</v>
      </c>
      <c r="AF68" s="1">
        <v>5.94</v>
      </c>
      <c r="AG68" s="1">
        <v>8.1</v>
      </c>
      <c r="AH68" s="1">
        <v>7.02</v>
      </c>
      <c r="AI68" s="1">
        <v>8.64</v>
      </c>
      <c r="AJ68" s="1"/>
      <c r="AK68" s="1">
        <f t="shared" si="23"/>
        <v>356.93999999999994</v>
      </c>
      <c r="AL68" s="7">
        <v>2.7</v>
      </c>
      <c r="AM68" s="9">
        <f t="shared" si="24"/>
        <v>126.00000000000001</v>
      </c>
      <c r="AN68" s="1">
        <f t="shared" si="25"/>
        <v>340.20000000000005</v>
      </c>
      <c r="AO68" s="1">
        <v>14</v>
      </c>
      <c r="AP68" s="1">
        <v>126</v>
      </c>
      <c r="AQ68" s="9">
        <f t="shared" si="26"/>
        <v>1.0000000000000002</v>
      </c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168</v>
      </c>
      <c r="B69" s="1" t="s">
        <v>79</v>
      </c>
      <c r="C69" s="1">
        <v>5</v>
      </c>
      <c r="D69" s="1">
        <v>600</v>
      </c>
      <c r="E69" s="17">
        <f>5+E70</f>
        <v>95</v>
      </c>
      <c r="F69" s="17">
        <f>540+F70</f>
        <v>534.5</v>
      </c>
      <c r="G69" s="7">
        <v>1</v>
      </c>
      <c r="H69" s="1">
        <v>180</v>
      </c>
      <c r="I69" s="1" t="s">
        <v>169</v>
      </c>
      <c r="J69" s="1"/>
      <c r="K69" s="1">
        <v>5</v>
      </c>
      <c r="L69" s="1">
        <f t="shared" si="18"/>
        <v>90</v>
      </c>
      <c r="M69" s="1"/>
      <c r="N69" s="1"/>
      <c r="O69" s="1"/>
      <c r="P69" s="1">
        <f t="shared" si="19"/>
        <v>19</v>
      </c>
      <c r="Q69" s="5"/>
      <c r="R69" s="5"/>
      <c r="S69" s="5">
        <f t="shared" si="22"/>
        <v>0</v>
      </c>
      <c r="T69" s="23"/>
      <c r="U69" s="23"/>
      <c r="V69" s="23"/>
      <c r="W69" s="23"/>
      <c r="X69" s="1">
        <f t="shared" si="20"/>
        <v>28.131578947368421</v>
      </c>
      <c r="Y69" s="1">
        <f t="shared" si="21"/>
        <v>28.131578947368421</v>
      </c>
      <c r="Z69" s="1">
        <v>45</v>
      </c>
      <c r="AA69" s="1">
        <v>60</v>
      </c>
      <c r="AB69" s="1">
        <v>47</v>
      </c>
      <c r="AC69" s="1">
        <v>53</v>
      </c>
      <c r="AD69" s="1">
        <v>59</v>
      </c>
      <c r="AE69" s="1">
        <v>63</v>
      </c>
      <c r="AF69" s="1">
        <v>57</v>
      </c>
      <c r="AG69" s="1">
        <v>53.1</v>
      </c>
      <c r="AH69" s="1">
        <v>81.099999999999994</v>
      </c>
      <c r="AI69" s="1">
        <v>85</v>
      </c>
      <c r="AJ69" s="1"/>
      <c r="AK69" s="1">
        <f t="shared" si="23"/>
        <v>0</v>
      </c>
      <c r="AL69" s="7">
        <v>5</v>
      </c>
      <c r="AM69" s="9">
        <f t="shared" si="24"/>
        <v>0</v>
      </c>
      <c r="AN69" s="1">
        <f t="shared" si="25"/>
        <v>0</v>
      </c>
      <c r="AO69" s="1">
        <v>12</v>
      </c>
      <c r="AP69" s="1">
        <v>84</v>
      </c>
      <c r="AQ69" s="9">
        <f t="shared" si="26"/>
        <v>0</v>
      </c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3" t="s">
        <v>170</v>
      </c>
      <c r="B70" s="13" t="s">
        <v>79</v>
      </c>
      <c r="C70" s="13">
        <v>104.5</v>
      </c>
      <c r="D70" s="13"/>
      <c r="E70" s="17">
        <v>90</v>
      </c>
      <c r="F70" s="17">
        <v>-5.5</v>
      </c>
      <c r="G70" s="14">
        <v>0</v>
      </c>
      <c r="H70" s="13"/>
      <c r="I70" s="13" t="s">
        <v>171</v>
      </c>
      <c r="J70" s="13" t="s">
        <v>168</v>
      </c>
      <c r="K70" s="13">
        <v>155</v>
      </c>
      <c r="L70" s="13">
        <f t="shared" si="18"/>
        <v>-65</v>
      </c>
      <c r="M70" s="13"/>
      <c r="N70" s="13"/>
      <c r="O70" s="13"/>
      <c r="P70" s="13">
        <f t="shared" si="19"/>
        <v>18</v>
      </c>
      <c r="Q70" s="15"/>
      <c r="R70" s="15"/>
      <c r="S70" s="15"/>
      <c r="T70" s="23"/>
      <c r="U70" s="23"/>
      <c r="V70" s="23"/>
      <c r="W70" s="23"/>
      <c r="X70" s="13">
        <f t="shared" si="20"/>
        <v>-0.30555555555555558</v>
      </c>
      <c r="Y70" s="13">
        <f t="shared" si="21"/>
        <v>-0.30555555555555558</v>
      </c>
      <c r="Z70" s="13">
        <v>44</v>
      </c>
      <c r="AA70" s="13">
        <v>52</v>
      </c>
      <c r="AB70" s="13">
        <v>37</v>
      </c>
      <c r="AC70" s="13">
        <v>35</v>
      </c>
      <c r="AD70" s="13">
        <v>52</v>
      </c>
      <c r="AE70" s="13">
        <v>31</v>
      </c>
      <c r="AF70" s="13">
        <v>57</v>
      </c>
      <c r="AG70" s="13">
        <v>53.1</v>
      </c>
      <c r="AH70" s="13">
        <v>81.099999999999994</v>
      </c>
      <c r="AI70" s="13">
        <v>85</v>
      </c>
      <c r="AJ70" s="13"/>
      <c r="AK70" s="13"/>
      <c r="AL70" s="14"/>
      <c r="AM70" s="16"/>
      <c r="AN70" s="13"/>
      <c r="AO70" s="13"/>
      <c r="AP70" s="13"/>
      <c r="AQ70" s="16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7"/>
      <c r="AM71" s="9"/>
      <c r="AN71" s="1"/>
      <c r="AO71" s="1"/>
      <c r="AP71" s="1"/>
      <c r="AQ71" s="9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7"/>
      <c r="AM72" s="9"/>
      <c r="AN72" s="1"/>
      <c r="AO72" s="1"/>
      <c r="AP72" s="1"/>
      <c r="AQ72" s="9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7"/>
      <c r="AM73" s="9"/>
      <c r="AN73" s="1"/>
      <c r="AO73" s="1"/>
      <c r="AP73" s="1"/>
      <c r="AQ73" s="9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7"/>
      <c r="AM74" s="9"/>
      <c r="AN74" s="1"/>
      <c r="AO74" s="1"/>
      <c r="AP74" s="1"/>
      <c r="AQ74" s="9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7"/>
      <c r="AM75" s="9"/>
      <c r="AN75" s="1"/>
      <c r="AO75" s="1"/>
      <c r="AP75" s="1"/>
      <c r="AQ75" s="9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7"/>
      <c r="AM76" s="9"/>
      <c r="AN76" s="1"/>
      <c r="AO76" s="1"/>
      <c r="AP76" s="1"/>
      <c r="AQ76" s="9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7"/>
      <c r="AM77" s="9"/>
      <c r="AN77" s="1"/>
      <c r="AO77" s="1"/>
      <c r="AP77" s="1"/>
      <c r="AQ77" s="9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7"/>
      <c r="AM78" s="9"/>
      <c r="AN78" s="1"/>
      <c r="AO78" s="1"/>
      <c r="AP78" s="1"/>
      <c r="AQ78" s="9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7"/>
      <c r="AM79" s="9"/>
      <c r="AN79" s="1"/>
      <c r="AO79" s="1"/>
      <c r="AP79" s="1"/>
      <c r="AQ79" s="9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7"/>
      <c r="AM80" s="9"/>
      <c r="AN80" s="1"/>
      <c r="AO80" s="1"/>
      <c r="AP80" s="1"/>
      <c r="AQ80" s="9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7"/>
      <c r="AM81" s="9"/>
      <c r="AN81" s="1"/>
      <c r="AO81" s="1"/>
      <c r="AP81" s="1"/>
      <c r="AQ81" s="9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7"/>
      <c r="AM82" s="9"/>
      <c r="AN82" s="1"/>
      <c r="AO82" s="1"/>
      <c r="AP82" s="1"/>
      <c r="AQ82" s="9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7"/>
      <c r="AM83" s="9"/>
      <c r="AN83" s="1"/>
      <c r="AO83" s="1"/>
      <c r="AP83" s="1"/>
      <c r="AQ83" s="9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7"/>
      <c r="AM84" s="9"/>
      <c r="AN84" s="1"/>
      <c r="AO84" s="1"/>
      <c r="AP84" s="1"/>
      <c r="AQ84" s="9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7"/>
      <c r="AM85" s="9"/>
      <c r="AN85" s="1"/>
      <c r="AO85" s="1"/>
      <c r="AP85" s="1"/>
      <c r="AQ85" s="9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7"/>
      <c r="AM86" s="9"/>
      <c r="AN86" s="1"/>
      <c r="AO86" s="1"/>
      <c r="AP86" s="1"/>
      <c r="AQ86" s="9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7"/>
      <c r="AM87" s="9"/>
      <c r="AN87" s="1"/>
      <c r="AO87" s="1"/>
      <c r="AP87" s="1"/>
      <c r="AQ87" s="9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7"/>
      <c r="AM88" s="9"/>
      <c r="AN88" s="1"/>
      <c r="AO88" s="1"/>
      <c r="AP88" s="1"/>
      <c r="AQ88" s="9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7"/>
      <c r="AM89" s="9"/>
      <c r="AN89" s="1"/>
      <c r="AO89" s="1"/>
      <c r="AP89" s="1"/>
      <c r="AQ89" s="9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7"/>
      <c r="AM90" s="9"/>
      <c r="AN90" s="1"/>
      <c r="AO90" s="1"/>
      <c r="AP90" s="1"/>
      <c r="AQ90" s="9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7"/>
      <c r="AM91" s="9"/>
      <c r="AN91" s="1"/>
      <c r="AO91" s="1"/>
      <c r="AP91" s="1"/>
      <c r="AQ91" s="9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7"/>
      <c r="AM92" s="9"/>
      <c r="AN92" s="1"/>
      <c r="AO92" s="1"/>
      <c r="AP92" s="1"/>
      <c r="AQ92" s="9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7"/>
      <c r="AM93" s="9"/>
      <c r="AN93" s="1"/>
      <c r="AO93" s="1"/>
      <c r="AP93" s="1"/>
      <c r="AQ93" s="9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7"/>
      <c r="AM94" s="9"/>
      <c r="AN94" s="1"/>
      <c r="AO94" s="1"/>
      <c r="AP94" s="1"/>
      <c r="AQ94" s="9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7"/>
      <c r="AM95" s="9"/>
      <c r="AN95" s="1"/>
      <c r="AO95" s="1"/>
      <c r="AP95" s="1"/>
      <c r="AQ95" s="9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7"/>
      <c r="AM96" s="9"/>
      <c r="AN96" s="1"/>
      <c r="AO96" s="1"/>
      <c r="AP96" s="1"/>
      <c r="AQ96" s="9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7"/>
      <c r="AM97" s="9"/>
      <c r="AN97" s="1"/>
      <c r="AO97" s="1"/>
      <c r="AP97" s="1"/>
      <c r="AQ97" s="9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7"/>
      <c r="AM98" s="9"/>
      <c r="AN98" s="1"/>
      <c r="AO98" s="1"/>
      <c r="AP98" s="1"/>
      <c r="AQ98" s="9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7"/>
      <c r="AM99" s="9"/>
      <c r="AN99" s="1"/>
      <c r="AO99" s="1"/>
      <c r="AP99" s="1"/>
      <c r="AQ99" s="9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7"/>
      <c r="AM100" s="9"/>
      <c r="AN100" s="1"/>
      <c r="AO100" s="1"/>
      <c r="AP100" s="1"/>
      <c r="AQ100" s="9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7"/>
      <c r="AM101" s="9"/>
      <c r="AN101" s="1"/>
      <c r="AO101" s="1"/>
      <c r="AP101" s="1"/>
      <c r="AQ101" s="9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7"/>
      <c r="AM102" s="9"/>
      <c r="AN102" s="1"/>
      <c r="AO102" s="1"/>
      <c r="AP102" s="1"/>
      <c r="AQ102" s="9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7"/>
      <c r="AM103" s="9"/>
      <c r="AN103" s="1"/>
      <c r="AO103" s="1"/>
      <c r="AP103" s="1"/>
      <c r="AQ103" s="9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7"/>
      <c r="AM104" s="9"/>
      <c r="AN104" s="1"/>
      <c r="AO104" s="1"/>
      <c r="AP104" s="1"/>
      <c r="AQ104" s="9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7"/>
      <c r="AM105" s="9"/>
      <c r="AN105" s="1"/>
      <c r="AO105" s="1"/>
      <c r="AP105" s="1"/>
      <c r="AQ105" s="9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7"/>
      <c r="AM106" s="9"/>
      <c r="AN106" s="1"/>
      <c r="AO106" s="1"/>
      <c r="AP106" s="1"/>
      <c r="AQ106" s="9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7"/>
      <c r="AM107" s="9"/>
      <c r="AN107" s="1"/>
      <c r="AO107" s="1"/>
      <c r="AP107" s="1"/>
      <c r="AQ107" s="9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7"/>
      <c r="AM108" s="9"/>
      <c r="AN108" s="1"/>
      <c r="AO108" s="1"/>
      <c r="AP108" s="1"/>
      <c r="AQ108" s="9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7"/>
      <c r="AM109" s="9"/>
      <c r="AN109" s="1"/>
      <c r="AO109" s="1"/>
      <c r="AP109" s="1"/>
      <c r="AQ109" s="9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7"/>
      <c r="AM110" s="9"/>
      <c r="AN110" s="1"/>
      <c r="AO110" s="1"/>
      <c r="AP110" s="1"/>
      <c r="AQ110" s="9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7"/>
      <c r="AM111" s="9"/>
      <c r="AN111" s="1"/>
      <c r="AO111" s="1"/>
      <c r="AP111" s="1"/>
      <c r="AQ111" s="9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7"/>
      <c r="AM112" s="9"/>
      <c r="AN112" s="1"/>
      <c r="AO112" s="1"/>
      <c r="AP112" s="1"/>
      <c r="AQ112" s="9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7"/>
      <c r="AM113" s="9"/>
      <c r="AN113" s="1"/>
      <c r="AO113" s="1"/>
      <c r="AP113" s="1"/>
      <c r="AQ113" s="9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7"/>
      <c r="AM114" s="9"/>
      <c r="AN114" s="1"/>
      <c r="AO114" s="1"/>
      <c r="AP114" s="1"/>
      <c r="AQ114" s="9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7"/>
      <c r="AM115" s="9"/>
      <c r="AN115" s="1"/>
      <c r="AO115" s="1"/>
      <c r="AP115" s="1"/>
      <c r="AQ115" s="9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7"/>
      <c r="AM116" s="9"/>
      <c r="AN116" s="1"/>
      <c r="AO116" s="1"/>
      <c r="AP116" s="1"/>
      <c r="AQ116" s="9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7"/>
      <c r="AM117" s="9"/>
      <c r="AN117" s="1"/>
      <c r="AO117" s="1"/>
      <c r="AP117" s="1"/>
      <c r="AQ117" s="9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7"/>
      <c r="AM118" s="9"/>
      <c r="AN118" s="1"/>
      <c r="AO118" s="1"/>
      <c r="AP118" s="1"/>
      <c r="AQ118" s="9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7"/>
      <c r="AM119" s="9"/>
      <c r="AN119" s="1"/>
      <c r="AO119" s="1"/>
      <c r="AP119" s="1"/>
      <c r="AQ119" s="9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7"/>
      <c r="AM120" s="9"/>
      <c r="AN120" s="1"/>
      <c r="AO120" s="1"/>
      <c r="AP120" s="1"/>
      <c r="AQ120" s="9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7"/>
      <c r="AM121" s="9"/>
      <c r="AN121" s="1"/>
      <c r="AO121" s="1"/>
      <c r="AP121" s="1"/>
      <c r="AQ121" s="9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7"/>
      <c r="AM122" s="9"/>
      <c r="AN122" s="1"/>
      <c r="AO122" s="1"/>
      <c r="AP122" s="1"/>
      <c r="AQ122" s="9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7"/>
      <c r="AM123" s="9"/>
      <c r="AN123" s="1"/>
      <c r="AO123" s="1"/>
      <c r="AP123" s="1"/>
      <c r="AQ123" s="9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7"/>
      <c r="AM124" s="9"/>
      <c r="AN124" s="1"/>
      <c r="AO124" s="1"/>
      <c r="AP124" s="1"/>
      <c r="AQ124" s="9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7"/>
      <c r="AM125" s="9"/>
      <c r="AN125" s="1"/>
      <c r="AO125" s="1"/>
      <c r="AP125" s="1"/>
      <c r="AQ125" s="9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7"/>
      <c r="AM126" s="9"/>
      <c r="AN126" s="1"/>
      <c r="AO126" s="1"/>
      <c r="AP126" s="1"/>
      <c r="AQ126" s="9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7"/>
      <c r="AM127" s="9"/>
      <c r="AN127" s="1"/>
      <c r="AO127" s="1"/>
      <c r="AP127" s="1"/>
      <c r="AQ127" s="9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7"/>
      <c r="AM128" s="9"/>
      <c r="AN128" s="1"/>
      <c r="AO128" s="1"/>
      <c r="AP128" s="1"/>
      <c r="AQ128" s="9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7"/>
      <c r="AM129" s="9"/>
      <c r="AN129" s="1"/>
      <c r="AO129" s="1"/>
      <c r="AP129" s="1"/>
      <c r="AQ129" s="9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7"/>
      <c r="AM130" s="9"/>
      <c r="AN130" s="1"/>
      <c r="AO130" s="1"/>
      <c r="AP130" s="1"/>
      <c r="AQ130" s="9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7"/>
      <c r="AM131" s="9"/>
      <c r="AN131" s="1"/>
      <c r="AO131" s="1"/>
      <c r="AP131" s="1"/>
      <c r="AQ131" s="9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7"/>
      <c r="AM132" s="9"/>
      <c r="AN132" s="1"/>
      <c r="AO132" s="1"/>
      <c r="AP132" s="1"/>
      <c r="AQ132" s="9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7"/>
      <c r="AM133" s="9"/>
      <c r="AN133" s="1"/>
      <c r="AO133" s="1"/>
      <c r="AP133" s="1"/>
      <c r="AQ133" s="9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7"/>
      <c r="AM134" s="9"/>
      <c r="AN134" s="1"/>
      <c r="AO134" s="1"/>
      <c r="AP134" s="1"/>
      <c r="AQ134" s="9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7"/>
      <c r="AM135" s="9"/>
      <c r="AN135" s="1"/>
      <c r="AO135" s="1"/>
      <c r="AP135" s="1"/>
      <c r="AQ135" s="9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7"/>
      <c r="AM136" s="9"/>
      <c r="AN136" s="1"/>
      <c r="AO136" s="1"/>
      <c r="AP136" s="1"/>
      <c r="AQ136" s="9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7"/>
      <c r="AM137" s="9"/>
      <c r="AN137" s="1"/>
      <c r="AO137" s="1"/>
      <c r="AP137" s="1"/>
      <c r="AQ137" s="9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7"/>
      <c r="AM138" s="9"/>
      <c r="AN138" s="1"/>
      <c r="AO138" s="1"/>
      <c r="AP138" s="1"/>
      <c r="AQ138" s="9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7"/>
      <c r="AM139" s="9"/>
      <c r="AN139" s="1"/>
      <c r="AO139" s="1"/>
      <c r="AP139" s="1"/>
      <c r="AQ139" s="9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7"/>
      <c r="AM140" s="9"/>
      <c r="AN140" s="1"/>
      <c r="AO140" s="1"/>
      <c r="AP140" s="1"/>
      <c r="AQ140" s="9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7"/>
      <c r="AM141" s="9"/>
      <c r="AN141" s="1"/>
      <c r="AO141" s="1"/>
      <c r="AP141" s="1"/>
      <c r="AQ141" s="9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7"/>
      <c r="AM142" s="9"/>
      <c r="AN142" s="1"/>
      <c r="AO142" s="1"/>
      <c r="AP142" s="1"/>
      <c r="AQ142" s="9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7"/>
      <c r="AM143" s="9"/>
      <c r="AN143" s="1"/>
      <c r="AO143" s="1"/>
      <c r="AP143" s="1"/>
      <c r="AQ143" s="9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7"/>
      <c r="AM144" s="9"/>
      <c r="AN144" s="1"/>
      <c r="AO144" s="1"/>
      <c r="AP144" s="1"/>
      <c r="AQ144" s="9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7"/>
      <c r="AM145" s="9"/>
      <c r="AN145" s="1"/>
      <c r="AO145" s="1"/>
      <c r="AP145" s="1"/>
      <c r="AQ145" s="9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7"/>
      <c r="AM146" s="9"/>
      <c r="AN146" s="1"/>
      <c r="AO146" s="1"/>
      <c r="AP146" s="1"/>
      <c r="AQ146" s="9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7"/>
      <c r="AM147" s="9"/>
      <c r="AN147" s="1"/>
      <c r="AO147" s="1"/>
      <c r="AP147" s="1"/>
      <c r="AQ147" s="9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7"/>
      <c r="AM148" s="9"/>
      <c r="AN148" s="1"/>
      <c r="AO148" s="1"/>
      <c r="AP148" s="1"/>
      <c r="AQ148" s="9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7"/>
      <c r="AM149" s="9"/>
      <c r="AN149" s="1"/>
      <c r="AO149" s="1"/>
      <c r="AP149" s="1"/>
      <c r="AQ149" s="9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7"/>
      <c r="AM150" s="9"/>
      <c r="AN150" s="1"/>
      <c r="AO150" s="1"/>
      <c r="AP150" s="1"/>
      <c r="AQ150" s="9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7"/>
      <c r="AM151" s="9"/>
      <c r="AN151" s="1"/>
      <c r="AO151" s="1"/>
      <c r="AP151" s="1"/>
      <c r="AQ151" s="9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7"/>
      <c r="AM152" s="9"/>
      <c r="AN152" s="1"/>
      <c r="AO152" s="1"/>
      <c r="AP152" s="1"/>
      <c r="AQ152" s="9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7"/>
      <c r="AM153" s="9"/>
      <c r="AN153" s="1"/>
      <c r="AO153" s="1"/>
      <c r="AP153" s="1"/>
      <c r="AQ153" s="9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7"/>
      <c r="AM154" s="9"/>
      <c r="AN154" s="1"/>
      <c r="AO154" s="1"/>
      <c r="AP154" s="1"/>
      <c r="AQ154" s="9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7"/>
      <c r="AM155" s="9"/>
      <c r="AN155" s="1"/>
      <c r="AO155" s="1"/>
      <c r="AP155" s="1"/>
      <c r="AQ155" s="9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7"/>
      <c r="AM156" s="9"/>
      <c r="AN156" s="1"/>
      <c r="AO156" s="1"/>
      <c r="AP156" s="1"/>
      <c r="AQ156" s="9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7"/>
      <c r="AM157" s="9"/>
      <c r="AN157" s="1"/>
      <c r="AO157" s="1"/>
      <c r="AP157" s="1"/>
      <c r="AQ157" s="9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7"/>
      <c r="AM158" s="9"/>
      <c r="AN158" s="1"/>
      <c r="AO158" s="1"/>
      <c r="AP158" s="1"/>
      <c r="AQ158" s="9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7"/>
      <c r="AM159" s="9"/>
      <c r="AN159" s="1"/>
      <c r="AO159" s="1"/>
      <c r="AP159" s="1"/>
      <c r="AQ159" s="9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7"/>
      <c r="AM160" s="9"/>
      <c r="AN160" s="1"/>
      <c r="AO160" s="1"/>
      <c r="AP160" s="1"/>
      <c r="AQ160" s="9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7"/>
      <c r="AM161" s="9"/>
      <c r="AN161" s="1"/>
      <c r="AO161" s="1"/>
      <c r="AP161" s="1"/>
      <c r="AQ161" s="9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7"/>
      <c r="AM162" s="9"/>
      <c r="AN162" s="1"/>
      <c r="AO162" s="1"/>
      <c r="AP162" s="1"/>
      <c r="AQ162" s="9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7"/>
      <c r="AM163" s="9"/>
      <c r="AN163" s="1"/>
      <c r="AO163" s="1"/>
      <c r="AP163" s="1"/>
      <c r="AQ163" s="9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7"/>
      <c r="AM164" s="9"/>
      <c r="AN164" s="1"/>
      <c r="AO164" s="1"/>
      <c r="AP164" s="1"/>
      <c r="AQ164" s="9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7"/>
      <c r="AM165" s="9"/>
      <c r="AN165" s="1"/>
      <c r="AO165" s="1"/>
      <c r="AP165" s="1"/>
      <c r="AQ165" s="9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7"/>
      <c r="AM166" s="9"/>
      <c r="AN166" s="1"/>
      <c r="AO166" s="1"/>
      <c r="AP166" s="1"/>
      <c r="AQ166" s="9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7"/>
      <c r="AM167" s="9"/>
      <c r="AN167" s="1"/>
      <c r="AO167" s="1"/>
      <c r="AP167" s="1"/>
      <c r="AQ167" s="9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7"/>
      <c r="AM168" s="9"/>
      <c r="AN168" s="1"/>
      <c r="AO168" s="1"/>
      <c r="AP168" s="1"/>
      <c r="AQ168" s="9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7"/>
      <c r="AM169" s="9"/>
      <c r="AN169" s="1"/>
      <c r="AO169" s="1"/>
      <c r="AP169" s="1"/>
      <c r="AQ169" s="9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7"/>
      <c r="AM170" s="9"/>
      <c r="AN170" s="1"/>
      <c r="AO170" s="1"/>
      <c r="AP170" s="1"/>
      <c r="AQ170" s="9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7"/>
      <c r="AM171" s="9"/>
      <c r="AN171" s="1"/>
      <c r="AO171" s="1"/>
      <c r="AP171" s="1"/>
      <c r="AQ171" s="9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7"/>
      <c r="AM172" s="9"/>
      <c r="AN172" s="1"/>
      <c r="AO172" s="1"/>
      <c r="AP172" s="1"/>
      <c r="AQ172" s="9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7"/>
      <c r="AM173" s="9"/>
      <c r="AN173" s="1"/>
      <c r="AO173" s="1"/>
      <c r="AP173" s="1"/>
      <c r="AQ173" s="9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7"/>
      <c r="AM174" s="9"/>
      <c r="AN174" s="1"/>
      <c r="AO174" s="1"/>
      <c r="AP174" s="1"/>
      <c r="AQ174" s="9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7"/>
      <c r="AM175" s="9"/>
      <c r="AN175" s="1"/>
      <c r="AO175" s="1"/>
      <c r="AP175" s="1"/>
      <c r="AQ175" s="9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7"/>
      <c r="AM176" s="9"/>
      <c r="AN176" s="1"/>
      <c r="AO176" s="1"/>
      <c r="AP176" s="1"/>
      <c r="AQ176" s="9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7"/>
      <c r="AM177" s="9"/>
      <c r="AN177" s="1"/>
      <c r="AO177" s="1"/>
      <c r="AP177" s="1"/>
      <c r="AQ177" s="9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7"/>
      <c r="AM178" s="9"/>
      <c r="AN178" s="1"/>
      <c r="AO178" s="1"/>
      <c r="AP178" s="1"/>
      <c r="AQ178" s="9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7"/>
      <c r="AM179" s="9"/>
      <c r="AN179" s="1"/>
      <c r="AO179" s="1"/>
      <c r="AP179" s="1"/>
      <c r="AQ179" s="9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7"/>
      <c r="AM180" s="9"/>
      <c r="AN180" s="1"/>
      <c r="AO180" s="1"/>
      <c r="AP180" s="1"/>
      <c r="AQ180" s="9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7"/>
      <c r="AM181" s="9"/>
      <c r="AN181" s="1"/>
      <c r="AO181" s="1"/>
      <c r="AP181" s="1"/>
      <c r="AQ181" s="9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7"/>
      <c r="AM182" s="9"/>
      <c r="AN182" s="1"/>
      <c r="AO182" s="1"/>
      <c r="AP182" s="1"/>
      <c r="AQ182" s="9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7"/>
      <c r="AM183" s="9"/>
      <c r="AN183" s="1"/>
      <c r="AO183" s="1"/>
      <c r="AP183" s="1"/>
      <c r="AQ183" s="9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7"/>
      <c r="AM184" s="9"/>
      <c r="AN184" s="1"/>
      <c r="AO184" s="1"/>
      <c r="AP184" s="1"/>
      <c r="AQ184" s="9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7"/>
      <c r="AM185" s="9"/>
      <c r="AN185" s="1"/>
      <c r="AO185" s="1"/>
      <c r="AP185" s="1"/>
      <c r="AQ185" s="9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7"/>
      <c r="AM186" s="9"/>
      <c r="AN186" s="1"/>
      <c r="AO186" s="1"/>
      <c r="AP186" s="1"/>
      <c r="AQ186" s="9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7"/>
      <c r="AM187" s="9"/>
      <c r="AN187" s="1"/>
      <c r="AO187" s="1"/>
      <c r="AP187" s="1"/>
      <c r="AQ187" s="9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7"/>
      <c r="AM188" s="9"/>
      <c r="AN188" s="1"/>
      <c r="AO188" s="1"/>
      <c r="AP188" s="1"/>
      <c r="AQ188" s="9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7"/>
      <c r="AM189" s="9"/>
      <c r="AN189" s="1"/>
      <c r="AO189" s="1"/>
      <c r="AP189" s="1"/>
      <c r="AQ189" s="9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7"/>
      <c r="AM190" s="9"/>
      <c r="AN190" s="1"/>
      <c r="AO190" s="1"/>
      <c r="AP190" s="1"/>
      <c r="AQ190" s="9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7"/>
      <c r="AM191" s="9"/>
      <c r="AN191" s="1"/>
      <c r="AO191" s="1"/>
      <c r="AP191" s="1"/>
      <c r="AQ191" s="9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7"/>
      <c r="AM192" s="9"/>
      <c r="AN192" s="1"/>
      <c r="AO192" s="1"/>
      <c r="AP192" s="1"/>
      <c r="AQ192" s="9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7"/>
      <c r="AM193" s="9"/>
      <c r="AN193" s="1"/>
      <c r="AO193" s="1"/>
      <c r="AP193" s="1"/>
      <c r="AQ193" s="9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7"/>
      <c r="AM194" s="9"/>
      <c r="AN194" s="1"/>
      <c r="AO194" s="1"/>
      <c r="AP194" s="1"/>
      <c r="AQ194" s="9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7"/>
      <c r="AM195" s="9"/>
      <c r="AN195" s="1"/>
      <c r="AO195" s="1"/>
      <c r="AP195" s="1"/>
      <c r="AQ195" s="9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7"/>
      <c r="AM196" s="9"/>
      <c r="AN196" s="1"/>
      <c r="AO196" s="1"/>
      <c r="AP196" s="1"/>
      <c r="AQ196" s="9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7"/>
      <c r="AM197" s="9"/>
      <c r="AN197" s="1"/>
      <c r="AO197" s="1"/>
      <c r="AP197" s="1"/>
      <c r="AQ197" s="9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7"/>
      <c r="AM198" s="9"/>
      <c r="AN198" s="1"/>
      <c r="AO198" s="1"/>
      <c r="AP198" s="1"/>
      <c r="AQ198" s="9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7"/>
      <c r="AM199" s="9"/>
      <c r="AN199" s="1"/>
      <c r="AO199" s="1"/>
      <c r="AP199" s="1"/>
      <c r="AQ199" s="9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7"/>
      <c r="AM200" s="9"/>
      <c r="AN200" s="1"/>
      <c r="AO200" s="1"/>
      <c r="AP200" s="1"/>
      <c r="AQ200" s="9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7"/>
      <c r="AM201" s="9"/>
      <c r="AN201" s="1"/>
      <c r="AO201" s="1"/>
      <c r="AP201" s="1"/>
      <c r="AQ201" s="9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7"/>
      <c r="AM202" s="9"/>
      <c r="AN202" s="1"/>
      <c r="AO202" s="1"/>
      <c r="AP202" s="1"/>
      <c r="AQ202" s="9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7"/>
      <c r="AM203" s="9"/>
      <c r="AN203" s="1"/>
      <c r="AO203" s="1"/>
      <c r="AP203" s="1"/>
      <c r="AQ203" s="9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7"/>
      <c r="AM204" s="9"/>
      <c r="AN204" s="1"/>
      <c r="AO204" s="1"/>
      <c r="AP204" s="1"/>
      <c r="AQ204" s="9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7"/>
      <c r="AM205" s="9"/>
      <c r="AN205" s="1"/>
      <c r="AO205" s="1"/>
      <c r="AP205" s="1"/>
      <c r="AQ205" s="9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7"/>
      <c r="AM206" s="9"/>
      <c r="AN206" s="1"/>
      <c r="AO206" s="1"/>
      <c r="AP206" s="1"/>
      <c r="AQ206" s="9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7"/>
      <c r="AM207" s="9"/>
      <c r="AN207" s="1"/>
      <c r="AO207" s="1"/>
      <c r="AP207" s="1"/>
      <c r="AQ207" s="9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7"/>
      <c r="AM208" s="9"/>
      <c r="AN208" s="1"/>
      <c r="AO208" s="1"/>
      <c r="AP208" s="1"/>
      <c r="AQ208" s="9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7"/>
      <c r="AM209" s="9"/>
      <c r="AN209" s="1"/>
      <c r="AO209" s="1"/>
      <c r="AP209" s="1"/>
      <c r="AQ209" s="9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7"/>
      <c r="AM210" s="9"/>
      <c r="AN210" s="1"/>
      <c r="AO210" s="1"/>
      <c r="AP210" s="1"/>
      <c r="AQ210" s="9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7"/>
      <c r="AM211" s="9"/>
      <c r="AN211" s="1"/>
      <c r="AO211" s="1"/>
      <c r="AP211" s="1"/>
      <c r="AQ211" s="9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7"/>
      <c r="AM212" s="9"/>
      <c r="AN212" s="1"/>
      <c r="AO212" s="1"/>
      <c r="AP212" s="1"/>
      <c r="AQ212" s="9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7"/>
      <c r="AM213" s="9"/>
      <c r="AN213" s="1"/>
      <c r="AO213" s="1"/>
      <c r="AP213" s="1"/>
      <c r="AQ213" s="9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7"/>
      <c r="AM214" s="9"/>
      <c r="AN214" s="1"/>
      <c r="AO214" s="1"/>
      <c r="AP214" s="1"/>
      <c r="AQ214" s="9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7"/>
      <c r="AM215" s="9"/>
      <c r="AN215" s="1"/>
      <c r="AO215" s="1"/>
      <c r="AP215" s="1"/>
      <c r="AQ215" s="9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7"/>
      <c r="AM216" s="9"/>
      <c r="AN216" s="1"/>
      <c r="AO216" s="1"/>
      <c r="AP216" s="1"/>
      <c r="AQ216" s="9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7"/>
      <c r="AM217" s="9"/>
      <c r="AN217" s="1"/>
      <c r="AO217" s="1"/>
      <c r="AP217" s="1"/>
      <c r="AQ217" s="9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7"/>
      <c r="AM218" s="9"/>
      <c r="AN218" s="1"/>
      <c r="AO218" s="1"/>
      <c r="AP218" s="1"/>
      <c r="AQ218" s="9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7"/>
      <c r="AM219" s="9"/>
      <c r="AN219" s="1"/>
      <c r="AO219" s="1"/>
      <c r="AP219" s="1"/>
      <c r="AQ219" s="9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7"/>
      <c r="AM220" s="9"/>
      <c r="AN220" s="1"/>
      <c r="AO220" s="1"/>
      <c r="AP220" s="1"/>
      <c r="AQ220" s="9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7"/>
      <c r="AM221" s="9"/>
      <c r="AN221" s="1"/>
      <c r="AO221" s="1"/>
      <c r="AP221" s="1"/>
      <c r="AQ221" s="9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7"/>
      <c r="AM222" s="9"/>
      <c r="AN222" s="1"/>
      <c r="AO222" s="1"/>
      <c r="AP222" s="1"/>
      <c r="AQ222" s="9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7"/>
      <c r="AM223" s="9"/>
      <c r="AN223" s="1"/>
      <c r="AO223" s="1"/>
      <c r="AP223" s="1"/>
      <c r="AQ223" s="9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7"/>
      <c r="AM224" s="9"/>
      <c r="AN224" s="1"/>
      <c r="AO224" s="1"/>
      <c r="AP224" s="1"/>
      <c r="AQ224" s="9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7"/>
      <c r="AM225" s="9"/>
      <c r="AN225" s="1"/>
      <c r="AO225" s="1"/>
      <c r="AP225" s="1"/>
      <c r="AQ225" s="9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7"/>
      <c r="AM226" s="9"/>
      <c r="AN226" s="1"/>
      <c r="AO226" s="1"/>
      <c r="AP226" s="1"/>
      <c r="AQ226" s="9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7"/>
      <c r="AM227" s="9"/>
      <c r="AN227" s="1"/>
      <c r="AO227" s="1"/>
      <c r="AP227" s="1"/>
      <c r="AQ227" s="9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7"/>
      <c r="AM228" s="9"/>
      <c r="AN228" s="1"/>
      <c r="AO228" s="1"/>
      <c r="AP228" s="1"/>
      <c r="AQ228" s="9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7"/>
      <c r="AM229" s="9"/>
      <c r="AN229" s="1"/>
      <c r="AO229" s="1"/>
      <c r="AP229" s="1"/>
      <c r="AQ229" s="9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7"/>
      <c r="AM230" s="9"/>
      <c r="AN230" s="1"/>
      <c r="AO230" s="1"/>
      <c r="AP230" s="1"/>
      <c r="AQ230" s="9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7"/>
      <c r="AM231" s="9"/>
      <c r="AN231" s="1"/>
      <c r="AO231" s="1"/>
      <c r="AP231" s="1"/>
      <c r="AQ231" s="9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7"/>
      <c r="AM232" s="9"/>
      <c r="AN232" s="1"/>
      <c r="AO232" s="1"/>
      <c r="AP232" s="1"/>
      <c r="AQ232" s="9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7"/>
      <c r="AM233" s="9"/>
      <c r="AN233" s="1"/>
      <c r="AO233" s="1"/>
      <c r="AP233" s="1"/>
      <c r="AQ233" s="9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7"/>
      <c r="AM234" s="9"/>
      <c r="AN234" s="1"/>
      <c r="AO234" s="1"/>
      <c r="AP234" s="1"/>
      <c r="AQ234" s="9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7"/>
      <c r="AM235" s="9"/>
      <c r="AN235" s="1"/>
      <c r="AO235" s="1"/>
      <c r="AP235" s="1"/>
      <c r="AQ235" s="9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7"/>
      <c r="AM236" s="9"/>
      <c r="AN236" s="1"/>
      <c r="AO236" s="1"/>
      <c r="AP236" s="1"/>
      <c r="AQ236" s="9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7"/>
      <c r="AM237" s="9"/>
      <c r="AN237" s="1"/>
      <c r="AO237" s="1"/>
      <c r="AP237" s="1"/>
      <c r="AQ237" s="9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7"/>
      <c r="AM238" s="9"/>
      <c r="AN238" s="1"/>
      <c r="AO238" s="1"/>
      <c r="AP238" s="1"/>
      <c r="AQ238" s="9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7"/>
      <c r="AM239" s="9"/>
      <c r="AN239" s="1"/>
      <c r="AO239" s="1"/>
      <c r="AP239" s="1"/>
      <c r="AQ239" s="9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7"/>
      <c r="AM240" s="9"/>
      <c r="AN240" s="1"/>
      <c r="AO240" s="1"/>
      <c r="AP240" s="1"/>
      <c r="AQ240" s="9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7"/>
      <c r="AM241" s="9"/>
      <c r="AN241" s="1"/>
      <c r="AO241" s="1"/>
      <c r="AP241" s="1"/>
      <c r="AQ241" s="9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7"/>
      <c r="AM242" s="9"/>
      <c r="AN242" s="1"/>
      <c r="AO242" s="1"/>
      <c r="AP242" s="1"/>
      <c r="AQ242" s="9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7"/>
      <c r="AM243" s="9"/>
      <c r="AN243" s="1"/>
      <c r="AO243" s="1"/>
      <c r="AP243" s="1"/>
      <c r="AQ243" s="9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7"/>
      <c r="AM244" s="9"/>
      <c r="AN244" s="1"/>
      <c r="AO244" s="1"/>
      <c r="AP244" s="1"/>
      <c r="AQ244" s="9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7"/>
      <c r="AM245" s="9"/>
      <c r="AN245" s="1"/>
      <c r="AO245" s="1"/>
      <c r="AP245" s="1"/>
      <c r="AQ245" s="9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7"/>
      <c r="AM246" s="9"/>
      <c r="AN246" s="1"/>
      <c r="AO246" s="1"/>
      <c r="AP246" s="1"/>
      <c r="AQ246" s="9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7"/>
      <c r="AM247" s="9"/>
      <c r="AN247" s="1"/>
      <c r="AO247" s="1"/>
      <c r="AP247" s="1"/>
      <c r="AQ247" s="9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7"/>
      <c r="AM248" s="9"/>
      <c r="AN248" s="1"/>
      <c r="AO248" s="1"/>
      <c r="AP248" s="1"/>
      <c r="AQ248" s="9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7"/>
      <c r="AM249" s="9"/>
      <c r="AN249" s="1"/>
      <c r="AO249" s="1"/>
      <c r="AP249" s="1"/>
      <c r="AQ249" s="9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7"/>
      <c r="AM250" s="9"/>
      <c r="AN250" s="1"/>
      <c r="AO250" s="1"/>
      <c r="AP250" s="1"/>
      <c r="AQ250" s="9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7"/>
      <c r="AM251" s="9"/>
      <c r="AN251" s="1"/>
      <c r="AO251" s="1"/>
      <c r="AP251" s="1"/>
      <c r="AQ251" s="9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7"/>
      <c r="AM252" s="9"/>
      <c r="AN252" s="1"/>
      <c r="AO252" s="1"/>
      <c r="AP252" s="1"/>
      <c r="AQ252" s="9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7"/>
      <c r="AM253" s="9"/>
      <c r="AN253" s="1"/>
      <c r="AO253" s="1"/>
      <c r="AP253" s="1"/>
      <c r="AQ253" s="9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7"/>
      <c r="AM254" s="9"/>
      <c r="AN254" s="1"/>
      <c r="AO254" s="1"/>
      <c r="AP254" s="1"/>
      <c r="AQ254" s="9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7"/>
      <c r="AM255" s="9"/>
      <c r="AN255" s="1"/>
      <c r="AO255" s="1"/>
      <c r="AP255" s="1"/>
      <c r="AQ255" s="9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7"/>
      <c r="AM256" s="9"/>
      <c r="AN256" s="1"/>
      <c r="AO256" s="1"/>
      <c r="AP256" s="1"/>
      <c r="AQ256" s="9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7"/>
      <c r="AM257" s="9"/>
      <c r="AN257" s="1"/>
      <c r="AO257" s="1"/>
      <c r="AP257" s="1"/>
      <c r="AQ257" s="9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7"/>
      <c r="AM258" s="9"/>
      <c r="AN258" s="1"/>
      <c r="AO258" s="1"/>
      <c r="AP258" s="1"/>
      <c r="AQ258" s="9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7"/>
      <c r="AM259" s="9"/>
      <c r="AN259" s="1"/>
      <c r="AO259" s="1"/>
      <c r="AP259" s="1"/>
      <c r="AQ259" s="9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7"/>
      <c r="AM260" s="9"/>
      <c r="AN260" s="1"/>
      <c r="AO260" s="1"/>
      <c r="AP260" s="1"/>
      <c r="AQ260" s="9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7"/>
      <c r="AM261" s="9"/>
      <c r="AN261" s="1"/>
      <c r="AO261" s="1"/>
      <c r="AP261" s="1"/>
      <c r="AQ261" s="9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7"/>
      <c r="AM262" s="9"/>
      <c r="AN262" s="1"/>
      <c r="AO262" s="1"/>
      <c r="AP262" s="1"/>
      <c r="AQ262" s="9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7"/>
      <c r="AM263" s="9"/>
      <c r="AN263" s="1"/>
      <c r="AO263" s="1"/>
      <c r="AP263" s="1"/>
      <c r="AQ263" s="9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7"/>
      <c r="AM264" s="9"/>
      <c r="AN264" s="1"/>
      <c r="AO264" s="1"/>
      <c r="AP264" s="1"/>
      <c r="AQ264" s="9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7"/>
      <c r="AM265" s="9"/>
      <c r="AN265" s="1"/>
      <c r="AO265" s="1"/>
      <c r="AP265" s="1"/>
      <c r="AQ265" s="9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7"/>
      <c r="AM266" s="9"/>
      <c r="AN266" s="1"/>
      <c r="AO266" s="1"/>
      <c r="AP266" s="1"/>
      <c r="AQ266" s="9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7"/>
      <c r="AM267" s="9"/>
      <c r="AN267" s="1"/>
      <c r="AO267" s="1"/>
      <c r="AP267" s="1"/>
      <c r="AQ267" s="9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7"/>
      <c r="AM268" s="9"/>
      <c r="AN268" s="1"/>
      <c r="AO268" s="1"/>
      <c r="AP268" s="1"/>
      <c r="AQ268" s="9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7"/>
      <c r="AM269" s="9"/>
      <c r="AN269" s="1"/>
      <c r="AO269" s="1"/>
      <c r="AP269" s="1"/>
      <c r="AQ269" s="9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7"/>
      <c r="AM270" s="9"/>
      <c r="AN270" s="1"/>
      <c r="AO270" s="1"/>
      <c r="AP270" s="1"/>
      <c r="AQ270" s="9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7"/>
      <c r="AM271" s="9"/>
      <c r="AN271" s="1"/>
      <c r="AO271" s="1"/>
      <c r="AP271" s="1"/>
      <c r="AQ271" s="9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7"/>
      <c r="AM272" s="9"/>
      <c r="AN272" s="1"/>
      <c r="AO272" s="1"/>
      <c r="AP272" s="1"/>
      <c r="AQ272" s="9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7"/>
      <c r="AM273" s="9"/>
      <c r="AN273" s="1"/>
      <c r="AO273" s="1"/>
      <c r="AP273" s="1"/>
      <c r="AQ273" s="9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7"/>
      <c r="AM274" s="9"/>
      <c r="AN274" s="1"/>
      <c r="AO274" s="1"/>
      <c r="AP274" s="1"/>
      <c r="AQ274" s="9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7"/>
      <c r="AM275" s="9"/>
      <c r="AN275" s="1"/>
      <c r="AO275" s="1"/>
      <c r="AP275" s="1"/>
      <c r="AQ275" s="9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7"/>
      <c r="AM276" s="9"/>
      <c r="AN276" s="1"/>
      <c r="AO276" s="1"/>
      <c r="AP276" s="1"/>
      <c r="AQ276" s="9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7"/>
      <c r="AM277" s="9"/>
      <c r="AN277" s="1"/>
      <c r="AO277" s="1"/>
      <c r="AP277" s="1"/>
      <c r="AQ277" s="9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7"/>
      <c r="AM278" s="9"/>
      <c r="AN278" s="1"/>
      <c r="AO278" s="1"/>
      <c r="AP278" s="1"/>
      <c r="AQ278" s="9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7"/>
      <c r="AM279" s="9"/>
      <c r="AN279" s="1"/>
      <c r="AO279" s="1"/>
      <c r="AP279" s="1"/>
      <c r="AQ279" s="9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7"/>
      <c r="AM280" s="9"/>
      <c r="AN280" s="1"/>
      <c r="AO280" s="1"/>
      <c r="AP280" s="1"/>
      <c r="AQ280" s="9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7"/>
      <c r="AM281" s="9"/>
      <c r="AN281" s="1"/>
      <c r="AO281" s="1"/>
      <c r="AP281" s="1"/>
      <c r="AQ281" s="9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7"/>
      <c r="AM282" s="9"/>
      <c r="AN282" s="1"/>
      <c r="AO282" s="1"/>
      <c r="AP282" s="1"/>
      <c r="AQ282" s="9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7"/>
      <c r="AM283" s="9"/>
      <c r="AN283" s="1"/>
      <c r="AO283" s="1"/>
      <c r="AP283" s="1"/>
      <c r="AQ283" s="9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7"/>
      <c r="AM284" s="9"/>
      <c r="AN284" s="1"/>
      <c r="AO284" s="1"/>
      <c r="AP284" s="1"/>
      <c r="AQ284" s="9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7"/>
      <c r="AM285" s="9"/>
      <c r="AN285" s="1"/>
      <c r="AO285" s="1"/>
      <c r="AP285" s="1"/>
      <c r="AQ285" s="9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7"/>
      <c r="AM286" s="9"/>
      <c r="AN286" s="1"/>
      <c r="AO286" s="1"/>
      <c r="AP286" s="1"/>
      <c r="AQ286" s="9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7"/>
      <c r="AM287" s="9"/>
      <c r="AN287" s="1"/>
      <c r="AO287" s="1"/>
      <c r="AP287" s="1"/>
      <c r="AQ287" s="9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7"/>
      <c r="AM288" s="9"/>
      <c r="AN288" s="1"/>
      <c r="AO288" s="1"/>
      <c r="AP288" s="1"/>
      <c r="AQ288" s="9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7"/>
      <c r="AM289" s="9"/>
      <c r="AN289" s="1"/>
      <c r="AO289" s="1"/>
      <c r="AP289" s="1"/>
      <c r="AQ289" s="9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7"/>
      <c r="AM290" s="9"/>
      <c r="AN290" s="1"/>
      <c r="AO290" s="1"/>
      <c r="AP290" s="1"/>
      <c r="AQ290" s="9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7"/>
      <c r="AM291" s="9"/>
      <c r="AN291" s="1"/>
      <c r="AO291" s="1"/>
      <c r="AP291" s="1"/>
      <c r="AQ291" s="9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7"/>
      <c r="AM292" s="9"/>
      <c r="AN292" s="1"/>
      <c r="AO292" s="1"/>
      <c r="AP292" s="1"/>
      <c r="AQ292" s="9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7"/>
      <c r="AM293" s="9"/>
      <c r="AN293" s="1"/>
      <c r="AO293" s="1"/>
      <c r="AP293" s="1"/>
      <c r="AQ293" s="9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7"/>
      <c r="AM294" s="9"/>
      <c r="AN294" s="1"/>
      <c r="AO294" s="1"/>
      <c r="AP294" s="1"/>
      <c r="AQ294" s="9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7"/>
      <c r="AM295" s="9"/>
      <c r="AN295" s="1"/>
      <c r="AO295" s="1"/>
      <c r="AP295" s="1"/>
      <c r="AQ295" s="9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7"/>
      <c r="AM296" s="9"/>
      <c r="AN296" s="1"/>
      <c r="AO296" s="1"/>
      <c r="AP296" s="1"/>
      <c r="AQ296" s="9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7"/>
      <c r="AM297" s="9"/>
      <c r="AN297" s="1"/>
      <c r="AO297" s="1"/>
      <c r="AP297" s="1"/>
      <c r="AQ297" s="9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7"/>
      <c r="AM298" s="9"/>
      <c r="AN298" s="1"/>
      <c r="AO298" s="1"/>
      <c r="AP298" s="1"/>
      <c r="AQ298" s="9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7"/>
      <c r="AM299" s="9"/>
      <c r="AN299" s="1"/>
      <c r="AO299" s="1"/>
      <c r="AP299" s="1"/>
      <c r="AQ299" s="9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7"/>
      <c r="AM300" s="9"/>
      <c r="AN300" s="1"/>
      <c r="AO300" s="1"/>
      <c r="AP300" s="1"/>
      <c r="AQ300" s="9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7"/>
      <c r="AM301" s="9"/>
      <c r="AN301" s="1"/>
      <c r="AO301" s="1"/>
      <c r="AP301" s="1"/>
      <c r="AQ301" s="9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7"/>
      <c r="AM302" s="9"/>
      <c r="AN302" s="1"/>
      <c r="AO302" s="1"/>
      <c r="AP302" s="1"/>
      <c r="AQ302" s="9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7"/>
      <c r="AM303" s="9"/>
      <c r="AN303" s="1"/>
      <c r="AO303" s="1"/>
      <c r="AP303" s="1"/>
      <c r="AQ303" s="9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7"/>
      <c r="AM304" s="9"/>
      <c r="AN304" s="1"/>
      <c r="AO304" s="1"/>
      <c r="AP304" s="1"/>
      <c r="AQ304" s="9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7"/>
      <c r="AM305" s="9"/>
      <c r="AN305" s="1"/>
      <c r="AO305" s="1"/>
      <c r="AP305" s="1"/>
      <c r="AQ305" s="9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7"/>
      <c r="AM306" s="9"/>
      <c r="AN306" s="1"/>
      <c r="AO306" s="1"/>
      <c r="AP306" s="1"/>
      <c r="AQ306" s="9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7"/>
      <c r="AM307" s="9"/>
      <c r="AN307" s="1"/>
      <c r="AO307" s="1"/>
      <c r="AP307" s="1"/>
      <c r="AQ307" s="9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7"/>
      <c r="AM308" s="9"/>
      <c r="AN308" s="1"/>
      <c r="AO308" s="1"/>
      <c r="AP308" s="1"/>
      <c r="AQ308" s="9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7"/>
      <c r="AM309" s="9"/>
      <c r="AN309" s="1"/>
      <c r="AO309" s="1"/>
      <c r="AP309" s="1"/>
      <c r="AQ309" s="9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7"/>
      <c r="AM310" s="9"/>
      <c r="AN310" s="1"/>
      <c r="AO310" s="1"/>
      <c r="AP310" s="1"/>
      <c r="AQ310" s="9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7"/>
      <c r="AM311" s="9"/>
      <c r="AN311" s="1"/>
      <c r="AO311" s="1"/>
      <c r="AP311" s="1"/>
      <c r="AQ311" s="9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7"/>
      <c r="AM312" s="9"/>
      <c r="AN312" s="1"/>
      <c r="AO312" s="1"/>
      <c r="AP312" s="1"/>
      <c r="AQ312" s="9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7"/>
      <c r="AM313" s="9"/>
      <c r="AN313" s="1"/>
      <c r="AO313" s="1"/>
      <c r="AP313" s="1"/>
      <c r="AQ313" s="9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7"/>
      <c r="AM314" s="9"/>
      <c r="AN314" s="1"/>
      <c r="AO314" s="1"/>
      <c r="AP314" s="1"/>
      <c r="AQ314" s="9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7"/>
      <c r="AM315" s="9"/>
      <c r="AN315" s="1"/>
      <c r="AO315" s="1"/>
      <c r="AP315" s="1"/>
      <c r="AQ315" s="9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7"/>
      <c r="AM316" s="9"/>
      <c r="AN316" s="1"/>
      <c r="AO316" s="1"/>
      <c r="AP316" s="1"/>
      <c r="AQ316" s="9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7"/>
      <c r="AM317" s="9"/>
      <c r="AN317" s="1"/>
      <c r="AO317" s="1"/>
      <c r="AP317" s="1"/>
      <c r="AQ317" s="9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7"/>
      <c r="AM318" s="9"/>
      <c r="AN318" s="1"/>
      <c r="AO318" s="1"/>
      <c r="AP318" s="1"/>
      <c r="AQ318" s="9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7"/>
      <c r="AM319" s="9"/>
      <c r="AN319" s="1"/>
      <c r="AO319" s="1"/>
      <c r="AP319" s="1"/>
      <c r="AQ319" s="9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7"/>
      <c r="AM320" s="9"/>
      <c r="AN320" s="1"/>
      <c r="AO320" s="1"/>
      <c r="AP320" s="1"/>
      <c r="AQ320" s="9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7"/>
      <c r="AM321" s="9"/>
      <c r="AN321" s="1"/>
      <c r="AO321" s="1"/>
      <c r="AP321" s="1"/>
      <c r="AQ321" s="9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7"/>
      <c r="AM322" s="9"/>
      <c r="AN322" s="1"/>
      <c r="AO322" s="1"/>
      <c r="AP322" s="1"/>
      <c r="AQ322" s="9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7"/>
      <c r="AM323" s="9"/>
      <c r="AN323" s="1"/>
      <c r="AO323" s="1"/>
      <c r="AP323" s="1"/>
      <c r="AQ323" s="9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7"/>
      <c r="AM324" s="9"/>
      <c r="AN324" s="1"/>
      <c r="AO324" s="1"/>
      <c r="AP324" s="1"/>
      <c r="AQ324" s="9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7"/>
      <c r="AM325" s="9"/>
      <c r="AN325" s="1"/>
      <c r="AO325" s="1"/>
      <c r="AP325" s="1"/>
      <c r="AQ325" s="9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7"/>
      <c r="AM326" s="9"/>
      <c r="AN326" s="1"/>
      <c r="AO326" s="1"/>
      <c r="AP326" s="1"/>
      <c r="AQ326" s="9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7"/>
      <c r="AM327" s="9"/>
      <c r="AN327" s="1"/>
      <c r="AO327" s="1"/>
      <c r="AP327" s="1"/>
      <c r="AQ327" s="9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7"/>
      <c r="AM328" s="9"/>
      <c r="AN328" s="1"/>
      <c r="AO328" s="1"/>
      <c r="AP328" s="1"/>
      <c r="AQ328" s="9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7"/>
      <c r="AM329" s="9"/>
      <c r="AN329" s="1"/>
      <c r="AO329" s="1"/>
      <c r="AP329" s="1"/>
      <c r="AQ329" s="9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7"/>
      <c r="AM330" s="9"/>
      <c r="AN330" s="1"/>
      <c r="AO330" s="1"/>
      <c r="AP330" s="1"/>
      <c r="AQ330" s="9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7"/>
      <c r="AM331" s="9"/>
      <c r="AN331" s="1"/>
      <c r="AO331" s="1"/>
      <c r="AP331" s="1"/>
      <c r="AQ331" s="9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7"/>
      <c r="AM332" s="9"/>
      <c r="AN332" s="1"/>
      <c r="AO332" s="1"/>
      <c r="AP332" s="1"/>
      <c r="AQ332" s="9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7"/>
      <c r="AM333" s="9"/>
      <c r="AN333" s="1"/>
      <c r="AO333" s="1"/>
      <c r="AP333" s="1"/>
      <c r="AQ333" s="9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7"/>
      <c r="AM334" s="9"/>
      <c r="AN334" s="1"/>
      <c r="AO334" s="1"/>
      <c r="AP334" s="1"/>
      <c r="AQ334" s="9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7"/>
      <c r="AM335" s="9"/>
      <c r="AN335" s="1"/>
      <c r="AO335" s="1"/>
      <c r="AP335" s="1"/>
      <c r="AQ335" s="9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7"/>
      <c r="AM336" s="9"/>
      <c r="AN336" s="1"/>
      <c r="AO336" s="1"/>
      <c r="AP336" s="1"/>
      <c r="AQ336" s="9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7"/>
      <c r="AM337" s="9"/>
      <c r="AN337" s="1"/>
      <c r="AO337" s="1"/>
      <c r="AP337" s="1"/>
      <c r="AQ337" s="9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7"/>
      <c r="AM338" s="9"/>
      <c r="AN338" s="1"/>
      <c r="AO338" s="1"/>
      <c r="AP338" s="1"/>
      <c r="AQ338" s="9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7"/>
      <c r="AM339" s="9"/>
      <c r="AN339" s="1"/>
      <c r="AO339" s="1"/>
      <c r="AP339" s="1"/>
      <c r="AQ339" s="9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7"/>
      <c r="AM340" s="9"/>
      <c r="AN340" s="1"/>
      <c r="AO340" s="1"/>
      <c r="AP340" s="1"/>
      <c r="AQ340" s="9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7"/>
      <c r="AM341" s="9"/>
      <c r="AN341" s="1"/>
      <c r="AO341" s="1"/>
      <c r="AP341" s="1"/>
      <c r="AQ341" s="9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7"/>
      <c r="AM342" s="9"/>
      <c r="AN342" s="1"/>
      <c r="AO342" s="1"/>
      <c r="AP342" s="1"/>
      <c r="AQ342" s="9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7"/>
      <c r="AM343" s="9"/>
      <c r="AN343" s="1"/>
      <c r="AO343" s="1"/>
      <c r="AP343" s="1"/>
      <c r="AQ343" s="9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7"/>
      <c r="AM344" s="9"/>
      <c r="AN344" s="1"/>
      <c r="AO344" s="1"/>
      <c r="AP344" s="1"/>
      <c r="AQ344" s="9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7"/>
      <c r="AM345" s="9"/>
      <c r="AN345" s="1"/>
      <c r="AO345" s="1"/>
      <c r="AP345" s="1"/>
      <c r="AQ345" s="9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7"/>
      <c r="AM346" s="9"/>
      <c r="AN346" s="1"/>
      <c r="AO346" s="1"/>
      <c r="AP346" s="1"/>
      <c r="AQ346" s="9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7"/>
      <c r="AM347" s="9"/>
      <c r="AN347" s="1"/>
      <c r="AO347" s="1"/>
      <c r="AP347" s="1"/>
      <c r="AQ347" s="9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7"/>
      <c r="AM348" s="9"/>
      <c r="AN348" s="1"/>
      <c r="AO348" s="1"/>
      <c r="AP348" s="1"/>
      <c r="AQ348" s="9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7"/>
      <c r="AM349" s="9"/>
      <c r="AN349" s="1"/>
      <c r="AO349" s="1"/>
      <c r="AP349" s="1"/>
      <c r="AQ349" s="9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7"/>
      <c r="AM350" s="9"/>
      <c r="AN350" s="1"/>
      <c r="AO350" s="1"/>
      <c r="AP350" s="1"/>
      <c r="AQ350" s="9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7"/>
      <c r="AM351" s="9"/>
      <c r="AN351" s="1"/>
      <c r="AO351" s="1"/>
      <c r="AP351" s="1"/>
      <c r="AQ351" s="9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7"/>
      <c r="AM352" s="9"/>
      <c r="AN352" s="1"/>
      <c r="AO352" s="1"/>
      <c r="AP352" s="1"/>
      <c r="AQ352" s="9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7"/>
      <c r="AM353" s="9"/>
      <c r="AN353" s="1"/>
      <c r="AO353" s="1"/>
      <c r="AP353" s="1"/>
      <c r="AQ353" s="9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7"/>
      <c r="AM354" s="9"/>
      <c r="AN354" s="1"/>
      <c r="AO354" s="1"/>
      <c r="AP354" s="1"/>
      <c r="AQ354" s="9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7"/>
      <c r="AM355" s="9"/>
      <c r="AN355" s="1"/>
      <c r="AO355" s="1"/>
      <c r="AP355" s="1"/>
      <c r="AQ355" s="9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7"/>
      <c r="AM356" s="9"/>
      <c r="AN356" s="1"/>
      <c r="AO356" s="1"/>
      <c r="AP356" s="1"/>
      <c r="AQ356" s="9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7"/>
      <c r="AM357" s="9"/>
      <c r="AN357" s="1"/>
      <c r="AO357" s="1"/>
      <c r="AP357" s="1"/>
      <c r="AQ357" s="9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7"/>
      <c r="AM358" s="9"/>
      <c r="AN358" s="1"/>
      <c r="AO358" s="1"/>
      <c r="AP358" s="1"/>
      <c r="AQ358" s="9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7"/>
      <c r="AM359" s="9"/>
      <c r="AN359" s="1"/>
      <c r="AO359" s="1"/>
      <c r="AP359" s="1"/>
      <c r="AQ359" s="9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7"/>
      <c r="AM360" s="9"/>
      <c r="AN360" s="1"/>
      <c r="AO360" s="1"/>
      <c r="AP360" s="1"/>
      <c r="AQ360" s="9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7"/>
      <c r="AM361" s="9"/>
      <c r="AN361" s="1"/>
      <c r="AO361" s="1"/>
      <c r="AP361" s="1"/>
      <c r="AQ361" s="9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7"/>
      <c r="AM362" s="9"/>
      <c r="AN362" s="1"/>
      <c r="AO362" s="1"/>
      <c r="AP362" s="1"/>
      <c r="AQ362" s="9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7"/>
      <c r="AM363" s="9"/>
      <c r="AN363" s="1"/>
      <c r="AO363" s="1"/>
      <c r="AP363" s="1"/>
      <c r="AQ363" s="9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7"/>
      <c r="AM364" s="9"/>
      <c r="AN364" s="1"/>
      <c r="AO364" s="1"/>
      <c r="AP364" s="1"/>
      <c r="AQ364" s="9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7"/>
      <c r="AM365" s="9"/>
      <c r="AN365" s="1"/>
      <c r="AO365" s="1"/>
      <c r="AP365" s="1"/>
      <c r="AQ365" s="9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7"/>
      <c r="AM366" s="9"/>
      <c r="AN366" s="1"/>
      <c r="AO366" s="1"/>
      <c r="AP366" s="1"/>
      <c r="AQ366" s="9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7"/>
      <c r="AM367" s="9"/>
      <c r="AN367" s="1"/>
      <c r="AO367" s="1"/>
      <c r="AP367" s="1"/>
      <c r="AQ367" s="9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7"/>
      <c r="AM368" s="9"/>
      <c r="AN368" s="1"/>
      <c r="AO368" s="1"/>
      <c r="AP368" s="1"/>
      <c r="AQ368" s="9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7"/>
      <c r="AM369" s="9"/>
      <c r="AN369" s="1"/>
      <c r="AO369" s="1"/>
      <c r="AP369" s="1"/>
      <c r="AQ369" s="9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7"/>
      <c r="AM370" s="9"/>
      <c r="AN370" s="1"/>
      <c r="AO370" s="1"/>
      <c r="AP370" s="1"/>
      <c r="AQ370" s="9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7"/>
      <c r="AM371" s="9"/>
      <c r="AN371" s="1"/>
      <c r="AO371" s="1"/>
      <c r="AP371" s="1"/>
      <c r="AQ371" s="9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7"/>
      <c r="AM372" s="9"/>
      <c r="AN372" s="1"/>
      <c r="AO372" s="1"/>
      <c r="AP372" s="1"/>
      <c r="AQ372" s="9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7"/>
      <c r="AM373" s="9"/>
      <c r="AN373" s="1"/>
      <c r="AO373" s="1"/>
      <c r="AP373" s="1"/>
      <c r="AQ373" s="9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7"/>
      <c r="AM374" s="9"/>
      <c r="AN374" s="1"/>
      <c r="AO374" s="1"/>
      <c r="AP374" s="1"/>
      <c r="AQ374" s="9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7"/>
      <c r="AM375" s="9"/>
      <c r="AN375" s="1"/>
      <c r="AO375" s="1"/>
      <c r="AP375" s="1"/>
      <c r="AQ375" s="9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7"/>
      <c r="AM376" s="9"/>
      <c r="AN376" s="1"/>
      <c r="AO376" s="1"/>
      <c r="AP376" s="1"/>
      <c r="AQ376" s="9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7"/>
      <c r="AM377" s="9"/>
      <c r="AN377" s="1"/>
      <c r="AO377" s="1"/>
      <c r="AP377" s="1"/>
      <c r="AQ377" s="9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7"/>
      <c r="AM378" s="9"/>
      <c r="AN378" s="1"/>
      <c r="AO378" s="1"/>
      <c r="AP378" s="1"/>
      <c r="AQ378" s="9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7"/>
      <c r="AM379" s="9"/>
      <c r="AN379" s="1"/>
      <c r="AO379" s="1"/>
      <c r="AP379" s="1"/>
      <c r="AQ379" s="9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7"/>
      <c r="AM380" s="9"/>
      <c r="AN380" s="1"/>
      <c r="AO380" s="1"/>
      <c r="AP380" s="1"/>
      <c r="AQ380" s="9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7"/>
      <c r="AM381" s="9"/>
      <c r="AN381" s="1"/>
      <c r="AO381" s="1"/>
      <c r="AP381" s="1"/>
      <c r="AQ381" s="9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7"/>
      <c r="AM382" s="9"/>
      <c r="AN382" s="1"/>
      <c r="AO382" s="1"/>
      <c r="AP382" s="1"/>
      <c r="AQ382" s="9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7"/>
      <c r="AM383" s="9"/>
      <c r="AN383" s="1"/>
      <c r="AO383" s="1"/>
      <c r="AP383" s="1"/>
      <c r="AQ383" s="9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7"/>
      <c r="AM384" s="9"/>
      <c r="AN384" s="1"/>
      <c r="AO384" s="1"/>
      <c r="AP384" s="1"/>
      <c r="AQ384" s="9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7"/>
      <c r="AM385" s="9"/>
      <c r="AN385" s="1"/>
      <c r="AO385" s="1"/>
      <c r="AP385" s="1"/>
      <c r="AQ385" s="9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7"/>
      <c r="AM386" s="9"/>
      <c r="AN386" s="1"/>
      <c r="AO386" s="1"/>
      <c r="AP386" s="1"/>
      <c r="AQ386" s="9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7"/>
      <c r="AM387" s="9"/>
      <c r="AN387" s="1"/>
      <c r="AO387" s="1"/>
      <c r="AP387" s="1"/>
      <c r="AQ387" s="9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7"/>
      <c r="AM388" s="9"/>
      <c r="AN388" s="1"/>
      <c r="AO388" s="1"/>
      <c r="AP388" s="1"/>
      <c r="AQ388" s="9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7"/>
      <c r="AM389" s="9"/>
      <c r="AN389" s="1"/>
      <c r="AO389" s="1"/>
      <c r="AP389" s="1"/>
      <c r="AQ389" s="9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7"/>
      <c r="AM390" s="9"/>
      <c r="AN390" s="1"/>
      <c r="AO390" s="1"/>
      <c r="AP390" s="1"/>
      <c r="AQ390" s="9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7"/>
      <c r="AM391" s="9"/>
      <c r="AN391" s="1"/>
      <c r="AO391" s="1"/>
      <c r="AP391" s="1"/>
      <c r="AQ391" s="9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7"/>
      <c r="AM392" s="9"/>
      <c r="AN392" s="1"/>
      <c r="AO392" s="1"/>
      <c r="AP392" s="1"/>
      <c r="AQ392" s="9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7"/>
      <c r="AM393" s="9"/>
      <c r="AN393" s="1"/>
      <c r="AO393" s="1"/>
      <c r="AP393" s="1"/>
      <c r="AQ393" s="9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7"/>
      <c r="AM394" s="9"/>
      <c r="AN394" s="1"/>
      <c r="AO394" s="1"/>
      <c r="AP394" s="1"/>
      <c r="AQ394" s="9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7"/>
      <c r="AM395" s="9"/>
      <c r="AN395" s="1"/>
      <c r="AO395" s="1"/>
      <c r="AP395" s="1"/>
      <c r="AQ395" s="9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7"/>
      <c r="AM396" s="9"/>
      <c r="AN396" s="1"/>
      <c r="AO396" s="1"/>
      <c r="AP396" s="1"/>
      <c r="AQ396" s="9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7"/>
      <c r="AM397" s="9"/>
      <c r="AN397" s="1"/>
      <c r="AO397" s="1"/>
      <c r="AP397" s="1"/>
      <c r="AQ397" s="9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7"/>
      <c r="AM398" s="9"/>
      <c r="AN398" s="1"/>
      <c r="AO398" s="1"/>
      <c r="AP398" s="1"/>
      <c r="AQ398" s="9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7"/>
      <c r="AM399" s="9"/>
      <c r="AN399" s="1"/>
      <c r="AO399" s="1"/>
      <c r="AP399" s="1"/>
      <c r="AQ399" s="9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7"/>
      <c r="AM400" s="9"/>
      <c r="AN400" s="1"/>
      <c r="AO400" s="1"/>
      <c r="AP400" s="1"/>
      <c r="AQ400" s="9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7"/>
      <c r="AM401" s="9"/>
      <c r="AN401" s="1"/>
      <c r="AO401" s="1"/>
      <c r="AP401" s="1"/>
      <c r="AQ401" s="9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7"/>
      <c r="AM402" s="9"/>
      <c r="AN402" s="1"/>
      <c r="AO402" s="1"/>
      <c r="AP402" s="1"/>
      <c r="AQ402" s="9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7"/>
      <c r="AM403" s="9"/>
      <c r="AN403" s="1"/>
      <c r="AO403" s="1"/>
      <c r="AP403" s="1"/>
      <c r="AQ403" s="9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7"/>
      <c r="AM404" s="9"/>
      <c r="AN404" s="1"/>
      <c r="AO404" s="1"/>
      <c r="AP404" s="1"/>
      <c r="AQ404" s="9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7"/>
      <c r="AM405" s="9"/>
      <c r="AN405" s="1"/>
      <c r="AO405" s="1"/>
      <c r="AP405" s="1"/>
      <c r="AQ405" s="9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7"/>
      <c r="AM406" s="9"/>
      <c r="AN406" s="1"/>
      <c r="AO406" s="1"/>
      <c r="AP406" s="1"/>
      <c r="AQ406" s="9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7"/>
      <c r="AM407" s="9"/>
      <c r="AN407" s="1"/>
      <c r="AO407" s="1"/>
      <c r="AP407" s="1"/>
      <c r="AQ407" s="9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7"/>
      <c r="AM408" s="9"/>
      <c r="AN408" s="1"/>
      <c r="AO408" s="1"/>
      <c r="AP408" s="1"/>
      <c r="AQ408" s="9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7"/>
      <c r="AM409" s="9"/>
      <c r="AN409" s="1"/>
      <c r="AO409" s="1"/>
      <c r="AP409" s="1"/>
      <c r="AQ409" s="9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7"/>
      <c r="AM410" s="9"/>
      <c r="AN410" s="1"/>
      <c r="AO410" s="1"/>
      <c r="AP410" s="1"/>
      <c r="AQ410" s="9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7"/>
      <c r="AM411" s="9"/>
      <c r="AN411" s="1"/>
      <c r="AO411" s="1"/>
      <c r="AP411" s="1"/>
      <c r="AQ411" s="9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7"/>
      <c r="AM412" s="9"/>
      <c r="AN412" s="1"/>
      <c r="AO412" s="1"/>
      <c r="AP412" s="1"/>
      <c r="AQ412" s="9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7"/>
      <c r="AM413" s="9"/>
      <c r="AN413" s="1"/>
      <c r="AO413" s="1"/>
      <c r="AP413" s="1"/>
      <c r="AQ413" s="9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7"/>
      <c r="AM414" s="9"/>
      <c r="AN414" s="1"/>
      <c r="AO414" s="1"/>
      <c r="AP414" s="1"/>
      <c r="AQ414" s="9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7"/>
      <c r="AM415" s="9"/>
      <c r="AN415" s="1"/>
      <c r="AO415" s="1"/>
      <c r="AP415" s="1"/>
      <c r="AQ415" s="9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7"/>
      <c r="AM416" s="9"/>
      <c r="AN416" s="1"/>
      <c r="AO416" s="1"/>
      <c r="AP416" s="1"/>
      <c r="AQ416" s="9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7"/>
      <c r="AM417" s="9"/>
      <c r="AN417" s="1"/>
      <c r="AO417" s="1"/>
      <c r="AP417" s="1"/>
      <c r="AQ417" s="9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7"/>
      <c r="AM418" s="9"/>
      <c r="AN418" s="1"/>
      <c r="AO418" s="1"/>
      <c r="AP418" s="1"/>
      <c r="AQ418" s="9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7"/>
      <c r="AM419" s="9"/>
      <c r="AN419" s="1"/>
      <c r="AO419" s="1"/>
      <c r="AP419" s="1"/>
      <c r="AQ419" s="9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7"/>
      <c r="AM420" s="9"/>
      <c r="AN420" s="1"/>
      <c r="AO420" s="1"/>
      <c r="AP420" s="1"/>
      <c r="AQ420" s="9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7"/>
      <c r="AM421" s="9"/>
      <c r="AN421" s="1"/>
      <c r="AO421" s="1"/>
      <c r="AP421" s="1"/>
      <c r="AQ421" s="9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7"/>
      <c r="AM422" s="9"/>
      <c r="AN422" s="1"/>
      <c r="AO422" s="1"/>
      <c r="AP422" s="1"/>
      <c r="AQ422" s="9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7"/>
      <c r="AM423" s="9"/>
      <c r="AN423" s="1"/>
      <c r="AO423" s="1"/>
      <c r="AP423" s="1"/>
      <c r="AQ423" s="9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7"/>
      <c r="AM424" s="9"/>
      <c r="AN424" s="1"/>
      <c r="AO424" s="1"/>
      <c r="AP424" s="1"/>
      <c r="AQ424" s="9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7"/>
      <c r="AM425" s="9"/>
      <c r="AN425" s="1"/>
      <c r="AO425" s="1"/>
      <c r="AP425" s="1"/>
      <c r="AQ425" s="9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7"/>
      <c r="AM426" s="9"/>
      <c r="AN426" s="1"/>
      <c r="AO426" s="1"/>
      <c r="AP426" s="1"/>
      <c r="AQ426" s="9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7"/>
      <c r="AM427" s="9"/>
      <c r="AN427" s="1"/>
      <c r="AO427" s="1"/>
      <c r="AP427" s="1"/>
      <c r="AQ427" s="9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7"/>
      <c r="AM428" s="9"/>
      <c r="AN428" s="1"/>
      <c r="AO428" s="1"/>
      <c r="AP428" s="1"/>
      <c r="AQ428" s="9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7"/>
      <c r="AM429" s="9"/>
      <c r="AN429" s="1"/>
      <c r="AO429" s="1"/>
      <c r="AP429" s="1"/>
      <c r="AQ429" s="9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7"/>
      <c r="AM430" s="9"/>
      <c r="AN430" s="1"/>
      <c r="AO430" s="1"/>
      <c r="AP430" s="1"/>
      <c r="AQ430" s="9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7"/>
      <c r="AM431" s="9"/>
      <c r="AN431" s="1"/>
      <c r="AO431" s="1"/>
      <c r="AP431" s="1"/>
      <c r="AQ431" s="9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7"/>
      <c r="AM432" s="9"/>
      <c r="AN432" s="1"/>
      <c r="AO432" s="1"/>
      <c r="AP432" s="1"/>
      <c r="AQ432" s="9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7"/>
      <c r="AM433" s="9"/>
      <c r="AN433" s="1"/>
      <c r="AO433" s="1"/>
      <c r="AP433" s="1"/>
      <c r="AQ433" s="9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7"/>
      <c r="AM434" s="9"/>
      <c r="AN434" s="1"/>
      <c r="AO434" s="1"/>
      <c r="AP434" s="1"/>
      <c r="AQ434" s="9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7"/>
      <c r="AM435" s="9"/>
      <c r="AN435" s="1"/>
      <c r="AO435" s="1"/>
      <c r="AP435" s="1"/>
      <c r="AQ435" s="9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7"/>
      <c r="AM436" s="9"/>
      <c r="AN436" s="1"/>
      <c r="AO436" s="1"/>
      <c r="AP436" s="1"/>
      <c r="AQ436" s="9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7"/>
      <c r="AM437" s="9"/>
      <c r="AN437" s="1"/>
      <c r="AO437" s="1"/>
      <c r="AP437" s="1"/>
      <c r="AQ437" s="9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7"/>
      <c r="AM438" s="9"/>
      <c r="AN438" s="1"/>
      <c r="AO438" s="1"/>
      <c r="AP438" s="1"/>
      <c r="AQ438" s="9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7"/>
      <c r="AM439" s="9"/>
      <c r="AN439" s="1"/>
      <c r="AO439" s="1"/>
      <c r="AP439" s="1"/>
      <c r="AQ439" s="9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7"/>
      <c r="AM440" s="9"/>
      <c r="AN440" s="1"/>
      <c r="AO440" s="1"/>
      <c r="AP440" s="1"/>
      <c r="AQ440" s="9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7"/>
      <c r="AM441" s="9"/>
      <c r="AN441" s="1"/>
      <c r="AO441" s="1"/>
      <c r="AP441" s="1"/>
      <c r="AQ441" s="9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7"/>
      <c r="AM442" s="9"/>
      <c r="AN442" s="1"/>
      <c r="AO442" s="1"/>
      <c r="AP442" s="1"/>
      <c r="AQ442" s="9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7"/>
      <c r="AM443" s="9"/>
      <c r="AN443" s="1"/>
      <c r="AO443" s="1"/>
      <c r="AP443" s="1"/>
      <c r="AQ443" s="9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7"/>
      <c r="AM444" s="9"/>
      <c r="AN444" s="1"/>
      <c r="AO444" s="1"/>
      <c r="AP444" s="1"/>
      <c r="AQ444" s="9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7"/>
      <c r="AM445" s="9"/>
      <c r="AN445" s="1"/>
      <c r="AO445" s="1"/>
      <c r="AP445" s="1"/>
      <c r="AQ445" s="9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7"/>
      <c r="AM446" s="9"/>
      <c r="AN446" s="1"/>
      <c r="AO446" s="1"/>
      <c r="AP446" s="1"/>
      <c r="AQ446" s="9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7"/>
      <c r="AM447" s="9"/>
      <c r="AN447" s="1"/>
      <c r="AO447" s="1"/>
      <c r="AP447" s="1"/>
      <c r="AQ447" s="9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7"/>
      <c r="AM448" s="9"/>
      <c r="AN448" s="1"/>
      <c r="AO448" s="1"/>
      <c r="AP448" s="1"/>
      <c r="AQ448" s="9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7"/>
      <c r="AM449" s="9"/>
      <c r="AN449" s="1"/>
      <c r="AO449" s="1"/>
      <c r="AP449" s="1"/>
      <c r="AQ449" s="9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7"/>
      <c r="AM450" s="9"/>
      <c r="AN450" s="1"/>
      <c r="AO450" s="1"/>
      <c r="AP450" s="1"/>
      <c r="AQ450" s="9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7"/>
      <c r="AM451" s="9"/>
      <c r="AN451" s="1"/>
      <c r="AO451" s="1"/>
      <c r="AP451" s="1"/>
      <c r="AQ451" s="9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7"/>
      <c r="AM452" s="9"/>
      <c r="AN452" s="1"/>
      <c r="AO452" s="1"/>
      <c r="AP452" s="1"/>
      <c r="AQ452" s="9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7"/>
      <c r="AM453" s="9"/>
      <c r="AN453" s="1"/>
      <c r="AO453" s="1"/>
      <c r="AP453" s="1"/>
      <c r="AQ453" s="9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7"/>
      <c r="AM454" s="9"/>
      <c r="AN454" s="1"/>
      <c r="AO454" s="1"/>
      <c r="AP454" s="1"/>
      <c r="AQ454" s="9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7"/>
      <c r="AM455" s="9"/>
      <c r="AN455" s="1"/>
      <c r="AO455" s="1"/>
      <c r="AP455" s="1"/>
      <c r="AQ455" s="9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7"/>
      <c r="AM456" s="9"/>
      <c r="AN456" s="1"/>
      <c r="AO456" s="1"/>
      <c r="AP456" s="1"/>
      <c r="AQ456" s="9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7"/>
      <c r="AM457" s="9"/>
      <c r="AN457" s="1"/>
      <c r="AO457" s="1"/>
      <c r="AP457" s="1"/>
      <c r="AQ457" s="9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7"/>
      <c r="AM458" s="9"/>
      <c r="AN458" s="1"/>
      <c r="AO458" s="1"/>
      <c r="AP458" s="1"/>
      <c r="AQ458" s="9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7"/>
      <c r="AM459" s="9"/>
      <c r="AN459" s="1"/>
      <c r="AO459" s="1"/>
      <c r="AP459" s="1"/>
      <c r="AQ459" s="9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7"/>
      <c r="AM460" s="9"/>
      <c r="AN460" s="1"/>
      <c r="AO460" s="1"/>
      <c r="AP460" s="1"/>
      <c r="AQ460" s="9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7"/>
      <c r="AM461" s="9"/>
      <c r="AN461" s="1"/>
      <c r="AO461" s="1"/>
      <c r="AP461" s="1"/>
      <c r="AQ461" s="9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7"/>
      <c r="AM462" s="9"/>
      <c r="AN462" s="1"/>
      <c r="AO462" s="1"/>
      <c r="AP462" s="1"/>
      <c r="AQ462" s="9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7"/>
      <c r="AM463" s="9"/>
      <c r="AN463" s="1"/>
      <c r="AO463" s="1"/>
      <c r="AP463" s="1"/>
      <c r="AQ463" s="9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7"/>
      <c r="AM464" s="9"/>
      <c r="AN464" s="1"/>
      <c r="AO464" s="1"/>
      <c r="AP464" s="1"/>
      <c r="AQ464" s="9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7"/>
      <c r="AM465" s="9"/>
      <c r="AN465" s="1"/>
      <c r="AO465" s="1"/>
      <c r="AP465" s="1"/>
      <c r="AQ465" s="9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7"/>
      <c r="AM466" s="9"/>
      <c r="AN466" s="1"/>
      <c r="AO466" s="1"/>
      <c r="AP466" s="1"/>
      <c r="AQ466" s="9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7"/>
      <c r="AM467" s="9"/>
      <c r="AN467" s="1"/>
      <c r="AO467" s="1"/>
      <c r="AP467" s="1"/>
      <c r="AQ467" s="9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7"/>
      <c r="AM468" s="9"/>
      <c r="AN468" s="1"/>
      <c r="AO468" s="1"/>
      <c r="AP468" s="1"/>
      <c r="AQ468" s="9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7"/>
      <c r="AM469" s="9"/>
      <c r="AN469" s="1"/>
      <c r="AO469" s="1"/>
      <c r="AP469" s="1"/>
      <c r="AQ469" s="9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7"/>
      <c r="AM470" s="9"/>
      <c r="AN470" s="1"/>
      <c r="AO470" s="1"/>
      <c r="AP470" s="1"/>
      <c r="AQ470" s="9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7"/>
      <c r="AM471" s="9"/>
      <c r="AN471" s="1"/>
      <c r="AO471" s="1"/>
      <c r="AP471" s="1"/>
      <c r="AQ471" s="9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7"/>
      <c r="AM472" s="9"/>
      <c r="AN472" s="1"/>
      <c r="AO472" s="1"/>
      <c r="AP472" s="1"/>
      <c r="AQ472" s="9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7"/>
      <c r="AM473" s="9"/>
      <c r="AN473" s="1"/>
      <c r="AO473" s="1"/>
      <c r="AP473" s="1"/>
      <c r="AQ473" s="9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7"/>
      <c r="AM474" s="9"/>
      <c r="AN474" s="1"/>
      <c r="AO474" s="1"/>
      <c r="AP474" s="1"/>
      <c r="AQ474" s="9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7"/>
      <c r="AM475" s="9"/>
      <c r="AN475" s="1"/>
      <c r="AO475" s="1"/>
      <c r="AP475" s="1"/>
      <c r="AQ475" s="9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7"/>
      <c r="AM476" s="9"/>
      <c r="AN476" s="1"/>
      <c r="AO476" s="1"/>
      <c r="AP476" s="1"/>
      <c r="AQ476" s="9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7"/>
      <c r="AM477" s="9"/>
      <c r="AN477" s="1"/>
      <c r="AO477" s="1"/>
      <c r="AP477" s="1"/>
      <c r="AQ477" s="9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7"/>
      <c r="AM478" s="9"/>
      <c r="AN478" s="1"/>
      <c r="AO478" s="1"/>
      <c r="AP478" s="1"/>
      <c r="AQ478" s="9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7"/>
      <c r="AM479" s="9"/>
      <c r="AN479" s="1"/>
      <c r="AO479" s="1"/>
      <c r="AP479" s="1"/>
      <c r="AQ479" s="9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7"/>
      <c r="AM480" s="9"/>
      <c r="AN480" s="1"/>
      <c r="AO480" s="1"/>
      <c r="AP480" s="1"/>
      <c r="AQ480" s="9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7"/>
      <c r="AM481" s="9"/>
      <c r="AN481" s="1"/>
      <c r="AO481" s="1"/>
      <c r="AP481" s="1"/>
      <c r="AQ481" s="9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7"/>
      <c r="AM482" s="9"/>
      <c r="AN482" s="1"/>
      <c r="AO482" s="1"/>
      <c r="AP482" s="1"/>
      <c r="AQ482" s="9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7"/>
      <c r="AM483" s="9"/>
      <c r="AN483" s="1"/>
      <c r="AO483" s="1"/>
      <c r="AP483" s="1"/>
      <c r="AQ483" s="9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7"/>
      <c r="AM484" s="9"/>
      <c r="AN484" s="1"/>
      <c r="AO484" s="1"/>
      <c r="AP484" s="1"/>
      <c r="AQ484" s="9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7"/>
      <c r="AM485" s="9"/>
      <c r="AN485" s="1"/>
      <c r="AO485" s="1"/>
      <c r="AP485" s="1"/>
      <c r="AQ485" s="9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7"/>
      <c r="AM486" s="9"/>
      <c r="AN486" s="1"/>
      <c r="AO486" s="1"/>
      <c r="AP486" s="1"/>
      <c r="AQ486" s="9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7"/>
      <c r="AM487" s="9"/>
      <c r="AN487" s="1"/>
      <c r="AO487" s="1"/>
      <c r="AP487" s="1"/>
      <c r="AQ487" s="9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7"/>
      <c r="AM488" s="9"/>
      <c r="AN488" s="1"/>
      <c r="AO488" s="1"/>
      <c r="AP488" s="1"/>
      <c r="AQ488" s="9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7"/>
      <c r="AM489" s="9"/>
      <c r="AN489" s="1"/>
      <c r="AO489" s="1"/>
      <c r="AP489" s="1"/>
      <c r="AQ489" s="9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7"/>
      <c r="AM490" s="9"/>
      <c r="AN490" s="1"/>
      <c r="AO490" s="1"/>
      <c r="AP490" s="1"/>
      <c r="AQ490" s="9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7"/>
      <c r="AM491" s="9"/>
      <c r="AN491" s="1"/>
      <c r="AO491" s="1"/>
      <c r="AP491" s="1"/>
      <c r="AQ491" s="9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7"/>
      <c r="AM492" s="9"/>
      <c r="AN492" s="1"/>
      <c r="AO492" s="1"/>
      <c r="AP492" s="1"/>
      <c r="AQ492" s="9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7"/>
      <c r="AM493" s="9"/>
      <c r="AN493" s="1"/>
      <c r="AO493" s="1"/>
      <c r="AP493" s="1"/>
      <c r="AQ493" s="9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7"/>
      <c r="AM494" s="9"/>
      <c r="AN494" s="1"/>
      <c r="AO494" s="1"/>
      <c r="AP494" s="1"/>
      <c r="AQ494" s="9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7"/>
      <c r="AM495" s="9"/>
      <c r="AN495" s="1"/>
      <c r="AO495" s="1"/>
      <c r="AP495" s="1"/>
      <c r="AQ495" s="9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7"/>
      <c r="AM496" s="9"/>
      <c r="AN496" s="1"/>
      <c r="AO496" s="1"/>
      <c r="AP496" s="1"/>
      <c r="AQ496" s="9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7"/>
      <c r="AM497" s="9"/>
      <c r="AN497" s="1"/>
      <c r="AO497" s="1"/>
      <c r="AP497" s="1"/>
      <c r="AQ497" s="9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7"/>
      <c r="AM498" s="9"/>
      <c r="AN498" s="1"/>
      <c r="AO498" s="1"/>
      <c r="AP498" s="1"/>
      <c r="AQ498" s="9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7"/>
      <c r="AM499" s="9"/>
      <c r="AN499" s="1"/>
      <c r="AO499" s="1"/>
      <c r="AP499" s="1"/>
      <c r="AQ499" s="9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Q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2026-08-31T15:23:26Z</dcterms:created>
  <dcterms:modified xsi:type="dcterms:W3CDTF">2026-09-02T09:21:30Z</dcterms:modified>
</cp:coreProperties>
</file>