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2F330DC-ADE2-4683-ACAF-1C872C833C9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P247" i="1"/>
  <c r="X245" i="1"/>
  <c r="X244" i="1"/>
  <c r="BO243" i="1"/>
  <c r="BM243" i="1"/>
  <c r="Z243" i="1"/>
  <c r="Z244" i="1" s="1"/>
  <c r="Y243" i="1"/>
  <c r="P243" i="1"/>
  <c r="X239" i="1"/>
  <c r="X238" i="1"/>
  <c r="BO237" i="1"/>
  <c r="BM237" i="1"/>
  <c r="Z237" i="1"/>
  <c r="Z238" i="1" s="1"/>
  <c r="Y237" i="1"/>
  <c r="P237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3" i="1"/>
  <c r="X222" i="1"/>
  <c r="BO221" i="1"/>
  <c r="BM221" i="1"/>
  <c r="Z221" i="1"/>
  <c r="Z222" i="1" s="1"/>
  <c r="Y221" i="1"/>
  <c r="P221" i="1"/>
  <c r="X218" i="1"/>
  <c r="X217" i="1"/>
  <c r="BO216" i="1"/>
  <c r="BM216" i="1"/>
  <c r="Z216" i="1"/>
  <c r="Z217" i="1" s="1"/>
  <c r="Y216" i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P204" i="1"/>
  <c r="BO203" i="1"/>
  <c r="BM203" i="1"/>
  <c r="Z203" i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Z194" i="1" s="1"/>
  <c r="Y190" i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P179" i="1"/>
  <c r="BO178" i="1"/>
  <c r="BM178" i="1"/>
  <c r="Z178" i="1"/>
  <c r="Z180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BO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M133" i="1"/>
  <c r="Z133" i="1"/>
  <c r="Y133" i="1"/>
  <c r="P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4" i="1" s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P110" i="1"/>
  <c r="X107" i="1"/>
  <c r="X106" i="1"/>
  <c r="BO105" i="1"/>
  <c r="BM105" i="1"/>
  <c r="Z105" i="1"/>
  <c r="Y105" i="1"/>
  <c r="P105" i="1"/>
  <c r="BO104" i="1"/>
  <c r="BM104" i="1"/>
  <c r="Z104" i="1"/>
  <c r="Z106" i="1" s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P94" i="1"/>
  <c r="X91" i="1"/>
  <c r="X90" i="1"/>
  <c r="BO89" i="1"/>
  <c r="BM89" i="1"/>
  <c r="Z89" i="1"/>
  <c r="Y89" i="1"/>
  <c r="P89" i="1"/>
  <c r="BO88" i="1"/>
  <c r="BM88" i="1"/>
  <c r="Z88" i="1"/>
  <c r="Z90" i="1" s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BN98" i="1" l="1"/>
  <c r="Y68" i="1"/>
  <c r="BN66" i="1"/>
  <c r="Z79" i="1"/>
  <c r="BN77" i="1"/>
  <c r="Z206" i="1"/>
  <c r="BN211" i="1"/>
  <c r="Z278" i="1"/>
  <c r="BN96" i="1"/>
  <c r="BP26" i="1"/>
  <c r="BN26" i="1"/>
  <c r="BP28" i="1"/>
  <c r="BN28" i="1"/>
  <c r="Y43" i="1"/>
  <c r="BP41" i="1"/>
  <c r="BN41" i="1"/>
  <c r="Y57" i="1"/>
  <c r="BP53" i="1"/>
  <c r="BN53" i="1"/>
  <c r="BP55" i="1"/>
  <c r="BN55" i="1"/>
  <c r="BP179" i="1"/>
  <c r="BN179" i="1"/>
  <c r="BP204" i="1"/>
  <c r="BN204" i="1"/>
  <c r="Y207" i="1"/>
  <c r="Y218" i="1"/>
  <c r="Y217" i="1"/>
  <c r="BP216" i="1"/>
  <c r="BN216" i="1"/>
  <c r="Y229" i="1"/>
  <c r="Y228" i="1"/>
  <c r="BP227" i="1"/>
  <c r="BN227" i="1"/>
  <c r="Y239" i="1"/>
  <c r="Y238" i="1"/>
  <c r="BP237" i="1"/>
  <c r="BN237" i="1"/>
  <c r="Y249" i="1"/>
  <c r="Y248" i="1"/>
  <c r="BP247" i="1"/>
  <c r="BN247" i="1"/>
  <c r="Y30" i="1"/>
  <c r="Y74" i="1"/>
  <c r="BP70" i="1"/>
  <c r="BN70" i="1"/>
  <c r="BP72" i="1"/>
  <c r="BN72" i="1"/>
  <c r="BP89" i="1"/>
  <c r="BN89" i="1"/>
  <c r="BP105" i="1"/>
  <c r="BN105" i="1"/>
  <c r="BP131" i="1"/>
  <c r="BN131" i="1"/>
  <c r="BP133" i="1"/>
  <c r="BN133" i="1"/>
  <c r="BP144" i="1"/>
  <c r="BN144" i="1"/>
  <c r="Y158" i="1"/>
  <c r="BP156" i="1"/>
  <c r="BN156" i="1"/>
  <c r="Y159" i="1"/>
  <c r="Y223" i="1"/>
  <c r="Y222" i="1"/>
  <c r="BP221" i="1"/>
  <c r="BN221" i="1"/>
  <c r="Y235" i="1"/>
  <c r="Y234" i="1"/>
  <c r="BP233" i="1"/>
  <c r="BN233" i="1"/>
  <c r="Y245" i="1"/>
  <c r="Y244" i="1"/>
  <c r="BP243" i="1"/>
  <c r="BN243" i="1"/>
  <c r="BP253" i="1"/>
  <c r="BN253" i="1"/>
  <c r="BP263" i="1"/>
  <c r="BN263" i="1"/>
  <c r="X284" i="1"/>
  <c r="Z36" i="1"/>
  <c r="Z43" i="1"/>
  <c r="Z49" i="1"/>
  <c r="Z57" i="1"/>
  <c r="Z67" i="1"/>
  <c r="Z73" i="1"/>
  <c r="Y79" i="1"/>
  <c r="Y91" i="1"/>
  <c r="Y100" i="1"/>
  <c r="Y107" i="1"/>
  <c r="Y118" i="1"/>
  <c r="Y135" i="1"/>
  <c r="Y141" i="1"/>
  <c r="Z146" i="1"/>
  <c r="Z152" i="1"/>
  <c r="Y194" i="1"/>
  <c r="Y195" i="1"/>
  <c r="Z255" i="1"/>
  <c r="Z265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2" i="1" l="1"/>
  <c r="Y281" i="1"/>
  <c r="Y284" i="1"/>
  <c r="Z285" i="1"/>
  <c r="X283" i="1"/>
  <c r="Y280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<sst xmlns="http://schemas.openxmlformats.org/spreadsheetml/2006/main" count="1293" uniqueCount="420">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</sst>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5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393.6</v>
      </c>
      <c r="Y31" s="280">
        <f>IFERROR(SUMPRODUCT(Y22:Y29*H22:H29),"0")</f>
        <v>393.6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182</v>
      </c>
      <c r="Y41" s="279">
        <f>IFERROR(IF(X41="","",X41),"")</f>
        <v>182</v>
      </c>
      <c r="Z41" s="37">
        <f>IFERROR(IF(X41="","",X41*0.00941),"")</f>
        <v>1.71262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349.76760000000002</v>
      </c>
      <c r="BN41" s="67">
        <f>IFERROR(Y41*I41,"0")</f>
        <v>349.76760000000002</v>
      </c>
      <c r="BO41" s="67">
        <f>IFERROR(X41/J41,"0")</f>
        <v>1.3</v>
      </c>
      <c r="BP41" s="67">
        <f>IFERROR(Y41/J41,"0")</f>
        <v>1.3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42</v>
      </c>
      <c r="Y42" s="279">
        <f>IFERROR(IF(X42="","",X42),"")</f>
        <v>42</v>
      </c>
      <c r="Z42" s="37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224</v>
      </c>
      <c r="Y43" s="280">
        <f>IFERROR(SUM(Y41:Y42),"0")</f>
        <v>224</v>
      </c>
      <c r="Z43" s="280">
        <f>IFERROR(IF(Z41="",0,Z41),"0")+IFERROR(IF(Z42="",0,Z42),"0")</f>
        <v>2.1078399999999999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336</v>
      </c>
      <c r="Y44" s="280">
        <f>IFERROR(SUMPRODUCT(Y41:Y42*H41:H42),"0")</f>
        <v>336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60</v>
      </c>
      <c r="Y47" s="279">
        <f>IFERROR(IF(X47="","",X47),"")</f>
        <v>60</v>
      </c>
      <c r="Z47" s="37">
        <f>IFERROR(IF(X47="","",X47*0.0155),"")</f>
        <v>0.92999999999999994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84</v>
      </c>
      <c r="Y49" s="280">
        <f>IFERROR(SUM(Y47:Y48),"0")</f>
        <v>84</v>
      </c>
      <c r="Z49" s="280">
        <f>IFERROR(IF(Z47="",0,Z47),"0")+IFERROR(IF(Z48="",0,Z48),"0")</f>
        <v>1.302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470.4</v>
      </c>
      <c r="Y50" s="280">
        <f>IFERROR(SUMPRODUCT(Y47:Y48*H47:H48),"0")</f>
        <v>470.4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12</v>
      </c>
      <c r="Y53" s="279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108</v>
      </c>
      <c r="Y56" s="279">
        <f>IFERROR(IF(X56="","",X56),"")</f>
        <v>108</v>
      </c>
      <c r="Z56" s="37">
        <f>IFERROR(IF(X56="","",X56*0.0155),"")</f>
        <v>1.6739999999999999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788.4</v>
      </c>
      <c r="BN56" s="67">
        <f>IFERROR(Y56*I56,"0")</f>
        <v>788.4</v>
      </c>
      <c r="BO56" s="67">
        <f>IFERROR(X56/J56,"0")</f>
        <v>1.2857142857142858</v>
      </c>
      <c r="BP56" s="67">
        <f>IFERROR(Y56/J56,"0")</f>
        <v>1.2857142857142858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156</v>
      </c>
      <c r="Y57" s="280">
        <f>IFERROR(SUM(Y53:Y56),"0")</f>
        <v>156</v>
      </c>
      <c r="Z57" s="280">
        <f>IFERROR(IF(Z53="",0,Z53),"0")+IFERROR(IF(Z54="",0,Z54),"0")+IFERROR(IF(Z55="",0,Z55),"0")+IFERROR(IF(Z56="",0,Z56),"0")</f>
        <v>2.4180000000000001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1092</v>
      </c>
      <c r="Y58" s="280">
        <f>IFERROR(SUMPRODUCT(Y53:Y56*H53:H56),"0")</f>
        <v>1092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126</v>
      </c>
      <c r="Y72" s="279">
        <f>IFERROR(IF(X72="","",X72),"")</f>
        <v>126</v>
      </c>
      <c r="Z72" s="37">
        <f>IFERROR(IF(X72="","",X72*0.00941),"")</f>
        <v>1.1856599999999999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196.56</v>
      </c>
      <c r="BN72" s="67">
        <f>IFERROR(Y72*I72,"0")</f>
        <v>196.56</v>
      </c>
      <c r="BO72" s="67">
        <f>IFERROR(X72/J72,"0")</f>
        <v>0.9</v>
      </c>
      <c r="BP72" s="67">
        <f>IFERROR(Y72/J72,"0")</f>
        <v>0.9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126</v>
      </c>
      <c r="Y73" s="280">
        <f>IFERROR(SUM(Y70:Y72),"0")</f>
        <v>126</v>
      </c>
      <c r="Z73" s="280">
        <f>IFERROR(IF(Z70="",0,Z70),"0")+IFERROR(IF(Z71="",0,Z71),"0")+IFERROR(IF(Z72="",0,Z72),"0")</f>
        <v>1.1856599999999999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151.19999999999999</v>
      </c>
      <c r="Y74" s="280">
        <f>IFERROR(SUMPRODUCT(Y70:Y72*H70:H72),"0")</f>
        <v>151.19999999999999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96</v>
      </c>
      <c r="Y78" s="279">
        <f>IFERROR(IF(X78="","",X78),"")</f>
        <v>96</v>
      </c>
      <c r="Z78" s="37">
        <f>IFERROR(IF(X78="","",X78*0.00866),"")</f>
        <v>0.83135999999999988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500.46719999999993</v>
      </c>
      <c r="BN78" s="67">
        <f>IFERROR(Y78*I78,"0")</f>
        <v>500.46719999999993</v>
      </c>
      <c r="BO78" s="67">
        <f>IFERROR(X78/J78,"0")</f>
        <v>0.66666666666666663</v>
      </c>
      <c r="BP78" s="67">
        <f>IFERROR(Y78/J78,"0")</f>
        <v>0.66666666666666663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96</v>
      </c>
      <c r="Y79" s="280">
        <f>IFERROR(SUM(Y77:Y78),"0")</f>
        <v>96</v>
      </c>
      <c r="Z79" s="280">
        <f>IFERROR(IF(Z77="",0,Z77),"0")+IFERROR(IF(Z78="",0,Z78),"0")</f>
        <v>0.83135999999999988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480</v>
      </c>
      <c r="Y80" s="280">
        <f>IFERROR(SUMPRODUCT(Y77:Y78*H77:H78),"0")</f>
        <v>480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28</v>
      </c>
      <c r="Y83" s="279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28</v>
      </c>
      <c r="Y84" s="280">
        <f>IFERROR(SUM(Y83:Y83),"0")</f>
        <v>28</v>
      </c>
      <c r="Z84" s="280">
        <f>IFERROR(IF(Z83="",0,Z83),"0")</f>
        <v>0.50063999999999997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100.8</v>
      </c>
      <c r="Y85" s="280">
        <f>IFERROR(SUMPRODUCT(Y83:Y83*H83:H83),"0")</f>
        <v>100.8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56</v>
      </c>
      <c r="Y90" s="280">
        <f>IFERROR(SUM(Y88:Y89),"0")</f>
        <v>56</v>
      </c>
      <c r="Z90" s="280">
        <f>IFERROR(IF(Z88="",0,Z88),"0")+IFERROR(IF(Z89="",0,Z89),"0")</f>
        <v>1.0012799999999999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201.6</v>
      </c>
      <c r="Y91" s="280">
        <f>IFERROR(SUMPRODUCT(Y88:Y89*H88:H89),"0")</f>
        <v>201.6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182</v>
      </c>
      <c r="Y95" s="279">
        <f t="shared" si="6"/>
        <v>182</v>
      </c>
      <c r="Z95" s="37">
        <f t="shared" si="7"/>
        <v>3.2541600000000002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652.21519999999998</v>
      </c>
      <c r="BN95" s="67">
        <f t="shared" si="9"/>
        <v>652.21519999999998</v>
      </c>
      <c r="BO95" s="67">
        <f t="shared" si="10"/>
        <v>2.6</v>
      </c>
      <c r="BP95" s="67">
        <f t="shared" si="11"/>
        <v>2.6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112</v>
      </c>
      <c r="Y96" s="279">
        <f t="shared" si="6"/>
        <v>112</v>
      </c>
      <c r="Z96" s="37">
        <f t="shared" si="7"/>
        <v>2.0025599999999999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126</v>
      </c>
      <c r="Y97" s="279">
        <f t="shared" si="6"/>
        <v>126</v>
      </c>
      <c r="Z97" s="37">
        <f t="shared" si="7"/>
        <v>2.2528800000000002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451.53360000000004</v>
      </c>
      <c r="BN97" s="67">
        <f t="shared" si="9"/>
        <v>451.53360000000004</v>
      </c>
      <c r="BO97" s="67">
        <f t="shared" si="10"/>
        <v>1.8</v>
      </c>
      <c r="BP97" s="67">
        <f t="shared" si="11"/>
        <v>1.8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98</v>
      </c>
      <c r="Y98" s="279">
        <f t="shared" si="6"/>
        <v>98</v>
      </c>
      <c r="Z98" s="37">
        <f t="shared" si="7"/>
        <v>1.75224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435.98240000000004</v>
      </c>
      <c r="BN98" s="67">
        <f t="shared" si="9"/>
        <v>435.98240000000004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518</v>
      </c>
      <c r="Y100" s="280">
        <f>IFERROR(SUM(Y94:Y99),"0")</f>
        <v>518</v>
      </c>
      <c r="Z100" s="280">
        <f>IFERROR(IF(Z94="",0,Z94),"0")+IFERROR(IF(Z95="",0,Z95),"0")+IFERROR(IF(Z96="",0,Z96),"0")+IFERROR(IF(Z97="",0,Z97),"0")+IFERROR(IF(Z98="",0,Z98),"0")+IFERROR(IF(Z99="",0,Z99),"0")</f>
        <v>9.2618399999999994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1585.9199999999998</v>
      </c>
      <c r="Y101" s="280">
        <f>IFERROR(SUMPRODUCT(Y94:Y99*H94:H99),"0")</f>
        <v>1585.9199999999998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0</v>
      </c>
      <c r="Y117" s="279">
        <f t="shared" si="12"/>
        <v>0</v>
      </c>
      <c r="Z117" s="37">
        <f t="shared" si="13"/>
        <v>0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36</v>
      </c>
      <c r="Y118" s="280">
        <f>IFERROR(SUM(Y110:Y117),"0")</f>
        <v>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0.55800000000000005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230.4</v>
      </c>
      <c r="Y119" s="280">
        <f>IFERROR(SUMPRODUCT(Y110:Y117*H110:H117),"0")</f>
        <v>230.4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28</v>
      </c>
      <c r="Y134" s="280">
        <f>IFERROR(SUM(Y130:Y133),"0")</f>
        <v>28</v>
      </c>
      <c r="Z134" s="280">
        <f>IFERROR(IF(Z130="",0,Z130),"0")+IFERROR(IF(Z131="",0,Z131),"0")+IFERROR(IF(Z132="",0,Z132),"0")+IFERROR(IF(Z133="",0,Z133),"0")</f>
        <v>0.26347999999999999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38.64</v>
      </c>
      <c r="Y135" s="280">
        <f>IFERROR(SUMPRODUCT(Y130:Y133*H130:H133),"0")</f>
        <v>38.64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14</v>
      </c>
      <c r="Y137" s="279">
        <f>IFERROR(IF(X137="","",X137),"")</f>
        <v>14</v>
      </c>
      <c r="Z137" s="37">
        <f>IFERROR(IF(X137="","",X137*0.00941),"")</f>
        <v>0.13174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19.571999999999999</v>
      </c>
      <c r="BN137" s="67">
        <f>IFERROR(Y137*I137,"0")</f>
        <v>19.571999999999999</v>
      </c>
      <c r="BO137" s="67">
        <f>IFERROR(X137/J137,"0")</f>
        <v>0.1</v>
      </c>
      <c r="BP137" s="67">
        <f>IFERROR(Y137/J137,"0")</f>
        <v>0.1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126</v>
      </c>
      <c r="Y144" s="279">
        <f>IFERROR(IF(X144="","",X144),"")</f>
        <v>126</v>
      </c>
      <c r="Z144" s="37">
        <f>IFERROR(IF(X144="","",X144*0.01788),"")</f>
        <v>2.2528800000000002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466.65359999999998</v>
      </c>
      <c r="BN144" s="67">
        <f>IFERROR(Y144*I144,"0")</f>
        <v>466.65359999999998</v>
      </c>
      <c r="BO144" s="67">
        <f>IFERROR(X144/J144,"0")</f>
        <v>1.8</v>
      </c>
      <c r="BP144" s="67">
        <f>IFERROR(Y144/J144,"0")</f>
        <v>1.8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280</v>
      </c>
      <c r="Y145" s="279">
        <f>IFERROR(IF(X145="","",X145),"")</f>
        <v>280</v>
      </c>
      <c r="Z145" s="37">
        <f>IFERROR(IF(X145="","",X145*0.01788),"")</f>
        <v>5.0064000000000002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1037.008</v>
      </c>
      <c r="BN145" s="67">
        <f>IFERROR(Y145*I145,"0")</f>
        <v>1037.008</v>
      </c>
      <c r="BO145" s="67">
        <f>IFERROR(X145/J145,"0")</f>
        <v>4</v>
      </c>
      <c r="BP145" s="67">
        <f>IFERROR(Y145/J145,"0")</f>
        <v>4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406</v>
      </c>
      <c r="Y146" s="280">
        <f>IFERROR(SUM(Y144:Y145),"0")</f>
        <v>406</v>
      </c>
      <c r="Z146" s="280">
        <f>IFERROR(IF(Z144="",0,Z144),"0")+IFERROR(IF(Z145="",0,Z145),"0")</f>
        <v>7.2592800000000004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1218</v>
      </c>
      <c r="Y147" s="280">
        <f>IFERROR(SUMPRODUCT(Y144:Y145*H144:H145),"0")</f>
        <v>1218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98</v>
      </c>
      <c r="Y151" s="279">
        <f>IFERROR(IF(X151="","",X151),"")</f>
        <v>98</v>
      </c>
      <c r="Z151" s="37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168</v>
      </c>
      <c r="Y152" s="280">
        <f>IFERROR(SUM(Y150:Y151),"0")</f>
        <v>168</v>
      </c>
      <c r="Z152" s="280">
        <f>IFERROR(IF(Z150="",0,Z150),"0")+IFERROR(IF(Z151="",0,Z151),"0")</f>
        <v>3.0038400000000003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504</v>
      </c>
      <c r="Y153" s="280">
        <f>IFERROR(SUMPRODUCT(Y150:Y151*H150:H151),"0")</f>
        <v>504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154</v>
      </c>
      <c r="Y156" s="279">
        <f>IFERROR(IF(X156="","",X156),"")</f>
        <v>154</v>
      </c>
      <c r="Z156" s="37">
        <f>IFERROR(IF(X156="","",X156*0.01788),"")</f>
        <v>2.75352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412.72</v>
      </c>
      <c r="BN156" s="67">
        <f>IFERROR(Y156*I156,"0")</f>
        <v>412.72</v>
      </c>
      <c r="BO156" s="67">
        <f>IFERROR(X156/J156,"0")</f>
        <v>2.2000000000000002</v>
      </c>
      <c r="BP156" s="67">
        <f>IFERROR(Y156/J156,"0")</f>
        <v>2.2000000000000002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154</v>
      </c>
      <c r="Y157" s="279">
        <f>IFERROR(IF(X157="","",X157),"")</f>
        <v>154</v>
      </c>
      <c r="Z157" s="37">
        <f>IFERROR(IF(X157="","",X157*0.01788),"")</f>
        <v>2.75352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412.72</v>
      </c>
      <c r="BN157" s="67">
        <f>IFERROR(Y157*I157,"0")</f>
        <v>412.72</v>
      </c>
      <c r="BO157" s="67">
        <f>IFERROR(X157/J157,"0")</f>
        <v>2.2000000000000002</v>
      </c>
      <c r="BP157" s="67">
        <f>IFERROR(Y157/J157,"0")</f>
        <v>2.2000000000000002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308</v>
      </c>
      <c r="Y158" s="280">
        <f>IFERROR(SUM(Y156:Y157),"0")</f>
        <v>308</v>
      </c>
      <c r="Z158" s="280">
        <f>IFERROR(IF(Z156="",0,Z156),"0")+IFERROR(IF(Z157="",0,Z157),"0")</f>
        <v>5.5070399999999999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739.19999999999993</v>
      </c>
      <c r="Y159" s="280">
        <f>IFERROR(SUMPRODUCT(Y156:Y157*H156:H157),"0")</f>
        <v>739.19999999999993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56</v>
      </c>
      <c r="Y162" s="279">
        <f>IFERROR(IF(X162="","",X162),"")</f>
        <v>56</v>
      </c>
      <c r="Z162" s="37">
        <f>IFERROR(IF(X162="","",X162*0.01788),"")</f>
        <v>1.0012799999999999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207.40159999999997</v>
      </c>
      <c r="BN162" s="67">
        <f>IFERROR(Y162*I162,"0")</f>
        <v>207.40159999999997</v>
      </c>
      <c r="BO162" s="67">
        <f>IFERROR(X162/J162,"0")</f>
        <v>0.8</v>
      </c>
      <c r="BP162" s="67">
        <f>IFERROR(Y162/J162,"0")</f>
        <v>0.8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56</v>
      </c>
      <c r="Y163" s="280">
        <f>IFERROR(SUM(Y162:Y162),"0")</f>
        <v>56</v>
      </c>
      <c r="Z163" s="280">
        <f>IFERROR(IF(Z162="",0,Z162),"0")</f>
        <v>1.0012799999999999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168</v>
      </c>
      <c r="Y164" s="280">
        <f>IFERROR(SUMPRODUCT(Y162:Y162*H162:H162),"0")</f>
        <v>168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28</v>
      </c>
      <c r="Y172" s="279">
        <f>IFERROR(IF(X172="","",X172),"")</f>
        <v>28</v>
      </c>
      <c r="Z172" s="37">
        <f>IFERROR(IF(X172="","",X172*0.00941),"")</f>
        <v>0.26347999999999999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58.850399999999993</v>
      </c>
      <c r="BN172" s="67">
        <f>IFERROR(Y172*I172,"0")</f>
        <v>58.850399999999993</v>
      </c>
      <c r="BO172" s="67">
        <f>IFERROR(X172/J172,"0")</f>
        <v>0.2</v>
      </c>
      <c r="BP172" s="67">
        <f>IFERROR(Y172/J172,"0")</f>
        <v>0.2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28</v>
      </c>
      <c r="Y173" s="280">
        <f>IFERROR(SUM(Y172:Y172),"0")</f>
        <v>28</v>
      </c>
      <c r="Z173" s="280">
        <f>IFERROR(IF(Z172="",0,Z172),"0")</f>
        <v>0.26347999999999999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47.04</v>
      </c>
      <c r="Y174" s="280">
        <f>IFERROR(SUMPRODUCT(Y172:Y172*H172:H172),"0")</f>
        <v>47.04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96</v>
      </c>
      <c r="Y184" s="279">
        <f>IFERROR(IF(X184="","",X184),"")</f>
        <v>96</v>
      </c>
      <c r="Z184" s="37">
        <f>IFERROR(IF(X184="","",X184*0.0155),"")</f>
        <v>1.488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505.15199999999993</v>
      </c>
      <c r="BN184" s="67">
        <f>IFERROR(Y184*I184,"0")</f>
        <v>505.15199999999993</v>
      </c>
      <c r="BO184" s="67">
        <f>IFERROR(X184/J184,"0")</f>
        <v>1.1428571428571428</v>
      </c>
      <c r="BP184" s="67">
        <f>IFERROR(Y184/J184,"0")</f>
        <v>1.1428571428571428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96</v>
      </c>
      <c r="Y185" s="280">
        <f>IFERROR(SUM(Y184:Y184),"0")</f>
        <v>96</v>
      </c>
      <c r="Z185" s="280">
        <f>IFERROR(IF(Z184="",0,Z184),"0")</f>
        <v>1.488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480</v>
      </c>
      <c r="Y186" s="280">
        <f>IFERROR(SUMPRODUCT(Y184:Y184*H184:H184),"0")</f>
        <v>480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154</v>
      </c>
      <c r="Y190" s="279">
        <f>IFERROR(IF(X190="","",X190),"")</f>
        <v>154</v>
      </c>
      <c r="Z190" s="37">
        <f>IFERROR(IF(X190="","",X190*0.01788),"")</f>
        <v>2.75352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521.75199999999995</v>
      </c>
      <c r="BN190" s="67">
        <f>IFERROR(Y190*I190,"0")</f>
        <v>521.75199999999995</v>
      </c>
      <c r="BO190" s="67">
        <f>IFERROR(X190/J190,"0")</f>
        <v>2.2000000000000002</v>
      </c>
      <c r="BP190" s="67">
        <f>IFERROR(Y190/J190,"0")</f>
        <v>2.2000000000000002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182</v>
      </c>
      <c r="Y191" s="279">
        <f>IFERROR(IF(X191="","",X191),"")</f>
        <v>182</v>
      </c>
      <c r="Z191" s="37">
        <f>IFERROR(IF(X191="","",X191*0.01788),"")</f>
        <v>3.2541600000000002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616.61599999999999</v>
      </c>
      <c r="BN191" s="67">
        <f>IFERROR(Y191*I191,"0")</f>
        <v>616.61599999999999</v>
      </c>
      <c r="BO191" s="67">
        <f>IFERROR(X191/J191,"0")</f>
        <v>2.6</v>
      </c>
      <c r="BP191" s="67">
        <f>IFERROR(Y191/J191,"0")</f>
        <v>2.6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126</v>
      </c>
      <c r="Y192" s="279">
        <f>IFERROR(IF(X192="","",X192),"")</f>
        <v>126</v>
      </c>
      <c r="Z192" s="37">
        <f>IFERROR(IF(X192="","",X192*0.01788),"")</f>
        <v>2.2528800000000002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470.73600000000005</v>
      </c>
      <c r="BN192" s="67">
        <f>IFERROR(Y192*I192,"0")</f>
        <v>470.73600000000005</v>
      </c>
      <c r="BO192" s="67">
        <f>IFERROR(X192/J192,"0")</f>
        <v>1.8</v>
      </c>
      <c r="BP192" s="67">
        <f>IFERROR(Y192/J192,"0")</f>
        <v>1.8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462</v>
      </c>
      <c r="Y194" s="280">
        <f>IFERROR(SUM(Y190:Y193),"0")</f>
        <v>462</v>
      </c>
      <c r="Z194" s="280">
        <f>IFERROR(IF(Z190="",0,Z190),"0")+IFERROR(IF(Z191="",0,Z191),"0")+IFERROR(IF(Z192="",0,Z192),"0")+IFERROR(IF(Z193="",0,Z193),"0")</f>
        <v>8.2605600000000017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1386</v>
      </c>
      <c r="Y195" s="280">
        <f>IFERROR(SUMPRODUCT(Y190:Y193*H190:H193),"0")</f>
        <v>1386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28</v>
      </c>
      <c r="Y199" s="279">
        <f>IFERROR(IF(X199="","",X199),"")</f>
        <v>28</v>
      </c>
      <c r="Z199" s="37">
        <f>IFERROR(IF(X199="","",X199*0.01788),"")</f>
        <v>0.50063999999999997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28</v>
      </c>
      <c r="Y200" s="280">
        <f>IFERROR(SUM(Y199:Y199),"0")</f>
        <v>28</v>
      </c>
      <c r="Z200" s="280">
        <f>IFERROR(IF(Z199="",0,Z199),"0")</f>
        <v>0.50063999999999997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77.28</v>
      </c>
      <c r="Y201" s="280">
        <f>IFERROR(SUMPRODUCT(Y199:Y199*H199:H199),"0")</f>
        <v>77.28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70</v>
      </c>
      <c r="Y203" s="279">
        <f>IFERROR(IF(X203="","",X203),"")</f>
        <v>70</v>
      </c>
      <c r="Z203" s="37">
        <f>IFERROR(IF(X203="","",X203*0.01788),"")</f>
        <v>1.2516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217.25200000000001</v>
      </c>
      <c r="BN203" s="67">
        <f>IFERROR(Y203*I203,"0")</f>
        <v>217.25200000000001</v>
      </c>
      <c r="BO203" s="67">
        <f>IFERROR(X203/J203,"0")</f>
        <v>1</v>
      </c>
      <c r="BP203" s="67">
        <f>IFERROR(Y203/J203,"0")</f>
        <v>1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70</v>
      </c>
      <c r="Y206" s="280">
        <f>IFERROR(SUM(Y203:Y205),"0")</f>
        <v>70</v>
      </c>
      <c r="Z206" s="280">
        <f>IFERROR(IF(Z203="",0,Z203),"0")+IFERROR(IF(Z204="",0,Z204),"0")+IFERROR(IF(Z205="",0,Z205),"0")</f>
        <v>1.2516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168</v>
      </c>
      <c r="Y207" s="280">
        <f>IFERROR(SUMPRODUCT(Y203:Y205*H203:H205),"0")</f>
        <v>168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24</v>
      </c>
      <c r="Y216" s="279">
        <f>IFERROR(IF(X216="","",X216),"")</f>
        <v>24</v>
      </c>
      <c r="Z216" s="37">
        <f>IFERROR(IF(X216="","",X216*0.0155),"")</f>
        <v>0.372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125.52000000000001</v>
      </c>
      <c r="BN216" s="67">
        <f>IFERROR(Y216*I216,"0")</f>
        <v>125.52000000000001</v>
      </c>
      <c r="BO216" s="67">
        <f>IFERROR(X216/J216,"0")</f>
        <v>0.2857142857142857</v>
      </c>
      <c r="BP216" s="67">
        <f>IFERROR(Y216/J216,"0")</f>
        <v>0.2857142857142857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24</v>
      </c>
      <c r="Y217" s="280">
        <f>IFERROR(SUM(Y216:Y216),"0")</f>
        <v>24</v>
      </c>
      <c r="Z217" s="280">
        <f>IFERROR(IF(Z216="",0,Z216),"0")</f>
        <v>0.372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120</v>
      </c>
      <c r="Y218" s="280">
        <f>IFERROR(SUMPRODUCT(Y216:Y216*H216:H216),"0")</f>
        <v>120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96</v>
      </c>
      <c r="Y258" s="279">
        <f>IFERROR(IF(X258="","",X258),"")</f>
        <v>96</v>
      </c>
      <c r="Z258" s="37">
        <f>IFERROR(IF(X258="","",X258*0.0155),"")</f>
        <v>1.488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144</v>
      </c>
      <c r="Y263" s="279">
        <f>IFERROR(IF(X263="","",X263),"")</f>
        <v>144</v>
      </c>
      <c r="Z263" s="37">
        <f>IFERROR(IF(X263="","",X263*0.0155),"")</f>
        <v>2.2320000000000002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144</v>
      </c>
      <c r="Y265" s="280">
        <f>IFERROR(SUM(Y262:Y264),"0")</f>
        <v>144</v>
      </c>
      <c r="Z265" s="280">
        <f>IFERROR(IF(Z262="",0,Z262),"0")+IFERROR(IF(Z263="",0,Z263),"0")+IFERROR(IF(Z264="",0,Z264),"0")</f>
        <v>2.2320000000000002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720</v>
      </c>
      <c r="Y266" s="280">
        <f>IFERROR(SUMPRODUCT(Y262:Y264*H262:H264),"0")</f>
        <v>720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196</v>
      </c>
      <c r="Y269" s="279">
        <f t="shared" si="18"/>
        <v>196</v>
      </c>
      <c r="Z269" s="37">
        <f>IFERROR(IF(X269="","",X269*0.00936),"")</f>
        <v>1.83456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762.83199999999999</v>
      </c>
      <c r="BN269" s="67">
        <f t="shared" si="20"/>
        <v>762.83199999999999</v>
      </c>
      <c r="BO269" s="67">
        <f t="shared" si="21"/>
        <v>1.5555555555555556</v>
      </c>
      <c r="BP269" s="67">
        <f t="shared" si="22"/>
        <v>1.5555555555555556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14</v>
      </c>
      <c r="Y272" s="279">
        <f t="shared" si="18"/>
        <v>14</v>
      </c>
      <c r="Z272" s="37">
        <f t="shared" si="23"/>
        <v>0.13103999999999999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54.488</v>
      </c>
      <c r="BN272" s="67">
        <f t="shared" si="20"/>
        <v>54.488</v>
      </c>
      <c r="BO272" s="67">
        <f t="shared" si="21"/>
        <v>0.1111111111111111</v>
      </c>
      <c r="BP272" s="67">
        <f t="shared" si="22"/>
        <v>0.1111111111111111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210</v>
      </c>
      <c r="Y278" s="280">
        <f>IFERROR(SUM(Y268:Y277),"0")</f>
        <v>210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1.9656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777</v>
      </c>
      <c r="Y279" s="280">
        <f>IFERROR(SUMPRODUCT(Y268:Y277*H268:H277),"0")</f>
        <v>777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12076.199999999999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12076.199999999999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13714.495199999998</v>
      </c>
      <c r="Y281" s="280">
        <f>IFERROR(SUM(BN22:BN277),"0")</f>
        <v>13714.495199999998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44</v>
      </c>
      <c r="Y282" s="39">
        <f>ROUNDUP(SUM(BP22:BP277),0)</f>
        <v>44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14814.495199999998</v>
      </c>
      <c r="Y283" s="280">
        <f>GrossWeightTotalR+PalletQtyTotalR*25</f>
        <v>14814.495199999998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3522</v>
      </c>
      <c r="Y284" s="280">
        <f>IFERROR(Y30+Y36+Y43+Y49+Y57+Y62+Y67+Y73+Y79+Y84+Y90+Y100+Y106+Y118+Y122+Y126+Y134+Y140+Y146+Y152+Y158+Y163+Y168+Y173+Y180+Y185+Y194+Y200+Y206+Y212+Y217+Y222+Y228+Y234+Y238+Y244+Y248+Y255+Y259+Y265+Y278,"0")</f>
        <v>3522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55.085160000000009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393.6</v>
      </c>
      <c r="C290" s="47">
        <f>IFERROR(X34*H34,"0")+IFERROR(X35*H35,"0")</f>
        <v>0</v>
      </c>
      <c r="D290" s="47">
        <f>IFERROR(X41*H41,"0")+IFERROR(X42*H42,"0")</f>
        <v>336</v>
      </c>
      <c r="E290" s="47">
        <f>IFERROR(X47*H47,"0")+IFERROR(X48*H48,"0")</f>
        <v>470.4</v>
      </c>
      <c r="F290" s="47">
        <f>IFERROR(X53*H53,"0")+IFERROR(X54*H54,"0")+IFERROR(X55*H55,"0")+IFERROR(X56*H56,"0")</f>
        <v>1092</v>
      </c>
      <c r="G290" s="47">
        <f>IFERROR(X61*H61,"0")+IFERROR(X65*H65,"0")+IFERROR(X66*H66,"0")+IFERROR(X70*H70,"0")+IFERROR(X71*H71,"0")+IFERROR(X72*H72,"0")</f>
        <v>151.19999999999999</v>
      </c>
      <c r="H290" s="47">
        <f>IFERROR(X77*H77,"0")+IFERROR(X78*H78,"0")</f>
        <v>480</v>
      </c>
      <c r="I290" s="47">
        <f>IFERROR(X83*H83,"0")</f>
        <v>100.8</v>
      </c>
      <c r="J290" s="47">
        <f>IFERROR(X88*H88,"0")+IFERROR(X89*H89,"0")</f>
        <v>201.6</v>
      </c>
      <c r="K290" s="47">
        <f>IFERROR(X94*H94,"0")+IFERROR(X95*H95,"0")+IFERROR(X96*H96,"0")+IFERROR(X97*H97,"0")+IFERROR(X98*H98,"0")+IFERROR(X99*H99,"0")</f>
        <v>1585.9199999999998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230.4</v>
      </c>
      <c r="N290" s="276"/>
      <c r="O290" s="47">
        <f>IFERROR(X130*H130,"0")+IFERROR(X131*H131,"0")+IFERROR(X132*H132,"0")+IFERROR(X133*H133,"0")+IFERROR(X137*H137,"0")+IFERROR(X138*H138,"0")+IFERROR(X139*H139,"0")</f>
        <v>53.760000000000005</v>
      </c>
      <c r="P290" s="47">
        <f>IFERROR(X144*H144,"0")+IFERROR(X145*H145,"0")</f>
        <v>1218</v>
      </c>
      <c r="Q290" s="47">
        <f>IFERROR(X150*H150,"0")+IFERROR(X151*H151,"0")</f>
        <v>504</v>
      </c>
      <c r="R290" s="47">
        <f>IFERROR(X156*H156,"0")+IFERROR(X157*H157,"0")</f>
        <v>739.19999999999993</v>
      </c>
      <c r="S290" s="47">
        <f>IFERROR(X162*H162,"0")</f>
        <v>168</v>
      </c>
      <c r="T290" s="47">
        <f>IFERROR(X167*H167,"0")</f>
        <v>0</v>
      </c>
      <c r="U290" s="47">
        <f>IFERROR(X172*H172,"0")</f>
        <v>47.04</v>
      </c>
      <c r="V290" s="47">
        <f>IFERROR(X178*H178,"0")+IFERROR(X179*H179,"0")</f>
        <v>0</v>
      </c>
      <c r="W290" s="47">
        <f>IFERROR(X184*H184,"0")</f>
        <v>480</v>
      </c>
      <c r="X290" s="47">
        <f>IFERROR(X190*H190,"0")+IFERROR(X191*H191,"0")+IFERROR(X192*H192,"0")+IFERROR(X193*H193,"0")</f>
        <v>1386</v>
      </c>
      <c r="Y290" s="47">
        <f>IFERROR(X199*H199,"0")+IFERROR(X203*H203,"0")+IFERROR(X204*H204,"0")+IFERROR(X205*H205,"0")</f>
        <v>245.28</v>
      </c>
      <c r="Z290" s="47">
        <f>IFERROR(X210*H210,"0")+IFERROR(X211*H211,"0")</f>
        <v>0</v>
      </c>
      <c r="AA290" s="47">
        <f>IFERROR(X216*H216,"0")</f>
        <v>120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2073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3266.4</v>
      </c>
      <c r="B293" s="60">
        <f>SUMPRODUCT(--(BB:BB="ПГП"),--(W:W="кор"),H:H,Y:Y)+SUMPRODUCT(--(BB:BB="ПГП"),--(W:W="кг"),Y:Y)</f>
        <v>8809.7999999999993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