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F3A67127-989B-423F-ACF9-96E7E70FE0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X556" i="1"/>
  <c r="BO555" i="1"/>
  <c r="BM555" i="1"/>
  <c r="Y555" i="1"/>
  <c r="BO554" i="1"/>
  <c r="BM554" i="1"/>
  <c r="Y554" i="1"/>
  <c r="P554" i="1"/>
  <c r="X551" i="1"/>
  <c r="X550" i="1"/>
  <c r="BO549" i="1"/>
  <c r="BM549" i="1"/>
  <c r="Y549" i="1"/>
  <c r="P549" i="1"/>
  <c r="BO548" i="1"/>
  <c r="BM548" i="1"/>
  <c r="Y548" i="1"/>
  <c r="Y550" i="1" s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AB568" i="1" s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P480" i="1"/>
  <c r="BO480" i="1"/>
  <c r="BN480" i="1"/>
  <c r="BM480" i="1"/>
  <c r="Z480" i="1"/>
  <c r="Y480" i="1"/>
  <c r="P480" i="1"/>
  <c r="BO479" i="1"/>
  <c r="BM479" i="1"/>
  <c r="Y479" i="1"/>
  <c r="P479" i="1"/>
  <c r="BO478" i="1"/>
  <c r="BM478" i="1"/>
  <c r="Y478" i="1"/>
  <c r="P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O459" i="1"/>
  <c r="BM459" i="1"/>
  <c r="Y459" i="1"/>
  <c r="P459" i="1"/>
  <c r="BP458" i="1"/>
  <c r="BO458" i="1"/>
  <c r="BN458" i="1"/>
  <c r="BM458" i="1"/>
  <c r="Z458" i="1"/>
  <c r="Y458" i="1"/>
  <c r="P458" i="1"/>
  <c r="X455" i="1"/>
  <c r="Y454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X425" i="1"/>
  <c r="X424" i="1"/>
  <c r="BO423" i="1"/>
  <c r="BM423" i="1"/>
  <c r="Y423" i="1"/>
  <c r="P423" i="1"/>
  <c r="BO422" i="1"/>
  <c r="BM422" i="1"/>
  <c r="Y422" i="1"/>
  <c r="Y424" i="1" s="1"/>
  <c r="P422" i="1"/>
  <c r="BP421" i="1"/>
  <c r="BO421" i="1"/>
  <c r="BN421" i="1"/>
  <c r="BM421" i="1"/>
  <c r="Z421" i="1"/>
  <c r="Y421" i="1"/>
  <c r="P421" i="1"/>
  <c r="X418" i="1"/>
  <c r="Y417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Y412" i="1" s="1"/>
  <c r="P408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X400" i="1"/>
  <c r="X399" i="1"/>
  <c r="BO398" i="1"/>
  <c r="BM398" i="1"/>
  <c r="Y398" i="1"/>
  <c r="P398" i="1"/>
  <c r="BO397" i="1"/>
  <c r="BM397" i="1"/>
  <c r="Y397" i="1"/>
  <c r="P397" i="1"/>
  <c r="BO396" i="1"/>
  <c r="BM396" i="1"/>
  <c r="Y396" i="1"/>
  <c r="Y400" i="1" s="1"/>
  <c r="P396" i="1"/>
  <c r="BP395" i="1"/>
  <c r="BO395" i="1"/>
  <c r="BN395" i="1"/>
  <c r="BM395" i="1"/>
  <c r="Z395" i="1"/>
  <c r="Y395" i="1"/>
  <c r="P395" i="1"/>
  <c r="X393" i="1"/>
  <c r="X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X387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BO376" i="1"/>
  <c r="BM376" i="1"/>
  <c r="Y376" i="1"/>
  <c r="P376" i="1"/>
  <c r="BO375" i="1"/>
  <c r="BM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X352" i="1"/>
  <c r="BO351" i="1"/>
  <c r="BM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O320" i="1"/>
  <c r="BM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O295" i="1"/>
  <c r="BM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Z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X267" i="1"/>
  <c r="X266" i="1"/>
  <c r="BO265" i="1"/>
  <c r="BM265" i="1"/>
  <c r="Y265" i="1"/>
  <c r="P265" i="1"/>
  <c r="BO264" i="1"/>
  <c r="BM264" i="1"/>
  <c r="Y264" i="1"/>
  <c r="BP264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O243" i="1"/>
  <c r="BM243" i="1"/>
  <c r="Y243" i="1"/>
  <c r="BP243" i="1" s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X234" i="1"/>
  <c r="X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199" i="1"/>
  <c r="X198" i="1"/>
  <c r="BO197" i="1"/>
  <c r="BM197" i="1"/>
  <c r="Y197" i="1"/>
  <c r="P197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BO188" i="1"/>
  <c r="BM188" i="1"/>
  <c r="Y188" i="1"/>
  <c r="BP188" i="1" s="1"/>
  <c r="P188" i="1"/>
  <c r="BO187" i="1"/>
  <c r="BM187" i="1"/>
  <c r="Y187" i="1"/>
  <c r="P187" i="1"/>
  <c r="X185" i="1"/>
  <c r="X184" i="1"/>
  <c r="BO183" i="1"/>
  <c r="BM183" i="1"/>
  <c r="Y183" i="1"/>
  <c r="P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69" i="1" s="1"/>
  <c r="P167" i="1"/>
  <c r="X165" i="1"/>
  <c r="X164" i="1"/>
  <c r="BP163" i="1"/>
  <c r="BO163" i="1"/>
  <c r="BN163" i="1"/>
  <c r="BM163" i="1"/>
  <c r="Z163" i="1"/>
  <c r="Y163" i="1"/>
  <c r="P163" i="1"/>
  <c r="BO162" i="1"/>
  <c r="BM162" i="1"/>
  <c r="Y162" i="1"/>
  <c r="BP162" i="1" s="1"/>
  <c r="P162" i="1"/>
  <c r="BO161" i="1"/>
  <c r="BM161" i="1"/>
  <c r="Y161" i="1"/>
  <c r="BP161" i="1" s="1"/>
  <c r="P161" i="1"/>
  <c r="X158" i="1"/>
  <c r="X157" i="1"/>
  <c r="BO156" i="1"/>
  <c r="BM156" i="1"/>
  <c r="Y156" i="1"/>
  <c r="Y158" i="1" s="1"/>
  <c r="P156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4" i="1"/>
  <c r="X143" i="1"/>
  <c r="BO142" i="1"/>
  <c r="BM142" i="1"/>
  <c r="Y142" i="1"/>
  <c r="BP142" i="1" s="1"/>
  <c r="P142" i="1"/>
  <c r="BO141" i="1"/>
  <c r="BM141" i="1"/>
  <c r="Y141" i="1"/>
  <c r="Y143" i="1" s="1"/>
  <c r="P141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O131" i="1"/>
  <c r="BM131" i="1"/>
  <c r="Y131" i="1"/>
  <c r="BP131" i="1" s="1"/>
  <c r="P131" i="1"/>
  <c r="X128" i="1"/>
  <c r="X127" i="1"/>
  <c r="BO126" i="1"/>
  <c r="BM126" i="1"/>
  <c r="Y126" i="1"/>
  <c r="Y128" i="1" s="1"/>
  <c r="P126" i="1"/>
  <c r="X124" i="1"/>
  <c r="X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O120" i="1"/>
  <c r="BM120" i="1"/>
  <c r="Y120" i="1"/>
  <c r="BP120" i="1" s="1"/>
  <c r="P120" i="1"/>
  <c r="BO119" i="1"/>
  <c r="BM119" i="1"/>
  <c r="Y119" i="1"/>
  <c r="Y124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O112" i="1"/>
  <c r="BM112" i="1"/>
  <c r="Y112" i="1"/>
  <c r="BP112" i="1" s="1"/>
  <c r="P112" i="1"/>
  <c r="BO111" i="1"/>
  <c r="BM111" i="1"/>
  <c r="Y111" i="1"/>
  <c r="Y116" i="1" s="1"/>
  <c r="P111" i="1"/>
  <c r="X109" i="1"/>
  <c r="X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BP79" i="1" s="1"/>
  <c r="P79" i="1"/>
  <c r="BO78" i="1"/>
  <c r="BM78" i="1"/>
  <c r="Y78" i="1"/>
  <c r="Y82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70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BO23" i="1"/>
  <c r="BM23" i="1"/>
  <c r="Y23" i="1"/>
  <c r="BP23" i="1" s="1"/>
  <c r="P23" i="1"/>
  <c r="BO22" i="1"/>
  <c r="X560" i="1" s="1"/>
  <c r="BM22" i="1"/>
  <c r="Y22" i="1"/>
  <c r="B568" i="1" s="1"/>
  <c r="P22" i="1"/>
  <c r="H10" i="1"/>
  <c r="A9" i="1"/>
  <c r="F10" i="1" s="1"/>
  <c r="D7" i="1"/>
  <c r="Q6" i="1"/>
  <c r="P2" i="1"/>
  <c r="BP304" i="1" l="1"/>
  <c r="BN304" i="1"/>
  <c r="BP320" i="1"/>
  <c r="BN320" i="1"/>
  <c r="Z320" i="1"/>
  <c r="BP343" i="1"/>
  <c r="BN343" i="1"/>
  <c r="Z343" i="1"/>
  <c r="BP358" i="1"/>
  <c r="BN358" i="1"/>
  <c r="Z358" i="1"/>
  <c r="BP363" i="1"/>
  <c r="BN363" i="1"/>
  <c r="Z363" i="1"/>
  <c r="BP375" i="1"/>
  <c r="BN375" i="1"/>
  <c r="Z375" i="1"/>
  <c r="Y393" i="1"/>
  <c r="BP389" i="1"/>
  <c r="BN389" i="1"/>
  <c r="Z389" i="1"/>
  <c r="BP409" i="1"/>
  <c r="BN409" i="1"/>
  <c r="Z409" i="1"/>
  <c r="BP431" i="1"/>
  <c r="BN431" i="1"/>
  <c r="Z431" i="1"/>
  <c r="BP447" i="1"/>
  <c r="BN447" i="1"/>
  <c r="Z447" i="1"/>
  <c r="BP478" i="1"/>
  <c r="BN478" i="1"/>
  <c r="Z478" i="1"/>
  <c r="BP503" i="1"/>
  <c r="BN503" i="1"/>
  <c r="Z503" i="1"/>
  <c r="BP515" i="1"/>
  <c r="BN515" i="1"/>
  <c r="Z515" i="1"/>
  <c r="BP549" i="1"/>
  <c r="BN549" i="1"/>
  <c r="Z549" i="1"/>
  <c r="AC568" i="1"/>
  <c r="Y556" i="1"/>
  <c r="BP554" i="1"/>
  <c r="BN554" i="1"/>
  <c r="Z554" i="1"/>
  <c r="X559" i="1"/>
  <c r="X561" i="1" s="1"/>
  <c r="Z23" i="1"/>
  <c r="BN23" i="1"/>
  <c r="X558" i="1"/>
  <c r="Y33" i="1"/>
  <c r="Z29" i="1"/>
  <c r="BN29" i="1"/>
  <c r="Z37" i="1"/>
  <c r="BN37" i="1"/>
  <c r="Z41" i="1"/>
  <c r="BN41" i="1"/>
  <c r="Z49" i="1"/>
  <c r="BN49" i="1"/>
  <c r="E568" i="1"/>
  <c r="Z58" i="1"/>
  <c r="BN58" i="1"/>
  <c r="Z66" i="1"/>
  <c r="BN66" i="1"/>
  <c r="Z72" i="1"/>
  <c r="BN72" i="1"/>
  <c r="BP72" i="1"/>
  <c r="Z78" i="1"/>
  <c r="BN78" i="1"/>
  <c r="BP78" i="1"/>
  <c r="Z85" i="1"/>
  <c r="BN85" i="1"/>
  <c r="Z89" i="1"/>
  <c r="BN89" i="1"/>
  <c r="Y99" i="1"/>
  <c r="Z97" i="1"/>
  <c r="BN97" i="1"/>
  <c r="Z104" i="1"/>
  <c r="BN104" i="1"/>
  <c r="Z112" i="1"/>
  <c r="BN112" i="1"/>
  <c r="Z120" i="1"/>
  <c r="BN120" i="1"/>
  <c r="Z126" i="1"/>
  <c r="Z127" i="1" s="1"/>
  <c r="BN126" i="1"/>
  <c r="BP126" i="1"/>
  <c r="Y127" i="1"/>
  <c r="Z131" i="1"/>
  <c r="BN131" i="1"/>
  <c r="Z141" i="1"/>
  <c r="BN141" i="1"/>
  <c r="BP141" i="1"/>
  <c r="I568" i="1"/>
  <c r="Z150" i="1"/>
  <c r="BN150" i="1"/>
  <c r="Z156" i="1"/>
  <c r="Z157" i="1" s="1"/>
  <c r="BN156" i="1"/>
  <c r="BP156" i="1"/>
  <c r="Y157" i="1"/>
  <c r="Z161" i="1"/>
  <c r="BN161" i="1"/>
  <c r="Z167" i="1"/>
  <c r="BN167" i="1"/>
  <c r="BP167" i="1"/>
  <c r="Y184" i="1"/>
  <c r="Z175" i="1"/>
  <c r="BN175" i="1"/>
  <c r="Z179" i="1"/>
  <c r="BN179" i="1"/>
  <c r="Z188" i="1"/>
  <c r="BN188" i="1"/>
  <c r="Z206" i="1"/>
  <c r="BN206" i="1"/>
  <c r="Z219" i="1"/>
  <c r="BN219" i="1"/>
  <c r="Z223" i="1"/>
  <c r="BN223" i="1"/>
  <c r="Z227" i="1"/>
  <c r="BN227" i="1"/>
  <c r="Z231" i="1"/>
  <c r="BN231" i="1"/>
  <c r="Z239" i="1"/>
  <c r="BN239" i="1"/>
  <c r="Z243" i="1"/>
  <c r="BN243" i="1"/>
  <c r="Z260" i="1"/>
  <c r="BN260" i="1"/>
  <c r="Z264" i="1"/>
  <c r="BN264" i="1"/>
  <c r="Z272" i="1"/>
  <c r="BN272" i="1"/>
  <c r="Z276" i="1"/>
  <c r="BN276" i="1"/>
  <c r="Z282" i="1"/>
  <c r="BN282" i="1"/>
  <c r="Z289" i="1"/>
  <c r="BN289" i="1"/>
  <c r="Z295" i="1"/>
  <c r="BN295" i="1"/>
  <c r="BP295" i="1"/>
  <c r="Z304" i="1"/>
  <c r="BP329" i="1"/>
  <c r="BN329" i="1"/>
  <c r="Z329" i="1"/>
  <c r="BP351" i="1"/>
  <c r="BN351" i="1"/>
  <c r="Z351" i="1"/>
  <c r="Y359" i="1"/>
  <c r="BP367" i="1"/>
  <c r="BN367" i="1"/>
  <c r="Z367" i="1"/>
  <c r="BP383" i="1"/>
  <c r="BN383" i="1"/>
  <c r="Z383" i="1"/>
  <c r="Y392" i="1"/>
  <c r="BP397" i="1"/>
  <c r="BN397" i="1"/>
  <c r="Z397" i="1"/>
  <c r="BP423" i="1"/>
  <c r="BN423" i="1"/>
  <c r="Z423" i="1"/>
  <c r="BP435" i="1"/>
  <c r="BN435" i="1"/>
  <c r="Z435" i="1"/>
  <c r="BP468" i="1"/>
  <c r="BN468" i="1"/>
  <c r="Z468" i="1"/>
  <c r="BP484" i="1"/>
  <c r="BN484" i="1"/>
  <c r="Z484" i="1"/>
  <c r="BP507" i="1"/>
  <c r="BN507" i="1"/>
  <c r="Z507" i="1"/>
  <c r="BP523" i="1"/>
  <c r="BN523" i="1"/>
  <c r="Z523" i="1"/>
  <c r="BP555" i="1"/>
  <c r="BN555" i="1"/>
  <c r="Z555" i="1"/>
  <c r="Y380" i="1"/>
  <c r="H9" i="1"/>
  <c r="A10" i="1"/>
  <c r="Y24" i="1"/>
  <c r="Y32" i="1"/>
  <c r="Y42" i="1"/>
  <c r="Y52" i="1"/>
  <c r="Y63" i="1"/>
  <c r="Y69" i="1"/>
  <c r="Y75" i="1"/>
  <c r="Y81" i="1"/>
  <c r="Y92" i="1"/>
  <c r="Y98" i="1"/>
  <c r="Y109" i="1"/>
  <c r="Y117" i="1"/>
  <c r="Y123" i="1"/>
  <c r="Y134" i="1"/>
  <c r="Y138" i="1"/>
  <c r="Y144" i="1"/>
  <c r="Y153" i="1"/>
  <c r="Y164" i="1"/>
  <c r="Y170" i="1"/>
  <c r="BP189" i="1"/>
  <c r="BN189" i="1"/>
  <c r="Z189" i="1"/>
  <c r="Y191" i="1"/>
  <c r="Y194" i="1"/>
  <c r="BP193" i="1"/>
  <c r="BN193" i="1"/>
  <c r="Z193" i="1"/>
  <c r="Z194" i="1" s="1"/>
  <c r="Y195" i="1"/>
  <c r="Y198" i="1"/>
  <c r="BP197" i="1"/>
  <c r="BN197" i="1"/>
  <c r="Z197" i="1"/>
  <c r="Z198" i="1" s="1"/>
  <c r="Y199" i="1"/>
  <c r="K568" i="1"/>
  <c r="Y210" i="1"/>
  <c r="BP203" i="1"/>
  <c r="BN203" i="1"/>
  <c r="Z203" i="1"/>
  <c r="BP207" i="1"/>
  <c r="BN207" i="1"/>
  <c r="Z207" i="1"/>
  <c r="BP220" i="1"/>
  <c r="BN220" i="1"/>
  <c r="Z220" i="1"/>
  <c r="BP224" i="1"/>
  <c r="BN224" i="1"/>
  <c r="Z224" i="1"/>
  <c r="BP228" i="1"/>
  <c r="BN228" i="1"/>
  <c r="Z228" i="1"/>
  <c r="BP232" i="1"/>
  <c r="BN232" i="1"/>
  <c r="Z232" i="1"/>
  <c r="Y234" i="1"/>
  <c r="Y245" i="1"/>
  <c r="BP236" i="1"/>
  <c r="BN236" i="1"/>
  <c r="Z236" i="1"/>
  <c r="BP240" i="1"/>
  <c r="BN240" i="1"/>
  <c r="Z240" i="1"/>
  <c r="BP244" i="1"/>
  <c r="BN244" i="1"/>
  <c r="Z244" i="1"/>
  <c r="Y246" i="1"/>
  <c r="Y251" i="1"/>
  <c r="BP248" i="1"/>
  <c r="BN248" i="1"/>
  <c r="Z248" i="1"/>
  <c r="BP265" i="1"/>
  <c r="BN265" i="1"/>
  <c r="Z265" i="1"/>
  <c r="Z266" i="1" s="1"/>
  <c r="Y267" i="1"/>
  <c r="Y278" i="1"/>
  <c r="BP269" i="1"/>
  <c r="BN269" i="1"/>
  <c r="Z269" i="1"/>
  <c r="BP273" i="1"/>
  <c r="BN273" i="1"/>
  <c r="Z273" i="1"/>
  <c r="Y277" i="1"/>
  <c r="F9" i="1"/>
  <c r="J9" i="1"/>
  <c r="Z22" i="1"/>
  <c r="Z24" i="1" s="1"/>
  <c r="BN22" i="1"/>
  <c r="BP22" i="1"/>
  <c r="X56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Z62" i="1" s="1"/>
  <c r="BN55" i="1"/>
  <c r="BP55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Z73" i="1"/>
  <c r="BN73" i="1"/>
  <c r="Z79" i="1"/>
  <c r="Z81" i="1" s="1"/>
  <c r="BN79" i="1"/>
  <c r="F568" i="1"/>
  <c r="Z86" i="1"/>
  <c r="BN86" i="1"/>
  <c r="Z88" i="1"/>
  <c r="BN88" i="1"/>
  <c r="Z90" i="1"/>
  <c r="BN90" i="1"/>
  <c r="Y91" i="1"/>
  <c r="Z94" i="1"/>
  <c r="BN94" i="1"/>
  <c r="BP94" i="1"/>
  <c r="Z96" i="1"/>
  <c r="BN96" i="1"/>
  <c r="G568" i="1"/>
  <c r="Z103" i="1"/>
  <c r="BN103" i="1"/>
  <c r="Z105" i="1"/>
  <c r="BN105" i="1"/>
  <c r="Z107" i="1"/>
  <c r="BN107" i="1"/>
  <c r="Y108" i="1"/>
  <c r="Z111" i="1"/>
  <c r="Z116" i="1" s="1"/>
  <c r="BN111" i="1"/>
  <c r="BP111" i="1"/>
  <c r="Z113" i="1"/>
  <c r="BN113" i="1"/>
  <c r="Z115" i="1"/>
  <c r="BN115" i="1"/>
  <c r="Z119" i="1"/>
  <c r="BN119" i="1"/>
  <c r="BP119" i="1"/>
  <c r="Z121" i="1"/>
  <c r="BN121" i="1"/>
  <c r="H568" i="1"/>
  <c r="Z132" i="1"/>
  <c r="Z133" i="1" s="1"/>
  <c r="BN132" i="1"/>
  <c r="Y133" i="1"/>
  <c r="Z136" i="1"/>
  <c r="Z138" i="1" s="1"/>
  <c r="BN136" i="1"/>
  <c r="BP136" i="1"/>
  <c r="Z142" i="1"/>
  <c r="Z143" i="1" s="1"/>
  <c r="BN142" i="1"/>
  <c r="Z147" i="1"/>
  <c r="BN147" i="1"/>
  <c r="BP147" i="1"/>
  <c r="Z149" i="1"/>
  <c r="BN149" i="1"/>
  <c r="Z151" i="1"/>
  <c r="BN151" i="1"/>
  <c r="Y154" i="1"/>
  <c r="J568" i="1"/>
  <c r="Z162" i="1"/>
  <c r="Z164" i="1" s="1"/>
  <c r="BN162" i="1"/>
  <c r="Y165" i="1"/>
  <c r="Z168" i="1"/>
  <c r="Z169" i="1" s="1"/>
  <c r="BN168" i="1"/>
  <c r="Z172" i="1"/>
  <c r="BN172" i="1"/>
  <c r="BP172" i="1"/>
  <c r="Z174" i="1"/>
  <c r="BN174" i="1"/>
  <c r="Z176" i="1"/>
  <c r="BN176" i="1"/>
  <c r="Z178" i="1"/>
  <c r="BN178" i="1"/>
  <c r="Z180" i="1"/>
  <c r="BN180" i="1"/>
  <c r="Z182" i="1"/>
  <c r="BN182" i="1"/>
  <c r="BP183" i="1"/>
  <c r="BN183" i="1"/>
  <c r="Z183" i="1"/>
  <c r="Y185" i="1"/>
  <c r="Y190" i="1"/>
  <c r="BP187" i="1"/>
  <c r="BN187" i="1"/>
  <c r="Z187" i="1"/>
  <c r="Z190" i="1" s="1"/>
  <c r="BP205" i="1"/>
  <c r="BN205" i="1"/>
  <c r="Z205" i="1"/>
  <c r="BP209" i="1"/>
  <c r="BN209" i="1"/>
  <c r="Z209" i="1"/>
  <c r="Y211" i="1"/>
  <c r="L568" i="1"/>
  <c r="Y215" i="1"/>
  <c r="BP214" i="1"/>
  <c r="BN214" i="1"/>
  <c r="Z214" i="1"/>
  <c r="Z215" i="1" s="1"/>
  <c r="Y216" i="1"/>
  <c r="Y233" i="1"/>
  <c r="BP218" i="1"/>
  <c r="BN218" i="1"/>
  <c r="Z218" i="1"/>
  <c r="BP222" i="1"/>
  <c r="BN222" i="1"/>
  <c r="Z222" i="1"/>
  <c r="BP226" i="1"/>
  <c r="BN226" i="1"/>
  <c r="Z226" i="1"/>
  <c r="BP230" i="1"/>
  <c r="BN230" i="1"/>
  <c r="Z230" i="1"/>
  <c r="BP238" i="1"/>
  <c r="BN238" i="1"/>
  <c r="Z238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8" i="1"/>
  <c r="Y262" i="1"/>
  <c r="BP259" i="1"/>
  <c r="BN259" i="1"/>
  <c r="Z259" i="1"/>
  <c r="Z261" i="1" s="1"/>
  <c r="Y266" i="1"/>
  <c r="BP271" i="1"/>
  <c r="BN271" i="1"/>
  <c r="Z271" i="1"/>
  <c r="BP275" i="1"/>
  <c r="BN275" i="1"/>
  <c r="Z275" i="1"/>
  <c r="Y293" i="1"/>
  <c r="Z281" i="1"/>
  <c r="BN281" i="1"/>
  <c r="Z283" i="1"/>
  <c r="BN283" i="1"/>
  <c r="Z285" i="1"/>
  <c r="BN285" i="1"/>
  <c r="BP286" i="1"/>
  <c r="BN286" i="1"/>
  <c r="BP288" i="1"/>
  <c r="BN288" i="1"/>
  <c r="Z288" i="1"/>
  <c r="Y292" i="1"/>
  <c r="BP296" i="1"/>
  <c r="BN296" i="1"/>
  <c r="Z296" i="1"/>
  <c r="Z297" i="1" s="1"/>
  <c r="Y298" i="1"/>
  <c r="O568" i="1"/>
  <c r="Y308" i="1"/>
  <c r="BP301" i="1"/>
  <c r="BN301" i="1"/>
  <c r="Z301" i="1"/>
  <c r="BP305" i="1"/>
  <c r="BN305" i="1"/>
  <c r="Z305" i="1"/>
  <c r="BP321" i="1"/>
  <c r="BN321" i="1"/>
  <c r="Z321" i="1"/>
  <c r="Y331" i="1"/>
  <c r="BP326" i="1"/>
  <c r="BN326" i="1"/>
  <c r="Z326" i="1"/>
  <c r="BP330" i="1"/>
  <c r="BN330" i="1"/>
  <c r="Z330" i="1"/>
  <c r="Y332" i="1"/>
  <c r="Q568" i="1"/>
  <c r="Y338" i="1"/>
  <c r="BP335" i="1"/>
  <c r="BN335" i="1"/>
  <c r="Z335" i="1"/>
  <c r="BP344" i="1"/>
  <c r="BN344" i="1"/>
  <c r="Z344" i="1"/>
  <c r="BP357" i="1"/>
  <c r="BN357" i="1"/>
  <c r="Z357" i="1"/>
  <c r="Z359" i="1" s="1"/>
  <c r="T568" i="1"/>
  <c r="BP366" i="1"/>
  <c r="BN366" i="1"/>
  <c r="Z366" i="1"/>
  <c r="BP374" i="1"/>
  <c r="BN374" i="1"/>
  <c r="Z374" i="1"/>
  <c r="BP378" i="1"/>
  <c r="BN378" i="1"/>
  <c r="Z378" i="1"/>
  <c r="Y387" i="1"/>
  <c r="BP382" i="1"/>
  <c r="BN382" i="1"/>
  <c r="Z382" i="1"/>
  <c r="Y386" i="1"/>
  <c r="BP390" i="1"/>
  <c r="BN390" i="1"/>
  <c r="Z390" i="1"/>
  <c r="Z392" i="1" s="1"/>
  <c r="Y399" i="1"/>
  <c r="BP398" i="1"/>
  <c r="BN398" i="1"/>
  <c r="Z398" i="1"/>
  <c r="Y405" i="1"/>
  <c r="BP402" i="1"/>
  <c r="BN402" i="1"/>
  <c r="Z402" i="1"/>
  <c r="BP410" i="1"/>
  <c r="BN410" i="1"/>
  <c r="Z410" i="1"/>
  <c r="U568" i="1"/>
  <c r="Y418" i="1"/>
  <c r="BP415" i="1"/>
  <c r="BN415" i="1"/>
  <c r="Z415" i="1"/>
  <c r="Z417" i="1" s="1"/>
  <c r="BP430" i="1"/>
  <c r="BN430" i="1"/>
  <c r="Z430" i="1"/>
  <c r="BP434" i="1"/>
  <c r="BN434" i="1"/>
  <c r="Z434" i="1"/>
  <c r="BP442" i="1"/>
  <c r="BN442" i="1"/>
  <c r="Z442" i="1"/>
  <c r="Y444" i="1"/>
  <c r="Y449" i="1"/>
  <c r="BP446" i="1"/>
  <c r="BN446" i="1"/>
  <c r="Z446" i="1"/>
  <c r="Y450" i="1"/>
  <c r="BP459" i="1"/>
  <c r="BN459" i="1"/>
  <c r="Z459" i="1"/>
  <c r="Z460" i="1" s="1"/>
  <c r="Y461" i="1"/>
  <c r="Y464" i="1"/>
  <c r="BP463" i="1"/>
  <c r="BN463" i="1"/>
  <c r="Z463" i="1"/>
  <c r="Z464" i="1" s="1"/>
  <c r="Y465" i="1"/>
  <c r="Y470" i="1"/>
  <c r="BP467" i="1"/>
  <c r="BN467" i="1"/>
  <c r="Z467" i="1"/>
  <c r="Y471" i="1"/>
  <c r="BP477" i="1"/>
  <c r="BN477" i="1"/>
  <c r="Z477" i="1"/>
  <c r="Y481" i="1"/>
  <c r="BP485" i="1"/>
  <c r="BN485" i="1"/>
  <c r="Z485" i="1"/>
  <c r="Z486" i="1" s="1"/>
  <c r="Y487" i="1"/>
  <c r="Z568" i="1"/>
  <c r="Y491" i="1"/>
  <c r="BP490" i="1"/>
  <c r="BN490" i="1"/>
  <c r="Z490" i="1"/>
  <c r="Z491" i="1" s="1"/>
  <c r="Y492" i="1"/>
  <c r="Y497" i="1"/>
  <c r="BP494" i="1"/>
  <c r="BN494" i="1"/>
  <c r="Z494" i="1"/>
  <c r="Y498" i="1"/>
  <c r="BP504" i="1"/>
  <c r="BN504" i="1"/>
  <c r="Z504" i="1"/>
  <c r="BP508" i="1"/>
  <c r="BN508" i="1"/>
  <c r="Z508" i="1"/>
  <c r="BP516" i="1"/>
  <c r="BN516" i="1"/>
  <c r="Z516" i="1"/>
  <c r="Y518" i="1"/>
  <c r="Y527" i="1"/>
  <c r="BP520" i="1"/>
  <c r="BN520" i="1"/>
  <c r="Z520" i="1"/>
  <c r="Y528" i="1"/>
  <c r="BP524" i="1"/>
  <c r="BN524" i="1"/>
  <c r="Z524" i="1"/>
  <c r="X568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8" i="1"/>
  <c r="Y347" i="1"/>
  <c r="BP342" i="1"/>
  <c r="BN342" i="1"/>
  <c r="Z342" i="1"/>
  <c r="Z347" i="1" s="1"/>
  <c r="BP346" i="1"/>
  <c r="BN346" i="1"/>
  <c r="Z346" i="1"/>
  <c r="Y348" i="1"/>
  <c r="Y353" i="1"/>
  <c r="BP350" i="1"/>
  <c r="BN350" i="1"/>
  <c r="Z350" i="1"/>
  <c r="Z352" i="1" s="1"/>
  <c r="BP364" i="1"/>
  <c r="BN364" i="1"/>
  <c r="Z364" i="1"/>
  <c r="BP368" i="1"/>
  <c r="BN368" i="1"/>
  <c r="Z368" i="1"/>
  <c r="Y370" i="1"/>
  <c r="Y379" i="1"/>
  <c r="BP372" i="1"/>
  <c r="BN372" i="1"/>
  <c r="Z372" i="1"/>
  <c r="BP376" i="1"/>
  <c r="BN376" i="1"/>
  <c r="Z376" i="1"/>
  <c r="BP384" i="1"/>
  <c r="BN384" i="1"/>
  <c r="Z384" i="1"/>
  <c r="BP396" i="1"/>
  <c r="BN396" i="1"/>
  <c r="Z396" i="1"/>
  <c r="Z399" i="1" s="1"/>
  <c r="BP404" i="1"/>
  <c r="BN404" i="1"/>
  <c r="Z404" i="1"/>
  <c r="Y406" i="1"/>
  <c r="Y411" i="1"/>
  <c r="BP408" i="1"/>
  <c r="BN408" i="1"/>
  <c r="Z408" i="1"/>
  <c r="Z411" i="1" s="1"/>
  <c r="BP422" i="1"/>
  <c r="BN422" i="1"/>
  <c r="Z422" i="1"/>
  <c r="BP432" i="1"/>
  <c r="BN432" i="1"/>
  <c r="Z432" i="1"/>
  <c r="P568" i="1"/>
  <c r="S568" i="1"/>
  <c r="Y360" i="1"/>
  <c r="Y369" i="1"/>
  <c r="V568" i="1"/>
  <c r="Y425" i="1"/>
  <c r="W568" i="1"/>
  <c r="Y437" i="1"/>
  <c r="BP436" i="1"/>
  <c r="BN436" i="1"/>
  <c r="Z436" i="1"/>
  <c r="Y438" i="1"/>
  <c r="Y443" i="1"/>
  <c r="BP440" i="1"/>
  <c r="BN440" i="1"/>
  <c r="Z440" i="1"/>
  <c r="Z443" i="1" s="1"/>
  <c r="BP448" i="1"/>
  <c r="BN448" i="1"/>
  <c r="Z448" i="1"/>
  <c r="Y455" i="1"/>
  <c r="BP452" i="1"/>
  <c r="BN452" i="1"/>
  <c r="Z452" i="1"/>
  <c r="Z454" i="1" s="1"/>
  <c r="Y460" i="1"/>
  <c r="BP469" i="1"/>
  <c r="BN469" i="1"/>
  <c r="Z469" i="1"/>
  <c r="Y568" i="1"/>
  <c r="Y482" i="1"/>
  <c r="BP475" i="1"/>
  <c r="BN475" i="1"/>
  <c r="Z475" i="1"/>
  <c r="BP479" i="1"/>
  <c r="BN479" i="1"/>
  <c r="Z479" i="1"/>
  <c r="Y486" i="1"/>
  <c r="BP496" i="1"/>
  <c r="BN496" i="1"/>
  <c r="Z496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BP522" i="1"/>
  <c r="BN522" i="1"/>
  <c r="Z522" i="1"/>
  <c r="BP526" i="1"/>
  <c r="BN526" i="1"/>
  <c r="Z526" i="1"/>
  <c r="Y533" i="1"/>
  <c r="BP532" i="1"/>
  <c r="BN532" i="1"/>
  <c r="Z532" i="1"/>
  <c r="Z533" i="1" s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Y557" i="1"/>
  <c r="Z437" i="1" l="1"/>
  <c r="Z292" i="1"/>
  <c r="Z91" i="1"/>
  <c r="Z32" i="1"/>
  <c r="Z550" i="1"/>
  <c r="Z517" i="1"/>
  <c r="Z424" i="1"/>
  <c r="Z369" i="1"/>
  <c r="Z108" i="1"/>
  <c r="Z75" i="1"/>
  <c r="Z51" i="1"/>
  <c r="Z42" i="1"/>
  <c r="Z556" i="1"/>
  <c r="Z497" i="1"/>
  <c r="Z405" i="1"/>
  <c r="Z338" i="1"/>
  <c r="Z233" i="1"/>
  <c r="Y559" i="1"/>
  <c r="Z245" i="1"/>
  <c r="Z210" i="1"/>
  <c r="Z511" i="1"/>
  <c r="Z481" i="1"/>
  <c r="Z379" i="1"/>
  <c r="Z527" i="1"/>
  <c r="Z470" i="1"/>
  <c r="Z449" i="1"/>
  <c r="Z386" i="1"/>
  <c r="Z331" i="1"/>
  <c r="Z308" i="1"/>
  <c r="Z184" i="1"/>
  <c r="Z153" i="1"/>
  <c r="Z123" i="1"/>
  <c r="Z98" i="1"/>
  <c r="Y558" i="1"/>
  <c r="Y560" i="1"/>
  <c r="Z277" i="1"/>
  <c r="Z251" i="1"/>
  <c r="Y562" i="1"/>
  <c r="Z563" i="1" l="1"/>
  <c r="Y561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<sst xmlns="http://schemas.openxmlformats.org/spreadsheetml/2006/main" count="2540" uniqueCount="914">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</sst>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topLeftCell="A470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17</v>
      </c>
      <c r="Y29" s="642">
        <f>IFERROR(IF(X29="",0,CEILING((X29/$H29),1)*$H29),"")</f>
        <v>18</v>
      </c>
      <c r="Z29" s="36">
        <f>IFERROR(IF(Y29=0,"",ROUNDUP(Y29/H29,0)*0.00651),"")</f>
        <v>6.5100000000000005E-2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30.033333333333335</v>
      </c>
      <c r="BN29" s="64">
        <f>IFERROR(Y29*I29/H29,"0")</f>
        <v>31.8</v>
      </c>
      <c r="BO29" s="64">
        <f>IFERROR(1/J29*(X29/H29),"0")</f>
        <v>5.1892551892551896E-2</v>
      </c>
      <c r="BP29" s="64">
        <f>IFERROR(1/J29*(Y29/H29),"0")</f>
        <v>5.4945054945054951E-2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60</v>
      </c>
      <c r="Y30" s="642">
        <f>IFERROR(IF(X30="",0,CEILING((X30/$H30),1)*$H30),"")</f>
        <v>61.2</v>
      </c>
      <c r="Z30" s="36">
        <f>IFERROR(IF(Y30=0,"",ROUNDUP(Y30/H30,0)*0.00651),"")</f>
        <v>0.22134000000000001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106</v>
      </c>
      <c r="BN30" s="64">
        <f>IFERROR(Y30*I30/H30,"0")</f>
        <v>108.12</v>
      </c>
      <c r="BO30" s="64">
        <f>IFERROR(1/J30*(X30/H30),"0")</f>
        <v>0.18315018315018317</v>
      </c>
      <c r="BP30" s="64">
        <f>IFERROR(1/J30*(Y30/H30),"0")</f>
        <v>0.18681318681318682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42.777777777777779</v>
      </c>
      <c r="Y32" s="643">
        <f>IFERROR(Y27/H27,"0")+IFERROR(Y28/H28,"0")+IFERROR(Y29/H29,"0")+IFERROR(Y30/H30,"0")+IFERROR(Y31/H31,"0")</f>
        <v>44</v>
      </c>
      <c r="Z32" s="643">
        <f>IFERROR(IF(Z27="",0,Z27),"0")+IFERROR(IF(Z28="",0,Z28),"0")+IFERROR(IF(Z29="",0,Z29),"0")+IFERROR(IF(Z30="",0,Z30),"0")+IFERROR(IF(Z31="",0,Z31),"0")</f>
        <v>0.28644000000000003</v>
      </c>
      <c r="AA32" s="644"/>
      <c r="AB32" s="644"/>
      <c r="AC32" s="644"/>
    </row>
    <row r="33" spans="1:68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77</v>
      </c>
      <c r="Y33" s="643">
        <f>IFERROR(SUM(Y27:Y31),"0")</f>
        <v>79.2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1293</v>
      </c>
      <c r="Y47" s="642">
        <f>IFERROR(IF(X47="",0,CEILING((X47/$H47),1)*$H47),"")</f>
        <v>1296</v>
      </c>
      <c r="Z47" s="36">
        <f>IFERROR(IF(Y47=0,"",ROUNDUP(Y47/H47,0)*0.01898),"")</f>
        <v>2.2776000000000001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1342.086111111111</v>
      </c>
      <c r="BN47" s="64">
        <f>IFERROR(Y47*I47/H47,"0")</f>
        <v>1345.2</v>
      </c>
      <c r="BO47" s="64">
        <f>IFERROR(1/J47*(X47/H47),"0")</f>
        <v>1.8706597222222221</v>
      </c>
      <c r="BP47" s="64">
        <f>IFERROR(1/J47*(Y47/H47),"0")</f>
        <v>1.8749999999999998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65</v>
      </c>
      <c r="Y50" s="642">
        <f>IFERROR(IF(X50="",0,CEILING((X50/$H50),1)*$H50),"")</f>
        <v>66.600000000000009</v>
      </c>
      <c r="Z50" s="36">
        <f>IFERROR(IF(Y50=0,"",ROUNDUP(Y50/H50,0)*0.00902),"")</f>
        <v>0.16236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68.337837837837839</v>
      </c>
      <c r="BN50" s="64">
        <f>IFERROR(Y50*I50/H50,"0")</f>
        <v>70.02000000000001</v>
      </c>
      <c r="BO50" s="64">
        <f>IFERROR(1/J50*(X50/H50),"0")</f>
        <v>0.13308763308763311</v>
      </c>
      <c r="BP50" s="64">
        <f>IFERROR(1/J50*(Y50/H50),"0")</f>
        <v>0.13636363636363635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137.28978978978978</v>
      </c>
      <c r="Y51" s="643">
        <f>IFERROR(Y47/H47,"0")+IFERROR(Y48/H48,"0")+IFERROR(Y49/H49,"0")+IFERROR(Y50/H50,"0")</f>
        <v>138</v>
      </c>
      <c r="Z51" s="643">
        <f>IFERROR(IF(Z47="",0,Z47),"0")+IFERROR(IF(Z48="",0,Z48),"0")+IFERROR(IF(Z49="",0,Z49),"0")+IFERROR(IF(Z50="",0,Z50),"0")</f>
        <v>2.4399600000000001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1358</v>
      </c>
      <c r="Y52" s="643">
        <f>IFERROR(SUM(Y47:Y50),"0")</f>
        <v>1362.6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174</v>
      </c>
      <c r="Y55" s="642">
        <f t="shared" ref="Y55:Y61" si="0">IFERROR(IF(X55="",0,CEILING((X55/$H55),1)*$H55),"")</f>
        <v>179.2</v>
      </c>
      <c r="Z55" s="36">
        <f>IFERROR(IF(Y55=0,"",ROUNDUP(Y55/H55,0)*0.01898),"")</f>
        <v>0.30368000000000001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180.36964285714285</v>
      </c>
      <c r="BN55" s="64">
        <f t="shared" ref="BN55:BN61" si="2">IFERROR(Y55*I55/H55,"0")</f>
        <v>185.76</v>
      </c>
      <c r="BO55" s="64">
        <f t="shared" ref="BO55:BO61" si="3">IFERROR(1/J55*(X55/H55),"0")</f>
        <v>0.24274553571428573</v>
      </c>
      <c r="BP55" s="64">
        <f t="shared" ref="BP55:BP61" si="4">IFERROR(1/J55*(Y55/H55),"0")</f>
        <v>0.25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233</v>
      </c>
      <c r="Y56" s="642">
        <f t="shared" si="0"/>
        <v>237.60000000000002</v>
      </c>
      <c r="Z56" s="36">
        <f>IFERROR(IF(Y56=0,"",ROUNDUP(Y56/H56,0)*0.01898),"")</f>
        <v>0.41755999999999999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241.84537037037038</v>
      </c>
      <c r="BN56" s="64">
        <f t="shared" si="2"/>
        <v>246.62000000000003</v>
      </c>
      <c r="BO56" s="64">
        <f t="shared" si="3"/>
        <v>0.33709490740740738</v>
      </c>
      <c r="BP56" s="64">
        <f t="shared" si="4"/>
        <v>0.34375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53</v>
      </c>
      <c r="Y58" s="642">
        <f t="shared" si="0"/>
        <v>56</v>
      </c>
      <c r="Z58" s="36">
        <f>IFERROR(IF(Y58=0,"",ROUNDUP(Y58/H58,0)*0.00902),"")</f>
        <v>0.12628</v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55.517500000000005</v>
      </c>
      <c r="BN58" s="64">
        <f t="shared" si="2"/>
        <v>58.660000000000004</v>
      </c>
      <c r="BO58" s="64">
        <f t="shared" si="3"/>
        <v>0.10037878787878789</v>
      </c>
      <c r="BP58" s="64">
        <f t="shared" si="4"/>
        <v>0.10606060606060606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13</v>
      </c>
      <c r="Y61" s="642">
        <f t="shared" si="0"/>
        <v>13.5</v>
      </c>
      <c r="Z61" s="36">
        <f>IFERROR(IF(Y61=0,"",ROUNDUP(Y61/H61,0)*0.00902),"")</f>
        <v>2.7060000000000001E-2</v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13.548888888888889</v>
      </c>
      <c r="BN61" s="64">
        <f t="shared" si="2"/>
        <v>14.07</v>
      </c>
      <c r="BO61" s="64">
        <f t="shared" si="3"/>
        <v>2.1885521885521887E-2</v>
      </c>
      <c r="BP61" s="64">
        <f t="shared" si="4"/>
        <v>2.2727272727272728E-2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53.248677248677247</v>
      </c>
      <c r="Y62" s="643">
        <f>IFERROR(Y55/H55,"0")+IFERROR(Y56/H56,"0")+IFERROR(Y57/H57,"0")+IFERROR(Y58/H58,"0")+IFERROR(Y59/H59,"0")+IFERROR(Y60/H60,"0")+IFERROR(Y61/H61,"0")</f>
        <v>55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0.87458000000000002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473</v>
      </c>
      <c r="Y63" s="643">
        <f>IFERROR(SUM(Y55:Y61),"0")</f>
        <v>486.3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140</v>
      </c>
      <c r="Y65" s="642">
        <f>IFERROR(IF(X65="",0,CEILING((X65/$H65),1)*$H65),"")</f>
        <v>140.4</v>
      </c>
      <c r="Z65" s="36">
        <f>IFERROR(IF(Y65=0,"",ROUNDUP(Y65/H65,0)*0.01898),"")</f>
        <v>0.24674000000000001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145.31481481481481</v>
      </c>
      <c r="BN65" s="64">
        <f>IFERROR(Y65*I65/H65,"0")</f>
        <v>145.73000000000002</v>
      </c>
      <c r="BO65" s="64">
        <f>IFERROR(1/J65*(X65/H65),"0")</f>
        <v>0.20254629629629628</v>
      </c>
      <c r="BP65" s="64">
        <f>IFERROR(1/J65*(Y65/H65),"0")</f>
        <v>0.203125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12.962962962962962</v>
      </c>
      <c r="Y69" s="643">
        <f>IFERROR(Y65/H65,"0")+IFERROR(Y66/H66,"0")+IFERROR(Y67/H67,"0")+IFERROR(Y68/H68,"0")</f>
        <v>13</v>
      </c>
      <c r="Z69" s="643">
        <f>IFERROR(IF(Z65="",0,Z65),"0")+IFERROR(IF(Z66="",0,Z66),"0")+IFERROR(IF(Z67="",0,Z67),"0")+IFERROR(IF(Z68="",0,Z68),"0")</f>
        <v>0.24674000000000001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140</v>
      </c>
      <c r="Y70" s="643">
        <f>IFERROR(SUM(Y65:Y68),"0")</f>
        <v>140.4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96</v>
      </c>
      <c r="Y78" s="642">
        <f>IFERROR(IF(X78="",0,CEILING((X78/$H78),1)*$H78),"")</f>
        <v>101.39999999999999</v>
      </c>
      <c r="Z78" s="36">
        <f>IFERROR(IF(Y78=0,"",ROUNDUP(Y78/H78,0)*0.01898),"")</f>
        <v>0.24674000000000001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101.04615384615386</v>
      </c>
      <c r="BN78" s="64">
        <f>IFERROR(Y78*I78/H78,"0")</f>
        <v>106.73</v>
      </c>
      <c r="BO78" s="64">
        <f>IFERROR(1/J78*(X78/H78),"0")</f>
        <v>0.19230769230769232</v>
      </c>
      <c r="BP78" s="64">
        <f>IFERROR(1/J78*(Y78/H78),"0")</f>
        <v>0.203125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12.307692307692308</v>
      </c>
      <c r="Y81" s="643">
        <f>IFERROR(Y78/H78,"0")+IFERROR(Y79/H79,"0")+IFERROR(Y80/H80,"0")</f>
        <v>13</v>
      </c>
      <c r="Z81" s="643">
        <f>IFERROR(IF(Z78="",0,Z78),"0")+IFERROR(IF(Z79="",0,Z79),"0")+IFERROR(IF(Z80="",0,Z80),"0")</f>
        <v>0.24674000000000001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96</v>
      </c>
      <c r="Y82" s="643">
        <f>IFERROR(SUM(Y78:Y80),"0")</f>
        <v>101.39999999999999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233</v>
      </c>
      <c r="Y85" s="642">
        <f t="shared" ref="Y85:Y90" si="5">IFERROR(IF(X85="",0,CEILING((X85/$H85),1)*$H85),"")</f>
        <v>237.60000000000002</v>
      </c>
      <c r="Z85" s="36">
        <f>IFERROR(IF(Y85=0,"",ROUNDUP(Y85/H85,0)*0.01898),"")</f>
        <v>0.41755999999999999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241.84537037037038</v>
      </c>
      <c r="BN85" s="64">
        <f t="shared" ref="BN85:BN90" si="7">IFERROR(Y85*I85/H85,"0")</f>
        <v>246.62000000000003</v>
      </c>
      <c r="BO85" s="64">
        <f t="shared" ref="BO85:BO90" si="8">IFERROR(1/J85*(X85/H85),"0")</f>
        <v>0.33709490740740738</v>
      </c>
      <c r="BP85" s="64">
        <f t="shared" ref="BP85:BP90" si="9">IFERROR(1/J85*(Y85/H85),"0")</f>
        <v>0.34375</v>
      </c>
    </row>
    <row r="86" spans="1:68" ht="27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2</v>
      </c>
      <c r="Y86" s="642">
        <f t="shared" si="5"/>
        <v>3.4</v>
      </c>
      <c r="Z86" s="36">
        <f>IFERROR(IF(Y86=0,"",ROUNDUP(Y86/H86,0)*0.00726),"")</f>
        <v>1.452E-2</v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2.1176470588235294</v>
      </c>
      <c r="BN86" s="64">
        <f t="shared" si="7"/>
        <v>3.6</v>
      </c>
      <c r="BO86" s="64">
        <f t="shared" si="8"/>
        <v>6.1274509803921568E-3</v>
      </c>
      <c r="BP86" s="64">
        <f t="shared" si="9"/>
        <v>1.0416666666666666E-2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52</v>
      </c>
      <c r="Y89" s="642">
        <f t="shared" si="5"/>
        <v>54</v>
      </c>
      <c r="Z89" s="36">
        <f>IFERROR(IF(Y89=0,"",ROUNDUP(Y89/H89,0)*0.00902),"")</f>
        <v>0.10824</v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54.195555555555558</v>
      </c>
      <c r="BN89" s="64">
        <f t="shared" si="7"/>
        <v>56.28</v>
      </c>
      <c r="BO89" s="64">
        <f t="shared" si="8"/>
        <v>8.7542087542087546E-2</v>
      </c>
      <c r="BP89" s="64">
        <f t="shared" si="9"/>
        <v>9.0909090909090912E-2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34.306100217864923</v>
      </c>
      <c r="Y91" s="643">
        <f>IFERROR(Y85/H85,"0")+IFERROR(Y86/H86,"0")+IFERROR(Y87/H87,"0")+IFERROR(Y88/H88,"0")+IFERROR(Y89/H89,"0")+IFERROR(Y90/H90,"0")</f>
        <v>36</v>
      </c>
      <c r="Z91" s="643">
        <f>IFERROR(IF(Z85="",0,Z85),"0")+IFERROR(IF(Z86="",0,Z86),"0")+IFERROR(IF(Z87="",0,Z87),"0")+IFERROR(IF(Z88="",0,Z88),"0")+IFERROR(IF(Z89="",0,Z89),"0")+IFERROR(IF(Z90="",0,Z90),"0")</f>
        <v>0.54031999999999991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287</v>
      </c>
      <c r="Y92" s="643">
        <f>IFERROR(SUM(Y85:Y90),"0")</f>
        <v>295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233</v>
      </c>
      <c r="Y94" s="642">
        <f>IFERROR(IF(X94="",0,CEILING((X94/$H94),1)*$H94),"")</f>
        <v>234.89999999999998</v>
      </c>
      <c r="Z94" s="36">
        <f>IFERROR(IF(Y94=0,"",ROUNDUP(Y94/H94,0)*0.01898),"")</f>
        <v>0.55042000000000002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247.21012345679011</v>
      </c>
      <c r="BN94" s="64">
        <f>IFERROR(Y94*I94/H94,"0")</f>
        <v>249.22599999999997</v>
      </c>
      <c r="BO94" s="64">
        <f>IFERROR(1/J94*(X94/H94),"0")</f>
        <v>0.4494598765432099</v>
      </c>
      <c r="BP94" s="64">
        <f>IFERROR(1/J94*(Y94/H94),"0")</f>
        <v>0.453125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66</v>
      </c>
      <c r="Y96" s="642">
        <f>IFERROR(IF(X96="",0,CEILING((X96/$H96),1)*$H96),"")</f>
        <v>67.5</v>
      </c>
      <c r="Z96" s="36">
        <f>IFERROR(IF(Y96=0,"",ROUNDUP(Y96/H96,0)*0.00651),"")</f>
        <v>0.16275000000000001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72.16</v>
      </c>
      <c r="BN96" s="64">
        <f>IFERROR(Y96*I96/H96,"0")</f>
        <v>73.8</v>
      </c>
      <c r="BO96" s="64">
        <f>IFERROR(1/J96*(X96/H96),"0")</f>
        <v>0.1343101343101343</v>
      </c>
      <c r="BP96" s="64">
        <f>IFERROR(1/J96*(Y96/H96),"0")</f>
        <v>0.13736263736263737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53.209876543209873</v>
      </c>
      <c r="Y98" s="643">
        <f>IFERROR(Y94/H94,"0")+IFERROR(Y95/H95,"0")+IFERROR(Y96/H96,"0")+IFERROR(Y97/H97,"0")</f>
        <v>54</v>
      </c>
      <c r="Z98" s="643">
        <f>IFERROR(IF(Z94="",0,Z94),"0")+IFERROR(IF(Z95="",0,Z95),"0")+IFERROR(IF(Z96="",0,Z96),"0")+IFERROR(IF(Z97="",0,Z97),"0")</f>
        <v>0.71317000000000008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299</v>
      </c>
      <c r="Y99" s="643">
        <f>IFERROR(SUM(Y94:Y97),"0")</f>
        <v>302.39999999999998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272</v>
      </c>
      <c r="Y102" s="642">
        <f t="shared" ref="Y102:Y107" si="10">IFERROR(IF(X102="",0,CEILING((X102/$H102),1)*$H102),"")</f>
        <v>280.8</v>
      </c>
      <c r="Z102" s="36">
        <f>IFERROR(IF(Y102=0,"",ROUNDUP(Y102/H102,0)*0.01898),"")</f>
        <v>0.49348000000000003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282.32592592592596</v>
      </c>
      <c r="BN102" s="64">
        <f t="shared" ref="BN102:BN107" si="12">IFERROR(Y102*I102/H102,"0")</f>
        <v>291.46000000000004</v>
      </c>
      <c r="BO102" s="64">
        <f t="shared" ref="BO102:BO107" si="13">IFERROR(1/J102*(X102/H102),"0")</f>
        <v>0.39351851851851849</v>
      </c>
      <c r="BP102" s="64">
        <f t="shared" ref="BP102:BP107" si="14">IFERROR(1/J102*(Y102/H102),"0")</f>
        <v>0.40625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96</v>
      </c>
      <c r="Y105" s="642">
        <f t="shared" si="10"/>
        <v>99</v>
      </c>
      <c r="Z105" s="36">
        <f>IFERROR(IF(Y105=0,"",ROUNDUP(Y105/H105,0)*0.00902),"")</f>
        <v>0.19844000000000001</v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100.05333333333334</v>
      </c>
      <c r="BN105" s="64">
        <f t="shared" si="12"/>
        <v>103.18</v>
      </c>
      <c r="BO105" s="64">
        <f t="shared" si="13"/>
        <v>0.1616161616161616</v>
      </c>
      <c r="BP105" s="64">
        <f t="shared" si="14"/>
        <v>0.16666666666666669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46.518518518518519</v>
      </c>
      <c r="Y108" s="643">
        <f>IFERROR(Y102/H102,"0")+IFERROR(Y103/H103,"0")+IFERROR(Y104/H104,"0")+IFERROR(Y105/H105,"0")+IFERROR(Y106/H106,"0")+IFERROR(Y107/H107,"0")</f>
        <v>48</v>
      </c>
      <c r="Z108" s="643">
        <f>IFERROR(IF(Z102="",0,Z102),"0")+IFERROR(IF(Z103="",0,Z103),"0")+IFERROR(IF(Z104="",0,Z104),"0")+IFERROR(IF(Z105="",0,Z105),"0")+IFERROR(IF(Z106="",0,Z106),"0")+IFERROR(IF(Z107="",0,Z107),"0")</f>
        <v>0.69192000000000009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368</v>
      </c>
      <c r="Y109" s="643">
        <f>IFERROR(SUM(Y102:Y107),"0")</f>
        <v>379.8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1</v>
      </c>
      <c r="Y112" s="642">
        <f>IFERROR(IF(X112="",0,CEILING((X112/$H112),1)*$H112),"")</f>
        <v>1</v>
      </c>
      <c r="Z112" s="36">
        <f>IFERROR(IF(Y112=0,"",ROUNDUP(Y112/H112,0)*0.00358),"")</f>
        <v>3.5799999999999998E-3</v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1.21</v>
      </c>
      <c r="BN112" s="64">
        <f>IFERROR(Y112*I112/H112,"0")</f>
        <v>1.21</v>
      </c>
      <c r="BO112" s="64">
        <f>IFERROR(1/J112*(X112/H112),"0")</f>
        <v>2.5510204081632651E-3</v>
      </c>
      <c r="BP112" s="64">
        <f>IFERROR(1/J112*(Y112/H112),"0")</f>
        <v>2.5510204081632651E-3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24</v>
      </c>
      <c r="Y115" s="642">
        <f>IFERROR(IF(X115="",0,CEILING((X115/$H115),1)*$H115),"")</f>
        <v>24</v>
      </c>
      <c r="Z115" s="36">
        <f>IFERROR(IF(Y115=0,"",ROUNDUP(Y115/H115,0)*0.00651),"")</f>
        <v>6.5100000000000005E-2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25.8</v>
      </c>
      <c r="BN115" s="64">
        <f>IFERROR(Y115*I115/H115,"0")</f>
        <v>25.8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11</v>
      </c>
      <c r="Y116" s="643">
        <f>IFERROR(Y111/H111,"0")+IFERROR(Y112/H112,"0")+IFERROR(Y113/H113,"0")+IFERROR(Y114/H114,"0")+IFERROR(Y115/H115,"0")</f>
        <v>11</v>
      </c>
      <c r="Z116" s="643">
        <f>IFERROR(IF(Z111="",0,Z111),"0")+IFERROR(IF(Z112="",0,Z112),"0")+IFERROR(IF(Z113="",0,Z113),"0")+IFERROR(IF(Z114="",0,Z114),"0")+IFERROR(IF(Z115="",0,Z115),"0")</f>
        <v>6.8680000000000005E-2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25</v>
      </c>
      <c r="Y117" s="643">
        <f>IFERROR(SUM(Y111:Y115),"0")</f>
        <v>25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543</v>
      </c>
      <c r="Y119" s="642">
        <f>IFERROR(IF(X119="",0,CEILING((X119/$H119),1)*$H119),"")</f>
        <v>550.79999999999995</v>
      </c>
      <c r="Z119" s="36">
        <f>IFERROR(IF(Y119=0,"",ROUNDUP(Y119/H119,0)*0.01898),"")</f>
        <v>1.29064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575.71407407407401</v>
      </c>
      <c r="BN119" s="64">
        <f>IFERROR(Y119*I119/H119,"0")</f>
        <v>583.98399999999992</v>
      </c>
      <c r="BO119" s="64">
        <f>IFERROR(1/J119*(X119/H119),"0")</f>
        <v>1.0474537037037037</v>
      </c>
      <c r="BP119" s="64">
        <f>IFERROR(1/J119*(Y119/H119),"0")</f>
        <v>1.0625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140</v>
      </c>
      <c r="Y121" s="642">
        <f>IFERROR(IF(X121="",0,CEILING((X121/$H121),1)*$H121),"")</f>
        <v>140.4</v>
      </c>
      <c r="Z121" s="36">
        <f>IFERROR(IF(Y121=0,"",ROUNDUP(Y121/H121,0)*0.00651),"")</f>
        <v>0.33851999999999999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153.06666666666663</v>
      </c>
      <c r="BN121" s="64">
        <f>IFERROR(Y121*I121/H121,"0")</f>
        <v>153.50399999999999</v>
      </c>
      <c r="BO121" s="64">
        <f>IFERROR(1/J121*(X121/H121),"0")</f>
        <v>0.28490028490028491</v>
      </c>
      <c r="BP121" s="64">
        <f>IFERROR(1/J121*(Y121/H121),"0")</f>
        <v>0.28571428571428575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118.88888888888889</v>
      </c>
      <c r="Y123" s="643">
        <f>IFERROR(Y119/H119,"0")+IFERROR(Y120/H120,"0")+IFERROR(Y121/H121,"0")+IFERROR(Y122/H122,"0")</f>
        <v>120</v>
      </c>
      <c r="Z123" s="643">
        <f>IFERROR(IF(Z119="",0,Z119),"0")+IFERROR(IF(Z120="",0,Z120),"0")+IFERROR(IF(Z121="",0,Z121),"0")+IFERROR(IF(Z122="",0,Z122),"0")</f>
        <v>1.6291599999999999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683</v>
      </c>
      <c r="Y124" s="643">
        <f>IFERROR(SUM(Y119:Y122),"0")</f>
        <v>691.19999999999993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hidden="1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0</v>
      </c>
      <c r="Y126" s="6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0</v>
      </c>
      <c r="Y127" s="643">
        <f>IFERROR(Y126/H126,"0")</f>
        <v>0</v>
      </c>
      <c r="Z127" s="643">
        <f>IFERROR(IF(Z126="",0,Z126),"0")</f>
        <v>0</v>
      </c>
      <c r="AA127" s="644"/>
      <c r="AB127" s="644"/>
      <c r="AC127" s="644"/>
    </row>
    <row r="128" spans="1:68" hidden="1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0</v>
      </c>
      <c r="Y128" s="643">
        <f>IFERROR(SUM(Y126:Y126),"0")</f>
        <v>0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25</v>
      </c>
      <c r="Y131" s="642">
        <f>IFERROR(IF(X131="",0,CEILING((X131/$H131),1)*$H131),"")</f>
        <v>25.6</v>
      </c>
      <c r="Z131" s="36">
        <f>IFERROR(IF(Y131=0,"",ROUNDUP(Y131/H131,0)*0.00651),"")</f>
        <v>5.2080000000000001E-2</v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26.40625</v>
      </c>
      <c r="BN131" s="64">
        <f>IFERROR(Y131*I131/H131,"0")</f>
        <v>27.04</v>
      </c>
      <c r="BO131" s="64">
        <f>IFERROR(1/J131*(X131/H131),"0")</f>
        <v>4.2925824175824176E-2</v>
      </c>
      <c r="BP131" s="64">
        <f>IFERROR(1/J131*(Y131/H131),"0")</f>
        <v>4.3956043956043959E-2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7.8125</v>
      </c>
      <c r="Y133" s="643">
        <f>IFERROR(Y131/H131,"0")+IFERROR(Y132/H132,"0")</f>
        <v>8</v>
      </c>
      <c r="Z133" s="643">
        <f>IFERROR(IF(Z131="",0,Z131),"0")+IFERROR(IF(Z132="",0,Z132),"0")</f>
        <v>5.2080000000000001E-2</v>
      </c>
      <c r="AA133" s="644"/>
      <c r="AB133" s="644"/>
      <c r="AC133" s="644"/>
    </row>
    <row r="134" spans="1:68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25</v>
      </c>
      <c r="Y134" s="643">
        <f>IFERROR(SUM(Y131:Y132),"0")</f>
        <v>25.6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44</v>
      </c>
      <c r="Y136" s="642">
        <f>IFERROR(IF(X136="",0,CEILING((X136/$H136),1)*$H136),"")</f>
        <v>44.8</v>
      </c>
      <c r="Z136" s="36">
        <f>IFERROR(IF(Y136=0,"",ROUNDUP(Y136/H136,0)*0.00651),"")</f>
        <v>0.10416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48.21142857142857</v>
      </c>
      <c r="BN136" s="64">
        <f>IFERROR(Y136*I136/H136,"0")</f>
        <v>49.087999999999994</v>
      </c>
      <c r="BO136" s="64">
        <f>IFERROR(1/J136*(X136/H136),"0")</f>
        <v>8.6342229199372067E-2</v>
      </c>
      <c r="BP136" s="64">
        <f>IFERROR(1/J136*(Y136/H136),"0")</f>
        <v>8.7912087912087919E-2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15.714285714285715</v>
      </c>
      <c r="Y138" s="643">
        <f>IFERROR(Y136/H136,"0")+IFERROR(Y137/H137,"0")</f>
        <v>16</v>
      </c>
      <c r="Z138" s="643">
        <f>IFERROR(IF(Z136="",0,Z136),"0")+IFERROR(IF(Z137="",0,Z137),"0")</f>
        <v>0.10416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44</v>
      </c>
      <c r="Y139" s="643">
        <f>IFERROR(SUM(Y136:Y137),"0")</f>
        <v>44.8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130</v>
      </c>
      <c r="Y161" s="642">
        <f>IFERROR(IF(X161="",0,CEILING((X161/$H161),1)*$H161),"")</f>
        <v>132</v>
      </c>
      <c r="Z161" s="36">
        <f>IFERROR(IF(Y161=0,"",ROUNDUP(Y161/H161,0)*0.01196),"")</f>
        <v>0.26312000000000002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137.58333333333334</v>
      </c>
      <c r="BN161" s="64">
        <f>IFERROR(Y161*I161/H161,"0")</f>
        <v>139.69999999999999</v>
      </c>
      <c r="BO161" s="64">
        <f>IFERROR(1/J161*(X161/H161),"0")</f>
        <v>0.20833333333333334</v>
      </c>
      <c r="BP161" s="64">
        <f>IFERROR(1/J161*(Y161/H161),"0")</f>
        <v>0.21153846153846156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21.666666666666668</v>
      </c>
      <c r="Y164" s="643">
        <f>IFERROR(Y161/H161,"0")+IFERROR(Y162/H162,"0")+IFERROR(Y163/H163,"0")</f>
        <v>22</v>
      </c>
      <c r="Z164" s="643">
        <f>IFERROR(IF(Z161="",0,Z161),"0")+IFERROR(IF(Z162="",0,Z162),"0")+IFERROR(IF(Z163="",0,Z163),"0")</f>
        <v>0.26312000000000002</v>
      </c>
      <c r="AA164" s="644"/>
      <c r="AB164" s="644"/>
      <c r="AC164" s="644"/>
    </row>
    <row r="165" spans="1:68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130</v>
      </c>
      <c r="Y165" s="643">
        <f>IFERROR(SUM(Y161:Y163),"0")</f>
        <v>132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150</v>
      </c>
      <c r="Y172" s="642">
        <f t="shared" ref="Y172:Y183" si="21">IFERROR(IF(X172="",0,CEILING((X172/$H172),1)*$H172),"")</f>
        <v>150.5</v>
      </c>
      <c r="Z172" s="36">
        <f>IFERROR(IF(Y172=0,"",ROUNDUP(Y172/H172,0)*0.00902),"")</f>
        <v>0.38785999999999998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158.14285714285714</v>
      </c>
      <c r="BN172" s="64">
        <f t="shared" ref="BN172:BN183" si="23">IFERROR(Y172*I172/H172,"0")</f>
        <v>158.67000000000002</v>
      </c>
      <c r="BO172" s="64">
        <f t="shared" ref="BO172:BO183" si="24">IFERROR(1/J172*(X172/H172),"0")</f>
        <v>0.32467532467532467</v>
      </c>
      <c r="BP172" s="64">
        <f t="shared" ref="BP172:BP183" si="25">IFERROR(1/J172*(Y172/H172),"0")</f>
        <v>0.32575757575757575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180</v>
      </c>
      <c r="Y174" s="642">
        <f t="shared" si="21"/>
        <v>182</v>
      </c>
      <c r="Z174" s="36">
        <f>IFERROR(IF(Y174=0,"",ROUNDUP(Y174/H174,0)*0.00902),"")</f>
        <v>0.46904000000000001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189.77142857142857</v>
      </c>
      <c r="BN174" s="64">
        <f t="shared" si="23"/>
        <v>191.88000000000002</v>
      </c>
      <c r="BO174" s="64">
        <f t="shared" si="24"/>
        <v>0.38961038961038963</v>
      </c>
      <c r="BP174" s="64">
        <f t="shared" si="25"/>
        <v>0.39393939393939392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150</v>
      </c>
      <c r="Y176" s="642">
        <f t="shared" si="21"/>
        <v>150.5</v>
      </c>
      <c r="Z176" s="36">
        <f>IFERROR(IF(Y176=0,"",ROUNDUP(Y176/H176,0)*0.00902),"")</f>
        <v>0.38785999999999998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158.14285714285714</v>
      </c>
      <c r="BN176" s="64">
        <f t="shared" si="23"/>
        <v>158.67000000000002</v>
      </c>
      <c r="BO176" s="64">
        <f t="shared" si="24"/>
        <v>0.32467532467532467</v>
      </c>
      <c r="BP176" s="64">
        <f t="shared" si="25"/>
        <v>0.32575757575757575</v>
      </c>
    </row>
    <row r="177" spans="1:68" ht="16.5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3</v>
      </c>
      <c r="Y177" s="642">
        <f t="shared" si="21"/>
        <v>3.6</v>
      </c>
      <c r="Z177" s="36">
        <f>IFERROR(IF(Y177=0,"",ROUNDUP(Y177/H177,0)*0.00417),"")</f>
        <v>1.668E-2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3.7</v>
      </c>
      <c r="BN177" s="64">
        <f t="shared" si="23"/>
        <v>4.4400000000000004</v>
      </c>
      <c r="BO177" s="64">
        <f t="shared" si="24"/>
        <v>9.9206349206349183E-3</v>
      </c>
      <c r="BP177" s="64">
        <f t="shared" si="25"/>
        <v>1.1904761904761904E-2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11</v>
      </c>
      <c r="Y180" s="642">
        <f t="shared" si="21"/>
        <v>11.700000000000001</v>
      </c>
      <c r="Z180" s="36">
        <f>IFERROR(IF(Y180=0,"",ROUNDUP(Y180/H180,0)*0.00417),"")</f>
        <v>5.4210000000000001E-2</v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13.566666666666666</v>
      </c>
      <c r="BN180" s="64">
        <f t="shared" si="23"/>
        <v>14.430000000000001</v>
      </c>
      <c r="BO180" s="64">
        <f t="shared" si="24"/>
        <v>3.6375661375661374E-2</v>
      </c>
      <c r="BP180" s="64">
        <f t="shared" si="25"/>
        <v>3.8690476190476192E-2</v>
      </c>
    </row>
    <row r="181" spans="1:68" ht="27" hidden="1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0</v>
      </c>
      <c r="Y181" s="642">
        <f t="shared" si="21"/>
        <v>0</v>
      </c>
      <c r="Z181" s="36" t="str">
        <f>IFERROR(IF(Y181=0,"",ROUNDUP(Y181/H181,0)*0.00502),"")</f>
        <v/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28</v>
      </c>
      <c r="Y183" s="642">
        <f t="shared" si="21"/>
        <v>28.56</v>
      </c>
      <c r="Z183" s="36">
        <f>IFERROR(IF(Y183=0,"",ROUNDUP(Y183/H183,0)*0.00502),"")</f>
        <v>8.5339999999999999E-2</v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29.666666666666671</v>
      </c>
      <c r="BN183" s="64">
        <f t="shared" si="23"/>
        <v>30.259999999999998</v>
      </c>
      <c r="BO183" s="64">
        <f t="shared" si="24"/>
        <v>7.122507122507124E-2</v>
      </c>
      <c r="BP183" s="64">
        <f t="shared" si="25"/>
        <v>7.2649572649572655E-2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169.36507936507937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172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1.40099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522</v>
      </c>
      <c r="Y185" s="643">
        <f>IFERROR(SUM(Y172:Y183),"0")</f>
        <v>526.86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20</v>
      </c>
      <c r="Y218" s="642">
        <f t="shared" ref="Y218:Y232" si="32">IFERROR(IF(X218="",0,CEILING((X218/$H218),1)*$H218),"")</f>
        <v>21</v>
      </c>
      <c r="Z218" s="36">
        <f>IFERROR(IF(Y218=0,"",ROUNDUP(Y218/H218,0)*0.00902),"")</f>
        <v>4.5100000000000001E-2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21.19047619047619</v>
      </c>
      <c r="BN218" s="64">
        <f t="shared" ref="BN218:BN232" si="34">IFERROR(Y218*I218/H218,"0")</f>
        <v>22.25</v>
      </c>
      <c r="BO218" s="64">
        <f t="shared" ref="BO218:BO232" si="35">IFERROR(1/J218*(X218/H218),"0")</f>
        <v>3.6075036075036072E-2</v>
      </c>
      <c r="BP218" s="64">
        <f t="shared" ref="BP218:BP232" si="36">IFERROR(1/J218*(Y218/H218),"0")</f>
        <v>3.787878787878788E-2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0</v>
      </c>
      <c r="Y220" s="642">
        <f t="shared" si="32"/>
        <v>0</v>
      </c>
      <c r="Z220" s="36" t="str">
        <f>IFERROR(IF(Y220=0,"",ROUNDUP(Y220/H220,0)*0.00902),"")</f>
        <v/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0</v>
      </c>
      <c r="BN220" s="64">
        <f t="shared" si="34"/>
        <v>0</v>
      </c>
      <c r="BO220" s="64">
        <f t="shared" si="35"/>
        <v>0</v>
      </c>
      <c r="BP220" s="64">
        <f t="shared" si="36"/>
        <v>0</v>
      </c>
    </row>
    <row r="221" spans="1:68" ht="37.5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12</v>
      </c>
      <c r="Y221" s="642">
        <f t="shared" si="32"/>
        <v>12</v>
      </c>
      <c r="Z221" s="36">
        <f>IFERROR(IF(Y221=0,"",ROUNDUP(Y221/H221,0)*0.00556),"")</f>
        <v>8.3400000000000002E-2</v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13.95</v>
      </c>
      <c r="BN221" s="64">
        <f t="shared" si="34"/>
        <v>13.95</v>
      </c>
      <c r="BO221" s="64">
        <f t="shared" si="35"/>
        <v>5.9523809523809521E-2</v>
      </c>
      <c r="BP221" s="64">
        <f t="shared" si="36"/>
        <v>5.9523809523809521E-2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0</v>
      </c>
      <c r="Y222" s="642">
        <f t="shared" si="32"/>
        <v>0</v>
      </c>
      <c r="Z222" s="36" t="str">
        <f t="shared" ref="Z222:Z227" si="37">IFERROR(IF(Y222=0,"",ROUNDUP(Y222/H222,0)*0.00502),"")</f>
        <v/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30</v>
      </c>
      <c r="Y227" s="642">
        <f t="shared" si="32"/>
        <v>30.6</v>
      </c>
      <c r="Z227" s="36">
        <f t="shared" si="37"/>
        <v>8.5339999999999999E-2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32.166666666666664</v>
      </c>
      <c r="BN227" s="64">
        <f t="shared" si="34"/>
        <v>32.81</v>
      </c>
      <c r="BO227" s="64">
        <f t="shared" si="35"/>
        <v>7.122507122507124E-2</v>
      </c>
      <c r="BP227" s="64">
        <f t="shared" si="36"/>
        <v>7.2649572649572655E-2</v>
      </c>
    </row>
    <row r="228" spans="1:68" ht="27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12</v>
      </c>
      <c r="Y228" s="642">
        <f t="shared" si="32"/>
        <v>12</v>
      </c>
      <c r="Z228" s="36">
        <f>IFERROR(IF(Y228=0,"",ROUNDUP(Y228/H228,0)*0.00417),"")</f>
        <v>6.2549999999999994E-2</v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15.15</v>
      </c>
      <c r="BN228" s="64">
        <f t="shared" si="34"/>
        <v>15.15</v>
      </c>
      <c r="BO228" s="64">
        <f t="shared" si="35"/>
        <v>4.4642857142857137E-2</v>
      </c>
      <c r="BP228" s="64">
        <f t="shared" si="36"/>
        <v>4.4642857142857137E-2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210</v>
      </c>
      <c r="Y229" s="642">
        <f t="shared" si="32"/>
        <v>210</v>
      </c>
      <c r="Z229" s="36">
        <f>IFERROR(IF(Y229=0,"",ROUNDUP(Y229/H229,0)*0.00502),"")</f>
        <v>0.502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220.00000000000003</v>
      </c>
      <c r="BN229" s="64">
        <f t="shared" si="34"/>
        <v>220.00000000000003</v>
      </c>
      <c r="BO229" s="64">
        <f t="shared" si="35"/>
        <v>0.42735042735042739</v>
      </c>
      <c r="BP229" s="64">
        <f t="shared" si="36"/>
        <v>0.42735042735042739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151.42857142857144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152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0.77839000000000003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284</v>
      </c>
      <c r="Y234" s="643">
        <f>IFERROR(SUM(Y218:Y232),"0")</f>
        <v>285.60000000000002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0</v>
      </c>
      <c r="Y251" s="643">
        <f>IFERROR(Y248/H248,"0")+IFERROR(Y249/H249,"0")+IFERROR(Y250/H250,"0")</f>
        <v>0</v>
      </c>
      <c r="Z251" s="643">
        <f>IFERROR(IF(Z248="",0,Z248),"0")+IFERROR(IF(Z249="",0,Z249),"0")+IFERROR(IF(Z250="",0,Z250),"0")</f>
        <v>0</v>
      </c>
      <c r="AA251" s="644"/>
      <c r="AB251" s="644"/>
      <c r="AC251" s="644"/>
    </row>
    <row r="252" spans="1:68" hidden="1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0</v>
      </c>
      <c r="Y252" s="643">
        <f>IFERROR(SUM(Y248:Y250),"0")</f>
        <v>0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5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5.753968253968254</v>
      </c>
      <c r="BN254" s="64">
        <f>IFERROR(Y254*I254/H254,"0")</f>
        <v>5.8</v>
      </c>
      <c r="BO254" s="64">
        <f>IFERROR(1/J254*(X254/H254),"0")</f>
        <v>1.8371546149323927E-2</v>
      </c>
      <c r="BP254" s="64">
        <f>IFERROR(1/J254*(Y254/H254),"0")</f>
        <v>1.8518518518518517E-2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3.9682539682539684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5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50</v>
      </c>
      <c r="Y269" s="642">
        <f t="shared" ref="Y269:Y276" si="43">IFERROR(IF(X269="",0,CEILING((X269/$H269),1)*$H269),"")</f>
        <v>54</v>
      </c>
      <c r="Z269" s="36">
        <f>IFERROR(IF(Y269=0,"",ROUNDUP(Y269/H269,0)*0.00902),"")</f>
        <v>9.0200000000000002E-2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51.759259259259252</v>
      </c>
      <c r="BN269" s="64">
        <f t="shared" ref="BN269:BN276" si="45">IFERROR(Y269*I269/H269,"0")</f>
        <v>55.9</v>
      </c>
      <c r="BO269" s="64">
        <f t="shared" ref="BO269:BO276" si="46">IFERROR(1/J269*(X269/H269),"0")</f>
        <v>7.0145903479236812E-2</v>
      </c>
      <c r="BP269" s="64">
        <f t="shared" ref="BP269:BP276" si="47">IFERROR(1/J269*(Y269/H269),"0")</f>
        <v>7.575757575757576E-2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150</v>
      </c>
      <c r="Y270" s="642">
        <f t="shared" si="43"/>
        <v>151.20000000000002</v>
      </c>
      <c r="Z270" s="36">
        <f>IFERROR(IF(Y270=0,"",ROUNDUP(Y270/H270,0)*0.00902),"")</f>
        <v>0.25256000000000001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155.27777777777777</v>
      </c>
      <c r="BN270" s="64">
        <f t="shared" si="45"/>
        <v>156.52000000000001</v>
      </c>
      <c r="BO270" s="64">
        <f t="shared" si="46"/>
        <v>0.21043771043771042</v>
      </c>
      <c r="BP270" s="64">
        <f t="shared" si="47"/>
        <v>0.21212121212121213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300</v>
      </c>
      <c r="Y271" s="642">
        <f t="shared" si="43"/>
        <v>302.40000000000003</v>
      </c>
      <c r="Z271" s="36">
        <f>IFERROR(IF(Y271=0,"",ROUNDUP(Y271/H271,0)*0.00902),"")</f>
        <v>0.50512000000000001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310.55555555555554</v>
      </c>
      <c r="BN271" s="64">
        <f t="shared" si="45"/>
        <v>313.04000000000002</v>
      </c>
      <c r="BO271" s="64">
        <f t="shared" si="46"/>
        <v>0.42087542087542085</v>
      </c>
      <c r="BP271" s="64">
        <f t="shared" si="47"/>
        <v>0.42424242424242425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150</v>
      </c>
      <c r="Y272" s="642">
        <f t="shared" si="43"/>
        <v>151.20000000000002</v>
      </c>
      <c r="Z272" s="36">
        <f>IFERROR(IF(Y272=0,"",ROUNDUP(Y272/H272,0)*0.00902),"")</f>
        <v>0.25256000000000001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155.27777777777777</v>
      </c>
      <c r="BN272" s="64">
        <f t="shared" si="45"/>
        <v>156.52000000000001</v>
      </c>
      <c r="BO272" s="64">
        <f t="shared" si="46"/>
        <v>0.21043771043771042</v>
      </c>
      <c r="BP272" s="64">
        <f t="shared" si="47"/>
        <v>0.21212121212121213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30</v>
      </c>
      <c r="Y273" s="642">
        <f t="shared" si="43"/>
        <v>30.6</v>
      </c>
      <c r="Z273" s="36">
        <f>IFERROR(IF(Y273=0,"",ROUNDUP(Y273/H273,0)*0.00502),"")</f>
        <v>8.5339999999999999E-2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32.166666666666664</v>
      </c>
      <c r="BN273" s="64">
        <f t="shared" si="45"/>
        <v>32.81</v>
      </c>
      <c r="BO273" s="64">
        <f t="shared" si="46"/>
        <v>7.122507122507124E-2</v>
      </c>
      <c r="BP273" s="64">
        <f t="shared" si="47"/>
        <v>7.2649572649572655E-2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12</v>
      </c>
      <c r="Y274" s="642">
        <f t="shared" si="43"/>
        <v>12.6</v>
      </c>
      <c r="Z274" s="36">
        <f>IFERROR(IF(Y274=0,"",ROUNDUP(Y274/H274,0)*0.00502),"")</f>
        <v>3.5140000000000005E-2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12.666666666666664</v>
      </c>
      <c r="BN274" s="64">
        <f t="shared" si="45"/>
        <v>13.299999999999999</v>
      </c>
      <c r="BO274" s="64">
        <f t="shared" si="46"/>
        <v>2.8490028490028491E-2</v>
      </c>
      <c r="BP274" s="64">
        <f t="shared" si="47"/>
        <v>2.9914529914529919E-2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12</v>
      </c>
      <c r="Y276" s="642">
        <f t="shared" si="43"/>
        <v>12.6</v>
      </c>
      <c r="Z276" s="36">
        <f>IFERROR(IF(Y276=0,"",ROUNDUP(Y276/H276,0)*0.00502),"")</f>
        <v>3.5140000000000005E-2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12.666666666666664</v>
      </c>
      <c r="BN276" s="64">
        <f t="shared" si="45"/>
        <v>13.299999999999999</v>
      </c>
      <c r="BO276" s="64">
        <f t="shared" si="46"/>
        <v>2.8490028490028491E-2</v>
      </c>
      <c r="BP276" s="64">
        <f t="shared" si="47"/>
        <v>2.9914529914529919E-2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150.37037037037032</v>
      </c>
      <c r="Y277" s="643">
        <f>IFERROR(Y269/H269,"0")+IFERROR(Y270/H270,"0")+IFERROR(Y271/H271,"0")+IFERROR(Y272/H272,"0")+IFERROR(Y273/H273,"0")+IFERROR(Y274/H274,"0")+IFERROR(Y275/H275,"0")+IFERROR(Y276/H276,"0")</f>
        <v>153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1.2560599999999997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704</v>
      </c>
      <c r="Y278" s="643">
        <f>IFERROR(SUM(Y269:Y276),"0")</f>
        <v>714.60000000000014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400</v>
      </c>
      <c r="Y280" s="642">
        <f t="shared" ref="Y280:Y291" si="48">IFERROR(IF(X280="",0,CEILING((X280/$H280),1)*$H280),"")</f>
        <v>405</v>
      </c>
      <c r="Z280" s="36">
        <f>IFERROR(IF(Y280=0,"",ROUNDUP(Y280/H280,0)*0.01898),"")</f>
        <v>0.94900000000000007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424.39506172839509</v>
      </c>
      <c r="BN280" s="64">
        <f t="shared" ref="BN280:BN291" si="50">IFERROR(Y280*I280/H280,"0")</f>
        <v>429.7</v>
      </c>
      <c r="BO280" s="64">
        <f t="shared" ref="BO280:BO291" si="51">IFERROR(1/J280*(X280/H280),"0")</f>
        <v>0.77160493827160492</v>
      </c>
      <c r="BP280" s="64">
        <f t="shared" ref="BP280:BP291" si="52">IFERROR(1/J280*(Y280/H280),"0")</f>
        <v>0.78125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250</v>
      </c>
      <c r="Y281" s="642">
        <f t="shared" si="48"/>
        <v>251.1</v>
      </c>
      <c r="Z281" s="36">
        <f>IFERROR(IF(Y281=0,"",ROUNDUP(Y281/H281,0)*0.01898),"")</f>
        <v>0.58838000000000001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264.6913580246914</v>
      </c>
      <c r="BN281" s="64">
        <f t="shared" si="50"/>
        <v>265.85600000000005</v>
      </c>
      <c r="BO281" s="64">
        <f t="shared" si="51"/>
        <v>0.48225308641975312</v>
      </c>
      <c r="BP281" s="64">
        <f t="shared" si="52"/>
        <v>0.484375</v>
      </c>
    </row>
    <row r="282" spans="1:68" ht="27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20</v>
      </c>
      <c r="Y282" s="642">
        <f t="shared" si="48"/>
        <v>26.099999999999998</v>
      </c>
      <c r="Z282" s="36">
        <f>IFERROR(IF(Y282=0,"",ROUNDUP(Y282/H282,0)*0.01898),"")</f>
        <v>5.6940000000000004E-2</v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21.135632183908051</v>
      </c>
      <c r="BN282" s="64">
        <f t="shared" si="50"/>
        <v>27.582000000000004</v>
      </c>
      <c r="BO282" s="64">
        <f t="shared" si="51"/>
        <v>3.5919540229885062E-2</v>
      </c>
      <c r="BP282" s="64">
        <f t="shared" si="52"/>
        <v>4.6875E-2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260</v>
      </c>
      <c r="Y283" s="642">
        <f t="shared" si="48"/>
        <v>261.59999999999997</v>
      </c>
      <c r="Z283" s="36">
        <f>IFERROR(IF(Y283=0,"",ROUNDUP(Y283/H283,0)*0.00651),"")</f>
        <v>0.70959000000000005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289.25</v>
      </c>
      <c r="BN283" s="64">
        <f t="shared" si="50"/>
        <v>291.02999999999997</v>
      </c>
      <c r="BO283" s="64">
        <f t="shared" si="51"/>
        <v>0.59523809523809534</v>
      </c>
      <c r="BP283" s="64">
        <f t="shared" si="52"/>
        <v>0.59890109890109888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720</v>
      </c>
      <c r="Y286" s="642">
        <f t="shared" si="48"/>
        <v>720</v>
      </c>
      <c r="Z286" s="36">
        <f>IFERROR(IF(Y286=0,"",ROUNDUP(Y286/H286,0)*0.00651),"")</f>
        <v>1.9530000000000001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795.6</v>
      </c>
      <c r="BN286" s="64">
        <f t="shared" si="50"/>
        <v>795.6</v>
      </c>
      <c r="BO286" s="64">
        <f t="shared" si="51"/>
        <v>1.6483516483516485</v>
      </c>
      <c r="BP286" s="64">
        <f t="shared" si="52"/>
        <v>1.6483516483516485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221</v>
      </c>
      <c r="Y288" s="642">
        <f t="shared" si="48"/>
        <v>223.2</v>
      </c>
      <c r="Z288" s="36">
        <f>IFERROR(IF(Y288=0,"",ROUNDUP(Y288/H288,0)*0.00651),"")</f>
        <v>0.60543000000000002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244.20500000000001</v>
      </c>
      <c r="BN288" s="64">
        <f t="shared" si="50"/>
        <v>246.636</v>
      </c>
      <c r="BO288" s="64">
        <f t="shared" si="51"/>
        <v>0.50595238095238104</v>
      </c>
      <c r="BP288" s="64">
        <f t="shared" si="52"/>
        <v>0.51098901098901106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160</v>
      </c>
      <c r="Y289" s="642">
        <f t="shared" si="48"/>
        <v>160.79999999999998</v>
      </c>
      <c r="Z289" s="36">
        <f>IFERROR(IF(Y289=0,"",ROUNDUP(Y289/H289,0)*0.00651),"")</f>
        <v>0.43617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176.80000000000004</v>
      </c>
      <c r="BN289" s="64">
        <f t="shared" si="50"/>
        <v>177.684</v>
      </c>
      <c r="BO289" s="64">
        <f t="shared" si="51"/>
        <v>0.36630036630036633</v>
      </c>
      <c r="BP289" s="64">
        <f t="shared" si="52"/>
        <v>0.36813186813186816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70</v>
      </c>
      <c r="Y290" s="642">
        <f t="shared" si="48"/>
        <v>72</v>
      </c>
      <c r="Z290" s="36">
        <f>IFERROR(IF(Y290=0,"",ROUNDUP(Y290/H290,0)*0.00651),"")</f>
        <v>0.1953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77.525000000000006</v>
      </c>
      <c r="BN290" s="64">
        <f t="shared" si="50"/>
        <v>79.740000000000009</v>
      </c>
      <c r="BO290" s="64">
        <f t="shared" si="51"/>
        <v>0.16025641025641027</v>
      </c>
      <c r="BP290" s="64">
        <f t="shared" si="52"/>
        <v>0.16483516483516486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678.79576415495956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683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5.4938099999999999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2101</v>
      </c>
      <c r="Y293" s="643">
        <f>IFERROR(SUM(Y280:Y291),"0")</f>
        <v>2119.8000000000002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20</v>
      </c>
      <c r="Y296" s="642">
        <f>IFERROR(IF(X296="",0,CEILING((X296/$H296),1)*$H296),"")</f>
        <v>21.599999999999998</v>
      </c>
      <c r="Z296" s="36">
        <f>IFERROR(IF(Y296=0,"",ROUNDUP(Y296/H296,0)*0.00651),"")</f>
        <v>5.8590000000000003E-2</v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22.100000000000005</v>
      </c>
      <c r="BN296" s="64">
        <f>IFERROR(Y296*I296/H296,"0")</f>
        <v>23.868000000000002</v>
      </c>
      <c r="BO296" s="64">
        <f>IFERROR(1/J296*(X296/H296),"0")</f>
        <v>4.5787545787545791E-2</v>
      </c>
      <c r="BP296" s="64">
        <f>IFERROR(1/J296*(Y296/H296),"0")</f>
        <v>4.9450549450549455E-2</v>
      </c>
    </row>
    <row r="297" spans="1:68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8.3333333333333339</v>
      </c>
      <c r="Y297" s="643">
        <f>IFERROR(Y295/H295,"0")+IFERROR(Y296/H296,"0")</f>
        <v>9</v>
      </c>
      <c r="Z297" s="643">
        <f>IFERROR(IF(Z295="",0,Z295),"0")+IFERROR(IF(Z296="",0,Z296),"0")</f>
        <v>5.8590000000000003E-2</v>
      </c>
      <c r="AA297" s="644"/>
      <c r="AB297" s="644"/>
      <c r="AC297" s="644"/>
    </row>
    <row r="298" spans="1:68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20</v>
      </c>
      <c r="Y298" s="643">
        <f>IFERROR(SUM(Y295:Y296),"0")</f>
        <v>21.599999999999998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6</v>
      </c>
      <c r="Y307" s="642">
        <f t="shared" si="53"/>
        <v>8</v>
      </c>
      <c r="Z307" s="36">
        <f>IFERROR(IF(Y307=0,"",ROUNDUP(Y307/H307,0)*0.00902),"")</f>
        <v>1.804E-2</v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6.2850000000000001</v>
      </c>
      <c r="BN307" s="64">
        <f t="shared" si="55"/>
        <v>8.3800000000000008</v>
      </c>
      <c r="BO307" s="64">
        <f t="shared" si="56"/>
        <v>1.1363636363636364E-2</v>
      </c>
      <c r="BP307" s="64">
        <f t="shared" si="57"/>
        <v>1.5151515151515152E-2</v>
      </c>
    </row>
    <row r="308" spans="1:68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1.804E-2</v>
      </c>
      <c r="AA308" s="644"/>
      <c r="AB308" s="644"/>
      <c r="AC308" s="644"/>
    </row>
    <row r="309" spans="1:68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6</v>
      </c>
      <c r="Y309" s="643">
        <f>IFERROR(SUM(Y301:Y307),"0")</f>
        <v>8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5</v>
      </c>
      <c r="Y315" s="642">
        <f>IFERROR(IF(X315="",0,CEILING((X315/$H315),1)*$H315),"")</f>
        <v>5.4</v>
      </c>
      <c r="Z315" s="36">
        <f>IFERROR(IF(Y315=0,"",ROUNDUP(Y315/H315,0)*0.0059),"")</f>
        <v>1.77E-2</v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5.4861111111111107</v>
      </c>
      <c r="BN315" s="64">
        <f>IFERROR(Y315*I315/H315,"0")</f>
        <v>5.9250000000000007</v>
      </c>
      <c r="BO315" s="64">
        <f>IFERROR(1/J315*(X315/H315),"0")</f>
        <v>1.2860082304526748E-2</v>
      </c>
      <c r="BP315" s="64">
        <f>IFERROR(1/J315*(Y315/H315),"0")</f>
        <v>1.3888888888888888E-2</v>
      </c>
    </row>
    <row r="316" spans="1:68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2.7777777777777777</v>
      </c>
      <c r="Y316" s="643">
        <f>IFERROR(Y315/H315,"0")</f>
        <v>3</v>
      </c>
      <c r="Z316" s="643">
        <f>IFERROR(IF(Z315="",0,Z315),"0")</f>
        <v>1.77E-2</v>
      </c>
      <c r="AA316" s="644"/>
      <c r="AB316" s="644"/>
      <c r="AC316" s="644"/>
    </row>
    <row r="317" spans="1:68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5</v>
      </c>
      <c r="Y317" s="643">
        <f>IFERROR(SUM(Y315:Y315),"0")</f>
        <v>5.4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100</v>
      </c>
      <c r="Y336" s="642">
        <f>IFERROR(IF(X336="",0,CEILING((X336/$H336),1)*$H336),"")</f>
        <v>100.8</v>
      </c>
      <c r="Z336" s="36">
        <f>IFERROR(IF(Y336=0,"",ROUNDUP(Y336/H336,0)*0.00651),"")</f>
        <v>0.27342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110.5</v>
      </c>
      <c r="BN336" s="64">
        <f>IFERROR(Y336*I336/H336,"0")</f>
        <v>111.384</v>
      </c>
      <c r="BO336" s="64">
        <f>IFERROR(1/J336*(X336/H336),"0")</f>
        <v>0.22893772893772898</v>
      </c>
      <c r="BP336" s="64">
        <f>IFERROR(1/J336*(Y336/H336),"0")</f>
        <v>0.23076923076923078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40</v>
      </c>
      <c r="Y337" s="642">
        <f>IFERROR(IF(X337="",0,CEILING((X337/$H337),1)*$H337),"")</f>
        <v>40.799999999999997</v>
      </c>
      <c r="Z337" s="36">
        <f>IFERROR(IF(Y337=0,"",ROUNDUP(Y337/H337,0)*0.00651),"")</f>
        <v>0.11067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43</v>
      </c>
      <c r="BN337" s="64">
        <f>IFERROR(Y337*I337/H337,"0")</f>
        <v>43.86</v>
      </c>
      <c r="BO337" s="64">
        <f>IFERROR(1/J337*(X337/H337),"0")</f>
        <v>9.1575091575091583E-2</v>
      </c>
      <c r="BP337" s="64">
        <f>IFERROR(1/J337*(Y337/H337),"0")</f>
        <v>9.3406593406593408E-2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58.333333333333343</v>
      </c>
      <c r="Y338" s="643">
        <f>IFERROR(Y335/H335,"0")+IFERROR(Y336/H336,"0")+IFERROR(Y337/H337,"0")</f>
        <v>59</v>
      </c>
      <c r="Z338" s="643">
        <f>IFERROR(IF(Z335="",0,Z335),"0")+IFERROR(IF(Z336="",0,Z336),"0")+IFERROR(IF(Z337="",0,Z337),"0")</f>
        <v>0.38408999999999999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140</v>
      </c>
      <c r="Y339" s="643">
        <f>IFERROR(SUM(Y335:Y337),"0")</f>
        <v>141.6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136</v>
      </c>
      <c r="Y356" s="642">
        <f>IFERROR(IF(X356="",0,CEILING((X356/$H356),1)*$H356),"")</f>
        <v>140.4</v>
      </c>
      <c r="Z356" s="36">
        <f>IFERROR(IF(Y356=0,"",ROUNDUP(Y356/H356,0)*0.01898),"")</f>
        <v>0.34164</v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143.14871794871797</v>
      </c>
      <c r="BN356" s="64">
        <f>IFERROR(Y356*I356/H356,"0")</f>
        <v>147.78000000000003</v>
      </c>
      <c r="BO356" s="64">
        <f>IFERROR(1/J356*(X356/H356),"0")</f>
        <v>0.27243589743589747</v>
      </c>
      <c r="BP356" s="64">
        <f>IFERROR(1/J356*(Y356/H356),"0")</f>
        <v>0.28125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175</v>
      </c>
      <c r="Y357" s="642">
        <f>IFERROR(IF(X357="",0,CEILING((X357/$H357),1)*$H357),"")</f>
        <v>179.4</v>
      </c>
      <c r="Z357" s="36">
        <f>IFERROR(IF(Y357=0,"",ROUNDUP(Y357/H357,0)*0.01898),"")</f>
        <v>0.43653999999999998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184.19871794871798</v>
      </c>
      <c r="BN357" s="64">
        <f>IFERROR(Y357*I357/H357,"0")</f>
        <v>188.83000000000004</v>
      </c>
      <c r="BO357" s="64">
        <f>IFERROR(1/J357*(X357/H357),"0")</f>
        <v>0.35056089743589747</v>
      </c>
      <c r="BP357" s="64">
        <f>IFERROR(1/J357*(Y357/H357),"0")</f>
        <v>0.359375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109</v>
      </c>
      <c r="Y358" s="642">
        <f>IFERROR(IF(X358="",0,CEILING((X358/$H358),1)*$H358),"")</f>
        <v>109.2</v>
      </c>
      <c r="Z358" s="36">
        <f>IFERROR(IF(Y358=0,"",ROUNDUP(Y358/H358,0)*0.01898),"")</f>
        <v>0.26572000000000001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114.72948717948719</v>
      </c>
      <c r="BN358" s="64">
        <f>IFERROR(Y358*I358/H358,"0")</f>
        <v>114.94000000000003</v>
      </c>
      <c r="BO358" s="64">
        <f>IFERROR(1/J358*(X358/H358),"0")</f>
        <v>0.21834935897435898</v>
      </c>
      <c r="BP358" s="64">
        <f>IFERROR(1/J358*(Y358/H358),"0")</f>
        <v>0.21875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53.846153846153854</v>
      </c>
      <c r="Y359" s="643">
        <f>IFERROR(Y356/H356,"0")+IFERROR(Y357/H357,"0")+IFERROR(Y358/H358,"0")</f>
        <v>55</v>
      </c>
      <c r="Z359" s="643">
        <f>IFERROR(IF(Z356="",0,Z356),"0")+IFERROR(IF(Z357="",0,Z357),"0")+IFERROR(IF(Z358="",0,Z358),"0")</f>
        <v>1.0439000000000001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420</v>
      </c>
      <c r="Y360" s="643">
        <f>IFERROR(SUM(Y356:Y358),"0")</f>
        <v>429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hidden="1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0</v>
      </c>
      <c r="Y366" s="642">
        <f t="shared" si="58"/>
        <v>0</v>
      </c>
      <c r="Z366" s="36" t="str">
        <f>IFERROR(IF(Y366=0,"",ROUNDUP(Y366/H366,0)*0.01898),"")</f>
        <v/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0</v>
      </c>
      <c r="BN366" s="64">
        <f t="shared" si="60"/>
        <v>0</v>
      </c>
      <c r="BO366" s="64">
        <f t="shared" si="61"/>
        <v>0</v>
      </c>
      <c r="BP366" s="64">
        <f t="shared" si="62"/>
        <v>0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hidden="1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0</v>
      </c>
      <c r="Y369" s="643">
        <f>IFERROR(Y363/H363,"0")+IFERROR(Y364/H364,"0")+IFERROR(Y365/H365,"0")+IFERROR(Y366/H366,"0")+IFERROR(Y367/H367,"0")+IFERROR(Y368/H368,"0")</f>
        <v>0</v>
      </c>
      <c r="Z369" s="643">
        <f>IFERROR(IF(Z363="",0,Z363),"0")+IFERROR(IF(Z364="",0,Z364),"0")+IFERROR(IF(Z365="",0,Z365),"0")+IFERROR(IF(Z366="",0,Z366),"0")+IFERROR(IF(Z367="",0,Z367),"0")+IFERROR(IF(Z368="",0,Z368),"0")</f>
        <v>0</v>
      </c>
      <c r="AA369" s="644"/>
      <c r="AB369" s="644"/>
      <c r="AC369" s="644"/>
    </row>
    <row r="370" spans="1:68" hidden="1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0</v>
      </c>
      <c r="Y370" s="643">
        <f>IFERROR(SUM(Y363:Y368),"0")</f>
        <v>0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120</v>
      </c>
      <c r="Y373" s="642">
        <f t="shared" si="63"/>
        <v>121.80000000000001</v>
      </c>
      <c r="Z373" s="36">
        <f>IFERROR(IF(Y373=0,"",ROUNDUP(Y373/H373,0)*0.00902),"")</f>
        <v>0.26158000000000003</v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127.14285714285714</v>
      </c>
      <c r="BN373" s="64">
        <f t="shared" si="65"/>
        <v>129.05000000000001</v>
      </c>
      <c r="BO373" s="64">
        <f t="shared" si="66"/>
        <v>0.21645021645021645</v>
      </c>
      <c r="BP373" s="64">
        <f t="shared" si="67"/>
        <v>0.2196969696969697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30</v>
      </c>
      <c r="Y378" s="642">
        <f t="shared" si="63"/>
        <v>30.6</v>
      </c>
      <c r="Z378" s="36">
        <f>IFERROR(IF(Y378=0,"",ROUNDUP(Y378/H378,0)*0.00651),"")</f>
        <v>0.11067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33.800000000000004</v>
      </c>
      <c r="BN378" s="64">
        <f t="shared" si="65"/>
        <v>34.475999999999999</v>
      </c>
      <c r="BO378" s="64">
        <f t="shared" si="66"/>
        <v>9.1575091575091583E-2</v>
      </c>
      <c r="BP378" s="64">
        <f t="shared" si="67"/>
        <v>9.3406593406593408E-2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45.238095238095241</v>
      </c>
      <c r="Y379" s="643">
        <f>IFERROR(Y372/H372,"0")+IFERROR(Y373/H373,"0")+IFERROR(Y374/H374,"0")+IFERROR(Y375/H375,"0")+IFERROR(Y376/H376,"0")+IFERROR(Y377/H377,"0")+IFERROR(Y378/H378,"0")</f>
        <v>46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0.37225000000000003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150</v>
      </c>
      <c r="Y380" s="643">
        <f>IFERROR(SUM(Y372:Y378),"0")</f>
        <v>152.4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100</v>
      </c>
      <c r="Y389" s="642">
        <f>IFERROR(IF(X389="",0,CEILING((X389/$H389),1)*$H389),"")</f>
        <v>100.80000000000001</v>
      </c>
      <c r="Z389" s="36">
        <f>IFERROR(IF(Y389=0,"",ROUNDUP(Y389/H389,0)*0.01898),"")</f>
        <v>0.22776000000000002</v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105.88095238095238</v>
      </c>
      <c r="BN389" s="64">
        <f>IFERROR(Y389*I389/H389,"0")</f>
        <v>106.72800000000001</v>
      </c>
      <c r="BO389" s="64">
        <f>IFERROR(1/J389*(X389/H389),"0")</f>
        <v>0.18601190476190477</v>
      </c>
      <c r="BP389" s="64">
        <f>IFERROR(1/J389*(Y389/H389),"0")</f>
        <v>0.1875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682</v>
      </c>
      <c r="Y390" s="642">
        <f>IFERROR(IF(X390="",0,CEILING((X390/$H390),1)*$H390),"")</f>
        <v>686.4</v>
      </c>
      <c r="Z390" s="36">
        <f>IFERROR(IF(Y390=0,"",ROUNDUP(Y390/H390,0)*0.01898),"")</f>
        <v>1.6702399999999999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725.1933333333335</v>
      </c>
      <c r="BN390" s="64">
        <f>IFERROR(Y390*I390/H390,"0")</f>
        <v>729.87200000000007</v>
      </c>
      <c r="BO390" s="64">
        <f>IFERROR(1/J390*(X390/H390),"0")</f>
        <v>1.3661858974358974</v>
      </c>
      <c r="BP390" s="64">
        <f>IFERROR(1/J390*(Y390/H390),"0")</f>
        <v>1.375</v>
      </c>
    </row>
    <row r="391" spans="1:68" ht="27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106</v>
      </c>
      <c r="Y391" s="642">
        <f>IFERROR(IF(X391="",0,CEILING((X391/$H391),1)*$H391),"")</f>
        <v>109.2</v>
      </c>
      <c r="Z391" s="36">
        <f>IFERROR(IF(Y391=0,"",ROUNDUP(Y391/H391,0)*0.01898),"")</f>
        <v>0.24674000000000001</v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112.23380952380953</v>
      </c>
      <c r="BN391" s="64">
        <f>IFERROR(Y391*I391/H391,"0")</f>
        <v>115.622</v>
      </c>
      <c r="BO391" s="64">
        <f>IFERROR(1/J391*(X391/H391),"0")</f>
        <v>0.19717261904761904</v>
      </c>
      <c r="BP391" s="64">
        <f>IFERROR(1/J391*(Y391/H391),"0")</f>
        <v>0.203125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111.95970695970695</v>
      </c>
      <c r="Y392" s="643">
        <f>IFERROR(Y389/H389,"0")+IFERROR(Y390/H390,"0")+IFERROR(Y391/H391,"0")</f>
        <v>113</v>
      </c>
      <c r="Z392" s="643">
        <f>IFERROR(IF(Z389="",0,Z389),"0")+IFERROR(IF(Z390="",0,Z390),"0")+IFERROR(IF(Z391="",0,Z391),"0")</f>
        <v>2.1447400000000001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888</v>
      </c>
      <c r="Y393" s="643">
        <f>IFERROR(SUM(Y389:Y391),"0")</f>
        <v>896.40000000000009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16</v>
      </c>
      <c r="Y397" s="642">
        <f>IFERROR(IF(X397="",0,CEILING((X397/$H397),1)*$H397),"")</f>
        <v>17.849999999999998</v>
      </c>
      <c r="Z397" s="36">
        <f>IFERROR(IF(Y397=0,"",ROUNDUP(Y397/H397,0)*0.00651),"")</f>
        <v>4.5569999999999999E-2</v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18.541176470588237</v>
      </c>
      <c r="BN397" s="64">
        <f>IFERROR(Y397*I397/H397,"0")</f>
        <v>20.684999999999999</v>
      </c>
      <c r="BO397" s="64">
        <f>IFERROR(1/J397*(X397/H397),"0")</f>
        <v>3.4475328592975661E-2</v>
      </c>
      <c r="BP397" s="64">
        <f>IFERROR(1/J397*(Y397/H397),"0")</f>
        <v>3.8461538461538464E-2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10</v>
      </c>
      <c r="Y398" s="642">
        <f>IFERROR(IF(X398="",0,CEILING((X398/$H398),1)*$H398),"")</f>
        <v>10.199999999999999</v>
      </c>
      <c r="Z398" s="36">
        <f>IFERROR(IF(Y398=0,"",ROUNDUP(Y398/H398,0)*0.00651),"")</f>
        <v>2.6040000000000001E-2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11.294117647058822</v>
      </c>
      <c r="BN398" s="64">
        <f>IFERROR(Y398*I398/H398,"0")</f>
        <v>11.52</v>
      </c>
      <c r="BO398" s="64">
        <f>IFERROR(1/J398*(X398/H398),"0")</f>
        <v>2.1547080370609786E-2</v>
      </c>
      <c r="BP398" s="64">
        <f>IFERROR(1/J398*(Y398/H398),"0")</f>
        <v>2.197802197802198E-2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10.19607843137255</v>
      </c>
      <c r="Y399" s="643">
        <f>IFERROR(Y395/H395,"0")+IFERROR(Y396/H396,"0")+IFERROR(Y397/H397,"0")+IFERROR(Y398/H398,"0")</f>
        <v>11</v>
      </c>
      <c r="Z399" s="643">
        <f>IFERROR(IF(Z395="",0,Z395),"0")+IFERROR(IF(Z396="",0,Z396),"0")+IFERROR(IF(Z397="",0,Z397),"0")+IFERROR(IF(Z398="",0,Z398),"0")</f>
        <v>7.1610000000000007E-2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26</v>
      </c>
      <c r="Y400" s="643">
        <f>IFERROR(SUM(Y395:Y398),"0")</f>
        <v>28.049999999999997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16</v>
      </c>
      <c r="Y402" s="642">
        <f>IFERROR(IF(X402="",0,CEILING((X402/$H402),1)*$H402),"")</f>
        <v>16</v>
      </c>
      <c r="Z402" s="36">
        <f>IFERROR(IF(Y402=0,"",ROUNDUP(Y402/H402,0)*0.00474),"")</f>
        <v>3.7920000000000002E-2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17.920000000000002</v>
      </c>
      <c r="BN402" s="64">
        <f>IFERROR(Y402*I402/H402,"0")</f>
        <v>17.920000000000002</v>
      </c>
      <c r="BO402" s="64">
        <f>IFERROR(1/J402*(X402/H402),"0")</f>
        <v>3.3613445378151259E-2</v>
      </c>
      <c r="BP402" s="64">
        <f>IFERROR(1/J402*(Y402/H402),"0")</f>
        <v>3.3613445378151259E-2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15</v>
      </c>
      <c r="Y403" s="642">
        <f>IFERROR(IF(X403="",0,CEILING((X403/$H403),1)*$H403),"")</f>
        <v>16</v>
      </c>
      <c r="Z403" s="36">
        <f>IFERROR(IF(Y403=0,"",ROUNDUP(Y403/H403,0)*0.00474),"")</f>
        <v>3.7920000000000002E-2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16.8</v>
      </c>
      <c r="BN403" s="64">
        <f>IFERROR(Y403*I403/H403,"0")</f>
        <v>17.920000000000002</v>
      </c>
      <c r="BO403" s="64">
        <f>IFERROR(1/J403*(X403/H403),"0")</f>
        <v>3.1512605042016806E-2</v>
      </c>
      <c r="BP403" s="64">
        <f>IFERROR(1/J403*(Y403/H403),"0")</f>
        <v>3.3613445378151259E-2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12</v>
      </c>
      <c r="Y404" s="642">
        <f>IFERROR(IF(X404="",0,CEILING((X404/$H404),1)*$H404),"")</f>
        <v>12</v>
      </c>
      <c r="Z404" s="36">
        <f>IFERROR(IF(Y404=0,"",ROUNDUP(Y404/H404,0)*0.00474),"")</f>
        <v>2.844E-2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13.440000000000001</v>
      </c>
      <c r="BN404" s="64">
        <f>IFERROR(Y404*I404/H404,"0")</f>
        <v>13.440000000000001</v>
      </c>
      <c r="BO404" s="64">
        <f>IFERROR(1/J404*(X404/H404),"0")</f>
        <v>2.5210084033613446E-2</v>
      </c>
      <c r="BP404" s="64">
        <f>IFERROR(1/J404*(Y404/H404),"0")</f>
        <v>2.5210084033613446E-2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21.5</v>
      </c>
      <c r="Y405" s="643">
        <f>IFERROR(Y402/H402,"0")+IFERROR(Y403/H403,"0")+IFERROR(Y404/H404,"0")</f>
        <v>22</v>
      </c>
      <c r="Z405" s="643">
        <f>IFERROR(IF(Z402="",0,Z402),"0")+IFERROR(IF(Z403="",0,Z403),"0")+IFERROR(IF(Z404="",0,Z404),"0")</f>
        <v>0.10428000000000001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43</v>
      </c>
      <c r="Y406" s="643">
        <f>IFERROR(SUM(Y402:Y404),"0")</f>
        <v>44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28</v>
      </c>
      <c r="Y422" s="642">
        <f>IFERROR(IF(X422="",0,CEILING((X422/$H422),1)*$H422),"")</f>
        <v>29.400000000000002</v>
      </c>
      <c r="Z422" s="36">
        <f>IFERROR(IF(Y422=0,"",ROUNDUP(Y422/H422,0)*0.00651),"")</f>
        <v>9.1139999999999999E-2</v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31.359999999999996</v>
      </c>
      <c r="BN422" s="64">
        <f>IFERROR(Y422*I422/H422,"0")</f>
        <v>32.927999999999997</v>
      </c>
      <c r="BO422" s="64">
        <f>IFERROR(1/J422*(X422/H422),"0")</f>
        <v>7.3260073260073263E-2</v>
      </c>
      <c r="BP422" s="64">
        <f>IFERROR(1/J422*(Y422/H422),"0")</f>
        <v>7.6923076923076927E-2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18</v>
      </c>
      <c r="Y423" s="642">
        <f>IFERROR(IF(X423="",0,CEILING((X423/$H423),1)*$H423),"")</f>
        <v>18.900000000000002</v>
      </c>
      <c r="Z423" s="36">
        <f>IFERROR(IF(Y423=0,"",ROUNDUP(Y423/H423,0)*0.00651),"")</f>
        <v>5.8590000000000003E-2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20.057142857142853</v>
      </c>
      <c r="BN423" s="64">
        <f>IFERROR(Y423*I423/H423,"0")</f>
        <v>21.06</v>
      </c>
      <c r="BO423" s="64">
        <f>IFERROR(1/J423*(X423/H423),"0")</f>
        <v>4.709576138147567E-2</v>
      </c>
      <c r="BP423" s="64">
        <f>IFERROR(1/J423*(Y423/H423),"0")</f>
        <v>4.9450549450549455E-2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21.904761904761905</v>
      </c>
      <c r="Y424" s="643">
        <f>IFERROR(Y421/H421,"0")+IFERROR(Y422/H422,"0")+IFERROR(Y423/H423,"0")</f>
        <v>23</v>
      </c>
      <c r="Z424" s="643">
        <f>IFERROR(IF(Z421="",0,Z421),"0")+IFERROR(IF(Z422="",0,Z422),"0")+IFERROR(IF(Z423="",0,Z423),"0")</f>
        <v>0.14973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46</v>
      </c>
      <c r="Y425" s="643">
        <f>IFERROR(SUM(Y421:Y423),"0")</f>
        <v>48.300000000000004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hidden="1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0</v>
      </c>
      <c r="Y429" s="642">
        <f t="shared" ref="Y429:Y436" si="68">IFERROR(IF(X429="",0,CEILING((X429/$H429),1)*$H429),"")</f>
        <v>0</v>
      </c>
      <c r="Z429" s="36" t="str">
        <f>IFERROR(IF(Y429=0,"",ROUNDUP(Y429/H429,0)*0.02175),"")</f>
        <v/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0</v>
      </c>
      <c r="BN429" s="64">
        <f t="shared" ref="BN429:BN436" si="70">IFERROR(Y429*I429/H429,"0")</f>
        <v>0</v>
      </c>
      <c r="BO429" s="64">
        <f t="shared" ref="BO429:BO436" si="71">IFERROR(1/J429*(X429/H429),"0")</f>
        <v>0</v>
      </c>
      <c r="BP429" s="64">
        <f t="shared" ref="BP429:BP436" si="72">IFERROR(1/J429*(Y429/H429),"0")</f>
        <v>0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901</v>
      </c>
      <c r="Y430" s="642">
        <f t="shared" si="68"/>
        <v>915</v>
      </c>
      <c r="Z430" s="36">
        <f>IFERROR(IF(Y430=0,"",ROUNDUP(Y430/H430,0)*0.02175),"")</f>
        <v>1.3267499999999999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929.2313333333334</v>
      </c>
      <c r="BN430" s="64">
        <f t="shared" si="70"/>
        <v>943.67000000000007</v>
      </c>
      <c r="BO430" s="64">
        <f t="shared" si="71"/>
        <v>1.2513888888888889</v>
      </c>
      <c r="BP430" s="64">
        <f t="shared" si="72"/>
        <v>1.2708333333333333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907</v>
      </c>
      <c r="Y431" s="642">
        <f t="shared" si="68"/>
        <v>915</v>
      </c>
      <c r="Z431" s="36">
        <f>IFERROR(IF(Y431=0,"",ROUNDUP(Y431/H431,0)*0.02175),"")</f>
        <v>1.3267499999999999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935.41933333333338</v>
      </c>
      <c r="BN431" s="64">
        <f t="shared" si="70"/>
        <v>943.67000000000007</v>
      </c>
      <c r="BO431" s="64">
        <f t="shared" si="71"/>
        <v>1.2597222222222222</v>
      </c>
      <c r="BP431" s="64">
        <f t="shared" si="72"/>
        <v>1.2708333333333333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770</v>
      </c>
      <c r="Y432" s="642">
        <f t="shared" si="68"/>
        <v>780</v>
      </c>
      <c r="Z432" s="36">
        <f>IFERROR(IF(Y432=0,"",ROUNDUP(Y432/H432,0)*0.02175),"")</f>
        <v>1.131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794.12666666666667</v>
      </c>
      <c r="BN432" s="64">
        <f t="shared" si="70"/>
        <v>804.44</v>
      </c>
      <c r="BO432" s="64">
        <f t="shared" si="71"/>
        <v>1.0694444444444444</v>
      </c>
      <c r="BP432" s="64">
        <f t="shared" si="72"/>
        <v>1.0833333333333333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563</v>
      </c>
      <c r="Y433" s="642">
        <f t="shared" si="68"/>
        <v>570</v>
      </c>
      <c r="Z433" s="36">
        <f>IFERROR(IF(Y433=0,"",ROUNDUP(Y433/H433,0)*0.02175),"")</f>
        <v>0.8264999999999999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580.64066666666668</v>
      </c>
      <c r="BN433" s="64">
        <f t="shared" si="70"/>
        <v>587.86</v>
      </c>
      <c r="BO433" s="64">
        <f t="shared" si="71"/>
        <v>0.78194444444444433</v>
      </c>
      <c r="BP433" s="64">
        <f t="shared" si="72"/>
        <v>0.79166666666666663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209.4</v>
      </c>
      <c r="Y437" s="643">
        <f>IFERROR(Y429/H429,"0")+IFERROR(Y430/H430,"0")+IFERROR(Y431/H431,"0")+IFERROR(Y432/H432,"0")+IFERROR(Y433/H433,"0")+IFERROR(Y434/H434,"0")+IFERROR(Y435/H435,"0")+IFERROR(Y436/H436,"0")</f>
        <v>212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4.6109999999999998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3141</v>
      </c>
      <c r="Y438" s="643">
        <f>IFERROR(SUM(Y429:Y436),"0")</f>
        <v>3180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1091</v>
      </c>
      <c r="Y440" s="642">
        <f>IFERROR(IF(X440="",0,CEILING((X440/$H440),1)*$H440),"")</f>
        <v>1095</v>
      </c>
      <c r="Z440" s="36">
        <f>IFERROR(IF(Y440=0,"",ROUNDUP(Y440/H440,0)*0.02175),"")</f>
        <v>1.58775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1125.1846666666668</v>
      </c>
      <c r="BN440" s="64">
        <f>IFERROR(Y440*I440/H440,"0")</f>
        <v>1129.3100000000002</v>
      </c>
      <c r="BO440" s="64">
        <f>IFERROR(1/J440*(X440/H440),"0")</f>
        <v>1.5152777777777777</v>
      </c>
      <c r="BP440" s="64">
        <f>IFERROR(1/J440*(Y440/H440),"0")</f>
        <v>1.5208333333333333</v>
      </c>
    </row>
    <row r="441" spans="1:68" ht="27" hidden="1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72.733333333333334</v>
      </c>
      <c r="Y443" s="643">
        <f>IFERROR(Y440/H440,"0")+IFERROR(Y441/H441,"0")+IFERROR(Y442/H442,"0")</f>
        <v>73</v>
      </c>
      <c r="Z443" s="643">
        <f>IFERROR(IF(Z440="",0,Z440),"0")+IFERROR(IF(Z441="",0,Z441),"0")+IFERROR(IF(Z442="",0,Z442),"0")</f>
        <v>1.58775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1091</v>
      </c>
      <c r="Y444" s="643">
        <f>IFERROR(SUM(Y440:Y442),"0")</f>
        <v>1095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100</v>
      </c>
      <c r="Y453" s="642">
        <f>IFERROR(IF(X453="",0,CEILING((X453/$H453),1)*$H453),"")</f>
        <v>108</v>
      </c>
      <c r="Z453" s="36">
        <f>IFERROR(IF(Y453=0,"",ROUNDUP(Y453/H453,0)*0.01898),"")</f>
        <v>0.22776000000000002</v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105.48888888888888</v>
      </c>
      <c r="BN453" s="64">
        <f>IFERROR(Y453*I453/H453,"0")</f>
        <v>113.92799999999998</v>
      </c>
      <c r="BO453" s="64">
        <f>IFERROR(1/J453*(X453/H453),"0")</f>
        <v>0.1736111111111111</v>
      </c>
      <c r="BP453" s="64">
        <f>IFERROR(1/J453*(Y453/H453),"0")</f>
        <v>0.1875</v>
      </c>
    </row>
    <row r="454" spans="1:68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11.111111111111111</v>
      </c>
      <c r="Y454" s="643">
        <f>IFERROR(Y452/H452,"0")+IFERROR(Y453/H453,"0")</f>
        <v>12</v>
      </c>
      <c r="Z454" s="643">
        <f>IFERROR(IF(Z452="",0,Z452),"0")+IFERROR(IF(Z453="",0,Z453),"0")</f>
        <v>0.22776000000000002</v>
      </c>
      <c r="AA454" s="644"/>
      <c r="AB454" s="644"/>
      <c r="AC454" s="644"/>
    </row>
    <row r="455" spans="1:68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100</v>
      </c>
      <c r="Y455" s="643">
        <f>IFERROR(SUM(Y452:Y453),"0")</f>
        <v>108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1200</v>
      </c>
      <c r="Y467" s="642">
        <f>IFERROR(IF(X467="",0,CEILING((X467/$H467),1)*$H467),"")</f>
        <v>1206</v>
      </c>
      <c r="Z467" s="36">
        <f>IFERROR(IF(Y467=0,"",ROUNDUP(Y467/H467,0)*0.01898),"")</f>
        <v>2.54332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1265.8666666666666</v>
      </c>
      <c r="BN467" s="64">
        <f>IFERROR(Y467*I467/H467,"0")</f>
        <v>1272.1959999999999</v>
      </c>
      <c r="BO467" s="64">
        <f>IFERROR(1/J467*(X467/H467),"0")</f>
        <v>2.0833333333333335</v>
      </c>
      <c r="BP467" s="64">
        <f>IFERROR(1/J467*(Y467/H467),"0")</f>
        <v>2.09375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8</v>
      </c>
      <c r="Y468" s="642">
        <f>IFERROR(IF(X468="",0,CEILING((X468/$H468),1)*$H468),"")</f>
        <v>9.6</v>
      </c>
      <c r="Z468" s="36">
        <f>IFERROR(IF(Y468=0,"",ROUNDUP(Y468/H468,0)*0.00651),"")</f>
        <v>2.6040000000000001E-2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8.8800000000000008</v>
      </c>
      <c r="BN468" s="64">
        <f>IFERROR(Y468*I468/H468,"0")</f>
        <v>10.656000000000001</v>
      </c>
      <c r="BO468" s="64">
        <f>IFERROR(1/J468*(X468/H468),"0")</f>
        <v>1.8315018315018316E-2</v>
      </c>
      <c r="BP468" s="64">
        <f>IFERROR(1/J468*(Y468/H468),"0")</f>
        <v>2.197802197802198E-2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136.66666666666669</v>
      </c>
      <c r="Y470" s="643">
        <f>IFERROR(Y467/H467,"0")+IFERROR(Y468/H468,"0")+IFERROR(Y469/H469,"0")</f>
        <v>138</v>
      </c>
      <c r="Z470" s="643">
        <f>IFERROR(IF(Z467="",0,Z467),"0")+IFERROR(IF(Z468="",0,Z468),"0")+IFERROR(IF(Z469="",0,Z469),"0")</f>
        <v>2.5693600000000001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1208</v>
      </c>
      <c r="Y471" s="643">
        <f>IFERROR(SUM(Y467:Y469),"0")</f>
        <v>1215.5999999999999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74</v>
      </c>
      <c r="Y502" s="642">
        <f t="shared" ref="Y502:Y510" si="78">IFERROR(IF(X502="",0,CEILING((X502/$H502),1)*$H502),"")</f>
        <v>79.2</v>
      </c>
      <c r="Z502" s="36">
        <f t="shared" ref="Z502:Z507" si="79">IFERROR(IF(Y502=0,"",ROUNDUP(Y502/H502,0)*0.01196),"")</f>
        <v>0.1794</v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78.905303030303031</v>
      </c>
      <c r="BN502" s="64">
        <f t="shared" ref="BN502:BN510" si="81">IFERROR(Y502*I502/H502,"0")</f>
        <v>84.45</v>
      </c>
      <c r="BO502" s="64">
        <f t="shared" ref="BO502:BO510" si="82">IFERROR(1/J502*(X502/H502),"0")</f>
        <v>0.13476107226107226</v>
      </c>
      <c r="BP502" s="64">
        <f t="shared" ref="BP502:BP510" si="83">IFERROR(1/J502*(Y502/H502),"0")</f>
        <v>0.14423076923076925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80</v>
      </c>
      <c r="Y504" s="642">
        <f t="shared" si="78"/>
        <v>84.48</v>
      </c>
      <c r="Z504" s="36">
        <f t="shared" si="79"/>
        <v>0.19136</v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85.303030303030297</v>
      </c>
      <c r="BN504" s="64">
        <f t="shared" si="81"/>
        <v>90.08</v>
      </c>
      <c r="BO504" s="64">
        <f t="shared" si="82"/>
        <v>0.14568764568764569</v>
      </c>
      <c r="BP504" s="64">
        <f t="shared" si="83"/>
        <v>0.15384615384615385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213</v>
      </c>
      <c r="Y505" s="642">
        <f t="shared" si="78"/>
        <v>216.48000000000002</v>
      </c>
      <c r="Z505" s="36">
        <f t="shared" si="79"/>
        <v>0.49036000000000002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227.11931818181819</v>
      </c>
      <c r="BN505" s="64">
        <f t="shared" si="81"/>
        <v>230.83</v>
      </c>
      <c r="BO505" s="64">
        <f t="shared" si="82"/>
        <v>0.38789335664335661</v>
      </c>
      <c r="BP505" s="64">
        <f t="shared" si="83"/>
        <v>0.39423076923076927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330</v>
      </c>
      <c r="Y507" s="642">
        <f t="shared" si="78"/>
        <v>332.64000000000004</v>
      </c>
      <c r="Z507" s="36">
        <f t="shared" si="79"/>
        <v>0.75348000000000004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351.87499999999994</v>
      </c>
      <c r="BN507" s="64">
        <f t="shared" si="81"/>
        <v>354.69</v>
      </c>
      <c r="BO507" s="64">
        <f t="shared" si="82"/>
        <v>0.60096153846153855</v>
      </c>
      <c r="BP507" s="64">
        <f t="shared" si="83"/>
        <v>0.60576923076923084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35</v>
      </c>
      <c r="Y509" s="642">
        <f t="shared" si="78"/>
        <v>38.4</v>
      </c>
      <c r="Z509" s="36">
        <f>IFERROR(IF(Y509=0,"",ROUNDUP(Y509/H509,0)*0.00902),"")</f>
        <v>7.2160000000000002E-2</v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50.385416666666664</v>
      </c>
      <c r="BN509" s="64">
        <f t="shared" si="81"/>
        <v>55.28</v>
      </c>
      <c r="BO509" s="64">
        <f t="shared" si="82"/>
        <v>5.5239898989898992E-2</v>
      </c>
      <c r="BP509" s="64">
        <f t="shared" si="83"/>
        <v>6.0606060606060608E-2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139.29924242424241</v>
      </c>
      <c r="Y511" s="643">
        <f>IFERROR(Y502/H502,"0")+IFERROR(Y503/H503,"0")+IFERROR(Y504/H504,"0")+IFERROR(Y505/H505,"0")+IFERROR(Y506/H506,"0")+IFERROR(Y507/H507,"0")+IFERROR(Y508/H508,"0")+IFERROR(Y509/H509,"0")+IFERROR(Y510/H510,"0")</f>
        <v>143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1.68676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732</v>
      </c>
      <c r="Y512" s="643">
        <f>IFERROR(SUM(Y502:Y510),"0")</f>
        <v>751.2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850</v>
      </c>
      <c r="Y514" s="642">
        <f>IFERROR(IF(X514="",0,CEILING((X514/$H514),1)*$H514),"")</f>
        <v>850.08</v>
      </c>
      <c r="Z514" s="36">
        <f>IFERROR(IF(Y514=0,"",ROUNDUP(Y514/H514,0)*0.01196),"")</f>
        <v>1.9255599999999999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906.34469696969688</v>
      </c>
      <c r="BN514" s="64">
        <f>IFERROR(Y514*I514/H514,"0")</f>
        <v>906.43</v>
      </c>
      <c r="BO514" s="64">
        <f>IFERROR(1/J514*(X514/H514),"0")</f>
        <v>1.5479312354312353</v>
      </c>
      <c r="BP514" s="64">
        <f>IFERROR(1/J514*(Y514/H514),"0")</f>
        <v>1.5480769230769231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72</v>
      </c>
      <c r="Y516" s="642">
        <f>IFERROR(IF(X516="",0,CEILING((X516/$H516),1)*$H516),"")</f>
        <v>72</v>
      </c>
      <c r="Z516" s="36">
        <f>IFERROR(IF(Y516=0,"",ROUNDUP(Y516/H516,0)*0.00902),"")</f>
        <v>0.1353</v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103.65</v>
      </c>
      <c r="BN516" s="64">
        <f>IFERROR(Y516*I516/H516,"0")</f>
        <v>103.65</v>
      </c>
      <c r="BO516" s="64">
        <f>IFERROR(1/J516*(X516/H516),"0")</f>
        <v>0.11363636363636365</v>
      </c>
      <c r="BP516" s="64">
        <f>IFERROR(1/J516*(Y516/H516),"0")</f>
        <v>0.11363636363636365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175.98484848484847</v>
      </c>
      <c r="Y517" s="643">
        <f>IFERROR(Y514/H514,"0")+IFERROR(Y515/H515,"0")+IFERROR(Y516/H516,"0")</f>
        <v>176</v>
      </c>
      <c r="Z517" s="643">
        <f>IFERROR(IF(Z514="",0,Z514),"0")+IFERROR(IF(Z515="",0,Z515),"0")+IFERROR(IF(Z516="",0,Z516),"0")</f>
        <v>2.0608599999999999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922</v>
      </c>
      <c r="Y518" s="643">
        <f>IFERROR(SUM(Y514:Y516),"0")</f>
        <v>922.08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119</v>
      </c>
      <c r="Y520" s="642">
        <f t="shared" ref="Y520:Y526" si="84">IFERROR(IF(X520="",0,CEILING((X520/$H520),1)*$H520),"")</f>
        <v>121.44000000000001</v>
      </c>
      <c r="Z520" s="36">
        <f>IFERROR(IF(Y520=0,"",ROUNDUP(Y520/H520,0)*0.01196),"")</f>
        <v>0.27507999999999999</v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126.88825757575758</v>
      </c>
      <c r="BN520" s="64">
        <f t="shared" ref="BN520:BN526" si="86">IFERROR(Y520*I520/H520,"0")</f>
        <v>129.49</v>
      </c>
      <c r="BO520" s="64">
        <f t="shared" ref="BO520:BO526" si="87">IFERROR(1/J520*(X520/H520),"0")</f>
        <v>0.21671037296037296</v>
      </c>
      <c r="BP520" s="64">
        <f t="shared" ref="BP520:BP526" si="88">IFERROR(1/J520*(Y520/H520),"0")</f>
        <v>0.22115384615384617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400</v>
      </c>
      <c r="Y521" s="642">
        <f t="shared" si="84"/>
        <v>401.28000000000003</v>
      </c>
      <c r="Z521" s="36">
        <f>IFERROR(IF(Y521=0,"",ROUNDUP(Y521/H521,0)*0.01196),"")</f>
        <v>0.90895999999999999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426.5151515151515</v>
      </c>
      <c r="BN521" s="64">
        <f t="shared" si="86"/>
        <v>427.88</v>
      </c>
      <c r="BO521" s="64">
        <f t="shared" si="87"/>
        <v>0.72843822843822836</v>
      </c>
      <c r="BP521" s="64">
        <f t="shared" si="88"/>
        <v>0.73076923076923084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500</v>
      </c>
      <c r="Y522" s="642">
        <f t="shared" si="84"/>
        <v>501.6</v>
      </c>
      <c r="Z522" s="36">
        <f>IFERROR(IF(Y522=0,"",ROUNDUP(Y522/H522,0)*0.01196),"")</f>
        <v>1.1362000000000001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533.14393939393938</v>
      </c>
      <c r="BN522" s="64">
        <f t="shared" si="86"/>
        <v>534.85</v>
      </c>
      <c r="BO522" s="64">
        <f t="shared" si="87"/>
        <v>0.91054778554778548</v>
      </c>
      <c r="BP522" s="64">
        <f t="shared" si="88"/>
        <v>0.91346153846153855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192.99242424242422</v>
      </c>
      <c r="Y527" s="643">
        <f>IFERROR(Y520/H520,"0")+IFERROR(Y521/H521,"0")+IFERROR(Y522/H522,"0")+IFERROR(Y523/H523,"0")+IFERROR(Y524/H524,"0")+IFERROR(Y525/H525,"0")+IFERROR(Y526/H526,"0")</f>
        <v>194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2.3202400000000001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1019</v>
      </c>
      <c r="Y528" s="643">
        <f>IFERROR(SUM(Y520:Y526),"0")</f>
        <v>1024.3200000000002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20</v>
      </c>
      <c r="Y544" s="642">
        <f>IFERROR(IF(X544="",0,CEILING((X544/$H544),1)*$H544),"")</f>
        <v>27</v>
      </c>
      <c r="Z544" s="36">
        <f>IFERROR(IF(Y544=0,"",ROUNDUP(Y544/H544,0)*0.01898),"")</f>
        <v>5.6940000000000004E-2</v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21.097777777777779</v>
      </c>
      <c r="BN544" s="64">
        <f>IFERROR(Y544*I544/H544,"0")</f>
        <v>28.481999999999996</v>
      </c>
      <c r="BO544" s="64">
        <f>IFERROR(1/J544*(X544/H544),"0")</f>
        <v>3.4722222222222224E-2</v>
      </c>
      <c r="BP544" s="64">
        <f>IFERROR(1/J544*(Y544/H544),"0")</f>
        <v>4.6875E-2</v>
      </c>
    </row>
    <row r="545" spans="1:68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2.2222222222222223</v>
      </c>
      <c r="Y545" s="643">
        <f>IFERROR(Y544/H544,"0")</f>
        <v>3</v>
      </c>
      <c r="Z545" s="643">
        <f>IFERROR(IF(Z544="",0,Z544),"0")</f>
        <v>5.6940000000000004E-2</v>
      </c>
      <c r="AA545" s="644"/>
      <c r="AB545" s="644"/>
      <c r="AC545" s="644"/>
    </row>
    <row r="546" spans="1:68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20</v>
      </c>
      <c r="Y546" s="643">
        <f>IFERROR(SUM(Y544:Y544),"0")</f>
        <v>27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17598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17815.55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18656.350908195043</v>
      </c>
      <c r="Y559" s="643">
        <f>IFERROR(SUM(BN22:BN555),"0")</f>
        <v>18888.760000000006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31</v>
      </c>
      <c r="Y560" s="38">
        <f>ROUNDUP(SUM(BP22:BP555),0)</f>
        <v>32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19431.350908195043</v>
      </c>
      <c r="Y561" s="643">
        <f>GrossWeightTotalR+PalletQtyTotalR*25</f>
        <v>19688.760000000006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2997.6308652329521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3036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36.595519999999993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79.2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1362.6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728.1</v>
      </c>
      <c r="F568" s="46">
        <f>IFERROR(Y85*1,"0")+IFERROR(Y86*1,"0")+IFERROR(Y87*1,"0")+IFERROR(Y88*1,"0")+IFERROR(Y89*1,"0")+IFERROR(Y90*1,"0")+IFERROR(Y94*1,"0")+IFERROR(Y95*1,"0")+IFERROR(Y96*1,"0")+IFERROR(Y97*1,"0")</f>
        <v>597.4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1096</v>
      </c>
      <c r="H568" s="46">
        <f>IFERROR(Y131*1,"0")+IFERROR(Y132*1,"0")+IFERROR(Y136*1,"0")+IFERROR(Y137*1,"0")+IFERROR(Y141*1,"0")+IFERROR(Y142*1,"0")</f>
        <v>70.400000000000006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658.86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290.64000000000004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2855.9999999999995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13.4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141.6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429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1120.8499999999999</v>
      </c>
      <c r="U568" s="46">
        <f>IFERROR(Y415*1,"0")+IFERROR(Y416*1,"0")</f>
        <v>0</v>
      </c>
      <c r="V568" s="46">
        <f>IFERROR(Y421*1,"0")+IFERROR(Y422*1,"0")+IFERROR(Y423*1,"0")</f>
        <v>48.300000000000004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4383</v>
      </c>
      <c r="X568" s="46">
        <f>IFERROR(Y458*1,"0")+IFERROR(Y459*1,"0")+IFERROR(Y463*1,"0")+IFERROR(Y467*1,"0")+IFERROR(Y468*1,"0")+IFERROR(Y469*1,"0")</f>
        <v>1215.5999999999999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2697.6000000000004</v>
      </c>
      <c r="AB568" s="46">
        <f>IFERROR(Y532*1,"0")+IFERROR(Y536*1,"0")+IFERROR(Y540*1,"0")+IFERROR(Y544*1,"0")+IFERROR(Y548*1,"0")+IFERROR(Y549*1,"0")</f>
        <v>27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9,00"/>
        <filter val="1 091,00"/>
        <filter val="1 200,00"/>
        <filter val="1 208,00"/>
        <filter val="1 293,00"/>
        <filter val="1 358,00"/>
        <filter val="1,00"/>
        <filter val="1,50"/>
        <filter val="10,00"/>
        <filter val="10,20"/>
        <filter val="100,00"/>
        <filter val="106,00"/>
        <filter val="109,00"/>
        <filter val="11,00"/>
        <filter val="11,11"/>
        <filter val="111,96"/>
        <filter val="118,89"/>
        <filter val="119,00"/>
        <filter val="12,00"/>
        <filter val="12,31"/>
        <filter val="12,96"/>
        <filter val="120,00"/>
        <filter val="13,00"/>
        <filter val="130,00"/>
        <filter val="136,00"/>
        <filter val="136,67"/>
        <filter val="137,29"/>
        <filter val="139,30"/>
        <filter val="140,00"/>
        <filter val="15,00"/>
        <filter val="15,71"/>
        <filter val="150,00"/>
        <filter val="150,37"/>
        <filter val="151,43"/>
        <filter val="16,00"/>
        <filter val="160,00"/>
        <filter val="169,37"/>
        <filter val="17 598,00"/>
        <filter val="17,00"/>
        <filter val="174,00"/>
        <filter val="175,00"/>
        <filter val="175,98"/>
        <filter val="18 656,35"/>
        <filter val="18,00"/>
        <filter val="180,00"/>
        <filter val="19 431,35"/>
        <filter val="192,99"/>
        <filter val="2 101,00"/>
        <filter val="2 997,63"/>
        <filter val="2,00"/>
        <filter val="2,22"/>
        <filter val="2,78"/>
        <filter val="20,00"/>
        <filter val="209,40"/>
        <filter val="21,50"/>
        <filter val="21,67"/>
        <filter val="21,90"/>
        <filter val="210,00"/>
        <filter val="213,00"/>
        <filter val="221,00"/>
        <filter val="233,00"/>
        <filter val="24,00"/>
        <filter val="25,00"/>
        <filter val="250,00"/>
        <filter val="26,00"/>
        <filter val="260,00"/>
        <filter val="272,00"/>
        <filter val="28,00"/>
        <filter val="284,00"/>
        <filter val="287,00"/>
        <filter val="299,00"/>
        <filter val="3 141,00"/>
        <filter val="3,00"/>
        <filter val="3,97"/>
        <filter val="30,00"/>
        <filter val="300,00"/>
        <filter val="31"/>
        <filter val="330,00"/>
        <filter val="34,31"/>
        <filter val="35,00"/>
        <filter val="368,00"/>
        <filter val="40,00"/>
        <filter val="400,00"/>
        <filter val="42,78"/>
        <filter val="420,00"/>
        <filter val="43,00"/>
        <filter val="44,00"/>
        <filter val="45,24"/>
        <filter val="46,00"/>
        <filter val="46,52"/>
        <filter val="473,00"/>
        <filter val="5,00"/>
        <filter val="50,00"/>
        <filter val="500,00"/>
        <filter val="52,00"/>
        <filter val="522,00"/>
        <filter val="53,00"/>
        <filter val="53,21"/>
        <filter val="53,25"/>
        <filter val="53,85"/>
        <filter val="543,00"/>
        <filter val="563,00"/>
        <filter val="58,33"/>
        <filter val="6,00"/>
        <filter val="60,00"/>
        <filter val="65,00"/>
        <filter val="66,00"/>
        <filter val="678,80"/>
        <filter val="682,00"/>
        <filter val="683,00"/>
        <filter val="7,81"/>
        <filter val="70,00"/>
        <filter val="704,00"/>
        <filter val="72,00"/>
        <filter val="72,73"/>
        <filter val="720,00"/>
        <filter val="732,00"/>
        <filter val="74,00"/>
        <filter val="77,00"/>
        <filter val="770,00"/>
        <filter val="8,00"/>
        <filter val="8,33"/>
        <filter val="80,00"/>
        <filter val="850,00"/>
        <filter val="888,00"/>
        <filter val="901,00"/>
        <filter val="907,00"/>
        <filter val="922,00"/>
        <filter val="96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2026-09-11T10:37:02Z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