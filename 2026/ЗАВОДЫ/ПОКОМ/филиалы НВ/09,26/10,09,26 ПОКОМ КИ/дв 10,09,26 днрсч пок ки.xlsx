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0,09,26 ПОКОМ КИ\"/>
    </mc:Choice>
  </mc:AlternateContent>
  <xr:revisionPtr revIDLastSave="0" documentId="13_ncr:1_{0F7DF36E-09FE-4197-BAB3-1D101E53AE2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12,09 (TSO001119761)" sheetId="2" r:id="rId2"/>
    <sheet name="дефицит 13,09 (TSO001120283)" sheetId="3" r:id="rId3"/>
    <sheet name="дефицит 14,09 (TSO001121071)" sheetId="4" r:id="rId4"/>
  </sheets>
  <definedNames>
    <definedName name="_xlnm._FilterDatabase" localSheetId="0" hidden="1">Sheet!$A$3:$AO$137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" i="1" l="1"/>
  <c r="V5" i="1" l="1"/>
  <c r="S5" i="1" l="1"/>
  <c r="AC5" i="1" l="1"/>
  <c r="X5" i="1"/>
  <c r="W5" i="1"/>
  <c r="T5" i="1"/>
  <c r="AA7" i="1"/>
  <c r="AO7" i="1" s="1"/>
  <c r="AA8" i="1"/>
  <c r="AA11" i="1"/>
  <c r="AO11" i="1" s="1"/>
  <c r="AA12" i="1"/>
  <c r="AO12" i="1" s="1"/>
  <c r="AA15" i="1"/>
  <c r="AO15" i="1" s="1"/>
  <c r="AA18" i="1"/>
  <c r="AO18" i="1" s="1"/>
  <c r="AA19" i="1"/>
  <c r="AA22" i="1"/>
  <c r="AO22" i="1" s="1"/>
  <c r="AA25" i="1"/>
  <c r="AO25" i="1" s="1"/>
  <c r="AA28" i="1"/>
  <c r="AO28" i="1" s="1"/>
  <c r="AA29" i="1"/>
  <c r="AA30" i="1"/>
  <c r="AO30" i="1" s="1"/>
  <c r="AA31" i="1"/>
  <c r="AO31" i="1" s="1"/>
  <c r="AA32" i="1"/>
  <c r="AO32" i="1" s="1"/>
  <c r="AA33" i="1"/>
  <c r="AO33" i="1" s="1"/>
  <c r="AA34" i="1"/>
  <c r="AO34" i="1" s="1"/>
  <c r="AA35" i="1"/>
  <c r="AO35" i="1" s="1"/>
  <c r="AA36" i="1"/>
  <c r="AO36" i="1" s="1"/>
  <c r="AA37" i="1"/>
  <c r="AO37" i="1" s="1"/>
  <c r="AA39" i="1"/>
  <c r="AA41" i="1"/>
  <c r="AA42" i="1"/>
  <c r="AO42" i="1" s="1"/>
  <c r="AA43" i="1"/>
  <c r="AA44" i="1"/>
  <c r="AO44" i="1" s="1"/>
  <c r="AA45" i="1"/>
  <c r="AA47" i="1"/>
  <c r="AA48" i="1"/>
  <c r="AO48" i="1" s="1"/>
  <c r="AA49" i="1"/>
  <c r="AA53" i="1"/>
  <c r="AA54" i="1"/>
  <c r="AO54" i="1" s="1"/>
  <c r="AA56" i="1"/>
  <c r="AA57" i="1"/>
  <c r="AA59" i="1"/>
  <c r="AO59" i="1" s="1"/>
  <c r="AA61" i="1"/>
  <c r="AA62" i="1"/>
  <c r="AO62" i="1" s="1"/>
  <c r="AA63" i="1"/>
  <c r="AA66" i="1"/>
  <c r="AO66" i="1" s="1"/>
  <c r="AA67" i="1"/>
  <c r="AO67" i="1" s="1"/>
  <c r="AA68" i="1"/>
  <c r="AO68" i="1" s="1"/>
  <c r="AA70" i="1"/>
  <c r="AO70" i="1" s="1"/>
  <c r="AA71" i="1"/>
  <c r="AO71" i="1" s="1"/>
  <c r="AA72" i="1"/>
  <c r="AO72" i="1" s="1"/>
  <c r="AA73" i="1"/>
  <c r="AA74" i="1"/>
  <c r="AO74" i="1" s="1"/>
  <c r="AA77" i="1"/>
  <c r="AO77" i="1" s="1"/>
  <c r="AA78" i="1"/>
  <c r="AO78" i="1" s="1"/>
  <c r="AA80" i="1"/>
  <c r="AO80" i="1" s="1"/>
  <c r="AA82" i="1"/>
  <c r="AO82" i="1" s="1"/>
  <c r="AA84" i="1"/>
  <c r="AO84" i="1" s="1"/>
  <c r="AA85" i="1"/>
  <c r="AO85" i="1" s="1"/>
  <c r="AA86" i="1"/>
  <c r="AA87" i="1"/>
  <c r="AO87" i="1" s="1"/>
  <c r="AA88" i="1"/>
  <c r="AO88" i="1" s="1"/>
  <c r="AA90" i="1"/>
  <c r="AO90" i="1" s="1"/>
  <c r="AA93" i="1"/>
  <c r="AO93" i="1" s="1"/>
  <c r="AA95" i="1"/>
  <c r="AO95" i="1" s="1"/>
  <c r="AA96" i="1"/>
  <c r="AO96" i="1" s="1"/>
  <c r="AA97" i="1"/>
  <c r="AO97" i="1" s="1"/>
  <c r="AA99" i="1"/>
  <c r="AO99" i="1" s="1"/>
  <c r="AA101" i="1"/>
  <c r="AO101" i="1" s="1"/>
  <c r="AA102" i="1"/>
  <c r="AO102" i="1" s="1"/>
  <c r="AA103" i="1"/>
  <c r="AO103" i="1" s="1"/>
  <c r="AA105" i="1"/>
  <c r="AO105" i="1" s="1"/>
  <c r="AA106" i="1"/>
  <c r="AO106" i="1" s="1"/>
  <c r="AA109" i="1"/>
  <c r="AO109" i="1" s="1"/>
  <c r="AA112" i="1"/>
  <c r="AO112" i="1" s="1"/>
  <c r="AA113" i="1"/>
  <c r="AA114" i="1"/>
  <c r="AO114" i="1" s="1"/>
  <c r="AA115" i="1"/>
  <c r="AO115" i="1" s="1"/>
  <c r="AA116" i="1"/>
  <c r="AO116" i="1" s="1"/>
  <c r="AA117" i="1"/>
  <c r="AO117" i="1" s="1"/>
  <c r="AA119" i="1"/>
  <c r="AO119" i="1" s="1"/>
  <c r="AA121" i="1"/>
  <c r="AO121" i="1" s="1"/>
  <c r="AA122" i="1"/>
  <c r="AO122" i="1" s="1"/>
  <c r="AA123" i="1"/>
  <c r="AO123" i="1" s="1"/>
  <c r="AA128" i="1"/>
  <c r="AO128" i="1" s="1"/>
  <c r="AA129" i="1"/>
  <c r="AO129" i="1" s="1"/>
  <c r="AA130" i="1"/>
  <c r="AO130" i="1" s="1"/>
  <c r="AA132" i="1"/>
  <c r="AO132" i="1" s="1"/>
  <c r="AA134" i="1"/>
  <c r="AO134" i="1" s="1"/>
  <c r="AA135" i="1"/>
  <c r="AO135" i="1" s="1"/>
  <c r="AA136" i="1"/>
  <c r="AO136" i="1" s="1"/>
  <c r="AA137" i="1"/>
  <c r="AO137" i="1" s="1"/>
  <c r="AO16" i="1"/>
  <c r="AO23" i="1"/>
  <c r="AO29" i="1"/>
  <c r="AO38" i="1"/>
  <c r="AO56" i="1"/>
  <c r="AO69" i="1"/>
  <c r="AO73" i="1"/>
  <c r="AO86" i="1"/>
  <c r="AO113" i="1"/>
  <c r="AO6" i="1"/>
  <c r="AO63" i="1" l="1"/>
  <c r="AO61" i="1"/>
  <c r="AO57" i="1"/>
  <c r="AO53" i="1"/>
  <c r="AO49" i="1"/>
  <c r="AO47" i="1"/>
  <c r="AO39" i="1"/>
  <c r="AO19" i="1"/>
  <c r="AO8" i="1"/>
  <c r="AO45" i="1"/>
  <c r="AO43" i="1"/>
  <c r="AO41" i="1"/>
  <c r="M137" i="1"/>
  <c r="Y137" i="1" s="1"/>
  <c r="L137" i="1"/>
  <c r="M136" i="1"/>
  <c r="L136" i="1"/>
  <c r="M135" i="1"/>
  <c r="L135" i="1"/>
  <c r="M134" i="1"/>
  <c r="L134" i="1"/>
  <c r="M133" i="1"/>
  <c r="Y133" i="1" s="1"/>
  <c r="L133" i="1"/>
  <c r="M132" i="1"/>
  <c r="Y132" i="1" s="1"/>
  <c r="AD132" i="1" s="1"/>
  <c r="L132" i="1"/>
  <c r="M131" i="1"/>
  <c r="L131" i="1"/>
  <c r="M130" i="1"/>
  <c r="L130" i="1"/>
  <c r="M129" i="1"/>
  <c r="Y129" i="1" s="1"/>
  <c r="L129" i="1"/>
  <c r="F129" i="1"/>
  <c r="M128" i="1"/>
  <c r="Y128" i="1" s="1"/>
  <c r="L128" i="1"/>
  <c r="M127" i="1"/>
  <c r="L127" i="1"/>
  <c r="M126" i="1"/>
  <c r="L126" i="1"/>
  <c r="M125" i="1"/>
  <c r="L125" i="1"/>
  <c r="M124" i="1"/>
  <c r="L124" i="1"/>
  <c r="M123" i="1"/>
  <c r="Y123" i="1" s="1"/>
  <c r="L123" i="1"/>
  <c r="M122" i="1"/>
  <c r="Y122" i="1" s="1"/>
  <c r="L122" i="1"/>
  <c r="M121" i="1"/>
  <c r="Y121" i="1" s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Y100" i="1" s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F93" i="1"/>
  <c r="E93" i="1"/>
  <c r="M93" i="1" s="1"/>
  <c r="Y93" i="1" s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Y74" i="1" s="1"/>
  <c r="L74" i="1"/>
  <c r="M73" i="1"/>
  <c r="Y73" i="1" s="1"/>
  <c r="L73" i="1"/>
  <c r="M72" i="1"/>
  <c r="L72" i="1"/>
  <c r="M71" i="1"/>
  <c r="L71" i="1"/>
  <c r="M70" i="1"/>
  <c r="L70" i="1"/>
  <c r="M69" i="1"/>
  <c r="Y69" i="1" s="1"/>
  <c r="L69" i="1"/>
  <c r="M68" i="1"/>
  <c r="L68" i="1"/>
  <c r="M67" i="1"/>
  <c r="L67" i="1"/>
  <c r="M66" i="1"/>
  <c r="L66" i="1"/>
  <c r="M65" i="1"/>
  <c r="Y65" i="1" s="1"/>
  <c r="L65" i="1"/>
  <c r="M64" i="1"/>
  <c r="Y64" i="1" s="1"/>
  <c r="L64" i="1"/>
  <c r="M63" i="1"/>
  <c r="L63" i="1"/>
  <c r="M62" i="1"/>
  <c r="L62" i="1"/>
  <c r="M61" i="1"/>
  <c r="L61" i="1"/>
  <c r="M60" i="1"/>
  <c r="L60" i="1"/>
  <c r="F59" i="1"/>
  <c r="E59" i="1"/>
  <c r="M59" i="1" s="1"/>
  <c r="Y59" i="1" s="1"/>
  <c r="M58" i="1"/>
  <c r="Y58" i="1" s="1"/>
  <c r="L58" i="1"/>
  <c r="M57" i="1"/>
  <c r="L57" i="1"/>
  <c r="M56" i="1"/>
  <c r="L56" i="1"/>
  <c r="M55" i="1"/>
  <c r="L55" i="1"/>
  <c r="M54" i="1"/>
  <c r="L54" i="1"/>
  <c r="M53" i="1"/>
  <c r="L53" i="1"/>
  <c r="M52" i="1"/>
  <c r="Y52" i="1" s="1"/>
  <c r="L52" i="1"/>
  <c r="M51" i="1"/>
  <c r="Y51" i="1" s="1"/>
  <c r="L51" i="1"/>
  <c r="M50" i="1"/>
  <c r="L50" i="1"/>
  <c r="M49" i="1"/>
  <c r="L49" i="1"/>
  <c r="M48" i="1"/>
  <c r="Y48" i="1" s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Y40" i="1" s="1"/>
  <c r="L40" i="1"/>
  <c r="M39" i="1"/>
  <c r="L39" i="1"/>
  <c r="M38" i="1"/>
  <c r="Y38" i="1" s="1"/>
  <c r="L38" i="1"/>
  <c r="M37" i="1"/>
  <c r="L37" i="1"/>
  <c r="M36" i="1"/>
  <c r="L36" i="1"/>
  <c r="M35" i="1"/>
  <c r="Y35" i="1" s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Y17" i="1" s="1"/>
  <c r="L17" i="1"/>
  <c r="M16" i="1"/>
  <c r="Y16" i="1" s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Y6" i="1" s="1"/>
  <c r="L6" i="1"/>
  <c r="AM5" i="1"/>
  <c r="AL5" i="1"/>
  <c r="AK5" i="1"/>
  <c r="AJ5" i="1"/>
  <c r="AI5" i="1"/>
  <c r="AH5" i="1"/>
  <c r="AG5" i="1"/>
  <c r="AF5" i="1"/>
  <c r="U5" i="1"/>
  <c r="R5" i="1"/>
  <c r="Q5" i="1"/>
  <c r="P5" i="1"/>
  <c r="O5" i="1"/>
  <c r="N5" i="1"/>
  <c r="K5" i="1"/>
  <c r="AD59" i="1" l="1"/>
  <c r="Y85" i="1"/>
  <c r="AD85" i="1" s="1"/>
  <c r="Y66" i="1"/>
  <c r="AD66" i="1" s="1"/>
  <c r="Y86" i="1"/>
  <c r="AD86" i="1" s="1"/>
  <c r="Y96" i="1"/>
  <c r="AD96" i="1" s="1"/>
  <c r="Y106" i="1"/>
  <c r="AD106" i="1" s="1"/>
  <c r="Y116" i="1"/>
  <c r="AD116" i="1" s="1"/>
  <c r="Y126" i="1"/>
  <c r="AE126" i="1" s="1"/>
  <c r="Y136" i="1"/>
  <c r="AD136" i="1" s="1"/>
  <c r="Y37" i="1"/>
  <c r="AD37" i="1" s="1"/>
  <c r="Y47" i="1"/>
  <c r="AE47" i="1" s="1"/>
  <c r="Y57" i="1"/>
  <c r="AD57" i="1" s="1"/>
  <c r="Y67" i="1"/>
  <c r="AD67" i="1" s="1"/>
  <c r="Y77" i="1"/>
  <c r="AD77" i="1" s="1"/>
  <c r="Y87" i="1"/>
  <c r="AD87" i="1" s="1"/>
  <c r="Y97" i="1"/>
  <c r="AD97" i="1" s="1"/>
  <c r="Y107" i="1"/>
  <c r="Z107" i="1" s="1"/>
  <c r="AA107" i="1" s="1"/>
  <c r="Y117" i="1"/>
  <c r="AD117" i="1" s="1"/>
  <c r="Y127" i="1"/>
  <c r="AE127" i="1" s="1"/>
  <c r="Y25" i="1"/>
  <c r="AD25" i="1" s="1"/>
  <c r="Y105" i="1"/>
  <c r="AD105" i="1" s="1"/>
  <c r="Y36" i="1"/>
  <c r="AD36" i="1" s="1"/>
  <c r="Y8" i="1"/>
  <c r="AD8" i="1" s="1"/>
  <c r="Y18" i="1"/>
  <c r="AD18" i="1" s="1"/>
  <c r="Y28" i="1"/>
  <c r="AD28" i="1" s="1"/>
  <c r="Y68" i="1"/>
  <c r="AD68" i="1" s="1"/>
  <c r="Y78" i="1"/>
  <c r="AD78" i="1" s="1"/>
  <c r="Y88" i="1"/>
  <c r="AD88" i="1" s="1"/>
  <c r="Y98" i="1"/>
  <c r="Z98" i="1" s="1"/>
  <c r="AA98" i="1" s="1"/>
  <c r="Y108" i="1"/>
  <c r="AE108" i="1" s="1"/>
  <c r="Y118" i="1"/>
  <c r="AE118" i="1" s="1"/>
  <c r="Y115" i="1"/>
  <c r="AD115" i="1" s="1"/>
  <c r="Y76" i="1"/>
  <c r="AE76" i="1" s="1"/>
  <c r="Y27" i="1"/>
  <c r="Z27" i="1" s="1"/>
  <c r="AA27" i="1" s="1"/>
  <c r="Y19" i="1"/>
  <c r="AE19" i="1" s="1"/>
  <c r="Y49" i="1"/>
  <c r="AD49" i="1" s="1"/>
  <c r="Y79" i="1"/>
  <c r="Z79" i="1" s="1"/>
  <c r="AA79" i="1" s="1"/>
  <c r="Y89" i="1"/>
  <c r="Z89" i="1" s="1"/>
  <c r="AA89" i="1" s="1"/>
  <c r="Y99" i="1"/>
  <c r="AD99" i="1" s="1"/>
  <c r="Y109" i="1"/>
  <c r="AE109" i="1" s="1"/>
  <c r="Y119" i="1"/>
  <c r="AE119" i="1" s="1"/>
  <c r="Y45" i="1"/>
  <c r="AD45" i="1" s="1"/>
  <c r="Y125" i="1"/>
  <c r="AE125" i="1" s="1"/>
  <c r="Y46" i="1"/>
  <c r="Z46" i="1" s="1"/>
  <c r="AA46" i="1" s="1"/>
  <c r="Y10" i="1"/>
  <c r="AE10" i="1" s="1"/>
  <c r="Y20" i="1"/>
  <c r="Z20" i="1" s="1"/>
  <c r="AA20" i="1" s="1"/>
  <c r="Y30" i="1"/>
  <c r="AD30" i="1" s="1"/>
  <c r="Y50" i="1"/>
  <c r="Z50" i="1" s="1"/>
  <c r="AA50" i="1" s="1"/>
  <c r="Y60" i="1"/>
  <c r="AE60" i="1" s="1"/>
  <c r="Y70" i="1"/>
  <c r="AE70" i="1" s="1"/>
  <c r="Y80" i="1"/>
  <c r="AD80" i="1" s="1"/>
  <c r="Y90" i="1"/>
  <c r="AD90" i="1" s="1"/>
  <c r="Y110" i="1"/>
  <c r="Z110" i="1" s="1"/>
  <c r="AA110" i="1" s="1"/>
  <c r="Y120" i="1"/>
  <c r="AE120" i="1" s="1"/>
  <c r="Y130" i="1"/>
  <c r="AD130" i="1" s="1"/>
  <c r="Y134" i="1"/>
  <c r="AD134" i="1" s="1"/>
  <c r="Y7" i="1"/>
  <c r="Y29" i="1"/>
  <c r="AD29" i="1" s="1"/>
  <c r="Y11" i="1"/>
  <c r="AE11" i="1" s="1"/>
  <c r="Y21" i="1"/>
  <c r="Z21" i="1" s="1"/>
  <c r="AA21" i="1" s="1"/>
  <c r="Y31" i="1"/>
  <c r="AD31" i="1" s="1"/>
  <c r="Y41" i="1"/>
  <c r="AD41" i="1" s="1"/>
  <c r="Y61" i="1"/>
  <c r="AD61" i="1" s="1"/>
  <c r="Y71" i="1"/>
  <c r="AD71" i="1" s="1"/>
  <c r="Y81" i="1"/>
  <c r="AE81" i="1" s="1"/>
  <c r="Y91" i="1"/>
  <c r="Z91" i="1" s="1"/>
  <c r="AA91" i="1" s="1"/>
  <c r="Y101" i="1"/>
  <c r="AD101" i="1" s="1"/>
  <c r="Y111" i="1"/>
  <c r="Z111" i="1" s="1"/>
  <c r="AA111" i="1" s="1"/>
  <c r="Y15" i="1"/>
  <c r="AE15" i="1" s="1"/>
  <c r="Y95" i="1"/>
  <c r="AE95" i="1" s="1"/>
  <c r="Y26" i="1"/>
  <c r="AE26" i="1" s="1"/>
  <c r="Y9" i="1"/>
  <c r="Z9" i="1" s="1"/>
  <c r="AA9" i="1" s="1"/>
  <c r="Y39" i="1"/>
  <c r="AD39" i="1" s="1"/>
  <c r="Y131" i="1"/>
  <c r="Z131" i="1" s="1"/>
  <c r="AA131" i="1" s="1"/>
  <c r="Y135" i="1"/>
  <c r="AD135" i="1" s="1"/>
  <c r="Y22" i="1"/>
  <c r="AD22" i="1" s="1"/>
  <c r="Y32" i="1"/>
  <c r="AD32" i="1" s="1"/>
  <c r="Y62" i="1"/>
  <c r="AD62" i="1" s="1"/>
  <c r="Y72" i="1"/>
  <c r="AD72" i="1" s="1"/>
  <c r="Y82" i="1"/>
  <c r="AE82" i="1" s="1"/>
  <c r="Z92" i="1"/>
  <c r="AA92" i="1" s="1"/>
  <c r="AD92" i="1" s="1"/>
  <c r="Y92" i="1"/>
  <c r="Y102" i="1"/>
  <c r="AD102" i="1" s="1"/>
  <c r="Y112" i="1"/>
  <c r="AD112" i="1" s="1"/>
  <c r="Y12" i="1"/>
  <c r="AD12" i="1" s="1"/>
  <c r="Y42" i="1"/>
  <c r="AE42" i="1" s="1"/>
  <c r="Y75" i="1"/>
  <c r="Z75" i="1" s="1"/>
  <c r="AA75" i="1" s="1"/>
  <c r="Y13" i="1"/>
  <c r="Z13" i="1" s="1"/>
  <c r="AA13" i="1" s="1"/>
  <c r="AO13" i="1" s="1"/>
  <c r="Y23" i="1"/>
  <c r="AD23" i="1" s="1"/>
  <c r="Y33" i="1"/>
  <c r="AD33" i="1" s="1"/>
  <c r="Y43" i="1"/>
  <c r="AE43" i="1" s="1"/>
  <c r="Y53" i="1"/>
  <c r="AD53" i="1" s="1"/>
  <c r="Y63" i="1"/>
  <c r="AD63" i="1" s="1"/>
  <c r="Y83" i="1"/>
  <c r="Z83" i="1" s="1"/>
  <c r="AA83" i="1" s="1"/>
  <c r="Y103" i="1"/>
  <c r="AD103" i="1" s="1"/>
  <c r="Y113" i="1"/>
  <c r="AD113" i="1" s="1"/>
  <c r="Y55" i="1"/>
  <c r="Z55" i="1" s="1"/>
  <c r="AA55" i="1" s="1"/>
  <c r="AO55" i="1" s="1"/>
  <c r="Y56" i="1"/>
  <c r="AE56" i="1" s="1"/>
  <c r="Y14" i="1"/>
  <c r="Z14" i="1" s="1"/>
  <c r="AA14" i="1" s="1"/>
  <c r="Y24" i="1"/>
  <c r="AE24" i="1" s="1"/>
  <c r="Y34" i="1"/>
  <c r="AD34" i="1" s="1"/>
  <c r="Y44" i="1"/>
  <c r="AD44" i="1" s="1"/>
  <c r="Y54" i="1"/>
  <c r="AD54" i="1" s="1"/>
  <c r="Y84" i="1"/>
  <c r="AD84" i="1" s="1"/>
  <c r="Y94" i="1"/>
  <c r="Z94" i="1" s="1"/>
  <c r="AA94" i="1" s="1"/>
  <c r="Y104" i="1"/>
  <c r="Z104" i="1" s="1"/>
  <c r="AA104" i="1" s="1"/>
  <c r="Y114" i="1"/>
  <c r="AE114" i="1" s="1"/>
  <c r="Y124" i="1"/>
  <c r="Z124" i="1" s="1"/>
  <c r="AA124" i="1" s="1"/>
  <c r="AD93" i="1"/>
  <c r="AD129" i="1"/>
  <c r="Z6" i="1"/>
  <c r="AD6" i="1"/>
  <c r="Z16" i="1"/>
  <c r="AD16" i="1"/>
  <c r="AE35" i="1"/>
  <c r="AD35" i="1"/>
  <c r="Z38" i="1"/>
  <c r="AD38" i="1"/>
  <c r="AE48" i="1"/>
  <c r="AD48" i="1"/>
  <c r="Z69" i="1"/>
  <c r="AD69" i="1"/>
  <c r="AE73" i="1"/>
  <c r="AD73" i="1"/>
  <c r="AE74" i="1"/>
  <c r="AD74" i="1"/>
  <c r="AE121" i="1"/>
  <c r="AD121" i="1"/>
  <c r="AE122" i="1"/>
  <c r="AD122" i="1"/>
  <c r="AE123" i="1"/>
  <c r="AD123" i="1"/>
  <c r="AE128" i="1"/>
  <c r="AD128" i="1"/>
  <c r="AE137" i="1"/>
  <c r="AD137" i="1"/>
  <c r="Z65" i="1"/>
  <c r="AA65" i="1" s="1"/>
  <c r="Z17" i="1"/>
  <c r="AA17" i="1" s="1"/>
  <c r="Z40" i="1"/>
  <c r="AA40" i="1" s="1"/>
  <c r="Z58" i="1"/>
  <c r="AA58" i="1" s="1"/>
  <c r="Z100" i="1"/>
  <c r="AA100" i="1" s="1"/>
  <c r="Z133" i="1"/>
  <c r="AA133" i="1" s="1"/>
  <c r="Z120" i="1"/>
  <c r="AA120" i="1" s="1"/>
  <c r="Z23" i="1"/>
  <c r="AE40" i="1"/>
  <c r="Z52" i="1"/>
  <c r="AA52" i="1" s="1"/>
  <c r="Z64" i="1"/>
  <c r="AA64" i="1" s="1"/>
  <c r="AE68" i="1"/>
  <c r="Z51" i="1"/>
  <c r="AA51" i="1" s="1"/>
  <c r="AE93" i="1"/>
  <c r="Z127" i="1"/>
  <c r="AA127" i="1" s="1"/>
  <c r="AE50" i="1"/>
  <c r="AE57" i="1"/>
  <c r="F5" i="1"/>
  <c r="AE62" i="1"/>
  <c r="AE38" i="1"/>
  <c r="AE52" i="1"/>
  <c r="AE59" i="1"/>
  <c r="AE64" i="1"/>
  <c r="AE66" i="1"/>
  <c r="AE72" i="1"/>
  <c r="AE92" i="1"/>
  <c r="AE102" i="1"/>
  <c r="AE100" i="1"/>
  <c r="AE112" i="1"/>
  <c r="AE116" i="1"/>
  <c r="AE129" i="1"/>
  <c r="AE133" i="1"/>
  <c r="AE28" i="1"/>
  <c r="AE6" i="1"/>
  <c r="AE22" i="1"/>
  <c r="AE16" i="1"/>
  <c r="AE17" i="1"/>
  <c r="AE18" i="1"/>
  <c r="AE23" i="1"/>
  <c r="AE25" i="1"/>
  <c r="AE31" i="1"/>
  <c r="AE32" i="1"/>
  <c r="AE83" i="1"/>
  <c r="AE89" i="1"/>
  <c r="L93" i="1"/>
  <c r="AE96" i="1"/>
  <c r="AE103" i="1"/>
  <c r="AE132" i="1"/>
  <c r="AE136" i="1"/>
  <c r="E5" i="1"/>
  <c r="M5" i="1"/>
  <c r="AE41" i="1"/>
  <c r="AE45" i="1"/>
  <c r="AE49" i="1"/>
  <c r="AE51" i="1"/>
  <c r="AE53" i="1"/>
  <c r="AE58" i="1"/>
  <c r="L59" i="1"/>
  <c r="AE63" i="1"/>
  <c r="AE65" i="1"/>
  <c r="AE67" i="1"/>
  <c r="AE69" i="1"/>
  <c r="AE77" i="1"/>
  <c r="AE84" i="1"/>
  <c r="AE86" i="1"/>
  <c r="AE88" i="1"/>
  <c r="AE94" i="1"/>
  <c r="AE101" i="1"/>
  <c r="AE104" i="1"/>
  <c r="AE113" i="1"/>
  <c r="AE134" i="1"/>
  <c r="AD104" i="1" l="1"/>
  <c r="AO104" i="1"/>
  <c r="AE130" i="1"/>
  <c r="AE106" i="1"/>
  <c r="AE71" i="1"/>
  <c r="AE36" i="1"/>
  <c r="AE99" i="1"/>
  <c r="AE85" i="1"/>
  <c r="AE79" i="1"/>
  <c r="AE30" i="1"/>
  <c r="AE8" i="1"/>
  <c r="AE33" i="1"/>
  <c r="AE13" i="1"/>
  <c r="AE110" i="1"/>
  <c r="AE98" i="1"/>
  <c r="AE78" i="1"/>
  <c r="AE55" i="1"/>
  <c r="AE37" i="1"/>
  <c r="Z125" i="1"/>
  <c r="AA125" i="1" s="1"/>
  <c r="Z126" i="1"/>
  <c r="AA126" i="1" s="1"/>
  <c r="AD126" i="1" s="1"/>
  <c r="AD15" i="1"/>
  <c r="AE91" i="1"/>
  <c r="Z76" i="1"/>
  <c r="AA76" i="1" s="1"/>
  <c r="AO76" i="1" s="1"/>
  <c r="AD19" i="1"/>
  <c r="Z81" i="1"/>
  <c r="AA81" i="1" s="1"/>
  <c r="AE111" i="1"/>
  <c r="AE12" i="1"/>
  <c r="Z60" i="1"/>
  <c r="AA60" i="1" s="1"/>
  <c r="AO60" i="1" s="1"/>
  <c r="AE80" i="1"/>
  <c r="AE14" i="1"/>
  <c r="AE87" i="1"/>
  <c r="AE54" i="1"/>
  <c r="AE90" i="1"/>
  <c r="AE61" i="1"/>
  <c r="AE27" i="1"/>
  <c r="AE44" i="1"/>
  <c r="AE117" i="1"/>
  <c r="AE135" i="1"/>
  <c r="AD91" i="1"/>
  <c r="AO91" i="1"/>
  <c r="AO27" i="1"/>
  <c r="AD27" i="1"/>
  <c r="AD75" i="1"/>
  <c r="AO75" i="1"/>
  <c r="AD79" i="1"/>
  <c r="AO79" i="1"/>
  <c r="Z10" i="1"/>
  <c r="AA10" i="1" s="1"/>
  <c r="AD42" i="1"/>
  <c r="Z26" i="1"/>
  <c r="AA26" i="1" s="1"/>
  <c r="AO26" i="1" s="1"/>
  <c r="Y5" i="1"/>
  <c r="AD11" i="1"/>
  <c r="AD13" i="1"/>
  <c r="AD56" i="1"/>
  <c r="AD7" i="1"/>
  <c r="AE97" i="1"/>
  <c r="Z24" i="1"/>
  <c r="AA24" i="1" s="1"/>
  <c r="AD24" i="1" s="1"/>
  <c r="AE124" i="1"/>
  <c r="AE9" i="1"/>
  <c r="AD114" i="1"/>
  <c r="AE39" i="1"/>
  <c r="AE21" i="1"/>
  <c r="AE75" i="1"/>
  <c r="AE115" i="1"/>
  <c r="AE7" i="1"/>
  <c r="AE46" i="1"/>
  <c r="AE107" i="1"/>
  <c r="AD76" i="1"/>
  <c r="AE29" i="1"/>
  <c r="AE131" i="1"/>
  <c r="AE20" i="1"/>
  <c r="AD9" i="1"/>
  <c r="AO9" i="1"/>
  <c r="AO46" i="1"/>
  <c r="AD46" i="1"/>
  <c r="AD98" i="1"/>
  <c r="AO98" i="1"/>
  <c r="AO131" i="1"/>
  <c r="AD131" i="1"/>
  <c r="AO107" i="1"/>
  <c r="AD107" i="1"/>
  <c r="AO14" i="1"/>
  <c r="AD14" i="1"/>
  <c r="AO21" i="1"/>
  <c r="AD21" i="1"/>
  <c r="AO83" i="1"/>
  <c r="AD83" i="1"/>
  <c r="AO110" i="1"/>
  <c r="AD110" i="1"/>
  <c r="AO89" i="1"/>
  <c r="AD89" i="1"/>
  <c r="AO111" i="1"/>
  <c r="AD111" i="1"/>
  <c r="AD94" i="1"/>
  <c r="AO94" i="1"/>
  <c r="AO20" i="1"/>
  <c r="AD20" i="1"/>
  <c r="AO50" i="1"/>
  <c r="AD50" i="1"/>
  <c r="AD109" i="1"/>
  <c r="Z108" i="1"/>
  <c r="AA108" i="1" s="1"/>
  <c r="AD47" i="1"/>
  <c r="AD82" i="1"/>
  <c r="AD119" i="1"/>
  <c r="AE105" i="1"/>
  <c r="AE34" i="1"/>
  <c r="AO92" i="1"/>
  <c r="AD95" i="1"/>
  <c r="AD43" i="1"/>
  <c r="AD55" i="1"/>
  <c r="AD70" i="1"/>
  <c r="Z118" i="1"/>
  <c r="AA118" i="1" s="1"/>
  <c r="AO127" i="1"/>
  <c r="AD127" i="1"/>
  <c r="AO51" i="1"/>
  <c r="AD51" i="1"/>
  <c r="AD64" i="1"/>
  <c r="AO64" i="1"/>
  <c r="AD52" i="1"/>
  <c r="AO52" i="1"/>
  <c r="AD120" i="1"/>
  <c r="AO120" i="1"/>
  <c r="AD100" i="1"/>
  <c r="AO100" i="1"/>
  <c r="AD40" i="1"/>
  <c r="AO40" i="1"/>
  <c r="AO65" i="1"/>
  <c r="AD65" i="1"/>
  <c r="AO125" i="1"/>
  <c r="AD125" i="1"/>
  <c r="AO126" i="1"/>
  <c r="AD60" i="1"/>
  <c r="AD124" i="1"/>
  <c r="AO124" i="1"/>
  <c r="AO133" i="1"/>
  <c r="AD133" i="1"/>
  <c r="AO58" i="1"/>
  <c r="AD58" i="1"/>
  <c r="AO17" i="1"/>
  <c r="AD17" i="1"/>
  <c r="L5" i="1"/>
  <c r="AO81" i="1" l="1"/>
  <c r="AD81" i="1"/>
  <c r="AD10" i="1"/>
  <c r="AO10" i="1"/>
  <c r="Z5" i="1"/>
  <c r="AD26" i="1"/>
  <c r="AO24" i="1"/>
  <c r="AA5" i="1"/>
  <c r="AD108" i="1"/>
  <c r="AO108" i="1"/>
  <c r="AD118" i="1"/>
  <c r="AO118" i="1"/>
  <c r="AO5" i="1"/>
</calcChain>
</file>

<file path=xl/sharedStrings.xml><?xml version="1.0" encoding="utf-8"?>
<sst xmlns="http://schemas.openxmlformats.org/spreadsheetml/2006/main" count="932" uniqueCount="381">
  <si>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</si>
  <si>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</si>
  <si>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</si>
  <si>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</si>
  <si>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</si>
  <si>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</si>
  <si>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</si>
  <si>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</si>
  <si>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</si>
  <si>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</si>
  <si>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</si>
  <si>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</si>
  <si>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</si>
  <si>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</si>
  <si>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</si>
  <si>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</si>
  <si>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</si>
  <si>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</si>
  <si>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</si>
  <si>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</si>
  <si>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</si>
  <si>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</si>
  <si>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08,09,</t>
  </si>
  <si>
    <t>08,09,недогр</t>
  </si>
  <si>
    <t>08,09,доз</t>
  </si>
  <si>
    <t>12,09,</t>
  </si>
  <si>
    <t>13,09,</t>
  </si>
  <si>
    <t>10,09,</t>
  </si>
  <si>
    <t>03,09,</t>
  </si>
  <si>
    <t>01,09,</t>
  </si>
  <si>
    <t>27,08,</t>
  </si>
  <si>
    <t>25,08,</t>
  </si>
  <si>
    <t>20,08,</t>
  </si>
  <si>
    <t>18,08,</t>
  </si>
  <si>
    <t>13,08,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</si>
  <si>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</si>
  <si>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</si>
  <si>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</si>
  <si>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</si>
  <si>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</si>
  <si>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</si>
  <si>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</si>
  <si>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</si>
  <si>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</si>
  <si>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</si>
  <si>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</si>
  <si>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</si>
  <si>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</si>
  <si>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</si>
  <si>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</si>
  <si>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</si>
  <si>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</si>
  <si>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</si>
  <si>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</si>
  <si>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</si>
  <si>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</si>
  <si>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</si>
  <si>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</si>
  <si>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</si>
  <si>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</si>
  <si>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</si>
  <si>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</si>
  <si>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</si>
  <si>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</si>
  <si>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</si>
  <si>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</si>
  <si>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</si>
  <si>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</si>
  <si>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</si>
  <si>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</si>
  <si>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</si>
  <si>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</si>
  <si>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</si>
  <si>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</si>
  <si>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</si>
  <si>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</si>
  <si>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</si>
  <si>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</si>
  <si>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</si>
  <si>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</si>
  <si>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</si>
  <si>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</si>
  <si>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</si>
  <si>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</si>
  <si>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</si>
  <si>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</si>
  <si>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</si>
  <si>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</si>
  <si>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</si>
  <si>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</si>
  <si>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</si>
  <si>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</si>
  <si>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</si>
  <si>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</si>
  <si>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</si>
  <si>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</si>
  <si>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</si>
  <si>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</si>
  <si>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</si>
  <si>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</si>
  <si>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нужно увеличить продажи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</si>
  <si>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</si>
  <si>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</si>
  <si>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</si>
  <si>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</si>
  <si>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</si>
  <si>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</si>
  <si>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</si>
  <si>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</si>
  <si>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</si>
  <si>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</si>
  <si>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</si>
  <si>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</si>
  <si>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</si>
  <si>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</si>
  <si>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</si>
  <si>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</si>
  <si>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</si>
  <si>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</si>
  <si>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</si>
  <si>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</si>
  <si>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</si>
  <si>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</si>
  <si>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</si>
  <si>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</si>
  <si>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</si>
  <si>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</si>
  <si>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</si>
  <si>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</si>
  <si>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</si>
  <si>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</si>
  <si>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</si>
  <si>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</si>
  <si>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</si>
  <si>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</si>
  <si>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</si>
  <si>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</si>
  <si>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</si>
  <si>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</si>
  <si>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</si>
  <si>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</si>
  <si>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</si>
  <si>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</si>
  <si>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</si>
  <si>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</si>
  <si>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</si>
  <si>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</si>
  <si>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</si>
  <si>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</si>
  <si>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</si>
  <si>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</si>
  <si>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</si>
  <si>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</si>
  <si>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</si>
  <si>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</si>
  <si>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</si>
  <si>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</si>
  <si>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</si>
  <si>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</si>
  <si>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</si>
  <si>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</si>
  <si>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</si>
  <si>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</si>
  <si>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</si>
  <si>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</si>
  <si>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</si>
  <si>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</si>
  <si>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</si>
  <si>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</si>
  <si>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</si>
  <si>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</si>
  <si>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</si>
  <si>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</si>
  <si>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</si>
  <si>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</si>
  <si>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</si>
  <si>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</si>
  <si>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</si>
  <si>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</si>
  <si>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</si>
  <si>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</si>
  <si>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</si>
  <si>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</si>
  <si>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</si>
  <si>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</si>
  <si>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</si>
  <si>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</si>
  <si>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</si>
  <si>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</si>
  <si>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</si>
  <si>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31,07,26 начали заказывать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</si>
  <si>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вышли из ПРОМО (в сентябре)</t>
    </r>
  </si>
  <si>
    <t>нужно увеличить продажи / плюсом 500шт сеть Молоко (21,08,26) / плюсом 300шт сеть Молоко (05,08,26)</t>
  </si>
  <si>
    <t>увеличить</t>
  </si>
  <si>
    <t>заказ</t>
  </si>
  <si>
    <t>14,09,</t>
  </si>
  <si>
    <t>12,09,доз</t>
  </si>
  <si>
    <t>13,09,доз</t>
  </si>
  <si>
    <t>13,09,доз2</t>
  </si>
  <si>
    <t>14,09,доз</t>
  </si>
  <si>
    <t>12,09,недогр</t>
  </si>
  <si>
    <t>SU000126</t>
  </si>
  <si>
    <t>Ветчины Нежная Особая Особая Весовые П/а Особый рецепт большой батон</t>
  </si>
  <si>
    <t>SU000227</t>
  </si>
  <si>
    <t>Сардельки «Стародворские с говядиной» Весовые NDX ТМ «Стародворье»</t>
  </si>
  <si>
    <t>SU000722</t>
  </si>
  <si>
    <t>Вареные колбасы Докторская ГОСТ Вязанка Весовые Вектор Вязанка</t>
  </si>
  <si>
    <t>SU001523</t>
  </si>
  <si>
    <t>Сосиски «Вязанка Молочные» Весовой п/а ТМ «Вязанка»</t>
  </si>
  <si>
    <t>SU001720</t>
  </si>
  <si>
    <t>Сосиски «Вязанка Сливочные» Фикс.вес 0,45 п/а ТМ «Вязанка»</t>
  </si>
  <si>
    <t>SU001721</t>
  </si>
  <si>
    <t>Сосиски «Вязанка Сливочные» Весовой п/а ТМ «Вязанка»</t>
  </si>
  <si>
    <t>SU001869</t>
  </si>
  <si>
    <t>С/к колбасы Швейцарская Бордо Фикс.вес 0,17 Фиброуз терм/п Стародворье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</si>
  <si>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</si>
  <si>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</si>
  <si>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</si>
  <si>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</si>
  <si>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SU002074</t>
  </si>
  <si>
    <t>Сосиски «Молочные для завтрака» Весовой п/а ТМ «Особый рецепт»</t>
  </si>
  <si>
    <t>SU002092</t>
  </si>
  <si>
    <t>С/к колбасы Баварская Бавария Фикс.вес 0,17 б/о терм/п Стародворье</t>
  </si>
  <si>
    <t>SU002150</t>
  </si>
  <si>
    <t>В/к колбасы «Рубленая Запеченная» Весовые Вектор ТМ «Дугушка»</t>
  </si>
  <si>
    <t>SU002151</t>
  </si>
  <si>
    <t>В/к колбасы «Сервелат Запеченный» Весовые Вектор ТМ «Дугушка»</t>
  </si>
  <si>
    <t>SU002158</t>
  </si>
  <si>
    <t>В/к колбасы «Салями Запеченая» Весовые ТМ «Дугушка»</t>
  </si>
  <si>
    <t>SU002205</t>
  </si>
  <si>
    <t>Сосиски «Молочные для завтрака» Фикс.вес 0,4 П/а мгс ТМ «Особый рецепт»</t>
  </si>
  <si>
    <t>SU002354</t>
  </si>
  <si>
    <t>Вареные колбасы «Молокуша» Фикс.вес 0,17 нарезка ТМ «Вязанка»</t>
  </si>
  <si>
    <t>SU002368</t>
  </si>
  <si>
    <t>Паштеты Со сливочным маслом ГОСТ Бордо фикс.вес 0,1 Стародворье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</si>
  <si>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</si>
  <si>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</si>
  <si>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</si>
  <si>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</si>
  <si>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SU002631</t>
  </si>
  <si>
    <t>Вареные колбасы «Молочная Дугушка» Фикс.вес 0,6 П/а ТМ «Дугушка»</t>
  </si>
  <si>
    <t>SU002632</t>
  </si>
  <si>
    <t>Вареные колбасы «Докторская ГОСТ» Фикс.вес 0,6 п/а ТМ «Дугушка»</t>
  </si>
  <si>
    <t>SU002634</t>
  </si>
  <si>
    <t>Вареные колбасы «Дугушка Стародворская» Вес п/а ТМ «Дугушка»</t>
  </si>
  <si>
    <t>SU002643</t>
  </si>
  <si>
    <t>Ветчины «Дугушка» Фикс.вес 0,6 полиамид ТМ «Дугушка»</t>
  </si>
  <si>
    <t>SU002686</t>
  </si>
  <si>
    <t>Сосиски Сочинки с сыром Бордо ф/в 0,4 кг п/а Стародворье</t>
  </si>
  <si>
    <t>SU002725</t>
  </si>
  <si>
    <t>Сосиски «Сочинки» Весовой п/а ТМ «Стародворье»</t>
  </si>
  <si>
    <t>SU002734</t>
  </si>
  <si>
    <t>Вареные колбасы «Сливушка» Фикс.вес 0,45 п/а ТМ «Вязанка»</t>
  </si>
  <si>
    <t>SU002735</t>
  </si>
  <si>
    <t>Ветчины «Сливушка с индейкой» Фикс.вес 0,4 п/а ТМ «Вязанка»</t>
  </si>
  <si>
    <t>SU002799</t>
  </si>
  <si>
    <t>Сосиски Сочинки по-баварски Бавария Фикс.вес 0,4 П/а мгс Стародворье</t>
  </si>
  <si>
    <t>SU002801</t>
  </si>
  <si>
    <t>Сосиски «Сочинки по-баварски с сыром» Фикс.вес 0,4 П/а мгс ТМ «Стародворье»</t>
  </si>
  <si>
    <t>SU002816</t>
  </si>
  <si>
    <t>Вареные колбасы Молокуша Вязанка Фикс.вес 0,45 п/а Вязанка</t>
  </si>
  <si>
    <t>SU002829</t>
  </si>
  <si>
    <t>Вареные колбасы «Филейская» Весовые Вектор ТМ «Вязанка»</t>
  </si>
  <si>
    <t>SU002830</t>
  </si>
  <si>
    <t>Вареные колбасы Молокуша Вязанка Вес п/а Вязанка</t>
  </si>
  <si>
    <t>SU002840</t>
  </si>
  <si>
    <t>Паштеты «Печеночный с морковью ГОСТ» Фикс.вес 0,1 ТМ «Стародворье»</t>
  </si>
  <si>
    <t>SU002841</t>
  </si>
  <si>
    <t>Паштеты «Любительский ГОСТ» Фикс.вес 0,1 ТМ «Стародворье»</t>
  </si>
  <si>
    <t>SU002842</t>
  </si>
  <si>
    <t>Сосиски «Сочинки Молочные» Фикс.вес 0,4 п/а мгс ТМ «Стародворье»</t>
  </si>
  <si>
    <t>SU002843</t>
  </si>
  <si>
    <t>Сосиски «Сочинки Молочные» Весовой п/а мгс ТМ «Стародворье»</t>
  </si>
  <si>
    <t>SU002844</t>
  </si>
  <si>
    <t>Сосиски «Сочинки Сливочные» Фикс.вес 0,4 п/а мгс ТМ «Стародворье»</t>
  </si>
  <si>
    <t>SU002845</t>
  </si>
  <si>
    <t>Сосиски «Сочинки Сливочные» Весовые ТМ «Стародворье» 1,35 кг</t>
  </si>
  <si>
    <t>SU002847</t>
  </si>
  <si>
    <t>В/к колбасы Сервелат Мясорубский с мелкорубленным окороком Бордо Весовой фиброуз Стародворье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</si>
  <si>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</si>
  <si>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</si>
  <si>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</si>
  <si>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</si>
  <si>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</si>
  <si>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</si>
  <si>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</si>
  <si>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</si>
  <si>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</si>
  <si>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</si>
  <si>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</si>
  <si>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</si>
  <si>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</si>
  <si>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</si>
  <si>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SU002983</t>
  </si>
  <si>
    <t>Колбаса вареная Мусульманская ТМ Вязанка Халяль вектор ф/в 0,4 кг Казахстан АК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</si>
  <si>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</si>
  <si>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</si>
  <si>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</si>
  <si>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</si>
  <si>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SU003178</t>
  </si>
  <si>
    <t>Копченые колбасы «Сервелат Мясорубский» Фикс.вес 0,08 нарезка ТМ «Стародворье»</t>
  </si>
  <si>
    <t>SU003642</t>
  </si>
  <si>
    <t>Вареные колбасы «Филейская со шпиком» Весовой п/а ТМ «Вязанка»</t>
  </si>
  <si>
    <t>SU003745</t>
  </si>
  <si>
    <t>Вареные колбасы «Сливушка» Фикс.вес 0,11 нарезка ТМ «Вязанка»</t>
  </si>
  <si>
    <t>SU003751</t>
  </si>
  <si>
    <t>Копченые колбасы «Сервелат Финский» Фикс.вес 0,09 нарезка ТМ «Вязанка»</t>
  </si>
  <si>
    <t>SU003753</t>
  </si>
  <si>
    <t>Копченые колбасы «Балыковая » Фикс.вес 0,09 нарезка ТМ «Вязанка»</t>
  </si>
  <si>
    <t>SU003829</t>
  </si>
  <si>
    <t>Копченые колбасы «Сервелат Мясорубский Делюкс»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</si>
  <si>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</si>
  <si>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</si>
  <si>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</si>
  <si>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</si>
  <si>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</si>
  <si>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</si>
  <si>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SU003921</t>
  </si>
  <si>
    <t>Деликатесы в/к «Грудинка копчено-вареная» Фикс.вес 0,12 нарезка ТМ «Стародворье»</t>
  </si>
  <si>
    <t>SU003988</t>
  </si>
  <si>
    <t>Копченые колбасы «Сервелат Ореховый» Фикс.вес 0,09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</si>
  <si>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</si>
  <si>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</si>
  <si>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SU004039</t>
  </si>
  <si>
    <t>Копченые колбасы «Балыковая» Фикс.вес 0,28 фиброуз срез ТМ «Вязанка»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</si>
  <si>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</si>
  <si>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</si>
  <si>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</si>
  <si>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</si>
  <si>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</si>
  <si>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</si>
  <si>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</si>
  <si>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</si>
  <si>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SU004047</t>
  </si>
  <si>
    <t>Копченые колбасы «Сервелат Финский» Весовой фиброуз ТМ «Вязанка»</t>
  </si>
  <si>
    <t>SU004053</t>
  </si>
  <si>
    <t>Сосиски «Сочные» Фикс.вес 0,3 П/а мгс ТМ «Вязанка»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</si>
  <si>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</si>
  <si>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</si>
  <si>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</si>
  <si>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</si>
  <si>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SU004106</t>
  </si>
  <si>
    <t>Вареные колбасы «Со шпиком» Весовой п/а ТМ «Стародворье»</t>
  </si>
  <si>
    <t>SU004144</t>
  </si>
  <si>
    <t>Консервы «Гречка по-купечески с говядиной и овощами» Фикс.вес 0,325 ТМ «Стародворье»</t>
  </si>
  <si>
    <t>SU004145</t>
  </si>
  <si>
    <t>Консервы «Индейка томленая в собственном соку» Фикс.вес 0,25 ТМ «Стародворье»</t>
  </si>
  <si>
    <t>SU004146</t>
  </si>
  <si>
    <t>Консервы «Буженина в пряном маринаде» Фикс.вес 0,25 ТМ «Стародворье»</t>
  </si>
  <si>
    <t>SU004157</t>
  </si>
  <si>
    <t>Вареные колбасы «Мясная Классическая» Весовой п/а ТМ «Вязанка»</t>
  </si>
  <si>
    <t>SU004238</t>
  </si>
  <si>
    <t>Вареные колбасы «Докторская Классическая» Весовой п/а ТМ «Особый рецепт»</t>
  </si>
  <si>
    <t>13,09,недогр</t>
  </si>
  <si>
    <t>SU001920</t>
  </si>
  <si>
    <t>С/к колбасы Княжеская Бордо Весовые б/о терм/п Стародворье</t>
  </si>
  <si>
    <t>SU001485</t>
  </si>
  <si>
    <t>Вареные колбасы Докторская ГОСТ Вязанка Фикс.вес 0,4 Вектор Вязанка</t>
  </si>
  <si>
    <t>SU001718</t>
  </si>
  <si>
    <t>Сосиски «Вязанка Молочные» Фикс.вес 0,45 п/а ТМ «Вязанка»</t>
  </si>
  <si>
    <t>SU001822</t>
  </si>
  <si>
    <t>В/к колбасы Кремлевский Бордо Весовые Фиброуз в/у Стародворье</t>
  </si>
  <si>
    <t>SU002252</t>
  </si>
  <si>
    <t>П/к колбасы Кракушка пряная с сальцем Бавария Фикс.вес 0,3 н/о в/у Стародворье</t>
  </si>
  <si>
    <t>SU002828</t>
  </si>
  <si>
    <t>Ветчины «Филейская» Весовые Вектор ТМ «Вязанка»</t>
  </si>
  <si>
    <t>SU002928</t>
  </si>
  <si>
    <t>Вареные колбасы «Сливушка» Вес П/а ТМ «Вязанка»</t>
  </si>
  <si>
    <t>SU002985</t>
  </si>
  <si>
    <t>П/к колбасы «Аль-Ислами халяль» ф/в 0,35 фиброуз ТМ «Вязанка»</t>
  </si>
  <si>
    <t>SU003392</t>
  </si>
  <si>
    <t>Вареные колбасы «Стародворская Традиционная» Весовой п/а ТМ «Стародворье»</t>
  </si>
  <si>
    <t>SU003420</t>
  </si>
  <si>
    <t>Вареные колбасы «Филейная» Весовой п/а ТМ «Особый рецепт» большой батон</t>
  </si>
  <si>
    <t>SU003423</t>
  </si>
  <si>
    <t>Вареные колбасы «Со шпиком» Весовой п/а ТМ «Особый рецепт» большой батон</t>
  </si>
  <si>
    <t>SU003665</t>
  </si>
  <si>
    <t>Сосиски «Сосиски с сыром» Фикс.вес 0,3 вискофан ТМ «Ядрена копоть»</t>
  </si>
  <si>
    <t>SU004131</t>
  </si>
  <si>
    <t>Вареные колбасы «Ветчинно-рубленая» Весовой п/а ТМ «Особый рецепт»</t>
  </si>
  <si>
    <t>14,09,недогр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</si>
</sst>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#,##0_ ;[Red]\-#,##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4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4" fillId="4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4" fillId="8" borderId="1" xfId="1" applyNumberFormat="1" applyFont="1" applyFill="1"/>
    <xf numFmtId="164" fontId="1" fillId="9" borderId="1" xfId="1" applyNumberForma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6" borderId="1" xfId="1" applyNumberFormat="1" applyFont="1" applyFill="1"/>
    <xf numFmtId="0" fontId="7" fillId="0" borderId="1" xfId="0" applyFont="1"/>
    <xf numFmtId="164" fontId="8" fillId="0" borderId="2" xfId="1" applyNumberFormat="1" applyFont="1" applyBorder="1"/>
    <xf numFmtId="0" fontId="7" fillId="0" borderId="0" xfId="0" applyFont="1" applyBorder="1"/>
    <xf numFmtId="164" fontId="6" fillId="0" borderId="1" xfId="1" applyNumberFormat="1" applyFont="1"/>
    <xf numFmtId="164" fontId="6" fillId="3" borderId="1" xfId="1" applyNumberFormat="1" applyFont="1" applyFill="1"/>
    <xf numFmtId="164" fontId="6" fillId="6" borderId="1" xfId="1" applyNumberFormat="1" applyFont="1" applyFill="1"/>
    <xf numFmtId="0" fontId="10" fillId="0" borderId="1" xfId="0" applyFon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3" xfId="0" applyNumberFormat="1" applyBorder="1" applyAlignment="1">
      <alignment horizontal="center"/>
    </xf>
    <xf numFmtId="0" fontId="0" fillId="8" borderId="3" xfId="0" applyFill="1" applyBorder="1"/>
    <xf numFmtId="3" fontId="0" fillId="8" borderId="3" xfId="0" applyNumberFormat="1" applyFill="1" applyBorder="1"/>
    <xf numFmtId="164" fontId="0" fillId="8" borderId="3" xfId="0" applyNumberFormat="1" applyFill="1" applyBorder="1"/>
    <xf numFmtId="0" fontId="0" fillId="0" borderId="3" xfId="0" applyBorder="1"/>
    <xf numFmtId="3" fontId="0" fillId="0" borderId="3" xfId="0" applyNumberFormat="1" applyBorder="1"/>
    <xf numFmtId="164" fontId="0" fillId="0" borderId="3" xfId="0" applyNumberFormat="1" applyBorder="1"/>
    <xf numFmtId="164" fontId="6" fillId="0" borderId="2" xfId="1" applyNumberFormat="1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27" activePane="bottomRight" state="frozen"/>
      <selection pane="topRight"/>
      <selection pane="bottomLeft"/>
      <selection pane="bottomRight" activeCell="Z1" sqref="Z1"/>
    </sheetView>
  </sheetViews>
  <sheetFormatPr defaultRowHeight="15" x14ac:dyDescent="0.25"/>
  <cols>
    <col min="1" max="1" width="52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8" width="7" customWidth="1"/>
    <col min="19" max="19" width="7" style="31" customWidth="1"/>
    <col min="20" max="20" width="7" style="25" customWidth="1"/>
    <col min="21" max="21" width="7" customWidth="1"/>
    <col min="22" max="22" width="7" style="31" customWidth="1"/>
    <col min="23" max="24" width="7" style="25" customWidth="1"/>
    <col min="25" max="27" width="7" customWidth="1"/>
    <col min="28" max="28" width="7" style="31" customWidth="1"/>
    <col min="29" max="29" width="7" style="27" customWidth="1"/>
    <col min="30" max="31" width="5" customWidth="1"/>
    <col min="32" max="39" width="7" customWidth="1"/>
    <col min="40" max="40" width="38.42578125" customWidth="1"/>
    <col min="41" max="41" width="7" customWidth="1"/>
    <col min="42" max="52" width="8" customWidth="1"/>
  </cols>
  <sheetData>
    <row r="1" spans="1:52" x14ac:dyDescent="0.25">
      <c r="A1" s="20" t="s">
        <v>193</v>
      </c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8"/>
      <c r="T1" s="21"/>
      <c r="U1" s="1"/>
      <c r="V1" s="28"/>
      <c r="W1" s="21"/>
      <c r="X1" s="21"/>
      <c r="Y1" s="1"/>
      <c r="Z1" s="1"/>
      <c r="AA1" s="1"/>
      <c r="AB1" s="28"/>
      <c r="AC1" s="2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8"/>
      <c r="T2" s="21">
        <v>790</v>
      </c>
      <c r="U2" s="1"/>
      <c r="V2" s="28"/>
      <c r="W2" s="21">
        <v>600</v>
      </c>
      <c r="X2" s="21">
        <v>1200</v>
      </c>
      <c r="Y2" s="1"/>
      <c r="Z2" s="1"/>
      <c r="AA2" s="1"/>
      <c r="AB2" s="28"/>
      <c r="AC2" s="21">
        <v>600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3" t="s">
        <v>14</v>
      </c>
      <c r="T3" s="22" t="s">
        <v>14</v>
      </c>
      <c r="U3" s="2" t="s">
        <v>14</v>
      </c>
      <c r="V3" s="3" t="s">
        <v>14</v>
      </c>
      <c r="W3" s="2" t="s">
        <v>14</v>
      </c>
      <c r="X3" s="2" t="s">
        <v>14</v>
      </c>
      <c r="Y3" s="2" t="s">
        <v>15</v>
      </c>
      <c r="Z3" s="3" t="s">
        <v>16</v>
      </c>
      <c r="AA3" s="3" t="s">
        <v>194</v>
      </c>
      <c r="AB3" s="3" t="s">
        <v>194</v>
      </c>
      <c r="AC3" s="3" t="s">
        <v>194</v>
      </c>
      <c r="AD3" s="2" t="s">
        <v>17</v>
      </c>
      <c r="AE3" s="2" t="s">
        <v>18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20</v>
      </c>
      <c r="AO3" s="2" t="s">
        <v>21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28" t="s">
        <v>200</v>
      </c>
      <c r="T4" s="21" t="s">
        <v>196</v>
      </c>
      <c r="U4" s="1" t="s">
        <v>26</v>
      </c>
      <c r="V4" s="28" t="s">
        <v>353</v>
      </c>
      <c r="W4" s="21" t="s">
        <v>197</v>
      </c>
      <c r="X4" s="21" t="s">
        <v>198</v>
      </c>
      <c r="Y4" s="1" t="s">
        <v>27</v>
      </c>
      <c r="Z4" s="1"/>
      <c r="AA4" s="1" t="s">
        <v>195</v>
      </c>
      <c r="AB4" s="28" t="s">
        <v>380</v>
      </c>
      <c r="AC4" s="21" t="s">
        <v>199</v>
      </c>
      <c r="AD4" s="1"/>
      <c r="AE4" s="1"/>
      <c r="AF4" s="1" t="s">
        <v>22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33</v>
      </c>
      <c r="AM4" s="1" t="s">
        <v>34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67740.418999999994</v>
      </c>
      <c r="F5" s="4">
        <f>SUM(F6:F498)</f>
        <v>58267.452999999987</v>
      </c>
      <c r="G5" s="7"/>
      <c r="H5" s="1"/>
      <c r="I5" s="1"/>
      <c r="J5" s="1"/>
      <c r="K5" s="4">
        <f t="shared" ref="K5:AA5" si="0">SUM(K6:K498)</f>
        <v>81068.272999999972</v>
      </c>
      <c r="L5" s="4">
        <f t="shared" si="0"/>
        <v>-13327.854000000003</v>
      </c>
      <c r="M5" s="4">
        <f t="shared" si="0"/>
        <v>65041.180000000015</v>
      </c>
      <c r="N5" s="4">
        <f t="shared" si="0"/>
        <v>2699.239</v>
      </c>
      <c r="O5" s="4">
        <f t="shared" si="0"/>
        <v>26446.641866666665</v>
      </c>
      <c r="P5" s="4">
        <f t="shared" si="0"/>
        <v>-2558.6</v>
      </c>
      <c r="Q5" s="4">
        <f t="shared" si="0"/>
        <v>1700</v>
      </c>
      <c r="R5" s="4">
        <f t="shared" si="0"/>
        <v>26018.109639700004</v>
      </c>
      <c r="S5" s="29">
        <f t="shared" ref="S5" si="1">SUM(S6:S498)</f>
        <v>0</v>
      </c>
      <c r="T5" s="23">
        <f t="shared" ref="T5" si="2">SUM(T6:T498)</f>
        <v>790</v>
      </c>
      <c r="U5" s="4">
        <f t="shared" si="0"/>
        <v>21865.361596540002</v>
      </c>
      <c r="V5" s="29">
        <f t="shared" si="0"/>
        <v>0</v>
      </c>
      <c r="W5" s="23">
        <f t="shared" ref="W5" si="3">SUM(W6:W498)</f>
        <v>600</v>
      </c>
      <c r="X5" s="23">
        <f t="shared" ref="X5" si="4">SUM(X6:X498)</f>
        <v>1200</v>
      </c>
      <c r="Y5" s="4">
        <f t="shared" si="0"/>
        <v>13008.235999999999</v>
      </c>
      <c r="Z5" s="4">
        <f t="shared" si="0"/>
        <v>23123.544397093337</v>
      </c>
      <c r="AA5" s="4">
        <f t="shared" si="0"/>
        <v>24261.31734709334</v>
      </c>
      <c r="AB5" s="29">
        <f t="shared" ref="AB5" si="5">SUM(AB6:AB498)</f>
        <v>0</v>
      </c>
      <c r="AC5" s="23">
        <f t="shared" ref="AC5" si="6">SUM(AC6:AC498)</f>
        <v>600</v>
      </c>
      <c r="AD5" s="1"/>
      <c r="AE5" s="1"/>
      <c r="AF5" s="4">
        <f t="shared" ref="AF5:AM5" si="7">SUM(AF6:AF498)</f>
        <v>13739.648800000001</v>
      </c>
      <c r="AG5" s="4">
        <f t="shared" si="7"/>
        <v>10910.368200000003</v>
      </c>
      <c r="AH5" s="4">
        <f t="shared" si="7"/>
        <v>9135.7952000000078</v>
      </c>
      <c r="AI5" s="4">
        <f t="shared" si="7"/>
        <v>10198.597200000002</v>
      </c>
      <c r="AJ5" s="4">
        <f t="shared" si="7"/>
        <v>11150.824600000005</v>
      </c>
      <c r="AK5" s="4">
        <f t="shared" si="7"/>
        <v>11727.188200000004</v>
      </c>
      <c r="AL5" s="4">
        <f t="shared" si="7"/>
        <v>13329.141600000003</v>
      </c>
      <c r="AM5" s="4">
        <f t="shared" si="7"/>
        <v>12669.826800000004</v>
      </c>
      <c r="AN5" s="1"/>
      <c r="AO5" s="4">
        <f>SUM(AO6:AO498)</f>
        <v>17400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2200.692</v>
      </c>
      <c r="D6" s="1">
        <v>2328.5949999999998</v>
      </c>
      <c r="E6" s="1">
        <v>1725.925</v>
      </c>
      <c r="F6" s="1">
        <v>2600.7150000000001</v>
      </c>
      <c r="G6" s="7">
        <v>1</v>
      </c>
      <c r="H6" s="1">
        <v>50</v>
      </c>
      <c r="I6" s="1" t="s">
        <v>37</v>
      </c>
      <c r="J6" s="1"/>
      <c r="K6" s="1">
        <v>1884.633</v>
      </c>
      <c r="L6" s="1">
        <f t="shared" ref="L6:L37" si="8">E6-K6</f>
        <v>-158.70800000000008</v>
      </c>
      <c r="M6" s="1">
        <f t="shared" ref="M6:M37" si="9">E6-N6</f>
        <v>1617.9949999999999</v>
      </c>
      <c r="N6" s="1">
        <v>107.93</v>
      </c>
      <c r="O6" s="1">
        <v>0</v>
      </c>
      <c r="P6" s="1"/>
      <c r="Q6" s="1"/>
      <c r="R6" s="1">
        <v>149</v>
      </c>
      <c r="S6" s="28"/>
      <c r="T6" s="21"/>
      <c r="U6" s="1">
        <v>328</v>
      </c>
      <c r="V6" s="28"/>
      <c r="W6" s="21"/>
      <c r="X6" s="21"/>
      <c r="Y6" s="1">
        <f t="shared" ref="Y6:Y37" si="10">M6/5</f>
        <v>323.59899999999999</v>
      </c>
      <c r="Z6" s="5">
        <f>11.5*Y6-U6-R6-Q6-P6-O6-F6</f>
        <v>643.67349999999988</v>
      </c>
      <c r="AA6" s="5">
        <v>700</v>
      </c>
      <c r="AB6" s="41"/>
      <c r="AC6" s="26"/>
      <c r="AD6" s="1">
        <f t="shared" ref="AD6:AD37" si="11">(F6+O6+P6+Q6+R6+U6+AA6)/Y6</f>
        <v>11.674062651615117</v>
      </c>
      <c r="AE6" s="1">
        <f t="shared" ref="AE6:AE37" si="12">(F6+O6+P6+Q6+R6+U6)/Y6</f>
        <v>9.5108915664139886</v>
      </c>
      <c r="AF6" s="1">
        <v>328.35</v>
      </c>
      <c r="AG6" s="1">
        <v>238.09880000000001</v>
      </c>
      <c r="AH6" s="1">
        <v>226.9384</v>
      </c>
      <c r="AI6" s="1">
        <v>306.53539999999998</v>
      </c>
      <c r="AJ6" s="1">
        <v>373.97739999999999</v>
      </c>
      <c r="AK6" s="1">
        <v>325.6216</v>
      </c>
      <c r="AL6" s="1">
        <v>402.60879999999997</v>
      </c>
      <c r="AM6" s="1">
        <v>419.20679999999999</v>
      </c>
      <c r="AN6" s="1"/>
      <c r="AO6" s="1">
        <f t="shared" ref="AO6:AO37" si="13">ROUND(G6*AA6,0)</f>
        <v>700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-85.807000000000002</v>
      </c>
      <c r="D7" s="1">
        <v>3627.6579999999999</v>
      </c>
      <c r="E7" s="1">
        <v>1252.1610000000001</v>
      </c>
      <c r="F7" s="1">
        <v>2098.0129999999999</v>
      </c>
      <c r="G7" s="7">
        <v>1</v>
      </c>
      <c r="H7" s="1">
        <v>45</v>
      </c>
      <c r="I7" s="1" t="s">
        <v>37</v>
      </c>
      <c r="J7" s="1"/>
      <c r="K7" s="1">
        <v>1222.7719999999999</v>
      </c>
      <c r="L7" s="1">
        <f t="shared" si="8"/>
        <v>29.389000000000124</v>
      </c>
      <c r="M7" s="1">
        <f t="shared" si="9"/>
        <v>1252.1610000000001</v>
      </c>
      <c r="N7" s="1"/>
      <c r="O7" s="1">
        <v>200</v>
      </c>
      <c r="P7" s="1"/>
      <c r="Q7" s="1"/>
      <c r="R7" s="1">
        <v>353</v>
      </c>
      <c r="S7" s="28"/>
      <c r="T7" s="21"/>
      <c r="U7" s="1">
        <v>647</v>
      </c>
      <c r="V7" s="28"/>
      <c r="W7" s="21"/>
      <c r="X7" s="21"/>
      <c r="Y7" s="1">
        <f t="shared" si="10"/>
        <v>250.43220000000002</v>
      </c>
      <c r="Z7" s="5"/>
      <c r="AA7" s="5">
        <f t="shared" ref="AA7:AA70" si="14">Z7</f>
        <v>0</v>
      </c>
      <c r="AB7" s="41"/>
      <c r="AC7" s="26"/>
      <c r="AD7" s="1">
        <f t="shared" si="11"/>
        <v>13.169284940195389</v>
      </c>
      <c r="AE7" s="1">
        <f t="shared" si="12"/>
        <v>13.169284940195389</v>
      </c>
      <c r="AF7" s="1">
        <v>253.25299999999999</v>
      </c>
      <c r="AG7" s="1">
        <v>222.0264</v>
      </c>
      <c r="AH7" s="1">
        <v>176.40700000000001</v>
      </c>
      <c r="AI7" s="1">
        <v>267.92</v>
      </c>
      <c r="AJ7" s="1">
        <v>195.1114</v>
      </c>
      <c r="AK7" s="1">
        <v>216.3058</v>
      </c>
      <c r="AL7" s="1">
        <v>223.072</v>
      </c>
      <c r="AM7" s="1">
        <v>285.97500000000002</v>
      </c>
      <c r="AN7" s="1" t="s">
        <v>39</v>
      </c>
      <c r="AO7" s="1">
        <f t="shared" si="13"/>
        <v>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36</v>
      </c>
      <c r="C8" s="1">
        <v>1052.7650000000001</v>
      </c>
      <c r="D8" s="1">
        <v>5906.96</v>
      </c>
      <c r="E8" s="1">
        <v>3887.1210000000001</v>
      </c>
      <c r="F8" s="1">
        <v>2355.799</v>
      </c>
      <c r="G8" s="7">
        <v>1</v>
      </c>
      <c r="H8" s="1">
        <v>45</v>
      </c>
      <c r="I8" s="1" t="s">
        <v>37</v>
      </c>
      <c r="J8" s="1"/>
      <c r="K8" s="1">
        <v>4274.1490000000003</v>
      </c>
      <c r="L8" s="1">
        <f t="shared" si="8"/>
        <v>-387.02800000000025</v>
      </c>
      <c r="M8" s="1">
        <f t="shared" si="9"/>
        <v>3757.6640000000002</v>
      </c>
      <c r="N8" s="1">
        <v>129.45699999999999</v>
      </c>
      <c r="O8" s="1">
        <v>3200</v>
      </c>
      <c r="P8" s="1"/>
      <c r="Q8" s="1"/>
      <c r="R8" s="1">
        <v>1129.5999999999999</v>
      </c>
      <c r="S8" s="28"/>
      <c r="T8" s="21"/>
      <c r="U8" s="1">
        <v>2070.4</v>
      </c>
      <c r="V8" s="28"/>
      <c r="W8" s="21"/>
      <c r="X8" s="21"/>
      <c r="Y8" s="1">
        <f t="shared" si="10"/>
        <v>751.53280000000007</v>
      </c>
      <c r="Z8" s="5"/>
      <c r="AA8" s="5">
        <f t="shared" si="14"/>
        <v>0</v>
      </c>
      <c r="AB8" s="41"/>
      <c r="AC8" s="26"/>
      <c r="AD8" s="1">
        <f t="shared" si="11"/>
        <v>11.650587971676018</v>
      </c>
      <c r="AE8" s="1">
        <f t="shared" si="12"/>
        <v>11.650587971676018</v>
      </c>
      <c r="AF8" s="1">
        <v>847.03899999999999</v>
      </c>
      <c r="AG8" s="1">
        <v>565.60299999999995</v>
      </c>
      <c r="AH8" s="1">
        <v>418.56079999999997</v>
      </c>
      <c r="AI8" s="1">
        <v>617.84820000000002</v>
      </c>
      <c r="AJ8" s="1">
        <v>615.27340000000004</v>
      </c>
      <c r="AK8" s="1">
        <v>546.42439999999988</v>
      </c>
      <c r="AL8" s="1">
        <v>608.08999999999992</v>
      </c>
      <c r="AM8" s="1">
        <v>673.42660000000001</v>
      </c>
      <c r="AN8" s="1" t="s">
        <v>39</v>
      </c>
      <c r="AO8" s="1">
        <f t="shared" si="13"/>
        <v>0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27</v>
      </c>
      <c r="D9" s="1">
        <v>5</v>
      </c>
      <c r="E9" s="1">
        <v>12</v>
      </c>
      <c r="F9" s="1">
        <v>20</v>
      </c>
      <c r="G9" s="7">
        <v>0.4</v>
      </c>
      <c r="H9" s="1">
        <v>50</v>
      </c>
      <c r="I9" s="1" t="s">
        <v>37</v>
      </c>
      <c r="J9" s="1"/>
      <c r="K9" s="1">
        <v>14</v>
      </c>
      <c r="L9" s="1">
        <f t="shared" si="8"/>
        <v>-2</v>
      </c>
      <c r="M9" s="1">
        <f t="shared" si="9"/>
        <v>12</v>
      </c>
      <c r="N9" s="1"/>
      <c r="O9" s="1">
        <v>0</v>
      </c>
      <c r="P9" s="1"/>
      <c r="Q9" s="1"/>
      <c r="R9" s="1">
        <v>0</v>
      </c>
      <c r="S9" s="28"/>
      <c r="T9" s="21"/>
      <c r="U9" s="1"/>
      <c r="V9" s="28"/>
      <c r="W9" s="21"/>
      <c r="X9" s="21"/>
      <c r="Y9" s="1">
        <f t="shared" si="10"/>
        <v>2.4</v>
      </c>
      <c r="Z9" s="5">
        <f>11.5*Y9-U9-R9-Q9-P9-O9-F9</f>
        <v>7.5999999999999979</v>
      </c>
      <c r="AA9" s="5">
        <f t="shared" si="14"/>
        <v>7.5999999999999979</v>
      </c>
      <c r="AB9" s="41"/>
      <c r="AC9" s="26"/>
      <c r="AD9" s="1">
        <f t="shared" si="11"/>
        <v>11.5</v>
      </c>
      <c r="AE9" s="1">
        <f t="shared" si="12"/>
        <v>8.3333333333333339</v>
      </c>
      <c r="AF9" s="1">
        <v>1.8</v>
      </c>
      <c r="AG9" s="1">
        <v>-0.2</v>
      </c>
      <c r="AH9" s="1">
        <v>0.2</v>
      </c>
      <c r="AI9" s="1">
        <v>1.2</v>
      </c>
      <c r="AJ9" s="1">
        <v>2.8</v>
      </c>
      <c r="AK9" s="1">
        <v>1.4</v>
      </c>
      <c r="AL9" s="1">
        <v>1.4</v>
      </c>
      <c r="AM9" s="1">
        <v>1.8</v>
      </c>
      <c r="AN9" s="1" t="s">
        <v>43</v>
      </c>
      <c r="AO9" s="1">
        <f t="shared" si="13"/>
        <v>3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42</v>
      </c>
      <c r="C10" s="1">
        <v>1916.376</v>
      </c>
      <c r="D10" s="1">
        <v>1896.982</v>
      </c>
      <c r="E10" s="1">
        <v>2578.3359999999998</v>
      </c>
      <c r="F10" s="1">
        <v>691.04</v>
      </c>
      <c r="G10" s="7">
        <v>0.45</v>
      </c>
      <c r="H10" s="1">
        <v>45</v>
      </c>
      <c r="I10" s="1" t="s">
        <v>37</v>
      </c>
      <c r="J10" s="1"/>
      <c r="K10" s="1">
        <v>3645</v>
      </c>
      <c r="L10" s="1">
        <f t="shared" si="8"/>
        <v>-1066.6640000000002</v>
      </c>
      <c r="M10" s="1">
        <f t="shared" si="9"/>
        <v>2572.3359999999998</v>
      </c>
      <c r="N10" s="1">
        <v>6</v>
      </c>
      <c r="O10" s="1">
        <v>1700</v>
      </c>
      <c r="P10" s="1"/>
      <c r="Q10" s="1"/>
      <c r="R10" s="1">
        <v>0</v>
      </c>
      <c r="S10" s="28"/>
      <c r="T10" s="21"/>
      <c r="U10" s="1"/>
      <c r="V10" s="28"/>
      <c r="W10" s="21"/>
      <c r="X10" s="21"/>
      <c r="Y10" s="1">
        <f t="shared" si="10"/>
        <v>514.46719999999993</v>
      </c>
      <c r="Z10" s="5">
        <f>11.5*Y10-U10-R10-Q10-P10-O10-F10</f>
        <v>3525.3327999999992</v>
      </c>
      <c r="AA10" s="5">
        <f t="shared" si="14"/>
        <v>3525.3327999999992</v>
      </c>
      <c r="AB10" s="41"/>
      <c r="AC10" s="26"/>
      <c r="AD10" s="1">
        <f t="shared" si="11"/>
        <v>11.5</v>
      </c>
      <c r="AE10" s="1">
        <f t="shared" si="12"/>
        <v>4.6476043565070819</v>
      </c>
      <c r="AF10" s="1">
        <v>409.86599999999999</v>
      </c>
      <c r="AG10" s="1">
        <v>437.2</v>
      </c>
      <c r="AH10" s="1">
        <v>412</v>
      </c>
      <c r="AI10" s="1">
        <v>405</v>
      </c>
      <c r="AJ10" s="1">
        <v>449</v>
      </c>
      <c r="AK10" s="1">
        <v>492.83479999999997</v>
      </c>
      <c r="AL10" s="1">
        <v>540.4348</v>
      </c>
      <c r="AM10" s="1">
        <v>426.41899999999998</v>
      </c>
      <c r="AN10" s="1"/>
      <c r="AO10" s="1">
        <f t="shared" si="13"/>
        <v>1586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2323.6550000000002</v>
      </c>
      <c r="D11" s="1">
        <v>4047.223</v>
      </c>
      <c r="E11" s="1">
        <v>2775.3809999999999</v>
      </c>
      <c r="F11" s="1">
        <v>2925.2739999999999</v>
      </c>
      <c r="G11" s="7">
        <v>0.45</v>
      </c>
      <c r="H11" s="1">
        <v>45</v>
      </c>
      <c r="I11" s="1" t="s">
        <v>37</v>
      </c>
      <c r="J11" s="1"/>
      <c r="K11" s="1">
        <v>2922</v>
      </c>
      <c r="L11" s="1">
        <f t="shared" si="8"/>
        <v>-146.61900000000014</v>
      </c>
      <c r="M11" s="1">
        <f t="shared" si="9"/>
        <v>2769.3809999999999</v>
      </c>
      <c r="N11" s="1">
        <v>6</v>
      </c>
      <c r="O11" s="1">
        <v>2000</v>
      </c>
      <c r="P11" s="1"/>
      <c r="Q11" s="1"/>
      <c r="R11" s="1">
        <v>706</v>
      </c>
      <c r="S11" s="28"/>
      <c r="T11" s="21"/>
      <c r="U11" s="1">
        <v>1294</v>
      </c>
      <c r="V11" s="28"/>
      <c r="W11" s="21"/>
      <c r="X11" s="21"/>
      <c r="Y11" s="1">
        <f t="shared" si="10"/>
        <v>553.87619999999993</v>
      </c>
      <c r="Z11" s="5"/>
      <c r="AA11" s="5">
        <f t="shared" si="14"/>
        <v>0</v>
      </c>
      <c r="AB11" s="41"/>
      <c r="AC11" s="26"/>
      <c r="AD11" s="1">
        <f t="shared" si="11"/>
        <v>12.503288641035669</v>
      </c>
      <c r="AE11" s="1">
        <f t="shared" si="12"/>
        <v>12.503288641035669</v>
      </c>
      <c r="AF11" s="1">
        <v>632.423</v>
      </c>
      <c r="AG11" s="1">
        <v>674.2</v>
      </c>
      <c r="AH11" s="1">
        <v>625.20000000000005</v>
      </c>
      <c r="AI11" s="1">
        <v>641.4</v>
      </c>
      <c r="AJ11" s="1">
        <v>650</v>
      </c>
      <c r="AK11" s="1">
        <v>684.8732</v>
      </c>
      <c r="AL11" s="1">
        <v>689.67319999999995</v>
      </c>
      <c r="AM11" s="1">
        <v>718.03</v>
      </c>
      <c r="AN11" s="9" t="s">
        <v>47</v>
      </c>
      <c r="AO11" s="1">
        <f t="shared" si="13"/>
        <v>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48</v>
      </c>
      <c r="B12" s="1" t="s">
        <v>42</v>
      </c>
      <c r="C12" s="1">
        <v>131</v>
      </c>
      <c r="D12" s="1"/>
      <c r="E12" s="1">
        <v>86</v>
      </c>
      <c r="F12" s="1">
        <v>42</v>
      </c>
      <c r="G12" s="7">
        <v>0.17</v>
      </c>
      <c r="H12" s="1">
        <v>180</v>
      </c>
      <c r="I12" s="1" t="s">
        <v>37</v>
      </c>
      <c r="J12" s="1"/>
      <c r="K12" s="1">
        <v>90</v>
      </c>
      <c r="L12" s="1">
        <f t="shared" si="8"/>
        <v>-4</v>
      </c>
      <c r="M12" s="1">
        <f t="shared" si="9"/>
        <v>86</v>
      </c>
      <c r="N12" s="1"/>
      <c r="O12" s="1">
        <v>18.400000000000009</v>
      </c>
      <c r="P12" s="1"/>
      <c r="Q12" s="1"/>
      <c r="R12" s="1">
        <v>107</v>
      </c>
      <c r="S12" s="28"/>
      <c r="T12" s="21"/>
      <c r="U12" s="1">
        <v>50</v>
      </c>
      <c r="V12" s="28"/>
      <c r="W12" s="21"/>
      <c r="X12" s="21"/>
      <c r="Y12" s="1">
        <f t="shared" si="10"/>
        <v>17.2</v>
      </c>
      <c r="Z12" s="5"/>
      <c r="AA12" s="5">
        <f t="shared" si="14"/>
        <v>0</v>
      </c>
      <c r="AB12" s="41"/>
      <c r="AC12" s="26"/>
      <c r="AD12" s="1">
        <f t="shared" si="11"/>
        <v>12.63953488372093</v>
      </c>
      <c r="AE12" s="1">
        <f t="shared" si="12"/>
        <v>12.63953488372093</v>
      </c>
      <c r="AF12" s="1">
        <v>19.600000000000001</v>
      </c>
      <c r="AG12" s="1">
        <v>12.4</v>
      </c>
      <c r="AH12" s="1">
        <v>8.6</v>
      </c>
      <c r="AI12" s="1">
        <v>13.8</v>
      </c>
      <c r="AJ12" s="1">
        <v>19</v>
      </c>
      <c r="AK12" s="1">
        <v>17.8</v>
      </c>
      <c r="AL12" s="1">
        <v>17.8</v>
      </c>
      <c r="AM12" s="1">
        <v>13.2</v>
      </c>
      <c r="AN12" s="1"/>
      <c r="AO12" s="1">
        <f t="shared" si="13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49</v>
      </c>
      <c r="B13" s="1" t="s">
        <v>42</v>
      </c>
      <c r="C13" s="1">
        <v>39</v>
      </c>
      <c r="D13" s="1">
        <v>76</v>
      </c>
      <c r="E13" s="1">
        <v>43</v>
      </c>
      <c r="F13" s="1">
        <v>50</v>
      </c>
      <c r="G13" s="7">
        <v>0.3</v>
      </c>
      <c r="H13" s="1">
        <v>40</v>
      </c>
      <c r="I13" s="10" t="s">
        <v>50</v>
      </c>
      <c r="J13" s="1"/>
      <c r="K13" s="1">
        <v>46</v>
      </c>
      <c r="L13" s="1">
        <f t="shared" si="8"/>
        <v>-3</v>
      </c>
      <c r="M13" s="1">
        <f t="shared" si="9"/>
        <v>43</v>
      </c>
      <c r="N13" s="1"/>
      <c r="O13" s="1">
        <v>26</v>
      </c>
      <c r="P13" s="1"/>
      <c r="Q13" s="1"/>
      <c r="R13" s="1">
        <v>0</v>
      </c>
      <c r="S13" s="28"/>
      <c r="T13" s="21"/>
      <c r="U13" s="1">
        <v>0</v>
      </c>
      <c r="V13" s="28"/>
      <c r="W13" s="21"/>
      <c r="X13" s="21"/>
      <c r="Y13" s="1">
        <f t="shared" si="10"/>
        <v>8.6</v>
      </c>
      <c r="Z13" s="5">
        <f>11.5*Y13-U13-R13-Q13-P13-O13-F13</f>
        <v>22.899999999999991</v>
      </c>
      <c r="AA13" s="5">
        <f t="shared" si="14"/>
        <v>22.899999999999991</v>
      </c>
      <c r="AB13" s="41"/>
      <c r="AC13" s="26"/>
      <c r="AD13" s="1">
        <f t="shared" si="11"/>
        <v>11.5</v>
      </c>
      <c r="AE13" s="1">
        <f t="shared" si="12"/>
        <v>8.8372093023255811</v>
      </c>
      <c r="AF13" s="1">
        <v>7</v>
      </c>
      <c r="AG13" s="1">
        <v>4</v>
      </c>
      <c r="AH13" s="1">
        <v>3</v>
      </c>
      <c r="AI13" s="1">
        <v>6.2</v>
      </c>
      <c r="AJ13" s="1">
        <v>11.6</v>
      </c>
      <c r="AK13" s="1">
        <v>12</v>
      </c>
      <c r="AL13" s="1">
        <v>12.6</v>
      </c>
      <c r="AM13" s="1">
        <v>7.2</v>
      </c>
      <c r="AN13" s="1"/>
      <c r="AO13" s="1">
        <f t="shared" si="13"/>
        <v>7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42</v>
      </c>
      <c r="C14" s="1">
        <v>24</v>
      </c>
      <c r="D14" s="1">
        <v>406</v>
      </c>
      <c r="E14" s="1">
        <v>166</v>
      </c>
      <c r="F14" s="1">
        <v>241</v>
      </c>
      <c r="G14" s="7">
        <v>0.17</v>
      </c>
      <c r="H14" s="1">
        <v>180</v>
      </c>
      <c r="I14" s="1" t="s">
        <v>37</v>
      </c>
      <c r="J14" s="1"/>
      <c r="K14" s="1">
        <v>212</v>
      </c>
      <c r="L14" s="1">
        <f t="shared" si="8"/>
        <v>-46</v>
      </c>
      <c r="M14" s="1">
        <f t="shared" si="9"/>
        <v>166</v>
      </c>
      <c r="N14" s="1"/>
      <c r="O14" s="1">
        <v>0</v>
      </c>
      <c r="P14" s="1"/>
      <c r="Q14" s="1"/>
      <c r="R14" s="1">
        <v>36.03999999999985</v>
      </c>
      <c r="S14" s="28"/>
      <c r="T14" s="21"/>
      <c r="U14" s="1"/>
      <c r="V14" s="28"/>
      <c r="W14" s="21"/>
      <c r="X14" s="21"/>
      <c r="Y14" s="1">
        <f t="shared" si="10"/>
        <v>33.200000000000003</v>
      </c>
      <c r="Z14" s="5">
        <f>11.5*Y14-U14-R14-Q14-P14-O14-F14</f>
        <v>104.76000000000016</v>
      </c>
      <c r="AA14" s="5">
        <f t="shared" si="14"/>
        <v>104.76000000000016</v>
      </c>
      <c r="AB14" s="41"/>
      <c r="AC14" s="26"/>
      <c r="AD14" s="1">
        <f t="shared" si="11"/>
        <v>11.5</v>
      </c>
      <c r="AE14" s="1">
        <f t="shared" si="12"/>
        <v>8.344578313253006</v>
      </c>
      <c r="AF14" s="1">
        <v>32.799999999999997</v>
      </c>
      <c r="AG14" s="1">
        <v>30.2</v>
      </c>
      <c r="AH14" s="1">
        <v>29.8</v>
      </c>
      <c r="AI14" s="1">
        <v>18.600000000000001</v>
      </c>
      <c r="AJ14" s="1">
        <v>19.600000000000001</v>
      </c>
      <c r="AK14" s="1">
        <v>17.399999999999999</v>
      </c>
      <c r="AL14" s="1">
        <v>35.4</v>
      </c>
      <c r="AM14" s="1">
        <v>34.200000000000003</v>
      </c>
      <c r="AN14" s="1"/>
      <c r="AO14" s="1">
        <f t="shared" si="13"/>
        <v>18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1" t="s">
        <v>52</v>
      </c>
      <c r="B15" s="11" t="s">
        <v>42</v>
      </c>
      <c r="C15" s="11">
        <v>241</v>
      </c>
      <c r="D15" s="11"/>
      <c r="E15" s="11">
        <v>2</v>
      </c>
      <c r="F15" s="11">
        <v>-7</v>
      </c>
      <c r="G15" s="12">
        <v>0</v>
      </c>
      <c r="H15" s="11"/>
      <c r="I15" s="11" t="s">
        <v>53</v>
      </c>
      <c r="J15" s="11"/>
      <c r="K15" s="11">
        <v>35</v>
      </c>
      <c r="L15" s="11">
        <f t="shared" si="8"/>
        <v>-33</v>
      </c>
      <c r="M15" s="11">
        <f t="shared" si="9"/>
        <v>2</v>
      </c>
      <c r="N15" s="11"/>
      <c r="O15" s="11">
        <v>0</v>
      </c>
      <c r="P15" s="11"/>
      <c r="Q15" s="11"/>
      <c r="R15" s="11">
        <v>0</v>
      </c>
      <c r="S15" s="30"/>
      <c r="T15" s="24"/>
      <c r="U15" s="11"/>
      <c r="V15" s="30"/>
      <c r="W15" s="24"/>
      <c r="X15" s="24"/>
      <c r="Y15" s="11">
        <f t="shared" si="10"/>
        <v>0.4</v>
      </c>
      <c r="Z15" s="13"/>
      <c r="AA15" s="5">
        <f t="shared" si="14"/>
        <v>0</v>
      </c>
      <c r="AB15" s="41"/>
      <c r="AC15" s="26"/>
      <c r="AD15" s="1">
        <f t="shared" si="11"/>
        <v>-17.5</v>
      </c>
      <c r="AE15" s="11">
        <f t="shared" si="12"/>
        <v>-17.5</v>
      </c>
      <c r="AF15" s="11">
        <v>0</v>
      </c>
      <c r="AG15" s="11">
        <v>0.4</v>
      </c>
      <c r="AH15" s="11">
        <v>1.8</v>
      </c>
      <c r="AI15" s="11">
        <v>7.8</v>
      </c>
      <c r="AJ15" s="11">
        <v>16</v>
      </c>
      <c r="AK15" s="11">
        <v>1</v>
      </c>
      <c r="AL15" s="11">
        <v>1</v>
      </c>
      <c r="AM15" s="11">
        <v>5.2</v>
      </c>
      <c r="AN15" s="14" t="s">
        <v>54</v>
      </c>
      <c r="AO15" s="1">
        <f t="shared" si="13"/>
        <v>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55</v>
      </c>
      <c r="B16" s="1" t="s">
        <v>36</v>
      </c>
      <c r="C16" s="1">
        <v>1912.72</v>
      </c>
      <c r="D16" s="1">
        <v>7325.09</v>
      </c>
      <c r="E16" s="1">
        <v>4296.5450000000001</v>
      </c>
      <c r="F16" s="1">
        <v>3994.5819999999999</v>
      </c>
      <c r="G16" s="7">
        <v>1</v>
      </c>
      <c r="H16" s="1">
        <v>70</v>
      </c>
      <c r="I16" s="10" t="s">
        <v>50</v>
      </c>
      <c r="J16" s="1"/>
      <c r="K16" s="1">
        <v>4670.8590000000004</v>
      </c>
      <c r="L16" s="1">
        <f t="shared" si="8"/>
        <v>-374.31400000000031</v>
      </c>
      <c r="M16" s="1">
        <f t="shared" si="9"/>
        <v>4153.732</v>
      </c>
      <c r="N16" s="1">
        <v>142.81299999999999</v>
      </c>
      <c r="O16" s="1">
        <v>1500</v>
      </c>
      <c r="P16" s="1"/>
      <c r="Q16" s="1">
        <v>800</v>
      </c>
      <c r="R16" s="1">
        <v>2000</v>
      </c>
      <c r="S16" s="28"/>
      <c r="T16" s="21"/>
      <c r="U16" s="1">
        <v>800</v>
      </c>
      <c r="V16" s="28"/>
      <c r="W16" s="21"/>
      <c r="X16" s="21"/>
      <c r="Y16" s="1">
        <f t="shared" si="10"/>
        <v>830.74639999999999</v>
      </c>
      <c r="Z16" s="5">
        <f>11.5*Y16-U16-R16-Q16-P16-O16-F16</f>
        <v>459.00160000000005</v>
      </c>
      <c r="AA16" s="5">
        <v>650</v>
      </c>
      <c r="AB16" s="41"/>
      <c r="AC16" s="26"/>
      <c r="AD16" s="1">
        <f t="shared" si="11"/>
        <v>11.72991179979835</v>
      </c>
      <c r="AE16" s="1">
        <f t="shared" si="12"/>
        <v>10.94748289008535</v>
      </c>
      <c r="AF16" s="1">
        <v>811.17699999999991</v>
      </c>
      <c r="AG16" s="1">
        <v>526.53639999999996</v>
      </c>
      <c r="AH16" s="1">
        <v>424.87459999999999</v>
      </c>
      <c r="AI16" s="1">
        <v>573.029</v>
      </c>
      <c r="AJ16" s="1">
        <v>558.35879999999997</v>
      </c>
      <c r="AK16" s="1">
        <v>576.6604000000001</v>
      </c>
      <c r="AL16" s="1">
        <v>628.17099999999994</v>
      </c>
      <c r="AM16" s="1">
        <v>726.94060000000002</v>
      </c>
      <c r="AN16" s="1" t="s">
        <v>39</v>
      </c>
      <c r="AO16" s="1">
        <f t="shared" si="13"/>
        <v>650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56</v>
      </c>
      <c r="B17" s="1" t="s">
        <v>36</v>
      </c>
      <c r="C17" s="1">
        <v>1323.751</v>
      </c>
      <c r="D17" s="1">
        <v>6761.4669999999996</v>
      </c>
      <c r="E17" s="1">
        <v>3407.797</v>
      </c>
      <c r="F17" s="1">
        <v>4023.7809999999999</v>
      </c>
      <c r="G17" s="7">
        <v>1</v>
      </c>
      <c r="H17" s="1">
        <v>50</v>
      </c>
      <c r="I17" s="1" t="s">
        <v>37</v>
      </c>
      <c r="J17" s="1"/>
      <c r="K17" s="1">
        <v>3926.6129999999998</v>
      </c>
      <c r="L17" s="1">
        <f t="shared" si="8"/>
        <v>-518.8159999999998</v>
      </c>
      <c r="M17" s="1">
        <f t="shared" si="9"/>
        <v>3258.587</v>
      </c>
      <c r="N17" s="1">
        <v>149.21</v>
      </c>
      <c r="O17" s="1">
        <v>0</v>
      </c>
      <c r="P17" s="1"/>
      <c r="Q17" s="1">
        <v>400</v>
      </c>
      <c r="R17" s="1">
        <v>190</v>
      </c>
      <c r="S17" s="28"/>
      <c r="T17" s="21">
        <v>790</v>
      </c>
      <c r="U17" s="1">
        <v>320</v>
      </c>
      <c r="V17" s="28"/>
      <c r="W17" s="21"/>
      <c r="X17" s="21">
        <v>1200</v>
      </c>
      <c r="Y17" s="1">
        <f t="shared" si="10"/>
        <v>651.7174</v>
      </c>
      <c r="Z17" s="5">
        <f>11.5*Y17-U17-R17-Q17-P17-O17-F17</f>
        <v>2560.9691000000003</v>
      </c>
      <c r="AA17" s="5">
        <f t="shared" si="14"/>
        <v>2560.9691000000003</v>
      </c>
      <c r="AB17" s="41"/>
      <c r="AC17" s="26"/>
      <c r="AD17" s="1">
        <f t="shared" si="11"/>
        <v>11.5</v>
      </c>
      <c r="AE17" s="1">
        <f t="shared" si="12"/>
        <v>7.5704300667743407</v>
      </c>
      <c r="AF17" s="1">
        <v>634.69460000000004</v>
      </c>
      <c r="AG17" s="1">
        <v>404.84399999999988</v>
      </c>
      <c r="AH17" s="1">
        <v>323.94799999999998</v>
      </c>
      <c r="AI17" s="1">
        <v>431.13780000000008</v>
      </c>
      <c r="AJ17" s="1">
        <v>436.02780000000001</v>
      </c>
      <c r="AK17" s="1">
        <v>283.60739999999998</v>
      </c>
      <c r="AL17" s="1">
        <v>445.85719999999998</v>
      </c>
      <c r="AM17" s="1">
        <v>436.47500000000002</v>
      </c>
      <c r="AN17" s="1" t="s">
        <v>39</v>
      </c>
      <c r="AO17" s="1">
        <f t="shared" si="13"/>
        <v>2561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57</v>
      </c>
      <c r="B18" s="1" t="s">
        <v>36</v>
      </c>
      <c r="C18" s="1">
        <v>7.1630000000000003</v>
      </c>
      <c r="D18" s="1">
        <v>681.66200000000003</v>
      </c>
      <c r="E18" s="1">
        <v>105.70099999999999</v>
      </c>
      <c r="F18" s="1">
        <v>554.78499999999997</v>
      </c>
      <c r="G18" s="7">
        <v>1</v>
      </c>
      <c r="H18" s="1">
        <v>60</v>
      </c>
      <c r="I18" s="1" t="s">
        <v>37</v>
      </c>
      <c r="J18" s="1"/>
      <c r="K18" s="1">
        <v>165.3</v>
      </c>
      <c r="L18" s="1">
        <f t="shared" si="8"/>
        <v>-59.599000000000018</v>
      </c>
      <c r="M18" s="1">
        <f t="shared" si="9"/>
        <v>105.70099999999999</v>
      </c>
      <c r="N18" s="1"/>
      <c r="O18" s="1">
        <v>192.60640000000001</v>
      </c>
      <c r="P18" s="1"/>
      <c r="Q18" s="1"/>
      <c r="R18" s="1">
        <v>0</v>
      </c>
      <c r="S18" s="28"/>
      <c r="T18" s="21"/>
      <c r="U18" s="1"/>
      <c r="V18" s="28"/>
      <c r="W18" s="21"/>
      <c r="X18" s="21"/>
      <c r="Y18" s="1">
        <f t="shared" si="10"/>
        <v>21.1402</v>
      </c>
      <c r="Z18" s="5"/>
      <c r="AA18" s="5">
        <f t="shared" si="14"/>
        <v>0</v>
      </c>
      <c r="AB18" s="41"/>
      <c r="AC18" s="26"/>
      <c r="AD18" s="1">
        <f t="shared" si="11"/>
        <v>35.35403638565387</v>
      </c>
      <c r="AE18" s="1">
        <f t="shared" si="12"/>
        <v>35.35403638565387</v>
      </c>
      <c r="AF18" s="1">
        <v>46.889800000000001</v>
      </c>
      <c r="AG18" s="1">
        <v>48.151600000000002</v>
      </c>
      <c r="AH18" s="1">
        <v>42.8626</v>
      </c>
      <c r="AI18" s="1">
        <v>21.7056</v>
      </c>
      <c r="AJ18" s="1">
        <v>0.70620000000000005</v>
      </c>
      <c r="AK18" s="1">
        <v>29.232199999999992</v>
      </c>
      <c r="AL18" s="1">
        <v>29.232199999999992</v>
      </c>
      <c r="AM18" s="1">
        <v>22.357199999999999</v>
      </c>
      <c r="AN18" s="1"/>
      <c r="AO18" s="1">
        <f t="shared" si="13"/>
        <v>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1" t="s">
        <v>58</v>
      </c>
      <c r="B19" s="11" t="s">
        <v>36</v>
      </c>
      <c r="C19" s="11"/>
      <c r="D19" s="11"/>
      <c r="E19" s="11"/>
      <c r="F19" s="11"/>
      <c r="G19" s="12">
        <v>0</v>
      </c>
      <c r="H19" s="11"/>
      <c r="I19" s="11" t="s">
        <v>37</v>
      </c>
      <c r="J19" s="11"/>
      <c r="K19" s="11"/>
      <c r="L19" s="11">
        <f t="shared" si="8"/>
        <v>0</v>
      </c>
      <c r="M19" s="11">
        <f t="shared" si="9"/>
        <v>0</v>
      </c>
      <c r="N19" s="11"/>
      <c r="O19" s="11">
        <v>0</v>
      </c>
      <c r="P19" s="11"/>
      <c r="Q19" s="11"/>
      <c r="R19" s="11">
        <v>0</v>
      </c>
      <c r="S19" s="30"/>
      <c r="T19" s="24"/>
      <c r="U19" s="11"/>
      <c r="V19" s="30"/>
      <c r="W19" s="24"/>
      <c r="X19" s="24"/>
      <c r="Y19" s="11">
        <f t="shared" si="10"/>
        <v>0</v>
      </c>
      <c r="Z19" s="13"/>
      <c r="AA19" s="5">
        <f t="shared" si="14"/>
        <v>0</v>
      </c>
      <c r="AB19" s="41"/>
      <c r="AC19" s="26"/>
      <c r="AD19" s="1" t="e">
        <f t="shared" si="11"/>
        <v>#DIV/0!</v>
      </c>
      <c r="AE19" s="11" t="e">
        <f t="shared" si="12"/>
        <v>#DIV/0!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 t="s">
        <v>59</v>
      </c>
      <c r="AO19" s="1">
        <f t="shared" si="13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60</v>
      </c>
      <c r="B20" s="1" t="s">
        <v>36</v>
      </c>
      <c r="C20" s="1">
        <v>14.457000000000001</v>
      </c>
      <c r="D20" s="1"/>
      <c r="E20" s="1">
        <v>7.18</v>
      </c>
      <c r="F20" s="1">
        <v>7.2770000000000001</v>
      </c>
      <c r="G20" s="7">
        <v>1</v>
      </c>
      <c r="H20" s="1">
        <v>180</v>
      </c>
      <c r="I20" s="1" t="s">
        <v>37</v>
      </c>
      <c r="J20" s="1"/>
      <c r="K20" s="1">
        <v>8.1159999999999997</v>
      </c>
      <c r="L20" s="1">
        <f t="shared" si="8"/>
        <v>-0.93599999999999994</v>
      </c>
      <c r="M20" s="1">
        <f t="shared" si="9"/>
        <v>7.18</v>
      </c>
      <c r="N20" s="1"/>
      <c r="O20" s="1">
        <v>0</v>
      </c>
      <c r="P20" s="1"/>
      <c r="Q20" s="1"/>
      <c r="R20" s="1">
        <v>0</v>
      </c>
      <c r="S20" s="28"/>
      <c r="T20" s="21"/>
      <c r="U20" s="1">
        <v>4</v>
      </c>
      <c r="V20" s="28"/>
      <c r="W20" s="21"/>
      <c r="X20" s="21"/>
      <c r="Y20" s="1">
        <f t="shared" si="10"/>
        <v>1.4359999999999999</v>
      </c>
      <c r="Z20" s="5">
        <f>11.5*Y20-U20-R20-Q20-P20-O20-F20</f>
        <v>5.2369999999999992</v>
      </c>
      <c r="AA20" s="5">
        <f t="shared" si="14"/>
        <v>5.2369999999999992</v>
      </c>
      <c r="AB20" s="41"/>
      <c r="AC20" s="26"/>
      <c r="AD20" s="1">
        <f t="shared" si="11"/>
        <v>11.5</v>
      </c>
      <c r="AE20" s="1">
        <f t="shared" si="12"/>
        <v>7.8530640668523688</v>
      </c>
      <c r="AF20" s="1">
        <v>1.0902000000000001</v>
      </c>
      <c r="AG20" s="1">
        <v>0.64900000000000002</v>
      </c>
      <c r="AH20" s="1">
        <v>0.70140000000000002</v>
      </c>
      <c r="AI20" s="1">
        <v>0.75480000000000003</v>
      </c>
      <c r="AJ20" s="1">
        <v>0.4748</v>
      </c>
      <c r="AK20" s="1">
        <v>0.88339999999999996</v>
      </c>
      <c r="AL20" s="1">
        <v>0.88339999999999996</v>
      </c>
      <c r="AM20" s="1">
        <v>1.4618</v>
      </c>
      <c r="AN20" s="1"/>
      <c r="AO20" s="1">
        <f t="shared" si="13"/>
        <v>5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61</v>
      </c>
      <c r="B21" s="1" t="s">
        <v>36</v>
      </c>
      <c r="C21" s="1">
        <v>6904.0969999999998</v>
      </c>
      <c r="D21" s="1">
        <v>4446.2359999999999</v>
      </c>
      <c r="E21" s="1">
        <v>4576.7449999999999</v>
      </c>
      <c r="F21" s="1">
        <v>6254.5309999999999</v>
      </c>
      <c r="G21" s="7">
        <v>1</v>
      </c>
      <c r="H21" s="1">
        <v>60</v>
      </c>
      <c r="I21" s="1" t="s">
        <v>37</v>
      </c>
      <c r="J21" s="1"/>
      <c r="K21" s="1">
        <v>4456.6090000000004</v>
      </c>
      <c r="L21" s="1">
        <f t="shared" si="8"/>
        <v>120.13599999999951</v>
      </c>
      <c r="M21" s="1">
        <f t="shared" si="9"/>
        <v>4375.1359999999995</v>
      </c>
      <c r="N21" s="1">
        <v>201.60900000000001</v>
      </c>
      <c r="O21" s="1">
        <v>0</v>
      </c>
      <c r="P21" s="1"/>
      <c r="Q21" s="1"/>
      <c r="R21" s="1">
        <v>450</v>
      </c>
      <c r="S21" s="28"/>
      <c r="T21" s="21"/>
      <c r="U21" s="1">
        <v>1773.07083304</v>
      </c>
      <c r="V21" s="28"/>
      <c r="W21" s="21"/>
      <c r="X21" s="21"/>
      <c r="Y21" s="1">
        <f t="shared" si="10"/>
        <v>875.02719999999988</v>
      </c>
      <c r="Z21" s="5">
        <f>11.5*Y21-U21-R21-Q21-P21-O21-F21</f>
        <v>1585.2109669599986</v>
      </c>
      <c r="AA21" s="5">
        <f t="shared" si="14"/>
        <v>1585.2109669599986</v>
      </c>
      <c r="AB21" s="41"/>
      <c r="AC21" s="26"/>
      <c r="AD21" s="1">
        <f t="shared" si="11"/>
        <v>11.500000000000002</v>
      </c>
      <c r="AE21" s="1">
        <f t="shared" si="12"/>
        <v>9.6883866387696305</v>
      </c>
      <c r="AF21" s="1">
        <v>948.69040000000007</v>
      </c>
      <c r="AG21" s="1">
        <v>609.16740000000004</v>
      </c>
      <c r="AH21" s="1">
        <v>570.25739999999996</v>
      </c>
      <c r="AI21" s="1">
        <v>752.91139999999996</v>
      </c>
      <c r="AJ21" s="1">
        <v>757.01940000000002</v>
      </c>
      <c r="AK21" s="1">
        <v>1194.5776000000001</v>
      </c>
      <c r="AL21" s="1">
        <v>1235.5082</v>
      </c>
      <c r="AM21" s="1">
        <v>1204.5540000000001</v>
      </c>
      <c r="AN21" s="1"/>
      <c r="AO21" s="1">
        <f t="shared" si="13"/>
        <v>1585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1" t="s">
        <v>62</v>
      </c>
      <c r="B22" s="11" t="s">
        <v>36</v>
      </c>
      <c r="C22" s="11">
        <v>-12.462999999999999</v>
      </c>
      <c r="D22" s="11"/>
      <c r="E22" s="15">
        <v>2.5209999999999999</v>
      </c>
      <c r="F22" s="15">
        <v>-14.984</v>
      </c>
      <c r="G22" s="12">
        <v>0</v>
      </c>
      <c r="H22" s="11"/>
      <c r="I22" s="11" t="s">
        <v>53</v>
      </c>
      <c r="J22" s="11" t="s">
        <v>63</v>
      </c>
      <c r="K22" s="11">
        <v>2.5</v>
      </c>
      <c r="L22" s="11">
        <f t="shared" si="8"/>
        <v>2.0999999999999908E-2</v>
      </c>
      <c r="M22" s="11">
        <f t="shared" si="9"/>
        <v>2.5209999999999999</v>
      </c>
      <c r="N22" s="11"/>
      <c r="O22" s="11">
        <v>0</v>
      </c>
      <c r="P22" s="11"/>
      <c r="Q22" s="11"/>
      <c r="R22" s="11">
        <v>0</v>
      </c>
      <c r="S22" s="30"/>
      <c r="T22" s="24"/>
      <c r="U22" s="11"/>
      <c r="V22" s="30"/>
      <c r="W22" s="24"/>
      <c r="X22" s="24"/>
      <c r="Y22" s="11">
        <f t="shared" si="10"/>
        <v>0.50419999999999998</v>
      </c>
      <c r="Z22" s="13"/>
      <c r="AA22" s="5">
        <f t="shared" si="14"/>
        <v>0</v>
      </c>
      <c r="AB22" s="41"/>
      <c r="AC22" s="26"/>
      <c r="AD22" s="1">
        <f t="shared" si="11"/>
        <v>-29.718365727885761</v>
      </c>
      <c r="AE22" s="11">
        <f t="shared" si="12"/>
        <v>-29.718365727885761</v>
      </c>
      <c r="AF22" s="11">
        <v>0.50419999999999998</v>
      </c>
      <c r="AG22" s="11">
        <v>0</v>
      </c>
      <c r="AH22" s="11">
        <v>0</v>
      </c>
      <c r="AI22" s="11">
        <v>0</v>
      </c>
      <c r="AJ22" s="11">
        <v>0</v>
      </c>
      <c r="AK22" s="11">
        <v>0.99399999999999999</v>
      </c>
      <c r="AL22" s="11">
        <v>0.99399999999999999</v>
      </c>
      <c r="AM22" s="11">
        <v>0</v>
      </c>
      <c r="AN22" s="11"/>
      <c r="AO22" s="1">
        <f t="shared" si="13"/>
        <v>0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20" t="s">
        <v>64</v>
      </c>
      <c r="B23" s="1" t="s">
        <v>36</v>
      </c>
      <c r="C23" s="1">
        <v>923.6</v>
      </c>
      <c r="D23" s="1">
        <v>152.184</v>
      </c>
      <c r="E23" s="1">
        <v>466.54700000000003</v>
      </c>
      <c r="F23" s="1">
        <v>521.35699999999997</v>
      </c>
      <c r="G23" s="7">
        <v>1</v>
      </c>
      <c r="H23" s="1">
        <v>70</v>
      </c>
      <c r="I23" s="1" t="s">
        <v>37</v>
      </c>
      <c r="J23" s="1"/>
      <c r="K23" s="1">
        <v>456.96300000000002</v>
      </c>
      <c r="L23" s="1">
        <f t="shared" si="8"/>
        <v>9.5840000000000032</v>
      </c>
      <c r="M23" s="1">
        <f t="shared" si="9"/>
        <v>434.73400000000004</v>
      </c>
      <c r="N23" s="1">
        <v>31.812999999999999</v>
      </c>
      <c r="O23" s="1">
        <v>0</v>
      </c>
      <c r="P23" s="1"/>
      <c r="Q23" s="1"/>
      <c r="R23" s="1">
        <v>99.164795300000009</v>
      </c>
      <c r="S23" s="28"/>
      <c r="T23" s="21"/>
      <c r="U23" s="1">
        <v>181.75530470000001</v>
      </c>
      <c r="V23" s="28"/>
      <c r="W23" s="21"/>
      <c r="X23" s="21"/>
      <c r="Y23" s="1">
        <f t="shared" si="10"/>
        <v>86.94680000000001</v>
      </c>
      <c r="Z23" s="5">
        <f>11.5*Y23-U23-R23-Q23-P23-O23-F23</f>
        <v>197.61110000000008</v>
      </c>
      <c r="AA23" s="5">
        <v>450</v>
      </c>
      <c r="AB23" s="41"/>
      <c r="AC23" s="26"/>
      <c r="AD23" s="1">
        <f t="shared" si="11"/>
        <v>14.402796882691483</v>
      </c>
      <c r="AE23" s="1">
        <f t="shared" si="12"/>
        <v>9.2272182530006841</v>
      </c>
      <c r="AF23" s="1">
        <v>92.600200000000001</v>
      </c>
      <c r="AG23" s="1">
        <v>51.805600000000013</v>
      </c>
      <c r="AH23" s="1">
        <v>47.665999999999997</v>
      </c>
      <c r="AI23" s="1">
        <v>84.481799999999993</v>
      </c>
      <c r="AJ23" s="1">
        <v>134.7364</v>
      </c>
      <c r="AK23" s="1">
        <v>21.680199999999999</v>
      </c>
      <c r="AL23" s="1">
        <v>72.813199999999995</v>
      </c>
      <c r="AM23" s="1">
        <v>77.070599999999999</v>
      </c>
      <c r="AN23" s="1"/>
      <c r="AO23" s="1">
        <f t="shared" si="13"/>
        <v>450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65</v>
      </c>
      <c r="B24" s="1" t="s">
        <v>36</v>
      </c>
      <c r="C24" s="1">
        <v>628.56500000000005</v>
      </c>
      <c r="D24" s="1">
        <v>2743.11</v>
      </c>
      <c r="E24" s="1">
        <v>1333.1579999999999</v>
      </c>
      <c r="F24" s="1">
        <v>1823.1880000000001</v>
      </c>
      <c r="G24" s="7">
        <v>1</v>
      </c>
      <c r="H24" s="1">
        <v>70</v>
      </c>
      <c r="I24" s="10" t="s">
        <v>50</v>
      </c>
      <c r="J24" s="1"/>
      <c r="K24" s="1">
        <v>1336.54</v>
      </c>
      <c r="L24" s="1">
        <f t="shared" si="8"/>
        <v>-3.3820000000000618</v>
      </c>
      <c r="M24" s="1">
        <f t="shared" si="9"/>
        <v>1333.1579999999999</v>
      </c>
      <c r="N24" s="1"/>
      <c r="O24" s="1">
        <v>0</v>
      </c>
      <c r="P24" s="1"/>
      <c r="Q24" s="1"/>
      <c r="R24" s="1">
        <v>661.22300000000007</v>
      </c>
      <c r="S24" s="28"/>
      <c r="T24" s="21"/>
      <c r="U24" s="1">
        <v>330.61149999999998</v>
      </c>
      <c r="V24" s="28"/>
      <c r="W24" s="21"/>
      <c r="X24" s="21"/>
      <c r="Y24" s="1">
        <f t="shared" si="10"/>
        <v>266.63159999999999</v>
      </c>
      <c r="Z24" s="5">
        <f>11.5*Y24-U24-R24-Q24-P24-O24-F24</f>
        <v>251.24089999999978</v>
      </c>
      <c r="AA24" s="5">
        <f t="shared" si="14"/>
        <v>251.24089999999978</v>
      </c>
      <c r="AB24" s="41"/>
      <c r="AC24" s="26"/>
      <c r="AD24" s="1">
        <f t="shared" si="11"/>
        <v>11.5</v>
      </c>
      <c r="AE24" s="1">
        <f t="shared" si="12"/>
        <v>10.557722715537093</v>
      </c>
      <c r="AF24" s="1">
        <v>281.76</v>
      </c>
      <c r="AG24" s="1">
        <v>176.75880000000001</v>
      </c>
      <c r="AH24" s="1">
        <v>148.90860000000001</v>
      </c>
      <c r="AI24" s="1">
        <v>205.9836</v>
      </c>
      <c r="AJ24" s="1">
        <v>205.86320000000001</v>
      </c>
      <c r="AK24" s="1">
        <v>212.68279999999999</v>
      </c>
      <c r="AL24" s="1">
        <v>230.36799999999999</v>
      </c>
      <c r="AM24" s="1">
        <v>244.7884</v>
      </c>
      <c r="AN24" s="1" t="s">
        <v>39</v>
      </c>
      <c r="AO24" s="1">
        <f t="shared" si="13"/>
        <v>251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1" t="s">
        <v>66</v>
      </c>
      <c r="B25" s="11" t="s">
        <v>36</v>
      </c>
      <c r="C25" s="11"/>
      <c r="D25" s="11"/>
      <c r="E25" s="11"/>
      <c r="F25" s="11"/>
      <c r="G25" s="12">
        <v>0</v>
      </c>
      <c r="H25" s="11"/>
      <c r="I25" s="11" t="s">
        <v>37</v>
      </c>
      <c r="J25" s="11"/>
      <c r="K25" s="11">
        <v>1</v>
      </c>
      <c r="L25" s="11">
        <f t="shared" si="8"/>
        <v>-1</v>
      </c>
      <c r="M25" s="11">
        <f t="shared" si="9"/>
        <v>0</v>
      </c>
      <c r="N25" s="11"/>
      <c r="O25" s="11">
        <v>0</v>
      </c>
      <c r="P25" s="11"/>
      <c r="Q25" s="11"/>
      <c r="R25" s="11">
        <v>0</v>
      </c>
      <c r="S25" s="30"/>
      <c r="T25" s="24"/>
      <c r="U25" s="11"/>
      <c r="V25" s="30"/>
      <c r="W25" s="24"/>
      <c r="X25" s="24"/>
      <c r="Y25" s="11">
        <f t="shared" si="10"/>
        <v>0</v>
      </c>
      <c r="Z25" s="13"/>
      <c r="AA25" s="5">
        <f t="shared" si="14"/>
        <v>0</v>
      </c>
      <c r="AB25" s="41"/>
      <c r="AC25" s="26"/>
      <c r="AD25" s="1" t="e">
        <f t="shared" si="11"/>
        <v>#DIV/0!</v>
      </c>
      <c r="AE25" s="11" t="e">
        <f t="shared" si="12"/>
        <v>#DIV/0!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 t="s">
        <v>59</v>
      </c>
      <c r="AO25" s="1">
        <f t="shared" si="13"/>
        <v>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67</v>
      </c>
      <c r="B26" s="1" t="s">
        <v>36</v>
      </c>
      <c r="C26" s="1">
        <v>1525.2840000000001</v>
      </c>
      <c r="D26" s="1">
        <v>3842.308</v>
      </c>
      <c r="E26" s="1">
        <v>2366.1080000000002</v>
      </c>
      <c r="F26" s="1">
        <v>2748.8180000000002</v>
      </c>
      <c r="G26" s="7">
        <v>1</v>
      </c>
      <c r="H26" s="1">
        <v>70</v>
      </c>
      <c r="I26" s="10" t="s">
        <v>50</v>
      </c>
      <c r="J26" s="1"/>
      <c r="K26" s="1">
        <v>2324.7779999999998</v>
      </c>
      <c r="L26" s="1">
        <f t="shared" si="8"/>
        <v>41.330000000000382</v>
      </c>
      <c r="M26" s="1">
        <f t="shared" si="9"/>
        <v>2366.1080000000002</v>
      </c>
      <c r="N26" s="1"/>
      <c r="O26" s="1">
        <v>300</v>
      </c>
      <c r="P26" s="1"/>
      <c r="Q26" s="1"/>
      <c r="R26" s="1">
        <v>1250</v>
      </c>
      <c r="S26" s="28"/>
      <c r="T26" s="21"/>
      <c r="U26" s="1">
        <v>500</v>
      </c>
      <c r="V26" s="28"/>
      <c r="W26" s="21"/>
      <c r="X26" s="21"/>
      <c r="Y26" s="1">
        <f t="shared" si="10"/>
        <v>473.22160000000002</v>
      </c>
      <c r="Z26" s="5">
        <f>11.5*Y26-U26-R26-Q26-P26-O26-F26</f>
        <v>643.23040000000037</v>
      </c>
      <c r="AA26" s="5">
        <f t="shared" si="14"/>
        <v>643.23040000000037</v>
      </c>
      <c r="AB26" s="41"/>
      <c r="AC26" s="26"/>
      <c r="AD26" s="1">
        <f t="shared" si="11"/>
        <v>11.5</v>
      </c>
      <c r="AE26" s="1">
        <f t="shared" si="12"/>
        <v>10.14074167366832</v>
      </c>
      <c r="AF26" s="1">
        <v>516.05320000000006</v>
      </c>
      <c r="AG26" s="1">
        <v>310.26479999999998</v>
      </c>
      <c r="AH26" s="1">
        <v>281.95979999999997</v>
      </c>
      <c r="AI26" s="1">
        <v>381.11340000000001</v>
      </c>
      <c r="AJ26" s="1">
        <v>357.56240000000003</v>
      </c>
      <c r="AK26" s="1">
        <v>356.4468</v>
      </c>
      <c r="AL26" s="1">
        <v>377.3442</v>
      </c>
      <c r="AM26" s="1">
        <v>436.64600000000002</v>
      </c>
      <c r="AN26" s="1" t="s">
        <v>39</v>
      </c>
      <c r="AO26" s="1">
        <f t="shared" si="13"/>
        <v>643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68</v>
      </c>
      <c r="B27" s="1" t="s">
        <v>36</v>
      </c>
      <c r="C27" s="1">
        <v>55.28</v>
      </c>
      <c r="D27" s="1"/>
      <c r="E27" s="1">
        <v>21.815000000000001</v>
      </c>
      <c r="F27" s="1">
        <v>33.465000000000003</v>
      </c>
      <c r="G27" s="7">
        <v>1</v>
      </c>
      <c r="H27" s="1">
        <v>40</v>
      </c>
      <c r="I27" s="10" t="s">
        <v>50</v>
      </c>
      <c r="J27" s="1"/>
      <c r="K27" s="1">
        <v>26.3</v>
      </c>
      <c r="L27" s="1">
        <f t="shared" si="8"/>
        <v>-4.4849999999999994</v>
      </c>
      <c r="M27" s="1">
        <f t="shared" si="9"/>
        <v>21.815000000000001</v>
      </c>
      <c r="N27" s="1"/>
      <c r="O27" s="1">
        <v>0</v>
      </c>
      <c r="P27" s="1"/>
      <c r="Q27" s="1"/>
      <c r="R27" s="1">
        <v>0</v>
      </c>
      <c r="S27" s="28"/>
      <c r="T27" s="21"/>
      <c r="U27" s="1">
        <v>0</v>
      </c>
      <c r="V27" s="28"/>
      <c r="W27" s="21"/>
      <c r="X27" s="21"/>
      <c r="Y27" s="1">
        <f t="shared" si="10"/>
        <v>4.3630000000000004</v>
      </c>
      <c r="Z27" s="5">
        <f>11.5*Y27-U27-R27-Q27-P27-O27-F27</f>
        <v>16.709499999999998</v>
      </c>
      <c r="AA27" s="5">
        <f t="shared" si="14"/>
        <v>16.709499999999998</v>
      </c>
      <c r="AB27" s="41"/>
      <c r="AC27" s="26"/>
      <c r="AD27" s="1">
        <f t="shared" si="11"/>
        <v>11.5</v>
      </c>
      <c r="AE27" s="1">
        <f t="shared" si="12"/>
        <v>7.6701810680724272</v>
      </c>
      <c r="AF27" s="1">
        <v>3.4885999999999999</v>
      </c>
      <c r="AG27" s="1">
        <v>2.0396000000000001</v>
      </c>
      <c r="AH27" s="1">
        <v>1.6052</v>
      </c>
      <c r="AI27" s="1">
        <v>2.1873999999999998</v>
      </c>
      <c r="AJ27" s="1">
        <v>2.1844000000000001</v>
      </c>
      <c r="AK27" s="1">
        <v>1.3022</v>
      </c>
      <c r="AL27" s="1">
        <v>1.3022</v>
      </c>
      <c r="AM27" s="1">
        <v>1.9805999999999999</v>
      </c>
      <c r="AN27" s="1"/>
      <c r="AO27" s="1">
        <f t="shared" si="13"/>
        <v>17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1" t="s">
        <v>70</v>
      </c>
      <c r="B28" s="11" t="s">
        <v>36</v>
      </c>
      <c r="C28" s="11">
        <v>-1.6950000000000001</v>
      </c>
      <c r="D28" s="11"/>
      <c r="E28" s="11"/>
      <c r="F28" s="11">
        <v>-1.6950000000000001</v>
      </c>
      <c r="G28" s="12">
        <v>0</v>
      </c>
      <c r="H28" s="11"/>
      <c r="I28" s="11" t="s">
        <v>53</v>
      </c>
      <c r="J28" s="11"/>
      <c r="K28" s="11"/>
      <c r="L28" s="11">
        <f t="shared" si="8"/>
        <v>0</v>
      </c>
      <c r="M28" s="11">
        <f t="shared" si="9"/>
        <v>0</v>
      </c>
      <c r="N28" s="11"/>
      <c r="O28" s="11">
        <v>0</v>
      </c>
      <c r="P28" s="11"/>
      <c r="Q28" s="11"/>
      <c r="R28" s="11">
        <v>0</v>
      </c>
      <c r="S28" s="30"/>
      <c r="T28" s="24"/>
      <c r="U28" s="11"/>
      <c r="V28" s="30"/>
      <c r="W28" s="24"/>
      <c r="X28" s="24"/>
      <c r="Y28" s="11">
        <f t="shared" si="10"/>
        <v>0</v>
      </c>
      <c r="Z28" s="13"/>
      <c r="AA28" s="5">
        <f t="shared" si="14"/>
        <v>0</v>
      </c>
      <c r="AB28" s="41"/>
      <c r="AC28" s="26"/>
      <c r="AD28" s="1" t="e">
        <f t="shared" si="11"/>
        <v>#DIV/0!</v>
      </c>
      <c r="AE28" s="11" t="e">
        <f t="shared" si="12"/>
        <v>#DIV/0!</v>
      </c>
      <c r="AF28" s="11">
        <v>0</v>
      </c>
      <c r="AG28" s="11">
        <v>0</v>
      </c>
      <c r="AH28" s="11">
        <v>0</v>
      </c>
      <c r="AI28" s="11">
        <v>0</v>
      </c>
      <c r="AJ28" s="11">
        <v>0.33900000000000002</v>
      </c>
      <c r="AK28" s="11">
        <v>0</v>
      </c>
      <c r="AL28" s="11">
        <v>0</v>
      </c>
      <c r="AM28" s="11">
        <v>0</v>
      </c>
      <c r="AN28" s="11"/>
      <c r="AO28" s="1">
        <f t="shared" si="13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1" t="s">
        <v>71</v>
      </c>
      <c r="B29" s="11" t="s">
        <v>36</v>
      </c>
      <c r="C29" s="11"/>
      <c r="D29" s="11"/>
      <c r="E29" s="11"/>
      <c r="F29" s="11"/>
      <c r="G29" s="12">
        <v>0</v>
      </c>
      <c r="H29" s="11"/>
      <c r="I29" s="11" t="s">
        <v>37</v>
      </c>
      <c r="J29" s="11"/>
      <c r="K29" s="11"/>
      <c r="L29" s="11">
        <f t="shared" si="8"/>
        <v>0</v>
      </c>
      <c r="M29" s="11">
        <f t="shared" si="9"/>
        <v>0</v>
      </c>
      <c r="N29" s="11"/>
      <c r="O29" s="11">
        <v>0</v>
      </c>
      <c r="P29" s="11"/>
      <c r="Q29" s="11"/>
      <c r="R29" s="11">
        <v>0</v>
      </c>
      <c r="S29" s="30"/>
      <c r="T29" s="24"/>
      <c r="U29" s="11"/>
      <c r="V29" s="30"/>
      <c r="W29" s="24"/>
      <c r="X29" s="24"/>
      <c r="Y29" s="11">
        <f t="shared" si="10"/>
        <v>0</v>
      </c>
      <c r="Z29" s="13"/>
      <c r="AA29" s="5">
        <f t="shared" si="14"/>
        <v>0</v>
      </c>
      <c r="AB29" s="41"/>
      <c r="AC29" s="26"/>
      <c r="AD29" s="1" t="e">
        <f t="shared" si="11"/>
        <v>#DIV/0!</v>
      </c>
      <c r="AE29" s="11" t="e">
        <f t="shared" si="12"/>
        <v>#DIV/0!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 t="s">
        <v>59</v>
      </c>
      <c r="AO29" s="1">
        <f t="shared" si="13"/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1" t="s">
        <v>72</v>
      </c>
      <c r="B30" s="11" t="s">
        <v>36</v>
      </c>
      <c r="C30" s="11"/>
      <c r="D30" s="11"/>
      <c r="E30" s="11"/>
      <c r="F30" s="11"/>
      <c r="G30" s="12">
        <v>0</v>
      </c>
      <c r="H30" s="11"/>
      <c r="I30" s="11" t="s">
        <v>37</v>
      </c>
      <c r="J30" s="11"/>
      <c r="K30" s="11"/>
      <c r="L30" s="11">
        <f t="shared" si="8"/>
        <v>0</v>
      </c>
      <c r="M30" s="11">
        <f t="shared" si="9"/>
        <v>0</v>
      </c>
      <c r="N30" s="11"/>
      <c r="O30" s="11">
        <v>0</v>
      </c>
      <c r="P30" s="11"/>
      <c r="Q30" s="11"/>
      <c r="R30" s="11">
        <v>0</v>
      </c>
      <c r="S30" s="30"/>
      <c r="T30" s="24"/>
      <c r="U30" s="11"/>
      <c r="V30" s="30"/>
      <c r="W30" s="24"/>
      <c r="X30" s="24"/>
      <c r="Y30" s="11">
        <f t="shared" si="10"/>
        <v>0</v>
      </c>
      <c r="Z30" s="13"/>
      <c r="AA30" s="5">
        <f t="shared" si="14"/>
        <v>0</v>
      </c>
      <c r="AB30" s="41"/>
      <c r="AC30" s="26"/>
      <c r="AD30" s="1" t="e">
        <f t="shared" si="11"/>
        <v>#DIV/0!</v>
      </c>
      <c r="AE30" s="11" t="e">
        <f t="shared" si="12"/>
        <v>#DIV/0!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 t="s">
        <v>59</v>
      </c>
      <c r="AO30" s="1">
        <f t="shared" si="13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73</v>
      </c>
      <c r="B31" s="1" t="s">
        <v>36</v>
      </c>
      <c r="C31" s="1">
        <v>1643.8920000000001</v>
      </c>
      <c r="D31" s="1">
        <v>824.21100000000001</v>
      </c>
      <c r="E31" s="1">
        <v>1187.261</v>
      </c>
      <c r="F31" s="1">
        <v>1101.319</v>
      </c>
      <c r="G31" s="7">
        <v>1</v>
      </c>
      <c r="H31" s="1">
        <v>30</v>
      </c>
      <c r="I31" s="10" t="s">
        <v>50</v>
      </c>
      <c r="J31" s="1"/>
      <c r="K31" s="1">
        <v>1239.2329999999999</v>
      </c>
      <c r="L31" s="1">
        <f t="shared" si="8"/>
        <v>-51.97199999999998</v>
      </c>
      <c r="M31" s="1">
        <f t="shared" si="9"/>
        <v>1178.998</v>
      </c>
      <c r="N31" s="1">
        <v>8.2629999999999999</v>
      </c>
      <c r="O31" s="1">
        <v>400</v>
      </c>
      <c r="P31" s="1"/>
      <c r="Q31" s="1"/>
      <c r="R31" s="1">
        <v>500</v>
      </c>
      <c r="S31" s="28"/>
      <c r="T31" s="21"/>
      <c r="U31" s="1">
        <v>500</v>
      </c>
      <c r="V31" s="28"/>
      <c r="W31" s="21"/>
      <c r="X31" s="21"/>
      <c r="Y31" s="1">
        <f t="shared" si="10"/>
        <v>235.7996</v>
      </c>
      <c r="Z31" s="5"/>
      <c r="AA31" s="5">
        <f t="shared" si="14"/>
        <v>0</v>
      </c>
      <c r="AB31" s="41"/>
      <c r="AC31" s="26"/>
      <c r="AD31" s="1">
        <f t="shared" si="11"/>
        <v>10.607816976788765</v>
      </c>
      <c r="AE31" s="1">
        <f t="shared" si="12"/>
        <v>10.607816976788765</v>
      </c>
      <c r="AF31" s="1">
        <v>278.0154</v>
      </c>
      <c r="AG31" s="1">
        <v>227.65520000000001</v>
      </c>
      <c r="AH31" s="1">
        <v>207.39060000000001</v>
      </c>
      <c r="AI31" s="1">
        <v>290.8818</v>
      </c>
      <c r="AJ31" s="1">
        <v>248.68559999999999</v>
      </c>
      <c r="AK31" s="1">
        <v>440.64760000000001</v>
      </c>
      <c r="AL31" s="1">
        <v>365.18979999999999</v>
      </c>
      <c r="AM31" s="1">
        <v>310.87279999999998</v>
      </c>
      <c r="AN31" s="9" t="s">
        <v>47</v>
      </c>
      <c r="AO31" s="1">
        <f t="shared" si="13"/>
        <v>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1" t="s">
        <v>74</v>
      </c>
      <c r="B32" s="11" t="s">
        <v>36</v>
      </c>
      <c r="C32" s="11">
        <v>-0.23</v>
      </c>
      <c r="D32" s="11"/>
      <c r="E32" s="11"/>
      <c r="F32" s="11">
        <v>-0.23</v>
      </c>
      <c r="G32" s="12">
        <v>0</v>
      </c>
      <c r="H32" s="11">
        <v>40</v>
      </c>
      <c r="I32" s="11" t="s">
        <v>53</v>
      </c>
      <c r="J32" s="11"/>
      <c r="K32" s="11">
        <v>25</v>
      </c>
      <c r="L32" s="11">
        <f t="shared" si="8"/>
        <v>-25</v>
      </c>
      <c r="M32" s="11">
        <f t="shared" si="9"/>
        <v>0</v>
      </c>
      <c r="N32" s="11"/>
      <c r="O32" s="11">
        <v>0</v>
      </c>
      <c r="P32" s="11"/>
      <c r="Q32" s="11"/>
      <c r="R32" s="11">
        <v>0</v>
      </c>
      <c r="S32" s="30"/>
      <c r="T32" s="24"/>
      <c r="U32" s="11"/>
      <c r="V32" s="30"/>
      <c r="W32" s="24"/>
      <c r="X32" s="24"/>
      <c r="Y32" s="11">
        <f t="shared" si="10"/>
        <v>0</v>
      </c>
      <c r="Z32" s="13"/>
      <c r="AA32" s="5">
        <f t="shared" si="14"/>
        <v>0</v>
      </c>
      <c r="AB32" s="41"/>
      <c r="AC32" s="26"/>
      <c r="AD32" s="1" t="e">
        <f t="shared" si="11"/>
        <v>#DIV/0!</v>
      </c>
      <c r="AE32" s="11" t="e">
        <f t="shared" si="12"/>
        <v>#DIV/0!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/>
      <c r="AO32" s="1">
        <f t="shared" si="13"/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75</v>
      </c>
      <c r="B33" s="1" t="s">
        <v>36</v>
      </c>
      <c r="C33" s="1">
        <v>407.43</v>
      </c>
      <c r="D33" s="1">
        <v>1767.6410000000001</v>
      </c>
      <c r="E33" s="1">
        <v>1871.2629999999999</v>
      </c>
      <c r="F33" s="1">
        <v>7.62</v>
      </c>
      <c r="G33" s="7">
        <v>1</v>
      </c>
      <c r="H33" s="1">
        <v>40</v>
      </c>
      <c r="I33" s="10" t="s">
        <v>50</v>
      </c>
      <c r="J33" s="1"/>
      <c r="K33" s="1">
        <v>3266.45</v>
      </c>
      <c r="L33" s="1">
        <f t="shared" si="8"/>
        <v>-1395.1869999999999</v>
      </c>
      <c r="M33" s="1">
        <f t="shared" si="9"/>
        <v>1871.2629999999999</v>
      </c>
      <c r="N33" s="1"/>
      <c r="O33" s="1">
        <v>2100</v>
      </c>
      <c r="P33" s="1">
        <v>-1000</v>
      </c>
      <c r="Q33" s="1"/>
      <c r="R33" s="1">
        <v>1500</v>
      </c>
      <c r="S33" s="28"/>
      <c r="T33" s="21"/>
      <c r="U33" s="1">
        <v>1500</v>
      </c>
      <c r="V33" s="28"/>
      <c r="W33" s="21"/>
      <c r="X33" s="21"/>
      <c r="Y33" s="1">
        <f t="shared" si="10"/>
        <v>374.25259999999997</v>
      </c>
      <c r="Z33" s="5">
        <v>1000</v>
      </c>
      <c r="AA33" s="5">
        <f t="shared" si="14"/>
        <v>1000</v>
      </c>
      <c r="AB33" s="41"/>
      <c r="AC33" s="26"/>
      <c r="AD33" s="1">
        <f t="shared" si="11"/>
        <v>13.647520418027824</v>
      </c>
      <c r="AE33" s="1">
        <f t="shared" si="12"/>
        <v>10.975528292923016</v>
      </c>
      <c r="AF33" s="1">
        <v>576.91759999999999</v>
      </c>
      <c r="AG33" s="1">
        <v>427.83499999999998</v>
      </c>
      <c r="AH33" s="1">
        <v>330.09280000000001</v>
      </c>
      <c r="AI33" s="1">
        <v>221.54920000000001</v>
      </c>
      <c r="AJ33" s="1">
        <v>91.550399999999996</v>
      </c>
      <c r="AK33" s="1">
        <v>656.28039999999999</v>
      </c>
      <c r="AL33" s="1">
        <v>656.84399999999994</v>
      </c>
      <c r="AM33" s="1">
        <v>328.15300000000002</v>
      </c>
      <c r="AN33" s="9" t="s">
        <v>47</v>
      </c>
      <c r="AO33" s="1">
        <f t="shared" si="13"/>
        <v>1000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1" t="s">
        <v>76</v>
      </c>
      <c r="B34" s="11" t="s">
        <v>36</v>
      </c>
      <c r="C34" s="11"/>
      <c r="D34" s="11"/>
      <c r="E34" s="11"/>
      <c r="F34" s="11"/>
      <c r="G34" s="12">
        <v>0</v>
      </c>
      <c r="H34" s="11"/>
      <c r="I34" s="11" t="s">
        <v>37</v>
      </c>
      <c r="J34" s="11"/>
      <c r="K34" s="11"/>
      <c r="L34" s="11">
        <f t="shared" si="8"/>
        <v>0</v>
      </c>
      <c r="M34" s="11">
        <f t="shared" si="9"/>
        <v>0</v>
      </c>
      <c r="N34" s="11"/>
      <c r="O34" s="11">
        <v>0</v>
      </c>
      <c r="P34" s="11"/>
      <c r="Q34" s="11"/>
      <c r="R34" s="11">
        <v>0</v>
      </c>
      <c r="S34" s="30"/>
      <c r="T34" s="24"/>
      <c r="U34" s="11"/>
      <c r="V34" s="30"/>
      <c r="W34" s="24"/>
      <c r="X34" s="24"/>
      <c r="Y34" s="11">
        <f t="shared" si="10"/>
        <v>0</v>
      </c>
      <c r="Z34" s="13"/>
      <c r="AA34" s="5">
        <f t="shared" si="14"/>
        <v>0</v>
      </c>
      <c r="AB34" s="41"/>
      <c r="AC34" s="26"/>
      <c r="AD34" s="1" t="e">
        <f t="shared" si="11"/>
        <v>#DIV/0!</v>
      </c>
      <c r="AE34" s="11" t="e">
        <f t="shared" si="12"/>
        <v>#DIV/0!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 t="s">
        <v>59</v>
      </c>
      <c r="AO34" s="1">
        <f t="shared" si="13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1" t="s">
        <v>77</v>
      </c>
      <c r="B35" s="11" t="s">
        <v>36</v>
      </c>
      <c r="C35" s="11"/>
      <c r="D35" s="11"/>
      <c r="E35" s="11"/>
      <c r="F35" s="11"/>
      <c r="G35" s="12">
        <v>0</v>
      </c>
      <c r="H35" s="11"/>
      <c r="I35" s="11" t="s">
        <v>37</v>
      </c>
      <c r="J35" s="11"/>
      <c r="K35" s="11"/>
      <c r="L35" s="11">
        <f t="shared" si="8"/>
        <v>0</v>
      </c>
      <c r="M35" s="11">
        <f t="shared" si="9"/>
        <v>0</v>
      </c>
      <c r="N35" s="11"/>
      <c r="O35" s="11">
        <v>0</v>
      </c>
      <c r="P35" s="11"/>
      <c r="Q35" s="11"/>
      <c r="R35" s="11">
        <v>0</v>
      </c>
      <c r="S35" s="30"/>
      <c r="T35" s="24"/>
      <c r="U35" s="11"/>
      <c r="V35" s="30"/>
      <c r="W35" s="24"/>
      <c r="X35" s="24"/>
      <c r="Y35" s="11">
        <f t="shared" si="10"/>
        <v>0</v>
      </c>
      <c r="Z35" s="13"/>
      <c r="AA35" s="5">
        <f t="shared" si="14"/>
        <v>0</v>
      </c>
      <c r="AB35" s="41"/>
      <c r="AC35" s="26"/>
      <c r="AD35" s="1" t="e">
        <f t="shared" si="11"/>
        <v>#DIV/0!</v>
      </c>
      <c r="AE35" s="11" t="e">
        <f t="shared" si="12"/>
        <v>#DIV/0!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 t="s">
        <v>59</v>
      </c>
      <c r="AO35" s="1">
        <f t="shared" si="13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1" t="s">
        <v>78</v>
      </c>
      <c r="B36" s="11" t="s">
        <v>36</v>
      </c>
      <c r="C36" s="11"/>
      <c r="D36" s="11"/>
      <c r="E36" s="11"/>
      <c r="F36" s="11"/>
      <c r="G36" s="12">
        <v>0</v>
      </c>
      <c r="H36" s="11"/>
      <c r="I36" s="11" t="s">
        <v>37</v>
      </c>
      <c r="J36" s="11"/>
      <c r="K36" s="11"/>
      <c r="L36" s="11">
        <f t="shared" si="8"/>
        <v>0</v>
      </c>
      <c r="M36" s="11">
        <f t="shared" si="9"/>
        <v>0</v>
      </c>
      <c r="N36" s="11"/>
      <c r="O36" s="11">
        <v>0</v>
      </c>
      <c r="P36" s="11"/>
      <c r="Q36" s="11"/>
      <c r="R36" s="11">
        <v>0</v>
      </c>
      <c r="S36" s="30"/>
      <c r="T36" s="24"/>
      <c r="U36" s="11"/>
      <c r="V36" s="30"/>
      <c r="W36" s="24"/>
      <c r="X36" s="24"/>
      <c r="Y36" s="11">
        <f t="shared" si="10"/>
        <v>0</v>
      </c>
      <c r="Z36" s="13"/>
      <c r="AA36" s="5">
        <f t="shared" si="14"/>
        <v>0</v>
      </c>
      <c r="AB36" s="41"/>
      <c r="AC36" s="26"/>
      <c r="AD36" s="1" t="e">
        <f t="shared" si="11"/>
        <v>#DIV/0!</v>
      </c>
      <c r="AE36" s="11" t="e">
        <f t="shared" si="12"/>
        <v>#DIV/0!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 t="s">
        <v>59</v>
      </c>
      <c r="AO36" s="1">
        <f t="shared" si="13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1" t="s">
        <v>79</v>
      </c>
      <c r="B37" s="11" t="s">
        <v>36</v>
      </c>
      <c r="C37" s="11"/>
      <c r="D37" s="11"/>
      <c r="E37" s="11"/>
      <c r="F37" s="11"/>
      <c r="G37" s="12">
        <v>0</v>
      </c>
      <c r="H37" s="11"/>
      <c r="I37" s="11" t="s">
        <v>37</v>
      </c>
      <c r="J37" s="11"/>
      <c r="K37" s="11"/>
      <c r="L37" s="11">
        <f t="shared" si="8"/>
        <v>0</v>
      </c>
      <c r="M37" s="11">
        <f t="shared" si="9"/>
        <v>0</v>
      </c>
      <c r="N37" s="11"/>
      <c r="O37" s="11">
        <v>0</v>
      </c>
      <c r="P37" s="11"/>
      <c r="Q37" s="11"/>
      <c r="R37" s="11">
        <v>0</v>
      </c>
      <c r="S37" s="30"/>
      <c r="T37" s="24"/>
      <c r="U37" s="11"/>
      <c r="V37" s="30"/>
      <c r="W37" s="24"/>
      <c r="X37" s="24"/>
      <c r="Y37" s="11">
        <f t="shared" si="10"/>
        <v>0</v>
      </c>
      <c r="Z37" s="13"/>
      <c r="AA37" s="5">
        <f t="shared" si="14"/>
        <v>0</v>
      </c>
      <c r="AB37" s="41"/>
      <c r="AC37" s="26"/>
      <c r="AD37" s="1" t="e">
        <f t="shared" si="11"/>
        <v>#DIV/0!</v>
      </c>
      <c r="AE37" s="11" t="e">
        <f t="shared" si="12"/>
        <v>#DIV/0!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 t="s">
        <v>59</v>
      </c>
      <c r="AO37" s="1">
        <f t="shared" si="13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20" t="s">
        <v>80</v>
      </c>
      <c r="B38" s="1" t="s">
        <v>42</v>
      </c>
      <c r="C38" s="1">
        <v>-220</v>
      </c>
      <c r="D38" s="1">
        <v>3219</v>
      </c>
      <c r="E38" s="1">
        <v>3263</v>
      </c>
      <c r="F38" s="1">
        <v>-399</v>
      </c>
      <c r="G38" s="7">
        <v>0.4</v>
      </c>
      <c r="H38" s="1">
        <v>45</v>
      </c>
      <c r="I38" s="10" t="s">
        <v>50</v>
      </c>
      <c r="J38" s="1"/>
      <c r="K38" s="1">
        <v>4096</v>
      </c>
      <c r="L38" s="1">
        <f t="shared" ref="L38:L69" si="15">E38-K38</f>
        <v>-833</v>
      </c>
      <c r="M38" s="1">
        <f t="shared" ref="M38:M69" si="16">E38-N38</f>
        <v>3155</v>
      </c>
      <c r="N38" s="1">
        <v>108</v>
      </c>
      <c r="O38" s="1">
        <v>2600</v>
      </c>
      <c r="P38" s="1"/>
      <c r="Q38" s="1"/>
      <c r="R38" s="1">
        <v>3000</v>
      </c>
      <c r="S38" s="28"/>
      <c r="T38" s="21"/>
      <c r="U38" s="1">
        <v>600</v>
      </c>
      <c r="V38" s="28"/>
      <c r="W38" s="21"/>
      <c r="X38" s="21"/>
      <c r="Y38" s="1">
        <f t="shared" ref="Y38:Y69" si="17">M38/5</f>
        <v>631</v>
      </c>
      <c r="Z38" s="5">
        <f>11.5*Y38-U38-R38-Q38-P38-O38-F38</f>
        <v>1455.5</v>
      </c>
      <c r="AA38" s="5">
        <v>2000</v>
      </c>
      <c r="AB38" s="41"/>
      <c r="AC38" s="26"/>
      <c r="AD38" s="1">
        <f t="shared" ref="AD38:AD69" si="18">(F38+O38+P38+Q38+R38+U38+AA38)/Y38</f>
        <v>12.362916006339145</v>
      </c>
      <c r="AE38" s="1">
        <f t="shared" ref="AE38:AE69" si="19">(F38+O38+P38+Q38+R38+U38)/Y38</f>
        <v>9.1933438985736924</v>
      </c>
      <c r="AF38" s="1">
        <v>648.4</v>
      </c>
      <c r="AG38" s="1">
        <v>1337.6</v>
      </c>
      <c r="AH38" s="1">
        <v>1183.5999999999999</v>
      </c>
      <c r="AI38" s="1">
        <v>579.79999999999995</v>
      </c>
      <c r="AJ38" s="1">
        <v>402.6</v>
      </c>
      <c r="AK38" s="1">
        <v>815</v>
      </c>
      <c r="AL38" s="1">
        <v>779</v>
      </c>
      <c r="AM38" s="1">
        <v>633.6</v>
      </c>
      <c r="AN38" s="1" t="s">
        <v>81</v>
      </c>
      <c r="AO38" s="1">
        <f t="shared" ref="AO38:AO69" si="20">ROUND(G38*AA38,0)</f>
        <v>800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82</v>
      </c>
      <c r="B39" s="1" t="s">
        <v>42</v>
      </c>
      <c r="C39" s="1">
        <v>38.75</v>
      </c>
      <c r="D39" s="1">
        <v>425.64</v>
      </c>
      <c r="E39" s="1">
        <v>416</v>
      </c>
      <c r="F39" s="1">
        <v>24.75</v>
      </c>
      <c r="G39" s="7">
        <v>0.45</v>
      </c>
      <c r="H39" s="1">
        <v>50</v>
      </c>
      <c r="I39" s="9" t="s">
        <v>45</v>
      </c>
      <c r="J39" s="1"/>
      <c r="K39" s="1">
        <v>1734</v>
      </c>
      <c r="L39" s="1">
        <f t="shared" si="15"/>
        <v>-1318</v>
      </c>
      <c r="M39" s="1">
        <f t="shared" si="16"/>
        <v>416</v>
      </c>
      <c r="N39" s="1"/>
      <c r="O39" s="1">
        <v>600</v>
      </c>
      <c r="P39" s="1"/>
      <c r="Q39" s="1"/>
      <c r="R39" s="1">
        <v>231.39644200000001</v>
      </c>
      <c r="S39" s="28"/>
      <c r="T39" s="21"/>
      <c r="U39" s="1">
        <v>424.11755799999997</v>
      </c>
      <c r="V39" s="28"/>
      <c r="W39" s="21"/>
      <c r="X39" s="21"/>
      <c r="Y39" s="1">
        <f t="shared" si="17"/>
        <v>83.2</v>
      </c>
      <c r="Z39" s="5"/>
      <c r="AA39" s="5">
        <f t="shared" si="14"/>
        <v>0</v>
      </c>
      <c r="AB39" s="41"/>
      <c r="AC39" s="26"/>
      <c r="AD39" s="1">
        <f t="shared" si="18"/>
        <v>15.387788461538459</v>
      </c>
      <c r="AE39" s="1">
        <f t="shared" si="19"/>
        <v>15.387788461538459</v>
      </c>
      <c r="AF39" s="1">
        <v>183.328</v>
      </c>
      <c r="AG39" s="1">
        <v>310.8</v>
      </c>
      <c r="AH39" s="1">
        <v>224.2</v>
      </c>
      <c r="AI39" s="1">
        <v>94</v>
      </c>
      <c r="AJ39" s="1">
        <v>102.6</v>
      </c>
      <c r="AK39" s="1">
        <v>147</v>
      </c>
      <c r="AL39" s="1">
        <v>147.6</v>
      </c>
      <c r="AM39" s="1">
        <v>112.6</v>
      </c>
      <c r="AN39" s="1" t="s">
        <v>83</v>
      </c>
      <c r="AO39" s="1">
        <f t="shared" si="20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84</v>
      </c>
      <c r="B40" s="1" t="s">
        <v>42</v>
      </c>
      <c r="C40" s="1">
        <v>35</v>
      </c>
      <c r="D40" s="1">
        <v>837</v>
      </c>
      <c r="E40" s="1">
        <v>758</v>
      </c>
      <c r="F40" s="1">
        <v>-38</v>
      </c>
      <c r="G40" s="7">
        <v>0.4</v>
      </c>
      <c r="H40" s="1">
        <v>45</v>
      </c>
      <c r="I40" s="10" t="s">
        <v>50</v>
      </c>
      <c r="J40" s="1"/>
      <c r="K40" s="1">
        <v>1388</v>
      </c>
      <c r="L40" s="1">
        <f t="shared" si="15"/>
        <v>-630</v>
      </c>
      <c r="M40" s="1">
        <f t="shared" si="16"/>
        <v>758</v>
      </c>
      <c r="N40" s="1"/>
      <c r="O40" s="1">
        <v>390</v>
      </c>
      <c r="P40" s="1"/>
      <c r="Q40" s="1"/>
      <c r="R40" s="1">
        <v>600</v>
      </c>
      <c r="S40" s="28"/>
      <c r="T40" s="21"/>
      <c r="U40" s="1">
        <v>300</v>
      </c>
      <c r="V40" s="28"/>
      <c r="W40" s="21"/>
      <c r="X40" s="21"/>
      <c r="Y40" s="1">
        <f t="shared" si="17"/>
        <v>151.6</v>
      </c>
      <c r="Z40" s="5">
        <f>11.5*Y40-U40-R40-Q40-P40-O40-F40</f>
        <v>491.39999999999986</v>
      </c>
      <c r="AA40" s="5">
        <f t="shared" si="14"/>
        <v>491.39999999999986</v>
      </c>
      <c r="AB40" s="41"/>
      <c r="AC40" s="26"/>
      <c r="AD40" s="1">
        <f t="shared" si="18"/>
        <v>11.5</v>
      </c>
      <c r="AE40" s="1">
        <f t="shared" si="19"/>
        <v>8.2585751978891828</v>
      </c>
      <c r="AF40" s="1">
        <v>137</v>
      </c>
      <c r="AG40" s="1">
        <v>55.2</v>
      </c>
      <c r="AH40" s="1">
        <v>16.600000000000001</v>
      </c>
      <c r="AI40" s="1">
        <v>46.2</v>
      </c>
      <c r="AJ40" s="1">
        <v>45.4</v>
      </c>
      <c r="AK40" s="1">
        <v>148.4</v>
      </c>
      <c r="AL40" s="1">
        <v>148.4</v>
      </c>
      <c r="AM40" s="1">
        <v>122.2</v>
      </c>
      <c r="AN40" s="1"/>
      <c r="AO40" s="1">
        <f t="shared" si="20"/>
        <v>197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85</v>
      </c>
      <c r="B41" s="1" t="s">
        <v>42</v>
      </c>
      <c r="C41" s="1">
        <v>-13</v>
      </c>
      <c r="D41" s="1">
        <v>104</v>
      </c>
      <c r="E41" s="1">
        <v>94</v>
      </c>
      <c r="F41" s="1">
        <v>-13</v>
      </c>
      <c r="G41" s="7">
        <v>0.4</v>
      </c>
      <c r="H41" s="1">
        <v>40</v>
      </c>
      <c r="I41" s="10" t="s">
        <v>50</v>
      </c>
      <c r="J41" s="1"/>
      <c r="K41" s="1">
        <v>626</v>
      </c>
      <c r="L41" s="1">
        <f t="shared" si="15"/>
        <v>-532</v>
      </c>
      <c r="M41" s="1">
        <f t="shared" si="16"/>
        <v>94</v>
      </c>
      <c r="N41" s="1"/>
      <c r="O41" s="1">
        <v>260</v>
      </c>
      <c r="P41" s="1">
        <v>-263.99999999999989</v>
      </c>
      <c r="Q41" s="1"/>
      <c r="R41" s="1">
        <v>200</v>
      </c>
      <c r="S41" s="28"/>
      <c r="T41" s="21"/>
      <c r="U41" s="1">
        <v>100</v>
      </c>
      <c r="V41" s="28"/>
      <c r="W41" s="21"/>
      <c r="X41" s="21"/>
      <c r="Y41" s="1">
        <f t="shared" si="17"/>
        <v>18.8</v>
      </c>
      <c r="Z41" s="5">
        <v>200</v>
      </c>
      <c r="AA41" s="5">
        <f t="shared" si="14"/>
        <v>200</v>
      </c>
      <c r="AB41" s="41"/>
      <c r="AC41" s="26"/>
      <c r="AD41" s="1">
        <f t="shared" si="18"/>
        <v>25.691489361702132</v>
      </c>
      <c r="AE41" s="1">
        <f t="shared" si="19"/>
        <v>15.053191489361708</v>
      </c>
      <c r="AF41" s="1">
        <v>7.4</v>
      </c>
      <c r="AG41" s="1">
        <v>-0.2</v>
      </c>
      <c r="AH41" s="1">
        <v>-0.2</v>
      </c>
      <c r="AI41" s="1">
        <v>0</v>
      </c>
      <c r="AJ41" s="1">
        <v>-0.4</v>
      </c>
      <c r="AK41" s="1">
        <v>2.6</v>
      </c>
      <c r="AL41" s="1">
        <v>2.6</v>
      </c>
      <c r="AM41" s="1">
        <v>46</v>
      </c>
      <c r="AN41" s="1"/>
      <c r="AO41" s="1">
        <f t="shared" si="20"/>
        <v>80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86</v>
      </c>
      <c r="B42" s="1" t="s">
        <v>36</v>
      </c>
      <c r="C42" s="1">
        <v>56.860999999999997</v>
      </c>
      <c r="D42" s="1">
        <v>292.39</v>
      </c>
      <c r="E42" s="1">
        <v>124.419</v>
      </c>
      <c r="F42" s="1">
        <v>86.89</v>
      </c>
      <c r="G42" s="7">
        <v>1</v>
      </c>
      <c r="H42" s="1"/>
      <c r="I42" s="10" t="s">
        <v>50</v>
      </c>
      <c r="J42" s="1"/>
      <c r="K42" s="1">
        <v>201.398</v>
      </c>
      <c r="L42" s="1">
        <f t="shared" si="15"/>
        <v>-76.978999999999999</v>
      </c>
      <c r="M42" s="1">
        <f t="shared" si="16"/>
        <v>56.221000000000004</v>
      </c>
      <c r="N42" s="1">
        <v>68.197999999999993</v>
      </c>
      <c r="O42" s="1">
        <v>0</v>
      </c>
      <c r="P42" s="1"/>
      <c r="Q42" s="1"/>
      <c r="R42" s="1">
        <v>62.551999999999992</v>
      </c>
      <c r="S42" s="28"/>
      <c r="T42" s="21"/>
      <c r="U42" s="1">
        <v>31.276</v>
      </c>
      <c r="V42" s="28"/>
      <c r="W42" s="21"/>
      <c r="X42" s="21"/>
      <c r="Y42" s="1">
        <f t="shared" si="17"/>
        <v>11.244200000000001</v>
      </c>
      <c r="Z42" s="5">
        <v>30</v>
      </c>
      <c r="AA42" s="5">
        <f t="shared" si="14"/>
        <v>30</v>
      </c>
      <c r="AB42" s="41"/>
      <c r="AC42" s="26"/>
      <c r="AD42" s="1">
        <f t="shared" si="18"/>
        <v>18.740150477579551</v>
      </c>
      <c r="AE42" s="1">
        <f t="shared" si="19"/>
        <v>16.072108286939045</v>
      </c>
      <c r="AF42" s="1">
        <v>18.956</v>
      </c>
      <c r="AG42" s="1">
        <v>4.8393999999999986</v>
      </c>
      <c r="AH42" s="1">
        <v>5.6033999999999997</v>
      </c>
      <c r="AI42" s="1">
        <v>14.360799999999999</v>
      </c>
      <c r="AJ42" s="1">
        <v>9.3544</v>
      </c>
      <c r="AK42" s="1">
        <v>0</v>
      </c>
      <c r="AL42" s="1">
        <v>0</v>
      </c>
      <c r="AM42" s="1">
        <v>0</v>
      </c>
      <c r="AN42" s="1" t="s">
        <v>190</v>
      </c>
      <c r="AO42" s="1">
        <f t="shared" si="20"/>
        <v>30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87</v>
      </c>
      <c r="B43" s="1" t="s">
        <v>42</v>
      </c>
      <c r="C43" s="1">
        <v>184</v>
      </c>
      <c r="D43" s="1">
        <v>165</v>
      </c>
      <c r="E43" s="1">
        <v>300</v>
      </c>
      <c r="F43" s="1">
        <v>6</v>
      </c>
      <c r="G43" s="7">
        <v>0.1</v>
      </c>
      <c r="H43" s="1">
        <v>731</v>
      </c>
      <c r="I43" s="1" t="s">
        <v>37</v>
      </c>
      <c r="J43" s="1"/>
      <c r="K43" s="1">
        <v>398</v>
      </c>
      <c r="L43" s="1">
        <f t="shared" si="15"/>
        <v>-98</v>
      </c>
      <c r="M43" s="1">
        <f t="shared" si="16"/>
        <v>300</v>
      </c>
      <c r="N43" s="1"/>
      <c r="O43" s="1">
        <v>363</v>
      </c>
      <c r="P43" s="1"/>
      <c r="Q43" s="1"/>
      <c r="R43" s="1">
        <v>211.8</v>
      </c>
      <c r="S43" s="28"/>
      <c r="T43" s="21"/>
      <c r="U43" s="1">
        <v>388.2</v>
      </c>
      <c r="V43" s="28"/>
      <c r="W43" s="21"/>
      <c r="X43" s="21"/>
      <c r="Y43" s="1">
        <f t="shared" si="17"/>
        <v>60</v>
      </c>
      <c r="Z43" s="5"/>
      <c r="AA43" s="5">
        <f t="shared" si="14"/>
        <v>0</v>
      </c>
      <c r="AB43" s="41"/>
      <c r="AC43" s="26"/>
      <c r="AD43" s="1">
        <f t="shared" si="18"/>
        <v>16.149999999999999</v>
      </c>
      <c r="AE43" s="1">
        <f t="shared" si="19"/>
        <v>16.149999999999999</v>
      </c>
      <c r="AF43" s="1">
        <v>69.400000000000006</v>
      </c>
      <c r="AG43" s="1">
        <v>43</v>
      </c>
      <c r="AH43" s="1">
        <v>24</v>
      </c>
      <c r="AI43" s="1">
        <v>35.6</v>
      </c>
      <c r="AJ43" s="1">
        <v>42.4</v>
      </c>
      <c r="AK43" s="1">
        <v>42.4</v>
      </c>
      <c r="AL43" s="1">
        <v>42.4</v>
      </c>
      <c r="AM43" s="1">
        <v>41.4</v>
      </c>
      <c r="AN43" s="1"/>
      <c r="AO43" s="1">
        <f t="shared" si="20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88</v>
      </c>
      <c r="B44" s="1" t="s">
        <v>42</v>
      </c>
      <c r="C44" s="1">
        <v>-2</v>
      </c>
      <c r="D44" s="1">
        <v>48</v>
      </c>
      <c r="E44" s="1">
        <v>2</v>
      </c>
      <c r="F44" s="1">
        <v>27</v>
      </c>
      <c r="G44" s="7">
        <v>0.35</v>
      </c>
      <c r="H44" s="1">
        <v>40</v>
      </c>
      <c r="I44" s="10" t="s">
        <v>50</v>
      </c>
      <c r="J44" s="1"/>
      <c r="K44" s="1">
        <v>10</v>
      </c>
      <c r="L44" s="1">
        <f t="shared" si="15"/>
        <v>-8</v>
      </c>
      <c r="M44" s="1">
        <f t="shared" si="16"/>
        <v>2</v>
      </c>
      <c r="N44" s="1"/>
      <c r="O44" s="1">
        <v>52</v>
      </c>
      <c r="P44" s="1"/>
      <c r="Q44" s="1"/>
      <c r="R44" s="1">
        <v>0</v>
      </c>
      <c r="S44" s="28"/>
      <c r="T44" s="21"/>
      <c r="U44" s="1">
        <v>0</v>
      </c>
      <c r="V44" s="28"/>
      <c r="W44" s="21"/>
      <c r="X44" s="21"/>
      <c r="Y44" s="1">
        <f t="shared" si="17"/>
        <v>0.4</v>
      </c>
      <c r="Z44" s="5"/>
      <c r="AA44" s="5">
        <f t="shared" si="14"/>
        <v>0</v>
      </c>
      <c r="AB44" s="41"/>
      <c r="AC44" s="26"/>
      <c r="AD44" s="1">
        <f t="shared" si="18"/>
        <v>197.5</v>
      </c>
      <c r="AE44" s="1">
        <f t="shared" si="19"/>
        <v>197.5</v>
      </c>
      <c r="AF44" s="1">
        <v>0.6</v>
      </c>
      <c r="AG44" s="1">
        <v>-0.8</v>
      </c>
      <c r="AH44" s="1">
        <v>-1.8</v>
      </c>
      <c r="AI44" s="1">
        <v>-2.4</v>
      </c>
      <c r="AJ44" s="1">
        <v>-1.2</v>
      </c>
      <c r="AK44" s="1">
        <v>4.2</v>
      </c>
      <c r="AL44" s="1">
        <v>4.2</v>
      </c>
      <c r="AM44" s="1">
        <v>15.8</v>
      </c>
      <c r="AN44" s="1"/>
      <c r="AO44" s="1">
        <f t="shared" si="20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89</v>
      </c>
      <c r="B45" s="1" t="s">
        <v>36</v>
      </c>
      <c r="C45" s="1">
        <v>21.544</v>
      </c>
      <c r="D45" s="1">
        <v>21.832999999999998</v>
      </c>
      <c r="E45" s="1">
        <v>8.3550000000000004</v>
      </c>
      <c r="F45" s="1">
        <v>25.352</v>
      </c>
      <c r="G45" s="7">
        <v>1</v>
      </c>
      <c r="H45" s="1">
        <v>40</v>
      </c>
      <c r="I45" s="10" t="s">
        <v>50</v>
      </c>
      <c r="J45" s="1"/>
      <c r="K45" s="1">
        <v>27.7</v>
      </c>
      <c r="L45" s="1">
        <f t="shared" si="15"/>
        <v>-19.344999999999999</v>
      </c>
      <c r="M45" s="1">
        <f t="shared" si="16"/>
        <v>8.3550000000000004</v>
      </c>
      <c r="N45" s="1"/>
      <c r="O45" s="1">
        <v>0</v>
      </c>
      <c r="P45" s="1"/>
      <c r="Q45" s="1"/>
      <c r="R45" s="1">
        <v>0</v>
      </c>
      <c r="S45" s="28"/>
      <c r="T45" s="21"/>
      <c r="U45" s="1">
        <v>0</v>
      </c>
      <c r="V45" s="28"/>
      <c r="W45" s="21"/>
      <c r="X45" s="21"/>
      <c r="Y45" s="1">
        <f t="shared" si="17"/>
        <v>1.671</v>
      </c>
      <c r="Z45" s="5"/>
      <c r="AA45" s="5">
        <f t="shared" si="14"/>
        <v>0</v>
      </c>
      <c r="AB45" s="41"/>
      <c r="AC45" s="26"/>
      <c r="AD45" s="1">
        <f t="shared" si="18"/>
        <v>15.171753441053262</v>
      </c>
      <c r="AE45" s="1">
        <f t="shared" si="19"/>
        <v>15.171753441053262</v>
      </c>
      <c r="AF45" s="1">
        <v>2.0398000000000001</v>
      </c>
      <c r="AG45" s="1">
        <v>3.0230000000000001</v>
      </c>
      <c r="AH45" s="1">
        <v>3.0924</v>
      </c>
      <c r="AI45" s="1">
        <v>2.1831999999999998</v>
      </c>
      <c r="AJ45" s="1">
        <v>2.4698000000000002</v>
      </c>
      <c r="AK45" s="1">
        <v>2.9312</v>
      </c>
      <c r="AL45" s="1">
        <v>3.1116000000000001</v>
      </c>
      <c r="AM45" s="1">
        <v>2.6240000000000001</v>
      </c>
      <c r="AN45" s="1"/>
      <c r="AO45" s="1">
        <f t="shared" si="20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90</v>
      </c>
      <c r="B46" s="1" t="s">
        <v>42</v>
      </c>
      <c r="C46" s="1">
        <v>-13</v>
      </c>
      <c r="D46" s="1">
        <v>207</v>
      </c>
      <c r="E46" s="1">
        <v>192</v>
      </c>
      <c r="F46" s="1">
        <v>-32</v>
      </c>
      <c r="G46" s="7">
        <v>0.4</v>
      </c>
      <c r="H46" s="1">
        <v>40</v>
      </c>
      <c r="I46" s="10" t="s">
        <v>50</v>
      </c>
      <c r="J46" s="1"/>
      <c r="K46" s="1">
        <v>371</v>
      </c>
      <c r="L46" s="1">
        <f t="shared" si="15"/>
        <v>-179</v>
      </c>
      <c r="M46" s="1">
        <f t="shared" si="16"/>
        <v>192</v>
      </c>
      <c r="N46" s="1"/>
      <c r="O46" s="1">
        <v>104</v>
      </c>
      <c r="P46" s="1"/>
      <c r="Q46" s="1"/>
      <c r="R46" s="1">
        <v>150</v>
      </c>
      <c r="S46" s="28"/>
      <c r="T46" s="21"/>
      <c r="U46" s="1">
        <v>75</v>
      </c>
      <c r="V46" s="28"/>
      <c r="W46" s="21"/>
      <c r="X46" s="21"/>
      <c r="Y46" s="1">
        <f t="shared" si="17"/>
        <v>38.4</v>
      </c>
      <c r="Z46" s="5">
        <f>11.5*Y46-U46-R46-Q46-P46-O46-F46</f>
        <v>144.59999999999997</v>
      </c>
      <c r="AA46" s="5">
        <f t="shared" si="14"/>
        <v>144.59999999999997</v>
      </c>
      <c r="AB46" s="41"/>
      <c r="AC46" s="26"/>
      <c r="AD46" s="1">
        <f t="shared" si="18"/>
        <v>11.5</v>
      </c>
      <c r="AE46" s="1">
        <f t="shared" si="19"/>
        <v>7.734375</v>
      </c>
      <c r="AF46" s="1">
        <v>34.6</v>
      </c>
      <c r="AG46" s="1">
        <v>39.4</v>
      </c>
      <c r="AH46" s="1">
        <v>36.6</v>
      </c>
      <c r="AI46" s="1">
        <v>26.8</v>
      </c>
      <c r="AJ46" s="1">
        <v>24.8</v>
      </c>
      <c r="AK46" s="1">
        <v>30.8</v>
      </c>
      <c r="AL46" s="1">
        <v>31.8</v>
      </c>
      <c r="AM46" s="1">
        <v>4.8</v>
      </c>
      <c r="AN46" s="1"/>
      <c r="AO46" s="1">
        <f t="shared" si="20"/>
        <v>58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91</v>
      </c>
      <c r="B47" s="1" t="s">
        <v>42</v>
      </c>
      <c r="C47" s="1">
        <v>41</v>
      </c>
      <c r="D47" s="1">
        <v>469</v>
      </c>
      <c r="E47" s="1">
        <v>458</v>
      </c>
      <c r="F47" s="1">
        <v>34</v>
      </c>
      <c r="G47" s="7">
        <v>0.4</v>
      </c>
      <c r="H47" s="1">
        <v>45</v>
      </c>
      <c r="I47" s="10" t="s">
        <v>50</v>
      </c>
      <c r="J47" s="1"/>
      <c r="K47" s="1">
        <v>686</v>
      </c>
      <c r="L47" s="1">
        <f t="shared" si="15"/>
        <v>-228</v>
      </c>
      <c r="M47" s="1">
        <f t="shared" si="16"/>
        <v>458</v>
      </c>
      <c r="N47" s="1"/>
      <c r="O47" s="1">
        <v>130</v>
      </c>
      <c r="P47" s="1">
        <v>-132</v>
      </c>
      <c r="Q47" s="1"/>
      <c r="R47" s="1">
        <v>297</v>
      </c>
      <c r="S47" s="28"/>
      <c r="T47" s="21"/>
      <c r="U47" s="1">
        <v>148.5</v>
      </c>
      <c r="V47" s="28"/>
      <c r="W47" s="21"/>
      <c r="X47" s="21"/>
      <c r="Y47" s="1">
        <f t="shared" si="17"/>
        <v>91.6</v>
      </c>
      <c r="Z47" s="5">
        <v>300</v>
      </c>
      <c r="AA47" s="5">
        <f t="shared" si="14"/>
        <v>300</v>
      </c>
      <c r="AB47" s="41"/>
      <c r="AC47" s="26"/>
      <c r="AD47" s="1">
        <f t="shared" si="18"/>
        <v>8.4879912663755466</v>
      </c>
      <c r="AE47" s="1">
        <f t="shared" si="19"/>
        <v>5.212882096069869</v>
      </c>
      <c r="AF47" s="1">
        <v>61.8</v>
      </c>
      <c r="AG47" s="1">
        <v>53.8</v>
      </c>
      <c r="AH47" s="1">
        <v>28.6</v>
      </c>
      <c r="AI47" s="1">
        <v>35.200000000000003</v>
      </c>
      <c r="AJ47" s="1">
        <v>45.6</v>
      </c>
      <c r="AK47" s="1">
        <v>29.2</v>
      </c>
      <c r="AL47" s="1">
        <v>29.2</v>
      </c>
      <c r="AM47" s="1">
        <v>8.8000000000000007</v>
      </c>
      <c r="AN47" s="1"/>
      <c r="AO47" s="1">
        <f t="shared" si="20"/>
        <v>120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92</v>
      </c>
      <c r="B48" s="1" t="s">
        <v>36</v>
      </c>
      <c r="C48" s="1">
        <v>32.405000000000001</v>
      </c>
      <c r="D48" s="1">
        <v>43.35</v>
      </c>
      <c r="E48" s="1">
        <v>48.085000000000001</v>
      </c>
      <c r="F48" s="1">
        <v>17.347999999999999</v>
      </c>
      <c r="G48" s="7">
        <v>1</v>
      </c>
      <c r="H48" s="1">
        <v>40</v>
      </c>
      <c r="I48" s="10" t="s">
        <v>50</v>
      </c>
      <c r="J48" s="1"/>
      <c r="K48" s="1">
        <v>112.2</v>
      </c>
      <c r="L48" s="1">
        <f t="shared" si="15"/>
        <v>-64.115000000000009</v>
      </c>
      <c r="M48" s="1">
        <f t="shared" si="16"/>
        <v>48.085000000000001</v>
      </c>
      <c r="N48" s="1"/>
      <c r="O48" s="1">
        <v>13</v>
      </c>
      <c r="P48" s="1"/>
      <c r="Q48" s="1"/>
      <c r="R48" s="1">
        <v>80</v>
      </c>
      <c r="S48" s="28"/>
      <c r="T48" s="21"/>
      <c r="U48" s="1"/>
      <c r="V48" s="28"/>
      <c r="W48" s="21"/>
      <c r="X48" s="21"/>
      <c r="Y48" s="1">
        <f t="shared" si="17"/>
        <v>9.6170000000000009</v>
      </c>
      <c r="Z48" s="5">
        <v>5</v>
      </c>
      <c r="AA48" s="5">
        <f t="shared" si="14"/>
        <v>5</v>
      </c>
      <c r="AB48" s="41"/>
      <c r="AC48" s="26"/>
      <c r="AD48" s="1">
        <f t="shared" si="18"/>
        <v>11.99417697826765</v>
      </c>
      <c r="AE48" s="1">
        <f t="shared" si="19"/>
        <v>11.474264323593635</v>
      </c>
      <c r="AF48" s="1">
        <v>3.972</v>
      </c>
      <c r="AG48" s="1">
        <v>4.1012000000000004</v>
      </c>
      <c r="AH48" s="1">
        <v>4.9813999999999998</v>
      </c>
      <c r="AI48" s="1">
        <v>0.87859999999999994</v>
      </c>
      <c r="AJ48" s="1">
        <v>0</v>
      </c>
      <c r="AK48" s="1">
        <v>5.8158000000000003</v>
      </c>
      <c r="AL48" s="1">
        <v>5.8158000000000003</v>
      </c>
      <c r="AM48" s="1">
        <v>7.0093999999999994</v>
      </c>
      <c r="AN48" s="1" t="s">
        <v>39</v>
      </c>
      <c r="AO48" s="1">
        <f t="shared" si="20"/>
        <v>5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93</v>
      </c>
      <c r="B49" s="1" t="s">
        <v>42</v>
      </c>
      <c r="C49" s="1">
        <v>-27</v>
      </c>
      <c r="D49" s="1">
        <v>1464</v>
      </c>
      <c r="E49" s="1">
        <v>1433</v>
      </c>
      <c r="F49" s="1">
        <v>-39.15</v>
      </c>
      <c r="G49" s="7">
        <v>0.35</v>
      </c>
      <c r="H49" s="1">
        <v>40</v>
      </c>
      <c r="I49" s="10" t="s">
        <v>50</v>
      </c>
      <c r="J49" s="1"/>
      <c r="K49" s="1">
        <v>1519</v>
      </c>
      <c r="L49" s="1">
        <f t="shared" si="15"/>
        <v>-86</v>
      </c>
      <c r="M49" s="1">
        <f t="shared" si="16"/>
        <v>1433</v>
      </c>
      <c r="N49" s="1"/>
      <c r="O49" s="1">
        <v>260</v>
      </c>
      <c r="P49" s="1"/>
      <c r="Q49" s="1"/>
      <c r="R49" s="1">
        <v>300</v>
      </c>
      <c r="S49" s="28"/>
      <c r="T49" s="21"/>
      <c r="U49" s="1">
        <v>150</v>
      </c>
      <c r="V49" s="28"/>
      <c r="W49" s="21"/>
      <c r="X49" s="21"/>
      <c r="Y49" s="1">
        <f t="shared" si="17"/>
        <v>286.60000000000002</v>
      </c>
      <c r="Z49" s="5">
        <v>350</v>
      </c>
      <c r="AA49" s="5">
        <f t="shared" si="14"/>
        <v>350</v>
      </c>
      <c r="AB49" s="41"/>
      <c r="AC49" s="26"/>
      <c r="AD49" s="1">
        <f t="shared" si="18"/>
        <v>3.5619330076762035</v>
      </c>
      <c r="AE49" s="1">
        <f t="shared" si="19"/>
        <v>2.340718771807397</v>
      </c>
      <c r="AF49" s="1">
        <v>77.599999999999994</v>
      </c>
      <c r="AG49" s="1">
        <v>42.2</v>
      </c>
      <c r="AH49" s="1">
        <v>3.4</v>
      </c>
      <c r="AI49" s="1">
        <v>3.8</v>
      </c>
      <c r="AJ49" s="1">
        <v>49.6</v>
      </c>
      <c r="AK49" s="1">
        <v>98.8</v>
      </c>
      <c r="AL49" s="1">
        <v>122.8</v>
      </c>
      <c r="AM49" s="1">
        <v>88.6</v>
      </c>
      <c r="AN49" s="1" t="s">
        <v>94</v>
      </c>
      <c r="AO49" s="1">
        <f t="shared" si="20"/>
        <v>123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95</v>
      </c>
      <c r="B50" s="1" t="s">
        <v>42</v>
      </c>
      <c r="C50" s="1">
        <v>97</v>
      </c>
      <c r="D50" s="1">
        <v>594</v>
      </c>
      <c r="E50" s="1">
        <v>535</v>
      </c>
      <c r="F50" s="1">
        <v>101</v>
      </c>
      <c r="G50" s="7">
        <v>0.4</v>
      </c>
      <c r="H50" s="1">
        <v>40</v>
      </c>
      <c r="I50" s="10" t="s">
        <v>50</v>
      </c>
      <c r="J50" s="1"/>
      <c r="K50" s="1">
        <v>576</v>
      </c>
      <c r="L50" s="1">
        <f t="shared" si="15"/>
        <v>-41</v>
      </c>
      <c r="M50" s="1">
        <f t="shared" si="16"/>
        <v>535</v>
      </c>
      <c r="N50" s="1"/>
      <c r="O50" s="1">
        <v>156</v>
      </c>
      <c r="P50" s="1"/>
      <c r="Q50" s="1"/>
      <c r="R50" s="1">
        <v>500</v>
      </c>
      <c r="S50" s="28"/>
      <c r="T50" s="21"/>
      <c r="U50" s="1">
        <v>400</v>
      </c>
      <c r="V50" s="28"/>
      <c r="W50" s="21"/>
      <c r="X50" s="21"/>
      <c r="Y50" s="1">
        <f t="shared" si="17"/>
        <v>107</v>
      </c>
      <c r="Z50" s="5">
        <f>11.5*Y50-U50-R50-Q50-P50-O50-F50</f>
        <v>73.5</v>
      </c>
      <c r="AA50" s="5">
        <f t="shared" si="14"/>
        <v>73.5</v>
      </c>
      <c r="AB50" s="41"/>
      <c r="AC50" s="26"/>
      <c r="AD50" s="1">
        <f t="shared" si="18"/>
        <v>11.5</v>
      </c>
      <c r="AE50" s="1">
        <f t="shared" si="19"/>
        <v>10.813084112149532</v>
      </c>
      <c r="AF50" s="1">
        <v>103</v>
      </c>
      <c r="AG50" s="1">
        <v>65.599999999999994</v>
      </c>
      <c r="AH50" s="1">
        <v>59</v>
      </c>
      <c r="AI50" s="1">
        <v>80.2</v>
      </c>
      <c r="AJ50" s="1">
        <v>84.2</v>
      </c>
      <c r="AK50" s="1">
        <v>30.8</v>
      </c>
      <c r="AL50" s="1">
        <v>31.2</v>
      </c>
      <c r="AM50" s="1">
        <v>27.8</v>
      </c>
      <c r="AN50" s="1"/>
      <c r="AO50" s="1">
        <f t="shared" si="20"/>
        <v>29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96</v>
      </c>
      <c r="B51" s="1" t="s">
        <v>36</v>
      </c>
      <c r="C51" s="1">
        <v>27.760999999999999</v>
      </c>
      <c r="D51" s="1">
        <v>226.54599999999999</v>
      </c>
      <c r="E51" s="1">
        <v>95.174999999999997</v>
      </c>
      <c r="F51" s="1">
        <v>146.52099999999999</v>
      </c>
      <c r="G51" s="7">
        <v>1</v>
      </c>
      <c r="H51" s="1">
        <v>50</v>
      </c>
      <c r="I51" s="1" t="s">
        <v>37</v>
      </c>
      <c r="J51" s="1"/>
      <c r="K51" s="1">
        <v>95.55</v>
      </c>
      <c r="L51" s="1">
        <f t="shared" si="15"/>
        <v>-0.375</v>
      </c>
      <c r="M51" s="1">
        <f t="shared" si="16"/>
        <v>95.174999999999997</v>
      </c>
      <c r="N51" s="1"/>
      <c r="O51" s="1">
        <v>0</v>
      </c>
      <c r="P51" s="1"/>
      <c r="Q51" s="1"/>
      <c r="R51" s="1">
        <v>0</v>
      </c>
      <c r="S51" s="28"/>
      <c r="T51" s="21"/>
      <c r="U51" s="1"/>
      <c r="V51" s="28"/>
      <c r="W51" s="21"/>
      <c r="X51" s="21"/>
      <c r="Y51" s="1">
        <f t="shared" si="17"/>
        <v>19.035</v>
      </c>
      <c r="Z51" s="5">
        <f>11.5*Y51-U51-R51-Q51-P51-O51-F51</f>
        <v>72.381500000000017</v>
      </c>
      <c r="AA51" s="5">
        <f t="shared" si="14"/>
        <v>72.381500000000017</v>
      </c>
      <c r="AB51" s="41"/>
      <c r="AC51" s="26"/>
      <c r="AD51" s="1">
        <f t="shared" si="18"/>
        <v>11.5</v>
      </c>
      <c r="AE51" s="1">
        <f t="shared" si="19"/>
        <v>7.6974520619910685</v>
      </c>
      <c r="AF51" s="1">
        <v>16.658200000000001</v>
      </c>
      <c r="AG51" s="1">
        <v>12.968</v>
      </c>
      <c r="AH51" s="1">
        <v>15.1008</v>
      </c>
      <c r="AI51" s="1">
        <v>23.822600000000001</v>
      </c>
      <c r="AJ51" s="1">
        <v>13.5672</v>
      </c>
      <c r="AK51" s="1">
        <v>-10.742599999999999</v>
      </c>
      <c r="AL51" s="1">
        <v>17.911200000000001</v>
      </c>
      <c r="AM51" s="1">
        <v>18.7516</v>
      </c>
      <c r="AN51" s="1"/>
      <c r="AO51" s="1">
        <f t="shared" si="20"/>
        <v>72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97</v>
      </c>
      <c r="B52" s="1" t="s">
        <v>36</v>
      </c>
      <c r="C52" s="1">
        <v>1174.2270000000001</v>
      </c>
      <c r="D52" s="1">
        <v>364.22199999999998</v>
      </c>
      <c r="E52" s="1">
        <v>874.97400000000005</v>
      </c>
      <c r="F52" s="1">
        <v>276.55099999999999</v>
      </c>
      <c r="G52" s="7">
        <v>1</v>
      </c>
      <c r="H52" s="1">
        <v>50</v>
      </c>
      <c r="I52" s="1" t="s">
        <v>37</v>
      </c>
      <c r="J52" s="1"/>
      <c r="K52" s="1">
        <v>883.62800000000004</v>
      </c>
      <c r="L52" s="1">
        <f t="shared" si="15"/>
        <v>-8.6539999999999964</v>
      </c>
      <c r="M52" s="1">
        <f t="shared" si="16"/>
        <v>766.846</v>
      </c>
      <c r="N52" s="1">
        <v>108.128</v>
      </c>
      <c r="O52" s="1">
        <v>0</v>
      </c>
      <c r="P52" s="1"/>
      <c r="Q52" s="1"/>
      <c r="R52" s="1">
        <v>353</v>
      </c>
      <c r="S52" s="28"/>
      <c r="T52" s="21"/>
      <c r="U52" s="1">
        <v>647</v>
      </c>
      <c r="V52" s="28"/>
      <c r="W52" s="21"/>
      <c r="X52" s="21"/>
      <c r="Y52" s="1">
        <f t="shared" si="17"/>
        <v>153.36920000000001</v>
      </c>
      <c r="Z52" s="5">
        <f>11.5*Y52-U52-R52-Q52-P52-O52-F52</f>
        <v>487.19480000000016</v>
      </c>
      <c r="AA52" s="5">
        <f t="shared" si="14"/>
        <v>487.19480000000016</v>
      </c>
      <c r="AB52" s="41"/>
      <c r="AC52" s="26"/>
      <c r="AD52" s="1">
        <f t="shared" si="18"/>
        <v>11.5</v>
      </c>
      <c r="AE52" s="1">
        <f t="shared" si="19"/>
        <v>8.3233856602238259</v>
      </c>
      <c r="AF52" s="1">
        <v>161.00640000000001</v>
      </c>
      <c r="AG52" s="1">
        <v>71.831199999999995</v>
      </c>
      <c r="AH52" s="1">
        <v>69.209599999999995</v>
      </c>
      <c r="AI52" s="1">
        <v>101.32680000000001</v>
      </c>
      <c r="AJ52" s="1">
        <v>163.22460000000001</v>
      </c>
      <c r="AK52" s="1">
        <v>103.4038</v>
      </c>
      <c r="AL52" s="1">
        <v>157.8124</v>
      </c>
      <c r="AM52" s="1">
        <v>128.76320000000001</v>
      </c>
      <c r="AN52" s="1" t="s">
        <v>39</v>
      </c>
      <c r="AO52" s="1">
        <f t="shared" si="20"/>
        <v>487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1" t="s">
        <v>98</v>
      </c>
      <c r="B53" s="11" t="s">
        <v>36</v>
      </c>
      <c r="C53" s="11"/>
      <c r="D53" s="11"/>
      <c r="E53" s="11"/>
      <c r="F53" s="11"/>
      <c r="G53" s="12">
        <v>0</v>
      </c>
      <c r="H53" s="11"/>
      <c r="I53" s="11" t="s">
        <v>37</v>
      </c>
      <c r="J53" s="11"/>
      <c r="K53" s="11"/>
      <c r="L53" s="11">
        <f t="shared" si="15"/>
        <v>0</v>
      </c>
      <c r="M53" s="11">
        <f t="shared" si="16"/>
        <v>0</v>
      </c>
      <c r="N53" s="11"/>
      <c r="O53" s="11">
        <v>0</v>
      </c>
      <c r="P53" s="11"/>
      <c r="Q53" s="11"/>
      <c r="R53" s="11">
        <v>0</v>
      </c>
      <c r="S53" s="30"/>
      <c r="T53" s="24"/>
      <c r="U53" s="11"/>
      <c r="V53" s="30"/>
      <c r="W53" s="24"/>
      <c r="X53" s="24"/>
      <c r="Y53" s="11">
        <f t="shared" si="17"/>
        <v>0</v>
      </c>
      <c r="Z53" s="13"/>
      <c r="AA53" s="5">
        <f t="shared" si="14"/>
        <v>0</v>
      </c>
      <c r="AB53" s="41"/>
      <c r="AC53" s="26"/>
      <c r="AD53" s="1" t="e">
        <f t="shared" si="18"/>
        <v>#DIV/0!</v>
      </c>
      <c r="AE53" s="11" t="e">
        <f t="shared" si="19"/>
        <v>#DIV/0!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 t="s">
        <v>59</v>
      </c>
      <c r="AO53" s="1">
        <f t="shared" si="20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99</v>
      </c>
      <c r="B54" s="1" t="s">
        <v>42</v>
      </c>
      <c r="C54" s="1">
        <v>949</v>
      </c>
      <c r="D54" s="1">
        <v>364</v>
      </c>
      <c r="E54" s="1">
        <v>315</v>
      </c>
      <c r="F54" s="1">
        <v>969</v>
      </c>
      <c r="G54" s="7">
        <v>0.45</v>
      </c>
      <c r="H54" s="1">
        <v>50</v>
      </c>
      <c r="I54" s="1" t="s">
        <v>37</v>
      </c>
      <c r="J54" s="1"/>
      <c r="K54" s="1">
        <v>344</v>
      </c>
      <c r="L54" s="1">
        <f t="shared" si="15"/>
        <v>-29</v>
      </c>
      <c r="M54" s="1">
        <f t="shared" si="16"/>
        <v>315</v>
      </c>
      <c r="N54" s="1"/>
      <c r="O54" s="1">
        <v>0</v>
      </c>
      <c r="P54" s="1"/>
      <c r="Q54" s="1"/>
      <c r="R54" s="1">
        <v>0</v>
      </c>
      <c r="S54" s="28"/>
      <c r="T54" s="21"/>
      <c r="U54" s="1"/>
      <c r="V54" s="28"/>
      <c r="W54" s="21"/>
      <c r="X54" s="21"/>
      <c r="Y54" s="1">
        <f t="shared" si="17"/>
        <v>63</v>
      </c>
      <c r="Z54" s="5"/>
      <c r="AA54" s="5">
        <f t="shared" si="14"/>
        <v>0</v>
      </c>
      <c r="AB54" s="41"/>
      <c r="AC54" s="26"/>
      <c r="AD54" s="1">
        <f t="shared" si="18"/>
        <v>15.380952380952381</v>
      </c>
      <c r="AE54" s="1">
        <f t="shared" si="19"/>
        <v>15.380952380952381</v>
      </c>
      <c r="AF54" s="1">
        <v>61</v>
      </c>
      <c r="AG54" s="1">
        <v>62.8</v>
      </c>
      <c r="AH54" s="1">
        <v>62.4</v>
      </c>
      <c r="AI54" s="1">
        <v>49.2</v>
      </c>
      <c r="AJ54" s="1">
        <v>43.6</v>
      </c>
      <c r="AK54" s="1">
        <v>69.2</v>
      </c>
      <c r="AL54" s="1">
        <v>93.6</v>
      </c>
      <c r="AM54" s="1">
        <v>82</v>
      </c>
      <c r="AN54" s="1"/>
      <c r="AO54" s="1">
        <f t="shared" si="20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101</v>
      </c>
      <c r="B55" s="1" t="s">
        <v>42</v>
      </c>
      <c r="C55" s="1">
        <v>975</v>
      </c>
      <c r="D55" s="1">
        <v>465</v>
      </c>
      <c r="E55" s="1">
        <v>593</v>
      </c>
      <c r="F55" s="1">
        <v>824</v>
      </c>
      <c r="G55" s="7">
        <v>0.45</v>
      </c>
      <c r="H55" s="1">
        <v>50</v>
      </c>
      <c r="I55" s="1" t="s">
        <v>37</v>
      </c>
      <c r="J55" s="1"/>
      <c r="K55" s="1">
        <v>603</v>
      </c>
      <c r="L55" s="1">
        <f t="shared" si="15"/>
        <v>-10</v>
      </c>
      <c r="M55" s="1">
        <f t="shared" si="16"/>
        <v>593</v>
      </c>
      <c r="N55" s="1"/>
      <c r="O55" s="1">
        <v>0</v>
      </c>
      <c r="P55" s="1"/>
      <c r="Q55" s="1"/>
      <c r="R55" s="1">
        <v>106.06238</v>
      </c>
      <c r="S55" s="28"/>
      <c r="T55" s="21"/>
      <c r="U55" s="1">
        <v>194.39761999999999</v>
      </c>
      <c r="V55" s="28"/>
      <c r="W55" s="21"/>
      <c r="X55" s="21"/>
      <c r="Y55" s="1">
        <f t="shared" si="17"/>
        <v>118.6</v>
      </c>
      <c r="Z55" s="5">
        <f>11.5*Y55-U55-R55-Q55-P55-O55-F55</f>
        <v>239.43999999999983</v>
      </c>
      <c r="AA55" s="5">
        <f t="shared" si="14"/>
        <v>239.43999999999983</v>
      </c>
      <c r="AB55" s="41"/>
      <c r="AC55" s="26"/>
      <c r="AD55" s="1">
        <f t="shared" si="18"/>
        <v>11.5</v>
      </c>
      <c r="AE55" s="1">
        <f t="shared" si="19"/>
        <v>9.4811129848229356</v>
      </c>
      <c r="AF55" s="1">
        <v>121</v>
      </c>
      <c r="AG55" s="1">
        <v>89.2</v>
      </c>
      <c r="AH55" s="1">
        <v>85.2</v>
      </c>
      <c r="AI55" s="1">
        <v>83.8</v>
      </c>
      <c r="AJ55" s="1">
        <v>97.4</v>
      </c>
      <c r="AK55" s="1">
        <v>138.80000000000001</v>
      </c>
      <c r="AL55" s="1">
        <v>140.19999999999999</v>
      </c>
      <c r="AM55" s="1">
        <v>121.6</v>
      </c>
      <c r="AN55" s="1"/>
      <c r="AO55" s="1">
        <f t="shared" si="20"/>
        <v>108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1" t="s">
        <v>102</v>
      </c>
      <c r="B56" s="11" t="s">
        <v>42</v>
      </c>
      <c r="C56" s="11"/>
      <c r="D56" s="11"/>
      <c r="E56" s="11"/>
      <c r="F56" s="11"/>
      <c r="G56" s="12">
        <v>0</v>
      </c>
      <c r="H56" s="11"/>
      <c r="I56" s="11" t="s">
        <v>37</v>
      </c>
      <c r="J56" s="11"/>
      <c r="K56" s="11"/>
      <c r="L56" s="11">
        <f t="shared" si="15"/>
        <v>0</v>
      </c>
      <c r="M56" s="11">
        <f t="shared" si="16"/>
        <v>0</v>
      </c>
      <c r="N56" s="11"/>
      <c r="O56" s="11">
        <v>0</v>
      </c>
      <c r="P56" s="11"/>
      <c r="Q56" s="11"/>
      <c r="R56" s="11">
        <v>0</v>
      </c>
      <c r="S56" s="30"/>
      <c r="T56" s="24"/>
      <c r="U56" s="11"/>
      <c r="V56" s="30"/>
      <c r="W56" s="24"/>
      <c r="X56" s="24"/>
      <c r="Y56" s="11">
        <f t="shared" si="17"/>
        <v>0</v>
      </c>
      <c r="Z56" s="13"/>
      <c r="AA56" s="5">
        <f t="shared" si="14"/>
        <v>0</v>
      </c>
      <c r="AB56" s="41"/>
      <c r="AC56" s="26"/>
      <c r="AD56" s="1" t="e">
        <f t="shared" si="18"/>
        <v>#DIV/0!</v>
      </c>
      <c r="AE56" s="11" t="e">
        <f t="shared" si="19"/>
        <v>#DIV/0!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 t="s">
        <v>59</v>
      </c>
      <c r="AO56" s="1">
        <f t="shared" si="20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103</v>
      </c>
      <c r="B57" s="1" t="s">
        <v>42</v>
      </c>
      <c r="C57" s="1">
        <v>47</v>
      </c>
      <c r="D57" s="1">
        <v>116</v>
      </c>
      <c r="E57" s="1">
        <v>26</v>
      </c>
      <c r="F57" s="1">
        <v>126</v>
      </c>
      <c r="G57" s="7">
        <v>0.4</v>
      </c>
      <c r="H57" s="1">
        <v>40</v>
      </c>
      <c r="I57" s="10" t="s">
        <v>50</v>
      </c>
      <c r="J57" s="1"/>
      <c r="K57" s="1">
        <v>43</v>
      </c>
      <c r="L57" s="1">
        <f t="shared" si="15"/>
        <v>-17</v>
      </c>
      <c r="M57" s="1">
        <f t="shared" si="16"/>
        <v>26</v>
      </c>
      <c r="N57" s="1"/>
      <c r="O57" s="1">
        <v>0</v>
      </c>
      <c r="P57" s="1"/>
      <c r="Q57" s="1"/>
      <c r="R57" s="1">
        <v>0</v>
      </c>
      <c r="S57" s="28"/>
      <c r="T57" s="21"/>
      <c r="U57" s="1">
        <v>0</v>
      </c>
      <c r="V57" s="28"/>
      <c r="W57" s="21"/>
      <c r="X57" s="21"/>
      <c r="Y57" s="1">
        <f t="shared" si="17"/>
        <v>5.2</v>
      </c>
      <c r="Z57" s="5"/>
      <c r="AA57" s="5">
        <f t="shared" si="14"/>
        <v>0</v>
      </c>
      <c r="AB57" s="41"/>
      <c r="AC57" s="26"/>
      <c r="AD57" s="1">
        <f t="shared" si="18"/>
        <v>24.23076923076923</v>
      </c>
      <c r="AE57" s="1">
        <f t="shared" si="19"/>
        <v>24.23076923076923</v>
      </c>
      <c r="AF57" s="1">
        <v>6.6</v>
      </c>
      <c r="AG57" s="1">
        <v>2.6</v>
      </c>
      <c r="AH57" s="1">
        <v>2.8</v>
      </c>
      <c r="AI57" s="1">
        <v>8.1999999999999993</v>
      </c>
      <c r="AJ57" s="1">
        <v>6.6</v>
      </c>
      <c r="AK57" s="1">
        <v>2.4</v>
      </c>
      <c r="AL57" s="1">
        <v>2.4</v>
      </c>
      <c r="AM57" s="1">
        <v>-0.4</v>
      </c>
      <c r="AN57" s="1"/>
      <c r="AO57" s="1">
        <f t="shared" si="20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104</v>
      </c>
      <c r="B58" s="1" t="s">
        <v>36</v>
      </c>
      <c r="C58" s="1">
        <v>381.60599999999999</v>
      </c>
      <c r="D58" s="1">
        <v>565.51099999999997</v>
      </c>
      <c r="E58" s="1">
        <v>703.69399999999996</v>
      </c>
      <c r="F58" s="1">
        <v>-10.02</v>
      </c>
      <c r="G58" s="7">
        <v>1</v>
      </c>
      <c r="H58" s="1">
        <v>50</v>
      </c>
      <c r="I58" s="1" t="s">
        <v>37</v>
      </c>
      <c r="J58" s="1"/>
      <c r="K58" s="1">
        <v>705.68100000000004</v>
      </c>
      <c r="L58" s="1">
        <f t="shared" si="15"/>
        <v>-1.98700000000008</v>
      </c>
      <c r="M58" s="1">
        <f t="shared" si="16"/>
        <v>703.69399999999996</v>
      </c>
      <c r="N58" s="1"/>
      <c r="O58" s="1">
        <v>258.51280000000003</v>
      </c>
      <c r="P58" s="1"/>
      <c r="Q58" s="1"/>
      <c r="R58" s="1">
        <v>282.78152239999997</v>
      </c>
      <c r="S58" s="28"/>
      <c r="T58" s="21"/>
      <c r="U58" s="1">
        <v>518.29927759999987</v>
      </c>
      <c r="V58" s="28"/>
      <c r="W58" s="21"/>
      <c r="X58" s="21"/>
      <c r="Y58" s="1">
        <f t="shared" si="17"/>
        <v>140.7388</v>
      </c>
      <c r="Z58" s="5">
        <f>11.5*Y58-U58-R58-Q58-P58-O58-F58</f>
        <v>568.9226000000001</v>
      </c>
      <c r="AA58" s="5">
        <f t="shared" si="14"/>
        <v>568.9226000000001</v>
      </c>
      <c r="AB58" s="41"/>
      <c r="AC58" s="26"/>
      <c r="AD58" s="1">
        <f t="shared" si="18"/>
        <v>11.499999999999998</v>
      </c>
      <c r="AE58" s="1">
        <f t="shared" si="19"/>
        <v>7.4575994679505557</v>
      </c>
      <c r="AF58" s="1">
        <v>154.60720000000001</v>
      </c>
      <c r="AG58" s="1">
        <v>64.628200000000007</v>
      </c>
      <c r="AH58" s="1">
        <v>46.284599999999998</v>
      </c>
      <c r="AI58" s="1">
        <v>73.507800000000003</v>
      </c>
      <c r="AJ58" s="1">
        <v>80.846599999999995</v>
      </c>
      <c r="AK58" s="1">
        <v>58.027799999999999</v>
      </c>
      <c r="AL58" s="1">
        <v>74.771800000000013</v>
      </c>
      <c r="AM58" s="1">
        <v>94.477599999999981</v>
      </c>
      <c r="AN58" s="1"/>
      <c r="AO58" s="1">
        <f t="shared" si="20"/>
        <v>569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105</v>
      </c>
      <c r="B59" s="1" t="s">
        <v>42</v>
      </c>
      <c r="C59" s="1">
        <v>65</v>
      </c>
      <c r="D59" s="1">
        <v>221</v>
      </c>
      <c r="E59" s="15">
        <f>129+E136</f>
        <v>185</v>
      </c>
      <c r="F59" s="15">
        <f>77+F136</f>
        <v>84</v>
      </c>
      <c r="G59" s="7">
        <v>0.1</v>
      </c>
      <c r="H59" s="1">
        <v>731</v>
      </c>
      <c r="I59" s="1" t="s">
        <v>37</v>
      </c>
      <c r="J59" s="1"/>
      <c r="K59" s="1">
        <v>141</v>
      </c>
      <c r="L59" s="1">
        <f t="shared" si="15"/>
        <v>44</v>
      </c>
      <c r="M59" s="1">
        <f t="shared" si="16"/>
        <v>185</v>
      </c>
      <c r="N59" s="1"/>
      <c r="O59" s="1">
        <v>200</v>
      </c>
      <c r="P59" s="1"/>
      <c r="Q59" s="1"/>
      <c r="R59" s="1">
        <v>353</v>
      </c>
      <c r="S59" s="28"/>
      <c r="T59" s="21"/>
      <c r="U59" s="1">
        <v>647</v>
      </c>
      <c r="V59" s="28"/>
      <c r="W59" s="21"/>
      <c r="X59" s="21"/>
      <c r="Y59" s="1">
        <f t="shared" si="17"/>
        <v>37</v>
      </c>
      <c r="Z59" s="5"/>
      <c r="AA59" s="5">
        <f t="shared" si="14"/>
        <v>0</v>
      </c>
      <c r="AB59" s="41"/>
      <c r="AC59" s="26"/>
      <c r="AD59" s="1">
        <f t="shared" si="18"/>
        <v>34.702702702702702</v>
      </c>
      <c r="AE59" s="1">
        <f t="shared" si="19"/>
        <v>34.702702702702702</v>
      </c>
      <c r="AF59" s="1">
        <v>62.6</v>
      </c>
      <c r="AG59" s="1">
        <v>35.200000000000003</v>
      </c>
      <c r="AH59" s="1">
        <v>18.2</v>
      </c>
      <c r="AI59" s="1">
        <v>21.2</v>
      </c>
      <c r="AJ59" s="1">
        <v>26.6</v>
      </c>
      <c r="AK59" s="1">
        <v>27.2</v>
      </c>
      <c r="AL59" s="1">
        <v>27.2</v>
      </c>
      <c r="AM59" s="1">
        <v>26.2</v>
      </c>
      <c r="AN59" s="1"/>
      <c r="AO59" s="1">
        <f t="shared" si="20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106</v>
      </c>
      <c r="B60" s="1" t="s">
        <v>36</v>
      </c>
      <c r="C60" s="1">
        <v>1031.5989999999999</v>
      </c>
      <c r="D60" s="1">
        <v>666.05600000000004</v>
      </c>
      <c r="E60" s="1">
        <v>564.41099999999994</v>
      </c>
      <c r="F60" s="1">
        <v>843.16200000000003</v>
      </c>
      <c r="G60" s="7">
        <v>1</v>
      </c>
      <c r="H60" s="1">
        <v>50</v>
      </c>
      <c r="I60" s="1" t="s">
        <v>37</v>
      </c>
      <c r="J60" s="1"/>
      <c r="K60" s="1">
        <v>601.22</v>
      </c>
      <c r="L60" s="1">
        <f t="shared" si="15"/>
        <v>-36.809000000000083</v>
      </c>
      <c r="M60" s="1">
        <f t="shared" si="16"/>
        <v>510.64099999999996</v>
      </c>
      <c r="N60" s="1">
        <v>53.77</v>
      </c>
      <c r="O60" s="1">
        <v>0</v>
      </c>
      <c r="P60" s="1"/>
      <c r="Q60" s="1"/>
      <c r="R60" s="1">
        <v>0</v>
      </c>
      <c r="S60" s="28"/>
      <c r="T60" s="21"/>
      <c r="U60" s="1"/>
      <c r="V60" s="28"/>
      <c r="W60" s="21"/>
      <c r="X60" s="21"/>
      <c r="Y60" s="1">
        <f t="shared" si="17"/>
        <v>102.12819999999999</v>
      </c>
      <c r="Z60" s="5">
        <f>11.5*Y60-U60-R60-Q60-P60-O60-F60</f>
        <v>331.31229999999982</v>
      </c>
      <c r="AA60" s="5">
        <f t="shared" si="14"/>
        <v>331.31229999999982</v>
      </c>
      <c r="AB60" s="41"/>
      <c r="AC60" s="26"/>
      <c r="AD60" s="1">
        <f t="shared" si="18"/>
        <v>11.5</v>
      </c>
      <c r="AE60" s="1">
        <f t="shared" si="19"/>
        <v>8.2559175624362329</v>
      </c>
      <c r="AF60" s="1">
        <v>92.134600000000006</v>
      </c>
      <c r="AG60" s="1">
        <v>28.6614</v>
      </c>
      <c r="AH60" s="1">
        <v>42.103200000000001</v>
      </c>
      <c r="AI60" s="1">
        <v>122.72580000000001</v>
      </c>
      <c r="AJ60" s="1">
        <v>148.85560000000001</v>
      </c>
      <c r="AK60" s="1">
        <v>72.963200000000001</v>
      </c>
      <c r="AL60" s="1">
        <v>88.772199999999998</v>
      </c>
      <c r="AM60" s="1">
        <v>93.292600000000007</v>
      </c>
      <c r="AN60" s="1"/>
      <c r="AO60" s="1">
        <f t="shared" si="20"/>
        <v>331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107</v>
      </c>
      <c r="B61" s="1" t="s">
        <v>36</v>
      </c>
      <c r="C61" s="1">
        <v>25.867999999999999</v>
      </c>
      <c r="D61" s="1">
        <v>110.523</v>
      </c>
      <c r="E61" s="1">
        <v>14.907999999999999</v>
      </c>
      <c r="F61" s="1">
        <v>121.483</v>
      </c>
      <c r="G61" s="7">
        <v>1</v>
      </c>
      <c r="H61" s="1">
        <v>55</v>
      </c>
      <c r="I61" s="1" t="s">
        <v>37</v>
      </c>
      <c r="J61" s="1"/>
      <c r="K61" s="1">
        <v>27.55</v>
      </c>
      <c r="L61" s="1">
        <f t="shared" si="15"/>
        <v>-12.642000000000001</v>
      </c>
      <c r="M61" s="1">
        <f t="shared" si="16"/>
        <v>14.907999999999999</v>
      </c>
      <c r="N61" s="1"/>
      <c r="O61" s="1">
        <v>0</v>
      </c>
      <c r="P61" s="1"/>
      <c r="Q61" s="1"/>
      <c r="R61" s="1">
        <v>0</v>
      </c>
      <c r="S61" s="28"/>
      <c r="T61" s="21"/>
      <c r="U61" s="1"/>
      <c r="V61" s="28"/>
      <c r="W61" s="21"/>
      <c r="X61" s="21"/>
      <c r="Y61" s="1">
        <f t="shared" si="17"/>
        <v>2.9815999999999998</v>
      </c>
      <c r="Z61" s="5"/>
      <c r="AA61" s="5">
        <f t="shared" si="14"/>
        <v>0</v>
      </c>
      <c r="AB61" s="41"/>
      <c r="AC61" s="26"/>
      <c r="AD61" s="1">
        <f t="shared" si="18"/>
        <v>40.744231285215996</v>
      </c>
      <c r="AE61" s="1">
        <f t="shared" si="19"/>
        <v>40.744231285215996</v>
      </c>
      <c r="AF61" s="1">
        <v>5.4039999999999999</v>
      </c>
      <c r="AG61" s="1">
        <v>9.4480000000000004</v>
      </c>
      <c r="AH61" s="1">
        <v>7.5763999999999996</v>
      </c>
      <c r="AI61" s="1">
        <v>5.4626000000000001</v>
      </c>
      <c r="AJ61" s="1">
        <v>6.831999999999999</v>
      </c>
      <c r="AK61" s="1">
        <v>4.8714000000000004</v>
      </c>
      <c r="AL61" s="1">
        <v>4.8714000000000004</v>
      </c>
      <c r="AM61" s="1">
        <v>8.2176000000000009</v>
      </c>
      <c r="AN61" s="18" t="s">
        <v>69</v>
      </c>
      <c r="AO61" s="1">
        <f t="shared" si="20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108</v>
      </c>
      <c r="B62" s="1" t="s">
        <v>42</v>
      </c>
      <c r="C62" s="1">
        <v>53</v>
      </c>
      <c r="D62" s="1">
        <v>190</v>
      </c>
      <c r="E62" s="1">
        <v>145</v>
      </c>
      <c r="F62" s="1">
        <v>86</v>
      </c>
      <c r="G62" s="7">
        <v>0.1</v>
      </c>
      <c r="H62" s="1">
        <v>731</v>
      </c>
      <c r="I62" s="1" t="s">
        <v>37</v>
      </c>
      <c r="J62" s="1"/>
      <c r="K62" s="1">
        <v>162</v>
      </c>
      <c r="L62" s="1">
        <f t="shared" si="15"/>
        <v>-17</v>
      </c>
      <c r="M62" s="1">
        <f t="shared" si="16"/>
        <v>145</v>
      </c>
      <c r="N62" s="1"/>
      <c r="O62" s="1">
        <v>200</v>
      </c>
      <c r="P62" s="1"/>
      <c r="Q62" s="1"/>
      <c r="R62" s="1">
        <v>211.8</v>
      </c>
      <c r="S62" s="28"/>
      <c r="T62" s="21"/>
      <c r="U62" s="1">
        <v>388.2</v>
      </c>
      <c r="V62" s="28"/>
      <c r="W62" s="21"/>
      <c r="X62" s="21"/>
      <c r="Y62" s="1">
        <f t="shared" si="17"/>
        <v>29</v>
      </c>
      <c r="Z62" s="5"/>
      <c r="AA62" s="5">
        <f t="shared" si="14"/>
        <v>0</v>
      </c>
      <c r="AB62" s="41"/>
      <c r="AC62" s="26"/>
      <c r="AD62" s="1">
        <f t="shared" si="18"/>
        <v>30.551724137931036</v>
      </c>
      <c r="AE62" s="1">
        <f t="shared" si="19"/>
        <v>30.551724137931036</v>
      </c>
      <c r="AF62" s="1">
        <v>47</v>
      </c>
      <c r="AG62" s="1">
        <v>28.2</v>
      </c>
      <c r="AH62" s="1">
        <v>12</v>
      </c>
      <c r="AI62" s="1">
        <v>17.2</v>
      </c>
      <c r="AJ62" s="1">
        <v>18.600000000000001</v>
      </c>
      <c r="AK62" s="1">
        <v>23.6</v>
      </c>
      <c r="AL62" s="1">
        <v>23.6</v>
      </c>
      <c r="AM62" s="1">
        <v>20.2</v>
      </c>
      <c r="AN62" s="1"/>
      <c r="AO62" s="1">
        <f t="shared" si="20"/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109</v>
      </c>
      <c r="B63" s="1" t="s">
        <v>42</v>
      </c>
      <c r="C63" s="1">
        <v>25</v>
      </c>
      <c r="D63" s="1"/>
      <c r="E63" s="1">
        <v>1</v>
      </c>
      <c r="F63" s="1">
        <v>24</v>
      </c>
      <c r="G63" s="7">
        <v>0.4</v>
      </c>
      <c r="H63" s="1">
        <v>50</v>
      </c>
      <c r="I63" s="1" t="s">
        <v>37</v>
      </c>
      <c r="J63" s="1"/>
      <c r="K63" s="1">
        <v>17</v>
      </c>
      <c r="L63" s="1">
        <f t="shared" si="15"/>
        <v>-16</v>
      </c>
      <c r="M63" s="1">
        <f t="shared" si="16"/>
        <v>1</v>
      </c>
      <c r="N63" s="1"/>
      <c r="O63" s="1">
        <v>0</v>
      </c>
      <c r="P63" s="1"/>
      <c r="Q63" s="1"/>
      <c r="R63" s="1">
        <v>0</v>
      </c>
      <c r="S63" s="28"/>
      <c r="T63" s="21"/>
      <c r="U63" s="1"/>
      <c r="V63" s="28"/>
      <c r="W63" s="21"/>
      <c r="X63" s="21"/>
      <c r="Y63" s="1">
        <f t="shared" si="17"/>
        <v>0.2</v>
      </c>
      <c r="Z63" s="5"/>
      <c r="AA63" s="5">
        <f t="shared" si="14"/>
        <v>0</v>
      </c>
      <c r="AB63" s="41"/>
      <c r="AC63" s="26"/>
      <c r="AD63" s="1">
        <f t="shared" si="18"/>
        <v>120</v>
      </c>
      <c r="AE63" s="1">
        <f t="shared" si="19"/>
        <v>120</v>
      </c>
      <c r="AF63" s="1">
        <v>0.2</v>
      </c>
      <c r="AG63" s="1">
        <v>0.2</v>
      </c>
      <c r="AH63" s="1">
        <v>0.2</v>
      </c>
      <c r="AI63" s="1">
        <v>0.2</v>
      </c>
      <c r="AJ63" s="1">
        <v>0</v>
      </c>
      <c r="AK63" s="1">
        <v>0.2</v>
      </c>
      <c r="AL63" s="1">
        <v>0.2</v>
      </c>
      <c r="AM63" s="1">
        <v>0.8</v>
      </c>
      <c r="AN63" s="18" t="s">
        <v>69</v>
      </c>
      <c r="AO63" s="1">
        <f t="shared" si="20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110</v>
      </c>
      <c r="B64" s="1" t="s">
        <v>36</v>
      </c>
      <c r="C64" s="1">
        <v>-1.1839999999999999</v>
      </c>
      <c r="D64" s="1">
        <v>275.94600000000003</v>
      </c>
      <c r="E64" s="1">
        <v>356.51400000000001</v>
      </c>
      <c r="F64" s="1">
        <v>-83.001999999999995</v>
      </c>
      <c r="G64" s="7">
        <v>1</v>
      </c>
      <c r="H64" s="1">
        <v>40</v>
      </c>
      <c r="I64" s="10" t="s">
        <v>50</v>
      </c>
      <c r="J64" s="1"/>
      <c r="K64" s="1">
        <v>501.6</v>
      </c>
      <c r="L64" s="1">
        <f t="shared" si="15"/>
        <v>-145.08600000000001</v>
      </c>
      <c r="M64" s="1">
        <f t="shared" si="16"/>
        <v>356.51400000000001</v>
      </c>
      <c r="N64" s="1"/>
      <c r="O64" s="1">
        <v>130</v>
      </c>
      <c r="P64" s="1"/>
      <c r="Q64" s="1"/>
      <c r="R64" s="1">
        <v>300</v>
      </c>
      <c r="S64" s="28"/>
      <c r="T64" s="21"/>
      <c r="U64" s="1">
        <v>100</v>
      </c>
      <c r="V64" s="28"/>
      <c r="W64" s="21"/>
      <c r="X64" s="21"/>
      <c r="Y64" s="1">
        <f t="shared" si="17"/>
        <v>71.302800000000005</v>
      </c>
      <c r="Z64" s="5">
        <f>11.5*Y64-U64-R64-Q64-P64-O64-F64</f>
        <v>372.98420000000004</v>
      </c>
      <c r="AA64" s="5">
        <f t="shared" si="14"/>
        <v>372.98420000000004</v>
      </c>
      <c r="AB64" s="41"/>
      <c r="AC64" s="26"/>
      <c r="AD64" s="1">
        <f t="shared" si="18"/>
        <v>11.5</v>
      </c>
      <c r="AE64" s="1">
        <f t="shared" si="19"/>
        <v>6.2690104736419885</v>
      </c>
      <c r="AF64" s="1">
        <v>74.102599999999995</v>
      </c>
      <c r="AG64" s="1">
        <v>40.983999999999988</v>
      </c>
      <c r="AH64" s="1">
        <v>8.3099999999999987</v>
      </c>
      <c r="AI64" s="1">
        <v>26.265000000000001</v>
      </c>
      <c r="AJ64" s="1">
        <v>55.605400000000003</v>
      </c>
      <c r="AK64" s="1">
        <v>1.9778</v>
      </c>
      <c r="AL64" s="1">
        <v>1.9778</v>
      </c>
      <c r="AM64" s="1">
        <v>35.930399999999999</v>
      </c>
      <c r="AN64" s="1" t="s">
        <v>39</v>
      </c>
      <c r="AO64" s="1">
        <f t="shared" si="20"/>
        <v>373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111</v>
      </c>
      <c r="B65" s="1" t="s">
        <v>36</v>
      </c>
      <c r="C65" s="1">
        <v>-0.87</v>
      </c>
      <c r="D65" s="1">
        <v>159.31299999999999</v>
      </c>
      <c r="E65" s="1">
        <v>174.56200000000001</v>
      </c>
      <c r="F65" s="1">
        <v>-37.396000000000001</v>
      </c>
      <c r="G65" s="7">
        <v>1</v>
      </c>
      <c r="H65" s="1">
        <v>40</v>
      </c>
      <c r="I65" s="10" t="s">
        <v>50</v>
      </c>
      <c r="J65" s="1"/>
      <c r="K65" s="1">
        <v>181.53800000000001</v>
      </c>
      <c r="L65" s="1">
        <f t="shared" si="15"/>
        <v>-6.9759999999999991</v>
      </c>
      <c r="M65" s="1">
        <f t="shared" si="16"/>
        <v>164.024</v>
      </c>
      <c r="N65" s="1">
        <v>10.538</v>
      </c>
      <c r="O65" s="1">
        <v>0</v>
      </c>
      <c r="P65" s="1"/>
      <c r="Q65" s="1"/>
      <c r="R65" s="1">
        <v>300</v>
      </c>
      <c r="S65" s="28"/>
      <c r="T65" s="21"/>
      <c r="U65" s="1">
        <v>50</v>
      </c>
      <c r="V65" s="28"/>
      <c r="W65" s="21"/>
      <c r="X65" s="21"/>
      <c r="Y65" s="1">
        <f t="shared" si="17"/>
        <v>32.8048</v>
      </c>
      <c r="Z65" s="5">
        <f>11.5*Y65-U65-R65-Q65-P65-O65-F65</f>
        <v>64.651200000000003</v>
      </c>
      <c r="AA65" s="5">
        <f t="shared" si="14"/>
        <v>64.651200000000003</v>
      </c>
      <c r="AB65" s="41"/>
      <c r="AC65" s="26"/>
      <c r="AD65" s="1">
        <f t="shared" si="18"/>
        <v>11.5</v>
      </c>
      <c r="AE65" s="1">
        <f t="shared" si="19"/>
        <v>9.5292152367946148</v>
      </c>
      <c r="AF65" s="1">
        <v>35.227999999999987</v>
      </c>
      <c r="AG65" s="1">
        <v>10.414</v>
      </c>
      <c r="AH65" s="1">
        <v>0.26600000000000001</v>
      </c>
      <c r="AI65" s="1">
        <v>12.8588</v>
      </c>
      <c r="AJ65" s="1">
        <v>32.803199999999997</v>
      </c>
      <c r="AK65" s="1">
        <v>19.798400000000001</v>
      </c>
      <c r="AL65" s="1">
        <v>10.039999999999999</v>
      </c>
      <c r="AM65" s="1">
        <v>35.883800000000001</v>
      </c>
      <c r="AN65" s="1" t="s">
        <v>39</v>
      </c>
      <c r="AO65" s="1">
        <f t="shared" si="20"/>
        <v>65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112</v>
      </c>
      <c r="B66" s="1" t="s">
        <v>42</v>
      </c>
      <c r="C66" s="1">
        <v>773</v>
      </c>
      <c r="D66" s="1">
        <v>313</v>
      </c>
      <c r="E66" s="1">
        <v>1045</v>
      </c>
      <c r="F66" s="1">
        <v>-22</v>
      </c>
      <c r="G66" s="7">
        <v>0.4</v>
      </c>
      <c r="H66" s="1">
        <v>40</v>
      </c>
      <c r="I66" s="10" t="s">
        <v>50</v>
      </c>
      <c r="J66" s="1"/>
      <c r="K66" s="1">
        <v>1142</v>
      </c>
      <c r="L66" s="1">
        <f t="shared" si="15"/>
        <v>-97</v>
      </c>
      <c r="M66" s="1">
        <f t="shared" si="16"/>
        <v>1045</v>
      </c>
      <c r="N66" s="1"/>
      <c r="O66" s="1">
        <v>390</v>
      </c>
      <c r="P66" s="1"/>
      <c r="Q66" s="1"/>
      <c r="R66" s="1">
        <v>1000</v>
      </c>
      <c r="S66" s="28"/>
      <c r="T66" s="21"/>
      <c r="U66" s="1">
        <v>1000</v>
      </c>
      <c r="V66" s="28"/>
      <c r="W66" s="21"/>
      <c r="X66" s="21"/>
      <c r="Y66" s="1">
        <f t="shared" si="17"/>
        <v>209</v>
      </c>
      <c r="Z66" s="5">
        <v>150</v>
      </c>
      <c r="AA66" s="5">
        <f t="shared" si="14"/>
        <v>150</v>
      </c>
      <c r="AB66" s="41"/>
      <c r="AC66" s="26"/>
      <c r="AD66" s="1">
        <f t="shared" si="18"/>
        <v>12.047846889952153</v>
      </c>
      <c r="AE66" s="1">
        <f t="shared" si="19"/>
        <v>11.330143540669857</v>
      </c>
      <c r="AF66" s="1">
        <v>283.39999999999998</v>
      </c>
      <c r="AG66" s="1">
        <v>167</v>
      </c>
      <c r="AH66" s="1">
        <v>155.6</v>
      </c>
      <c r="AI66" s="1">
        <v>157.4</v>
      </c>
      <c r="AJ66" s="1">
        <v>200.4</v>
      </c>
      <c r="AK66" s="1">
        <v>164</v>
      </c>
      <c r="AL66" s="1">
        <v>188.8</v>
      </c>
      <c r="AM66" s="1">
        <v>96.2</v>
      </c>
      <c r="AN66" s="1"/>
      <c r="AO66" s="1">
        <f t="shared" si="20"/>
        <v>60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113</v>
      </c>
      <c r="B67" s="1" t="s">
        <v>42</v>
      </c>
      <c r="C67" s="1">
        <v>106</v>
      </c>
      <c r="D67" s="1">
        <v>178</v>
      </c>
      <c r="E67" s="1">
        <v>263</v>
      </c>
      <c r="F67" s="1">
        <v>15</v>
      </c>
      <c r="G67" s="7">
        <v>0.4</v>
      </c>
      <c r="H67" s="1">
        <v>40</v>
      </c>
      <c r="I67" s="10" t="s">
        <v>50</v>
      </c>
      <c r="J67" s="1"/>
      <c r="K67" s="1">
        <v>575</v>
      </c>
      <c r="L67" s="1">
        <f t="shared" si="15"/>
        <v>-312</v>
      </c>
      <c r="M67" s="1">
        <f t="shared" si="16"/>
        <v>263</v>
      </c>
      <c r="N67" s="1"/>
      <c r="O67" s="1">
        <v>130</v>
      </c>
      <c r="P67" s="1"/>
      <c r="Q67" s="1"/>
      <c r="R67" s="1">
        <v>438</v>
      </c>
      <c r="S67" s="28"/>
      <c r="T67" s="21"/>
      <c r="U67" s="1">
        <v>219</v>
      </c>
      <c r="V67" s="28"/>
      <c r="W67" s="21"/>
      <c r="X67" s="21"/>
      <c r="Y67" s="1">
        <f t="shared" si="17"/>
        <v>52.6</v>
      </c>
      <c r="Z67" s="5"/>
      <c r="AA67" s="5">
        <f t="shared" si="14"/>
        <v>0</v>
      </c>
      <c r="AB67" s="41"/>
      <c r="AC67" s="26"/>
      <c r="AD67" s="1">
        <f t="shared" si="18"/>
        <v>15.247148288973383</v>
      </c>
      <c r="AE67" s="1">
        <f t="shared" si="19"/>
        <v>15.247148288973383</v>
      </c>
      <c r="AF67" s="1">
        <v>97</v>
      </c>
      <c r="AG67" s="1">
        <v>65.8</v>
      </c>
      <c r="AH67" s="1">
        <v>20</v>
      </c>
      <c r="AI67" s="1">
        <v>15.6</v>
      </c>
      <c r="AJ67" s="1">
        <v>37.799999999999997</v>
      </c>
      <c r="AK67" s="1">
        <v>26.6</v>
      </c>
      <c r="AL67" s="1">
        <v>38.4</v>
      </c>
      <c r="AM67" s="1">
        <v>0.6</v>
      </c>
      <c r="AN67" s="1"/>
      <c r="AO67" s="1">
        <f t="shared" si="20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114</v>
      </c>
      <c r="B68" s="1" t="s">
        <v>36</v>
      </c>
      <c r="C68" s="1">
        <v>-31.591000000000001</v>
      </c>
      <c r="D68" s="1">
        <v>98.302999999999997</v>
      </c>
      <c r="E68" s="1">
        <v>5.4989999999999997</v>
      </c>
      <c r="F68" s="1">
        <v>54.786000000000001</v>
      </c>
      <c r="G68" s="7">
        <v>1</v>
      </c>
      <c r="H68" s="1">
        <v>40</v>
      </c>
      <c r="I68" s="10" t="s">
        <v>50</v>
      </c>
      <c r="J68" s="1"/>
      <c r="K68" s="1">
        <v>7.8</v>
      </c>
      <c r="L68" s="1">
        <f t="shared" si="15"/>
        <v>-2.3010000000000002</v>
      </c>
      <c r="M68" s="1">
        <f t="shared" si="16"/>
        <v>5.4989999999999997</v>
      </c>
      <c r="N68" s="1"/>
      <c r="O68" s="1">
        <v>52</v>
      </c>
      <c r="P68" s="1"/>
      <c r="Q68" s="1"/>
      <c r="R68" s="1">
        <v>0</v>
      </c>
      <c r="S68" s="28"/>
      <c r="T68" s="21"/>
      <c r="U68" s="1">
        <v>0</v>
      </c>
      <c r="V68" s="28"/>
      <c r="W68" s="21"/>
      <c r="X68" s="21"/>
      <c r="Y68" s="1">
        <f t="shared" si="17"/>
        <v>1.0997999999999999</v>
      </c>
      <c r="Z68" s="5"/>
      <c r="AA68" s="5">
        <f t="shared" si="14"/>
        <v>0</v>
      </c>
      <c r="AB68" s="41"/>
      <c r="AC68" s="26"/>
      <c r="AD68" s="1">
        <f t="shared" si="18"/>
        <v>97.095835606473912</v>
      </c>
      <c r="AE68" s="1">
        <f t="shared" si="19"/>
        <v>97.095835606473912</v>
      </c>
      <c r="AF68" s="1">
        <v>6.0128000000000004</v>
      </c>
      <c r="AG68" s="1">
        <v>19.421600000000002</v>
      </c>
      <c r="AH68" s="1">
        <v>9.282</v>
      </c>
      <c r="AI68" s="1">
        <v>10.1296</v>
      </c>
      <c r="AJ68" s="1">
        <v>11.0182</v>
      </c>
      <c r="AK68" s="1">
        <v>11.1456</v>
      </c>
      <c r="AL68" s="1">
        <v>9.0595999999999979</v>
      </c>
      <c r="AM68" s="1">
        <v>17.7364</v>
      </c>
      <c r="AN68" s="1"/>
      <c r="AO68" s="1">
        <f t="shared" si="20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20" t="s">
        <v>115</v>
      </c>
      <c r="B69" s="1" t="s">
        <v>36</v>
      </c>
      <c r="C69" s="1">
        <v>181.69300000000001</v>
      </c>
      <c r="D69" s="1">
        <v>80.831000000000003</v>
      </c>
      <c r="E69" s="1">
        <v>142.22900000000001</v>
      </c>
      <c r="F69" s="1">
        <v>7.1550000000000002</v>
      </c>
      <c r="G69" s="7">
        <v>1</v>
      </c>
      <c r="H69" s="1">
        <v>40</v>
      </c>
      <c r="I69" s="10" t="s">
        <v>50</v>
      </c>
      <c r="J69" s="1"/>
      <c r="K69" s="1">
        <v>142.393</v>
      </c>
      <c r="L69" s="1">
        <f t="shared" si="15"/>
        <v>-0.16399999999998727</v>
      </c>
      <c r="M69" s="1">
        <f t="shared" si="16"/>
        <v>99.13600000000001</v>
      </c>
      <c r="N69" s="1">
        <v>43.093000000000004</v>
      </c>
      <c r="O69" s="1">
        <v>0</v>
      </c>
      <c r="P69" s="1"/>
      <c r="Q69" s="1"/>
      <c r="R69" s="1">
        <v>109.6113</v>
      </c>
      <c r="S69" s="28"/>
      <c r="T69" s="21"/>
      <c r="U69" s="1">
        <v>54.805649999999993</v>
      </c>
      <c r="V69" s="28"/>
      <c r="W69" s="21"/>
      <c r="X69" s="21"/>
      <c r="Y69" s="1">
        <f t="shared" si="17"/>
        <v>19.827200000000001</v>
      </c>
      <c r="Z69" s="5">
        <f>11.5*Y69-U69-R69-Q69-P69-O69-F69</f>
        <v>56.44085000000004</v>
      </c>
      <c r="AA69" s="5">
        <v>150</v>
      </c>
      <c r="AB69" s="41"/>
      <c r="AC69" s="26"/>
      <c r="AD69" s="1">
        <f t="shared" si="18"/>
        <v>16.218727303905744</v>
      </c>
      <c r="AE69" s="1">
        <f t="shared" si="19"/>
        <v>8.6533625524531939</v>
      </c>
      <c r="AF69" s="1">
        <v>18.578600000000002</v>
      </c>
      <c r="AG69" s="1">
        <v>13.1068</v>
      </c>
      <c r="AH69" s="1">
        <v>10.066800000000001</v>
      </c>
      <c r="AI69" s="1">
        <v>14.335800000000001</v>
      </c>
      <c r="AJ69" s="1">
        <v>32.4208</v>
      </c>
      <c r="AK69" s="1">
        <v>3.311199999999999</v>
      </c>
      <c r="AL69" s="1">
        <v>20.581600000000002</v>
      </c>
      <c r="AM69" s="1">
        <v>30.961200000000002</v>
      </c>
      <c r="AN69" s="1"/>
      <c r="AO69" s="1">
        <f t="shared" si="20"/>
        <v>150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116</v>
      </c>
      <c r="B70" s="1" t="s">
        <v>36</v>
      </c>
      <c r="C70" s="1">
        <v>297.13499999999999</v>
      </c>
      <c r="D70" s="1">
        <v>381.20600000000002</v>
      </c>
      <c r="E70" s="1">
        <v>544.08100000000002</v>
      </c>
      <c r="F70" s="1">
        <v>-83.046000000000006</v>
      </c>
      <c r="G70" s="7">
        <v>1</v>
      </c>
      <c r="H70" s="1">
        <v>40</v>
      </c>
      <c r="I70" s="10" t="s">
        <v>50</v>
      </c>
      <c r="J70" s="1"/>
      <c r="K70" s="1">
        <v>846.68</v>
      </c>
      <c r="L70" s="1">
        <f t="shared" ref="L70:L101" si="21">E70-K70</f>
        <v>-302.59899999999993</v>
      </c>
      <c r="M70" s="1">
        <f t="shared" ref="M70:M101" si="22">E70-N70</f>
        <v>544.08100000000002</v>
      </c>
      <c r="N70" s="1"/>
      <c r="O70" s="1">
        <v>260</v>
      </c>
      <c r="P70" s="1">
        <v>-264.60000000000002</v>
      </c>
      <c r="Q70" s="1"/>
      <c r="R70" s="1">
        <v>750</v>
      </c>
      <c r="S70" s="28"/>
      <c r="T70" s="21"/>
      <c r="U70" s="1">
        <v>150</v>
      </c>
      <c r="V70" s="28"/>
      <c r="W70" s="21"/>
      <c r="X70" s="21"/>
      <c r="Y70" s="1">
        <f t="shared" ref="Y70:Y101" si="23">M70/5</f>
        <v>108.81620000000001</v>
      </c>
      <c r="Z70" s="5">
        <v>250</v>
      </c>
      <c r="AA70" s="5">
        <f t="shared" si="14"/>
        <v>250</v>
      </c>
      <c r="AB70" s="41"/>
      <c r="AC70" s="26"/>
      <c r="AD70" s="1">
        <f t="shared" ref="AD70:AD101" si="24">(F70+O70+P70+Q70+R70+U70+AA70)/Y70</f>
        <v>9.7628294316471251</v>
      </c>
      <c r="AE70" s="1">
        <f t="shared" ref="AE70:AE101" si="25">(F70+O70+P70+Q70+R70+U70)/Y70</f>
        <v>7.4653773978506877</v>
      </c>
      <c r="AF70" s="1">
        <v>142.37799999999999</v>
      </c>
      <c r="AG70" s="1">
        <v>60.96</v>
      </c>
      <c r="AH70" s="1">
        <v>40.290599999999998</v>
      </c>
      <c r="AI70" s="1">
        <v>85.263000000000005</v>
      </c>
      <c r="AJ70" s="1">
        <v>100.748</v>
      </c>
      <c r="AK70" s="1">
        <v>83.455400000000012</v>
      </c>
      <c r="AL70" s="1">
        <v>94.111999999999995</v>
      </c>
      <c r="AM70" s="1">
        <v>81.416399999999996</v>
      </c>
      <c r="AN70" s="1" t="s">
        <v>39</v>
      </c>
      <c r="AO70" s="1">
        <f t="shared" ref="AO70:AO101" si="26">ROUND(G70*AA70,0)</f>
        <v>250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117</v>
      </c>
      <c r="B71" s="1" t="s">
        <v>36</v>
      </c>
      <c r="C71" s="1">
        <v>8.9640000000000004</v>
      </c>
      <c r="D71" s="1">
        <v>136.887</v>
      </c>
      <c r="E71" s="1">
        <v>108.90300000000001</v>
      </c>
      <c r="F71" s="1">
        <v>-21.969000000000001</v>
      </c>
      <c r="G71" s="7">
        <v>1</v>
      </c>
      <c r="H71" s="1">
        <v>40</v>
      </c>
      <c r="I71" s="10" t="s">
        <v>50</v>
      </c>
      <c r="J71" s="1"/>
      <c r="K71" s="1">
        <v>111.456</v>
      </c>
      <c r="L71" s="1">
        <f t="shared" si="21"/>
        <v>-2.5529999999999973</v>
      </c>
      <c r="M71" s="1">
        <f t="shared" si="22"/>
        <v>65.451999999999998</v>
      </c>
      <c r="N71" s="1">
        <v>43.451000000000001</v>
      </c>
      <c r="O71" s="1">
        <v>0</v>
      </c>
      <c r="P71" s="1"/>
      <c r="Q71" s="1"/>
      <c r="R71" s="1">
        <v>40</v>
      </c>
      <c r="S71" s="28"/>
      <c r="T71" s="21"/>
      <c r="U71" s="1">
        <v>20</v>
      </c>
      <c r="V71" s="28"/>
      <c r="W71" s="21"/>
      <c r="X71" s="21"/>
      <c r="Y71" s="1">
        <f t="shared" si="23"/>
        <v>13.090399999999999</v>
      </c>
      <c r="Z71" s="5">
        <v>60</v>
      </c>
      <c r="AA71" s="5">
        <f t="shared" ref="AA71:AA134" si="27">Z71</f>
        <v>60</v>
      </c>
      <c r="AB71" s="41"/>
      <c r="AC71" s="26"/>
      <c r="AD71" s="1">
        <f t="shared" si="24"/>
        <v>7.4887703966265367</v>
      </c>
      <c r="AE71" s="1">
        <f t="shared" si="25"/>
        <v>2.9052588156206074</v>
      </c>
      <c r="AF71" s="1">
        <v>12.855399999999999</v>
      </c>
      <c r="AG71" s="1">
        <v>3.5981999999999998</v>
      </c>
      <c r="AH71" s="1">
        <v>1.6362000000000001</v>
      </c>
      <c r="AI71" s="1">
        <v>3.9883999999999999</v>
      </c>
      <c r="AJ71" s="1">
        <v>20.392199999999999</v>
      </c>
      <c r="AK71" s="1">
        <v>17.112400000000001</v>
      </c>
      <c r="AL71" s="1">
        <v>30.803799999999999</v>
      </c>
      <c r="AM71" s="1">
        <v>13.1944</v>
      </c>
      <c r="AN71" s="1"/>
      <c r="AO71" s="1">
        <f t="shared" si="26"/>
        <v>60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1" t="s">
        <v>118</v>
      </c>
      <c r="B72" s="11" t="s">
        <v>42</v>
      </c>
      <c r="C72" s="11"/>
      <c r="D72" s="11"/>
      <c r="E72" s="11"/>
      <c r="F72" s="11"/>
      <c r="G72" s="12">
        <v>0</v>
      </c>
      <c r="H72" s="11"/>
      <c r="I72" s="11" t="s">
        <v>37</v>
      </c>
      <c r="J72" s="11"/>
      <c r="K72" s="11"/>
      <c r="L72" s="11">
        <f t="shared" si="21"/>
        <v>0</v>
      </c>
      <c r="M72" s="11">
        <f t="shared" si="22"/>
        <v>0</v>
      </c>
      <c r="N72" s="11"/>
      <c r="O72" s="11">
        <v>0</v>
      </c>
      <c r="P72" s="11"/>
      <c r="Q72" s="11"/>
      <c r="R72" s="11">
        <v>0</v>
      </c>
      <c r="S72" s="30"/>
      <c r="T72" s="24"/>
      <c r="U72" s="11"/>
      <c r="V72" s="30"/>
      <c r="W72" s="24"/>
      <c r="X72" s="24"/>
      <c r="Y72" s="11">
        <f t="shared" si="23"/>
        <v>0</v>
      </c>
      <c r="Z72" s="13"/>
      <c r="AA72" s="5">
        <f t="shared" si="27"/>
        <v>0</v>
      </c>
      <c r="AB72" s="41"/>
      <c r="AC72" s="26"/>
      <c r="AD72" s="1" t="e">
        <f t="shared" si="24"/>
        <v>#DIV/0!</v>
      </c>
      <c r="AE72" s="11" t="e">
        <f t="shared" si="25"/>
        <v>#DIV/0!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 t="s">
        <v>59</v>
      </c>
      <c r="AO72" s="1">
        <f t="shared" si="26"/>
        <v>0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119</v>
      </c>
      <c r="B73" s="1" t="s">
        <v>36</v>
      </c>
      <c r="C73" s="1">
        <v>551.21299999999997</v>
      </c>
      <c r="D73" s="1">
        <v>175.37200000000001</v>
      </c>
      <c r="E73" s="1">
        <v>158.59899999999999</v>
      </c>
      <c r="F73" s="1">
        <v>488.09</v>
      </c>
      <c r="G73" s="7">
        <v>1</v>
      </c>
      <c r="H73" s="1">
        <v>30</v>
      </c>
      <c r="I73" s="10" t="s">
        <v>50</v>
      </c>
      <c r="J73" s="1"/>
      <c r="K73" s="1">
        <v>212.7</v>
      </c>
      <c r="L73" s="1">
        <f t="shared" si="21"/>
        <v>-54.100999999999999</v>
      </c>
      <c r="M73" s="1">
        <f t="shared" si="22"/>
        <v>158.59899999999999</v>
      </c>
      <c r="N73" s="1"/>
      <c r="O73" s="1">
        <v>0</v>
      </c>
      <c r="P73" s="1"/>
      <c r="Q73" s="1"/>
      <c r="R73" s="1">
        <v>0</v>
      </c>
      <c r="S73" s="28"/>
      <c r="T73" s="21"/>
      <c r="U73" s="1">
        <v>0</v>
      </c>
      <c r="V73" s="28"/>
      <c r="W73" s="21"/>
      <c r="X73" s="21"/>
      <c r="Y73" s="1">
        <f t="shared" si="23"/>
        <v>31.719799999999999</v>
      </c>
      <c r="Z73" s="5"/>
      <c r="AA73" s="5">
        <f t="shared" si="27"/>
        <v>0</v>
      </c>
      <c r="AB73" s="41"/>
      <c r="AC73" s="26"/>
      <c r="AD73" s="1">
        <f t="shared" si="24"/>
        <v>15.387549732343835</v>
      </c>
      <c r="AE73" s="1">
        <f t="shared" si="25"/>
        <v>15.387549732343835</v>
      </c>
      <c r="AF73" s="1">
        <v>39.7896</v>
      </c>
      <c r="AG73" s="1">
        <v>33.502800000000001</v>
      </c>
      <c r="AH73" s="1">
        <v>31.885400000000001</v>
      </c>
      <c r="AI73" s="1">
        <v>80.1066</v>
      </c>
      <c r="AJ73" s="1">
        <v>96.989400000000003</v>
      </c>
      <c r="AK73" s="1">
        <v>46.159199999999998</v>
      </c>
      <c r="AL73" s="1">
        <v>46.7592</v>
      </c>
      <c r="AM73" s="1">
        <v>74.270200000000003</v>
      </c>
      <c r="AN73" s="16" t="s">
        <v>191</v>
      </c>
      <c r="AO73" s="1">
        <f t="shared" si="26"/>
        <v>0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1" t="s">
        <v>120</v>
      </c>
      <c r="B74" s="11" t="s">
        <v>42</v>
      </c>
      <c r="C74" s="11">
        <v>-1</v>
      </c>
      <c r="D74" s="11"/>
      <c r="E74" s="11"/>
      <c r="F74" s="11">
        <v>-1</v>
      </c>
      <c r="G74" s="12">
        <v>0</v>
      </c>
      <c r="H74" s="11"/>
      <c r="I74" s="11" t="s">
        <v>53</v>
      </c>
      <c r="J74" s="11"/>
      <c r="K74" s="11"/>
      <c r="L74" s="11">
        <f t="shared" si="21"/>
        <v>0</v>
      </c>
      <c r="M74" s="11">
        <f t="shared" si="22"/>
        <v>0</v>
      </c>
      <c r="N74" s="11"/>
      <c r="O74" s="11">
        <v>0</v>
      </c>
      <c r="P74" s="11"/>
      <c r="Q74" s="11"/>
      <c r="R74" s="11">
        <v>0</v>
      </c>
      <c r="S74" s="30"/>
      <c r="T74" s="24"/>
      <c r="U74" s="11"/>
      <c r="V74" s="30"/>
      <c r="W74" s="24"/>
      <c r="X74" s="24"/>
      <c r="Y74" s="11">
        <f t="shared" si="23"/>
        <v>0</v>
      </c>
      <c r="Z74" s="13"/>
      <c r="AA74" s="5">
        <f t="shared" si="27"/>
        <v>0</v>
      </c>
      <c r="AB74" s="41"/>
      <c r="AC74" s="26"/>
      <c r="AD74" s="1" t="e">
        <f t="shared" si="24"/>
        <v>#DIV/0!</v>
      </c>
      <c r="AE74" s="11" t="e">
        <f t="shared" si="25"/>
        <v>#DIV/0!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0.2</v>
      </c>
      <c r="AL74" s="11">
        <v>0.2</v>
      </c>
      <c r="AM74" s="11">
        <v>0</v>
      </c>
      <c r="AN74" s="11"/>
      <c r="AO74" s="1">
        <f t="shared" si="26"/>
        <v>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121</v>
      </c>
      <c r="B75" s="1" t="s">
        <v>42</v>
      </c>
      <c r="C75" s="1">
        <v>607</v>
      </c>
      <c r="D75" s="1">
        <v>1368</v>
      </c>
      <c r="E75" s="1">
        <v>1488</v>
      </c>
      <c r="F75" s="1">
        <v>305</v>
      </c>
      <c r="G75" s="7">
        <v>0.6</v>
      </c>
      <c r="H75" s="1">
        <v>60</v>
      </c>
      <c r="I75" s="1" t="s">
        <v>37</v>
      </c>
      <c r="J75" s="1"/>
      <c r="K75" s="1">
        <v>1739</v>
      </c>
      <c r="L75" s="1">
        <f t="shared" si="21"/>
        <v>-251</v>
      </c>
      <c r="M75" s="1">
        <f t="shared" si="22"/>
        <v>1488</v>
      </c>
      <c r="N75" s="1"/>
      <c r="O75" s="1">
        <v>608</v>
      </c>
      <c r="P75" s="1"/>
      <c r="Q75" s="1"/>
      <c r="R75" s="1">
        <v>800</v>
      </c>
      <c r="S75" s="28"/>
      <c r="T75" s="21"/>
      <c r="U75" s="1"/>
      <c r="V75" s="28"/>
      <c r="W75" s="21"/>
      <c r="X75" s="21"/>
      <c r="Y75" s="1">
        <f t="shared" si="23"/>
        <v>297.60000000000002</v>
      </c>
      <c r="Z75" s="5">
        <f>11.5*Y75-U75-R75-Q75-P75-O75-F75</f>
        <v>1709.4</v>
      </c>
      <c r="AA75" s="5">
        <f t="shared" si="27"/>
        <v>1709.4</v>
      </c>
      <c r="AB75" s="41"/>
      <c r="AC75" s="26"/>
      <c r="AD75" s="1">
        <f t="shared" si="24"/>
        <v>11.5</v>
      </c>
      <c r="AE75" s="1">
        <f t="shared" si="25"/>
        <v>5.756048387096774</v>
      </c>
      <c r="AF75" s="1">
        <v>160.4</v>
      </c>
      <c r="AG75" s="1">
        <v>152</v>
      </c>
      <c r="AH75" s="1">
        <v>139</v>
      </c>
      <c r="AI75" s="1">
        <v>114.6</v>
      </c>
      <c r="AJ75" s="1">
        <v>82</v>
      </c>
      <c r="AK75" s="1">
        <v>127.8</v>
      </c>
      <c r="AL75" s="1">
        <v>127.8</v>
      </c>
      <c r="AM75" s="1">
        <v>101.6</v>
      </c>
      <c r="AN75" s="1"/>
      <c r="AO75" s="1">
        <f t="shared" si="26"/>
        <v>1026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122</v>
      </c>
      <c r="B76" s="1" t="s">
        <v>42</v>
      </c>
      <c r="C76" s="1">
        <v>418</v>
      </c>
      <c r="D76" s="1">
        <v>1311</v>
      </c>
      <c r="E76" s="1">
        <v>784</v>
      </c>
      <c r="F76" s="1">
        <v>797</v>
      </c>
      <c r="G76" s="7">
        <v>0.6</v>
      </c>
      <c r="H76" s="1">
        <v>60</v>
      </c>
      <c r="I76" s="1" t="s">
        <v>37</v>
      </c>
      <c r="J76" s="1"/>
      <c r="K76" s="1">
        <v>808</v>
      </c>
      <c r="L76" s="1">
        <f t="shared" si="21"/>
        <v>-24</v>
      </c>
      <c r="M76" s="1">
        <f t="shared" si="22"/>
        <v>784</v>
      </c>
      <c r="N76" s="1"/>
      <c r="O76" s="1">
        <v>880.10666666666646</v>
      </c>
      <c r="P76" s="1"/>
      <c r="Q76" s="1"/>
      <c r="R76" s="1">
        <v>20.200000000000159</v>
      </c>
      <c r="S76" s="28"/>
      <c r="T76" s="21"/>
      <c r="U76" s="1"/>
      <c r="V76" s="28"/>
      <c r="W76" s="21"/>
      <c r="X76" s="21"/>
      <c r="Y76" s="1">
        <f t="shared" si="23"/>
        <v>156.80000000000001</v>
      </c>
      <c r="Z76" s="5">
        <f>11.5*Y76-U76-R76-Q76-P76-O76-F76</f>
        <v>105.89333333333354</v>
      </c>
      <c r="AA76" s="5">
        <f t="shared" si="27"/>
        <v>105.89333333333354</v>
      </c>
      <c r="AB76" s="41"/>
      <c r="AC76" s="26"/>
      <c r="AD76" s="1">
        <f t="shared" si="24"/>
        <v>11.500000000000002</v>
      </c>
      <c r="AE76" s="1">
        <f t="shared" si="25"/>
        <v>10.824659863945579</v>
      </c>
      <c r="AF76" s="1">
        <v>202.8</v>
      </c>
      <c r="AG76" s="1">
        <v>171.6</v>
      </c>
      <c r="AH76" s="1">
        <v>133.80000000000001</v>
      </c>
      <c r="AI76" s="1">
        <v>123.8</v>
      </c>
      <c r="AJ76" s="1">
        <v>92.2</v>
      </c>
      <c r="AK76" s="1">
        <v>129.19999999999999</v>
      </c>
      <c r="AL76" s="1">
        <v>129.19999999999999</v>
      </c>
      <c r="AM76" s="1">
        <v>126</v>
      </c>
      <c r="AN76" s="1"/>
      <c r="AO76" s="1">
        <f t="shared" si="26"/>
        <v>64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123</v>
      </c>
      <c r="B77" s="1" t="s">
        <v>42</v>
      </c>
      <c r="C77" s="1">
        <v>3</v>
      </c>
      <c r="D77" s="1">
        <v>16</v>
      </c>
      <c r="E77" s="1">
        <v>20</v>
      </c>
      <c r="F77" s="1">
        <v>-1</v>
      </c>
      <c r="G77" s="7">
        <v>0.4</v>
      </c>
      <c r="H77" s="1"/>
      <c r="I77" s="1" t="s">
        <v>37</v>
      </c>
      <c r="J77" s="1"/>
      <c r="K77" s="1">
        <v>27</v>
      </c>
      <c r="L77" s="1">
        <f t="shared" si="21"/>
        <v>-7</v>
      </c>
      <c r="M77" s="1">
        <f t="shared" si="22"/>
        <v>20</v>
      </c>
      <c r="N77" s="1"/>
      <c r="O77" s="1">
        <v>42.4</v>
      </c>
      <c r="P77" s="1"/>
      <c r="Q77" s="1"/>
      <c r="R77" s="1">
        <v>29.4</v>
      </c>
      <c r="S77" s="28"/>
      <c r="T77" s="21"/>
      <c r="U77" s="1"/>
      <c r="V77" s="28"/>
      <c r="W77" s="21"/>
      <c r="X77" s="21"/>
      <c r="Y77" s="1">
        <f t="shared" si="23"/>
        <v>4</v>
      </c>
      <c r="Z77" s="5"/>
      <c r="AA77" s="5">
        <f t="shared" si="27"/>
        <v>0</v>
      </c>
      <c r="AB77" s="41"/>
      <c r="AC77" s="26"/>
      <c r="AD77" s="1">
        <f t="shared" si="24"/>
        <v>17.7</v>
      </c>
      <c r="AE77" s="1">
        <f t="shared" si="25"/>
        <v>17.7</v>
      </c>
      <c r="AF77" s="1">
        <v>7.6</v>
      </c>
      <c r="AG77" s="1">
        <v>6.6</v>
      </c>
      <c r="AH77" s="1">
        <v>3.8</v>
      </c>
      <c r="AI77" s="1">
        <v>4</v>
      </c>
      <c r="AJ77" s="1">
        <v>1</v>
      </c>
      <c r="AK77" s="1">
        <v>0</v>
      </c>
      <c r="AL77" s="1">
        <v>0</v>
      </c>
      <c r="AM77" s="1">
        <v>0</v>
      </c>
      <c r="AN77" s="1" t="s">
        <v>124</v>
      </c>
      <c r="AO77" s="1">
        <f t="shared" si="26"/>
        <v>0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1" t="s">
        <v>125</v>
      </c>
      <c r="B78" s="11" t="s">
        <v>42</v>
      </c>
      <c r="C78" s="11">
        <v>1</v>
      </c>
      <c r="D78" s="11"/>
      <c r="E78" s="11"/>
      <c r="F78" s="11">
        <v>1</v>
      </c>
      <c r="G78" s="12">
        <v>0</v>
      </c>
      <c r="H78" s="11"/>
      <c r="I78" s="11" t="s">
        <v>37</v>
      </c>
      <c r="J78" s="11"/>
      <c r="K78" s="11">
        <v>4</v>
      </c>
      <c r="L78" s="11">
        <f t="shared" si="21"/>
        <v>-4</v>
      </c>
      <c r="M78" s="11">
        <f t="shared" si="22"/>
        <v>0</v>
      </c>
      <c r="N78" s="11"/>
      <c r="O78" s="11">
        <v>0</v>
      </c>
      <c r="P78" s="11"/>
      <c r="Q78" s="11"/>
      <c r="R78" s="11">
        <v>0</v>
      </c>
      <c r="S78" s="30"/>
      <c r="T78" s="24"/>
      <c r="U78" s="11"/>
      <c r="V78" s="30"/>
      <c r="W78" s="24"/>
      <c r="X78" s="24"/>
      <c r="Y78" s="11">
        <f t="shared" si="23"/>
        <v>0</v>
      </c>
      <c r="Z78" s="13"/>
      <c r="AA78" s="5">
        <f t="shared" si="27"/>
        <v>0</v>
      </c>
      <c r="AB78" s="41"/>
      <c r="AC78" s="26"/>
      <c r="AD78" s="1" t="e">
        <f t="shared" si="24"/>
        <v>#DIV/0!</v>
      </c>
      <c r="AE78" s="11" t="e">
        <f t="shared" si="25"/>
        <v>#DIV/0!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0.2</v>
      </c>
      <c r="AN78" s="11" t="s">
        <v>59</v>
      </c>
      <c r="AO78" s="1">
        <f t="shared" si="26"/>
        <v>0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126</v>
      </c>
      <c r="B79" s="1" t="s">
        <v>42</v>
      </c>
      <c r="C79" s="1">
        <v>19</v>
      </c>
      <c r="D79" s="1">
        <v>56</v>
      </c>
      <c r="E79" s="1">
        <v>32</v>
      </c>
      <c r="F79" s="1">
        <v>32</v>
      </c>
      <c r="G79" s="7">
        <v>0.35</v>
      </c>
      <c r="H79" s="1">
        <v>90</v>
      </c>
      <c r="I79" s="1" t="s">
        <v>37</v>
      </c>
      <c r="J79" s="1"/>
      <c r="K79" s="1">
        <v>52</v>
      </c>
      <c r="L79" s="1">
        <f t="shared" si="21"/>
        <v>-20</v>
      </c>
      <c r="M79" s="1">
        <f t="shared" si="22"/>
        <v>32</v>
      </c>
      <c r="N79" s="1"/>
      <c r="O79" s="1">
        <v>0</v>
      </c>
      <c r="P79" s="1"/>
      <c r="Q79" s="1"/>
      <c r="R79" s="1">
        <v>0</v>
      </c>
      <c r="S79" s="28"/>
      <c r="T79" s="21"/>
      <c r="U79" s="1"/>
      <c r="V79" s="28"/>
      <c r="W79" s="21"/>
      <c r="X79" s="21"/>
      <c r="Y79" s="1">
        <f t="shared" si="23"/>
        <v>6.4</v>
      </c>
      <c r="Z79" s="5">
        <f>11.5*Y79-U79-R79-Q79-P79-O79-F79</f>
        <v>41.600000000000009</v>
      </c>
      <c r="AA79" s="5">
        <f t="shared" si="27"/>
        <v>41.600000000000009</v>
      </c>
      <c r="AB79" s="41"/>
      <c r="AC79" s="26"/>
      <c r="AD79" s="1">
        <f t="shared" si="24"/>
        <v>11.5</v>
      </c>
      <c r="AE79" s="1">
        <f t="shared" si="25"/>
        <v>5</v>
      </c>
      <c r="AF79" s="1">
        <v>3.4</v>
      </c>
      <c r="AG79" s="1">
        <v>2</v>
      </c>
      <c r="AH79" s="1">
        <v>5.6</v>
      </c>
      <c r="AI79" s="1">
        <v>7.2</v>
      </c>
      <c r="AJ79" s="1">
        <v>5.2</v>
      </c>
      <c r="AK79" s="1">
        <v>4</v>
      </c>
      <c r="AL79" s="1">
        <v>4</v>
      </c>
      <c r="AM79" s="1">
        <v>8.8000000000000007</v>
      </c>
      <c r="AN79" s="1"/>
      <c r="AO79" s="1">
        <f t="shared" si="26"/>
        <v>15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127</v>
      </c>
      <c r="B80" s="1" t="s">
        <v>42</v>
      </c>
      <c r="C80" s="1">
        <v>120</v>
      </c>
      <c r="D80" s="1">
        <v>224</v>
      </c>
      <c r="E80" s="1">
        <v>143</v>
      </c>
      <c r="F80" s="1">
        <v>197</v>
      </c>
      <c r="G80" s="7">
        <v>0.37</v>
      </c>
      <c r="H80" s="1">
        <v>50</v>
      </c>
      <c r="I80" s="1" t="s">
        <v>37</v>
      </c>
      <c r="J80" s="1"/>
      <c r="K80" s="1">
        <v>146</v>
      </c>
      <c r="L80" s="1">
        <f t="shared" si="21"/>
        <v>-3</v>
      </c>
      <c r="M80" s="1">
        <f t="shared" si="22"/>
        <v>143</v>
      </c>
      <c r="N80" s="1"/>
      <c r="O80" s="1">
        <v>176.28000000000009</v>
      </c>
      <c r="P80" s="1"/>
      <c r="Q80" s="1"/>
      <c r="R80" s="1">
        <v>0</v>
      </c>
      <c r="S80" s="28"/>
      <c r="T80" s="21"/>
      <c r="U80" s="1"/>
      <c r="V80" s="28"/>
      <c r="W80" s="21"/>
      <c r="X80" s="21"/>
      <c r="Y80" s="1">
        <f t="shared" si="23"/>
        <v>28.6</v>
      </c>
      <c r="Z80" s="5"/>
      <c r="AA80" s="5">
        <f t="shared" si="27"/>
        <v>0</v>
      </c>
      <c r="AB80" s="41"/>
      <c r="AC80" s="26"/>
      <c r="AD80" s="1">
        <f t="shared" si="24"/>
        <v>13.051748251748254</v>
      </c>
      <c r="AE80" s="1">
        <f t="shared" si="25"/>
        <v>13.051748251748254</v>
      </c>
      <c r="AF80" s="1">
        <v>31.4</v>
      </c>
      <c r="AG80" s="1">
        <v>34.200000000000003</v>
      </c>
      <c r="AH80" s="1">
        <v>25.6</v>
      </c>
      <c r="AI80" s="1">
        <v>18.2</v>
      </c>
      <c r="AJ80" s="1">
        <v>21.2</v>
      </c>
      <c r="AK80" s="1">
        <v>30.6</v>
      </c>
      <c r="AL80" s="1">
        <v>30.6</v>
      </c>
      <c r="AM80" s="1">
        <v>27.4</v>
      </c>
      <c r="AN80" s="1"/>
      <c r="AO80" s="1">
        <f t="shared" si="26"/>
        <v>0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128</v>
      </c>
      <c r="B81" s="1" t="s">
        <v>42</v>
      </c>
      <c r="C81" s="1">
        <v>168</v>
      </c>
      <c r="D81" s="1">
        <v>380</v>
      </c>
      <c r="E81" s="1">
        <v>260</v>
      </c>
      <c r="F81" s="1">
        <v>276</v>
      </c>
      <c r="G81" s="7">
        <v>0.6</v>
      </c>
      <c r="H81" s="1">
        <v>70</v>
      </c>
      <c r="I81" s="1" t="s">
        <v>37</v>
      </c>
      <c r="J81" s="1"/>
      <c r="K81" s="1">
        <v>260</v>
      </c>
      <c r="L81" s="1">
        <f t="shared" si="21"/>
        <v>0</v>
      </c>
      <c r="M81" s="1">
        <f t="shared" si="22"/>
        <v>260</v>
      </c>
      <c r="N81" s="1"/>
      <c r="O81" s="1">
        <v>183.87999999999991</v>
      </c>
      <c r="P81" s="1"/>
      <c r="Q81" s="1"/>
      <c r="R81" s="1">
        <v>132.30000000000001</v>
      </c>
      <c r="S81" s="28"/>
      <c r="T81" s="21"/>
      <c r="U81" s="1"/>
      <c r="V81" s="28"/>
      <c r="W81" s="21"/>
      <c r="X81" s="21"/>
      <c r="Y81" s="1">
        <f t="shared" si="23"/>
        <v>52</v>
      </c>
      <c r="Z81" s="5">
        <f>11.5*Y81-U81-R81-Q81-P81-O81-F81</f>
        <v>5.82000000000005</v>
      </c>
      <c r="AA81" s="5">
        <f t="shared" si="27"/>
        <v>5.82000000000005</v>
      </c>
      <c r="AB81" s="41"/>
      <c r="AC81" s="26"/>
      <c r="AD81" s="1">
        <f t="shared" si="24"/>
        <v>11.499999999999998</v>
      </c>
      <c r="AE81" s="1">
        <f t="shared" si="25"/>
        <v>11.38807692307692</v>
      </c>
      <c r="AF81" s="1">
        <v>67.8</v>
      </c>
      <c r="AG81" s="1">
        <v>63.6</v>
      </c>
      <c r="AH81" s="1">
        <v>44.6</v>
      </c>
      <c r="AI81" s="1">
        <v>41.8</v>
      </c>
      <c r="AJ81" s="1">
        <v>40.799999999999997</v>
      </c>
      <c r="AK81" s="1">
        <v>61.8</v>
      </c>
      <c r="AL81" s="1">
        <v>61.8</v>
      </c>
      <c r="AM81" s="1">
        <v>34.200000000000003</v>
      </c>
      <c r="AN81" s="1"/>
      <c r="AO81" s="1">
        <f t="shared" si="26"/>
        <v>3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129</v>
      </c>
      <c r="B82" s="1" t="s">
        <v>42</v>
      </c>
      <c r="C82" s="1">
        <v>162</v>
      </c>
      <c r="D82" s="1">
        <v>933</v>
      </c>
      <c r="E82" s="1">
        <v>301</v>
      </c>
      <c r="F82" s="1">
        <v>680</v>
      </c>
      <c r="G82" s="7">
        <v>0.33</v>
      </c>
      <c r="H82" s="1">
        <v>40</v>
      </c>
      <c r="I82" s="1" t="s">
        <v>37</v>
      </c>
      <c r="J82" s="1"/>
      <c r="K82" s="1">
        <v>314</v>
      </c>
      <c r="L82" s="1">
        <f t="shared" si="21"/>
        <v>-13</v>
      </c>
      <c r="M82" s="1">
        <f t="shared" si="22"/>
        <v>301</v>
      </c>
      <c r="N82" s="1"/>
      <c r="O82" s="1">
        <v>0</v>
      </c>
      <c r="P82" s="1"/>
      <c r="Q82" s="1"/>
      <c r="R82" s="1">
        <v>0</v>
      </c>
      <c r="S82" s="28"/>
      <c r="T82" s="21"/>
      <c r="U82" s="1"/>
      <c r="V82" s="28"/>
      <c r="W82" s="21"/>
      <c r="X82" s="21"/>
      <c r="Y82" s="1">
        <f t="shared" si="23"/>
        <v>60.2</v>
      </c>
      <c r="Z82" s="5"/>
      <c r="AA82" s="5">
        <f t="shared" si="27"/>
        <v>0</v>
      </c>
      <c r="AB82" s="41"/>
      <c r="AC82" s="26"/>
      <c r="AD82" s="1">
        <f t="shared" si="24"/>
        <v>11.295681063122924</v>
      </c>
      <c r="AE82" s="1">
        <f t="shared" si="25"/>
        <v>11.295681063122924</v>
      </c>
      <c r="AF82" s="1">
        <v>23.2</v>
      </c>
      <c r="AG82" s="1">
        <v>35.4</v>
      </c>
      <c r="AH82" s="1">
        <v>69.599999999999994</v>
      </c>
      <c r="AI82" s="1">
        <v>62</v>
      </c>
      <c r="AJ82" s="1">
        <v>50.8</v>
      </c>
      <c r="AK82" s="1">
        <v>41.2</v>
      </c>
      <c r="AL82" s="1">
        <v>49.6</v>
      </c>
      <c r="AM82" s="1">
        <v>42</v>
      </c>
      <c r="AN82" s="1"/>
      <c r="AO82" s="1">
        <f t="shared" si="26"/>
        <v>0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130</v>
      </c>
      <c r="B83" s="1" t="s">
        <v>42</v>
      </c>
      <c r="C83" s="1">
        <v>64</v>
      </c>
      <c r="D83" s="1">
        <v>42</v>
      </c>
      <c r="E83" s="1">
        <v>51</v>
      </c>
      <c r="F83" s="1">
        <v>43</v>
      </c>
      <c r="G83" s="7">
        <v>0.4</v>
      </c>
      <c r="H83" s="1">
        <v>55</v>
      </c>
      <c r="I83" s="1" t="s">
        <v>37</v>
      </c>
      <c r="J83" s="1"/>
      <c r="K83" s="1">
        <v>63</v>
      </c>
      <c r="L83" s="1">
        <f t="shared" si="21"/>
        <v>-12</v>
      </c>
      <c r="M83" s="1">
        <f t="shared" si="22"/>
        <v>51</v>
      </c>
      <c r="N83" s="1"/>
      <c r="O83" s="1">
        <v>8.4000000000000057</v>
      </c>
      <c r="P83" s="1"/>
      <c r="Q83" s="1"/>
      <c r="R83" s="1">
        <v>59.899999999999977</v>
      </c>
      <c r="S83" s="28"/>
      <c r="T83" s="21"/>
      <c r="U83" s="1"/>
      <c r="V83" s="28"/>
      <c r="W83" s="21"/>
      <c r="X83" s="21"/>
      <c r="Y83" s="1">
        <f t="shared" si="23"/>
        <v>10.199999999999999</v>
      </c>
      <c r="Z83" s="5">
        <f>11.5*Y83-U83-R83-Q83-P83-O83-F83</f>
        <v>6.0000000000000142</v>
      </c>
      <c r="AA83" s="5">
        <f t="shared" si="27"/>
        <v>6.0000000000000142</v>
      </c>
      <c r="AB83" s="41"/>
      <c r="AC83" s="26"/>
      <c r="AD83" s="1">
        <f t="shared" si="24"/>
        <v>11.5</v>
      </c>
      <c r="AE83" s="1">
        <f t="shared" si="25"/>
        <v>10.911764705882351</v>
      </c>
      <c r="AF83" s="1">
        <v>12.6</v>
      </c>
      <c r="AG83" s="1">
        <v>9.4</v>
      </c>
      <c r="AH83" s="1">
        <v>11</v>
      </c>
      <c r="AI83" s="1">
        <v>11.2</v>
      </c>
      <c r="AJ83" s="1">
        <v>5.8</v>
      </c>
      <c r="AK83" s="1">
        <v>13.2</v>
      </c>
      <c r="AL83" s="1">
        <v>13.2</v>
      </c>
      <c r="AM83" s="1">
        <v>12.8</v>
      </c>
      <c r="AN83" s="1"/>
      <c r="AO83" s="1">
        <f t="shared" si="26"/>
        <v>2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131</v>
      </c>
      <c r="B84" s="1" t="s">
        <v>42</v>
      </c>
      <c r="C84" s="1">
        <v>-3</v>
      </c>
      <c r="D84" s="1"/>
      <c r="E84" s="1">
        <v>-6</v>
      </c>
      <c r="F84" s="1">
        <v>-6</v>
      </c>
      <c r="G84" s="7">
        <v>0.35</v>
      </c>
      <c r="H84" s="1">
        <v>40</v>
      </c>
      <c r="I84" s="10" t="s">
        <v>50</v>
      </c>
      <c r="J84" s="1"/>
      <c r="K84" s="1">
        <v>12</v>
      </c>
      <c r="L84" s="1">
        <f t="shared" si="21"/>
        <v>-18</v>
      </c>
      <c r="M84" s="1">
        <f t="shared" si="22"/>
        <v>-6</v>
      </c>
      <c r="N84" s="1"/>
      <c r="O84" s="1">
        <v>130</v>
      </c>
      <c r="P84" s="1">
        <v>-132</v>
      </c>
      <c r="Q84" s="1"/>
      <c r="R84" s="1">
        <v>80</v>
      </c>
      <c r="S84" s="28"/>
      <c r="T84" s="21"/>
      <c r="U84" s="1">
        <v>40</v>
      </c>
      <c r="V84" s="28"/>
      <c r="W84" s="21"/>
      <c r="X84" s="21"/>
      <c r="Y84" s="1">
        <f t="shared" si="23"/>
        <v>-1.2</v>
      </c>
      <c r="Z84" s="5">
        <v>80</v>
      </c>
      <c r="AA84" s="5">
        <f t="shared" si="27"/>
        <v>80</v>
      </c>
      <c r="AB84" s="41"/>
      <c r="AC84" s="26"/>
      <c r="AD84" s="1">
        <f t="shared" si="24"/>
        <v>-160</v>
      </c>
      <c r="AE84" s="1">
        <f t="shared" si="25"/>
        <v>-93.333333333333343</v>
      </c>
      <c r="AF84" s="1">
        <v>-0.4</v>
      </c>
      <c r="AG84" s="1">
        <v>14</v>
      </c>
      <c r="AH84" s="1">
        <v>31.6</v>
      </c>
      <c r="AI84" s="1">
        <v>57.2</v>
      </c>
      <c r="AJ84" s="1">
        <v>52.2</v>
      </c>
      <c r="AK84" s="1">
        <v>19.600000000000001</v>
      </c>
      <c r="AL84" s="1">
        <v>19.600000000000001</v>
      </c>
      <c r="AM84" s="1">
        <v>50</v>
      </c>
      <c r="AN84" s="1"/>
      <c r="AO84" s="1">
        <f t="shared" si="26"/>
        <v>28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132</v>
      </c>
      <c r="B85" s="1" t="s">
        <v>42</v>
      </c>
      <c r="C85" s="1">
        <v>14</v>
      </c>
      <c r="D85" s="1">
        <v>102</v>
      </c>
      <c r="E85" s="1">
        <v>124</v>
      </c>
      <c r="F85" s="1">
        <v>-11</v>
      </c>
      <c r="G85" s="7">
        <v>0.35</v>
      </c>
      <c r="H85" s="1">
        <v>45</v>
      </c>
      <c r="I85" s="10" t="s">
        <v>50</v>
      </c>
      <c r="J85" s="1"/>
      <c r="K85" s="1">
        <v>172</v>
      </c>
      <c r="L85" s="1">
        <f t="shared" si="21"/>
        <v>-48</v>
      </c>
      <c r="M85" s="1">
        <f t="shared" si="22"/>
        <v>124</v>
      </c>
      <c r="N85" s="1"/>
      <c r="O85" s="1">
        <v>195</v>
      </c>
      <c r="P85" s="1">
        <v>-198</v>
      </c>
      <c r="Q85" s="1"/>
      <c r="R85" s="1">
        <v>200</v>
      </c>
      <c r="S85" s="28"/>
      <c r="T85" s="21"/>
      <c r="U85" s="1">
        <v>100</v>
      </c>
      <c r="V85" s="28"/>
      <c r="W85" s="21"/>
      <c r="X85" s="21"/>
      <c r="Y85" s="1">
        <f t="shared" si="23"/>
        <v>24.8</v>
      </c>
      <c r="Z85" s="5">
        <v>150</v>
      </c>
      <c r="AA85" s="5">
        <f t="shared" si="27"/>
        <v>150</v>
      </c>
      <c r="AB85" s="41"/>
      <c r="AC85" s="26"/>
      <c r="AD85" s="1">
        <f t="shared" si="24"/>
        <v>17.580645161290324</v>
      </c>
      <c r="AE85" s="1">
        <f t="shared" si="25"/>
        <v>11.532258064516128</v>
      </c>
      <c r="AF85" s="1">
        <v>57.2</v>
      </c>
      <c r="AG85" s="1">
        <v>41.6</v>
      </c>
      <c r="AH85" s="1">
        <v>37.4</v>
      </c>
      <c r="AI85" s="1">
        <v>49.2</v>
      </c>
      <c r="AJ85" s="1">
        <v>41</v>
      </c>
      <c r="AK85" s="1">
        <v>-30.6</v>
      </c>
      <c r="AL85" s="1">
        <v>-0.6</v>
      </c>
      <c r="AM85" s="1">
        <v>0</v>
      </c>
      <c r="AN85" s="1"/>
      <c r="AO85" s="1">
        <f t="shared" si="26"/>
        <v>53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133</v>
      </c>
      <c r="B86" s="1" t="s">
        <v>42</v>
      </c>
      <c r="C86" s="1">
        <v>82</v>
      </c>
      <c r="D86" s="1"/>
      <c r="E86" s="1">
        <v>22</v>
      </c>
      <c r="F86" s="1">
        <v>60</v>
      </c>
      <c r="G86" s="7">
        <v>0.4</v>
      </c>
      <c r="H86" s="1">
        <v>55</v>
      </c>
      <c r="I86" s="1" t="s">
        <v>37</v>
      </c>
      <c r="J86" s="1"/>
      <c r="K86" s="1">
        <v>44</v>
      </c>
      <c r="L86" s="1">
        <f t="shared" si="21"/>
        <v>-22</v>
      </c>
      <c r="M86" s="1">
        <f t="shared" si="22"/>
        <v>22</v>
      </c>
      <c r="N86" s="1"/>
      <c r="O86" s="1">
        <v>0</v>
      </c>
      <c r="P86" s="1"/>
      <c r="Q86" s="1"/>
      <c r="R86" s="1">
        <v>0</v>
      </c>
      <c r="S86" s="28"/>
      <c r="T86" s="21"/>
      <c r="U86" s="1"/>
      <c r="V86" s="28"/>
      <c r="W86" s="21"/>
      <c r="X86" s="21"/>
      <c r="Y86" s="1">
        <f t="shared" si="23"/>
        <v>4.4000000000000004</v>
      </c>
      <c r="Z86" s="5"/>
      <c r="AA86" s="5">
        <f t="shared" si="27"/>
        <v>0</v>
      </c>
      <c r="AB86" s="41"/>
      <c r="AC86" s="26"/>
      <c r="AD86" s="1">
        <f t="shared" si="24"/>
        <v>13.636363636363635</v>
      </c>
      <c r="AE86" s="1">
        <f t="shared" si="25"/>
        <v>13.636363636363635</v>
      </c>
      <c r="AF86" s="1">
        <v>0.2</v>
      </c>
      <c r="AG86" s="1">
        <v>4.2</v>
      </c>
      <c r="AH86" s="1">
        <v>4.2</v>
      </c>
      <c r="AI86" s="1">
        <v>0</v>
      </c>
      <c r="AJ86" s="1">
        <v>0</v>
      </c>
      <c r="AK86" s="1">
        <v>0.4</v>
      </c>
      <c r="AL86" s="1">
        <v>0.4</v>
      </c>
      <c r="AM86" s="1">
        <v>8.6</v>
      </c>
      <c r="AN86" s="17" t="s">
        <v>100</v>
      </c>
      <c r="AO86" s="1">
        <f t="shared" si="26"/>
        <v>0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134</v>
      </c>
      <c r="B87" s="1" t="s">
        <v>36</v>
      </c>
      <c r="C87" s="1">
        <v>23.760999999999999</v>
      </c>
      <c r="D87" s="1"/>
      <c r="E87" s="1">
        <v>1.4550000000000001</v>
      </c>
      <c r="F87" s="1">
        <v>22.306000000000001</v>
      </c>
      <c r="G87" s="7">
        <v>1</v>
      </c>
      <c r="H87" s="1">
        <v>55</v>
      </c>
      <c r="I87" s="1" t="s">
        <v>37</v>
      </c>
      <c r="J87" s="1"/>
      <c r="K87" s="1">
        <v>1.4</v>
      </c>
      <c r="L87" s="1">
        <f t="shared" si="21"/>
        <v>5.500000000000016E-2</v>
      </c>
      <c r="M87" s="1">
        <f t="shared" si="22"/>
        <v>1.4550000000000001</v>
      </c>
      <c r="N87" s="1"/>
      <c r="O87" s="1">
        <v>0</v>
      </c>
      <c r="P87" s="1"/>
      <c r="Q87" s="1"/>
      <c r="R87" s="1">
        <v>0</v>
      </c>
      <c r="S87" s="28"/>
      <c r="T87" s="21"/>
      <c r="U87" s="1"/>
      <c r="V87" s="28"/>
      <c r="W87" s="21"/>
      <c r="X87" s="21"/>
      <c r="Y87" s="1">
        <f t="shared" si="23"/>
        <v>0.29100000000000004</v>
      </c>
      <c r="Z87" s="5"/>
      <c r="AA87" s="5">
        <f t="shared" si="27"/>
        <v>0</v>
      </c>
      <c r="AB87" s="41"/>
      <c r="AC87" s="26"/>
      <c r="AD87" s="1">
        <f t="shared" si="24"/>
        <v>76.652920962199303</v>
      </c>
      <c r="AE87" s="1">
        <f t="shared" si="25"/>
        <v>76.652920962199303</v>
      </c>
      <c r="AF87" s="1">
        <v>0.59099999999999997</v>
      </c>
      <c r="AG87" s="1">
        <v>0.3</v>
      </c>
      <c r="AH87" s="1">
        <v>0.56580000000000008</v>
      </c>
      <c r="AI87" s="1">
        <v>0.85500000000000009</v>
      </c>
      <c r="AJ87" s="1">
        <v>0.5796</v>
      </c>
      <c r="AK87" s="1">
        <v>0.81820000000000004</v>
      </c>
      <c r="AL87" s="1">
        <v>0.81820000000000004</v>
      </c>
      <c r="AM87" s="1">
        <v>1.704</v>
      </c>
      <c r="AN87" s="18" t="s">
        <v>69</v>
      </c>
      <c r="AO87" s="1">
        <f t="shared" si="26"/>
        <v>0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1" t="s">
        <v>135</v>
      </c>
      <c r="B88" s="11" t="s">
        <v>36</v>
      </c>
      <c r="C88" s="11"/>
      <c r="D88" s="11"/>
      <c r="E88" s="11"/>
      <c r="F88" s="11"/>
      <c r="G88" s="12">
        <v>0</v>
      </c>
      <c r="H88" s="11"/>
      <c r="I88" s="11" t="s">
        <v>37</v>
      </c>
      <c r="J88" s="11"/>
      <c r="K88" s="11"/>
      <c r="L88" s="11">
        <f t="shared" si="21"/>
        <v>0</v>
      </c>
      <c r="M88" s="11">
        <f t="shared" si="22"/>
        <v>0</v>
      </c>
      <c r="N88" s="11"/>
      <c r="O88" s="11">
        <v>0</v>
      </c>
      <c r="P88" s="11"/>
      <c r="Q88" s="11"/>
      <c r="R88" s="11">
        <v>0</v>
      </c>
      <c r="S88" s="30"/>
      <c r="T88" s="24"/>
      <c r="U88" s="11"/>
      <c r="V88" s="30"/>
      <c r="W88" s="24"/>
      <c r="X88" s="24"/>
      <c r="Y88" s="11">
        <f t="shared" si="23"/>
        <v>0</v>
      </c>
      <c r="Z88" s="13"/>
      <c r="AA88" s="5">
        <f t="shared" si="27"/>
        <v>0</v>
      </c>
      <c r="AB88" s="41"/>
      <c r="AC88" s="26"/>
      <c r="AD88" s="1" t="e">
        <f t="shared" si="24"/>
        <v>#DIV/0!</v>
      </c>
      <c r="AE88" s="11" t="e">
        <f t="shared" si="25"/>
        <v>#DIV/0!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 t="s">
        <v>59</v>
      </c>
      <c r="AO88" s="1">
        <f t="shared" si="26"/>
        <v>0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136</v>
      </c>
      <c r="B89" s="1" t="s">
        <v>36</v>
      </c>
      <c r="C89" s="1">
        <v>5555.3829999999998</v>
      </c>
      <c r="D89" s="1">
        <v>1277.779</v>
      </c>
      <c r="E89" s="1">
        <v>3659.0149999999999</v>
      </c>
      <c r="F89" s="1">
        <v>2464.5129999999999</v>
      </c>
      <c r="G89" s="7">
        <v>1</v>
      </c>
      <c r="H89" s="1">
        <v>60</v>
      </c>
      <c r="I89" s="1" t="s">
        <v>37</v>
      </c>
      <c r="J89" s="1"/>
      <c r="K89" s="1">
        <v>4297.5959999999995</v>
      </c>
      <c r="L89" s="1">
        <f t="shared" si="21"/>
        <v>-638.58099999999968</v>
      </c>
      <c r="M89" s="1">
        <f t="shared" si="22"/>
        <v>2955.317</v>
      </c>
      <c r="N89" s="1">
        <v>703.69799999999998</v>
      </c>
      <c r="O89" s="1">
        <v>1715.4559999999999</v>
      </c>
      <c r="P89" s="1"/>
      <c r="Q89" s="1"/>
      <c r="R89" s="1">
        <v>882.5</v>
      </c>
      <c r="S89" s="28"/>
      <c r="T89" s="21"/>
      <c r="U89" s="1">
        <v>1617.5</v>
      </c>
      <c r="V89" s="28"/>
      <c r="W89" s="21"/>
      <c r="X89" s="21"/>
      <c r="Y89" s="1">
        <f t="shared" si="23"/>
        <v>591.0634</v>
      </c>
      <c r="Z89" s="5">
        <f>11.5*Y89-U89-R89-Q89-P89-O89-F89</f>
        <v>117.26010000000042</v>
      </c>
      <c r="AA89" s="5">
        <f t="shared" si="27"/>
        <v>117.26010000000042</v>
      </c>
      <c r="AB89" s="41"/>
      <c r="AC89" s="26"/>
      <c r="AD89" s="1">
        <f t="shared" si="24"/>
        <v>11.5</v>
      </c>
      <c r="AE89" s="1">
        <f t="shared" si="25"/>
        <v>11.301611637600974</v>
      </c>
      <c r="AF89" s="1">
        <v>673.63120000000004</v>
      </c>
      <c r="AG89" s="1">
        <v>428.86399999999998</v>
      </c>
      <c r="AH89" s="1">
        <v>368.13479999999998</v>
      </c>
      <c r="AI89" s="1">
        <v>482.79840000000002</v>
      </c>
      <c r="AJ89" s="1">
        <v>547.7278</v>
      </c>
      <c r="AK89" s="1">
        <v>842.63180000000011</v>
      </c>
      <c r="AL89" s="1">
        <v>930.80480000000011</v>
      </c>
      <c r="AM89" s="1">
        <v>746.08699999999999</v>
      </c>
      <c r="AN89" s="1" t="s">
        <v>39</v>
      </c>
      <c r="AO89" s="1">
        <f t="shared" si="26"/>
        <v>117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137</v>
      </c>
      <c r="B90" s="1" t="s">
        <v>42</v>
      </c>
      <c r="C90" s="1">
        <v>275</v>
      </c>
      <c r="D90" s="1">
        <v>736</v>
      </c>
      <c r="E90" s="1">
        <v>273</v>
      </c>
      <c r="F90" s="1">
        <v>636</v>
      </c>
      <c r="G90" s="7">
        <v>0.3</v>
      </c>
      <c r="H90" s="1">
        <v>40</v>
      </c>
      <c r="I90" s="1" t="s">
        <v>37</v>
      </c>
      <c r="J90" s="1"/>
      <c r="K90" s="1">
        <v>362</v>
      </c>
      <c r="L90" s="1">
        <f t="shared" si="21"/>
        <v>-89</v>
      </c>
      <c r="M90" s="1">
        <f t="shared" si="22"/>
        <v>273</v>
      </c>
      <c r="N90" s="1"/>
      <c r="O90" s="1">
        <v>211.2</v>
      </c>
      <c r="P90" s="1">
        <v>-24</v>
      </c>
      <c r="Q90" s="1"/>
      <c r="R90" s="1">
        <v>0</v>
      </c>
      <c r="S90" s="28"/>
      <c r="T90" s="21"/>
      <c r="U90" s="1"/>
      <c r="V90" s="28"/>
      <c r="W90" s="21"/>
      <c r="X90" s="21"/>
      <c r="Y90" s="1">
        <f t="shared" si="23"/>
        <v>54.6</v>
      </c>
      <c r="Z90" s="5"/>
      <c r="AA90" s="5">
        <f t="shared" si="27"/>
        <v>0</v>
      </c>
      <c r="AB90" s="41"/>
      <c r="AC90" s="26"/>
      <c r="AD90" s="1">
        <f t="shared" si="24"/>
        <v>15.076923076923077</v>
      </c>
      <c r="AE90" s="1">
        <f t="shared" si="25"/>
        <v>15.076923076923077</v>
      </c>
      <c r="AF90" s="1">
        <v>43.4</v>
      </c>
      <c r="AG90" s="1">
        <v>52.8</v>
      </c>
      <c r="AH90" s="1">
        <v>49.8</v>
      </c>
      <c r="AI90" s="1">
        <v>36.200000000000003</v>
      </c>
      <c r="AJ90" s="1">
        <v>35.799999999999997</v>
      </c>
      <c r="AK90" s="1">
        <v>49</v>
      </c>
      <c r="AL90" s="1">
        <v>49</v>
      </c>
      <c r="AM90" s="1">
        <v>54.8</v>
      </c>
      <c r="AN90" s="19" t="s">
        <v>100</v>
      </c>
      <c r="AO90" s="1">
        <f t="shared" si="26"/>
        <v>0</v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138</v>
      </c>
      <c r="B91" s="1" t="s">
        <v>36</v>
      </c>
      <c r="C91" s="1">
        <v>3617.549</v>
      </c>
      <c r="D91" s="1">
        <v>190.28200000000001</v>
      </c>
      <c r="E91" s="1">
        <v>1393.95</v>
      </c>
      <c r="F91" s="1">
        <v>2199.8829999999998</v>
      </c>
      <c r="G91" s="7">
        <v>1</v>
      </c>
      <c r="H91" s="1">
        <v>60</v>
      </c>
      <c r="I91" s="1" t="s">
        <v>37</v>
      </c>
      <c r="J91" s="1"/>
      <c r="K91" s="1">
        <v>1481.433</v>
      </c>
      <c r="L91" s="1">
        <f t="shared" si="21"/>
        <v>-87.482999999999947</v>
      </c>
      <c r="M91" s="1">
        <f t="shared" si="22"/>
        <v>1289.7560000000001</v>
      </c>
      <c r="N91" s="1">
        <v>104.194</v>
      </c>
      <c r="O91" s="1">
        <v>200</v>
      </c>
      <c r="P91" s="1"/>
      <c r="Q91" s="1"/>
      <c r="R91" s="1">
        <v>0</v>
      </c>
      <c r="S91" s="28"/>
      <c r="T91" s="21"/>
      <c r="U91" s="1"/>
      <c r="V91" s="28"/>
      <c r="W91" s="21">
        <v>300</v>
      </c>
      <c r="X91" s="21"/>
      <c r="Y91" s="1">
        <f t="shared" si="23"/>
        <v>257.95120000000003</v>
      </c>
      <c r="Z91" s="5">
        <f>11.5*Y91-U91-R91-Q91-P91-O91-F91</f>
        <v>566.55580000000054</v>
      </c>
      <c r="AA91" s="5">
        <f t="shared" si="27"/>
        <v>566.55580000000054</v>
      </c>
      <c r="AB91" s="41"/>
      <c r="AC91" s="26"/>
      <c r="AD91" s="1">
        <f t="shared" si="24"/>
        <v>11.5</v>
      </c>
      <c r="AE91" s="1">
        <f t="shared" si="25"/>
        <v>9.3036318497452211</v>
      </c>
      <c r="AF91" s="1">
        <v>283.8922</v>
      </c>
      <c r="AG91" s="1">
        <v>197.21299999999999</v>
      </c>
      <c r="AH91" s="1">
        <v>160.90700000000001</v>
      </c>
      <c r="AI91" s="1">
        <v>215.4</v>
      </c>
      <c r="AJ91" s="1">
        <v>379.45499999999998</v>
      </c>
      <c r="AK91" s="1">
        <v>357.23480000000001</v>
      </c>
      <c r="AL91" s="1">
        <v>505.72719999999998</v>
      </c>
      <c r="AM91" s="1">
        <v>276.84160000000003</v>
      </c>
      <c r="AN91" s="1"/>
      <c r="AO91" s="1">
        <f t="shared" si="26"/>
        <v>567</v>
      </c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139</v>
      </c>
      <c r="B92" s="1" t="s">
        <v>36</v>
      </c>
      <c r="C92" s="1">
        <v>3741.7449999999999</v>
      </c>
      <c r="D92" s="1">
        <v>4816.9089999999997</v>
      </c>
      <c r="E92" s="1">
        <v>2739.53</v>
      </c>
      <c r="F92" s="1">
        <v>5566.8050000000003</v>
      </c>
      <c r="G92" s="7">
        <v>1</v>
      </c>
      <c r="H92" s="1">
        <v>60</v>
      </c>
      <c r="I92" s="1" t="s">
        <v>37</v>
      </c>
      <c r="J92" s="1"/>
      <c r="K92" s="1">
        <v>2808.9110000000001</v>
      </c>
      <c r="L92" s="1">
        <f t="shared" si="21"/>
        <v>-69.380999999999858</v>
      </c>
      <c r="M92" s="1">
        <f t="shared" si="22"/>
        <v>2619.4700000000003</v>
      </c>
      <c r="N92" s="1">
        <v>120.06</v>
      </c>
      <c r="O92" s="1">
        <v>0</v>
      </c>
      <c r="P92" s="1"/>
      <c r="Q92" s="1"/>
      <c r="R92" s="1">
        <v>0</v>
      </c>
      <c r="S92" s="28"/>
      <c r="T92" s="21"/>
      <c r="U92" s="1"/>
      <c r="V92" s="28"/>
      <c r="W92" s="21">
        <v>300</v>
      </c>
      <c r="X92" s="21"/>
      <c r="Y92" s="1">
        <f t="shared" si="23"/>
        <v>523.89400000000001</v>
      </c>
      <c r="Z92" s="5">
        <f>11.5*Y92-U92-R92-Q92-P92-O92-F92</f>
        <v>457.97599999999966</v>
      </c>
      <c r="AA92" s="5">
        <f t="shared" si="27"/>
        <v>457.97599999999966</v>
      </c>
      <c r="AB92" s="41"/>
      <c r="AC92" s="26"/>
      <c r="AD92" s="1">
        <f t="shared" si="24"/>
        <v>11.5</v>
      </c>
      <c r="AE92" s="1">
        <f t="shared" si="25"/>
        <v>10.625823162700852</v>
      </c>
      <c r="AF92" s="1">
        <v>507.10120000000012</v>
      </c>
      <c r="AG92" s="1">
        <v>403.74220000000003</v>
      </c>
      <c r="AH92" s="1">
        <v>422.80460000000011</v>
      </c>
      <c r="AI92" s="1">
        <v>423.51899999999989</v>
      </c>
      <c r="AJ92" s="1">
        <v>694.55039999999997</v>
      </c>
      <c r="AK92" s="1">
        <v>304.53539999999998</v>
      </c>
      <c r="AL92" s="1">
        <v>631.58000000000004</v>
      </c>
      <c r="AM92" s="1">
        <v>682.72479999999996</v>
      </c>
      <c r="AN92" s="1"/>
      <c r="AO92" s="1">
        <f t="shared" si="26"/>
        <v>458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63</v>
      </c>
      <c r="B93" s="1" t="s">
        <v>36</v>
      </c>
      <c r="C93" s="1">
        <v>4427.37</v>
      </c>
      <c r="D93" s="1">
        <v>4952.0510000000004</v>
      </c>
      <c r="E93" s="15">
        <f>3423.729+E22</f>
        <v>3426.25</v>
      </c>
      <c r="F93" s="15">
        <f>5330.024+F22</f>
        <v>5315.04</v>
      </c>
      <c r="G93" s="7">
        <v>1</v>
      </c>
      <c r="H93" s="1">
        <v>60</v>
      </c>
      <c r="I93" s="1" t="s">
        <v>37</v>
      </c>
      <c r="J93" s="1"/>
      <c r="K93" s="1">
        <v>3993.12</v>
      </c>
      <c r="L93" s="1">
        <f t="shared" si="21"/>
        <v>-566.86999999999989</v>
      </c>
      <c r="M93" s="1">
        <f t="shared" si="22"/>
        <v>2884.1019999999999</v>
      </c>
      <c r="N93" s="1">
        <v>542.14800000000002</v>
      </c>
      <c r="O93" s="1">
        <v>1000</v>
      </c>
      <c r="P93" s="1"/>
      <c r="Q93" s="1">
        <v>500</v>
      </c>
      <c r="R93" s="1">
        <v>0</v>
      </c>
      <c r="S93" s="28"/>
      <c r="T93" s="21"/>
      <c r="U93" s="1"/>
      <c r="V93" s="28"/>
      <c r="W93" s="21"/>
      <c r="X93" s="21"/>
      <c r="Y93" s="1">
        <f t="shared" si="23"/>
        <v>576.82039999999995</v>
      </c>
      <c r="Z93" s="5"/>
      <c r="AA93" s="5">
        <f t="shared" si="27"/>
        <v>0</v>
      </c>
      <c r="AB93" s="41"/>
      <c r="AC93" s="26">
        <v>600</v>
      </c>
      <c r="AD93" s="1">
        <f t="shared" si="24"/>
        <v>11.814838726230905</v>
      </c>
      <c r="AE93" s="1">
        <f t="shared" si="25"/>
        <v>11.814838726230905</v>
      </c>
      <c r="AF93" s="1">
        <v>637.09520000000009</v>
      </c>
      <c r="AG93" s="1">
        <v>500.93239999999997</v>
      </c>
      <c r="AH93" s="1">
        <v>455.24059999999997</v>
      </c>
      <c r="AI93" s="1">
        <v>581.56139999999994</v>
      </c>
      <c r="AJ93" s="1">
        <v>903.69920000000002</v>
      </c>
      <c r="AK93" s="1">
        <v>397.85039999999998</v>
      </c>
      <c r="AL93" s="1">
        <v>698.25620000000004</v>
      </c>
      <c r="AM93" s="1">
        <v>848.86939999999993</v>
      </c>
      <c r="AN93" s="1"/>
      <c r="AO93" s="1">
        <f t="shared" si="26"/>
        <v>0</v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140</v>
      </c>
      <c r="B94" s="1" t="s">
        <v>36</v>
      </c>
      <c r="C94" s="1">
        <v>44.591999999999999</v>
      </c>
      <c r="D94" s="1">
        <v>10.632</v>
      </c>
      <c r="E94" s="1">
        <v>20.140999999999998</v>
      </c>
      <c r="F94" s="1">
        <v>32.414000000000001</v>
      </c>
      <c r="G94" s="7">
        <v>1</v>
      </c>
      <c r="H94" s="1">
        <v>55</v>
      </c>
      <c r="I94" s="1" t="s">
        <v>37</v>
      </c>
      <c r="J94" s="1"/>
      <c r="K94" s="1">
        <v>19.649999999999999</v>
      </c>
      <c r="L94" s="1">
        <f t="shared" si="21"/>
        <v>0.49099999999999966</v>
      </c>
      <c r="M94" s="1">
        <f t="shared" si="22"/>
        <v>20.140999999999998</v>
      </c>
      <c r="N94" s="1"/>
      <c r="O94" s="1">
        <v>0</v>
      </c>
      <c r="P94" s="1"/>
      <c r="Q94" s="1"/>
      <c r="R94" s="1">
        <v>0</v>
      </c>
      <c r="S94" s="28"/>
      <c r="T94" s="21"/>
      <c r="U94" s="1"/>
      <c r="V94" s="28"/>
      <c r="W94" s="21"/>
      <c r="X94" s="21"/>
      <c r="Y94" s="1">
        <f t="shared" si="23"/>
        <v>4.0282</v>
      </c>
      <c r="Z94" s="5">
        <f>11.5*Y94-U94-R94-Q94-P94-O94-F94</f>
        <v>13.910299999999999</v>
      </c>
      <c r="AA94" s="5">
        <f t="shared" si="27"/>
        <v>13.910299999999999</v>
      </c>
      <c r="AB94" s="41"/>
      <c r="AC94" s="26"/>
      <c r="AD94" s="1">
        <f t="shared" si="24"/>
        <v>11.5</v>
      </c>
      <c r="AE94" s="1">
        <f t="shared" si="25"/>
        <v>8.0467702695993246</v>
      </c>
      <c r="AF94" s="1">
        <v>3.492</v>
      </c>
      <c r="AG94" s="1">
        <v>1.6095999999999999</v>
      </c>
      <c r="AH94" s="1">
        <v>2.2846000000000002</v>
      </c>
      <c r="AI94" s="1">
        <v>4.4762000000000004</v>
      </c>
      <c r="AJ94" s="1">
        <v>4.0706000000000007</v>
      </c>
      <c r="AK94" s="1">
        <v>5.3708</v>
      </c>
      <c r="AL94" s="1">
        <v>5.3708</v>
      </c>
      <c r="AM94" s="1">
        <v>3.2181999999999999</v>
      </c>
      <c r="AN94" s="1"/>
      <c r="AO94" s="1">
        <f t="shared" si="26"/>
        <v>14</v>
      </c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1" t="s">
        <v>141</v>
      </c>
      <c r="B95" s="11" t="s">
        <v>36</v>
      </c>
      <c r="C95" s="11">
        <v>-1.36</v>
      </c>
      <c r="D95" s="11"/>
      <c r="E95" s="11"/>
      <c r="F95" s="11">
        <v>-1.36</v>
      </c>
      <c r="G95" s="12">
        <v>0</v>
      </c>
      <c r="H95" s="11"/>
      <c r="I95" s="11" t="s">
        <v>53</v>
      </c>
      <c r="J95" s="11"/>
      <c r="K95" s="11"/>
      <c r="L95" s="11">
        <f t="shared" si="21"/>
        <v>0</v>
      </c>
      <c r="M95" s="11">
        <f t="shared" si="22"/>
        <v>0</v>
      </c>
      <c r="N95" s="11"/>
      <c r="O95" s="11">
        <v>0</v>
      </c>
      <c r="P95" s="11"/>
      <c r="Q95" s="11"/>
      <c r="R95" s="11">
        <v>0</v>
      </c>
      <c r="S95" s="30"/>
      <c r="T95" s="24"/>
      <c r="U95" s="11"/>
      <c r="V95" s="30"/>
      <c r="W95" s="24"/>
      <c r="X95" s="24"/>
      <c r="Y95" s="11">
        <f t="shared" si="23"/>
        <v>0</v>
      </c>
      <c r="Z95" s="13"/>
      <c r="AA95" s="5">
        <f t="shared" si="27"/>
        <v>0</v>
      </c>
      <c r="AB95" s="41"/>
      <c r="AC95" s="26"/>
      <c r="AD95" s="1" t="e">
        <f t="shared" si="24"/>
        <v>#DIV/0!</v>
      </c>
      <c r="AE95" s="11" t="e">
        <f t="shared" si="25"/>
        <v>#DIV/0!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/>
      <c r="AO95" s="1">
        <f t="shared" si="26"/>
        <v>0</v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1" t="s">
        <v>142</v>
      </c>
      <c r="B96" s="11" t="s">
        <v>36</v>
      </c>
      <c r="C96" s="11">
        <v>-2.5960000000000001</v>
      </c>
      <c r="D96" s="11"/>
      <c r="E96" s="11">
        <v>-0.43</v>
      </c>
      <c r="F96" s="11">
        <v>-3.9460000000000002</v>
      </c>
      <c r="G96" s="12">
        <v>0</v>
      </c>
      <c r="H96" s="11"/>
      <c r="I96" s="11" t="s">
        <v>53</v>
      </c>
      <c r="J96" s="11"/>
      <c r="K96" s="11">
        <v>5</v>
      </c>
      <c r="L96" s="11">
        <f t="shared" si="21"/>
        <v>-5.43</v>
      </c>
      <c r="M96" s="11">
        <f t="shared" si="22"/>
        <v>-0.43</v>
      </c>
      <c r="N96" s="11"/>
      <c r="O96" s="11">
        <v>0</v>
      </c>
      <c r="P96" s="11"/>
      <c r="Q96" s="11"/>
      <c r="R96" s="11">
        <v>0</v>
      </c>
      <c r="S96" s="30"/>
      <c r="T96" s="24"/>
      <c r="U96" s="11"/>
      <c r="V96" s="30"/>
      <c r="W96" s="24"/>
      <c r="X96" s="24"/>
      <c r="Y96" s="11">
        <f t="shared" si="23"/>
        <v>-8.5999999999999993E-2</v>
      </c>
      <c r="Z96" s="13"/>
      <c r="AA96" s="5">
        <f t="shared" si="27"/>
        <v>0</v>
      </c>
      <c r="AB96" s="41"/>
      <c r="AC96" s="26"/>
      <c r="AD96" s="1">
        <f t="shared" si="24"/>
        <v>45.883720930232563</v>
      </c>
      <c r="AE96" s="11">
        <f t="shared" si="25"/>
        <v>45.883720930232563</v>
      </c>
      <c r="AF96" s="11">
        <v>-8.5999999999999993E-2</v>
      </c>
      <c r="AG96" s="11">
        <v>0</v>
      </c>
      <c r="AH96" s="11">
        <v>-0.26900000000000002</v>
      </c>
      <c r="AI96" s="11">
        <v>-0.47220000000000012</v>
      </c>
      <c r="AJ96" s="11">
        <v>-0.20319999999999999</v>
      </c>
      <c r="AK96" s="11">
        <v>0</v>
      </c>
      <c r="AL96" s="11">
        <v>0</v>
      </c>
      <c r="AM96" s="11">
        <v>0.5484</v>
      </c>
      <c r="AN96" s="11"/>
      <c r="AO96" s="1">
        <f t="shared" si="26"/>
        <v>0</v>
      </c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143</v>
      </c>
      <c r="B97" s="1" t="s">
        <v>42</v>
      </c>
      <c r="C97" s="1">
        <v>-3</v>
      </c>
      <c r="D97" s="1"/>
      <c r="E97" s="1">
        <v>-2</v>
      </c>
      <c r="F97" s="1">
        <v>-5</v>
      </c>
      <c r="G97" s="7">
        <v>0.3</v>
      </c>
      <c r="H97" s="1">
        <v>40</v>
      </c>
      <c r="I97" s="10" t="s">
        <v>50</v>
      </c>
      <c r="J97" s="1"/>
      <c r="K97" s="1">
        <v>87</v>
      </c>
      <c r="L97" s="1">
        <f t="shared" si="21"/>
        <v>-89</v>
      </c>
      <c r="M97" s="1">
        <f t="shared" si="22"/>
        <v>-2</v>
      </c>
      <c r="N97" s="1"/>
      <c r="O97" s="1">
        <v>39</v>
      </c>
      <c r="P97" s="1">
        <v>-42</v>
      </c>
      <c r="Q97" s="1"/>
      <c r="R97" s="1">
        <v>40</v>
      </c>
      <c r="S97" s="28"/>
      <c r="T97" s="21"/>
      <c r="U97" s="1">
        <v>20</v>
      </c>
      <c r="V97" s="28"/>
      <c r="W97" s="21"/>
      <c r="X97" s="21"/>
      <c r="Y97" s="1">
        <f t="shared" si="23"/>
        <v>-0.4</v>
      </c>
      <c r="Z97" s="5">
        <v>50</v>
      </c>
      <c r="AA97" s="5">
        <f t="shared" si="27"/>
        <v>50</v>
      </c>
      <c r="AB97" s="41"/>
      <c r="AC97" s="26"/>
      <c r="AD97" s="1">
        <f t="shared" si="24"/>
        <v>-255</v>
      </c>
      <c r="AE97" s="1">
        <f t="shared" si="25"/>
        <v>-130</v>
      </c>
      <c r="AF97" s="1">
        <v>0</v>
      </c>
      <c r="AG97" s="1">
        <v>-0.2</v>
      </c>
      <c r="AH97" s="1">
        <v>-0.6</v>
      </c>
      <c r="AI97" s="1">
        <v>-0.4</v>
      </c>
      <c r="AJ97" s="1">
        <v>-0.8</v>
      </c>
      <c r="AK97" s="1">
        <v>0</v>
      </c>
      <c r="AL97" s="1">
        <v>0</v>
      </c>
      <c r="AM97" s="1">
        <v>8.4</v>
      </c>
      <c r="AN97" s="1"/>
      <c r="AO97" s="1">
        <f t="shared" si="26"/>
        <v>15</v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144</v>
      </c>
      <c r="B98" s="1" t="s">
        <v>42</v>
      </c>
      <c r="C98" s="1">
        <v>129</v>
      </c>
      <c r="D98" s="1"/>
      <c r="E98" s="1">
        <v>44</v>
      </c>
      <c r="F98" s="1">
        <v>77</v>
      </c>
      <c r="G98" s="7">
        <v>0.3</v>
      </c>
      <c r="H98" s="1">
        <v>40</v>
      </c>
      <c r="I98" s="1" t="s">
        <v>37</v>
      </c>
      <c r="J98" s="1"/>
      <c r="K98" s="1">
        <v>46</v>
      </c>
      <c r="L98" s="1">
        <f t="shared" si="21"/>
        <v>-2</v>
      </c>
      <c r="M98" s="1">
        <f t="shared" si="22"/>
        <v>44</v>
      </c>
      <c r="N98" s="1"/>
      <c r="O98" s="1">
        <v>0</v>
      </c>
      <c r="P98" s="1"/>
      <c r="Q98" s="1"/>
      <c r="R98" s="1">
        <v>0</v>
      </c>
      <c r="S98" s="28"/>
      <c r="T98" s="21"/>
      <c r="U98" s="1"/>
      <c r="V98" s="28"/>
      <c r="W98" s="21"/>
      <c r="X98" s="21"/>
      <c r="Y98" s="1">
        <f t="shared" si="23"/>
        <v>8.8000000000000007</v>
      </c>
      <c r="Z98" s="5">
        <f>10.5*Y98-U98-R98-Q98-P98-O98-F98</f>
        <v>15.400000000000006</v>
      </c>
      <c r="AA98" s="5">
        <f t="shared" si="27"/>
        <v>15.400000000000006</v>
      </c>
      <c r="AB98" s="41"/>
      <c r="AC98" s="26"/>
      <c r="AD98" s="1">
        <f t="shared" si="24"/>
        <v>10.5</v>
      </c>
      <c r="AE98" s="1">
        <f t="shared" si="25"/>
        <v>8.75</v>
      </c>
      <c r="AF98" s="1">
        <v>6</v>
      </c>
      <c r="AG98" s="1">
        <v>1.6</v>
      </c>
      <c r="AH98" s="1">
        <v>2.2000000000000002</v>
      </c>
      <c r="AI98" s="1">
        <v>6.8</v>
      </c>
      <c r="AJ98" s="1">
        <v>8.1999999999999993</v>
      </c>
      <c r="AK98" s="1">
        <v>7.8</v>
      </c>
      <c r="AL98" s="1">
        <v>7.8</v>
      </c>
      <c r="AM98" s="1">
        <v>17.2</v>
      </c>
      <c r="AN98" s="1"/>
      <c r="AO98" s="1">
        <f t="shared" si="26"/>
        <v>5</v>
      </c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145</v>
      </c>
      <c r="B99" s="1" t="s">
        <v>42</v>
      </c>
      <c r="C99" s="1">
        <v>31</v>
      </c>
      <c r="D99" s="1">
        <v>1</v>
      </c>
      <c r="E99" s="1">
        <v>15</v>
      </c>
      <c r="F99" s="1">
        <v>16</v>
      </c>
      <c r="G99" s="7">
        <v>7.0000000000000007E-2</v>
      </c>
      <c r="H99" s="1">
        <v>90</v>
      </c>
      <c r="I99" s="10" t="s">
        <v>50</v>
      </c>
      <c r="J99" s="1"/>
      <c r="K99" s="1">
        <v>392</v>
      </c>
      <c r="L99" s="1">
        <f t="shared" si="21"/>
        <v>-377</v>
      </c>
      <c r="M99" s="1">
        <f t="shared" si="22"/>
        <v>15</v>
      </c>
      <c r="N99" s="1"/>
      <c r="O99" s="1">
        <v>0</v>
      </c>
      <c r="P99" s="1"/>
      <c r="Q99" s="1"/>
      <c r="R99" s="1">
        <v>50</v>
      </c>
      <c r="S99" s="28"/>
      <c r="T99" s="21"/>
      <c r="U99" s="1">
        <v>25</v>
      </c>
      <c r="V99" s="28"/>
      <c r="W99" s="21"/>
      <c r="X99" s="21"/>
      <c r="Y99" s="1">
        <f t="shared" si="23"/>
        <v>3</v>
      </c>
      <c r="Z99" s="5"/>
      <c r="AA99" s="5">
        <f t="shared" si="27"/>
        <v>0</v>
      </c>
      <c r="AB99" s="41"/>
      <c r="AC99" s="26"/>
      <c r="AD99" s="1">
        <f t="shared" si="24"/>
        <v>30.333333333333332</v>
      </c>
      <c r="AE99" s="1">
        <f t="shared" si="25"/>
        <v>30.333333333333332</v>
      </c>
      <c r="AF99" s="1">
        <v>4.8</v>
      </c>
      <c r="AG99" s="1">
        <v>17.399999999999999</v>
      </c>
      <c r="AH99" s="1">
        <v>32</v>
      </c>
      <c r="AI99" s="1">
        <v>45.8</v>
      </c>
      <c r="AJ99" s="1">
        <v>47.2</v>
      </c>
      <c r="AK99" s="1">
        <v>25.4</v>
      </c>
      <c r="AL99" s="1">
        <v>25.4</v>
      </c>
      <c r="AM99" s="1">
        <v>27.8</v>
      </c>
      <c r="AN99" s="1" t="s">
        <v>146</v>
      </c>
      <c r="AO99" s="1">
        <f t="shared" si="26"/>
        <v>0</v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147</v>
      </c>
      <c r="B100" s="1" t="s">
        <v>42</v>
      </c>
      <c r="C100" s="1">
        <v>-24</v>
      </c>
      <c r="D100" s="1">
        <v>337</v>
      </c>
      <c r="E100" s="1">
        <v>223</v>
      </c>
      <c r="F100" s="1">
        <v>57</v>
      </c>
      <c r="G100" s="7">
        <v>7.0000000000000007E-2</v>
      </c>
      <c r="H100" s="1">
        <v>90</v>
      </c>
      <c r="I100" s="10" t="s">
        <v>50</v>
      </c>
      <c r="J100" s="1"/>
      <c r="K100" s="1">
        <v>244</v>
      </c>
      <c r="L100" s="1">
        <f t="shared" si="21"/>
        <v>-21</v>
      </c>
      <c r="M100" s="1">
        <f t="shared" si="22"/>
        <v>223</v>
      </c>
      <c r="N100" s="1"/>
      <c r="O100" s="1">
        <v>0</v>
      </c>
      <c r="P100" s="1"/>
      <c r="Q100" s="1"/>
      <c r="R100" s="1">
        <v>150</v>
      </c>
      <c r="S100" s="28"/>
      <c r="T100" s="21"/>
      <c r="U100" s="1">
        <v>75</v>
      </c>
      <c r="V100" s="28"/>
      <c r="W100" s="21"/>
      <c r="X100" s="21"/>
      <c r="Y100" s="1">
        <f t="shared" si="23"/>
        <v>44.6</v>
      </c>
      <c r="Z100" s="5">
        <f>11.5*Y100-U100-R100-Q100-P100-O100-F100</f>
        <v>230.89999999999998</v>
      </c>
      <c r="AA100" s="5">
        <f t="shared" si="27"/>
        <v>230.89999999999998</v>
      </c>
      <c r="AB100" s="41"/>
      <c r="AC100" s="26"/>
      <c r="AD100" s="1">
        <f t="shared" si="24"/>
        <v>11.5</v>
      </c>
      <c r="AE100" s="1">
        <f t="shared" si="25"/>
        <v>6.3228699551569507</v>
      </c>
      <c r="AF100" s="1">
        <v>28.2</v>
      </c>
      <c r="AG100" s="1">
        <v>6.6</v>
      </c>
      <c r="AH100" s="1">
        <v>30</v>
      </c>
      <c r="AI100" s="1">
        <v>51.8</v>
      </c>
      <c r="AJ100" s="1">
        <v>48</v>
      </c>
      <c r="AK100" s="1">
        <v>27.6</v>
      </c>
      <c r="AL100" s="1">
        <v>27.6</v>
      </c>
      <c r="AM100" s="1">
        <v>32.200000000000003</v>
      </c>
      <c r="AN100" s="1" t="s">
        <v>148</v>
      </c>
      <c r="AO100" s="1">
        <f t="shared" si="26"/>
        <v>16</v>
      </c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149</v>
      </c>
      <c r="B101" s="1" t="s">
        <v>42</v>
      </c>
      <c r="C101" s="1">
        <v>-5</v>
      </c>
      <c r="D101" s="1">
        <v>145</v>
      </c>
      <c r="E101" s="1">
        <v>89</v>
      </c>
      <c r="F101" s="1">
        <v>41</v>
      </c>
      <c r="G101" s="7">
        <v>7.0000000000000007E-2</v>
      </c>
      <c r="H101" s="1">
        <v>90</v>
      </c>
      <c r="I101" s="10" t="s">
        <v>50</v>
      </c>
      <c r="J101" s="1"/>
      <c r="K101" s="1">
        <v>170</v>
      </c>
      <c r="L101" s="1">
        <f t="shared" si="21"/>
        <v>-81</v>
      </c>
      <c r="M101" s="1">
        <f t="shared" si="22"/>
        <v>89</v>
      </c>
      <c r="N101" s="1"/>
      <c r="O101" s="1">
        <v>130</v>
      </c>
      <c r="P101" s="1"/>
      <c r="Q101" s="1"/>
      <c r="R101" s="1">
        <v>50</v>
      </c>
      <c r="S101" s="28"/>
      <c r="T101" s="21"/>
      <c r="U101" s="1">
        <v>25</v>
      </c>
      <c r="V101" s="28"/>
      <c r="W101" s="21"/>
      <c r="X101" s="21"/>
      <c r="Y101" s="1">
        <f t="shared" si="23"/>
        <v>17.8</v>
      </c>
      <c r="Z101" s="5">
        <v>50</v>
      </c>
      <c r="AA101" s="5">
        <f t="shared" si="27"/>
        <v>50</v>
      </c>
      <c r="AB101" s="41"/>
      <c r="AC101" s="26"/>
      <c r="AD101" s="1">
        <f t="shared" si="24"/>
        <v>16.629213483146067</v>
      </c>
      <c r="AE101" s="1">
        <f t="shared" si="25"/>
        <v>13.820224719101123</v>
      </c>
      <c r="AF101" s="1">
        <v>18.2</v>
      </c>
      <c r="AG101" s="1">
        <v>23</v>
      </c>
      <c r="AH101" s="1">
        <v>39.200000000000003</v>
      </c>
      <c r="AI101" s="1">
        <v>42</v>
      </c>
      <c r="AJ101" s="1">
        <v>40.799999999999997</v>
      </c>
      <c r="AK101" s="1">
        <v>18.600000000000001</v>
      </c>
      <c r="AL101" s="1">
        <v>18.600000000000001</v>
      </c>
      <c r="AM101" s="1">
        <v>23.4</v>
      </c>
      <c r="AN101" s="1" t="s">
        <v>146</v>
      </c>
      <c r="AO101" s="1">
        <f t="shared" si="26"/>
        <v>4</v>
      </c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1" t="s">
        <v>150</v>
      </c>
      <c r="B102" s="11" t="s">
        <v>42</v>
      </c>
      <c r="C102" s="11">
        <v>4</v>
      </c>
      <c r="D102" s="11"/>
      <c r="E102" s="11">
        <v>-3</v>
      </c>
      <c r="F102" s="11">
        <v>4</v>
      </c>
      <c r="G102" s="12">
        <v>0</v>
      </c>
      <c r="H102" s="11">
        <v>90</v>
      </c>
      <c r="I102" s="11" t="s">
        <v>53</v>
      </c>
      <c r="J102" s="11"/>
      <c r="K102" s="11">
        <v>138</v>
      </c>
      <c r="L102" s="11">
        <f t="shared" ref="L102:L133" si="28">E102-K102</f>
        <v>-141</v>
      </c>
      <c r="M102" s="11">
        <f t="shared" ref="M102:M133" si="29">E102-N102</f>
        <v>-3</v>
      </c>
      <c r="N102" s="11"/>
      <c r="O102" s="11">
        <v>0</v>
      </c>
      <c r="P102" s="11"/>
      <c r="Q102" s="11"/>
      <c r="R102" s="11">
        <v>0</v>
      </c>
      <c r="S102" s="30"/>
      <c r="T102" s="24"/>
      <c r="U102" s="11"/>
      <c r="V102" s="30"/>
      <c r="W102" s="24"/>
      <c r="X102" s="24"/>
      <c r="Y102" s="11">
        <f t="shared" ref="Y102:Y137" si="30">M102/5</f>
        <v>-0.6</v>
      </c>
      <c r="Z102" s="13"/>
      <c r="AA102" s="5">
        <f t="shared" si="27"/>
        <v>0</v>
      </c>
      <c r="AB102" s="41"/>
      <c r="AC102" s="26"/>
      <c r="AD102" s="1">
        <f t="shared" ref="AD102:AD137" si="31">(F102+O102+P102+Q102+R102+U102+AA102)/Y102</f>
        <v>-6.666666666666667</v>
      </c>
      <c r="AE102" s="11">
        <f t="shared" ref="AE102:AE137" si="32">(F102+O102+P102+Q102+R102+U102)/Y102</f>
        <v>-6.666666666666667</v>
      </c>
      <c r="AF102" s="11">
        <v>-0.2</v>
      </c>
      <c r="AG102" s="11">
        <v>0</v>
      </c>
      <c r="AH102" s="11">
        <v>-0.2</v>
      </c>
      <c r="AI102" s="11">
        <v>-0.2</v>
      </c>
      <c r="AJ102" s="11">
        <v>0</v>
      </c>
      <c r="AK102" s="11">
        <v>-0.6</v>
      </c>
      <c r="AL102" s="11">
        <v>-0.6</v>
      </c>
      <c r="AM102" s="11">
        <v>-0.2</v>
      </c>
      <c r="AN102" s="11"/>
      <c r="AO102" s="1">
        <f t="shared" ref="AO102:AO137" si="33">ROUND(G102*AA102,0)</f>
        <v>0</v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151</v>
      </c>
      <c r="B103" s="1" t="s">
        <v>42</v>
      </c>
      <c r="C103" s="1">
        <v>11</v>
      </c>
      <c r="D103" s="1">
        <v>30</v>
      </c>
      <c r="E103" s="1">
        <v>12</v>
      </c>
      <c r="F103" s="1">
        <v>26</v>
      </c>
      <c r="G103" s="7">
        <v>0.3</v>
      </c>
      <c r="H103" s="1">
        <v>40</v>
      </c>
      <c r="I103" s="1" t="s">
        <v>37</v>
      </c>
      <c r="J103" s="1"/>
      <c r="K103" s="1">
        <v>51</v>
      </c>
      <c r="L103" s="1">
        <f t="shared" si="28"/>
        <v>-39</v>
      </c>
      <c r="M103" s="1">
        <f t="shared" si="29"/>
        <v>12</v>
      </c>
      <c r="N103" s="1"/>
      <c r="O103" s="1">
        <v>39.599999999999987</v>
      </c>
      <c r="P103" s="1"/>
      <c r="Q103" s="1"/>
      <c r="R103" s="1">
        <v>0</v>
      </c>
      <c r="S103" s="28"/>
      <c r="T103" s="21"/>
      <c r="U103" s="1"/>
      <c r="V103" s="28"/>
      <c r="W103" s="21"/>
      <c r="X103" s="21"/>
      <c r="Y103" s="1">
        <f t="shared" si="30"/>
        <v>2.4</v>
      </c>
      <c r="Z103" s="5"/>
      <c r="AA103" s="5">
        <f t="shared" si="27"/>
        <v>0</v>
      </c>
      <c r="AB103" s="41"/>
      <c r="AC103" s="26"/>
      <c r="AD103" s="1">
        <f t="shared" si="31"/>
        <v>27.333333333333332</v>
      </c>
      <c r="AE103" s="1">
        <f t="shared" si="32"/>
        <v>27.333333333333332</v>
      </c>
      <c r="AF103" s="1">
        <v>2.4</v>
      </c>
      <c r="AG103" s="1">
        <v>6.8</v>
      </c>
      <c r="AH103" s="1">
        <v>4.2</v>
      </c>
      <c r="AI103" s="1">
        <v>1.2</v>
      </c>
      <c r="AJ103" s="1">
        <v>3.4</v>
      </c>
      <c r="AK103" s="1">
        <v>3.8</v>
      </c>
      <c r="AL103" s="1">
        <v>3.8</v>
      </c>
      <c r="AM103" s="1">
        <v>0.6</v>
      </c>
      <c r="AN103" s="1"/>
      <c r="AO103" s="1">
        <f t="shared" si="33"/>
        <v>0</v>
      </c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152</v>
      </c>
      <c r="B104" s="1" t="s">
        <v>36</v>
      </c>
      <c r="C104" s="1">
        <v>-3.5110000000000001</v>
      </c>
      <c r="D104" s="1">
        <v>24.311</v>
      </c>
      <c r="E104" s="1">
        <v>15.821999999999999</v>
      </c>
      <c r="F104" s="1">
        <v>3.5840000000000001</v>
      </c>
      <c r="G104" s="7">
        <v>1</v>
      </c>
      <c r="H104" s="1">
        <v>55</v>
      </c>
      <c r="I104" s="10" t="s">
        <v>50</v>
      </c>
      <c r="J104" s="1"/>
      <c r="K104" s="1">
        <v>15.7</v>
      </c>
      <c r="L104" s="1">
        <f t="shared" si="28"/>
        <v>0.12199999999999989</v>
      </c>
      <c r="M104" s="1">
        <f t="shared" si="29"/>
        <v>15.821999999999999</v>
      </c>
      <c r="N104" s="1"/>
      <c r="O104" s="1">
        <v>0</v>
      </c>
      <c r="P104" s="1"/>
      <c r="Q104" s="1"/>
      <c r="R104" s="1">
        <v>10</v>
      </c>
      <c r="S104" s="28"/>
      <c r="T104" s="21"/>
      <c r="U104" s="1">
        <v>10</v>
      </c>
      <c r="V104" s="28"/>
      <c r="W104" s="21"/>
      <c r="X104" s="21"/>
      <c r="Y104" s="1">
        <f t="shared" si="30"/>
        <v>3.1643999999999997</v>
      </c>
      <c r="Z104" s="5">
        <f>11.5*Y104-U104-R104-Q104-P104-O104-F104</f>
        <v>12.8066</v>
      </c>
      <c r="AA104" s="5">
        <f t="shared" si="27"/>
        <v>12.8066</v>
      </c>
      <c r="AB104" s="41"/>
      <c r="AC104" s="26"/>
      <c r="AD104" s="1">
        <f t="shared" si="31"/>
        <v>11.500000000000002</v>
      </c>
      <c r="AE104" s="1">
        <f t="shared" si="32"/>
        <v>7.4529136645177605</v>
      </c>
      <c r="AF104" s="1">
        <v>1.3438000000000001</v>
      </c>
      <c r="AG104" s="1">
        <v>1.5089999999999999</v>
      </c>
      <c r="AH104" s="1">
        <v>4.0606</v>
      </c>
      <c r="AI104" s="1">
        <v>3.5045999999999999</v>
      </c>
      <c r="AJ104" s="1">
        <v>1.7738</v>
      </c>
      <c r="AK104" s="1">
        <v>2.5558000000000001</v>
      </c>
      <c r="AL104" s="1">
        <v>2.5558000000000001</v>
      </c>
      <c r="AM104" s="1">
        <v>1.869</v>
      </c>
      <c r="AN104" s="1"/>
      <c r="AO104" s="1">
        <f t="shared" si="33"/>
        <v>13</v>
      </c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153</v>
      </c>
      <c r="B105" s="1" t="s">
        <v>42</v>
      </c>
      <c r="C105" s="1">
        <v>481</v>
      </c>
      <c r="D105" s="1">
        <v>57</v>
      </c>
      <c r="E105" s="1">
        <v>141</v>
      </c>
      <c r="F105" s="1">
        <v>342</v>
      </c>
      <c r="G105" s="7">
        <v>0.11</v>
      </c>
      <c r="H105" s="1">
        <v>30</v>
      </c>
      <c r="I105" s="9" t="s">
        <v>45</v>
      </c>
      <c r="J105" s="1"/>
      <c r="K105" s="1">
        <v>394</v>
      </c>
      <c r="L105" s="1">
        <f t="shared" si="28"/>
        <v>-253</v>
      </c>
      <c r="M105" s="1">
        <f t="shared" si="29"/>
        <v>141</v>
      </c>
      <c r="N105" s="1"/>
      <c r="O105" s="1">
        <v>0</v>
      </c>
      <c r="P105" s="1"/>
      <c r="Q105" s="1"/>
      <c r="R105" s="1">
        <v>169.6</v>
      </c>
      <c r="S105" s="28"/>
      <c r="T105" s="21"/>
      <c r="U105" s="1"/>
      <c r="V105" s="28"/>
      <c r="W105" s="21"/>
      <c r="X105" s="21"/>
      <c r="Y105" s="1">
        <f t="shared" si="30"/>
        <v>28.2</v>
      </c>
      <c r="Z105" s="5"/>
      <c r="AA105" s="5">
        <f t="shared" si="27"/>
        <v>0</v>
      </c>
      <c r="AB105" s="41"/>
      <c r="AC105" s="26"/>
      <c r="AD105" s="1">
        <f t="shared" si="31"/>
        <v>18.141843971631207</v>
      </c>
      <c r="AE105" s="1">
        <f t="shared" si="32"/>
        <v>18.141843971631207</v>
      </c>
      <c r="AF105" s="1">
        <v>51.2</v>
      </c>
      <c r="AG105" s="1">
        <v>43.4</v>
      </c>
      <c r="AH105" s="1">
        <v>17</v>
      </c>
      <c r="AI105" s="1">
        <v>11.6</v>
      </c>
      <c r="AJ105" s="1">
        <v>20.399999999999999</v>
      </c>
      <c r="AK105" s="1">
        <v>18.600000000000001</v>
      </c>
      <c r="AL105" s="1">
        <v>20.6</v>
      </c>
      <c r="AM105" s="1">
        <v>12</v>
      </c>
      <c r="AN105" s="19" t="s">
        <v>192</v>
      </c>
      <c r="AO105" s="1">
        <f t="shared" si="33"/>
        <v>0</v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1" t="s">
        <v>154</v>
      </c>
      <c r="B106" s="11" t="s">
        <v>42</v>
      </c>
      <c r="C106" s="11"/>
      <c r="D106" s="11"/>
      <c r="E106" s="11"/>
      <c r="F106" s="11"/>
      <c r="G106" s="12">
        <v>0</v>
      </c>
      <c r="H106" s="11"/>
      <c r="I106" s="11" t="s">
        <v>37</v>
      </c>
      <c r="J106" s="11"/>
      <c r="K106" s="11"/>
      <c r="L106" s="11">
        <f t="shared" si="28"/>
        <v>0</v>
      </c>
      <c r="M106" s="11">
        <f t="shared" si="29"/>
        <v>0</v>
      </c>
      <c r="N106" s="11"/>
      <c r="O106" s="11">
        <v>0</v>
      </c>
      <c r="P106" s="11"/>
      <c r="Q106" s="11"/>
      <c r="R106" s="11">
        <v>0</v>
      </c>
      <c r="S106" s="30"/>
      <c r="T106" s="24"/>
      <c r="U106" s="11"/>
      <c r="V106" s="30"/>
      <c r="W106" s="24"/>
      <c r="X106" s="24"/>
      <c r="Y106" s="11">
        <f t="shared" si="30"/>
        <v>0</v>
      </c>
      <c r="Z106" s="13"/>
      <c r="AA106" s="5">
        <f t="shared" si="27"/>
        <v>0</v>
      </c>
      <c r="AB106" s="41"/>
      <c r="AC106" s="26"/>
      <c r="AD106" s="1" t="e">
        <f t="shared" si="31"/>
        <v>#DIV/0!</v>
      </c>
      <c r="AE106" s="11" t="e">
        <f t="shared" si="32"/>
        <v>#DIV/0!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 t="s">
        <v>59</v>
      </c>
      <c r="AO106" s="1">
        <f t="shared" si="33"/>
        <v>0</v>
      </c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155</v>
      </c>
      <c r="B107" s="1" t="s">
        <v>42</v>
      </c>
      <c r="C107" s="1">
        <v>183</v>
      </c>
      <c r="D107" s="1">
        <v>328</v>
      </c>
      <c r="E107" s="1">
        <v>467</v>
      </c>
      <c r="F107" s="1">
        <v>1</v>
      </c>
      <c r="G107" s="7">
        <v>0.08</v>
      </c>
      <c r="H107" s="1">
        <v>45</v>
      </c>
      <c r="I107" s="9" t="s">
        <v>45</v>
      </c>
      <c r="J107" s="1"/>
      <c r="K107" s="1">
        <v>509</v>
      </c>
      <c r="L107" s="1">
        <f t="shared" si="28"/>
        <v>-42</v>
      </c>
      <c r="M107" s="1">
        <f t="shared" si="29"/>
        <v>467</v>
      </c>
      <c r="N107" s="1"/>
      <c r="O107" s="1">
        <v>541.80000000000018</v>
      </c>
      <c r="P107" s="1"/>
      <c r="Q107" s="1"/>
      <c r="R107" s="1">
        <v>169.7</v>
      </c>
      <c r="S107" s="28"/>
      <c r="T107" s="21"/>
      <c r="U107" s="1"/>
      <c r="V107" s="28"/>
      <c r="W107" s="21"/>
      <c r="X107" s="21"/>
      <c r="Y107" s="1">
        <f t="shared" si="30"/>
        <v>93.4</v>
      </c>
      <c r="Z107" s="5">
        <f>11*Y107-U107-R107-Q107-P107-O107-F107</f>
        <v>314.89999999999986</v>
      </c>
      <c r="AA107" s="5">
        <f t="shared" si="27"/>
        <v>314.89999999999986</v>
      </c>
      <c r="AB107" s="41"/>
      <c r="AC107" s="26"/>
      <c r="AD107" s="1">
        <f t="shared" si="31"/>
        <v>11</v>
      </c>
      <c r="AE107" s="1">
        <f t="shared" si="32"/>
        <v>7.6284796573875822</v>
      </c>
      <c r="AF107" s="1">
        <v>89.4</v>
      </c>
      <c r="AG107" s="1">
        <v>91.2</v>
      </c>
      <c r="AH107" s="1">
        <v>65.8</v>
      </c>
      <c r="AI107" s="1">
        <v>55.2</v>
      </c>
      <c r="AJ107" s="1">
        <v>52</v>
      </c>
      <c r="AK107" s="1">
        <v>41</v>
      </c>
      <c r="AL107" s="1">
        <v>41</v>
      </c>
      <c r="AM107" s="1">
        <v>42.2</v>
      </c>
      <c r="AN107" s="1" t="s">
        <v>156</v>
      </c>
      <c r="AO107" s="1">
        <f t="shared" si="33"/>
        <v>25</v>
      </c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157</v>
      </c>
      <c r="B108" s="1" t="s">
        <v>42</v>
      </c>
      <c r="C108" s="1">
        <v>558</v>
      </c>
      <c r="D108" s="1">
        <v>38</v>
      </c>
      <c r="E108" s="1">
        <v>434</v>
      </c>
      <c r="F108" s="1">
        <v>126</v>
      </c>
      <c r="G108" s="7">
        <v>0.08</v>
      </c>
      <c r="H108" s="1">
        <v>45</v>
      </c>
      <c r="I108" s="9" t="s">
        <v>45</v>
      </c>
      <c r="J108" s="1"/>
      <c r="K108" s="1">
        <v>458</v>
      </c>
      <c r="L108" s="1">
        <f t="shared" si="28"/>
        <v>-24</v>
      </c>
      <c r="M108" s="1">
        <f t="shared" si="29"/>
        <v>434</v>
      </c>
      <c r="N108" s="1"/>
      <c r="O108" s="1">
        <v>336</v>
      </c>
      <c r="P108" s="1"/>
      <c r="Q108" s="1"/>
      <c r="R108" s="1">
        <v>88.391199999999998</v>
      </c>
      <c r="S108" s="28"/>
      <c r="T108" s="21"/>
      <c r="U108" s="1">
        <v>162.00880000000001</v>
      </c>
      <c r="V108" s="28"/>
      <c r="W108" s="21"/>
      <c r="X108" s="21"/>
      <c r="Y108" s="1">
        <f t="shared" si="30"/>
        <v>86.8</v>
      </c>
      <c r="Z108" s="5">
        <f>11*Y108-U108-R108-Q108-P108-O108-F108</f>
        <v>242.39999999999986</v>
      </c>
      <c r="AA108" s="5">
        <f t="shared" si="27"/>
        <v>242.39999999999986</v>
      </c>
      <c r="AB108" s="41"/>
      <c r="AC108" s="26"/>
      <c r="AD108" s="1">
        <f t="shared" si="31"/>
        <v>11</v>
      </c>
      <c r="AE108" s="1">
        <f t="shared" si="32"/>
        <v>8.2073732718894021</v>
      </c>
      <c r="AF108" s="1">
        <v>88.8</v>
      </c>
      <c r="AG108" s="1">
        <v>80</v>
      </c>
      <c r="AH108" s="1">
        <v>44.6</v>
      </c>
      <c r="AI108" s="1">
        <v>42</v>
      </c>
      <c r="AJ108" s="1">
        <v>44.6</v>
      </c>
      <c r="AK108" s="1">
        <v>41.6</v>
      </c>
      <c r="AL108" s="1">
        <v>41.6</v>
      </c>
      <c r="AM108" s="1">
        <v>22.6</v>
      </c>
      <c r="AN108" s="1" t="s">
        <v>158</v>
      </c>
      <c r="AO108" s="1">
        <f t="shared" si="33"/>
        <v>19</v>
      </c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159</v>
      </c>
      <c r="B109" s="1" t="s">
        <v>42</v>
      </c>
      <c r="C109" s="1">
        <v>356</v>
      </c>
      <c r="D109" s="1">
        <v>45</v>
      </c>
      <c r="E109" s="1">
        <v>140</v>
      </c>
      <c r="F109" s="1">
        <v>206</v>
      </c>
      <c r="G109" s="7">
        <v>0.17</v>
      </c>
      <c r="H109" s="1">
        <v>30</v>
      </c>
      <c r="I109" s="9" t="s">
        <v>45</v>
      </c>
      <c r="J109" s="1"/>
      <c r="K109" s="1">
        <v>366</v>
      </c>
      <c r="L109" s="1">
        <f t="shared" si="28"/>
        <v>-226</v>
      </c>
      <c r="M109" s="1">
        <f t="shared" si="29"/>
        <v>140</v>
      </c>
      <c r="N109" s="1"/>
      <c r="O109" s="1">
        <v>177.4</v>
      </c>
      <c r="P109" s="1"/>
      <c r="Q109" s="1"/>
      <c r="R109" s="1">
        <v>78.799999999999955</v>
      </c>
      <c r="S109" s="28"/>
      <c r="T109" s="21"/>
      <c r="U109" s="1"/>
      <c r="V109" s="28"/>
      <c r="W109" s="21"/>
      <c r="X109" s="21"/>
      <c r="Y109" s="1">
        <f t="shared" si="30"/>
        <v>28</v>
      </c>
      <c r="Z109" s="5"/>
      <c r="AA109" s="5">
        <f t="shared" si="27"/>
        <v>0</v>
      </c>
      <c r="AB109" s="41"/>
      <c r="AC109" s="26"/>
      <c r="AD109" s="1">
        <f t="shared" si="31"/>
        <v>16.507142857142856</v>
      </c>
      <c r="AE109" s="1">
        <f t="shared" si="32"/>
        <v>16.507142857142856</v>
      </c>
      <c r="AF109" s="1">
        <v>48.4</v>
      </c>
      <c r="AG109" s="1">
        <v>49.4</v>
      </c>
      <c r="AH109" s="1">
        <v>25.6</v>
      </c>
      <c r="AI109" s="1">
        <v>19.2</v>
      </c>
      <c r="AJ109" s="1">
        <v>25.8</v>
      </c>
      <c r="AK109" s="1">
        <v>16.2</v>
      </c>
      <c r="AL109" s="1">
        <v>16.2</v>
      </c>
      <c r="AM109" s="1">
        <v>20.6</v>
      </c>
      <c r="AN109" s="19" t="s">
        <v>192</v>
      </c>
      <c r="AO109" s="1">
        <f t="shared" si="33"/>
        <v>0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160</v>
      </c>
      <c r="B110" s="1" t="s">
        <v>36</v>
      </c>
      <c r="C110" s="1">
        <v>142.02199999999999</v>
      </c>
      <c r="D110" s="1">
        <v>268.24299999999999</v>
      </c>
      <c r="E110" s="1">
        <v>401.673</v>
      </c>
      <c r="F110" s="1">
        <v>-16.739000000000001</v>
      </c>
      <c r="G110" s="7">
        <v>1</v>
      </c>
      <c r="H110" s="1">
        <v>40</v>
      </c>
      <c r="I110" s="10" t="s">
        <v>50</v>
      </c>
      <c r="J110" s="1"/>
      <c r="K110" s="1">
        <v>450.12</v>
      </c>
      <c r="L110" s="1">
        <f t="shared" si="28"/>
        <v>-48.447000000000003</v>
      </c>
      <c r="M110" s="1">
        <f t="shared" si="29"/>
        <v>394.44</v>
      </c>
      <c r="N110" s="1">
        <v>7.2329999999999997</v>
      </c>
      <c r="O110" s="1">
        <v>65</v>
      </c>
      <c r="P110" s="1"/>
      <c r="Q110" s="1"/>
      <c r="R110" s="1">
        <v>500</v>
      </c>
      <c r="S110" s="28"/>
      <c r="T110" s="21"/>
      <c r="U110" s="1">
        <v>250</v>
      </c>
      <c r="V110" s="28"/>
      <c r="W110" s="21"/>
      <c r="X110" s="21"/>
      <c r="Y110" s="1">
        <f t="shared" si="30"/>
        <v>78.888000000000005</v>
      </c>
      <c r="Z110" s="5">
        <f>11.5*Y110-U110-R110-Q110-P110-O110-F110</f>
        <v>108.95100000000011</v>
      </c>
      <c r="AA110" s="5">
        <f t="shared" si="27"/>
        <v>108.95100000000011</v>
      </c>
      <c r="AB110" s="41"/>
      <c r="AC110" s="26"/>
      <c r="AD110" s="1">
        <f t="shared" si="31"/>
        <v>11.5</v>
      </c>
      <c r="AE110" s="1">
        <f t="shared" si="32"/>
        <v>10.118915424399146</v>
      </c>
      <c r="AF110" s="1">
        <v>74.961399999999998</v>
      </c>
      <c r="AG110" s="1">
        <v>27.752199999999998</v>
      </c>
      <c r="AH110" s="1">
        <v>9.1273999999999997</v>
      </c>
      <c r="AI110" s="1">
        <v>22.7928</v>
      </c>
      <c r="AJ110" s="1">
        <v>34.8264</v>
      </c>
      <c r="AK110" s="1">
        <v>42.7742</v>
      </c>
      <c r="AL110" s="1">
        <v>42.7742</v>
      </c>
      <c r="AM110" s="1">
        <v>44.640799999999999</v>
      </c>
      <c r="AN110" s="1"/>
      <c r="AO110" s="1">
        <f t="shared" si="33"/>
        <v>109</v>
      </c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161</v>
      </c>
      <c r="B111" s="1" t="s">
        <v>36</v>
      </c>
      <c r="C111" s="1">
        <v>21.824000000000002</v>
      </c>
      <c r="D111" s="1">
        <v>316.726</v>
      </c>
      <c r="E111" s="1">
        <v>185.23500000000001</v>
      </c>
      <c r="F111" s="1">
        <v>116.304</v>
      </c>
      <c r="G111" s="7">
        <v>1</v>
      </c>
      <c r="H111" s="1">
        <v>40</v>
      </c>
      <c r="I111" s="10" t="s">
        <v>50</v>
      </c>
      <c r="J111" s="1"/>
      <c r="K111" s="1">
        <v>203.08699999999999</v>
      </c>
      <c r="L111" s="1">
        <f t="shared" si="28"/>
        <v>-17.851999999999975</v>
      </c>
      <c r="M111" s="1">
        <f t="shared" si="29"/>
        <v>181.602</v>
      </c>
      <c r="N111" s="1">
        <v>3.633</v>
      </c>
      <c r="O111" s="1">
        <v>0</v>
      </c>
      <c r="P111" s="1"/>
      <c r="Q111" s="1"/>
      <c r="R111" s="1">
        <v>115.2306</v>
      </c>
      <c r="S111" s="28"/>
      <c r="T111" s="21"/>
      <c r="U111" s="1">
        <v>57.615299999999998</v>
      </c>
      <c r="V111" s="28"/>
      <c r="W111" s="21"/>
      <c r="X111" s="21"/>
      <c r="Y111" s="1">
        <f t="shared" si="30"/>
        <v>36.320399999999999</v>
      </c>
      <c r="Z111" s="5">
        <f>11.5*Y111-U111-R111-Q111-P111-O111-F111</f>
        <v>128.53470000000002</v>
      </c>
      <c r="AA111" s="5">
        <f t="shared" si="27"/>
        <v>128.53470000000002</v>
      </c>
      <c r="AB111" s="41"/>
      <c r="AC111" s="26"/>
      <c r="AD111" s="1">
        <f t="shared" si="31"/>
        <v>11.500000000000002</v>
      </c>
      <c r="AE111" s="1">
        <f t="shared" si="32"/>
        <v>7.9610879836125159</v>
      </c>
      <c r="AF111" s="1">
        <v>32.119199999999999</v>
      </c>
      <c r="AG111" s="1">
        <v>27.328199999999999</v>
      </c>
      <c r="AH111" s="1">
        <v>22.582599999999999</v>
      </c>
      <c r="AI111" s="1">
        <v>18.3916</v>
      </c>
      <c r="AJ111" s="1">
        <v>16.235600000000002</v>
      </c>
      <c r="AK111" s="1">
        <v>17.161000000000001</v>
      </c>
      <c r="AL111" s="1">
        <v>17.161000000000001</v>
      </c>
      <c r="AM111" s="1">
        <v>14.714</v>
      </c>
      <c r="AN111" s="1"/>
      <c r="AO111" s="1">
        <f t="shared" si="33"/>
        <v>129</v>
      </c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162</v>
      </c>
      <c r="B112" s="1" t="s">
        <v>36</v>
      </c>
      <c r="C112" s="1">
        <v>-8.6039999999999992</v>
      </c>
      <c r="D112" s="1"/>
      <c r="E112" s="1">
        <v>-4.2430000000000003</v>
      </c>
      <c r="F112" s="1">
        <v>-8.6039999999999992</v>
      </c>
      <c r="G112" s="7">
        <v>1</v>
      </c>
      <c r="H112" s="1">
        <v>40</v>
      </c>
      <c r="I112" s="10" t="s">
        <v>50</v>
      </c>
      <c r="J112" s="1"/>
      <c r="K112" s="1">
        <v>26.6</v>
      </c>
      <c r="L112" s="1">
        <f t="shared" si="28"/>
        <v>-30.843000000000004</v>
      </c>
      <c r="M112" s="1">
        <f t="shared" si="29"/>
        <v>-4.2430000000000003</v>
      </c>
      <c r="N112" s="1"/>
      <c r="O112" s="1">
        <v>130</v>
      </c>
      <c r="P112" s="1">
        <v>-133</v>
      </c>
      <c r="Q112" s="1"/>
      <c r="R112" s="1">
        <v>50</v>
      </c>
      <c r="S112" s="28"/>
      <c r="T112" s="21"/>
      <c r="U112" s="1">
        <v>25</v>
      </c>
      <c r="V112" s="28"/>
      <c r="W112" s="21"/>
      <c r="X112" s="21"/>
      <c r="Y112" s="1">
        <f t="shared" si="30"/>
        <v>-0.84860000000000002</v>
      </c>
      <c r="Z112" s="5">
        <v>50</v>
      </c>
      <c r="AA112" s="5">
        <f t="shared" si="27"/>
        <v>50</v>
      </c>
      <c r="AB112" s="41"/>
      <c r="AC112" s="26"/>
      <c r="AD112" s="1">
        <f t="shared" si="31"/>
        <v>-133.62715060098986</v>
      </c>
      <c r="AE112" s="1">
        <f t="shared" si="32"/>
        <v>-74.706575536177226</v>
      </c>
      <c r="AF112" s="1">
        <v>-0.99199999999999999</v>
      </c>
      <c r="AG112" s="1">
        <v>-0.2918</v>
      </c>
      <c r="AH112" s="1">
        <v>0.2772</v>
      </c>
      <c r="AI112" s="1">
        <v>6.3255999999999997</v>
      </c>
      <c r="AJ112" s="1">
        <v>28.129000000000001</v>
      </c>
      <c r="AK112" s="1">
        <v>43.2318</v>
      </c>
      <c r="AL112" s="1">
        <v>47.453200000000002</v>
      </c>
      <c r="AM112" s="1">
        <v>41.672199999999997</v>
      </c>
      <c r="AN112" s="1"/>
      <c r="AO112" s="1">
        <f t="shared" si="33"/>
        <v>50</v>
      </c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163</v>
      </c>
      <c r="B113" s="1" t="s">
        <v>42</v>
      </c>
      <c r="C113" s="1">
        <v>30</v>
      </c>
      <c r="D113" s="1">
        <v>2</v>
      </c>
      <c r="E113" s="1">
        <v>25</v>
      </c>
      <c r="F113" s="1">
        <v>6</v>
      </c>
      <c r="G113" s="7">
        <v>0.3</v>
      </c>
      <c r="H113" s="1">
        <v>45</v>
      </c>
      <c r="I113" s="1" t="s">
        <v>37</v>
      </c>
      <c r="J113" s="1"/>
      <c r="K113" s="1">
        <v>98</v>
      </c>
      <c r="L113" s="1">
        <f t="shared" si="28"/>
        <v>-73</v>
      </c>
      <c r="M113" s="1">
        <f t="shared" si="29"/>
        <v>25</v>
      </c>
      <c r="N113" s="1"/>
      <c r="O113" s="1">
        <v>53</v>
      </c>
      <c r="P113" s="1"/>
      <c r="Q113" s="1"/>
      <c r="R113" s="1">
        <v>54.7</v>
      </c>
      <c r="S113" s="28"/>
      <c r="T113" s="21"/>
      <c r="U113" s="1"/>
      <c r="V113" s="28"/>
      <c r="W113" s="21"/>
      <c r="X113" s="21"/>
      <c r="Y113" s="1">
        <f t="shared" si="30"/>
        <v>5</v>
      </c>
      <c r="Z113" s="5"/>
      <c r="AA113" s="5">
        <f t="shared" si="27"/>
        <v>0</v>
      </c>
      <c r="AB113" s="41"/>
      <c r="AC113" s="26"/>
      <c r="AD113" s="1">
        <f t="shared" si="31"/>
        <v>22.740000000000002</v>
      </c>
      <c r="AE113" s="1">
        <f t="shared" si="32"/>
        <v>22.740000000000002</v>
      </c>
      <c r="AF113" s="1">
        <v>11.4</v>
      </c>
      <c r="AG113" s="1">
        <v>8.1999999999999993</v>
      </c>
      <c r="AH113" s="1">
        <v>0.4</v>
      </c>
      <c r="AI113" s="1">
        <v>1.2</v>
      </c>
      <c r="AJ113" s="1">
        <v>8.4</v>
      </c>
      <c r="AK113" s="1">
        <v>2</v>
      </c>
      <c r="AL113" s="1">
        <v>2</v>
      </c>
      <c r="AM113" s="1">
        <v>3.2</v>
      </c>
      <c r="AN113" s="1"/>
      <c r="AO113" s="1">
        <f t="shared" si="33"/>
        <v>0</v>
      </c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164</v>
      </c>
      <c r="B114" s="1" t="s">
        <v>36</v>
      </c>
      <c r="C114" s="1">
        <v>12.627000000000001</v>
      </c>
      <c r="D114" s="1">
        <v>1.375</v>
      </c>
      <c r="E114" s="1">
        <v>2.7189999999999999</v>
      </c>
      <c r="F114" s="1">
        <v>9.9079999999999995</v>
      </c>
      <c r="G114" s="7">
        <v>1</v>
      </c>
      <c r="H114" s="1">
        <v>55</v>
      </c>
      <c r="I114" s="1" t="s">
        <v>37</v>
      </c>
      <c r="J114" s="1"/>
      <c r="K114" s="1">
        <v>4.0999999999999996</v>
      </c>
      <c r="L114" s="1">
        <f t="shared" si="28"/>
        <v>-1.3809999999999998</v>
      </c>
      <c r="M114" s="1">
        <f t="shared" si="29"/>
        <v>2.7189999999999999</v>
      </c>
      <c r="N114" s="1"/>
      <c r="O114" s="1">
        <v>4</v>
      </c>
      <c r="P114" s="1"/>
      <c r="Q114" s="1"/>
      <c r="R114" s="1">
        <v>0</v>
      </c>
      <c r="S114" s="28"/>
      <c r="T114" s="21"/>
      <c r="U114" s="1"/>
      <c r="V114" s="28"/>
      <c r="W114" s="21"/>
      <c r="X114" s="21"/>
      <c r="Y114" s="1">
        <f t="shared" si="30"/>
        <v>0.54379999999999995</v>
      </c>
      <c r="Z114" s="5"/>
      <c r="AA114" s="5">
        <f t="shared" si="27"/>
        <v>0</v>
      </c>
      <c r="AB114" s="41"/>
      <c r="AC114" s="26"/>
      <c r="AD114" s="1">
        <f t="shared" si="31"/>
        <v>25.575579257079809</v>
      </c>
      <c r="AE114" s="1">
        <f t="shared" si="32"/>
        <v>25.575579257079809</v>
      </c>
      <c r="AF114" s="1">
        <v>0.54379999999999995</v>
      </c>
      <c r="AG114" s="1">
        <v>1.0960000000000001</v>
      </c>
      <c r="AH114" s="1">
        <v>1.0960000000000001</v>
      </c>
      <c r="AI114" s="1">
        <v>0.27679999999999999</v>
      </c>
      <c r="AJ114" s="1">
        <v>0.27679999999999999</v>
      </c>
      <c r="AK114" s="1">
        <v>0.55199999999999994</v>
      </c>
      <c r="AL114" s="1">
        <v>0.55199999999999994</v>
      </c>
      <c r="AM114" s="1">
        <v>0</v>
      </c>
      <c r="AN114" s="17" t="s">
        <v>100</v>
      </c>
      <c r="AO114" s="1">
        <f t="shared" si="33"/>
        <v>0</v>
      </c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165</v>
      </c>
      <c r="B115" s="1" t="s">
        <v>42</v>
      </c>
      <c r="C115" s="1">
        <v>266</v>
      </c>
      <c r="D115" s="1">
        <v>346</v>
      </c>
      <c r="E115" s="1">
        <v>505</v>
      </c>
      <c r="F115" s="1">
        <v>64</v>
      </c>
      <c r="G115" s="7">
        <v>0.28000000000000003</v>
      </c>
      <c r="H115" s="1">
        <v>40</v>
      </c>
      <c r="I115" s="10" t="s">
        <v>50</v>
      </c>
      <c r="J115" s="1"/>
      <c r="K115" s="1">
        <v>598</v>
      </c>
      <c r="L115" s="1">
        <f t="shared" si="28"/>
        <v>-93</v>
      </c>
      <c r="M115" s="1">
        <f t="shared" si="29"/>
        <v>505</v>
      </c>
      <c r="N115" s="1"/>
      <c r="O115" s="1">
        <v>195</v>
      </c>
      <c r="P115" s="1"/>
      <c r="Q115" s="1"/>
      <c r="R115" s="1">
        <v>700</v>
      </c>
      <c r="S115" s="28"/>
      <c r="T115" s="21"/>
      <c r="U115" s="1">
        <v>350</v>
      </c>
      <c r="V115" s="28"/>
      <c r="W115" s="21"/>
      <c r="X115" s="21"/>
      <c r="Y115" s="1">
        <f t="shared" si="30"/>
        <v>101</v>
      </c>
      <c r="Z115" s="5">
        <v>100</v>
      </c>
      <c r="AA115" s="5">
        <f t="shared" si="27"/>
        <v>100</v>
      </c>
      <c r="AB115" s="41"/>
      <c r="AC115" s="26"/>
      <c r="AD115" s="1">
        <f t="shared" si="31"/>
        <v>13.950495049504951</v>
      </c>
      <c r="AE115" s="1">
        <f t="shared" si="32"/>
        <v>12.96039603960396</v>
      </c>
      <c r="AF115" s="1">
        <v>125.4</v>
      </c>
      <c r="AG115" s="1">
        <v>60.4</v>
      </c>
      <c r="AH115" s="1">
        <v>3.4</v>
      </c>
      <c r="AI115" s="1">
        <v>27.6</v>
      </c>
      <c r="AJ115" s="1">
        <v>72.8</v>
      </c>
      <c r="AK115" s="1">
        <v>76.599999999999994</v>
      </c>
      <c r="AL115" s="1">
        <v>78.2</v>
      </c>
      <c r="AM115" s="1">
        <v>70.2</v>
      </c>
      <c r="AN115" s="1"/>
      <c r="AO115" s="1">
        <f t="shared" si="33"/>
        <v>28</v>
      </c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166</v>
      </c>
      <c r="B116" s="1" t="s">
        <v>42</v>
      </c>
      <c r="C116" s="1">
        <v>-8.2739999999999991</v>
      </c>
      <c r="D116" s="1">
        <v>199</v>
      </c>
      <c r="E116" s="1">
        <v>184</v>
      </c>
      <c r="F116" s="1">
        <v>-10.273999999999999</v>
      </c>
      <c r="G116" s="7">
        <v>0.28000000000000003</v>
      </c>
      <c r="H116" s="1">
        <v>40</v>
      </c>
      <c r="I116" s="10" t="s">
        <v>50</v>
      </c>
      <c r="J116" s="1"/>
      <c r="K116" s="1">
        <v>295</v>
      </c>
      <c r="L116" s="1">
        <f t="shared" si="28"/>
        <v>-111</v>
      </c>
      <c r="M116" s="1">
        <f t="shared" si="29"/>
        <v>184</v>
      </c>
      <c r="N116" s="1"/>
      <c r="O116" s="1">
        <v>200</v>
      </c>
      <c r="P116" s="1"/>
      <c r="Q116" s="1"/>
      <c r="R116" s="1">
        <v>200</v>
      </c>
      <c r="S116" s="28"/>
      <c r="T116" s="21"/>
      <c r="U116" s="1">
        <v>50</v>
      </c>
      <c r="V116" s="28"/>
      <c r="W116" s="21"/>
      <c r="X116" s="21"/>
      <c r="Y116" s="1">
        <f t="shared" si="30"/>
        <v>36.799999999999997</v>
      </c>
      <c r="Z116" s="5">
        <v>30</v>
      </c>
      <c r="AA116" s="5">
        <f t="shared" si="27"/>
        <v>30</v>
      </c>
      <c r="AB116" s="41"/>
      <c r="AC116" s="26"/>
      <c r="AD116" s="1">
        <f t="shared" si="31"/>
        <v>12.764293478260871</v>
      </c>
      <c r="AE116" s="1">
        <f t="shared" si="32"/>
        <v>11.949076086956522</v>
      </c>
      <c r="AF116" s="1">
        <v>31.8</v>
      </c>
      <c r="AG116" s="1">
        <v>27.2</v>
      </c>
      <c r="AH116" s="1">
        <v>0.6</v>
      </c>
      <c r="AI116" s="1">
        <v>0</v>
      </c>
      <c r="AJ116" s="1">
        <v>-0.8</v>
      </c>
      <c r="AK116" s="1">
        <v>22.8</v>
      </c>
      <c r="AL116" s="1">
        <v>22.8</v>
      </c>
      <c r="AM116" s="1">
        <v>68.2</v>
      </c>
      <c r="AN116" s="1"/>
      <c r="AO116" s="1">
        <f t="shared" si="33"/>
        <v>8</v>
      </c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 t="s">
        <v>167</v>
      </c>
      <c r="B117" s="1" t="s">
        <v>42</v>
      </c>
      <c r="C117" s="1">
        <v>18.5</v>
      </c>
      <c r="D117" s="1">
        <v>630</v>
      </c>
      <c r="E117" s="1">
        <v>510</v>
      </c>
      <c r="F117" s="1">
        <v>16.5</v>
      </c>
      <c r="G117" s="7">
        <v>0.28000000000000003</v>
      </c>
      <c r="H117" s="1">
        <v>40</v>
      </c>
      <c r="I117" s="10" t="s">
        <v>50</v>
      </c>
      <c r="J117" s="1"/>
      <c r="K117" s="1">
        <v>698</v>
      </c>
      <c r="L117" s="1">
        <f t="shared" si="28"/>
        <v>-188</v>
      </c>
      <c r="M117" s="1">
        <f t="shared" si="29"/>
        <v>510</v>
      </c>
      <c r="N117" s="1"/>
      <c r="O117" s="1">
        <v>260</v>
      </c>
      <c r="P117" s="1">
        <v>-264</v>
      </c>
      <c r="Q117" s="1"/>
      <c r="R117" s="1">
        <v>700</v>
      </c>
      <c r="S117" s="28"/>
      <c r="T117" s="21"/>
      <c r="U117" s="1">
        <v>350</v>
      </c>
      <c r="V117" s="28"/>
      <c r="W117" s="21"/>
      <c r="X117" s="21"/>
      <c r="Y117" s="1">
        <f t="shared" si="30"/>
        <v>102</v>
      </c>
      <c r="Z117" s="5">
        <v>300</v>
      </c>
      <c r="AA117" s="5">
        <f t="shared" si="27"/>
        <v>300</v>
      </c>
      <c r="AB117" s="41"/>
      <c r="AC117" s="26"/>
      <c r="AD117" s="1">
        <f t="shared" si="31"/>
        <v>13.357843137254902</v>
      </c>
      <c r="AE117" s="1">
        <f t="shared" si="32"/>
        <v>10.416666666666666</v>
      </c>
      <c r="AF117" s="1">
        <v>112.2</v>
      </c>
      <c r="AG117" s="1">
        <v>55.2</v>
      </c>
      <c r="AH117" s="1">
        <v>0.2</v>
      </c>
      <c r="AI117" s="1">
        <v>26</v>
      </c>
      <c r="AJ117" s="1">
        <v>100.4</v>
      </c>
      <c r="AK117" s="1">
        <v>109.2</v>
      </c>
      <c r="AL117" s="1">
        <v>110.4</v>
      </c>
      <c r="AM117" s="1">
        <v>107.2</v>
      </c>
      <c r="AN117" s="1"/>
      <c r="AO117" s="1">
        <f t="shared" si="33"/>
        <v>84</v>
      </c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168</v>
      </c>
      <c r="B118" s="1" t="s">
        <v>42</v>
      </c>
      <c r="C118" s="1">
        <v>535</v>
      </c>
      <c r="D118" s="1">
        <v>50</v>
      </c>
      <c r="E118" s="1">
        <v>366</v>
      </c>
      <c r="F118" s="1">
        <v>164</v>
      </c>
      <c r="G118" s="7">
        <v>0.09</v>
      </c>
      <c r="H118" s="1">
        <v>45</v>
      </c>
      <c r="I118" s="9" t="s">
        <v>45</v>
      </c>
      <c r="J118" s="1"/>
      <c r="K118" s="1">
        <v>431</v>
      </c>
      <c r="L118" s="1">
        <f t="shared" si="28"/>
        <v>-65</v>
      </c>
      <c r="M118" s="1">
        <f t="shared" si="29"/>
        <v>366</v>
      </c>
      <c r="N118" s="1"/>
      <c r="O118" s="1">
        <v>68</v>
      </c>
      <c r="P118" s="1"/>
      <c r="Q118" s="1"/>
      <c r="R118" s="1">
        <v>113.94840000000001</v>
      </c>
      <c r="S118" s="28"/>
      <c r="T118" s="21"/>
      <c r="U118" s="1">
        <v>208.85159999999999</v>
      </c>
      <c r="V118" s="28"/>
      <c r="W118" s="21"/>
      <c r="X118" s="21"/>
      <c r="Y118" s="1">
        <f t="shared" si="30"/>
        <v>73.2</v>
      </c>
      <c r="Z118" s="5">
        <f>11*Y118-U118-R118-Q118-P118-O118-F118</f>
        <v>250.40000000000009</v>
      </c>
      <c r="AA118" s="5">
        <f t="shared" si="27"/>
        <v>250.40000000000009</v>
      </c>
      <c r="AB118" s="41"/>
      <c r="AC118" s="26"/>
      <c r="AD118" s="1">
        <f t="shared" si="31"/>
        <v>11</v>
      </c>
      <c r="AE118" s="1">
        <f t="shared" si="32"/>
        <v>7.5792349726775949</v>
      </c>
      <c r="AF118" s="1">
        <v>85.6</v>
      </c>
      <c r="AG118" s="1">
        <v>59.6</v>
      </c>
      <c r="AH118" s="1">
        <v>28.2</v>
      </c>
      <c r="AI118" s="1">
        <v>32.6</v>
      </c>
      <c r="AJ118" s="1">
        <v>32.799999999999997</v>
      </c>
      <c r="AK118" s="1">
        <v>20.2</v>
      </c>
      <c r="AL118" s="1">
        <v>22.8</v>
      </c>
      <c r="AM118" s="1">
        <v>17.399999999999999</v>
      </c>
      <c r="AN118" s="1" t="s">
        <v>169</v>
      </c>
      <c r="AO118" s="1">
        <f t="shared" si="33"/>
        <v>23</v>
      </c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1" t="s">
        <v>170</v>
      </c>
      <c r="B119" s="11" t="s">
        <v>36</v>
      </c>
      <c r="C119" s="11">
        <v>-0.09</v>
      </c>
      <c r="D119" s="11"/>
      <c r="E119" s="11"/>
      <c r="F119" s="11">
        <v>-2.8069999999999999</v>
      </c>
      <c r="G119" s="12">
        <v>0</v>
      </c>
      <c r="H119" s="11">
        <v>55</v>
      </c>
      <c r="I119" s="11" t="s">
        <v>53</v>
      </c>
      <c r="J119" s="11"/>
      <c r="K119" s="11"/>
      <c r="L119" s="11">
        <f t="shared" si="28"/>
        <v>0</v>
      </c>
      <c r="M119" s="11">
        <f t="shared" si="29"/>
        <v>0</v>
      </c>
      <c r="N119" s="11"/>
      <c r="O119" s="11">
        <v>0</v>
      </c>
      <c r="P119" s="11"/>
      <c r="Q119" s="11"/>
      <c r="R119" s="11">
        <v>0</v>
      </c>
      <c r="S119" s="30"/>
      <c r="T119" s="24"/>
      <c r="U119" s="11"/>
      <c r="V119" s="30"/>
      <c r="W119" s="24"/>
      <c r="X119" s="24"/>
      <c r="Y119" s="11">
        <f t="shared" si="30"/>
        <v>0</v>
      </c>
      <c r="Z119" s="13"/>
      <c r="AA119" s="5">
        <f t="shared" si="27"/>
        <v>0</v>
      </c>
      <c r="AB119" s="41"/>
      <c r="AC119" s="26"/>
      <c r="AD119" s="1" t="e">
        <f t="shared" si="31"/>
        <v>#DIV/0!</v>
      </c>
      <c r="AE119" s="11" t="e">
        <f t="shared" si="32"/>
        <v>#DIV/0!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/>
      <c r="AO119" s="1">
        <f t="shared" si="33"/>
        <v>0</v>
      </c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171</v>
      </c>
      <c r="B120" s="1" t="s">
        <v>36</v>
      </c>
      <c r="C120" s="1">
        <v>86.528999999999996</v>
      </c>
      <c r="D120" s="1">
        <v>7.4950000000000001</v>
      </c>
      <c r="E120" s="1">
        <v>31.858000000000001</v>
      </c>
      <c r="F120" s="1">
        <v>54.456000000000003</v>
      </c>
      <c r="G120" s="7">
        <v>1</v>
      </c>
      <c r="H120" s="1">
        <v>60</v>
      </c>
      <c r="I120" s="1" t="s">
        <v>37</v>
      </c>
      <c r="J120" s="1"/>
      <c r="K120" s="1">
        <v>40</v>
      </c>
      <c r="L120" s="1">
        <f t="shared" si="28"/>
        <v>-8.1419999999999995</v>
      </c>
      <c r="M120" s="1">
        <f t="shared" si="29"/>
        <v>31.858000000000001</v>
      </c>
      <c r="N120" s="1"/>
      <c r="O120" s="1">
        <v>0</v>
      </c>
      <c r="P120" s="1"/>
      <c r="Q120" s="1"/>
      <c r="R120" s="1">
        <v>0</v>
      </c>
      <c r="S120" s="28"/>
      <c r="T120" s="21"/>
      <c r="U120" s="1"/>
      <c r="V120" s="28"/>
      <c r="W120" s="21"/>
      <c r="X120" s="21"/>
      <c r="Y120" s="1">
        <f t="shared" si="30"/>
        <v>6.3715999999999999</v>
      </c>
      <c r="Z120" s="5">
        <f>11.5*Y120-U120-R120-Q120-P120-O120-F120</f>
        <v>18.817399999999992</v>
      </c>
      <c r="AA120" s="5">
        <f t="shared" si="27"/>
        <v>18.817399999999992</v>
      </c>
      <c r="AB120" s="41"/>
      <c r="AC120" s="26"/>
      <c r="AD120" s="1">
        <f t="shared" si="31"/>
        <v>11.5</v>
      </c>
      <c r="AE120" s="1">
        <f t="shared" si="32"/>
        <v>8.5466758741917257</v>
      </c>
      <c r="AF120" s="1">
        <v>5.3945999999999996</v>
      </c>
      <c r="AG120" s="1">
        <v>5.0279999999999996</v>
      </c>
      <c r="AH120" s="1">
        <v>5.5289999999999999</v>
      </c>
      <c r="AI120" s="1">
        <v>6.0906000000000002</v>
      </c>
      <c r="AJ120" s="1">
        <v>9.970600000000001</v>
      </c>
      <c r="AK120" s="1">
        <v>5.4567999999999994</v>
      </c>
      <c r="AL120" s="1">
        <v>5.4567999999999994</v>
      </c>
      <c r="AM120" s="1">
        <v>8.9201999999999995</v>
      </c>
      <c r="AN120" s="1"/>
      <c r="AO120" s="1">
        <f t="shared" si="33"/>
        <v>19</v>
      </c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 t="s">
        <v>172</v>
      </c>
      <c r="B121" s="1" t="s">
        <v>36</v>
      </c>
      <c r="C121" s="1">
        <v>36.520000000000003</v>
      </c>
      <c r="D121" s="1">
        <v>22.507000000000001</v>
      </c>
      <c r="E121" s="1">
        <v>12.061</v>
      </c>
      <c r="F121" s="1">
        <v>46.542000000000002</v>
      </c>
      <c r="G121" s="7">
        <v>1</v>
      </c>
      <c r="H121" s="1">
        <v>50</v>
      </c>
      <c r="I121" s="1" t="s">
        <v>37</v>
      </c>
      <c r="J121" s="1"/>
      <c r="K121" s="1">
        <v>12.5</v>
      </c>
      <c r="L121" s="1">
        <f t="shared" si="28"/>
        <v>-0.43900000000000006</v>
      </c>
      <c r="M121" s="1">
        <f t="shared" si="29"/>
        <v>12.061</v>
      </c>
      <c r="N121" s="1"/>
      <c r="O121" s="1">
        <v>0</v>
      </c>
      <c r="P121" s="1"/>
      <c r="Q121" s="1"/>
      <c r="R121" s="1">
        <v>0</v>
      </c>
      <c r="S121" s="28"/>
      <c r="T121" s="21"/>
      <c r="U121" s="1"/>
      <c r="V121" s="28"/>
      <c r="W121" s="21"/>
      <c r="X121" s="21"/>
      <c r="Y121" s="1">
        <f t="shared" si="30"/>
        <v>2.4121999999999999</v>
      </c>
      <c r="Z121" s="5"/>
      <c r="AA121" s="5">
        <f t="shared" si="27"/>
        <v>0</v>
      </c>
      <c r="AB121" s="41"/>
      <c r="AC121" s="26"/>
      <c r="AD121" s="1">
        <f t="shared" si="31"/>
        <v>19.294420031506512</v>
      </c>
      <c r="AE121" s="1">
        <f t="shared" si="32"/>
        <v>19.294420031506512</v>
      </c>
      <c r="AF121" s="1">
        <v>1.9867999999999999</v>
      </c>
      <c r="AG121" s="1">
        <v>1.4796</v>
      </c>
      <c r="AH121" s="1">
        <v>0.99480000000000002</v>
      </c>
      <c r="AI121" s="1">
        <v>3.9885999999999999</v>
      </c>
      <c r="AJ121" s="1">
        <v>3.4885999999999999</v>
      </c>
      <c r="AK121" s="1">
        <v>2.4849999999999999</v>
      </c>
      <c r="AL121" s="1">
        <v>2.4849999999999999</v>
      </c>
      <c r="AM121" s="1">
        <v>3.984</v>
      </c>
      <c r="AN121" s="18" t="s">
        <v>69</v>
      </c>
      <c r="AO121" s="1">
        <f t="shared" si="33"/>
        <v>0</v>
      </c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173</v>
      </c>
      <c r="B122" s="1" t="s">
        <v>42</v>
      </c>
      <c r="C122" s="1">
        <v>112</v>
      </c>
      <c r="D122" s="1">
        <v>97</v>
      </c>
      <c r="E122" s="1">
        <v>213</v>
      </c>
      <c r="F122" s="1">
        <v>-29</v>
      </c>
      <c r="G122" s="7">
        <v>0.09</v>
      </c>
      <c r="H122" s="1">
        <v>45</v>
      </c>
      <c r="I122" s="9" t="s">
        <v>45</v>
      </c>
      <c r="J122" s="1"/>
      <c r="K122" s="1">
        <v>291</v>
      </c>
      <c r="L122" s="1">
        <f t="shared" si="28"/>
        <v>-78</v>
      </c>
      <c r="M122" s="1">
        <f t="shared" si="29"/>
        <v>213</v>
      </c>
      <c r="N122" s="1"/>
      <c r="O122" s="1">
        <v>300</v>
      </c>
      <c r="P122" s="1"/>
      <c r="Q122" s="1"/>
      <c r="R122" s="1">
        <v>142.68260000000001</v>
      </c>
      <c r="S122" s="28"/>
      <c r="T122" s="21"/>
      <c r="U122" s="1">
        <v>261.51740000000001</v>
      </c>
      <c r="V122" s="28"/>
      <c r="W122" s="21"/>
      <c r="X122" s="21"/>
      <c r="Y122" s="1">
        <f t="shared" si="30"/>
        <v>42.6</v>
      </c>
      <c r="Z122" s="5"/>
      <c r="AA122" s="5">
        <f t="shared" si="27"/>
        <v>0</v>
      </c>
      <c r="AB122" s="41"/>
      <c r="AC122" s="26"/>
      <c r="AD122" s="1">
        <f t="shared" si="31"/>
        <v>15.849765258215964</v>
      </c>
      <c r="AE122" s="1">
        <f t="shared" si="32"/>
        <v>15.849765258215964</v>
      </c>
      <c r="AF122" s="1">
        <v>84.4</v>
      </c>
      <c r="AG122" s="1">
        <v>65.2</v>
      </c>
      <c r="AH122" s="1">
        <v>29</v>
      </c>
      <c r="AI122" s="1">
        <v>42.4</v>
      </c>
      <c r="AJ122" s="1">
        <v>38.6</v>
      </c>
      <c r="AK122" s="1">
        <v>11</v>
      </c>
      <c r="AL122" s="1">
        <v>11</v>
      </c>
      <c r="AM122" s="1">
        <v>11.2</v>
      </c>
      <c r="AN122" s="1" t="s">
        <v>146</v>
      </c>
      <c r="AO122" s="1">
        <f t="shared" si="33"/>
        <v>0</v>
      </c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 t="s">
        <v>174</v>
      </c>
      <c r="B123" s="1" t="s">
        <v>42</v>
      </c>
      <c r="C123" s="1">
        <v>235</v>
      </c>
      <c r="D123" s="1">
        <v>46</v>
      </c>
      <c r="E123" s="1">
        <v>264</v>
      </c>
      <c r="F123" s="1">
        <v>-3</v>
      </c>
      <c r="G123" s="7">
        <v>0.09</v>
      </c>
      <c r="H123" s="1">
        <v>45</v>
      </c>
      <c r="I123" s="9" t="s">
        <v>45</v>
      </c>
      <c r="J123" s="1"/>
      <c r="K123" s="1">
        <v>308</v>
      </c>
      <c r="L123" s="1">
        <f t="shared" si="28"/>
        <v>-44</v>
      </c>
      <c r="M123" s="1">
        <f t="shared" si="29"/>
        <v>264</v>
      </c>
      <c r="N123" s="1"/>
      <c r="O123" s="1">
        <v>250</v>
      </c>
      <c r="P123" s="1"/>
      <c r="Q123" s="1"/>
      <c r="R123" s="1">
        <v>130.96299999999999</v>
      </c>
      <c r="S123" s="28"/>
      <c r="T123" s="21"/>
      <c r="U123" s="1">
        <v>240.03700000000001</v>
      </c>
      <c r="V123" s="28"/>
      <c r="W123" s="21"/>
      <c r="X123" s="21"/>
      <c r="Y123" s="1">
        <f t="shared" si="30"/>
        <v>52.8</v>
      </c>
      <c r="Z123" s="5"/>
      <c r="AA123" s="5">
        <f t="shared" si="27"/>
        <v>0</v>
      </c>
      <c r="AB123" s="41"/>
      <c r="AC123" s="26"/>
      <c r="AD123" s="1">
        <f t="shared" si="31"/>
        <v>11.704545454545455</v>
      </c>
      <c r="AE123" s="1">
        <f t="shared" si="32"/>
        <v>11.704545454545455</v>
      </c>
      <c r="AF123" s="1">
        <v>83</v>
      </c>
      <c r="AG123" s="1">
        <v>59</v>
      </c>
      <c r="AH123" s="1">
        <v>24</v>
      </c>
      <c r="AI123" s="1">
        <v>39.799999999999997</v>
      </c>
      <c r="AJ123" s="1">
        <v>38.200000000000003</v>
      </c>
      <c r="AK123" s="1">
        <v>16.399999999999999</v>
      </c>
      <c r="AL123" s="1">
        <v>16.399999999999999</v>
      </c>
      <c r="AM123" s="1">
        <v>18.8</v>
      </c>
      <c r="AN123" s="1" t="s">
        <v>148</v>
      </c>
      <c r="AO123" s="1">
        <f t="shared" si="33"/>
        <v>0</v>
      </c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175</v>
      </c>
      <c r="B124" s="1" t="s">
        <v>36</v>
      </c>
      <c r="C124" s="1">
        <v>120.352</v>
      </c>
      <c r="D124" s="1">
        <v>170.084</v>
      </c>
      <c r="E124" s="1">
        <v>150.36099999999999</v>
      </c>
      <c r="F124" s="1">
        <v>123.032</v>
      </c>
      <c r="G124" s="7">
        <v>1</v>
      </c>
      <c r="H124" s="1">
        <v>60</v>
      </c>
      <c r="I124" s="1" t="s">
        <v>37</v>
      </c>
      <c r="J124" s="1"/>
      <c r="K124" s="1">
        <v>149.559</v>
      </c>
      <c r="L124" s="1">
        <f t="shared" si="28"/>
        <v>0.8019999999999925</v>
      </c>
      <c r="M124" s="1">
        <f t="shared" si="29"/>
        <v>150.36099999999999</v>
      </c>
      <c r="N124" s="1"/>
      <c r="O124" s="1">
        <v>0</v>
      </c>
      <c r="P124" s="1"/>
      <c r="Q124" s="1"/>
      <c r="R124" s="1">
        <v>200</v>
      </c>
      <c r="S124" s="28"/>
      <c r="T124" s="21"/>
      <c r="U124" s="1"/>
      <c r="V124" s="28"/>
      <c r="W124" s="21"/>
      <c r="X124" s="21"/>
      <c r="Y124" s="1">
        <f t="shared" si="30"/>
        <v>30.072199999999999</v>
      </c>
      <c r="Z124" s="5">
        <f>11.5*Y124-U124-R124-Q124-P124-O124-F124</f>
        <v>22.798299999999969</v>
      </c>
      <c r="AA124" s="5">
        <f t="shared" si="27"/>
        <v>22.798299999999969</v>
      </c>
      <c r="AB124" s="41"/>
      <c r="AC124" s="26"/>
      <c r="AD124" s="1">
        <f t="shared" si="31"/>
        <v>11.5</v>
      </c>
      <c r="AE124" s="1">
        <f t="shared" si="32"/>
        <v>10.741881205897807</v>
      </c>
      <c r="AF124" s="1">
        <v>28.821999999999999</v>
      </c>
      <c r="AG124" s="1">
        <v>19.371600000000001</v>
      </c>
      <c r="AH124" s="1">
        <v>16.9956</v>
      </c>
      <c r="AI124" s="1">
        <v>23.003799999999998</v>
      </c>
      <c r="AJ124" s="1">
        <v>24.015000000000001</v>
      </c>
      <c r="AK124" s="1">
        <v>15.4374</v>
      </c>
      <c r="AL124" s="1">
        <v>15.4374</v>
      </c>
      <c r="AM124" s="1">
        <v>20.627600000000001</v>
      </c>
      <c r="AN124" s="1" t="s">
        <v>39</v>
      </c>
      <c r="AO124" s="1">
        <f t="shared" si="33"/>
        <v>23</v>
      </c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 t="s">
        <v>176</v>
      </c>
      <c r="B125" s="1" t="s">
        <v>36</v>
      </c>
      <c r="C125" s="1">
        <v>507.17700000000002</v>
      </c>
      <c r="D125" s="1">
        <v>1304.509</v>
      </c>
      <c r="E125" s="1">
        <v>908.54600000000005</v>
      </c>
      <c r="F125" s="1">
        <v>839.99199999999996</v>
      </c>
      <c r="G125" s="7">
        <v>1</v>
      </c>
      <c r="H125" s="1">
        <v>60</v>
      </c>
      <c r="I125" s="1" t="s">
        <v>37</v>
      </c>
      <c r="J125" s="1"/>
      <c r="K125" s="1">
        <v>903.11099999999999</v>
      </c>
      <c r="L125" s="1">
        <f t="shared" si="28"/>
        <v>5.4350000000000591</v>
      </c>
      <c r="M125" s="1">
        <f t="shared" si="29"/>
        <v>908.54600000000005</v>
      </c>
      <c r="N125" s="1"/>
      <c r="O125" s="1">
        <v>0</v>
      </c>
      <c r="P125" s="1"/>
      <c r="Q125" s="1"/>
      <c r="R125" s="1">
        <v>317.69999999999987</v>
      </c>
      <c r="S125" s="28"/>
      <c r="T125" s="21"/>
      <c r="U125" s="1">
        <v>582.30000000000007</v>
      </c>
      <c r="V125" s="28"/>
      <c r="W125" s="21"/>
      <c r="X125" s="21"/>
      <c r="Y125" s="1">
        <f t="shared" si="30"/>
        <v>181.70920000000001</v>
      </c>
      <c r="Z125" s="5">
        <f>11.5*Y125-U125-R125-Q125-P125-O125-F125</f>
        <v>349.66380000000004</v>
      </c>
      <c r="AA125" s="5">
        <f t="shared" si="27"/>
        <v>349.66380000000004</v>
      </c>
      <c r="AB125" s="41"/>
      <c r="AC125" s="26"/>
      <c r="AD125" s="1">
        <f t="shared" si="31"/>
        <v>11.499999999999996</v>
      </c>
      <c r="AE125" s="1">
        <f t="shared" si="32"/>
        <v>9.5756956719857858</v>
      </c>
      <c r="AF125" s="1">
        <v>175.9854</v>
      </c>
      <c r="AG125" s="1">
        <v>98.486199999999997</v>
      </c>
      <c r="AH125" s="1">
        <v>89.586800000000011</v>
      </c>
      <c r="AI125" s="1">
        <v>117.7424</v>
      </c>
      <c r="AJ125" s="1">
        <v>113.4314</v>
      </c>
      <c r="AK125" s="1">
        <v>129.72380000000001</v>
      </c>
      <c r="AL125" s="1">
        <v>131.09280000000001</v>
      </c>
      <c r="AM125" s="1">
        <v>145.64699999999999</v>
      </c>
      <c r="AN125" s="1" t="s">
        <v>39</v>
      </c>
      <c r="AO125" s="1">
        <f t="shared" si="33"/>
        <v>350</v>
      </c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 t="s">
        <v>177</v>
      </c>
      <c r="B126" s="1" t="s">
        <v>36</v>
      </c>
      <c r="C126" s="1">
        <v>72.549000000000007</v>
      </c>
      <c r="D126" s="1">
        <v>92.075999999999993</v>
      </c>
      <c r="E126" s="1">
        <v>68.905000000000001</v>
      </c>
      <c r="F126" s="1">
        <v>73.659000000000006</v>
      </c>
      <c r="G126" s="7">
        <v>1</v>
      </c>
      <c r="H126" s="1">
        <v>60</v>
      </c>
      <c r="I126" s="1" t="s">
        <v>37</v>
      </c>
      <c r="J126" s="1"/>
      <c r="K126" s="1">
        <v>70.777000000000001</v>
      </c>
      <c r="L126" s="1">
        <f t="shared" si="28"/>
        <v>-1.8719999999999999</v>
      </c>
      <c r="M126" s="1">
        <f t="shared" si="29"/>
        <v>68.905000000000001</v>
      </c>
      <c r="N126" s="1"/>
      <c r="O126" s="1">
        <v>0</v>
      </c>
      <c r="P126" s="1"/>
      <c r="Q126" s="1"/>
      <c r="R126" s="1">
        <v>15.3973</v>
      </c>
      <c r="S126" s="28"/>
      <c r="T126" s="21"/>
      <c r="U126" s="1"/>
      <c r="V126" s="28"/>
      <c r="W126" s="21"/>
      <c r="X126" s="21"/>
      <c r="Y126" s="1">
        <f t="shared" si="30"/>
        <v>13.781000000000001</v>
      </c>
      <c r="Z126" s="5">
        <f>11.5*Y126-U126-R126-Q126-P126-O126-F126</f>
        <v>69.425200000000004</v>
      </c>
      <c r="AA126" s="5">
        <f t="shared" si="27"/>
        <v>69.425200000000004</v>
      </c>
      <c r="AB126" s="41"/>
      <c r="AC126" s="26"/>
      <c r="AD126" s="1">
        <f t="shared" si="31"/>
        <v>11.5</v>
      </c>
      <c r="AE126" s="1">
        <f t="shared" si="32"/>
        <v>6.4622523764603441</v>
      </c>
      <c r="AF126" s="1">
        <v>13.204599999999999</v>
      </c>
      <c r="AG126" s="1">
        <v>10.835599999999999</v>
      </c>
      <c r="AH126" s="1">
        <v>10.377000000000001</v>
      </c>
      <c r="AI126" s="1">
        <v>15.2936</v>
      </c>
      <c r="AJ126" s="1">
        <v>14.958</v>
      </c>
      <c r="AK126" s="1">
        <v>9.2240000000000002</v>
      </c>
      <c r="AL126" s="1">
        <v>9.2240000000000002</v>
      </c>
      <c r="AM126" s="1">
        <v>16.507400000000001</v>
      </c>
      <c r="AN126" s="1"/>
      <c r="AO126" s="1">
        <f t="shared" si="33"/>
        <v>69</v>
      </c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 t="s">
        <v>178</v>
      </c>
      <c r="B127" s="1" t="s">
        <v>36</v>
      </c>
      <c r="C127" s="1">
        <v>2256.201</v>
      </c>
      <c r="D127" s="1">
        <v>277.358</v>
      </c>
      <c r="E127" s="1">
        <v>1054.095</v>
      </c>
      <c r="F127" s="1">
        <v>1396.6320000000001</v>
      </c>
      <c r="G127" s="7">
        <v>1</v>
      </c>
      <c r="H127" s="1">
        <v>60</v>
      </c>
      <c r="I127" s="1" t="s">
        <v>37</v>
      </c>
      <c r="J127" s="1"/>
      <c r="K127" s="1">
        <v>1076.4000000000001</v>
      </c>
      <c r="L127" s="1">
        <f t="shared" si="28"/>
        <v>-22.305000000000064</v>
      </c>
      <c r="M127" s="1">
        <f t="shared" si="29"/>
        <v>1054.095</v>
      </c>
      <c r="N127" s="1"/>
      <c r="O127" s="1">
        <v>0</v>
      </c>
      <c r="P127" s="1"/>
      <c r="Q127" s="1"/>
      <c r="R127" s="1">
        <v>100</v>
      </c>
      <c r="S127" s="28"/>
      <c r="T127" s="21"/>
      <c r="U127" s="1">
        <v>400.69775320000002</v>
      </c>
      <c r="V127" s="28"/>
      <c r="W127" s="21"/>
      <c r="X127" s="21"/>
      <c r="Y127" s="1">
        <f t="shared" si="30"/>
        <v>210.81900000000002</v>
      </c>
      <c r="Z127" s="5">
        <f>11.5*Y127-U127-R127-Q127-P127-O127-F127</f>
        <v>527.08874680000008</v>
      </c>
      <c r="AA127" s="5">
        <f t="shared" si="27"/>
        <v>527.08874680000008</v>
      </c>
      <c r="AB127" s="41"/>
      <c r="AC127" s="26"/>
      <c r="AD127" s="1">
        <f t="shared" si="31"/>
        <v>11.5</v>
      </c>
      <c r="AE127" s="1">
        <f t="shared" si="32"/>
        <v>8.9998043497028259</v>
      </c>
      <c r="AF127" s="1">
        <v>218.63480000000001</v>
      </c>
      <c r="AG127" s="1">
        <v>145.69720000000001</v>
      </c>
      <c r="AH127" s="1">
        <v>131.56319999999999</v>
      </c>
      <c r="AI127" s="1">
        <v>184.21879999999999</v>
      </c>
      <c r="AJ127" s="1">
        <v>182.80520000000001</v>
      </c>
      <c r="AK127" s="1">
        <v>261.65699999999998</v>
      </c>
      <c r="AL127" s="1">
        <v>263.20299999999997</v>
      </c>
      <c r="AM127" s="1">
        <v>260.8614</v>
      </c>
      <c r="AN127" s="1"/>
      <c r="AO127" s="1">
        <f t="shared" si="33"/>
        <v>527</v>
      </c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 t="s">
        <v>179</v>
      </c>
      <c r="B128" s="1" t="s">
        <v>42</v>
      </c>
      <c r="C128" s="1">
        <v>66</v>
      </c>
      <c r="D128" s="1"/>
      <c r="E128" s="1">
        <v>28</v>
      </c>
      <c r="F128" s="1">
        <v>38</v>
      </c>
      <c r="G128" s="7">
        <v>0.25</v>
      </c>
      <c r="H128" s="1">
        <v>1096</v>
      </c>
      <c r="I128" s="1" t="s">
        <v>37</v>
      </c>
      <c r="J128" s="1"/>
      <c r="K128" s="1">
        <v>28</v>
      </c>
      <c r="L128" s="1">
        <f t="shared" si="28"/>
        <v>0</v>
      </c>
      <c r="M128" s="1">
        <f t="shared" si="29"/>
        <v>28</v>
      </c>
      <c r="N128" s="1"/>
      <c r="O128" s="1">
        <v>0</v>
      </c>
      <c r="P128" s="1"/>
      <c r="Q128" s="1"/>
      <c r="R128" s="1">
        <v>150</v>
      </c>
      <c r="S128" s="28"/>
      <c r="T128" s="21"/>
      <c r="U128" s="1"/>
      <c r="V128" s="28"/>
      <c r="W128" s="21"/>
      <c r="X128" s="21"/>
      <c r="Y128" s="1">
        <f t="shared" si="30"/>
        <v>5.6</v>
      </c>
      <c r="Z128" s="5"/>
      <c r="AA128" s="5">
        <f t="shared" si="27"/>
        <v>0</v>
      </c>
      <c r="AB128" s="41"/>
      <c r="AC128" s="26"/>
      <c r="AD128" s="1">
        <f t="shared" si="31"/>
        <v>33.571428571428577</v>
      </c>
      <c r="AE128" s="1">
        <f t="shared" si="32"/>
        <v>33.571428571428577</v>
      </c>
      <c r="AF128" s="1">
        <v>10</v>
      </c>
      <c r="AG128" s="1">
        <v>6</v>
      </c>
      <c r="AH128" s="1">
        <v>1.2</v>
      </c>
      <c r="AI128" s="1">
        <v>3.6</v>
      </c>
      <c r="AJ128" s="1">
        <v>4.2</v>
      </c>
      <c r="AK128" s="1">
        <v>6.2</v>
      </c>
      <c r="AL128" s="1">
        <v>6.2</v>
      </c>
      <c r="AM128" s="1">
        <v>10.4</v>
      </c>
      <c r="AN128" s="1" t="s">
        <v>39</v>
      </c>
      <c r="AO128" s="1">
        <f t="shared" si="33"/>
        <v>0</v>
      </c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 t="s">
        <v>180</v>
      </c>
      <c r="B129" s="1" t="s">
        <v>42</v>
      </c>
      <c r="C129" s="1">
        <v>35</v>
      </c>
      <c r="D129" s="1"/>
      <c r="E129" s="1">
        <v>26</v>
      </c>
      <c r="F129" s="15">
        <f>9+F137</f>
        <v>39</v>
      </c>
      <c r="G129" s="7">
        <v>0.32500000000000001</v>
      </c>
      <c r="H129" s="1">
        <v>1096</v>
      </c>
      <c r="I129" s="1" t="s">
        <v>37</v>
      </c>
      <c r="J129" s="1"/>
      <c r="K129" s="1">
        <v>26</v>
      </c>
      <c r="L129" s="1">
        <f t="shared" si="28"/>
        <v>0</v>
      </c>
      <c r="M129" s="1">
        <f t="shared" si="29"/>
        <v>26</v>
      </c>
      <c r="N129" s="1"/>
      <c r="O129" s="1">
        <v>0</v>
      </c>
      <c r="P129" s="1"/>
      <c r="Q129" s="1"/>
      <c r="R129" s="1">
        <v>100</v>
      </c>
      <c r="S129" s="28"/>
      <c r="T129" s="21"/>
      <c r="U129" s="1"/>
      <c r="V129" s="28"/>
      <c r="W129" s="21"/>
      <c r="X129" s="21"/>
      <c r="Y129" s="1">
        <f t="shared" si="30"/>
        <v>5.2</v>
      </c>
      <c r="Z129" s="5"/>
      <c r="AA129" s="5">
        <f t="shared" si="27"/>
        <v>0</v>
      </c>
      <c r="AB129" s="41"/>
      <c r="AC129" s="26"/>
      <c r="AD129" s="1">
        <f t="shared" si="31"/>
        <v>26.73076923076923</v>
      </c>
      <c r="AE129" s="1">
        <f t="shared" si="32"/>
        <v>26.73076923076923</v>
      </c>
      <c r="AF129" s="1">
        <v>7.2</v>
      </c>
      <c r="AG129" s="1">
        <v>3.8</v>
      </c>
      <c r="AH129" s="1">
        <v>1</v>
      </c>
      <c r="AI129" s="1">
        <v>2.8</v>
      </c>
      <c r="AJ129" s="1">
        <v>3.6</v>
      </c>
      <c r="AK129" s="1">
        <v>7.6</v>
      </c>
      <c r="AL129" s="1">
        <v>7.6</v>
      </c>
      <c r="AM129" s="1">
        <v>5.2</v>
      </c>
      <c r="AN129" s="1" t="s">
        <v>39</v>
      </c>
      <c r="AO129" s="1">
        <f t="shared" si="33"/>
        <v>0</v>
      </c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 t="s">
        <v>181</v>
      </c>
      <c r="B130" s="1" t="s">
        <v>42</v>
      </c>
      <c r="C130" s="1">
        <v>64</v>
      </c>
      <c r="D130" s="1"/>
      <c r="E130" s="1">
        <v>32</v>
      </c>
      <c r="F130" s="1">
        <v>27</v>
      </c>
      <c r="G130" s="7">
        <v>0.25</v>
      </c>
      <c r="H130" s="1">
        <v>1096</v>
      </c>
      <c r="I130" s="1" t="s">
        <v>37</v>
      </c>
      <c r="J130" s="1"/>
      <c r="K130" s="1">
        <v>32</v>
      </c>
      <c r="L130" s="1">
        <f t="shared" si="28"/>
        <v>0</v>
      </c>
      <c r="M130" s="1">
        <f t="shared" si="29"/>
        <v>32</v>
      </c>
      <c r="N130" s="1"/>
      <c r="O130" s="1">
        <v>30.599999999999991</v>
      </c>
      <c r="P130" s="1"/>
      <c r="Q130" s="1"/>
      <c r="R130" s="1">
        <v>150</v>
      </c>
      <c r="S130" s="28"/>
      <c r="T130" s="21"/>
      <c r="U130" s="1"/>
      <c r="V130" s="28"/>
      <c r="W130" s="21"/>
      <c r="X130" s="21"/>
      <c r="Y130" s="1">
        <f t="shared" si="30"/>
        <v>6.4</v>
      </c>
      <c r="Z130" s="5"/>
      <c r="AA130" s="5">
        <f t="shared" si="27"/>
        <v>0</v>
      </c>
      <c r="AB130" s="41"/>
      <c r="AC130" s="26"/>
      <c r="AD130" s="1">
        <f t="shared" si="31"/>
        <v>32.4375</v>
      </c>
      <c r="AE130" s="1">
        <f t="shared" si="32"/>
        <v>32.4375</v>
      </c>
      <c r="AF130" s="1">
        <v>12.4</v>
      </c>
      <c r="AG130" s="1">
        <v>8.6</v>
      </c>
      <c r="AH130" s="1">
        <v>2</v>
      </c>
      <c r="AI130" s="1">
        <v>8</v>
      </c>
      <c r="AJ130" s="1">
        <v>9.8000000000000007</v>
      </c>
      <c r="AK130" s="1">
        <v>6.2</v>
      </c>
      <c r="AL130" s="1">
        <v>6.2</v>
      </c>
      <c r="AM130" s="1">
        <v>9.8000000000000007</v>
      </c>
      <c r="AN130" s="1" t="s">
        <v>39</v>
      </c>
      <c r="AO130" s="1">
        <f t="shared" si="33"/>
        <v>0</v>
      </c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 t="s">
        <v>182</v>
      </c>
      <c r="B131" s="1" t="s">
        <v>42</v>
      </c>
      <c r="C131" s="1">
        <v>34</v>
      </c>
      <c r="D131" s="1">
        <v>153</v>
      </c>
      <c r="E131" s="1">
        <v>144</v>
      </c>
      <c r="F131" s="1">
        <v>31</v>
      </c>
      <c r="G131" s="7">
        <v>0.3</v>
      </c>
      <c r="H131" s="1">
        <v>40</v>
      </c>
      <c r="I131" s="10" t="s">
        <v>50</v>
      </c>
      <c r="J131" s="1"/>
      <c r="K131" s="1">
        <v>211</v>
      </c>
      <c r="L131" s="1">
        <f t="shared" si="28"/>
        <v>-67</v>
      </c>
      <c r="M131" s="1">
        <f t="shared" si="29"/>
        <v>144</v>
      </c>
      <c r="N131" s="1"/>
      <c r="O131" s="1">
        <v>0</v>
      </c>
      <c r="P131" s="1"/>
      <c r="Q131" s="1"/>
      <c r="R131" s="1">
        <v>90.4</v>
      </c>
      <c r="S131" s="28"/>
      <c r="T131" s="21"/>
      <c r="U131" s="1">
        <v>45.2</v>
      </c>
      <c r="V131" s="28"/>
      <c r="W131" s="21"/>
      <c r="X131" s="21"/>
      <c r="Y131" s="1">
        <f t="shared" si="30"/>
        <v>28.8</v>
      </c>
      <c r="Z131" s="5">
        <f>11.5*Y131-U131-R131-Q131-P131-O131-F131</f>
        <v>164.6</v>
      </c>
      <c r="AA131" s="5">
        <f t="shared" si="27"/>
        <v>164.6</v>
      </c>
      <c r="AB131" s="41"/>
      <c r="AC131" s="26"/>
      <c r="AD131" s="1">
        <f t="shared" si="31"/>
        <v>11.500000000000002</v>
      </c>
      <c r="AE131" s="1">
        <f t="shared" si="32"/>
        <v>5.7847222222222232</v>
      </c>
      <c r="AF131" s="1">
        <v>16.8</v>
      </c>
      <c r="AG131" s="1">
        <v>0</v>
      </c>
      <c r="AH131" s="1">
        <v>-0.4</v>
      </c>
      <c r="AI131" s="1">
        <v>-0.4</v>
      </c>
      <c r="AJ131" s="1">
        <v>-0.6</v>
      </c>
      <c r="AK131" s="1">
        <v>13.2</v>
      </c>
      <c r="AL131" s="1">
        <v>13.6</v>
      </c>
      <c r="AM131" s="1">
        <v>34</v>
      </c>
      <c r="AN131" s="1"/>
      <c r="AO131" s="1">
        <f t="shared" si="33"/>
        <v>49</v>
      </c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 t="s">
        <v>183</v>
      </c>
      <c r="B132" s="1" t="s">
        <v>42</v>
      </c>
      <c r="C132" s="1">
        <v>-16</v>
      </c>
      <c r="D132" s="1">
        <v>55</v>
      </c>
      <c r="E132" s="1">
        <v>40</v>
      </c>
      <c r="F132" s="1">
        <v>-15</v>
      </c>
      <c r="G132" s="7">
        <v>0.3</v>
      </c>
      <c r="H132" s="1">
        <v>40</v>
      </c>
      <c r="I132" s="10" t="s">
        <v>50</v>
      </c>
      <c r="J132" s="1"/>
      <c r="K132" s="1">
        <v>61</v>
      </c>
      <c r="L132" s="1">
        <f t="shared" si="28"/>
        <v>-21</v>
      </c>
      <c r="M132" s="1">
        <f t="shared" si="29"/>
        <v>40</v>
      </c>
      <c r="N132" s="1"/>
      <c r="O132" s="1">
        <v>26</v>
      </c>
      <c r="P132" s="1">
        <v>-30</v>
      </c>
      <c r="Q132" s="1"/>
      <c r="R132" s="1">
        <v>20</v>
      </c>
      <c r="S132" s="28"/>
      <c r="T132" s="21"/>
      <c r="U132" s="1">
        <v>10</v>
      </c>
      <c r="V132" s="28"/>
      <c r="W132" s="21"/>
      <c r="X132" s="21"/>
      <c r="Y132" s="1">
        <f t="shared" si="30"/>
        <v>8</v>
      </c>
      <c r="Z132" s="5">
        <v>30</v>
      </c>
      <c r="AA132" s="5">
        <f t="shared" si="27"/>
        <v>30</v>
      </c>
      <c r="AB132" s="41"/>
      <c r="AC132" s="26"/>
      <c r="AD132" s="1">
        <f t="shared" si="31"/>
        <v>5.125</v>
      </c>
      <c r="AE132" s="1">
        <f t="shared" si="32"/>
        <v>1.375</v>
      </c>
      <c r="AF132" s="1">
        <v>0</v>
      </c>
      <c r="AG132" s="1">
        <v>-0.2</v>
      </c>
      <c r="AH132" s="1">
        <v>-1.2</v>
      </c>
      <c r="AI132" s="1">
        <v>-0.2</v>
      </c>
      <c r="AJ132" s="1">
        <v>0</v>
      </c>
      <c r="AK132" s="1">
        <v>0.4</v>
      </c>
      <c r="AL132" s="1">
        <v>0.4</v>
      </c>
      <c r="AM132" s="1">
        <v>19.2</v>
      </c>
      <c r="AN132" s="1"/>
      <c r="AO132" s="1">
        <f t="shared" si="33"/>
        <v>9</v>
      </c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 t="s">
        <v>184</v>
      </c>
      <c r="B133" s="1" t="s">
        <v>36</v>
      </c>
      <c r="C133" s="1">
        <v>46.377000000000002</v>
      </c>
      <c r="D133" s="1">
        <v>82.19</v>
      </c>
      <c r="E133" s="1">
        <v>54.503</v>
      </c>
      <c r="F133" s="1">
        <v>61.453000000000003</v>
      </c>
      <c r="G133" s="7">
        <v>1</v>
      </c>
      <c r="H133" s="1">
        <v>50</v>
      </c>
      <c r="I133" s="1" t="s">
        <v>37</v>
      </c>
      <c r="J133" s="1"/>
      <c r="K133" s="1">
        <v>57.3</v>
      </c>
      <c r="L133" s="1">
        <f t="shared" si="28"/>
        <v>-2.796999999999997</v>
      </c>
      <c r="M133" s="1">
        <f t="shared" si="29"/>
        <v>54.503</v>
      </c>
      <c r="N133" s="1"/>
      <c r="O133" s="1">
        <v>0</v>
      </c>
      <c r="P133" s="1"/>
      <c r="Q133" s="1"/>
      <c r="R133" s="1">
        <v>38.26509999999999</v>
      </c>
      <c r="S133" s="28"/>
      <c r="T133" s="21"/>
      <c r="U133" s="1"/>
      <c r="V133" s="28"/>
      <c r="W133" s="21"/>
      <c r="X133" s="21"/>
      <c r="Y133" s="1">
        <f t="shared" si="30"/>
        <v>10.900600000000001</v>
      </c>
      <c r="Z133" s="5">
        <f>11.5*Y133-U133-R133-Q133-P133-O133-F133</f>
        <v>25.638800000000018</v>
      </c>
      <c r="AA133" s="5">
        <f t="shared" si="27"/>
        <v>25.638800000000018</v>
      </c>
      <c r="AB133" s="41"/>
      <c r="AC133" s="26"/>
      <c r="AD133" s="1">
        <f t="shared" si="31"/>
        <v>11.5</v>
      </c>
      <c r="AE133" s="1">
        <f t="shared" si="32"/>
        <v>9.1479459846246982</v>
      </c>
      <c r="AF133" s="1">
        <v>11.664199999999999</v>
      </c>
      <c r="AG133" s="1">
        <v>8.6918000000000006</v>
      </c>
      <c r="AH133" s="1">
        <v>8.6745999999999999</v>
      </c>
      <c r="AI133" s="1">
        <v>10.775399999999999</v>
      </c>
      <c r="AJ133" s="1">
        <v>8.8368000000000002</v>
      </c>
      <c r="AK133" s="1">
        <v>11.002599999999999</v>
      </c>
      <c r="AL133" s="1">
        <v>11.002599999999999</v>
      </c>
      <c r="AM133" s="1">
        <v>13.903600000000001</v>
      </c>
      <c r="AN133" s="1"/>
      <c r="AO133" s="1">
        <f t="shared" si="33"/>
        <v>26</v>
      </c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 t="s">
        <v>185</v>
      </c>
      <c r="B134" s="1" t="s">
        <v>42</v>
      </c>
      <c r="C134" s="1">
        <v>6</v>
      </c>
      <c r="D134" s="1">
        <v>2</v>
      </c>
      <c r="E134" s="1">
        <v>3</v>
      </c>
      <c r="F134" s="1">
        <v>2</v>
      </c>
      <c r="G134" s="7">
        <v>0.3</v>
      </c>
      <c r="H134" s="1">
        <v>40</v>
      </c>
      <c r="I134" s="10" t="s">
        <v>50</v>
      </c>
      <c r="J134" s="1"/>
      <c r="K134" s="1">
        <v>24</v>
      </c>
      <c r="L134" s="1">
        <f t="shared" ref="L134:L137" si="34">E134-K134</f>
        <v>-21</v>
      </c>
      <c r="M134" s="1">
        <f t="shared" ref="M134:M137" si="35">E134-N134</f>
        <v>3</v>
      </c>
      <c r="N134" s="1"/>
      <c r="O134" s="1">
        <v>26</v>
      </c>
      <c r="P134" s="1">
        <v>-30</v>
      </c>
      <c r="Q134" s="1"/>
      <c r="R134" s="1">
        <v>30</v>
      </c>
      <c r="S134" s="28"/>
      <c r="T134" s="21"/>
      <c r="U134" s="1">
        <v>15</v>
      </c>
      <c r="V134" s="28"/>
      <c r="W134" s="21"/>
      <c r="X134" s="21"/>
      <c r="Y134" s="1">
        <f t="shared" si="30"/>
        <v>0.6</v>
      </c>
      <c r="Z134" s="5">
        <v>20</v>
      </c>
      <c r="AA134" s="5">
        <f t="shared" si="27"/>
        <v>20</v>
      </c>
      <c r="AB134" s="41"/>
      <c r="AC134" s="26"/>
      <c r="AD134" s="1">
        <f t="shared" si="31"/>
        <v>105</v>
      </c>
      <c r="AE134" s="1">
        <f t="shared" si="32"/>
        <v>71.666666666666671</v>
      </c>
      <c r="AF134" s="1">
        <v>5.8</v>
      </c>
      <c r="AG134" s="1">
        <v>7.2</v>
      </c>
      <c r="AH134" s="1">
        <v>4.5999999999999996</v>
      </c>
      <c r="AI134" s="1">
        <v>2.6</v>
      </c>
      <c r="AJ134" s="1">
        <v>0</v>
      </c>
      <c r="AK134" s="1">
        <v>9.8000000000000007</v>
      </c>
      <c r="AL134" s="1">
        <v>9.8000000000000007</v>
      </c>
      <c r="AM134" s="1">
        <v>4.5999999999999996</v>
      </c>
      <c r="AN134" s="1"/>
      <c r="AO134" s="1">
        <f t="shared" si="33"/>
        <v>6</v>
      </c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 t="s">
        <v>186</v>
      </c>
      <c r="B135" s="1" t="s">
        <v>42</v>
      </c>
      <c r="C135" s="1">
        <v>37</v>
      </c>
      <c r="D135" s="1">
        <v>54</v>
      </c>
      <c r="E135" s="1">
        <v>52</v>
      </c>
      <c r="F135" s="1">
        <v>28</v>
      </c>
      <c r="G135" s="7">
        <v>0.12</v>
      </c>
      <c r="H135" s="1">
        <v>45</v>
      </c>
      <c r="I135" s="10" t="s">
        <v>50</v>
      </c>
      <c r="J135" s="1"/>
      <c r="K135" s="1">
        <v>63</v>
      </c>
      <c r="L135" s="1">
        <f t="shared" si="34"/>
        <v>-11</v>
      </c>
      <c r="M135" s="1">
        <f t="shared" si="35"/>
        <v>52</v>
      </c>
      <c r="N135" s="1"/>
      <c r="O135" s="1">
        <v>39</v>
      </c>
      <c r="P135" s="1">
        <v>-45.000000000000007</v>
      </c>
      <c r="Q135" s="1"/>
      <c r="R135" s="1">
        <v>80</v>
      </c>
      <c r="S135" s="28"/>
      <c r="T135" s="21"/>
      <c r="U135" s="1">
        <v>40</v>
      </c>
      <c r="V135" s="28"/>
      <c r="W135" s="21"/>
      <c r="X135" s="21"/>
      <c r="Y135" s="1">
        <f t="shared" si="30"/>
        <v>10.4</v>
      </c>
      <c r="Z135" s="5">
        <v>30</v>
      </c>
      <c r="AA135" s="5">
        <f t="shared" ref="AA135:AA137" si="36">Z135</f>
        <v>30</v>
      </c>
      <c r="AB135" s="41"/>
      <c r="AC135" s="26"/>
      <c r="AD135" s="1">
        <f t="shared" si="31"/>
        <v>16.538461538461537</v>
      </c>
      <c r="AE135" s="1">
        <f t="shared" si="32"/>
        <v>13.653846153846153</v>
      </c>
      <c r="AF135" s="1">
        <v>13.2</v>
      </c>
      <c r="AG135" s="1">
        <v>9.8000000000000007</v>
      </c>
      <c r="AH135" s="1">
        <v>7.2</v>
      </c>
      <c r="AI135" s="1">
        <v>8</v>
      </c>
      <c r="AJ135" s="1">
        <v>7</v>
      </c>
      <c r="AK135" s="1">
        <v>13.8</v>
      </c>
      <c r="AL135" s="1">
        <v>13.8</v>
      </c>
      <c r="AM135" s="1">
        <v>11.8</v>
      </c>
      <c r="AN135" s="1"/>
      <c r="AO135" s="1">
        <f t="shared" si="33"/>
        <v>4</v>
      </c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1" t="s">
        <v>187</v>
      </c>
      <c r="B136" s="11" t="s">
        <v>42</v>
      </c>
      <c r="C136" s="11">
        <v>34</v>
      </c>
      <c r="D136" s="11">
        <v>40</v>
      </c>
      <c r="E136" s="15">
        <v>56</v>
      </c>
      <c r="F136" s="15">
        <v>7</v>
      </c>
      <c r="G136" s="12">
        <v>0</v>
      </c>
      <c r="H136" s="11"/>
      <c r="I136" s="11" t="s">
        <v>188</v>
      </c>
      <c r="J136" s="11" t="s">
        <v>105</v>
      </c>
      <c r="K136" s="11">
        <v>79</v>
      </c>
      <c r="L136" s="11">
        <f t="shared" si="34"/>
        <v>-23</v>
      </c>
      <c r="M136" s="11">
        <f t="shared" si="35"/>
        <v>56</v>
      </c>
      <c r="N136" s="11"/>
      <c r="O136" s="11">
        <v>0</v>
      </c>
      <c r="P136" s="11"/>
      <c r="Q136" s="11"/>
      <c r="R136" s="11">
        <v>0</v>
      </c>
      <c r="S136" s="30"/>
      <c r="T136" s="24"/>
      <c r="U136" s="11"/>
      <c r="V136" s="30"/>
      <c r="W136" s="24"/>
      <c r="X136" s="24"/>
      <c r="Y136" s="11">
        <f t="shared" si="30"/>
        <v>11.2</v>
      </c>
      <c r="Z136" s="13"/>
      <c r="AA136" s="5">
        <f t="shared" si="36"/>
        <v>0</v>
      </c>
      <c r="AB136" s="41"/>
      <c r="AC136" s="26"/>
      <c r="AD136" s="1">
        <f t="shared" si="31"/>
        <v>0.625</v>
      </c>
      <c r="AE136" s="11">
        <f t="shared" si="32"/>
        <v>0.625</v>
      </c>
      <c r="AF136" s="11">
        <v>14.6</v>
      </c>
      <c r="AG136" s="11">
        <v>5.2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/>
      <c r="AO136" s="1">
        <f t="shared" si="33"/>
        <v>0</v>
      </c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1" t="s">
        <v>189</v>
      </c>
      <c r="B137" s="11" t="s">
        <v>42</v>
      </c>
      <c r="C137" s="11">
        <v>30</v>
      </c>
      <c r="D137" s="11"/>
      <c r="E137" s="11"/>
      <c r="F137" s="15">
        <v>30</v>
      </c>
      <c r="G137" s="12">
        <v>0</v>
      </c>
      <c r="H137" s="11"/>
      <c r="I137" s="11" t="s">
        <v>188</v>
      </c>
      <c r="J137" s="11" t="s">
        <v>180</v>
      </c>
      <c r="K137" s="11">
        <v>9</v>
      </c>
      <c r="L137" s="11">
        <f t="shared" si="34"/>
        <v>-9</v>
      </c>
      <c r="M137" s="11">
        <f t="shared" si="35"/>
        <v>0</v>
      </c>
      <c r="N137" s="11"/>
      <c r="O137" s="11">
        <v>0</v>
      </c>
      <c r="P137" s="11"/>
      <c r="Q137" s="11"/>
      <c r="R137" s="11">
        <v>0</v>
      </c>
      <c r="S137" s="30"/>
      <c r="T137" s="24"/>
      <c r="U137" s="11"/>
      <c r="V137" s="30"/>
      <c r="W137" s="24"/>
      <c r="X137" s="24"/>
      <c r="Y137" s="11">
        <f t="shared" si="30"/>
        <v>0</v>
      </c>
      <c r="Z137" s="13"/>
      <c r="AA137" s="5">
        <f t="shared" si="36"/>
        <v>0</v>
      </c>
      <c r="AB137" s="41"/>
      <c r="AC137" s="26"/>
      <c r="AD137" s="1" t="e">
        <f t="shared" si="31"/>
        <v>#DIV/0!</v>
      </c>
      <c r="AE137" s="11" t="e">
        <f t="shared" si="32"/>
        <v>#DIV/0!</v>
      </c>
      <c r="AF137" s="11">
        <v>0</v>
      </c>
      <c r="AG137" s="11">
        <v>0.2</v>
      </c>
      <c r="AH137" s="11">
        <v>0.4</v>
      </c>
      <c r="AI137" s="11">
        <v>2.4</v>
      </c>
      <c r="AJ137" s="11">
        <v>2.6</v>
      </c>
      <c r="AK137" s="11">
        <v>3.6</v>
      </c>
      <c r="AL137" s="11">
        <v>3.6</v>
      </c>
      <c r="AM137" s="11">
        <v>4.8</v>
      </c>
      <c r="AN137" s="11"/>
      <c r="AO137" s="1">
        <f t="shared" si="33"/>
        <v>0</v>
      </c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8"/>
      <c r="T138" s="21"/>
      <c r="U138" s="1"/>
      <c r="V138" s="28"/>
      <c r="W138" s="21"/>
      <c r="X138" s="21"/>
      <c r="Y138" s="1"/>
      <c r="Z138" s="1"/>
      <c r="AA138" s="1"/>
      <c r="AB138" s="28"/>
      <c r="AC138" s="2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8"/>
      <c r="T139" s="21"/>
      <c r="U139" s="1"/>
      <c r="V139" s="28"/>
      <c r="W139" s="21"/>
      <c r="X139" s="21"/>
      <c r="Y139" s="1"/>
      <c r="Z139" s="1"/>
      <c r="AA139" s="1"/>
      <c r="AB139" s="28"/>
      <c r="AC139" s="2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8"/>
      <c r="T140" s="21"/>
      <c r="U140" s="1"/>
      <c r="V140" s="28"/>
      <c r="W140" s="21"/>
      <c r="X140" s="21"/>
      <c r="Y140" s="1"/>
      <c r="Z140" s="1"/>
      <c r="AA140" s="1"/>
      <c r="AB140" s="28"/>
      <c r="AC140" s="2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8"/>
      <c r="T141" s="21"/>
      <c r="U141" s="1"/>
      <c r="V141" s="28"/>
      <c r="W141" s="21"/>
      <c r="X141" s="21"/>
      <c r="Y141" s="1"/>
      <c r="Z141" s="1"/>
      <c r="AA141" s="1"/>
      <c r="AB141" s="28"/>
      <c r="AC141" s="2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8"/>
      <c r="T142" s="21"/>
      <c r="U142" s="1"/>
      <c r="V142" s="28"/>
      <c r="W142" s="21"/>
      <c r="X142" s="21"/>
      <c r="Y142" s="1"/>
      <c r="Z142" s="1"/>
      <c r="AA142" s="1"/>
      <c r="AB142" s="28"/>
      <c r="AC142" s="2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8"/>
      <c r="T143" s="21"/>
      <c r="U143" s="1"/>
      <c r="V143" s="28"/>
      <c r="W143" s="21"/>
      <c r="X143" s="21"/>
      <c r="Y143" s="1"/>
      <c r="Z143" s="1"/>
      <c r="AA143" s="1"/>
      <c r="AB143" s="28"/>
      <c r="AC143" s="2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8"/>
      <c r="T144" s="21"/>
      <c r="U144" s="1"/>
      <c r="V144" s="28"/>
      <c r="W144" s="21"/>
      <c r="X144" s="21"/>
      <c r="Y144" s="1"/>
      <c r="Z144" s="1"/>
      <c r="AA144" s="1"/>
      <c r="AB144" s="28"/>
      <c r="AC144" s="2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8"/>
      <c r="T145" s="21"/>
      <c r="U145" s="1"/>
      <c r="V145" s="28"/>
      <c r="W145" s="21"/>
      <c r="X145" s="21"/>
      <c r="Y145" s="1"/>
      <c r="Z145" s="1"/>
      <c r="AA145" s="1"/>
      <c r="AB145" s="28"/>
      <c r="AC145" s="2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8"/>
      <c r="T146" s="21"/>
      <c r="U146" s="1"/>
      <c r="V146" s="28"/>
      <c r="W146" s="21"/>
      <c r="X146" s="21"/>
      <c r="Y146" s="1"/>
      <c r="Z146" s="1"/>
      <c r="AA146" s="1"/>
      <c r="AB146" s="28"/>
      <c r="AC146" s="2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8"/>
      <c r="T147" s="21"/>
      <c r="U147" s="1"/>
      <c r="V147" s="28"/>
      <c r="W147" s="21"/>
      <c r="X147" s="21"/>
      <c r="Y147" s="1"/>
      <c r="Z147" s="1"/>
      <c r="AA147" s="1"/>
      <c r="AB147" s="28"/>
      <c r="AC147" s="2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8"/>
      <c r="T148" s="21"/>
      <c r="U148" s="1"/>
      <c r="V148" s="28"/>
      <c r="W148" s="21"/>
      <c r="X148" s="21"/>
      <c r="Y148" s="1"/>
      <c r="Z148" s="1"/>
      <c r="AA148" s="1"/>
      <c r="AB148" s="28"/>
      <c r="AC148" s="2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8"/>
      <c r="T149" s="21"/>
      <c r="U149" s="1"/>
      <c r="V149" s="28"/>
      <c r="W149" s="21"/>
      <c r="X149" s="21"/>
      <c r="Y149" s="1"/>
      <c r="Z149" s="1"/>
      <c r="AA149" s="1"/>
      <c r="AB149" s="28"/>
      <c r="AC149" s="2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8"/>
      <c r="T150" s="21"/>
      <c r="U150" s="1"/>
      <c r="V150" s="28"/>
      <c r="W150" s="21"/>
      <c r="X150" s="21"/>
      <c r="Y150" s="1"/>
      <c r="Z150" s="1"/>
      <c r="AA150" s="1"/>
      <c r="AB150" s="28"/>
      <c r="AC150" s="2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8"/>
      <c r="T151" s="21"/>
      <c r="U151" s="1"/>
      <c r="V151" s="28"/>
      <c r="W151" s="21"/>
      <c r="X151" s="21"/>
      <c r="Y151" s="1"/>
      <c r="Z151" s="1"/>
      <c r="AA151" s="1"/>
      <c r="AB151" s="28"/>
      <c r="AC151" s="2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8"/>
      <c r="T152" s="21"/>
      <c r="U152" s="1"/>
      <c r="V152" s="28"/>
      <c r="W152" s="21"/>
      <c r="X152" s="21"/>
      <c r="Y152" s="1"/>
      <c r="Z152" s="1"/>
      <c r="AA152" s="1"/>
      <c r="AB152" s="28"/>
      <c r="AC152" s="2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8"/>
      <c r="T153" s="21"/>
      <c r="U153" s="1"/>
      <c r="V153" s="28"/>
      <c r="W153" s="21"/>
      <c r="X153" s="21"/>
      <c r="Y153" s="1"/>
      <c r="Z153" s="1"/>
      <c r="AA153" s="1"/>
      <c r="AB153" s="28"/>
      <c r="AC153" s="2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8"/>
      <c r="T154" s="21"/>
      <c r="U154" s="1"/>
      <c r="V154" s="28"/>
      <c r="W154" s="21"/>
      <c r="X154" s="21"/>
      <c r="Y154" s="1"/>
      <c r="Z154" s="1"/>
      <c r="AA154" s="1"/>
      <c r="AB154" s="28"/>
      <c r="AC154" s="2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8"/>
      <c r="T155" s="21"/>
      <c r="U155" s="1"/>
      <c r="V155" s="28"/>
      <c r="W155" s="21"/>
      <c r="X155" s="21"/>
      <c r="Y155" s="1"/>
      <c r="Z155" s="1"/>
      <c r="AA155" s="1"/>
      <c r="AB155" s="28"/>
      <c r="AC155" s="2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8"/>
      <c r="T156" s="21"/>
      <c r="U156" s="1"/>
      <c r="V156" s="28"/>
      <c r="W156" s="21"/>
      <c r="X156" s="21"/>
      <c r="Y156" s="1"/>
      <c r="Z156" s="1"/>
      <c r="AA156" s="1"/>
      <c r="AB156" s="28"/>
      <c r="AC156" s="2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8"/>
      <c r="T157" s="21"/>
      <c r="U157" s="1"/>
      <c r="V157" s="28"/>
      <c r="W157" s="21"/>
      <c r="X157" s="21"/>
      <c r="Y157" s="1"/>
      <c r="Z157" s="1"/>
      <c r="AA157" s="1"/>
      <c r="AB157" s="28"/>
      <c r="AC157" s="2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8"/>
      <c r="T158" s="21"/>
      <c r="U158" s="1"/>
      <c r="V158" s="28"/>
      <c r="W158" s="21"/>
      <c r="X158" s="21"/>
      <c r="Y158" s="1"/>
      <c r="Z158" s="1"/>
      <c r="AA158" s="1"/>
      <c r="AB158" s="28"/>
      <c r="AC158" s="2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8"/>
      <c r="T159" s="21"/>
      <c r="U159" s="1"/>
      <c r="V159" s="28"/>
      <c r="W159" s="21"/>
      <c r="X159" s="21"/>
      <c r="Y159" s="1"/>
      <c r="Z159" s="1"/>
      <c r="AA159" s="1"/>
      <c r="AB159" s="28"/>
      <c r="AC159" s="2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8"/>
      <c r="T160" s="21"/>
      <c r="U160" s="1"/>
      <c r="V160" s="28"/>
      <c r="W160" s="21"/>
      <c r="X160" s="21"/>
      <c r="Y160" s="1"/>
      <c r="Z160" s="1"/>
      <c r="AA160" s="1"/>
      <c r="AB160" s="28"/>
      <c r="AC160" s="2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8"/>
      <c r="T161" s="21"/>
      <c r="U161" s="1"/>
      <c r="V161" s="28"/>
      <c r="W161" s="21"/>
      <c r="X161" s="21"/>
      <c r="Y161" s="1"/>
      <c r="Z161" s="1"/>
      <c r="AA161" s="1"/>
      <c r="AB161" s="28"/>
      <c r="AC161" s="2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8"/>
      <c r="T162" s="21"/>
      <c r="U162" s="1"/>
      <c r="V162" s="28"/>
      <c r="W162" s="21"/>
      <c r="X162" s="21"/>
      <c r="Y162" s="1"/>
      <c r="Z162" s="1"/>
      <c r="AA162" s="1"/>
      <c r="AB162" s="28"/>
      <c r="AC162" s="2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8"/>
      <c r="T163" s="21"/>
      <c r="U163" s="1"/>
      <c r="V163" s="28"/>
      <c r="W163" s="21"/>
      <c r="X163" s="21"/>
      <c r="Y163" s="1"/>
      <c r="Z163" s="1"/>
      <c r="AA163" s="1"/>
      <c r="AB163" s="28"/>
      <c r="AC163" s="2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8"/>
      <c r="T164" s="21"/>
      <c r="U164" s="1"/>
      <c r="V164" s="28"/>
      <c r="W164" s="21"/>
      <c r="X164" s="21"/>
      <c r="Y164" s="1"/>
      <c r="Z164" s="1"/>
      <c r="AA164" s="1"/>
      <c r="AB164" s="28"/>
      <c r="AC164" s="2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8"/>
      <c r="T165" s="21"/>
      <c r="U165" s="1"/>
      <c r="V165" s="28"/>
      <c r="W165" s="21"/>
      <c r="X165" s="21"/>
      <c r="Y165" s="1"/>
      <c r="Z165" s="1"/>
      <c r="AA165" s="1"/>
      <c r="AB165" s="28"/>
      <c r="AC165" s="2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8"/>
      <c r="T166" s="21"/>
      <c r="U166" s="1"/>
      <c r="V166" s="28"/>
      <c r="W166" s="21"/>
      <c r="X166" s="21"/>
      <c r="Y166" s="1"/>
      <c r="Z166" s="1"/>
      <c r="AA166" s="1"/>
      <c r="AB166" s="28"/>
      <c r="AC166" s="2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8"/>
      <c r="T167" s="21"/>
      <c r="U167" s="1"/>
      <c r="V167" s="28"/>
      <c r="W167" s="21"/>
      <c r="X167" s="21"/>
      <c r="Y167" s="1"/>
      <c r="Z167" s="1"/>
      <c r="AA167" s="1"/>
      <c r="AB167" s="28"/>
      <c r="AC167" s="2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8"/>
      <c r="T168" s="21"/>
      <c r="U168" s="1"/>
      <c r="V168" s="28"/>
      <c r="W168" s="21"/>
      <c r="X168" s="21"/>
      <c r="Y168" s="1"/>
      <c r="Z168" s="1"/>
      <c r="AA168" s="1"/>
      <c r="AB168" s="28"/>
      <c r="AC168" s="2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8"/>
      <c r="T169" s="21"/>
      <c r="U169" s="1"/>
      <c r="V169" s="28"/>
      <c r="W169" s="21"/>
      <c r="X169" s="21"/>
      <c r="Y169" s="1"/>
      <c r="Z169" s="1"/>
      <c r="AA169" s="1"/>
      <c r="AB169" s="28"/>
      <c r="AC169" s="2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8"/>
      <c r="T170" s="21"/>
      <c r="U170" s="1"/>
      <c r="V170" s="28"/>
      <c r="W170" s="21"/>
      <c r="X170" s="21"/>
      <c r="Y170" s="1"/>
      <c r="Z170" s="1"/>
      <c r="AA170" s="1"/>
      <c r="AB170" s="28"/>
      <c r="AC170" s="2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8"/>
      <c r="T171" s="21"/>
      <c r="U171" s="1"/>
      <c r="V171" s="28"/>
      <c r="W171" s="21"/>
      <c r="X171" s="21"/>
      <c r="Y171" s="1"/>
      <c r="Z171" s="1"/>
      <c r="AA171" s="1"/>
      <c r="AB171" s="28"/>
      <c r="AC171" s="2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8"/>
      <c r="T172" s="21"/>
      <c r="U172" s="1"/>
      <c r="V172" s="28"/>
      <c r="W172" s="21"/>
      <c r="X172" s="21"/>
      <c r="Y172" s="1"/>
      <c r="Z172" s="1"/>
      <c r="AA172" s="1"/>
      <c r="AB172" s="28"/>
      <c r="AC172" s="2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8"/>
      <c r="T173" s="21"/>
      <c r="U173" s="1"/>
      <c r="V173" s="28"/>
      <c r="W173" s="21"/>
      <c r="X173" s="21"/>
      <c r="Y173" s="1"/>
      <c r="Z173" s="1"/>
      <c r="AA173" s="1"/>
      <c r="AB173" s="28"/>
      <c r="AC173" s="2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8"/>
      <c r="T174" s="21"/>
      <c r="U174" s="1"/>
      <c r="V174" s="28"/>
      <c r="W174" s="21"/>
      <c r="X174" s="21"/>
      <c r="Y174" s="1"/>
      <c r="Z174" s="1"/>
      <c r="AA174" s="1"/>
      <c r="AB174" s="28"/>
      <c r="AC174" s="2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8"/>
      <c r="T175" s="21"/>
      <c r="U175" s="1"/>
      <c r="V175" s="28"/>
      <c r="W175" s="21"/>
      <c r="X175" s="21"/>
      <c r="Y175" s="1"/>
      <c r="Z175" s="1"/>
      <c r="AA175" s="1"/>
      <c r="AB175" s="28"/>
      <c r="AC175" s="2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8"/>
      <c r="T176" s="21"/>
      <c r="U176" s="1"/>
      <c r="V176" s="28"/>
      <c r="W176" s="21"/>
      <c r="X176" s="21"/>
      <c r="Y176" s="1"/>
      <c r="Z176" s="1"/>
      <c r="AA176" s="1"/>
      <c r="AB176" s="28"/>
      <c r="AC176" s="2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8"/>
      <c r="T177" s="21"/>
      <c r="U177" s="1"/>
      <c r="V177" s="28"/>
      <c r="W177" s="21"/>
      <c r="X177" s="21"/>
      <c r="Y177" s="1"/>
      <c r="Z177" s="1"/>
      <c r="AA177" s="1"/>
      <c r="AB177" s="28"/>
      <c r="AC177" s="2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8"/>
      <c r="T178" s="21"/>
      <c r="U178" s="1"/>
      <c r="V178" s="28"/>
      <c r="W178" s="21"/>
      <c r="X178" s="21"/>
      <c r="Y178" s="1"/>
      <c r="Z178" s="1"/>
      <c r="AA178" s="1"/>
      <c r="AB178" s="28"/>
      <c r="AC178" s="2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8"/>
      <c r="T179" s="21"/>
      <c r="U179" s="1"/>
      <c r="V179" s="28"/>
      <c r="W179" s="21"/>
      <c r="X179" s="21"/>
      <c r="Y179" s="1"/>
      <c r="Z179" s="1"/>
      <c r="AA179" s="1"/>
      <c r="AB179" s="28"/>
      <c r="AC179" s="2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8"/>
      <c r="T180" s="21"/>
      <c r="U180" s="1"/>
      <c r="V180" s="28"/>
      <c r="W180" s="21"/>
      <c r="X180" s="21"/>
      <c r="Y180" s="1"/>
      <c r="Z180" s="1"/>
      <c r="AA180" s="1"/>
      <c r="AB180" s="28"/>
      <c r="AC180" s="2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8"/>
      <c r="T181" s="21"/>
      <c r="U181" s="1"/>
      <c r="V181" s="28"/>
      <c r="W181" s="21"/>
      <c r="X181" s="21"/>
      <c r="Y181" s="1"/>
      <c r="Z181" s="1"/>
      <c r="AA181" s="1"/>
      <c r="AB181" s="28"/>
      <c r="AC181" s="2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8"/>
      <c r="T182" s="21"/>
      <c r="U182" s="1"/>
      <c r="V182" s="28"/>
      <c r="W182" s="21"/>
      <c r="X182" s="21"/>
      <c r="Y182" s="1"/>
      <c r="Z182" s="1"/>
      <c r="AA182" s="1"/>
      <c r="AB182" s="28"/>
      <c r="AC182" s="2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8"/>
      <c r="T183" s="21"/>
      <c r="U183" s="1"/>
      <c r="V183" s="28"/>
      <c r="W183" s="21"/>
      <c r="X183" s="21"/>
      <c r="Y183" s="1"/>
      <c r="Z183" s="1"/>
      <c r="AA183" s="1"/>
      <c r="AB183" s="28"/>
      <c r="AC183" s="2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8"/>
      <c r="T184" s="21"/>
      <c r="U184" s="1"/>
      <c r="V184" s="28"/>
      <c r="W184" s="21"/>
      <c r="X184" s="21"/>
      <c r="Y184" s="1"/>
      <c r="Z184" s="1"/>
      <c r="AA184" s="1"/>
      <c r="AB184" s="28"/>
      <c r="AC184" s="2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8"/>
      <c r="T185" s="21"/>
      <c r="U185" s="1"/>
      <c r="V185" s="28"/>
      <c r="W185" s="21"/>
      <c r="X185" s="21"/>
      <c r="Y185" s="1"/>
      <c r="Z185" s="1"/>
      <c r="AA185" s="1"/>
      <c r="AB185" s="28"/>
      <c r="AC185" s="2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8"/>
      <c r="T186" s="21"/>
      <c r="U186" s="1"/>
      <c r="V186" s="28"/>
      <c r="W186" s="21"/>
      <c r="X186" s="21"/>
      <c r="Y186" s="1"/>
      <c r="Z186" s="1"/>
      <c r="AA186" s="1"/>
      <c r="AB186" s="28"/>
      <c r="AC186" s="2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8"/>
      <c r="T187" s="21"/>
      <c r="U187" s="1"/>
      <c r="V187" s="28"/>
      <c r="W187" s="21"/>
      <c r="X187" s="21"/>
      <c r="Y187" s="1"/>
      <c r="Z187" s="1"/>
      <c r="AA187" s="1"/>
      <c r="AB187" s="28"/>
      <c r="AC187" s="2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8"/>
      <c r="T188" s="21"/>
      <c r="U188" s="1"/>
      <c r="V188" s="28"/>
      <c r="W188" s="21"/>
      <c r="X188" s="21"/>
      <c r="Y188" s="1"/>
      <c r="Z188" s="1"/>
      <c r="AA188" s="1"/>
      <c r="AB188" s="28"/>
      <c r="AC188" s="2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8"/>
      <c r="T189" s="21"/>
      <c r="U189" s="1"/>
      <c r="V189" s="28"/>
      <c r="W189" s="21"/>
      <c r="X189" s="21"/>
      <c r="Y189" s="1"/>
      <c r="Z189" s="1"/>
      <c r="AA189" s="1"/>
      <c r="AB189" s="28"/>
      <c r="AC189" s="2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8"/>
      <c r="T190" s="21"/>
      <c r="U190" s="1"/>
      <c r="V190" s="28"/>
      <c r="W190" s="21"/>
      <c r="X190" s="21"/>
      <c r="Y190" s="1"/>
      <c r="Z190" s="1"/>
      <c r="AA190" s="1"/>
      <c r="AB190" s="28"/>
      <c r="AC190" s="2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8"/>
      <c r="T191" s="21"/>
      <c r="U191" s="1"/>
      <c r="V191" s="28"/>
      <c r="W191" s="21"/>
      <c r="X191" s="21"/>
      <c r="Y191" s="1"/>
      <c r="Z191" s="1"/>
      <c r="AA191" s="1"/>
      <c r="AB191" s="28"/>
      <c r="AC191" s="2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8"/>
      <c r="T192" s="21"/>
      <c r="U192" s="1"/>
      <c r="V192" s="28"/>
      <c r="W192" s="21"/>
      <c r="X192" s="21"/>
      <c r="Y192" s="1"/>
      <c r="Z192" s="1"/>
      <c r="AA192" s="1"/>
      <c r="AB192" s="28"/>
      <c r="AC192" s="2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8"/>
      <c r="T193" s="21"/>
      <c r="U193" s="1"/>
      <c r="V193" s="28"/>
      <c r="W193" s="21"/>
      <c r="X193" s="21"/>
      <c r="Y193" s="1"/>
      <c r="Z193" s="1"/>
      <c r="AA193" s="1"/>
      <c r="AB193" s="28"/>
      <c r="AC193" s="2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8"/>
      <c r="T194" s="21"/>
      <c r="U194" s="1"/>
      <c r="V194" s="28"/>
      <c r="W194" s="21"/>
      <c r="X194" s="21"/>
      <c r="Y194" s="1"/>
      <c r="Z194" s="1"/>
      <c r="AA194" s="1"/>
      <c r="AB194" s="28"/>
      <c r="AC194" s="2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8"/>
      <c r="T195" s="21"/>
      <c r="U195" s="1"/>
      <c r="V195" s="28"/>
      <c r="W195" s="21"/>
      <c r="X195" s="21"/>
      <c r="Y195" s="1"/>
      <c r="Z195" s="1"/>
      <c r="AA195" s="1"/>
      <c r="AB195" s="28"/>
      <c r="AC195" s="2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8"/>
      <c r="T196" s="21"/>
      <c r="U196" s="1"/>
      <c r="V196" s="28"/>
      <c r="W196" s="21"/>
      <c r="X196" s="21"/>
      <c r="Y196" s="1"/>
      <c r="Z196" s="1"/>
      <c r="AA196" s="1"/>
      <c r="AB196" s="28"/>
      <c r="AC196" s="2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8"/>
      <c r="T197" s="21"/>
      <c r="U197" s="1"/>
      <c r="V197" s="28"/>
      <c r="W197" s="21"/>
      <c r="X197" s="21"/>
      <c r="Y197" s="1"/>
      <c r="Z197" s="1"/>
      <c r="AA197" s="1"/>
      <c r="AB197" s="28"/>
      <c r="AC197" s="2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8"/>
      <c r="T198" s="21"/>
      <c r="U198" s="1"/>
      <c r="V198" s="28"/>
      <c r="W198" s="21"/>
      <c r="X198" s="21"/>
      <c r="Y198" s="1"/>
      <c r="Z198" s="1"/>
      <c r="AA198" s="1"/>
      <c r="AB198" s="28"/>
      <c r="AC198" s="2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8"/>
      <c r="T199" s="21"/>
      <c r="U199" s="1"/>
      <c r="V199" s="28"/>
      <c r="W199" s="21"/>
      <c r="X199" s="21"/>
      <c r="Y199" s="1"/>
      <c r="Z199" s="1"/>
      <c r="AA199" s="1"/>
      <c r="AB199" s="28"/>
      <c r="AC199" s="2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8"/>
      <c r="T200" s="21"/>
      <c r="U200" s="1"/>
      <c r="V200" s="28"/>
      <c r="W200" s="21"/>
      <c r="X200" s="21"/>
      <c r="Y200" s="1"/>
      <c r="Z200" s="1"/>
      <c r="AA200" s="1"/>
      <c r="AB200" s="28"/>
      <c r="AC200" s="2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8"/>
      <c r="T201" s="21"/>
      <c r="U201" s="1"/>
      <c r="V201" s="28"/>
      <c r="W201" s="21"/>
      <c r="X201" s="21"/>
      <c r="Y201" s="1"/>
      <c r="Z201" s="1"/>
      <c r="AA201" s="1"/>
      <c r="AB201" s="28"/>
      <c r="AC201" s="2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8"/>
      <c r="T202" s="21"/>
      <c r="U202" s="1"/>
      <c r="V202" s="28"/>
      <c r="W202" s="21"/>
      <c r="X202" s="21"/>
      <c r="Y202" s="1"/>
      <c r="Z202" s="1"/>
      <c r="AA202" s="1"/>
      <c r="AB202" s="28"/>
      <c r="AC202" s="2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8"/>
      <c r="T203" s="21"/>
      <c r="U203" s="1"/>
      <c r="V203" s="28"/>
      <c r="W203" s="21"/>
      <c r="X203" s="21"/>
      <c r="Y203" s="1"/>
      <c r="Z203" s="1"/>
      <c r="AA203" s="1"/>
      <c r="AB203" s="28"/>
      <c r="AC203" s="2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8"/>
      <c r="T204" s="21"/>
      <c r="U204" s="1"/>
      <c r="V204" s="28"/>
      <c r="W204" s="21"/>
      <c r="X204" s="21"/>
      <c r="Y204" s="1"/>
      <c r="Z204" s="1"/>
      <c r="AA204" s="1"/>
      <c r="AB204" s="28"/>
      <c r="AC204" s="2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8"/>
      <c r="T205" s="21"/>
      <c r="U205" s="1"/>
      <c r="V205" s="28"/>
      <c r="W205" s="21"/>
      <c r="X205" s="21"/>
      <c r="Y205" s="1"/>
      <c r="Z205" s="1"/>
      <c r="AA205" s="1"/>
      <c r="AB205" s="28"/>
      <c r="AC205" s="2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8"/>
      <c r="T206" s="21"/>
      <c r="U206" s="1"/>
      <c r="V206" s="28"/>
      <c r="W206" s="21"/>
      <c r="X206" s="21"/>
      <c r="Y206" s="1"/>
      <c r="Z206" s="1"/>
      <c r="AA206" s="1"/>
      <c r="AB206" s="28"/>
      <c r="AC206" s="2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8"/>
      <c r="T207" s="21"/>
      <c r="U207" s="1"/>
      <c r="V207" s="28"/>
      <c r="W207" s="21"/>
      <c r="X207" s="21"/>
      <c r="Y207" s="1"/>
      <c r="Z207" s="1"/>
      <c r="AA207" s="1"/>
      <c r="AB207" s="28"/>
      <c r="AC207" s="2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8"/>
      <c r="T208" s="21"/>
      <c r="U208" s="1"/>
      <c r="V208" s="28"/>
      <c r="W208" s="21"/>
      <c r="X208" s="21"/>
      <c r="Y208" s="1"/>
      <c r="Z208" s="1"/>
      <c r="AA208" s="1"/>
      <c r="AB208" s="28"/>
      <c r="AC208" s="2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8"/>
      <c r="T209" s="21"/>
      <c r="U209" s="1"/>
      <c r="V209" s="28"/>
      <c r="W209" s="21"/>
      <c r="X209" s="21"/>
      <c r="Y209" s="1"/>
      <c r="Z209" s="1"/>
      <c r="AA209" s="1"/>
      <c r="AB209" s="28"/>
      <c r="AC209" s="2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8"/>
      <c r="T210" s="21"/>
      <c r="U210" s="1"/>
      <c r="V210" s="28"/>
      <c r="W210" s="21"/>
      <c r="X210" s="21"/>
      <c r="Y210" s="1"/>
      <c r="Z210" s="1"/>
      <c r="AA210" s="1"/>
      <c r="AB210" s="28"/>
      <c r="AC210" s="2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8"/>
      <c r="T211" s="21"/>
      <c r="U211" s="1"/>
      <c r="V211" s="28"/>
      <c r="W211" s="21"/>
      <c r="X211" s="21"/>
      <c r="Y211" s="1"/>
      <c r="Z211" s="1"/>
      <c r="AA211" s="1"/>
      <c r="AB211" s="28"/>
      <c r="AC211" s="2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8"/>
      <c r="T212" s="21"/>
      <c r="U212" s="1"/>
      <c r="V212" s="28"/>
      <c r="W212" s="21"/>
      <c r="X212" s="21"/>
      <c r="Y212" s="1"/>
      <c r="Z212" s="1"/>
      <c r="AA212" s="1"/>
      <c r="AB212" s="28"/>
      <c r="AC212" s="2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8"/>
      <c r="T213" s="21"/>
      <c r="U213" s="1"/>
      <c r="V213" s="28"/>
      <c r="W213" s="21"/>
      <c r="X213" s="21"/>
      <c r="Y213" s="1"/>
      <c r="Z213" s="1"/>
      <c r="AA213" s="1"/>
      <c r="AB213" s="28"/>
      <c r="AC213" s="2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8"/>
      <c r="T214" s="21"/>
      <c r="U214" s="1"/>
      <c r="V214" s="28"/>
      <c r="W214" s="21"/>
      <c r="X214" s="21"/>
      <c r="Y214" s="1"/>
      <c r="Z214" s="1"/>
      <c r="AA214" s="1"/>
      <c r="AB214" s="28"/>
      <c r="AC214" s="2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8"/>
      <c r="T215" s="21"/>
      <c r="U215" s="1"/>
      <c r="V215" s="28"/>
      <c r="W215" s="21"/>
      <c r="X215" s="21"/>
      <c r="Y215" s="1"/>
      <c r="Z215" s="1"/>
      <c r="AA215" s="1"/>
      <c r="AB215" s="28"/>
      <c r="AC215" s="2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8"/>
      <c r="T216" s="21"/>
      <c r="U216" s="1"/>
      <c r="V216" s="28"/>
      <c r="W216" s="21"/>
      <c r="X216" s="21"/>
      <c r="Y216" s="1"/>
      <c r="Z216" s="1"/>
      <c r="AA216" s="1"/>
      <c r="AB216" s="28"/>
      <c r="AC216" s="2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8"/>
      <c r="T217" s="21"/>
      <c r="U217" s="1"/>
      <c r="V217" s="28"/>
      <c r="W217" s="21"/>
      <c r="X217" s="21"/>
      <c r="Y217" s="1"/>
      <c r="Z217" s="1"/>
      <c r="AA217" s="1"/>
      <c r="AB217" s="28"/>
      <c r="AC217" s="2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8"/>
      <c r="T218" s="21"/>
      <c r="U218" s="1"/>
      <c r="V218" s="28"/>
      <c r="W218" s="21"/>
      <c r="X218" s="21"/>
      <c r="Y218" s="1"/>
      <c r="Z218" s="1"/>
      <c r="AA218" s="1"/>
      <c r="AB218" s="28"/>
      <c r="AC218" s="2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8"/>
      <c r="T219" s="21"/>
      <c r="U219" s="1"/>
      <c r="V219" s="28"/>
      <c r="W219" s="21"/>
      <c r="X219" s="21"/>
      <c r="Y219" s="1"/>
      <c r="Z219" s="1"/>
      <c r="AA219" s="1"/>
      <c r="AB219" s="28"/>
      <c r="AC219" s="2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8"/>
      <c r="T220" s="21"/>
      <c r="U220" s="1"/>
      <c r="V220" s="28"/>
      <c r="W220" s="21"/>
      <c r="X220" s="21"/>
      <c r="Y220" s="1"/>
      <c r="Z220" s="1"/>
      <c r="AA220" s="1"/>
      <c r="AB220" s="28"/>
      <c r="AC220" s="2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8"/>
      <c r="T221" s="21"/>
      <c r="U221" s="1"/>
      <c r="V221" s="28"/>
      <c r="W221" s="21"/>
      <c r="X221" s="21"/>
      <c r="Y221" s="1"/>
      <c r="Z221" s="1"/>
      <c r="AA221" s="1"/>
      <c r="AB221" s="28"/>
      <c r="AC221" s="2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8"/>
      <c r="T222" s="21"/>
      <c r="U222" s="1"/>
      <c r="V222" s="28"/>
      <c r="W222" s="21"/>
      <c r="X222" s="21"/>
      <c r="Y222" s="1"/>
      <c r="Z222" s="1"/>
      <c r="AA222" s="1"/>
      <c r="AB222" s="28"/>
      <c r="AC222" s="2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8"/>
      <c r="T223" s="21"/>
      <c r="U223" s="1"/>
      <c r="V223" s="28"/>
      <c r="W223" s="21"/>
      <c r="X223" s="21"/>
      <c r="Y223" s="1"/>
      <c r="Z223" s="1"/>
      <c r="AA223" s="1"/>
      <c r="AB223" s="28"/>
      <c r="AC223" s="2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8"/>
      <c r="T224" s="21"/>
      <c r="U224" s="1"/>
      <c r="V224" s="28"/>
      <c r="W224" s="21"/>
      <c r="X224" s="21"/>
      <c r="Y224" s="1"/>
      <c r="Z224" s="1"/>
      <c r="AA224" s="1"/>
      <c r="AB224" s="28"/>
      <c r="AC224" s="2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8"/>
      <c r="T225" s="21"/>
      <c r="U225" s="1"/>
      <c r="V225" s="28"/>
      <c r="W225" s="21"/>
      <c r="X225" s="21"/>
      <c r="Y225" s="1"/>
      <c r="Z225" s="1"/>
      <c r="AA225" s="1"/>
      <c r="AB225" s="28"/>
      <c r="AC225" s="2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8"/>
      <c r="T226" s="21"/>
      <c r="U226" s="1"/>
      <c r="V226" s="28"/>
      <c r="W226" s="21"/>
      <c r="X226" s="21"/>
      <c r="Y226" s="1"/>
      <c r="Z226" s="1"/>
      <c r="AA226" s="1"/>
      <c r="AB226" s="28"/>
      <c r="AC226" s="2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8"/>
      <c r="T227" s="21"/>
      <c r="U227" s="1"/>
      <c r="V227" s="28"/>
      <c r="W227" s="21"/>
      <c r="X227" s="21"/>
      <c r="Y227" s="1"/>
      <c r="Z227" s="1"/>
      <c r="AA227" s="1"/>
      <c r="AB227" s="28"/>
      <c r="AC227" s="2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8"/>
      <c r="T228" s="21"/>
      <c r="U228" s="1"/>
      <c r="V228" s="28"/>
      <c r="W228" s="21"/>
      <c r="X228" s="21"/>
      <c r="Y228" s="1"/>
      <c r="Z228" s="1"/>
      <c r="AA228" s="1"/>
      <c r="AB228" s="28"/>
      <c r="AC228" s="2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8"/>
      <c r="T229" s="21"/>
      <c r="U229" s="1"/>
      <c r="V229" s="28"/>
      <c r="W229" s="21"/>
      <c r="X229" s="21"/>
      <c r="Y229" s="1"/>
      <c r="Z229" s="1"/>
      <c r="AA229" s="1"/>
      <c r="AB229" s="28"/>
      <c r="AC229" s="2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8"/>
      <c r="T230" s="21"/>
      <c r="U230" s="1"/>
      <c r="V230" s="28"/>
      <c r="W230" s="21"/>
      <c r="X230" s="21"/>
      <c r="Y230" s="1"/>
      <c r="Z230" s="1"/>
      <c r="AA230" s="1"/>
      <c r="AB230" s="28"/>
      <c r="AC230" s="2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8"/>
      <c r="T231" s="21"/>
      <c r="U231" s="1"/>
      <c r="V231" s="28"/>
      <c r="W231" s="21"/>
      <c r="X231" s="21"/>
      <c r="Y231" s="1"/>
      <c r="Z231" s="1"/>
      <c r="AA231" s="1"/>
      <c r="AB231" s="28"/>
      <c r="AC231" s="2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8"/>
      <c r="T232" s="21"/>
      <c r="U232" s="1"/>
      <c r="V232" s="28"/>
      <c r="W232" s="21"/>
      <c r="X232" s="21"/>
      <c r="Y232" s="1"/>
      <c r="Z232" s="1"/>
      <c r="AA232" s="1"/>
      <c r="AB232" s="28"/>
      <c r="AC232" s="2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8"/>
      <c r="T233" s="21"/>
      <c r="U233" s="1"/>
      <c r="V233" s="28"/>
      <c r="W233" s="21"/>
      <c r="X233" s="21"/>
      <c r="Y233" s="1"/>
      <c r="Z233" s="1"/>
      <c r="AA233" s="1"/>
      <c r="AB233" s="28"/>
      <c r="AC233" s="2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8"/>
      <c r="T234" s="21"/>
      <c r="U234" s="1"/>
      <c r="V234" s="28"/>
      <c r="W234" s="21"/>
      <c r="X234" s="21"/>
      <c r="Y234" s="1"/>
      <c r="Z234" s="1"/>
      <c r="AA234" s="1"/>
      <c r="AB234" s="28"/>
      <c r="AC234" s="2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8"/>
      <c r="T235" s="21"/>
      <c r="U235" s="1"/>
      <c r="V235" s="28"/>
      <c r="W235" s="21"/>
      <c r="X235" s="21"/>
      <c r="Y235" s="1"/>
      <c r="Z235" s="1"/>
      <c r="AA235" s="1"/>
      <c r="AB235" s="28"/>
      <c r="AC235" s="2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8"/>
      <c r="T236" s="21"/>
      <c r="U236" s="1"/>
      <c r="V236" s="28"/>
      <c r="W236" s="21"/>
      <c r="X236" s="21"/>
      <c r="Y236" s="1"/>
      <c r="Z236" s="1"/>
      <c r="AA236" s="1"/>
      <c r="AB236" s="28"/>
      <c r="AC236" s="2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8"/>
      <c r="T237" s="21"/>
      <c r="U237" s="1"/>
      <c r="V237" s="28"/>
      <c r="W237" s="21"/>
      <c r="X237" s="21"/>
      <c r="Y237" s="1"/>
      <c r="Z237" s="1"/>
      <c r="AA237" s="1"/>
      <c r="AB237" s="28"/>
      <c r="AC237" s="2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8"/>
      <c r="T238" s="21"/>
      <c r="U238" s="1"/>
      <c r="V238" s="28"/>
      <c r="W238" s="21"/>
      <c r="X238" s="21"/>
      <c r="Y238" s="1"/>
      <c r="Z238" s="1"/>
      <c r="AA238" s="1"/>
      <c r="AB238" s="28"/>
      <c r="AC238" s="2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8"/>
      <c r="T239" s="21"/>
      <c r="U239" s="1"/>
      <c r="V239" s="28"/>
      <c r="W239" s="21"/>
      <c r="X239" s="21"/>
      <c r="Y239" s="1"/>
      <c r="Z239" s="1"/>
      <c r="AA239" s="1"/>
      <c r="AB239" s="28"/>
      <c r="AC239" s="2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8"/>
      <c r="T240" s="21"/>
      <c r="U240" s="1"/>
      <c r="V240" s="28"/>
      <c r="W240" s="21"/>
      <c r="X240" s="21"/>
      <c r="Y240" s="1"/>
      <c r="Z240" s="1"/>
      <c r="AA240" s="1"/>
      <c r="AB240" s="28"/>
      <c r="AC240" s="2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8"/>
      <c r="T241" s="21"/>
      <c r="U241" s="1"/>
      <c r="V241" s="28"/>
      <c r="W241" s="21"/>
      <c r="X241" s="21"/>
      <c r="Y241" s="1"/>
      <c r="Z241" s="1"/>
      <c r="AA241" s="1"/>
      <c r="AB241" s="28"/>
      <c r="AC241" s="2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8"/>
      <c r="T242" s="21"/>
      <c r="U242" s="1"/>
      <c r="V242" s="28"/>
      <c r="W242" s="21"/>
      <c r="X242" s="21"/>
      <c r="Y242" s="1"/>
      <c r="Z242" s="1"/>
      <c r="AA242" s="1"/>
      <c r="AB242" s="28"/>
      <c r="AC242" s="2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8"/>
      <c r="T243" s="21"/>
      <c r="U243" s="1"/>
      <c r="V243" s="28"/>
      <c r="W243" s="21"/>
      <c r="X243" s="21"/>
      <c r="Y243" s="1"/>
      <c r="Z243" s="1"/>
      <c r="AA243" s="1"/>
      <c r="AB243" s="28"/>
      <c r="AC243" s="2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8"/>
      <c r="T244" s="21"/>
      <c r="U244" s="1"/>
      <c r="V244" s="28"/>
      <c r="W244" s="21"/>
      <c r="X244" s="21"/>
      <c r="Y244" s="1"/>
      <c r="Z244" s="1"/>
      <c r="AA244" s="1"/>
      <c r="AB244" s="28"/>
      <c r="AC244" s="2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8"/>
      <c r="T245" s="21"/>
      <c r="U245" s="1"/>
      <c r="V245" s="28"/>
      <c r="W245" s="21"/>
      <c r="X245" s="21"/>
      <c r="Y245" s="1"/>
      <c r="Z245" s="1"/>
      <c r="AA245" s="1"/>
      <c r="AB245" s="28"/>
      <c r="AC245" s="2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8"/>
      <c r="T246" s="21"/>
      <c r="U246" s="1"/>
      <c r="V246" s="28"/>
      <c r="W246" s="21"/>
      <c r="X246" s="21"/>
      <c r="Y246" s="1"/>
      <c r="Z246" s="1"/>
      <c r="AA246" s="1"/>
      <c r="AB246" s="28"/>
      <c r="AC246" s="2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8"/>
      <c r="T247" s="21"/>
      <c r="U247" s="1"/>
      <c r="V247" s="28"/>
      <c r="W247" s="21"/>
      <c r="X247" s="21"/>
      <c r="Y247" s="1"/>
      <c r="Z247" s="1"/>
      <c r="AA247" s="1"/>
      <c r="AB247" s="28"/>
      <c r="AC247" s="2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8"/>
      <c r="T248" s="21"/>
      <c r="U248" s="1"/>
      <c r="V248" s="28"/>
      <c r="W248" s="21"/>
      <c r="X248" s="21"/>
      <c r="Y248" s="1"/>
      <c r="Z248" s="1"/>
      <c r="AA248" s="1"/>
      <c r="AB248" s="28"/>
      <c r="AC248" s="2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8"/>
      <c r="T249" s="21"/>
      <c r="U249" s="1"/>
      <c r="V249" s="28"/>
      <c r="W249" s="21"/>
      <c r="X249" s="21"/>
      <c r="Y249" s="1"/>
      <c r="Z249" s="1"/>
      <c r="AA249" s="1"/>
      <c r="AB249" s="28"/>
      <c r="AC249" s="2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8"/>
      <c r="T250" s="21"/>
      <c r="U250" s="1"/>
      <c r="V250" s="28"/>
      <c r="W250" s="21"/>
      <c r="X250" s="21"/>
      <c r="Y250" s="1"/>
      <c r="Z250" s="1"/>
      <c r="AA250" s="1"/>
      <c r="AB250" s="28"/>
      <c r="AC250" s="2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8"/>
      <c r="T251" s="21"/>
      <c r="U251" s="1"/>
      <c r="V251" s="28"/>
      <c r="W251" s="21"/>
      <c r="X251" s="21"/>
      <c r="Y251" s="1"/>
      <c r="Z251" s="1"/>
      <c r="AA251" s="1"/>
      <c r="AB251" s="28"/>
      <c r="AC251" s="2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8"/>
      <c r="T252" s="21"/>
      <c r="U252" s="1"/>
      <c r="V252" s="28"/>
      <c r="W252" s="21"/>
      <c r="X252" s="21"/>
      <c r="Y252" s="1"/>
      <c r="Z252" s="1"/>
      <c r="AA252" s="1"/>
      <c r="AB252" s="28"/>
      <c r="AC252" s="2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8"/>
      <c r="T253" s="21"/>
      <c r="U253" s="1"/>
      <c r="V253" s="28"/>
      <c r="W253" s="21"/>
      <c r="X253" s="21"/>
      <c r="Y253" s="1"/>
      <c r="Z253" s="1"/>
      <c r="AA253" s="1"/>
      <c r="AB253" s="28"/>
      <c r="AC253" s="2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8"/>
      <c r="T254" s="21"/>
      <c r="U254" s="1"/>
      <c r="V254" s="28"/>
      <c r="W254" s="21"/>
      <c r="X254" s="21"/>
      <c r="Y254" s="1"/>
      <c r="Z254" s="1"/>
      <c r="AA254" s="1"/>
      <c r="AB254" s="28"/>
      <c r="AC254" s="2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8"/>
      <c r="T255" s="21"/>
      <c r="U255" s="1"/>
      <c r="V255" s="28"/>
      <c r="W255" s="21"/>
      <c r="X255" s="21"/>
      <c r="Y255" s="1"/>
      <c r="Z255" s="1"/>
      <c r="AA255" s="1"/>
      <c r="AB255" s="28"/>
      <c r="AC255" s="2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8"/>
      <c r="T256" s="21"/>
      <c r="U256" s="1"/>
      <c r="V256" s="28"/>
      <c r="W256" s="21"/>
      <c r="X256" s="21"/>
      <c r="Y256" s="1"/>
      <c r="Z256" s="1"/>
      <c r="AA256" s="1"/>
      <c r="AB256" s="28"/>
      <c r="AC256" s="2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8"/>
      <c r="T257" s="21"/>
      <c r="U257" s="1"/>
      <c r="V257" s="28"/>
      <c r="W257" s="21"/>
      <c r="X257" s="21"/>
      <c r="Y257" s="1"/>
      <c r="Z257" s="1"/>
      <c r="AA257" s="1"/>
      <c r="AB257" s="28"/>
      <c r="AC257" s="2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8"/>
      <c r="T258" s="21"/>
      <c r="U258" s="1"/>
      <c r="V258" s="28"/>
      <c r="W258" s="21"/>
      <c r="X258" s="21"/>
      <c r="Y258" s="1"/>
      <c r="Z258" s="1"/>
      <c r="AA258" s="1"/>
      <c r="AB258" s="28"/>
      <c r="AC258" s="2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8"/>
      <c r="T259" s="21"/>
      <c r="U259" s="1"/>
      <c r="V259" s="28"/>
      <c r="W259" s="21"/>
      <c r="X259" s="21"/>
      <c r="Y259" s="1"/>
      <c r="Z259" s="1"/>
      <c r="AA259" s="1"/>
      <c r="AB259" s="28"/>
      <c r="AC259" s="2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8"/>
      <c r="T260" s="21"/>
      <c r="U260" s="1"/>
      <c r="V260" s="28"/>
      <c r="W260" s="21"/>
      <c r="X260" s="21"/>
      <c r="Y260" s="1"/>
      <c r="Z260" s="1"/>
      <c r="AA260" s="1"/>
      <c r="AB260" s="28"/>
      <c r="AC260" s="2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8"/>
      <c r="T261" s="21"/>
      <c r="U261" s="1"/>
      <c r="V261" s="28"/>
      <c r="W261" s="21"/>
      <c r="X261" s="21"/>
      <c r="Y261" s="1"/>
      <c r="Z261" s="1"/>
      <c r="AA261" s="1"/>
      <c r="AB261" s="28"/>
      <c r="AC261" s="2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8"/>
      <c r="T262" s="21"/>
      <c r="U262" s="1"/>
      <c r="V262" s="28"/>
      <c r="W262" s="21"/>
      <c r="X262" s="21"/>
      <c r="Y262" s="1"/>
      <c r="Z262" s="1"/>
      <c r="AA262" s="1"/>
      <c r="AB262" s="28"/>
      <c r="AC262" s="2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8"/>
      <c r="T263" s="21"/>
      <c r="U263" s="1"/>
      <c r="V263" s="28"/>
      <c r="W263" s="21"/>
      <c r="X263" s="21"/>
      <c r="Y263" s="1"/>
      <c r="Z263" s="1"/>
      <c r="AA263" s="1"/>
      <c r="AB263" s="28"/>
      <c r="AC263" s="2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8"/>
      <c r="T264" s="21"/>
      <c r="U264" s="1"/>
      <c r="V264" s="28"/>
      <c r="W264" s="21"/>
      <c r="X264" s="21"/>
      <c r="Y264" s="1"/>
      <c r="Z264" s="1"/>
      <c r="AA264" s="1"/>
      <c r="AB264" s="28"/>
      <c r="AC264" s="2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8"/>
      <c r="T265" s="21"/>
      <c r="U265" s="1"/>
      <c r="V265" s="28"/>
      <c r="W265" s="21"/>
      <c r="X265" s="21"/>
      <c r="Y265" s="1"/>
      <c r="Z265" s="1"/>
      <c r="AA265" s="1"/>
      <c r="AB265" s="28"/>
      <c r="AC265" s="2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8"/>
      <c r="T266" s="21"/>
      <c r="U266" s="1"/>
      <c r="V266" s="28"/>
      <c r="W266" s="21"/>
      <c r="X266" s="21"/>
      <c r="Y266" s="1"/>
      <c r="Z266" s="1"/>
      <c r="AA266" s="1"/>
      <c r="AB266" s="28"/>
      <c r="AC266" s="2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8"/>
      <c r="T267" s="21"/>
      <c r="U267" s="1"/>
      <c r="V267" s="28"/>
      <c r="W267" s="21"/>
      <c r="X267" s="21"/>
      <c r="Y267" s="1"/>
      <c r="Z267" s="1"/>
      <c r="AA267" s="1"/>
      <c r="AB267" s="28"/>
      <c r="AC267" s="2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8"/>
      <c r="T268" s="21"/>
      <c r="U268" s="1"/>
      <c r="V268" s="28"/>
      <c r="W268" s="21"/>
      <c r="X268" s="21"/>
      <c r="Y268" s="1"/>
      <c r="Z268" s="1"/>
      <c r="AA268" s="1"/>
      <c r="AB268" s="28"/>
      <c r="AC268" s="2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8"/>
      <c r="T269" s="21"/>
      <c r="U269" s="1"/>
      <c r="V269" s="28"/>
      <c r="W269" s="21"/>
      <c r="X269" s="21"/>
      <c r="Y269" s="1"/>
      <c r="Z269" s="1"/>
      <c r="AA269" s="1"/>
      <c r="AB269" s="28"/>
      <c r="AC269" s="2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8"/>
      <c r="T270" s="21"/>
      <c r="U270" s="1"/>
      <c r="V270" s="28"/>
      <c r="W270" s="21"/>
      <c r="X270" s="21"/>
      <c r="Y270" s="1"/>
      <c r="Z270" s="1"/>
      <c r="AA270" s="1"/>
      <c r="AB270" s="28"/>
      <c r="AC270" s="2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8"/>
      <c r="T271" s="21"/>
      <c r="U271" s="1"/>
      <c r="V271" s="28"/>
      <c r="W271" s="21"/>
      <c r="X271" s="21"/>
      <c r="Y271" s="1"/>
      <c r="Z271" s="1"/>
      <c r="AA271" s="1"/>
      <c r="AB271" s="28"/>
      <c r="AC271" s="2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8"/>
      <c r="T272" s="21"/>
      <c r="U272" s="1"/>
      <c r="V272" s="28"/>
      <c r="W272" s="21"/>
      <c r="X272" s="21"/>
      <c r="Y272" s="1"/>
      <c r="Z272" s="1"/>
      <c r="AA272" s="1"/>
      <c r="AB272" s="28"/>
      <c r="AC272" s="2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8"/>
      <c r="T273" s="21"/>
      <c r="U273" s="1"/>
      <c r="V273" s="28"/>
      <c r="W273" s="21"/>
      <c r="X273" s="21"/>
      <c r="Y273" s="1"/>
      <c r="Z273" s="1"/>
      <c r="AA273" s="1"/>
      <c r="AB273" s="28"/>
      <c r="AC273" s="2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8"/>
      <c r="T274" s="21"/>
      <c r="U274" s="1"/>
      <c r="V274" s="28"/>
      <c r="W274" s="21"/>
      <c r="X274" s="21"/>
      <c r="Y274" s="1"/>
      <c r="Z274" s="1"/>
      <c r="AA274" s="1"/>
      <c r="AB274" s="28"/>
      <c r="AC274" s="2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8"/>
      <c r="T275" s="21"/>
      <c r="U275" s="1"/>
      <c r="V275" s="28"/>
      <c r="W275" s="21"/>
      <c r="X275" s="21"/>
      <c r="Y275" s="1"/>
      <c r="Z275" s="1"/>
      <c r="AA275" s="1"/>
      <c r="AB275" s="28"/>
      <c r="AC275" s="2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8"/>
      <c r="T276" s="21"/>
      <c r="U276" s="1"/>
      <c r="V276" s="28"/>
      <c r="W276" s="21"/>
      <c r="X276" s="21"/>
      <c r="Y276" s="1"/>
      <c r="Z276" s="1"/>
      <c r="AA276" s="1"/>
      <c r="AB276" s="28"/>
      <c r="AC276" s="2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8"/>
      <c r="T277" s="21"/>
      <c r="U277" s="1"/>
      <c r="V277" s="28"/>
      <c r="W277" s="21"/>
      <c r="X277" s="21"/>
      <c r="Y277" s="1"/>
      <c r="Z277" s="1"/>
      <c r="AA277" s="1"/>
      <c r="AB277" s="28"/>
      <c r="AC277" s="2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8"/>
      <c r="T278" s="21"/>
      <c r="U278" s="1"/>
      <c r="V278" s="28"/>
      <c r="W278" s="21"/>
      <c r="X278" s="21"/>
      <c r="Y278" s="1"/>
      <c r="Z278" s="1"/>
      <c r="AA278" s="1"/>
      <c r="AB278" s="28"/>
      <c r="AC278" s="2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8"/>
      <c r="T279" s="21"/>
      <c r="U279" s="1"/>
      <c r="V279" s="28"/>
      <c r="W279" s="21"/>
      <c r="X279" s="21"/>
      <c r="Y279" s="1"/>
      <c r="Z279" s="1"/>
      <c r="AA279" s="1"/>
      <c r="AB279" s="28"/>
      <c r="AC279" s="2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8"/>
      <c r="T280" s="21"/>
      <c r="U280" s="1"/>
      <c r="V280" s="28"/>
      <c r="W280" s="21"/>
      <c r="X280" s="21"/>
      <c r="Y280" s="1"/>
      <c r="Z280" s="1"/>
      <c r="AA280" s="1"/>
      <c r="AB280" s="28"/>
      <c r="AC280" s="2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8"/>
      <c r="T281" s="21"/>
      <c r="U281" s="1"/>
      <c r="V281" s="28"/>
      <c r="W281" s="21"/>
      <c r="X281" s="21"/>
      <c r="Y281" s="1"/>
      <c r="Z281" s="1"/>
      <c r="AA281" s="1"/>
      <c r="AB281" s="28"/>
      <c r="AC281" s="2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8"/>
      <c r="T282" s="21"/>
      <c r="U282" s="1"/>
      <c r="V282" s="28"/>
      <c r="W282" s="21"/>
      <c r="X282" s="21"/>
      <c r="Y282" s="1"/>
      <c r="Z282" s="1"/>
      <c r="AA282" s="1"/>
      <c r="AB282" s="28"/>
      <c r="AC282" s="2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8"/>
      <c r="T283" s="21"/>
      <c r="U283" s="1"/>
      <c r="V283" s="28"/>
      <c r="W283" s="21"/>
      <c r="X283" s="21"/>
      <c r="Y283" s="1"/>
      <c r="Z283" s="1"/>
      <c r="AA283" s="1"/>
      <c r="AB283" s="28"/>
      <c r="AC283" s="2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8"/>
      <c r="T284" s="21"/>
      <c r="U284" s="1"/>
      <c r="V284" s="28"/>
      <c r="W284" s="21"/>
      <c r="X284" s="21"/>
      <c r="Y284" s="1"/>
      <c r="Z284" s="1"/>
      <c r="AA284" s="1"/>
      <c r="AB284" s="28"/>
      <c r="AC284" s="2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8"/>
      <c r="T285" s="21"/>
      <c r="U285" s="1"/>
      <c r="V285" s="28"/>
      <c r="W285" s="21"/>
      <c r="X285" s="21"/>
      <c r="Y285" s="1"/>
      <c r="Z285" s="1"/>
      <c r="AA285" s="1"/>
      <c r="AB285" s="28"/>
      <c r="AC285" s="2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8"/>
      <c r="T286" s="21"/>
      <c r="U286" s="1"/>
      <c r="V286" s="28"/>
      <c r="W286" s="21"/>
      <c r="X286" s="21"/>
      <c r="Y286" s="1"/>
      <c r="Z286" s="1"/>
      <c r="AA286" s="1"/>
      <c r="AB286" s="28"/>
      <c r="AC286" s="2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8"/>
      <c r="T287" s="21"/>
      <c r="U287" s="1"/>
      <c r="V287" s="28"/>
      <c r="W287" s="21"/>
      <c r="X287" s="21"/>
      <c r="Y287" s="1"/>
      <c r="Z287" s="1"/>
      <c r="AA287" s="1"/>
      <c r="AB287" s="28"/>
      <c r="AC287" s="2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8"/>
      <c r="T288" s="21"/>
      <c r="U288" s="1"/>
      <c r="V288" s="28"/>
      <c r="W288" s="21"/>
      <c r="X288" s="21"/>
      <c r="Y288" s="1"/>
      <c r="Z288" s="1"/>
      <c r="AA288" s="1"/>
      <c r="AB288" s="28"/>
      <c r="AC288" s="2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8"/>
      <c r="T289" s="21"/>
      <c r="U289" s="1"/>
      <c r="V289" s="28"/>
      <c r="W289" s="21"/>
      <c r="X289" s="21"/>
      <c r="Y289" s="1"/>
      <c r="Z289" s="1"/>
      <c r="AA289" s="1"/>
      <c r="AB289" s="28"/>
      <c r="AC289" s="2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8"/>
      <c r="T290" s="21"/>
      <c r="U290" s="1"/>
      <c r="V290" s="28"/>
      <c r="W290" s="21"/>
      <c r="X290" s="21"/>
      <c r="Y290" s="1"/>
      <c r="Z290" s="1"/>
      <c r="AA290" s="1"/>
      <c r="AB290" s="28"/>
      <c r="AC290" s="2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8"/>
      <c r="T291" s="21"/>
      <c r="U291" s="1"/>
      <c r="V291" s="28"/>
      <c r="W291" s="21"/>
      <c r="X291" s="21"/>
      <c r="Y291" s="1"/>
      <c r="Z291" s="1"/>
      <c r="AA291" s="1"/>
      <c r="AB291" s="28"/>
      <c r="AC291" s="2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8"/>
      <c r="T292" s="21"/>
      <c r="U292" s="1"/>
      <c r="V292" s="28"/>
      <c r="W292" s="21"/>
      <c r="X292" s="21"/>
      <c r="Y292" s="1"/>
      <c r="Z292" s="1"/>
      <c r="AA292" s="1"/>
      <c r="AB292" s="28"/>
      <c r="AC292" s="2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8"/>
      <c r="T293" s="21"/>
      <c r="U293" s="1"/>
      <c r="V293" s="28"/>
      <c r="W293" s="21"/>
      <c r="X293" s="21"/>
      <c r="Y293" s="1"/>
      <c r="Z293" s="1"/>
      <c r="AA293" s="1"/>
      <c r="AB293" s="28"/>
      <c r="AC293" s="2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8"/>
      <c r="T294" s="21"/>
      <c r="U294" s="1"/>
      <c r="V294" s="28"/>
      <c r="W294" s="21"/>
      <c r="X294" s="21"/>
      <c r="Y294" s="1"/>
      <c r="Z294" s="1"/>
      <c r="AA294" s="1"/>
      <c r="AB294" s="28"/>
      <c r="AC294" s="2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8"/>
      <c r="T295" s="21"/>
      <c r="U295" s="1"/>
      <c r="V295" s="28"/>
      <c r="W295" s="21"/>
      <c r="X295" s="21"/>
      <c r="Y295" s="1"/>
      <c r="Z295" s="1"/>
      <c r="AA295" s="1"/>
      <c r="AB295" s="28"/>
      <c r="AC295" s="2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8"/>
      <c r="T296" s="21"/>
      <c r="U296" s="1"/>
      <c r="V296" s="28"/>
      <c r="W296" s="21"/>
      <c r="X296" s="21"/>
      <c r="Y296" s="1"/>
      <c r="Z296" s="1"/>
      <c r="AA296" s="1"/>
      <c r="AB296" s="28"/>
      <c r="AC296" s="2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8"/>
      <c r="T297" s="21"/>
      <c r="U297" s="1"/>
      <c r="V297" s="28"/>
      <c r="W297" s="21"/>
      <c r="X297" s="21"/>
      <c r="Y297" s="1"/>
      <c r="Z297" s="1"/>
      <c r="AA297" s="1"/>
      <c r="AB297" s="28"/>
      <c r="AC297" s="2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8"/>
      <c r="T298" s="21"/>
      <c r="U298" s="1"/>
      <c r="V298" s="28"/>
      <c r="W298" s="21"/>
      <c r="X298" s="21"/>
      <c r="Y298" s="1"/>
      <c r="Z298" s="1"/>
      <c r="AA298" s="1"/>
      <c r="AB298" s="28"/>
      <c r="AC298" s="2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8"/>
      <c r="T299" s="21"/>
      <c r="U299" s="1"/>
      <c r="V299" s="28"/>
      <c r="W299" s="21"/>
      <c r="X299" s="21"/>
      <c r="Y299" s="1"/>
      <c r="Z299" s="1"/>
      <c r="AA299" s="1"/>
      <c r="AB299" s="28"/>
      <c r="AC299" s="2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8"/>
      <c r="T300" s="21"/>
      <c r="U300" s="1"/>
      <c r="V300" s="28"/>
      <c r="W300" s="21"/>
      <c r="X300" s="21"/>
      <c r="Y300" s="1"/>
      <c r="Z300" s="1"/>
      <c r="AA300" s="1"/>
      <c r="AB300" s="28"/>
      <c r="AC300" s="2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8"/>
      <c r="T301" s="21"/>
      <c r="U301" s="1"/>
      <c r="V301" s="28"/>
      <c r="W301" s="21"/>
      <c r="X301" s="21"/>
      <c r="Y301" s="1"/>
      <c r="Z301" s="1"/>
      <c r="AA301" s="1"/>
      <c r="AB301" s="28"/>
      <c r="AC301" s="2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8"/>
      <c r="T302" s="21"/>
      <c r="U302" s="1"/>
      <c r="V302" s="28"/>
      <c r="W302" s="21"/>
      <c r="X302" s="21"/>
      <c r="Y302" s="1"/>
      <c r="Z302" s="1"/>
      <c r="AA302" s="1"/>
      <c r="AB302" s="28"/>
      <c r="AC302" s="2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8"/>
      <c r="T303" s="21"/>
      <c r="U303" s="1"/>
      <c r="V303" s="28"/>
      <c r="W303" s="21"/>
      <c r="X303" s="21"/>
      <c r="Y303" s="1"/>
      <c r="Z303" s="1"/>
      <c r="AA303" s="1"/>
      <c r="AB303" s="28"/>
      <c r="AC303" s="2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8"/>
      <c r="T304" s="21"/>
      <c r="U304" s="1"/>
      <c r="V304" s="28"/>
      <c r="W304" s="21"/>
      <c r="X304" s="21"/>
      <c r="Y304" s="1"/>
      <c r="Z304" s="1"/>
      <c r="AA304" s="1"/>
      <c r="AB304" s="28"/>
      <c r="AC304" s="2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8"/>
      <c r="T305" s="21"/>
      <c r="U305" s="1"/>
      <c r="V305" s="28"/>
      <c r="W305" s="21"/>
      <c r="X305" s="21"/>
      <c r="Y305" s="1"/>
      <c r="Z305" s="1"/>
      <c r="AA305" s="1"/>
      <c r="AB305" s="28"/>
      <c r="AC305" s="2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8"/>
      <c r="T306" s="21"/>
      <c r="U306" s="1"/>
      <c r="V306" s="28"/>
      <c r="W306" s="21"/>
      <c r="X306" s="21"/>
      <c r="Y306" s="1"/>
      <c r="Z306" s="1"/>
      <c r="AA306" s="1"/>
      <c r="AB306" s="28"/>
      <c r="AC306" s="2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8"/>
      <c r="T307" s="21"/>
      <c r="U307" s="1"/>
      <c r="V307" s="28"/>
      <c r="W307" s="21"/>
      <c r="X307" s="21"/>
      <c r="Y307" s="1"/>
      <c r="Z307" s="1"/>
      <c r="AA307" s="1"/>
      <c r="AB307" s="28"/>
      <c r="AC307" s="2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8"/>
      <c r="T308" s="21"/>
      <c r="U308" s="1"/>
      <c r="V308" s="28"/>
      <c r="W308" s="21"/>
      <c r="X308" s="21"/>
      <c r="Y308" s="1"/>
      <c r="Z308" s="1"/>
      <c r="AA308" s="1"/>
      <c r="AB308" s="28"/>
      <c r="AC308" s="2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8"/>
      <c r="T309" s="21"/>
      <c r="U309" s="1"/>
      <c r="V309" s="28"/>
      <c r="W309" s="21"/>
      <c r="X309" s="21"/>
      <c r="Y309" s="1"/>
      <c r="Z309" s="1"/>
      <c r="AA309" s="1"/>
      <c r="AB309" s="28"/>
      <c r="AC309" s="2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8"/>
      <c r="T310" s="21"/>
      <c r="U310" s="1"/>
      <c r="V310" s="28"/>
      <c r="W310" s="21"/>
      <c r="X310" s="21"/>
      <c r="Y310" s="1"/>
      <c r="Z310" s="1"/>
      <c r="AA310" s="1"/>
      <c r="AB310" s="28"/>
      <c r="AC310" s="2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8"/>
      <c r="T311" s="21"/>
      <c r="U311" s="1"/>
      <c r="V311" s="28"/>
      <c r="W311" s="21"/>
      <c r="X311" s="21"/>
      <c r="Y311" s="1"/>
      <c r="Z311" s="1"/>
      <c r="AA311" s="1"/>
      <c r="AB311" s="28"/>
      <c r="AC311" s="2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8"/>
      <c r="T312" s="21"/>
      <c r="U312" s="1"/>
      <c r="V312" s="28"/>
      <c r="W312" s="21"/>
      <c r="X312" s="21"/>
      <c r="Y312" s="1"/>
      <c r="Z312" s="1"/>
      <c r="AA312" s="1"/>
      <c r="AB312" s="28"/>
      <c r="AC312" s="2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8"/>
      <c r="T313" s="21"/>
      <c r="U313" s="1"/>
      <c r="V313" s="28"/>
      <c r="W313" s="21"/>
      <c r="X313" s="21"/>
      <c r="Y313" s="1"/>
      <c r="Z313" s="1"/>
      <c r="AA313" s="1"/>
      <c r="AB313" s="28"/>
      <c r="AC313" s="2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8"/>
      <c r="T314" s="21"/>
      <c r="U314" s="1"/>
      <c r="V314" s="28"/>
      <c r="W314" s="21"/>
      <c r="X314" s="21"/>
      <c r="Y314" s="1"/>
      <c r="Z314" s="1"/>
      <c r="AA314" s="1"/>
      <c r="AB314" s="28"/>
      <c r="AC314" s="2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8"/>
      <c r="T315" s="21"/>
      <c r="U315" s="1"/>
      <c r="V315" s="28"/>
      <c r="W315" s="21"/>
      <c r="X315" s="21"/>
      <c r="Y315" s="1"/>
      <c r="Z315" s="1"/>
      <c r="AA315" s="1"/>
      <c r="AB315" s="28"/>
      <c r="AC315" s="2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8"/>
      <c r="T316" s="21"/>
      <c r="U316" s="1"/>
      <c r="V316" s="28"/>
      <c r="W316" s="21"/>
      <c r="X316" s="21"/>
      <c r="Y316" s="1"/>
      <c r="Z316" s="1"/>
      <c r="AA316" s="1"/>
      <c r="AB316" s="28"/>
      <c r="AC316" s="2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8"/>
      <c r="T317" s="21"/>
      <c r="U317" s="1"/>
      <c r="V317" s="28"/>
      <c r="W317" s="21"/>
      <c r="X317" s="21"/>
      <c r="Y317" s="1"/>
      <c r="Z317" s="1"/>
      <c r="AA317" s="1"/>
      <c r="AB317" s="28"/>
      <c r="AC317" s="2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8"/>
      <c r="T318" s="21"/>
      <c r="U318" s="1"/>
      <c r="V318" s="28"/>
      <c r="W318" s="21"/>
      <c r="X318" s="21"/>
      <c r="Y318" s="1"/>
      <c r="Z318" s="1"/>
      <c r="AA318" s="1"/>
      <c r="AB318" s="28"/>
      <c r="AC318" s="2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8"/>
      <c r="T319" s="21"/>
      <c r="U319" s="1"/>
      <c r="V319" s="28"/>
      <c r="W319" s="21"/>
      <c r="X319" s="21"/>
      <c r="Y319" s="1"/>
      <c r="Z319" s="1"/>
      <c r="AA319" s="1"/>
      <c r="AB319" s="28"/>
      <c r="AC319" s="2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8"/>
      <c r="T320" s="21"/>
      <c r="U320" s="1"/>
      <c r="V320" s="28"/>
      <c r="W320" s="21"/>
      <c r="X320" s="21"/>
      <c r="Y320" s="1"/>
      <c r="Z320" s="1"/>
      <c r="AA320" s="1"/>
      <c r="AB320" s="28"/>
      <c r="AC320" s="2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8"/>
      <c r="T321" s="21"/>
      <c r="U321" s="1"/>
      <c r="V321" s="28"/>
      <c r="W321" s="21"/>
      <c r="X321" s="21"/>
      <c r="Y321" s="1"/>
      <c r="Z321" s="1"/>
      <c r="AA321" s="1"/>
      <c r="AB321" s="28"/>
      <c r="AC321" s="2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8"/>
      <c r="T322" s="21"/>
      <c r="U322" s="1"/>
      <c r="V322" s="28"/>
      <c r="W322" s="21"/>
      <c r="X322" s="21"/>
      <c r="Y322" s="1"/>
      <c r="Z322" s="1"/>
      <c r="AA322" s="1"/>
      <c r="AB322" s="28"/>
      <c r="AC322" s="2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8"/>
      <c r="T323" s="21"/>
      <c r="U323" s="1"/>
      <c r="V323" s="28"/>
      <c r="W323" s="21"/>
      <c r="X323" s="21"/>
      <c r="Y323" s="1"/>
      <c r="Z323" s="1"/>
      <c r="AA323" s="1"/>
      <c r="AB323" s="28"/>
      <c r="AC323" s="2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8"/>
      <c r="T324" s="21"/>
      <c r="U324" s="1"/>
      <c r="V324" s="28"/>
      <c r="W324" s="21"/>
      <c r="X324" s="21"/>
      <c r="Y324" s="1"/>
      <c r="Z324" s="1"/>
      <c r="AA324" s="1"/>
      <c r="AB324" s="28"/>
      <c r="AC324" s="2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8"/>
      <c r="T325" s="21"/>
      <c r="U325" s="1"/>
      <c r="V325" s="28"/>
      <c r="W325" s="21"/>
      <c r="X325" s="21"/>
      <c r="Y325" s="1"/>
      <c r="Z325" s="1"/>
      <c r="AA325" s="1"/>
      <c r="AB325" s="28"/>
      <c r="AC325" s="2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8"/>
      <c r="T326" s="21"/>
      <c r="U326" s="1"/>
      <c r="V326" s="28"/>
      <c r="W326" s="21"/>
      <c r="X326" s="21"/>
      <c r="Y326" s="1"/>
      <c r="Z326" s="1"/>
      <c r="AA326" s="1"/>
      <c r="AB326" s="28"/>
      <c r="AC326" s="2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8"/>
      <c r="T327" s="21"/>
      <c r="U327" s="1"/>
      <c r="V327" s="28"/>
      <c r="W327" s="21"/>
      <c r="X327" s="21"/>
      <c r="Y327" s="1"/>
      <c r="Z327" s="1"/>
      <c r="AA327" s="1"/>
      <c r="AB327" s="28"/>
      <c r="AC327" s="2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8"/>
      <c r="T328" s="21"/>
      <c r="U328" s="1"/>
      <c r="V328" s="28"/>
      <c r="W328" s="21"/>
      <c r="X328" s="21"/>
      <c r="Y328" s="1"/>
      <c r="Z328" s="1"/>
      <c r="AA328" s="1"/>
      <c r="AB328" s="28"/>
      <c r="AC328" s="2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8"/>
      <c r="T329" s="21"/>
      <c r="U329" s="1"/>
      <c r="V329" s="28"/>
      <c r="W329" s="21"/>
      <c r="X329" s="21"/>
      <c r="Y329" s="1"/>
      <c r="Z329" s="1"/>
      <c r="AA329" s="1"/>
      <c r="AB329" s="28"/>
      <c r="AC329" s="2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8"/>
      <c r="T330" s="21"/>
      <c r="U330" s="1"/>
      <c r="V330" s="28"/>
      <c r="W330" s="21"/>
      <c r="X330" s="21"/>
      <c r="Y330" s="1"/>
      <c r="Z330" s="1"/>
      <c r="AA330" s="1"/>
      <c r="AB330" s="28"/>
      <c r="AC330" s="2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8"/>
      <c r="T331" s="21"/>
      <c r="U331" s="1"/>
      <c r="V331" s="28"/>
      <c r="W331" s="21"/>
      <c r="X331" s="21"/>
      <c r="Y331" s="1"/>
      <c r="Z331" s="1"/>
      <c r="AA331" s="1"/>
      <c r="AB331" s="28"/>
      <c r="AC331" s="2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8"/>
      <c r="T332" s="21"/>
      <c r="U332" s="1"/>
      <c r="V332" s="28"/>
      <c r="W332" s="21"/>
      <c r="X332" s="21"/>
      <c r="Y332" s="1"/>
      <c r="Z332" s="1"/>
      <c r="AA332" s="1"/>
      <c r="AB332" s="28"/>
      <c r="AC332" s="2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8"/>
      <c r="T333" s="21"/>
      <c r="U333" s="1"/>
      <c r="V333" s="28"/>
      <c r="W333" s="21"/>
      <c r="X333" s="21"/>
      <c r="Y333" s="1"/>
      <c r="Z333" s="1"/>
      <c r="AA333" s="1"/>
      <c r="AB333" s="28"/>
      <c r="AC333" s="2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8"/>
      <c r="T334" s="21"/>
      <c r="U334" s="1"/>
      <c r="V334" s="28"/>
      <c r="W334" s="21"/>
      <c r="X334" s="21"/>
      <c r="Y334" s="1"/>
      <c r="Z334" s="1"/>
      <c r="AA334" s="1"/>
      <c r="AB334" s="28"/>
      <c r="AC334" s="2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8"/>
      <c r="T335" s="21"/>
      <c r="U335" s="1"/>
      <c r="V335" s="28"/>
      <c r="W335" s="21"/>
      <c r="X335" s="21"/>
      <c r="Y335" s="1"/>
      <c r="Z335" s="1"/>
      <c r="AA335" s="1"/>
      <c r="AB335" s="28"/>
      <c r="AC335" s="2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8"/>
      <c r="T336" s="21"/>
      <c r="U336" s="1"/>
      <c r="V336" s="28"/>
      <c r="W336" s="21"/>
      <c r="X336" s="21"/>
      <c r="Y336" s="1"/>
      <c r="Z336" s="1"/>
      <c r="AA336" s="1"/>
      <c r="AB336" s="28"/>
      <c r="AC336" s="2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8"/>
      <c r="T337" s="21"/>
      <c r="U337" s="1"/>
      <c r="V337" s="28"/>
      <c r="W337" s="21"/>
      <c r="X337" s="21"/>
      <c r="Y337" s="1"/>
      <c r="Z337" s="1"/>
      <c r="AA337" s="1"/>
      <c r="AB337" s="28"/>
      <c r="AC337" s="2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8"/>
      <c r="T338" s="21"/>
      <c r="U338" s="1"/>
      <c r="V338" s="28"/>
      <c r="W338" s="21"/>
      <c r="X338" s="21"/>
      <c r="Y338" s="1"/>
      <c r="Z338" s="1"/>
      <c r="AA338" s="1"/>
      <c r="AB338" s="28"/>
      <c r="AC338" s="2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8"/>
      <c r="T339" s="21"/>
      <c r="U339" s="1"/>
      <c r="V339" s="28"/>
      <c r="W339" s="21"/>
      <c r="X339" s="21"/>
      <c r="Y339" s="1"/>
      <c r="Z339" s="1"/>
      <c r="AA339" s="1"/>
      <c r="AB339" s="28"/>
      <c r="AC339" s="2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8"/>
      <c r="T340" s="21"/>
      <c r="U340" s="1"/>
      <c r="V340" s="28"/>
      <c r="W340" s="21"/>
      <c r="X340" s="21"/>
      <c r="Y340" s="1"/>
      <c r="Z340" s="1"/>
      <c r="AA340" s="1"/>
      <c r="AB340" s="28"/>
      <c r="AC340" s="2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8"/>
      <c r="T341" s="21"/>
      <c r="U341" s="1"/>
      <c r="V341" s="28"/>
      <c r="W341" s="21"/>
      <c r="X341" s="21"/>
      <c r="Y341" s="1"/>
      <c r="Z341" s="1"/>
      <c r="AA341" s="1"/>
      <c r="AB341" s="28"/>
      <c r="AC341" s="2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8"/>
      <c r="T342" s="21"/>
      <c r="U342" s="1"/>
      <c r="V342" s="28"/>
      <c r="W342" s="21"/>
      <c r="X342" s="21"/>
      <c r="Y342" s="1"/>
      <c r="Z342" s="1"/>
      <c r="AA342" s="1"/>
      <c r="AB342" s="28"/>
      <c r="AC342" s="2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8"/>
      <c r="T343" s="21"/>
      <c r="U343" s="1"/>
      <c r="V343" s="28"/>
      <c r="W343" s="21"/>
      <c r="X343" s="21"/>
      <c r="Y343" s="1"/>
      <c r="Z343" s="1"/>
      <c r="AA343" s="1"/>
      <c r="AB343" s="28"/>
      <c r="AC343" s="2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8"/>
      <c r="T344" s="21"/>
      <c r="U344" s="1"/>
      <c r="V344" s="28"/>
      <c r="W344" s="21"/>
      <c r="X344" s="21"/>
      <c r="Y344" s="1"/>
      <c r="Z344" s="1"/>
      <c r="AA344" s="1"/>
      <c r="AB344" s="28"/>
      <c r="AC344" s="2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8"/>
      <c r="T345" s="21"/>
      <c r="U345" s="1"/>
      <c r="V345" s="28"/>
      <c r="W345" s="21"/>
      <c r="X345" s="21"/>
      <c r="Y345" s="1"/>
      <c r="Z345" s="1"/>
      <c r="AA345" s="1"/>
      <c r="AB345" s="28"/>
      <c r="AC345" s="2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8"/>
      <c r="T346" s="21"/>
      <c r="U346" s="1"/>
      <c r="V346" s="28"/>
      <c r="W346" s="21"/>
      <c r="X346" s="21"/>
      <c r="Y346" s="1"/>
      <c r="Z346" s="1"/>
      <c r="AA346" s="1"/>
      <c r="AB346" s="28"/>
      <c r="AC346" s="2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8"/>
      <c r="T347" s="21"/>
      <c r="U347" s="1"/>
      <c r="V347" s="28"/>
      <c r="W347" s="21"/>
      <c r="X347" s="21"/>
      <c r="Y347" s="1"/>
      <c r="Z347" s="1"/>
      <c r="AA347" s="1"/>
      <c r="AB347" s="28"/>
      <c r="AC347" s="2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8"/>
      <c r="T348" s="21"/>
      <c r="U348" s="1"/>
      <c r="V348" s="28"/>
      <c r="W348" s="21"/>
      <c r="X348" s="21"/>
      <c r="Y348" s="1"/>
      <c r="Z348" s="1"/>
      <c r="AA348" s="1"/>
      <c r="AB348" s="28"/>
      <c r="AC348" s="2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8"/>
      <c r="T349" s="21"/>
      <c r="U349" s="1"/>
      <c r="V349" s="28"/>
      <c r="W349" s="21"/>
      <c r="X349" s="21"/>
      <c r="Y349" s="1"/>
      <c r="Z349" s="1"/>
      <c r="AA349" s="1"/>
      <c r="AB349" s="28"/>
      <c r="AC349" s="2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8"/>
      <c r="T350" s="21"/>
      <c r="U350" s="1"/>
      <c r="V350" s="28"/>
      <c r="W350" s="21"/>
      <c r="X350" s="21"/>
      <c r="Y350" s="1"/>
      <c r="Z350" s="1"/>
      <c r="AA350" s="1"/>
      <c r="AB350" s="28"/>
      <c r="AC350" s="2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8"/>
      <c r="T351" s="21"/>
      <c r="U351" s="1"/>
      <c r="V351" s="28"/>
      <c r="W351" s="21"/>
      <c r="X351" s="21"/>
      <c r="Y351" s="1"/>
      <c r="Z351" s="1"/>
      <c r="AA351" s="1"/>
      <c r="AB351" s="28"/>
      <c r="AC351" s="2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8"/>
      <c r="T352" s="21"/>
      <c r="U352" s="1"/>
      <c r="V352" s="28"/>
      <c r="W352" s="21"/>
      <c r="X352" s="21"/>
      <c r="Y352" s="1"/>
      <c r="Z352" s="1"/>
      <c r="AA352" s="1"/>
      <c r="AB352" s="28"/>
      <c r="AC352" s="2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8"/>
      <c r="T353" s="21"/>
      <c r="U353" s="1"/>
      <c r="V353" s="28"/>
      <c r="W353" s="21"/>
      <c r="X353" s="21"/>
      <c r="Y353" s="1"/>
      <c r="Z353" s="1"/>
      <c r="AA353" s="1"/>
      <c r="AB353" s="28"/>
      <c r="AC353" s="2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8"/>
      <c r="T354" s="21"/>
      <c r="U354" s="1"/>
      <c r="V354" s="28"/>
      <c r="W354" s="21"/>
      <c r="X354" s="21"/>
      <c r="Y354" s="1"/>
      <c r="Z354" s="1"/>
      <c r="AA354" s="1"/>
      <c r="AB354" s="28"/>
      <c r="AC354" s="2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8"/>
      <c r="T355" s="21"/>
      <c r="U355" s="1"/>
      <c r="V355" s="28"/>
      <c r="W355" s="21"/>
      <c r="X355" s="21"/>
      <c r="Y355" s="1"/>
      <c r="Z355" s="1"/>
      <c r="AA355" s="1"/>
      <c r="AB355" s="28"/>
      <c r="AC355" s="2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8"/>
      <c r="T356" s="21"/>
      <c r="U356" s="1"/>
      <c r="V356" s="28"/>
      <c r="W356" s="21"/>
      <c r="X356" s="21"/>
      <c r="Y356" s="1"/>
      <c r="Z356" s="1"/>
      <c r="AA356" s="1"/>
      <c r="AB356" s="28"/>
      <c r="AC356" s="2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8"/>
      <c r="T357" s="21"/>
      <c r="U357" s="1"/>
      <c r="V357" s="28"/>
      <c r="W357" s="21"/>
      <c r="X357" s="21"/>
      <c r="Y357" s="1"/>
      <c r="Z357" s="1"/>
      <c r="AA357" s="1"/>
      <c r="AB357" s="28"/>
      <c r="AC357" s="2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8"/>
      <c r="T358" s="21"/>
      <c r="U358" s="1"/>
      <c r="V358" s="28"/>
      <c r="W358" s="21"/>
      <c r="X358" s="21"/>
      <c r="Y358" s="1"/>
      <c r="Z358" s="1"/>
      <c r="AA358" s="1"/>
      <c r="AB358" s="28"/>
      <c r="AC358" s="2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8"/>
      <c r="T359" s="21"/>
      <c r="U359" s="1"/>
      <c r="V359" s="28"/>
      <c r="W359" s="21"/>
      <c r="X359" s="21"/>
      <c r="Y359" s="1"/>
      <c r="Z359" s="1"/>
      <c r="AA359" s="1"/>
      <c r="AB359" s="28"/>
      <c r="AC359" s="2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8"/>
      <c r="T360" s="21"/>
      <c r="U360" s="1"/>
      <c r="V360" s="28"/>
      <c r="W360" s="21"/>
      <c r="X360" s="21"/>
      <c r="Y360" s="1"/>
      <c r="Z360" s="1"/>
      <c r="AA360" s="1"/>
      <c r="AB360" s="28"/>
      <c r="AC360" s="2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8"/>
      <c r="T361" s="21"/>
      <c r="U361" s="1"/>
      <c r="V361" s="28"/>
      <c r="W361" s="21"/>
      <c r="X361" s="21"/>
      <c r="Y361" s="1"/>
      <c r="Z361" s="1"/>
      <c r="AA361" s="1"/>
      <c r="AB361" s="28"/>
      <c r="AC361" s="2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8"/>
      <c r="T362" s="21"/>
      <c r="U362" s="1"/>
      <c r="V362" s="28"/>
      <c r="W362" s="21"/>
      <c r="X362" s="21"/>
      <c r="Y362" s="1"/>
      <c r="Z362" s="1"/>
      <c r="AA362" s="1"/>
      <c r="AB362" s="28"/>
      <c r="AC362" s="2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8"/>
      <c r="T363" s="21"/>
      <c r="U363" s="1"/>
      <c r="V363" s="28"/>
      <c r="W363" s="21"/>
      <c r="X363" s="21"/>
      <c r="Y363" s="1"/>
      <c r="Z363" s="1"/>
      <c r="AA363" s="1"/>
      <c r="AB363" s="28"/>
      <c r="AC363" s="2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8"/>
      <c r="T364" s="21"/>
      <c r="U364" s="1"/>
      <c r="V364" s="28"/>
      <c r="W364" s="21"/>
      <c r="X364" s="21"/>
      <c r="Y364" s="1"/>
      <c r="Z364" s="1"/>
      <c r="AA364" s="1"/>
      <c r="AB364" s="28"/>
      <c r="AC364" s="2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8"/>
      <c r="T365" s="21"/>
      <c r="U365" s="1"/>
      <c r="V365" s="28"/>
      <c r="W365" s="21"/>
      <c r="X365" s="21"/>
      <c r="Y365" s="1"/>
      <c r="Z365" s="1"/>
      <c r="AA365" s="1"/>
      <c r="AB365" s="28"/>
      <c r="AC365" s="2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8"/>
      <c r="T366" s="21"/>
      <c r="U366" s="1"/>
      <c r="V366" s="28"/>
      <c r="W366" s="21"/>
      <c r="X366" s="21"/>
      <c r="Y366" s="1"/>
      <c r="Z366" s="1"/>
      <c r="AA366" s="1"/>
      <c r="AB366" s="28"/>
      <c r="AC366" s="2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8"/>
      <c r="T367" s="21"/>
      <c r="U367" s="1"/>
      <c r="V367" s="28"/>
      <c r="W367" s="21"/>
      <c r="X367" s="21"/>
      <c r="Y367" s="1"/>
      <c r="Z367" s="1"/>
      <c r="AA367" s="1"/>
      <c r="AB367" s="28"/>
      <c r="AC367" s="2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8"/>
      <c r="T368" s="21"/>
      <c r="U368" s="1"/>
      <c r="V368" s="28"/>
      <c r="W368" s="21"/>
      <c r="X368" s="21"/>
      <c r="Y368" s="1"/>
      <c r="Z368" s="1"/>
      <c r="AA368" s="1"/>
      <c r="AB368" s="28"/>
      <c r="AC368" s="2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8"/>
      <c r="T369" s="21"/>
      <c r="U369" s="1"/>
      <c r="V369" s="28"/>
      <c r="W369" s="21"/>
      <c r="X369" s="21"/>
      <c r="Y369" s="1"/>
      <c r="Z369" s="1"/>
      <c r="AA369" s="1"/>
      <c r="AB369" s="28"/>
      <c r="AC369" s="2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8"/>
      <c r="T370" s="21"/>
      <c r="U370" s="1"/>
      <c r="V370" s="28"/>
      <c r="W370" s="21"/>
      <c r="X370" s="21"/>
      <c r="Y370" s="1"/>
      <c r="Z370" s="1"/>
      <c r="AA370" s="1"/>
      <c r="AB370" s="28"/>
      <c r="AC370" s="2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8"/>
      <c r="T371" s="21"/>
      <c r="U371" s="1"/>
      <c r="V371" s="28"/>
      <c r="W371" s="21"/>
      <c r="X371" s="21"/>
      <c r="Y371" s="1"/>
      <c r="Z371" s="1"/>
      <c r="AA371" s="1"/>
      <c r="AB371" s="28"/>
      <c r="AC371" s="2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8"/>
      <c r="T372" s="21"/>
      <c r="U372" s="1"/>
      <c r="V372" s="28"/>
      <c r="W372" s="21"/>
      <c r="X372" s="21"/>
      <c r="Y372" s="1"/>
      <c r="Z372" s="1"/>
      <c r="AA372" s="1"/>
      <c r="AB372" s="28"/>
      <c r="AC372" s="2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8"/>
      <c r="T373" s="21"/>
      <c r="U373" s="1"/>
      <c r="V373" s="28"/>
      <c r="W373" s="21"/>
      <c r="X373" s="21"/>
      <c r="Y373" s="1"/>
      <c r="Z373" s="1"/>
      <c r="AA373" s="1"/>
      <c r="AB373" s="28"/>
      <c r="AC373" s="2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8"/>
      <c r="T374" s="21"/>
      <c r="U374" s="1"/>
      <c r="V374" s="28"/>
      <c r="W374" s="21"/>
      <c r="X374" s="21"/>
      <c r="Y374" s="1"/>
      <c r="Z374" s="1"/>
      <c r="AA374" s="1"/>
      <c r="AB374" s="28"/>
      <c r="AC374" s="2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8"/>
      <c r="T375" s="21"/>
      <c r="U375" s="1"/>
      <c r="V375" s="28"/>
      <c r="W375" s="21"/>
      <c r="X375" s="21"/>
      <c r="Y375" s="1"/>
      <c r="Z375" s="1"/>
      <c r="AA375" s="1"/>
      <c r="AB375" s="28"/>
      <c r="AC375" s="2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8"/>
      <c r="T376" s="21"/>
      <c r="U376" s="1"/>
      <c r="V376" s="28"/>
      <c r="W376" s="21"/>
      <c r="X376" s="21"/>
      <c r="Y376" s="1"/>
      <c r="Z376" s="1"/>
      <c r="AA376" s="1"/>
      <c r="AB376" s="28"/>
      <c r="AC376" s="2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8"/>
      <c r="T377" s="21"/>
      <c r="U377" s="1"/>
      <c r="V377" s="28"/>
      <c r="W377" s="21"/>
      <c r="X377" s="21"/>
      <c r="Y377" s="1"/>
      <c r="Z377" s="1"/>
      <c r="AA377" s="1"/>
      <c r="AB377" s="28"/>
      <c r="AC377" s="2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8"/>
      <c r="T378" s="21"/>
      <c r="U378" s="1"/>
      <c r="V378" s="28"/>
      <c r="W378" s="21"/>
      <c r="X378" s="21"/>
      <c r="Y378" s="1"/>
      <c r="Z378" s="1"/>
      <c r="AA378" s="1"/>
      <c r="AB378" s="28"/>
      <c r="AC378" s="2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8"/>
      <c r="T379" s="21"/>
      <c r="U379" s="1"/>
      <c r="V379" s="28"/>
      <c r="W379" s="21"/>
      <c r="X379" s="21"/>
      <c r="Y379" s="1"/>
      <c r="Z379" s="1"/>
      <c r="AA379" s="1"/>
      <c r="AB379" s="28"/>
      <c r="AC379" s="2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8"/>
      <c r="T380" s="21"/>
      <c r="U380" s="1"/>
      <c r="V380" s="28"/>
      <c r="W380" s="21"/>
      <c r="X380" s="21"/>
      <c r="Y380" s="1"/>
      <c r="Z380" s="1"/>
      <c r="AA380" s="1"/>
      <c r="AB380" s="28"/>
      <c r="AC380" s="2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8"/>
      <c r="T381" s="21"/>
      <c r="U381" s="1"/>
      <c r="V381" s="28"/>
      <c r="W381" s="21"/>
      <c r="X381" s="21"/>
      <c r="Y381" s="1"/>
      <c r="Z381" s="1"/>
      <c r="AA381" s="1"/>
      <c r="AB381" s="28"/>
      <c r="AC381" s="2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8"/>
      <c r="T382" s="21"/>
      <c r="U382" s="1"/>
      <c r="V382" s="28"/>
      <c r="W382" s="21"/>
      <c r="X382" s="21"/>
      <c r="Y382" s="1"/>
      <c r="Z382" s="1"/>
      <c r="AA382" s="1"/>
      <c r="AB382" s="28"/>
      <c r="AC382" s="2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8"/>
      <c r="T383" s="21"/>
      <c r="U383" s="1"/>
      <c r="V383" s="28"/>
      <c r="W383" s="21"/>
      <c r="X383" s="21"/>
      <c r="Y383" s="1"/>
      <c r="Z383" s="1"/>
      <c r="AA383" s="1"/>
      <c r="AB383" s="28"/>
      <c r="AC383" s="2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8"/>
      <c r="T384" s="21"/>
      <c r="U384" s="1"/>
      <c r="V384" s="28"/>
      <c r="W384" s="21"/>
      <c r="X384" s="21"/>
      <c r="Y384" s="1"/>
      <c r="Z384" s="1"/>
      <c r="AA384" s="1"/>
      <c r="AB384" s="28"/>
      <c r="AC384" s="2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8"/>
      <c r="T385" s="21"/>
      <c r="U385" s="1"/>
      <c r="V385" s="28"/>
      <c r="W385" s="21"/>
      <c r="X385" s="21"/>
      <c r="Y385" s="1"/>
      <c r="Z385" s="1"/>
      <c r="AA385" s="1"/>
      <c r="AB385" s="28"/>
      <c r="AC385" s="2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8"/>
      <c r="T386" s="21"/>
      <c r="U386" s="1"/>
      <c r="V386" s="28"/>
      <c r="W386" s="21"/>
      <c r="X386" s="21"/>
      <c r="Y386" s="1"/>
      <c r="Z386" s="1"/>
      <c r="AA386" s="1"/>
      <c r="AB386" s="28"/>
      <c r="AC386" s="2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8"/>
      <c r="T387" s="21"/>
      <c r="U387" s="1"/>
      <c r="V387" s="28"/>
      <c r="W387" s="21"/>
      <c r="X387" s="21"/>
      <c r="Y387" s="1"/>
      <c r="Z387" s="1"/>
      <c r="AA387" s="1"/>
      <c r="AB387" s="28"/>
      <c r="AC387" s="2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8"/>
      <c r="T388" s="21"/>
      <c r="U388" s="1"/>
      <c r="V388" s="28"/>
      <c r="W388" s="21"/>
      <c r="X388" s="21"/>
      <c r="Y388" s="1"/>
      <c r="Z388" s="1"/>
      <c r="AA388" s="1"/>
      <c r="AB388" s="28"/>
      <c r="AC388" s="2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8"/>
      <c r="T389" s="21"/>
      <c r="U389" s="1"/>
      <c r="V389" s="28"/>
      <c r="W389" s="21"/>
      <c r="X389" s="21"/>
      <c r="Y389" s="1"/>
      <c r="Z389" s="1"/>
      <c r="AA389" s="1"/>
      <c r="AB389" s="28"/>
      <c r="AC389" s="2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8"/>
      <c r="T390" s="21"/>
      <c r="U390" s="1"/>
      <c r="V390" s="28"/>
      <c r="W390" s="21"/>
      <c r="X390" s="21"/>
      <c r="Y390" s="1"/>
      <c r="Z390" s="1"/>
      <c r="AA390" s="1"/>
      <c r="AB390" s="28"/>
      <c r="AC390" s="2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8"/>
      <c r="T391" s="21"/>
      <c r="U391" s="1"/>
      <c r="V391" s="28"/>
      <c r="W391" s="21"/>
      <c r="X391" s="21"/>
      <c r="Y391" s="1"/>
      <c r="Z391" s="1"/>
      <c r="AA391" s="1"/>
      <c r="AB391" s="28"/>
      <c r="AC391" s="2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8"/>
      <c r="T392" s="21"/>
      <c r="U392" s="1"/>
      <c r="V392" s="28"/>
      <c r="W392" s="21"/>
      <c r="X392" s="21"/>
      <c r="Y392" s="1"/>
      <c r="Z392" s="1"/>
      <c r="AA392" s="1"/>
      <c r="AB392" s="28"/>
      <c r="AC392" s="2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8"/>
      <c r="T393" s="21"/>
      <c r="U393" s="1"/>
      <c r="V393" s="28"/>
      <c r="W393" s="21"/>
      <c r="X393" s="21"/>
      <c r="Y393" s="1"/>
      <c r="Z393" s="1"/>
      <c r="AA393" s="1"/>
      <c r="AB393" s="28"/>
      <c r="AC393" s="2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8"/>
      <c r="T394" s="21"/>
      <c r="U394" s="1"/>
      <c r="V394" s="28"/>
      <c r="W394" s="21"/>
      <c r="X394" s="21"/>
      <c r="Y394" s="1"/>
      <c r="Z394" s="1"/>
      <c r="AA394" s="1"/>
      <c r="AB394" s="28"/>
      <c r="AC394" s="2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8"/>
      <c r="T395" s="21"/>
      <c r="U395" s="1"/>
      <c r="V395" s="28"/>
      <c r="W395" s="21"/>
      <c r="X395" s="21"/>
      <c r="Y395" s="1"/>
      <c r="Z395" s="1"/>
      <c r="AA395" s="1"/>
      <c r="AB395" s="28"/>
      <c r="AC395" s="2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8"/>
      <c r="T396" s="21"/>
      <c r="U396" s="1"/>
      <c r="V396" s="28"/>
      <c r="W396" s="21"/>
      <c r="X396" s="21"/>
      <c r="Y396" s="1"/>
      <c r="Z396" s="1"/>
      <c r="AA396" s="1"/>
      <c r="AB396" s="28"/>
      <c r="AC396" s="2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8"/>
      <c r="T397" s="21"/>
      <c r="U397" s="1"/>
      <c r="V397" s="28"/>
      <c r="W397" s="21"/>
      <c r="X397" s="21"/>
      <c r="Y397" s="1"/>
      <c r="Z397" s="1"/>
      <c r="AA397" s="1"/>
      <c r="AB397" s="28"/>
      <c r="AC397" s="2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8"/>
      <c r="T398" s="21"/>
      <c r="U398" s="1"/>
      <c r="V398" s="28"/>
      <c r="W398" s="21"/>
      <c r="X398" s="21"/>
      <c r="Y398" s="1"/>
      <c r="Z398" s="1"/>
      <c r="AA398" s="1"/>
      <c r="AB398" s="28"/>
      <c r="AC398" s="2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8"/>
      <c r="T399" s="21"/>
      <c r="U399" s="1"/>
      <c r="V399" s="28"/>
      <c r="W399" s="21"/>
      <c r="X399" s="21"/>
      <c r="Y399" s="1"/>
      <c r="Z399" s="1"/>
      <c r="AA399" s="1"/>
      <c r="AB399" s="28"/>
      <c r="AC399" s="2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8"/>
      <c r="T400" s="21"/>
      <c r="U400" s="1"/>
      <c r="V400" s="28"/>
      <c r="W400" s="21"/>
      <c r="X400" s="21"/>
      <c r="Y400" s="1"/>
      <c r="Z400" s="1"/>
      <c r="AA400" s="1"/>
      <c r="AB400" s="28"/>
      <c r="AC400" s="2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8"/>
      <c r="T401" s="21"/>
      <c r="U401" s="1"/>
      <c r="V401" s="28"/>
      <c r="W401" s="21"/>
      <c r="X401" s="21"/>
      <c r="Y401" s="1"/>
      <c r="Z401" s="1"/>
      <c r="AA401" s="1"/>
      <c r="AB401" s="28"/>
      <c r="AC401" s="2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8"/>
      <c r="T402" s="21"/>
      <c r="U402" s="1"/>
      <c r="V402" s="28"/>
      <c r="W402" s="21"/>
      <c r="X402" s="21"/>
      <c r="Y402" s="1"/>
      <c r="Z402" s="1"/>
      <c r="AA402" s="1"/>
      <c r="AB402" s="28"/>
      <c r="AC402" s="2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8"/>
      <c r="T403" s="21"/>
      <c r="U403" s="1"/>
      <c r="V403" s="28"/>
      <c r="W403" s="21"/>
      <c r="X403" s="21"/>
      <c r="Y403" s="1"/>
      <c r="Z403" s="1"/>
      <c r="AA403" s="1"/>
      <c r="AB403" s="28"/>
      <c r="AC403" s="2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8"/>
      <c r="T404" s="21"/>
      <c r="U404" s="1"/>
      <c r="V404" s="28"/>
      <c r="W404" s="21"/>
      <c r="X404" s="21"/>
      <c r="Y404" s="1"/>
      <c r="Z404" s="1"/>
      <c r="AA404" s="1"/>
      <c r="AB404" s="28"/>
      <c r="AC404" s="2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8"/>
      <c r="T405" s="21"/>
      <c r="U405" s="1"/>
      <c r="V405" s="28"/>
      <c r="W405" s="21"/>
      <c r="X405" s="21"/>
      <c r="Y405" s="1"/>
      <c r="Z405" s="1"/>
      <c r="AA405" s="1"/>
      <c r="AB405" s="28"/>
      <c r="AC405" s="2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8"/>
      <c r="T406" s="21"/>
      <c r="U406" s="1"/>
      <c r="V406" s="28"/>
      <c r="W406" s="21"/>
      <c r="X406" s="21"/>
      <c r="Y406" s="1"/>
      <c r="Z406" s="1"/>
      <c r="AA406" s="1"/>
      <c r="AB406" s="28"/>
      <c r="AC406" s="2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8"/>
      <c r="T407" s="21"/>
      <c r="U407" s="1"/>
      <c r="V407" s="28"/>
      <c r="W407" s="21"/>
      <c r="X407" s="21"/>
      <c r="Y407" s="1"/>
      <c r="Z407" s="1"/>
      <c r="AA407" s="1"/>
      <c r="AB407" s="28"/>
      <c r="AC407" s="2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8"/>
      <c r="T408" s="21"/>
      <c r="U408" s="1"/>
      <c r="V408" s="28"/>
      <c r="W408" s="21"/>
      <c r="X408" s="21"/>
      <c r="Y408" s="1"/>
      <c r="Z408" s="1"/>
      <c r="AA408" s="1"/>
      <c r="AB408" s="28"/>
      <c r="AC408" s="2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8"/>
      <c r="T409" s="21"/>
      <c r="U409" s="1"/>
      <c r="V409" s="28"/>
      <c r="W409" s="21"/>
      <c r="X409" s="21"/>
      <c r="Y409" s="1"/>
      <c r="Z409" s="1"/>
      <c r="AA409" s="1"/>
      <c r="AB409" s="28"/>
      <c r="AC409" s="2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8"/>
      <c r="T410" s="21"/>
      <c r="U410" s="1"/>
      <c r="V410" s="28"/>
      <c r="W410" s="21"/>
      <c r="X410" s="21"/>
      <c r="Y410" s="1"/>
      <c r="Z410" s="1"/>
      <c r="AA410" s="1"/>
      <c r="AB410" s="28"/>
      <c r="AC410" s="2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8"/>
      <c r="T411" s="21"/>
      <c r="U411" s="1"/>
      <c r="V411" s="28"/>
      <c r="W411" s="21"/>
      <c r="X411" s="21"/>
      <c r="Y411" s="1"/>
      <c r="Z411" s="1"/>
      <c r="AA411" s="1"/>
      <c r="AB411" s="28"/>
      <c r="AC411" s="2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8"/>
      <c r="T412" s="21"/>
      <c r="U412" s="1"/>
      <c r="V412" s="28"/>
      <c r="W412" s="21"/>
      <c r="X412" s="21"/>
      <c r="Y412" s="1"/>
      <c r="Z412" s="1"/>
      <c r="AA412" s="1"/>
      <c r="AB412" s="28"/>
      <c r="AC412" s="2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8"/>
      <c r="T413" s="21"/>
      <c r="U413" s="1"/>
      <c r="V413" s="28"/>
      <c r="W413" s="21"/>
      <c r="X413" s="21"/>
      <c r="Y413" s="1"/>
      <c r="Z413" s="1"/>
      <c r="AA413" s="1"/>
      <c r="AB413" s="28"/>
      <c r="AC413" s="2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8"/>
      <c r="T414" s="21"/>
      <c r="U414" s="1"/>
      <c r="V414" s="28"/>
      <c r="W414" s="21"/>
      <c r="X414" s="21"/>
      <c r="Y414" s="1"/>
      <c r="Z414" s="1"/>
      <c r="AA414" s="1"/>
      <c r="AB414" s="28"/>
      <c r="AC414" s="2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8"/>
      <c r="T415" s="21"/>
      <c r="U415" s="1"/>
      <c r="V415" s="28"/>
      <c r="W415" s="21"/>
      <c r="X415" s="21"/>
      <c r="Y415" s="1"/>
      <c r="Z415" s="1"/>
      <c r="AA415" s="1"/>
      <c r="AB415" s="28"/>
      <c r="AC415" s="2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8"/>
      <c r="T416" s="21"/>
      <c r="U416" s="1"/>
      <c r="V416" s="28"/>
      <c r="W416" s="21"/>
      <c r="X416" s="21"/>
      <c r="Y416" s="1"/>
      <c r="Z416" s="1"/>
      <c r="AA416" s="1"/>
      <c r="AB416" s="28"/>
      <c r="AC416" s="2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8"/>
      <c r="T417" s="21"/>
      <c r="U417" s="1"/>
      <c r="V417" s="28"/>
      <c r="W417" s="21"/>
      <c r="X417" s="21"/>
      <c r="Y417" s="1"/>
      <c r="Z417" s="1"/>
      <c r="AA417" s="1"/>
      <c r="AB417" s="28"/>
      <c r="AC417" s="2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8"/>
      <c r="T418" s="21"/>
      <c r="U418" s="1"/>
      <c r="V418" s="28"/>
      <c r="W418" s="21"/>
      <c r="X418" s="21"/>
      <c r="Y418" s="1"/>
      <c r="Z418" s="1"/>
      <c r="AA418" s="1"/>
      <c r="AB418" s="28"/>
      <c r="AC418" s="2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8"/>
      <c r="T419" s="21"/>
      <c r="U419" s="1"/>
      <c r="V419" s="28"/>
      <c r="W419" s="21"/>
      <c r="X419" s="21"/>
      <c r="Y419" s="1"/>
      <c r="Z419" s="1"/>
      <c r="AA419" s="1"/>
      <c r="AB419" s="28"/>
      <c r="AC419" s="2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8"/>
      <c r="T420" s="21"/>
      <c r="U420" s="1"/>
      <c r="V420" s="28"/>
      <c r="W420" s="21"/>
      <c r="X420" s="21"/>
      <c r="Y420" s="1"/>
      <c r="Z420" s="1"/>
      <c r="AA420" s="1"/>
      <c r="AB420" s="28"/>
      <c r="AC420" s="2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8"/>
      <c r="T421" s="21"/>
      <c r="U421" s="1"/>
      <c r="V421" s="28"/>
      <c r="W421" s="21"/>
      <c r="X421" s="21"/>
      <c r="Y421" s="1"/>
      <c r="Z421" s="1"/>
      <c r="AA421" s="1"/>
      <c r="AB421" s="28"/>
      <c r="AC421" s="2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8"/>
      <c r="T422" s="21"/>
      <c r="U422" s="1"/>
      <c r="V422" s="28"/>
      <c r="W422" s="21"/>
      <c r="X422" s="21"/>
      <c r="Y422" s="1"/>
      <c r="Z422" s="1"/>
      <c r="AA422" s="1"/>
      <c r="AB422" s="28"/>
      <c r="AC422" s="2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8"/>
      <c r="T423" s="21"/>
      <c r="U423" s="1"/>
      <c r="V423" s="28"/>
      <c r="W423" s="21"/>
      <c r="X423" s="21"/>
      <c r="Y423" s="1"/>
      <c r="Z423" s="1"/>
      <c r="AA423" s="1"/>
      <c r="AB423" s="28"/>
      <c r="AC423" s="2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8"/>
      <c r="T424" s="21"/>
      <c r="U424" s="1"/>
      <c r="V424" s="28"/>
      <c r="W424" s="21"/>
      <c r="X424" s="21"/>
      <c r="Y424" s="1"/>
      <c r="Z424" s="1"/>
      <c r="AA424" s="1"/>
      <c r="AB424" s="28"/>
      <c r="AC424" s="2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8"/>
      <c r="T425" s="21"/>
      <c r="U425" s="1"/>
      <c r="V425" s="28"/>
      <c r="W425" s="21"/>
      <c r="X425" s="21"/>
      <c r="Y425" s="1"/>
      <c r="Z425" s="1"/>
      <c r="AA425" s="1"/>
      <c r="AB425" s="28"/>
      <c r="AC425" s="2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8"/>
      <c r="T426" s="21"/>
      <c r="U426" s="1"/>
      <c r="V426" s="28"/>
      <c r="W426" s="21"/>
      <c r="X426" s="21"/>
      <c r="Y426" s="1"/>
      <c r="Z426" s="1"/>
      <c r="AA426" s="1"/>
      <c r="AB426" s="28"/>
      <c r="AC426" s="2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8"/>
      <c r="T427" s="21"/>
      <c r="U427" s="1"/>
      <c r="V427" s="28"/>
      <c r="W427" s="21"/>
      <c r="X427" s="21"/>
      <c r="Y427" s="1"/>
      <c r="Z427" s="1"/>
      <c r="AA427" s="1"/>
      <c r="AB427" s="28"/>
      <c r="AC427" s="2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8"/>
      <c r="T428" s="21"/>
      <c r="U428" s="1"/>
      <c r="V428" s="28"/>
      <c r="W428" s="21"/>
      <c r="X428" s="21"/>
      <c r="Y428" s="1"/>
      <c r="Z428" s="1"/>
      <c r="AA428" s="1"/>
      <c r="AB428" s="28"/>
      <c r="AC428" s="2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8"/>
      <c r="T429" s="21"/>
      <c r="U429" s="1"/>
      <c r="V429" s="28"/>
      <c r="W429" s="21"/>
      <c r="X429" s="21"/>
      <c r="Y429" s="1"/>
      <c r="Z429" s="1"/>
      <c r="AA429" s="1"/>
      <c r="AB429" s="28"/>
      <c r="AC429" s="2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8"/>
      <c r="T430" s="21"/>
      <c r="U430" s="1"/>
      <c r="V430" s="28"/>
      <c r="W430" s="21"/>
      <c r="X430" s="21"/>
      <c r="Y430" s="1"/>
      <c r="Z430" s="1"/>
      <c r="AA430" s="1"/>
      <c r="AB430" s="28"/>
      <c r="AC430" s="2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8"/>
      <c r="T431" s="21"/>
      <c r="U431" s="1"/>
      <c r="V431" s="28"/>
      <c r="W431" s="21"/>
      <c r="X431" s="21"/>
      <c r="Y431" s="1"/>
      <c r="Z431" s="1"/>
      <c r="AA431" s="1"/>
      <c r="AB431" s="28"/>
      <c r="AC431" s="2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8"/>
      <c r="T432" s="21"/>
      <c r="U432" s="1"/>
      <c r="V432" s="28"/>
      <c r="W432" s="21"/>
      <c r="X432" s="21"/>
      <c r="Y432" s="1"/>
      <c r="Z432" s="1"/>
      <c r="AA432" s="1"/>
      <c r="AB432" s="28"/>
      <c r="AC432" s="2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8"/>
      <c r="T433" s="21"/>
      <c r="U433" s="1"/>
      <c r="V433" s="28"/>
      <c r="W433" s="21"/>
      <c r="X433" s="21"/>
      <c r="Y433" s="1"/>
      <c r="Z433" s="1"/>
      <c r="AA433" s="1"/>
      <c r="AB433" s="28"/>
      <c r="AC433" s="2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8"/>
      <c r="T434" s="21"/>
      <c r="U434" s="1"/>
      <c r="V434" s="28"/>
      <c r="W434" s="21"/>
      <c r="X434" s="21"/>
      <c r="Y434" s="1"/>
      <c r="Z434" s="1"/>
      <c r="AA434" s="1"/>
      <c r="AB434" s="28"/>
      <c r="AC434" s="2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8"/>
      <c r="T435" s="21"/>
      <c r="U435" s="1"/>
      <c r="V435" s="28"/>
      <c r="W435" s="21"/>
      <c r="X435" s="21"/>
      <c r="Y435" s="1"/>
      <c r="Z435" s="1"/>
      <c r="AA435" s="1"/>
      <c r="AB435" s="28"/>
      <c r="AC435" s="2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8"/>
      <c r="T436" s="21"/>
      <c r="U436" s="1"/>
      <c r="V436" s="28"/>
      <c r="W436" s="21"/>
      <c r="X436" s="21"/>
      <c r="Y436" s="1"/>
      <c r="Z436" s="1"/>
      <c r="AA436" s="1"/>
      <c r="AB436" s="28"/>
      <c r="AC436" s="2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8"/>
      <c r="T437" s="21"/>
      <c r="U437" s="1"/>
      <c r="V437" s="28"/>
      <c r="W437" s="21"/>
      <c r="X437" s="21"/>
      <c r="Y437" s="1"/>
      <c r="Z437" s="1"/>
      <c r="AA437" s="1"/>
      <c r="AB437" s="28"/>
      <c r="AC437" s="2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8"/>
      <c r="T438" s="21"/>
      <c r="U438" s="1"/>
      <c r="V438" s="28"/>
      <c r="W438" s="21"/>
      <c r="X438" s="21"/>
      <c r="Y438" s="1"/>
      <c r="Z438" s="1"/>
      <c r="AA438" s="1"/>
      <c r="AB438" s="28"/>
      <c r="AC438" s="2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8"/>
      <c r="T439" s="21"/>
      <c r="U439" s="1"/>
      <c r="V439" s="28"/>
      <c r="W439" s="21"/>
      <c r="X439" s="21"/>
      <c r="Y439" s="1"/>
      <c r="Z439" s="1"/>
      <c r="AA439" s="1"/>
      <c r="AB439" s="28"/>
      <c r="AC439" s="2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8"/>
      <c r="T440" s="21"/>
      <c r="U440" s="1"/>
      <c r="V440" s="28"/>
      <c r="W440" s="21"/>
      <c r="X440" s="21"/>
      <c r="Y440" s="1"/>
      <c r="Z440" s="1"/>
      <c r="AA440" s="1"/>
      <c r="AB440" s="28"/>
      <c r="AC440" s="2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8"/>
      <c r="T441" s="21"/>
      <c r="U441" s="1"/>
      <c r="V441" s="28"/>
      <c r="W441" s="21"/>
      <c r="X441" s="21"/>
      <c r="Y441" s="1"/>
      <c r="Z441" s="1"/>
      <c r="AA441" s="1"/>
      <c r="AB441" s="28"/>
      <c r="AC441" s="2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8"/>
      <c r="T442" s="21"/>
      <c r="U442" s="1"/>
      <c r="V442" s="28"/>
      <c r="W442" s="21"/>
      <c r="X442" s="21"/>
      <c r="Y442" s="1"/>
      <c r="Z442" s="1"/>
      <c r="AA442" s="1"/>
      <c r="AB442" s="28"/>
      <c r="AC442" s="2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8"/>
      <c r="T443" s="21"/>
      <c r="U443" s="1"/>
      <c r="V443" s="28"/>
      <c r="W443" s="21"/>
      <c r="X443" s="21"/>
      <c r="Y443" s="1"/>
      <c r="Z443" s="1"/>
      <c r="AA443" s="1"/>
      <c r="AB443" s="28"/>
      <c r="AC443" s="2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8"/>
      <c r="T444" s="21"/>
      <c r="U444" s="1"/>
      <c r="V444" s="28"/>
      <c r="W444" s="21"/>
      <c r="X444" s="21"/>
      <c r="Y444" s="1"/>
      <c r="Z444" s="1"/>
      <c r="AA444" s="1"/>
      <c r="AB444" s="28"/>
      <c r="AC444" s="2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8"/>
      <c r="T445" s="21"/>
      <c r="U445" s="1"/>
      <c r="V445" s="28"/>
      <c r="W445" s="21"/>
      <c r="X445" s="21"/>
      <c r="Y445" s="1"/>
      <c r="Z445" s="1"/>
      <c r="AA445" s="1"/>
      <c r="AB445" s="28"/>
      <c r="AC445" s="2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8"/>
      <c r="T446" s="21"/>
      <c r="U446" s="1"/>
      <c r="V446" s="28"/>
      <c r="W446" s="21"/>
      <c r="X446" s="21"/>
      <c r="Y446" s="1"/>
      <c r="Z446" s="1"/>
      <c r="AA446" s="1"/>
      <c r="AB446" s="28"/>
      <c r="AC446" s="2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8"/>
      <c r="T447" s="21"/>
      <c r="U447" s="1"/>
      <c r="V447" s="28"/>
      <c r="W447" s="21"/>
      <c r="X447" s="21"/>
      <c r="Y447" s="1"/>
      <c r="Z447" s="1"/>
      <c r="AA447" s="1"/>
      <c r="AB447" s="28"/>
      <c r="AC447" s="2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8"/>
      <c r="T448" s="21"/>
      <c r="U448" s="1"/>
      <c r="V448" s="28"/>
      <c r="W448" s="21"/>
      <c r="X448" s="21"/>
      <c r="Y448" s="1"/>
      <c r="Z448" s="1"/>
      <c r="AA448" s="1"/>
      <c r="AB448" s="28"/>
      <c r="AC448" s="2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8"/>
      <c r="T449" s="21"/>
      <c r="U449" s="1"/>
      <c r="V449" s="28"/>
      <c r="W449" s="21"/>
      <c r="X449" s="21"/>
      <c r="Y449" s="1"/>
      <c r="Z449" s="1"/>
      <c r="AA449" s="1"/>
      <c r="AB449" s="28"/>
      <c r="AC449" s="2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8"/>
      <c r="T450" s="21"/>
      <c r="U450" s="1"/>
      <c r="V450" s="28"/>
      <c r="W450" s="21"/>
      <c r="X450" s="21"/>
      <c r="Y450" s="1"/>
      <c r="Z450" s="1"/>
      <c r="AA450" s="1"/>
      <c r="AB450" s="28"/>
      <c r="AC450" s="2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8"/>
      <c r="T451" s="21"/>
      <c r="U451" s="1"/>
      <c r="V451" s="28"/>
      <c r="W451" s="21"/>
      <c r="X451" s="21"/>
      <c r="Y451" s="1"/>
      <c r="Z451" s="1"/>
      <c r="AA451" s="1"/>
      <c r="AB451" s="28"/>
      <c r="AC451" s="2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8"/>
      <c r="T452" s="21"/>
      <c r="U452" s="1"/>
      <c r="V452" s="28"/>
      <c r="W452" s="21"/>
      <c r="X452" s="21"/>
      <c r="Y452" s="1"/>
      <c r="Z452" s="1"/>
      <c r="AA452" s="1"/>
      <c r="AB452" s="28"/>
      <c r="AC452" s="2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8"/>
      <c r="T453" s="21"/>
      <c r="U453" s="1"/>
      <c r="V453" s="28"/>
      <c r="W453" s="21"/>
      <c r="X453" s="21"/>
      <c r="Y453" s="1"/>
      <c r="Z453" s="1"/>
      <c r="AA453" s="1"/>
      <c r="AB453" s="28"/>
      <c r="AC453" s="2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8"/>
      <c r="T454" s="21"/>
      <c r="U454" s="1"/>
      <c r="V454" s="28"/>
      <c r="W454" s="21"/>
      <c r="X454" s="21"/>
      <c r="Y454" s="1"/>
      <c r="Z454" s="1"/>
      <c r="AA454" s="1"/>
      <c r="AB454" s="28"/>
      <c r="AC454" s="2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8"/>
      <c r="T455" s="21"/>
      <c r="U455" s="1"/>
      <c r="V455" s="28"/>
      <c r="W455" s="21"/>
      <c r="X455" s="21"/>
      <c r="Y455" s="1"/>
      <c r="Z455" s="1"/>
      <c r="AA455" s="1"/>
      <c r="AB455" s="28"/>
      <c r="AC455" s="2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8"/>
      <c r="T456" s="21"/>
      <c r="U456" s="1"/>
      <c r="V456" s="28"/>
      <c r="W456" s="21"/>
      <c r="X456" s="21"/>
      <c r="Y456" s="1"/>
      <c r="Z456" s="1"/>
      <c r="AA456" s="1"/>
      <c r="AB456" s="28"/>
      <c r="AC456" s="2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8"/>
      <c r="T457" s="21"/>
      <c r="U457" s="1"/>
      <c r="V457" s="28"/>
      <c r="W457" s="21"/>
      <c r="X457" s="21"/>
      <c r="Y457" s="1"/>
      <c r="Z457" s="1"/>
      <c r="AA457" s="1"/>
      <c r="AB457" s="28"/>
      <c r="AC457" s="2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8"/>
      <c r="T458" s="21"/>
      <c r="U458" s="1"/>
      <c r="V458" s="28"/>
      <c r="W458" s="21"/>
      <c r="X458" s="21"/>
      <c r="Y458" s="1"/>
      <c r="Z458" s="1"/>
      <c r="AA458" s="1"/>
      <c r="AB458" s="28"/>
      <c r="AC458" s="2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8"/>
      <c r="T459" s="21"/>
      <c r="U459" s="1"/>
      <c r="V459" s="28"/>
      <c r="W459" s="21"/>
      <c r="X459" s="21"/>
      <c r="Y459" s="1"/>
      <c r="Z459" s="1"/>
      <c r="AA459" s="1"/>
      <c r="AB459" s="28"/>
      <c r="AC459" s="2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8"/>
      <c r="T460" s="21"/>
      <c r="U460" s="1"/>
      <c r="V460" s="28"/>
      <c r="W460" s="21"/>
      <c r="X460" s="21"/>
      <c r="Y460" s="1"/>
      <c r="Z460" s="1"/>
      <c r="AA460" s="1"/>
      <c r="AB460" s="28"/>
      <c r="AC460" s="2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8"/>
      <c r="T461" s="21"/>
      <c r="U461" s="1"/>
      <c r="V461" s="28"/>
      <c r="W461" s="21"/>
      <c r="X461" s="21"/>
      <c r="Y461" s="1"/>
      <c r="Z461" s="1"/>
      <c r="AA461" s="1"/>
      <c r="AB461" s="28"/>
      <c r="AC461" s="2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8"/>
      <c r="T462" s="21"/>
      <c r="U462" s="1"/>
      <c r="V462" s="28"/>
      <c r="W462" s="21"/>
      <c r="X462" s="21"/>
      <c r="Y462" s="1"/>
      <c r="Z462" s="1"/>
      <c r="AA462" s="1"/>
      <c r="AB462" s="28"/>
      <c r="AC462" s="2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8"/>
      <c r="T463" s="21"/>
      <c r="U463" s="1"/>
      <c r="V463" s="28"/>
      <c r="W463" s="21"/>
      <c r="X463" s="21"/>
      <c r="Y463" s="1"/>
      <c r="Z463" s="1"/>
      <c r="AA463" s="1"/>
      <c r="AB463" s="28"/>
      <c r="AC463" s="2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8"/>
      <c r="T464" s="21"/>
      <c r="U464" s="1"/>
      <c r="V464" s="28"/>
      <c r="W464" s="21"/>
      <c r="X464" s="21"/>
      <c r="Y464" s="1"/>
      <c r="Z464" s="1"/>
      <c r="AA464" s="1"/>
      <c r="AB464" s="28"/>
      <c r="AC464" s="2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8"/>
      <c r="T465" s="21"/>
      <c r="U465" s="1"/>
      <c r="V465" s="28"/>
      <c r="W465" s="21"/>
      <c r="X465" s="21"/>
      <c r="Y465" s="1"/>
      <c r="Z465" s="1"/>
      <c r="AA465" s="1"/>
      <c r="AB465" s="28"/>
      <c r="AC465" s="2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8"/>
      <c r="T466" s="21"/>
      <c r="U466" s="1"/>
      <c r="V466" s="28"/>
      <c r="W466" s="21"/>
      <c r="X466" s="21"/>
      <c r="Y466" s="1"/>
      <c r="Z466" s="1"/>
      <c r="AA466" s="1"/>
      <c r="AB466" s="28"/>
      <c r="AC466" s="2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8"/>
      <c r="T467" s="21"/>
      <c r="U467" s="1"/>
      <c r="V467" s="28"/>
      <c r="W467" s="21"/>
      <c r="X467" s="21"/>
      <c r="Y467" s="1"/>
      <c r="Z467" s="1"/>
      <c r="AA467" s="1"/>
      <c r="AB467" s="28"/>
      <c r="AC467" s="2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8"/>
      <c r="T468" s="21"/>
      <c r="U468" s="1"/>
      <c r="V468" s="28"/>
      <c r="W468" s="21"/>
      <c r="X468" s="21"/>
      <c r="Y468" s="1"/>
      <c r="Z468" s="1"/>
      <c r="AA468" s="1"/>
      <c r="AB468" s="28"/>
      <c r="AC468" s="2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8"/>
      <c r="T469" s="21"/>
      <c r="U469" s="1"/>
      <c r="V469" s="28"/>
      <c r="W469" s="21"/>
      <c r="X469" s="21"/>
      <c r="Y469" s="1"/>
      <c r="Z469" s="1"/>
      <c r="AA469" s="1"/>
      <c r="AB469" s="28"/>
      <c r="AC469" s="2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8"/>
      <c r="T470" s="21"/>
      <c r="U470" s="1"/>
      <c r="V470" s="28"/>
      <c r="W470" s="21"/>
      <c r="X470" s="21"/>
      <c r="Y470" s="1"/>
      <c r="Z470" s="1"/>
      <c r="AA470" s="1"/>
      <c r="AB470" s="28"/>
      <c r="AC470" s="2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8"/>
      <c r="T471" s="21"/>
      <c r="U471" s="1"/>
      <c r="V471" s="28"/>
      <c r="W471" s="21"/>
      <c r="X471" s="21"/>
      <c r="Y471" s="1"/>
      <c r="Z471" s="1"/>
      <c r="AA471" s="1"/>
      <c r="AB471" s="28"/>
      <c r="AC471" s="2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8"/>
      <c r="T472" s="21"/>
      <c r="U472" s="1"/>
      <c r="V472" s="28"/>
      <c r="W472" s="21"/>
      <c r="X472" s="21"/>
      <c r="Y472" s="1"/>
      <c r="Z472" s="1"/>
      <c r="AA472" s="1"/>
      <c r="AB472" s="28"/>
      <c r="AC472" s="2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8"/>
      <c r="T473" s="21"/>
      <c r="U473" s="1"/>
      <c r="V473" s="28"/>
      <c r="W473" s="21"/>
      <c r="X473" s="21"/>
      <c r="Y473" s="1"/>
      <c r="Z473" s="1"/>
      <c r="AA473" s="1"/>
      <c r="AB473" s="28"/>
      <c r="AC473" s="2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8"/>
      <c r="T474" s="21"/>
      <c r="U474" s="1"/>
      <c r="V474" s="28"/>
      <c r="W474" s="21"/>
      <c r="X474" s="21"/>
      <c r="Y474" s="1"/>
      <c r="Z474" s="1"/>
      <c r="AA474" s="1"/>
      <c r="AB474" s="28"/>
      <c r="AC474" s="2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8"/>
      <c r="T475" s="21"/>
      <c r="U475" s="1"/>
      <c r="V475" s="28"/>
      <c r="W475" s="21"/>
      <c r="X475" s="21"/>
      <c r="Y475" s="1"/>
      <c r="Z475" s="1"/>
      <c r="AA475" s="1"/>
      <c r="AB475" s="28"/>
      <c r="AC475" s="2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8"/>
      <c r="T476" s="21"/>
      <c r="U476" s="1"/>
      <c r="V476" s="28"/>
      <c r="W476" s="21"/>
      <c r="X476" s="21"/>
      <c r="Y476" s="1"/>
      <c r="Z476" s="1"/>
      <c r="AA476" s="1"/>
      <c r="AB476" s="28"/>
      <c r="AC476" s="2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8"/>
      <c r="T477" s="21"/>
      <c r="U477" s="1"/>
      <c r="V477" s="28"/>
      <c r="W477" s="21"/>
      <c r="X477" s="21"/>
      <c r="Y477" s="1"/>
      <c r="Z477" s="1"/>
      <c r="AA477" s="1"/>
      <c r="AB477" s="28"/>
      <c r="AC477" s="2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8"/>
      <c r="T478" s="21"/>
      <c r="U478" s="1"/>
      <c r="V478" s="28"/>
      <c r="W478" s="21"/>
      <c r="X478" s="21"/>
      <c r="Y478" s="1"/>
      <c r="Z478" s="1"/>
      <c r="AA478" s="1"/>
      <c r="AB478" s="28"/>
      <c r="AC478" s="2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8"/>
      <c r="T479" s="21"/>
      <c r="U479" s="1"/>
      <c r="V479" s="28"/>
      <c r="W479" s="21"/>
      <c r="X479" s="21"/>
      <c r="Y479" s="1"/>
      <c r="Z479" s="1"/>
      <c r="AA479" s="1"/>
      <c r="AB479" s="28"/>
      <c r="AC479" s="2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8"/>
      <c r="T480" s="21"/>
      <c r="U480" s="1"/>
      <c r="V480" s="28"/>
      <c r="W480" s="21"/>
      <c r="X480" s="21"/>
      <c r="Y480" s="1"/>
      <c r="Z480" s="1"/>
      <c r="AA480" s="1"/>
      <c r="AB480" s="28"/>
      <c r="AC480" s="2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8"/>
      <c r="T481" s="21"/>
      <c r="U481" s="1"/>
      <c r="V481" s="28"/>
      <c r="W481" s="21"/>
      <c r="X481" s="21"/>
      <c r="Y481" s="1"/>
      <c r="Z481" s="1"/>
      <c r="AA481" s="1"/>
      <c r="AB481" s="28"/>
      <c r="AC481" s="2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8"/>
      <c r="T482" s="21"/>
      <c r="U482" s="1"/>
      <c r="V482" s="28"/>
      <c r="W482" s="21"/>
      <c r="X482" s="21"/>
      <c r="Y482" s="1"/>
      <c r="Z482" s="1"/>
      <c r="AA482" s="1"/>
      <c r="AB482" s="28"/>
      <c r="AC482" s="2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8"/>
      <c r="T483" s="21"/>
      <c r="U483" s="1"/>
      <c r="V483" s="28"/>
      <c r="W483" s="21"/>
      <c r="X483" s="21"/>
      <c r="Y483" s="1"/>
      <c r="Z483" s="1"/>
      <c r="AA483" s="1"/>
      <c r="AB483" s="28"/>
      <c r="AC483" s="2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8"/>
      <c r="T484" s="21"/>
      <c r="U484" s="1"/>
      <c r="V484" s="28"/>
      <c r="W484" s="21"/>
      <c r="X484" s="21"/>
      <c r="Y484" s="1"/>
      <c r="Z484" s="1"/>
      <c r="AA484" s="1"/>
      <c r="AB484" s="28"/>
      <c r="AC484" s="2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8"/>
      <c r="T485" s="21"/>
      <c r="U485" s="1"/>
      <c r="V485" s="28"/>
      <c r="W485" s="21"/>
      <c r="X485" s="21"/>
      <c r="Y485" s="1"/>
      <c r="Z485" s="1"/>
      <c r="AA485" s="1"/>
      <c r="AB485" s="28"/>
      <c r="AC485" s="2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8"/>
      <c r="T486" s="21"/>
      <c r="U486" s="1"/>
      <c r="V486" s="28"/>
      <c r="W486" s="21"/>
      <c r="X486" s="21"/>
      <c r="Y486" s="1"/>
      <c r="Z486" s="1"/>
      <c r="AA486" s="1"/>
      <c r="AB486" s="28"/>
      <c r="AC486" s="2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8"/>
      <c r="T487" s="21"/>
      <c r="U487" s="1"/>
      <c r="V487" s="28"/>
      <c r="W487" s="21"/>
      <c r="X487" s="21"/>
      <c r="Y487" s="1"/>
      <c r="Z487" s="1"/>
      <c r="AA487" s="1"/>
      <c r="AB487" s="28"/>
      <c r="AC487" s="2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8"/>
      <c r="T488" s="21"/>
      <c r="U488" s="1"/>
      <c r="V488" s="28"/>
      <c r="W488" s="21"/>
      <c r="X488" s="21"/>
      <c r="Y488" s="1"/>
      <c r="Z488" s="1"/>
      <c r="AA488" s="1"/>
      <c r="AB488" s="28"/>
      <c r="AC488" s="2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8"/>
      <c r="T489" s="21"/>
      <c r="U489" s="1"/>
      <c r="V489" s="28"/>
      <c r="W489" s="21"/>
      <c r="X489" s="21"/>
      <c r="Y489" s="1"/>
      <c r="Z489" s="1"/>
      <c r="AA489" s="1"/>
      <c r="AB489" s="28"/>
      <c r="AC489" s="2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8"/>
      <c r="T490" s="21"/>
      <c r="U490" s="1"/>
      <c r="V490" s="28"/>
      <c r="W490" s="21"/>
      <c r="X490" s="21"/>
      <c r="Y490" s="1"/>
      <c r="Z490" s="1"/>
      <c r="AA490" s="1"/>
      <c r="AB490" s="28"/>
      <c r="AC490" s="2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8"/>
      <c r="T491" s="21"/>
      <c r="U491" s="1"/>
      <c r="V491" s="28"/>
      <c r="W491" s="21"/>
      <c r="X491" s="21"/>
      <c r="Y491" s="1"/>
      <c r="Z491" s="1"/>
      <c r="AA491" s="1"/>
      <c r="AB491" s="28"/>
      <c r="AC491" s="2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8"/>
      <c r="T492" s="21"/>
      <c r="U492" s="1"/>
      <c r="V492" s="28"/>
      <c r="W492" s="21"/>
      <c r="X492" s="21"/>
      <c r="Y492" s="1"/>
      <c r="Z492" s="1"/>
      <c r="AA492" s="1"/>
      <c r="AB492" s="28"/>
      <c r="AC492" s="2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8"/>
      <c r="T493" s="21"/>
      <c r="U493" s="1"/>
      <c r="V493" s="28"/>
      <c r="W493" s="21"/>
      <c r="X493" s="21"/>
      <c r="Y493" s="1"/>
      <c r="Z493" s="1"/>
      <c r="AA493" s="1"/>
      <c r="AB493" s="28"/>
      <c r="AC493" s="2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8"/>
      <c r="T494" s="21"/>
      <c r="U494" s="1"/>
      <c r="V494" s="28"/>
      <c r="W494" s="21"/>
      <c r="X494" s="21"/>
      <c r="Y494" s="1"/>
      <c r="Z494" s="1"/>
      <c r="AA494" s="1"/>
      <c r="AB494" s="28"/>
      <c r="AC494" s="2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8"/>
      <c r="T495" s="21"/>
      <c r="U495" s="1"/>
      <c r="V495" s="28"/>
      <c r="W495" s="21"/>
      <c r="X495" s="21"/>
      <c r="Y495" s="1"/>
      <c r="Z495" s="1"/>
      <c r="AA495" s="1"/>
      <c r="AB495" s="28"/>
      <c r="AC495" s="2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8"/>
      <c r="T496" s="21"/>
      <c r="U496" s="1"/>
      <c r="V496" s="28"/>
      <c r="W496" s="21"/>
      <c r="X496" s="21"/>
      <c r="Y496" s="1"/>
      <c r="Z496" s="1"/>
      <c r="AA496" s="1"/>
      <c r="AB496" s="28"/>
      <c r="AC496" s="2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8"/>
      <c r="T497" s="21"/>
      <c r="U497" s="1"/>
      <c r="V497" s="28"/>
      <c r="W497" s="21"/>
      <c r="X497" s="21"/>
      <c r="Y497" s="1"/>
      <c r="Z497" s="1"/>
      <c r="AA497" s="1"/>
      <c r="AB497" s="28"/>
      <c r="AC497" s="2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8"/>
      <c r="T498" s="21"/>
      <c r="U498" s="1"/>
      <c r="V498" s="28"/>
      <c r="W498" s="21"/>
      <c r="X498" s="21"/>
      <c r="Y498" s="1"/>
      <c r="Z498" s="1"/>
      <c r="AA498" s="1"/>
      <c r="AB498" s="28"/>
      <c r="AC498" s="2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autoFilter ref="A3:AO137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F324-746B-4D66-AE5D-6B5B8EFF1184}">
  <dimension ref="A1:E77"/>
  <sheetViews>
    <sheetView topLeftCell="A37" workbookViewId="0">
      <selection activeCell="H5" sqref="H5"/>
    </sheetView>
  </sheetViews>
  <sheetFormatPr defaultRowHeight="15" x14ac:dyDescent="0.25"/>
  <cols>
    <col min="2" max="2" width="120.5703125" bestFit="1" customWidth="1"/>
  </cols>
  <sheetData>
    <row r="1" spans="1:5" x14ac:dyDescent="0.25">
      <c r="A1" s="32" t="s">
        <v>201</v>
      </c>
      <c r="B1" s="33" t="s">
        <v>202</v>
      </c>
      <c r="C1" s="34">
        <v>195</v>
      </c>
      <c r="D1" s="34">
        <v>195</v>
      </c>
      <c r="E1" s="34"/>
    </row>
    <row r="2" spans="1:5" x14ac:dyDescent="0.25">
      <c r="A2" s="32" t="s">
        <v>203</v>
      </c>
      <c r="B2" s="33" t="s">
        <v>204</v>
      </c>
      <c r="C2" s="34">
        <v>507</v>
      </c>
      <c r="D2" s="34">
        <v>507</v>
      </c>
      <c r="E2" s="34"/>
    </row>
    <row r="3" spans="1:5" x14ac:dyDescent="0.25">
      <c r="A3" s="32" t="s">
        <v>205</v>
      </c>
      <c r="B3" s="33" t="s">
        <v>206</v>
      </c>
      <c r="C3" s="34">
        <v>151.19999999999999</v>
      </c>
      <c r="D3" s="34">
        <v>151.19999999999999</v>
      </c>
      <c r="E3" s="34"/>
    </row>
    <row r="4" spans="1:5" x14ac:dyDescent="0.25">
      <c r="A4" s="32" t="s">
        <v>207</v>
      </c>
      <c r="B4" s="33" t="s">
        <v>208</v>
      </c>
      <c r="C4" s="34">
        <v>356.4</v>
      </c>
      <c r="D4" s="34">
        <v>356.4</v>
      </c>
      <c r="E4" s="34"/>
    </row>
    <row r="5" spans="1:5" x14ac:dyDescent="0.25">
      <c r="A5" s="32" t="s">
        <v>209</v>
      </c>
      <c r="B5" s="33" t="s">
        <v>210</v>
      </c>
      <c r="C5" s="34">
        <v>318.60000000000002</v>
      </c>
      <c r="D5" s="34">
        <v>318.60000000000002</v>
      </c>
      <c r="E5" s="34"/>
    </row>
    <row r="6" spans="1:5" x14ac:dyDescent="0.25">
      <c r="A6" s="32" t="s">
        <v>211</v>
      </c>
      <c r="B6" s="33" t="s">
        <v>212</v>
      </c>
      <c r="C6" s="34">
        <v>1134</v>
      </c>
      <c r="D6" s="34">
        <v>1134</v>
      </c>
      <c r="E6" s="34"/>
    </row>
    <row r="7" spans="1:5" x14ac:dyDescent="0.25">
      <c r="A7" s="32" t="s">
        <v>213</v>
      </c>
      <c r="B7" s="33" t="s">
        <v>214</v>
      </c>
      <c r="C7" s="34">
        <v>7.65</v>
      </c>
      <c r="D7" s="34">
        <v>7.65</v>
      </c>
      <c r="E7" s="34"/>
    </row>
    <row r="8" spans="1:5" x14ac:dyDescent="0.25">
      <c r="A8" s="32" t="s">
        <v>215</v>
      </c>
      <c r="B8" s="33" t="s">
        <v>216</v>
      </c>
      <c r="C8" s="34">
        <v>454.08</v>
      </c>
      <c r="D8" s="34">
        <v>454.08</v>
      </c>
      <c r="E8" s="34"/>
    </row>
    <row r="9" spans="1:5" x14ac:dyDescent="0.25">
      <c r="A9" s="32" t="s">
        <v>217</v>
      </c>
      <c r="B9" s="33" t="s">
        <v>218</v>
      </c>
      <c r="C9" s="34">
        <v>2001.12</v>
      </c>
      <c r="D9" s="34">
        <v>2001.12</v>
      </c>
      <c r="E9" s="34"/>
    </row>
    <row r="10" spans="1:5" x14ac:dyDescent="0.25">
      <c r="A10" s="32" t="s">
        <v>219</v>
      </c>
      <c r="B10" s="33" t="s">
        <v>220</v>
      </c>
      <c r="C10" s="34">
        <v>1503</v>
      </c>
      <c r="D10" s="34">
        <v>1503</v>
      </c>
      <c r="E10" s="34"/>
    </row>
    <row r="11" spans="1:5" x14ac:dyDescent="0.25">
      <c r="A11" s="32" t="s">
        <v>221</v>
      </c>
      <c r="B11" s="33" t="s">
        <v>222</v>
      </c>
      <c r="C11" s="34">
        <v>20.399999999999999</v>
      </c>
      <c r="D11" s="34">
        <v>20.399999999999999</v>
      </c>
      <c r="E11" s="34"/>
    </row>
    <row r="12" spans="1:5" x14ac:dyDescent="0.25">
      <c r="A12" s="32" t="s">
        <v>223</v>
      </c>
      <c r="B12" s="33" t="s">
        <v>224</v>
      </c>
      <c r="C12" s="34">
        <v>100.32</v>
      </c>
      <c r="D12" s="34">
        <v>100.32</v>
      </c>
      <c r="E12" s="34"/>
    </row>
    <row r="13" spans="1:5" x14ac:dyDescent="0.25">
      <c r="A13" s="32" t="s">
        <v>225</v>
      </c>
      <c r="B13" s="33" t="s">
        <v>226</v>
      </c>
      <c r="C13" s="34">
        <v>1251.3599999999999</v>
      </c>
      <c r="D13" s="34">
        <v>1251.3599999999999</v>
      </c>
      <c r="E13" s="34"/>
    </row>
    <row r="14" spans="1:5" x14ac:dyDescent="0.25">
      <c r="A14" s="32" t="s">
        <v>227</v>
      </c>
      <c r="B14" s="33" t="s">
        <v>228</v>
      </c>
      <c r="C14" s="34">
        <v>665.28</v>
      </c>
      <c r="D14" s="34">
        <v>665.28</v>
      </c>
      <c r="E14" s="34"/>
    </row>
    <row r="15" spans="1:5" x14ac:dyDescent="0.25">
      <c r="A15" s="32" t="s">
        <v>229</v>
      </c>
      <c r="B15" s="33" t="s">
        <v>230</v>
      </c>
      <c r="C15" s="34">
        <v>81.599999999999994</v>
      </c>
      <c r="D15" s="34">
        <v>81.599999999999994</v>
      </c>
      <c r="E15" s="34"/>
    </row>
    <row r="16" spans="1:5" x14ac:dyDescent="0.25">
      <c r="A16" s="32" t="s">
        <v>231</v>
      </c>
      <c r="B16" s="33" t="s">
        <v>232</v>
      </c>
      <c r="C16" s="34">
        <v>13.6</v>
      </c>
      <c r="D16" s="34">
        <v>13.6</v>
      </c>
      <c r="E16" s="34"/>
    </row>
    <row r="17" spans="1:5" x14ac:dyDescent="0.25">
      <c r="A17" s="32" t="s">
        <v>233</v>
      </c>
      <c r="B17" s="33" t="s">
        <v>234</v>
      </c>
      <c r="C17" s="34">
        <v>22</v>
      </c>
      <c r="D17" s="34">
        <v>22</v>
      </c>
      <c r="E17" s="34"/>
    </row>
    <row r="18" spans="1:5" x14ac:dyDescent="0.25">
      <c r="A18" s="32" t="s">
        <v>235</v>
      </c>
      <c r="B18" s="33" t="s">
        <v>236</v>
      </c>
      <c r="C18" s="34">
        <v>1200</v>
      </c>
      <c r="D18" s="34">
        <v>1200</v>
      </c>
      <c r="E18" s="34"/>
    </row>
    <row r="19" spans="1:5" x14ac:dyDescent="0.25">
      <c r="A19" s="32" t="s">
        <v>237</v>
      </c>
      <c r="B19" s="33" t="s">
        <v>238</v>
      </c>
      <c r="C19" s="34">
        <v>240</v>
      </c>
      <c r="D19" s="34">
        <v>240</v>
      </c>
      <c r="E19" s="34"/>
    </row>
    <row r="20" spans="1:5" x14ac:dyDescent="0.25">
      <c r="A20" s="32" t="s">
        <v>239</v>
      </c>
      <c r="B20" s="33" t="s">
        <v>240</v>
      </c>
      <c r="C20" s="34">
        <v>14.4</v>
      </c>
      <c r="D20" s="34">
        <v>14.4</v>
      </c>
      <c r="E20" s="34"/>
    </row>
    <row r="21" spans="1:5" x14ac:dyDescent="0.25">
      <c r="A21" s="32" t="s">
        <v>241</v>
      </c>
      <c r="B21" s="33" t="s">
        <v>242</v>
      </c>
      <c r="C21" s="34">
        <v>480</v>
      </c>
      <c r="D21" s="34">
        <v>480</v>
      </c>
      <c r="E21" s="34"/>
    </row>
    <row r="22" spans="1:5" x14ac:dyDescent="0.25">
      <c r="A22" s="32" t="s">
        <v>243</v>
      </c>
      <c r="B22" s="33" t="s">
        <v>244</v>
      </c>
      <c r="C22" s="34">
        <v>887.04</v>
      </c>
      <c r="D22" s="34">
        <v>887.04</v>
      </c>
      <c r="E22" s="34"/>
    </row>
    <row r="23" spans="1:5" x14ac:dyDescent="0.25">
      <c r="A23" s="32" t="s">
        <v>245</v>
      </c>
      <c r="B23" s="33" t="s">
        <v>246</v>
      </c>
      <c r="C23" s="34">
        <v>81.599999999999994</v>
      </c>
      <c r="D23" s="34">
        <v>81.599999999999994</v>
      </c>
      <c r="E23" s="34"/>
    </row>
    <row r="24" spans="1:5" x14ac:dyDescent="0.25">
      <c r="A24" s="32" t="s">
        <v>247</v>
      </c>
      <c r="B24" s="33" t="s">
        <v>248</v>
      </c>
      <c r="C24" s="34">
        <v>201.6</v>
      </c>
      <c r="D24" s="34">
        <v>201.6</v>
      </c>
      <c r="E24" s="34"/>
    </row>
    <row r="25" spans="1:5" x14ac:dyDescent="0.25">
      <c r="A25" s="32" t="s">
        <v>249</v>
      </c>
      <c r="B25" s="33" t="s">
        <v>250</v>
      </c>
      <c r="C25" s="34">
        <v>69.599999999999994</v>
      </c>
      <c r="D25" s="34">
        <v>69.599999999999994</v>
      </c>
      <c r="E25" s="34"/>
    </row>
    <row r="26" spans="1:5" x14ac:dyDescent="0.25">
      <c r="A26" s="32" t="s">
        <v>251</v>
      </c>
      <c r="B26" s="33" t="s">
        <v>252</v>
      </c>
      <c r="C26" s="34">
        <v>108</v>
      </c>
      <c r="D26" s="34">
        <v>108</v>
      </c>
      <c r="E26" s="34"/>
    </row>
    <row r="27" spans="1:5" x14ac:dyDescent="0.25">
      <c r="A27" s="32" t="s">
        <v>253</v>
      </c>
      <c r="B27" s="33" t="s">
        <v>254</v>
      </c>
      <c r="C27" s="34">
        <v>24</v>
      </c>
      <c r="D27" s="34">
        <v>24</v>
      </c>
      <c r="E27" s="34"/>
    </row>
    <row r="28" spans="1:5" x14ac:dyDescent="0.25">
      <c r="A28" s="32" t="s">
        <v>255</v>
      </c>
      <c r="B28" s="33" t="s">
        <v>256</v>
      </c>
      <c r="C28" s="34">
        <v>120</v>
      </c>
      <c r="D28" s="34">
        <v>120</v>
      </c>
      <c r="E28" s="34"/>
    </row>
    <row r="29" spans="1:5" x14ac:dyDescent="0.25">
      <c r="A29" s="32" t="s">
        <v>257</v>
      </c>
      <c r="B29" s="33" t="s">
        <v>258</v>
      </c>
      <c r="C29" s="34">
        <v>60</v>
      </c>
      <c r="D29" s="34">
        <v>60</v>
      </c>
      <c r="E29" s="34"/>
    </row>
    <row r="30" spans="1:5" x14ac:dyDescent="0.25">
      <c r="A30" s="32" t="s">
        <v>259</v>
      </c>
      <c r="B30" s="33" t="s">
        <v>260</v>
      </c>
      <c r="C30" s="34">
        <v>49.5</v>
      </c>
      <c r="D30" s="34">
        <v>49.5</v>
      </c>
      <c r="E30" s="34"/>
    </row>
    <row r="31" spans="1:5" x14ac:dyDescent="0.25">
      <c r="A31" s="32" t="s">
        <v>261</v>
      </c>
      <c r="B31" s="33" t="s">
        <v>262</v>
      </c>
      <c r="C31" s="34">
        <v>291.60000000000002</v>
      </c>
      <c r="D31" s="34">
        <v>291.60000000000002</v>
      </c>
      <c r="E31" s="34"/>
    </row>
    <row r="32" spans="1:5" x14ac:dyDescent="0.25">
      <c r="A32" s="32" t="s">
        <v>263</v>
      </c>
      <c r="B32" s="33" t="s">
        <v>264</v>
      </c>
      <c r="C32" s="34">
        <v>356.4</v>
      </c>
      <c r="D32" s="34">
        <v>356.4</v>
      </c>
      <c r="E32" s="34"/>
    </row>
    <row r="33" spans="1:5" x14ac:dyDescent="0.25">
      <c r="A33" s="32" t="s">
        <v>265</v>
      </c>
      <c r="B33" s="33" t="s">
        <v>266</v>
      </c>
      <c r="C33" s="34">
        <v>22</v>
      </c>
      <c r="D33" s="34">
        <v>22</v>
      </c>
      <c r="E33" s="34"/>
    </row>
    <row r="34" spans="1:5" x14ac:dyDescent="0.25">
      <c r="A34" s="32" t="s">
        <v>267</v>
      </c>
      <c r="B34" s="33" t="s">
        <v>268</v>
      </c>
      <c r="C34" s="34">
        <v>36</v>
      </c>
      <c r="D34" s="34">
        <v>36</v>
      </c>
      <c r="E34" s="34"/>
    </row>
    <row r="35" spans="1:5" x14ac:dyDescent="0.25">
      <c r="A35" s="32" t="s">
        <v>269</v>
      </c>
      <c r="B35" s="33" t="s">
        <v>270</v>
      </c>
      <c r="C35" s="34">
        <v>400.8</v>
      </c>
      <c r="D35" s="34">
        <v>400.8</v>
      </c>
      <c r="E35" s="34"/>
    </row>
    <row r="36" spans="1:5" x14ac:dyDescent="0.25">
      <c r="A36" s="32" t="s">
        <v>271</v>
      </c>
      <c r="B36" s="33" t="s">
        <v>272</v>
      </c>
      <c r="C36" s="34">
        <v>307.8</v>
      </c>
      <c r="D36" s="34">
        <v>307.8</v>
      </c>
      <c r="E36" s="34"/>
    </row>
    <row r="37" spans="1:5" x14ac:dyDescent="0.25">
      <c r="A37" s="32" t="s">
        <v>273</v>
      </c>
      <c r="B37" s="33" t="s">
        <v>274</v>
      </c>
      <c r="C37" s="34">
        <v>175.2</v>
      </c>
      <c r="D37" s="34">
        <v>175.2</v>
      </c>
      <c r="E37" s="34"/>
    </row>
    <row r="38" spans="1:5" x14ac:dyDescent="0.25">
      <c r="A38" s="32" t="s">
        <v>275</v>
      </c>
      <c r="B38" s="33" t="s">
        <v>276</v>
      </c>
      <c r="C38" s="34">
        <v>307.8</v>
      </c>
      <c r="D38" s="34">
        <v>307.8</v>
      </c>
      <c r="E38" s="34"/>
    </row>
    <row r="39" spans="1:5" x14ac:dyDescent="0.25">
      <c r="A39" s="32" t="s">
        <v>277</v>
      </c>
      <c r="B39" s="33" t="s">
        <v>278</v>
      </c>
      <c r="C39" s="34">
        <v>84</v>
      </c>
      <c r="D39" s="34">
        <v>84</v>
      </c>
      <c r="E39" s="34"/>
    </row>
    <row r="40" spans="1:5" x14ac:dyDescent="0.25">
      <c r="A40" s="32" t="s">
        <v>279</v>
      </c>
      <c r="B40" s="33" t="s">
        <v>280</v>
      </c>
      <c r="C40" s="34">
        <v>105</v>
      </c>
      <c r="D40" s="34">
        <v>105</v>
      </c>
      <c r="E40" s="34"/>
    </row>
    <row r="41" spans="1:5" x14ac:dyDescent="0.25">
      <c r="A41" s="32" t="s">
        <v>281</v>
      </c>
      <c r="B41" s="33" t="s">
        <v>282</v>
      </c>
      <c r="C41" s="34">
        <v>7.2</v>
      </c>
      <c r="D41" s="34"/>
      <c r="E41" s="34">
        <v>-7.2</v>
      </c>
    </row>
    <row r="42" spans="1:5" x14ac:dyDescent="0.25">
      <c r="A42" s="32" t="s">
        <v>283</v>
      </c>
      <c r="B42" s="33" t="s">
        <v>284</v>
      </c>
      <c r="C42" s="34">
        <v>113.4</v>
      </c>
      <c r="D42" s="34">
        <v>113.4</v>
      </c>
      <c r="E42" s="34"/>
    </row>
    <row r="43" spans="1:5" x14ac:dyDescent="0.25">
      <c r="A43" s="32" t="s">
        <v>285</v>
      </c>
      <c r="B43" s="33" t="s">
        <v>286</v>
      </c>
      <c r="C43" s="34">
        <v>27</v>
      </c>
      <c r="D43" s="34"/>
      <c r="E43" s="34">
        <v>-27</v>
      </c>
    </row>
    <row r="44" spans="1:5" x14ac:dyDescent="0.25">
      <c r="A44" s="32" t="s">
        <v>287</v>
      </c>
      <c r="B44" s="33" t="s">
        <v>288</v>
      </c>
      <c r="C44" s="34">
        <v>750.6</v>
      </c>
      <c r="D44" s="34">
        <v>750.6</v>
      </c>
      <c r="E44" s="34"/>
    </row>
    <row r="45" spans="1:5" x14ac:dyDescent="0.25">
      <c r="A45" s="32" t="s">
        <v>289</v>
      </c>
      <c r="B45" s="33" t="s">
        <v>290</v>
      </c>
      <c r="C45" s="34">
        <v>43.2</v>
      </c>
      <c r="D45" s="34"/>
      <c r="E45" s="34">
        <v>-43.2</v>
      </c>
    </row>
    <row r="46" spans="1:5" x14ac:dyDescent="0.25">
      <c r="A46" s="32" t="s">
        <v>291</v>
      </c>
      <c r="B46" s="33" t="s">
        <v>292</v>
      </c>
      <c r="C46" s="34">
        <v>12.6</v>
      </c>
      <c r="D46" s="34"/>
      <c r="E46" s="34">
        <v>-12.6</v>
      </c>
    </row>
    <row r="47" spans="1:5" x14ac:dyDescent="0.25">
      <c r="A47" s="32" t="s">
        <v>293</v>
      </c>
      <c r="B47" s="33" t="s">
        <v>294</v>
      </c>
      <c r="C47" s="34">
        <v>12.8</v>
      </c>
      <c r="D47" s="34">
        <v>12.8</v>
      </c>
      <c r="E47" s="34"/>
    </row>
    <row r="48" spans="1:5" x14ac:dyDescent="0.25">
      <c r="A48" s="32" t="s">
        <v>295</v>
      </c>
      <c r="B48" s="33" t="s">
        <v>296</v>
      </c>
      <c r="C48" s="34">
        <v>71.400000000000006</v>
      </c>
      <c r="D48" s="34">
        <v>71.400000000000006</v>
      </c>
      <c r="E48" s="34"/>
    </row>
    <row r="49" spans="1:5" x14ac:dyDescent="0.25">
      <c r="A49" s="32" t="s">
        <v>297</v>
      </c>
      <c r="B49" s="33" t="s">
        <v>298</v>
      </c>
      <c r="C49" s="34">
        <v>29.4</v>
      </c>
      <c r="D49" s="34">
        <v>29.4</v>
      </c>
      <c r="E49" s="34"/>
    </row>
    <row r="50" spans="1:5" x14ac:dyDescent="0.25">
      <c r="A50" s="32" t="s">
        <v>299</v>
      </c>
      <c r="B50" s="33" t="s">
        <v>300</v>
      </c>
      <c r="C50" s="34">
        <v>7.2</v>
      </c>
      <c r="D50" s="34">
        <v>7.2</v>
      </c>
      <c r="E50" s="34"/>
    </row>
    <row r="51" spans="1:5" x14ac:dyDescent="0.25">
      <c r="A51" s="32" t="s">
        <v>301</v>
      </c>
      <c r="B51" s="33" t="s">
        <v>302</v>
      </c>
      <c r="C51" s="34">
        <v>44.8</v>
      </c>
      <c r="D51" s="34">
        <v>44.8</v>
      </c>
      <c r="E51" s="34"/>
    </row>
    <row r="52" spans="1:5" x14ac:dyDescent="0.25">
      <c r="A52" s="32" t="s">
        <v>303</v>
      </c>
      <c r="B52" s="33" t="s">
        <v>304</v>
      </c>
      <c r="C52" s="34">
        <v>19.8</v>
      </c>
      <c r="D52" s="34">
        <v>19.8</v>
      </c>
      <c r="E52" s="34"/>
    </row>
    <row r="53" spans="1:5" x14ac:dyDescent="0.25">
      <c r="A53" s="32" t="s">
        <v>305</v>
      </c>
      <c r="B53" s="33" t="s">
        <v>306</v>
      </c>
      <c r="C53" s="34">
        <v>10.8</v>
      </c>
      <c r="D53" s="34">
        <v>10.8</v>
      </c>
      <c r="E53" s="34"/>
    </row>
    <row r="54" spans="1:5" x14ac:dyDescent="0.25">
      <c r="A54" s="32" t="s">
        <v>307</v>
      </c>
      <c r="B54" s="33" t="s">
        <v>308</v>
      </c>
      <c r="C54" s="34">
        <v>13.5</v>
      </c>
      <c r="D54" s="34">
        <v>13.5</v>
      </c>
      <c r="E54" s="34"/>
    </row>
    <row r="55" spans="1:5" x14ac:dyDescent="0.25">
      <c r="A55" s="32" t="s">
        <v>309</v>
      </c>
      <c r="B55" s="33" t="s">
        <v>310</v>
      </c>
      <c r="C55" s="34">
        <v>9</v>
      </c>
      <c r="D55" s="34"/>
      <c r="E55" s="34">
        <v>-9</v>
      </c>
    </row>
    <row r="56" spans="1:5" x14ac:dyDescent="0.25">
      <c r="A56" s="32" t="s">
        <v>311</v>
      </c>
      <c r="B56" s="33" t="s">
        <v>312</v>
      </c>
      <c r="C56" s="34">
        <v>5.04</v>
      </c>
      <c r="D56" s="34">
        <v>5.04</v>
      </c>
      <c r="E56" s="34"/>
    </row>
    <row r="57" spans="1:5" x14ac:dyDescent="0.25">
      <c r="A57" s="32" t="s">
        <v>313</v>
      </c>
      <c r="B57" s="33" t="s">
        <v>314</v>
      </c>
      <c r="C57" s="34">
        <v>11.34</v>
      </c>
      <c r="D57" s="34">
        <v>11.34</v>
      </c>
      <c r="E57" s="34"/>
    </row>
    <row r="58" spans="1:5" x14ac:dyDescent="0.25">
      <c r="A58" s="32" t="s">
        <v>315</v>
      </c>
      <c r="B58" s="33" t="s">
        <v>316</v>
      </c>
      <c r="C58" s="34">
        <v>5.04</v>
      </c>
      <c r="D58" s="34">
        <v>5.04</v>
      </c>
      <c r="E58" s="34"/>
    </row>
    <row r="59" spans="1:5" x14ac:dyDescent="0.25">
      <c r="A59" s="32" t="s">
        <v>317</v>
      </c>
      <c r="B59" s="33" t="s">
        <v>318</v>
      </c>
      <c r="C59" s="34">
        <v>10.8</v>
      </c>
      <c r="D59" s="34">
        <v>10.8</v>
      </c>
      <c r="E59" s="34"/>
    </row>
    <row r="60" spans="1:5" x14ac:dyDescent="0.25">
      <c r="A60" s="32" t="s">
        <v>319</v>
      </c>
      <c r="B60" s="33" t="s">
        <v>320</v>
      </c>
      <c r="C60" s="34">
        <v>12.6</v>
      </c>
      <c r="D60" s="34">
        <v>12.6</v>
      </c>
      <c r="E60" s="34"/>
    </row>
    <row r="61" spans="1:5" x14ac:dyDescent="0.25">
      <c r="A61" s="32" t="s">
        <v>321</v>
      </c>
      <c r="B61" s="33" t="s">
        <v>322</v>
      </c>
      <c r="C61" s="34">
        <v>14.4</v>
      </c>
      <c r="D61" s="34">
        <v>14.4</v>
      </c>
      <c r="E61" s="34"/>
    </row>
    <row r="62" spans="1:5" x14ac:dyDescent="0.25">
      <c r="A62" s="32" t="s">
        <v>323</v>
      </c>
      <c r="B62" s="33" t="s">
        <v>324</v>
      </c>
      <c r="C62" s="34">
        <v>196.56</v>
      </c>
      <c r="D62" s="34">
        <v>196.56</v>
      </c>
      <c r="E62" s="34"/>
    </row>
    <row r="63" spans="1:5" x14ac:dyDescent="0.25">
      <c r="A63" s="32" t="s">
        <v>325</v>
      </c>
      <c r="B63" s="33" t="s">
        <v>326</v>
      </c>
      <c r="C63" s="34">
        <v>52.5</v>
      </c>
      <c r="D63" s="34"/>
      <c r="E63" s="34">
        <v>-52.5</v>
      </c>
    </row>
    <row r="64" spans="1:5" x14ac:dyDescent="0.25">
      <c r="A64" s="32" t="s">
        <v>327</v>
      </c>
      <c r="B64" s="33" t="s">
        <v>328</v>
      </c>
      <c r="C64" s="34">
        <v>196.56</v>
      </c>
      <c r="D64" s="34">
        <v>196.56</v>
      </c>
      <c r="E64" s="34"/>
    </row>
    <row r="65" spans="1:5" x14ac:dyDescent="0.25">
      <c r="A65" s="32" t="s">
        <v>329</v>
      </c>
      <c r="B65" s="33" t="s">
        <v>330</v>
      </c>
      <c r="C65" s="34">
        <v>500.5</v>
      </c>
      <c r="D65" s="34">
        <v>31.693999999999999</v>
      </c>
      <c r="E65" s="34">
        <v>-468.80599999999998</v>
      </c>
    </row>
    <row r="66" spans="1:5" x14ac:dyDescent="0.25">
      <c r="A66" s="32" t="s">
        <v>331</v>
      </c>
      <c r="B66" s="33" t="s">
        <v>332</v>
      </c>
      <c r="C66" s="34">
        <v>57.12</v>
      </c>
      <c r="D66" s="34"/>
      <c r="E66" s="34">
        <v>-57.12</v>
      </c>
    </row>
    <row r="67" spans="1:5" x14ac:dyDescent="0.25">
      <c r="A67" s="32" t="s">
        <v>333</v>
      </c>
      <c r="B67" s="33" t="s">
        <v>334</v>
      </c>
      <c r="C67" s="34">
        <v>115.5</v>
      </c>
      <c r="D67" s="34"/>
      <c r="E67" s="34">
        <v>-115.5</v>
      </c>
    </row>
    <row r="68" spans="1:5" x14ac:dyDescent="0.25">
      <c r="A68" s="32" t="s">
        <v>335</v>
      </c>
      <c r="B68" s="33" t="s">
        <v>336</v>
      </c>
      <c r="C68" s="34">
        <v>16.2</v>
      </c>
      <c r="D68" s="34">
        <v>16.2</v>
      </c>
      <c r="E68" s="34"/>
    </row>
    <row r="69" spans="1:5" x14ac:dyDescent="0.25">
      <c r="A69" s="32" t="s">
        <v>337</v>
      </c>
      <c r="B69" s="33" t="s">
        <v>338</v>
      </c>
      <c r="C69" s="34">
        <v>202.8</v>
      </c>
      <c r="D69" s="34">
        <v>202.8</v>
      </c>
      <c r="E69" s="34"/>
    </row>
    <row r="70" spans="1:5" x14ac:dyDescent="0.25">
      <c r="A70" s="32" t="s">
        <v>339</v>
      </c>
      <c r="B70" s="33" t="s">
        <v>340</v>
      </c>
      <c r="C70" s="34">
        <v>319.8</v>
      </c>
      <c r="D70" s="34">
        <v>319.8</v>
      </c>
      <c r="E70" s="34"/>
    </row>
    <row r="71" spans="1:5" x14ac:dyDescent="0.25">
      <c r="A71" s="32" t="s">
        <v>341</v>
      </c>
      <c r="B71" s="33" t="s">
        <v>342</v>
      </c>
      <c r="C71" s="34">
        <v>15.6</v>
      </c>
      <c r="D71" s="34">
        <v>15.6</v>
      </c>
      <c r="E71" s="34"/>
    </row>
    <row r="72" spans="1:5" x14ac:dyDescent="0.25">
      <c r="A72" s="32" t="s">
        <v>343</v>
      </c>
      <c r="B72" s="33" t="s">
        <v>344</v>
      </c>
      <c r="C72" s="34">
        <v>35.1</v>
      </c>
      <c r="D72" s="34">
        <v>35.1</v>
      </c>
      <c r="E72" s="34"/>
    </row>
    <row r="73" spans="1:5" x14ac:dyDescent="0.25">
      <c r="A73" s="32" t="s">
        <v>345</v>
      </c>
      <c r="B73" s="33" t="s">
        <v>346</v>
      </c>
      <c r="C73" s="34">
        <v>39</v>
      </c>
      <c r="D73" s="34">
        <v>39</v>
      </c>
      <c r="E73" s="34"/>
    </row>
    <row r="74" spans="1:5" x14ac:dyDescent="0.25">
      <c r="A74" s="32" t="s">
        <v>347</v>
      </c>
      <c r="B74" s="33" t="s">
        <v>348</v>
      </c>
      <c r="C74" s="34">
        <v>39</v>
      </c>
      <c r="D74" s="34">
        <v>39</v>
      </c>
      <c r="E74" s="34"/>
    </row>
    <row r="75" spans="1:5" x14ac:dyDescent="0.25">
      <c r="A75" s="32" t="s">
        <v>349</v>
      </c>
      <c r="B75" s="33" t="s">
        <v>350</v>
      </c>
      <c r="C75" s="34">
        <v>12</v>
      </c>
      <c r="D75" s="34">
        <v>12</v>
      </c>
      <c r="E75" s="34"/>
    </row>
    <row r="76" spans="1:5" x14ac:dyDescent="0.25">
      <c r="A76" s="32" t="s">
        <v>351</v>
      </c>
      <c r="B76" s="33" t="s">
        <v>352</v>
      </c>
      <c r="C76" s="34">
        <v>105</v>
      </c>
      <c r="D76" s="34">
        <v>105</v>
      </c>
      <c r="E76" s="34"/>
    </row>
    <row r="77" spans="1:5" x14ac:dyDescent="0.25">
      <c r="A77" s="32"/>
      <c r="B77" s="33"/>
      <c r="C77" s="34">
        <v>17540.109999999993</v>
      </c>
      <c r="D77" s="34">
        <v>16747.183999999994</v>
      </c>
      <c r="E77" s="34">
        <v>-792.92600000000004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724E-4874-4E61-BD74-205E1504B8EE}">
  <dimension ref="A1:E60"/>
  <sheetViews>
    <sheetView workbookViewId="0">
      <selection activeCell="M8" sqref="M8"/>
    </sheetView>
  </sheetViews>
  <sheetFormatPr defaultRowHeight="15" x14ac:dyDescent="0.25"/>
  <cols>
    <col min="2" max="2" width="108.42578125" bestFit="1" customWidth="1"/>
  </cols>
  <sheetData>
    <row r="1" spans="1:5" x14ac:dyDescent="0.25">
      <c r="A1" s="35" t="s">
        <v>201</v>
      </c>
      <c r="B1" s="35" t="s">
        <v>202</v>
      </c>
      <c r="C1" s="36">
        <v>330</v>
      </c>
      <c r="D1" s="36">
        <v>330</v>
      </c>
      <c r="E1" s="37"/>
    </row>
    <row r="2" spans="1:5" x14ac:dyDescent="0.25">
      <c r="A2" s="38" t="s">
        <v>203</v>
      </c>
      <c r="B2" s="38" t="s">
        <v>204</v>
      </c>
      <c r="C2" s="39">
        <v>507</v>
      </c>
      <c r="D2" s="39">
        <v>507</v>
      </c>
      <c r="E2" s="40"/>
    </row>
    <row r="3" spans="1:5" x14ac:dyDescent="0.25">
      <c r="A3" s="38" t="s">
        <v>205</v>
      </c>
      <c r="B3" s="38" t="s">
        <v>206</v>
      </c>
      <c r="C3" s="39">
        <v>334.8</v>
      </c>
      <c r="D3" s="39">
        <v>334.8</v>
      </c>
      <c r="E3" s="40"/>
    </row>
    <row r="4" spans="1:5" x14ac:dyDescent="0.25">
      <c r="A4" s="38" t="s">
        <v>207</v>
      </c>
      <c r="B4" s="38" t="s">
        <v>208</v>
      </c>
      <c r="C4" s="39">
        <v>648</v>
      </c>
      <c r="D4" s="39">
        <v>648</v>
      </c>
      <c r="E4" s="40"/>
    </row>
    <row r="5" spans="1:5" x14ac:dyDescent="0.25">
      <c r="A5" s="38" t="s">
        <v>209</v>
      </c>
      <c r="B5" s="38" t="s">
        <v>210</v>
      </c>
      <c r="C5" s="39">
        <v>583.20000000000005</v>
      </c>
      <c r="D5" s="39">
        <v>583.20000000000005</v>
      </c>
      <c r="E5" s="40"/>
    </row>
    <row r="6" spans="1:5" x14ac:dyDescent="0.25">
      <c r="A6" s="38" t="s">
        <v>211</v>
      </c>
      <c r="B6" s="38" t="s">
        <v>212</v>
      </c>
      <c r="C6" s="39">
        <v>2073.6</v>
      </c>
      <c r="D6" s="39">
        <v>2073.6</v>
      </c>
      <c r="E6" s="40"/>
    </row>
    <row r="7" spans="1:5" x14ac:dyDescent="0.25">
      <c r="A7" s="38" t="s">
        <v>354</v>
      </c>
      <c r="B7" s="38" t="s">
        <v>355</v>
      </c>
      <c r="C7" s="39">
        <v>6.08</v>
      </c>
      <c r="D7" s="39">
        <v>6.08</v>
      </c>
      <c r="E7" s="40"/>
    </row>
    <row r="8" spans="1:5" x14ac:dyDescent="0.25">
      <c r="A8" s="38" t="s">
        <v>215</v>
      </c>
      <c r="B8" s="38" t="s">
        <v>216</v>
      </c>
      <c r="C8" s="39">
        <v>1774.08</v>
      </c>
      <c r="D8" s="39">
        <v>1774.08</v>
      </c>
      <c r="E8" s="40"/>
    </row>
    <row r="9" spans="1:5" x14ac:dyDescent="0.25">
      <c r="A9" s="38" t="s">
        <v>217</v>
      </c>
      <c r="B9" s="38" t="s">
        <v>218</v>
      </c>
      <c r="C9" s="39">
        <v>802.56</v>
      </c>
      <c r="D9" s="39">
        <v>802.56</v>
      </c>
      <c r="E9" s="40"/>
    </row>
    <row r="10" spans="1:5" x14ac:dyDescent="0.25">
      <c r="A10" s="38" t="s">
        <v>219</v>
      </c>
      <c r="B10" s="38" t="s">
        <v>220</v>
      </c>
      <c r="C10" s="39">
        <v>1503</v>
      </c>
      <c r="D10" s="39">
        <v>1503</v>
      </c>
      <c r="E10" s="40"/>
    </row>
    <row r="11" spans="1:5" x14ac:dyDescent="0.25">
      <c r="A11" s="38" t="s">
        <v>221</v>
      </c>
      <c r="B11" s="38" t="s">
        <v>222</v>
      </c>
      <c r="C11" s="39">
        <v>10.199999999999999</v>
      </c>
      <c r="D11" s="39">
        <v>10.199999999999999</v>
      </c>
      <c r="E11" s="40"/>
    </row>
    <row r="12" spans="1:5" x14ac:dyDescent="0.25">
      <c r="A12" s="38" t="s">
        <v>223</v>
      </c>
      <c r="B12" s="38" t="s">
        <v>224</v>
      </c>
      <c r="C12" s="39">
        <v>184.8</v>
      </c>
      <c r="D12" s="39">
        <v>184.8</v>
      </c>
      <c r="E12" s="40"/>
    </row>
    <row r="13" spans="1:5" x14ac:dyDescent="0.25">
      <c r="A13" s="38" t="s">
        <v>225</v>
      </c>
      <c r="B13" s="38" t="s">
        <v>226</v>
      </c>
      <c r="C13" s="39">
        <v>501.6</v>
      </c>
      <c r="D13" s="39">
        <v>501.6</v>
      </c>
      <c r="E13" s="40"/>
    </row>
    <row r="14" spans="1:5" x14ac:dyDescent="0.25">
      <c r="A14" s="38" t="s">
        <v>227</v>
      </c>
      <c r="B14" s="38" t="s">
        <v>228</v>
      </c>
      <c r="C14" s="39">
        <v>332.64</v>
      </c>
      <c r="D14" s="39">
        <v>332.64</v>
      </c>
      <c r="E14" s="40"/>
    </row>
    <row r="15" spans="1:5" x14ac:dyDescent="0.25">
      <c r="A15" s="38" t="s">
        <v>229</v>
      </c>
      <c r="B15" s="38" t="s">
        <v>230</v>
      </c>
      <c r="C15" s="39">
        <v>40.799999999999997</v>
      </c>
      <c r="D15" s="39"/>
      <c r="E15" s="40">
        <v>-40.799999999999997</v>
      </c>
    </row>
    <row r="16" spans="1:5" x14ac:dyDescent="0.25">
      <c r="A16" s="38" t="s">
        <v>233</v>
      </c>
      <c r="B16" s="38" t="s">
        <v>234</v>
      </c>
      <c r="C16" s="39">
        <v>40</v>
      </c>
      <c r="D16" s="39">
        <v>40</v>
      </c>
      <c r="E16" s="40"/>
    </row>
    <row r="17" spans="1:5" x14ac:dyDescent="0.25">
      <c r="A17" s="38" t="s">
        <v>235</v>
      </c>
      <c r="B17" s="38" t="s">
        <v>236</v>
      </c>
      <c r="C17" s="39">
        <v>240</v>
      </c>
      <c r="D17" s="39">
        <v>240</v>
      </c>
      <c r="E17" s="40"/>
    </row>
    <row r="18" spans="1:5" x14ac:dyDescent="0.25">
      <c r="A18" s="38" t="s">
        <v>237</v>
      </c>
      <c r="B18" s="38" t="s">
        <v>238</v>
      </c>
      <c r="C18" s="39">
        <v>120</v>
      </c>
      <c r="D18" s="39">
        <v>120</v>
      </c>
      <c r="E18" s="40"/>
    </row>
    <row r="19" spans="1:5" x14ac:dyDescent="0.25">
      <c r="A19" s="38" t="s">
        <v>243</v>
      </c>
      <c r="B19" s="38" t="s">
        <v>244</v>
      </c>
      <c r="C19" s="39">
        <v>1620.96</v>
      </c>
      <c r="D19" s="39">
        <v>1620.96</v>
      </c>
      <c r="E19" s="40"/>
    </row>
    <row r="20" spans="1:5" x14ac:dyDescent="0.25">
      <c r="A20" s="38" t="s">
        <v>247</v>
      </c>
      <c r="B20" s="38" t="s">
        <v>248</v>
      </c>
      <c r="C20" s="39">
        <v>160.80000000000001</v>
      </c>
      <c r="D20" s="39">
        <v>160.80000000000001</v>
      </c>
      <c r="E20" s="40"/>
    </row>
    <row r="21" spans="1:5" x14ac:dyDescent="0.25">
      <c r="A21" s="38" t="s">
        <v>249</v>
      </c>
      <c r="B21" s="38" t="s">
        <v>250</v>
      </c>
      <c r="C21" s="39">
        <v>34.799999999999997</v>
      </c>
      <c r="D21" s="39">
        <v>34.799999999999997</v>
      </c>
      <c r="E21" s="40"/>
    </row>
    <row r="22" spans="1:5" x14ac:dyDescent="0.25">
      <c r="A22" s="38" t="s">
        <v>251</v>
      </c>
      <c r="B22" s="38" t="s">
        <v>252</v>
      </c>
      <c r="C22" s="39">
        <v>193.5</v>
      </c>
      <c r="D22" s="39">
        <v>193.5</v>
      </c>
      <c r="E22" s="40"/>
    </row>
    <row r="23" spans="1:5" x14ac:dyDescent="0.25">
      <c r="A23" s="38" t="s">
        <v>255</v>
      </c>
      <c r="B23" s="38" t="s">
        <v>256</v>
      </c>
      <c r="C23" s="39">
        <v>60</v>
      </c>
      <c r="D23" s="39"/>
      <c r="E23" s="40">
        <v>-60</v>
      </c>
    </row>
    <row r="24" spans="1:5" x14ac:dyDescent="0.25">
      <c r="A24" s="38" t="s">
        <v>257</v>
      </c>
      <c r="B24" s="38" t="s">
        <v>258</v>
      </c>
      <c r="C24" s="39">
        <v>31.2</v>
      </c>
      <c r="D24" s="39">
        <v>31.2</v>
      </c>
      <c r="E24" s="40"/>
    </row>
    <row r="25" spans="1:5" x14ac:dyDescent="0.25">
      <c r="A25" s="38" t="s">
        <v>259</v>
      </c>
      <c r="B25" s="38" t="s">
        <v>260</v>
      </c>
      <c r="C25" s="39">
        <v>90</v>
      </c>
      <c r="D25" s="39">
        <v>90</v>
      </c>
      <c r="E25" s="40"/>
    </row>
    <row r="26" spans="1:5" x14ac:dyDescent="0.25">
      <c r="A26" s="38" t="s">
        <v>261</v>
      </c>
      <c r="B26" s="38" t="s">
        <v>262</v>
      </c>
      <c r="C26" s="39">
        <v>518.4</v>
      </c>
      <c r="D26" s="39">
        <v>518.4</v>
      </c>
      <c r="E26" s="40"/>
    </row>
    <row r="27" spans="1:5" x14ac:dyDescent="0.25">
      <c r="A27" s="38" t="s">
        <v>263</v>
      </c>
      <c r="B27" s="38" t="s">
        <v>264</v>
      </c>
      <c r="C27" s="39">
        <v>648</v>
      </c>
      <c r="D27" s="39">
        <v>648</v>
      </c>
      <c r="E27" s="40"/>
    </row>
    <row r="28" spans="1:5" x14ac:dyDescent="0.25">
      <c r="A28" s="38" t="s">
        <v>265</v>
      </c>
      <c r="B28" s="38" t="s">
        <v>266</v>
      </c>
      <c r="C28" s="39">
        <v>40</v>
      </c>
      <c r="D28" s="39">
        <v>40</v>
      </c>
      <c r="E28" s="40"/>
    </row>
    <row r="29" spans="1:5" x14ac:dyDescent="0.25">
      <c r="A29" s="38" t="s">
        <v>267</v>
      </c>
      <c r="B29" s="38" t="s">
        <v>268</v>
      </c>
      <c r="C29" s="39">
        <v>66</v>
      </c>
      <c r="D29" s="39">
        <v>66</v>
      </c>
      <c r="E29" s="40"/>
    </row>
    <row r="30" spans="1:5" x14ac:dyDescent="0.25">
      <c r="A30" s="38" t="s">
        <v>269</v>
      </c>
      <c r="B30" s="38" t="s">
        <v>270</v>
      </c>
      <c r="C30" s="39">
        <v>400.8</v>
      </c>
      <c r="D30" s="39">
        <v>400.8</v>
      </c>
      <c r="E30" s="40"/>
    </row>
    <row r="31" spans="1:5" x14ac:dyDescent="0.25">
      <c r="A31" s="38" t="s">
        <v>271</v>
      </c>
      <c r="B31" s="38" t="s">
        <v>272</v>
      </c>
      <c r="C31" s="39">
        <v>105.3</v>
      </c>
      <c r="D31" s="39">
        <v>105.3</v>
      </c>
      <c r="E31" s="40"/>
    </row>
    <row r="32" spans="1:5" x14ac:dyDescent="0.25">
      <c r="A32" s="38" t="s">
        <v>273</v>
      </c>
      <c r="B32" s="38" t="s">
        <v>274</v>
      </c>
      <c r="C32" s="39">
        <v>88.8</v>
      </c>
      <c r="D32" s="39">
        <v>88.8</v>
      </c>
      <c r="E32" s="40"/>
    </row>
    <row r="33" spans="1:5" x14ac:dyDescent="0.25">
      <c r="A33" s="38" t="s">
        <v>275</v>
      </c>
      <c r="B33" s="38" t="s">
        <v>276</v>
      </c>
      <c r="C33" s="39">
        <v>56.7</v>
      </c>
      <c r="D33" s="39">
        <v>56.7</v>
      </c>
      <c r="E33" s="40"/>
    </row>
    <row r="34" spans="1:5" x14ac:dyDescent="0.25">
      <c r="A34" s="38" t="s">
        <v>279</v>
      </c>
      <c r="B34" s="38" t="s">
        <v>280</v>
      </c>
      <c r="C34" s="39">
        <v>54.6</v>
      </c>
      <c r="D34" s="39">
        <v>54.6</v>
      </c>
      <c r="E34" s="40"/>
    </row>
    <row r="35" spans="1:5" x14ac:dyDescent="0.25">
      <c r="A35" s="38" t="s">
        <v>281</v>
      </c>
      <c r="B35" s="38" t="s">
        <v>282</v>
      </c>
      <c r="C35" s="39">
        <v>3.6</v>
      </c>
      <c r="D35" s="39"/>
      <c r="E35" s="40">
        <v>-3.6</v>
      </c>
    </row>
    <row r="36" spans="1:5" x14ac:dyDescent="0.25">
      <c r="A36" s="38" t="s">
        <v>283</v>
      </c>
      <c r="B36" s="38" t="s">
        <v>284</v>
      </c>
      <c r="C36" s="39">
        <v>59.4</v>
      </c>
      <c r="D36" s="39"/>
      <c r="E36" s="40">
        <v>-59.4</v>
      </c>
    </row>
    <row r="37" spans="1:5" x14ac:dyDescent="0.25">
      <c r="A37" s="38" t="s">
        <v>285</v>
      </c>
      <c r="B37" s="38" t="s">
        <v>286</v>
      </c>
      <c r="C37" s="39">
        <v>14.4</v>
      </c>
      <c r="D37" s="39"/>
      <c r="E37" s="40">
        <v>-14.4</v>
      </c>
    </row>
    <row r="38" spans="1:5" x14ac:dyDescent="0.25">
      <c r="A38" s="38" t="s">
        <v>287</v>
      </c>
      <c r="B38" s="38" t="s">
        <v>288</v>
      </c>
      <c r="C38" s="39">
        <v>151.19999999999999</v>
      </c>
      <c r="D38" s="39"/>
      <c r="E38" s="40">
        <v>-151.19999999999999</v>
      </c>
    </row>
    <row r="39" spans="1:5" x14ac:dyDescent="0.25">
      <c r="A39" s="38" t="s">
        <v>289</v>
      </c>
      <c r="B39" s="38" t="s">
        <v>290</v>
      </c>
      <c r="C39" s="39">
        <v>21.6</v>
      </c>
      <c r="D39" s="39"/>
      <c r="E39" s="40">
        <v>-21.6</v>
      </c>
    </row>
    <row r="40" spans="1:5" x14ac:dyDescent="0.25">
      <c r="A40" s="38" t="s">
        <v>291</v>
      </c>
      <c r="B40" s="38" t="s">
        <v>292</v>
      </c>
      <c r="C40" s="39">
        <v>7.2</v>
      </c>
      <c r="D40" s="39"/>
      <c r="E40" s="40">
        <v>-7.2</v>
      </c>
    </row>
    <row r="41" spans="1:5" x14ac:dyDescent="0.25">
      <c r="A41" s="38" t="s">
        <v>295</v>
      </c>
      <c r="B41" s="38" t="s">
        <v>296</v>
      </c>
      <c r="C41" s="39">
        <v>35.700000000000003</v>
      </c>
      <c r="D41" s="39">
        <v>35.700000000000003</v>
      </c>
      <c r="E41" s="40"/>
    </row>
    <row r="42" spans="1:5" x14ac:dyDescent="0.25">
      <c r="A42" s="38" t="s">
        <v>297</v>
      </c>
      <c r="B42" s="38" t="s">
        <v>298</v>
      </c>
      <c r="C42" s="39">
        <v>14.7</v>
      </c>
      <c r="D42" s="39">
        <v>14.7</v>
      </c>
      <c r="E42" s="40"/>
    </row>
    <row r="43" spans="1:5" x14ac:dyDescent="0.25">
      <c r="A43" s="38" t="s">
        <v>299</v>
      </c>
      <c r="B43" s="38" t="s">
        <v>300</v>
      </c>
      <c r="C43" s="39">
        <v>13.6</v>
      </c>
      <c r="D43" s="39">
        <v>13.6</v>
      </c>
      <c r="E43" s="40"/>
    </row>
    <row r="44" spans="1:5" x14ac:dyDescent="0.25">
      <c r="A44" s="38" t="s">
        <v>305</v>
      </c>
      <c r="B44" s="38" t="s">
        <v>306</v>
      </c>
      <c r="C44" s="39">
        <v>19.8</v>
      </c>
      <c r="D44" s="39">
        <v>19.8</v>
      </c>
      <c r="E44" s="40"/>
    </row>
    <row r="45" spans="1:5" x14ac:dyDescent="0.25">
      <c r="A45" s="38" t="s">
        <v>307</v>
      </c>
      <c r="B45" s="38" t="s">
        <v>308</v>
      </c>
      <c r="C45" s="39">
        <v>24.3</v>
      </c>
      <c r="D45" s="39">
        <v>24.3</v>
      </c>
      <c r="E45" s="40"/>
    </row>
    <row r="46" spans="1:5" x14ac:dyDescent="0.25">
      <c r="A46" s="38" t="s">
        <v>309</v>
      </c>
      <c r="B46" s="38" t="s">
        <v>310</v>
      </c>
      <c r="C46" s="39">
        <v>5.4</v>
      </c>
      <c r="D46" s="39"/>
      <c r="E46" s="40">
        <v>-5.4</v>
      </c>
    </row>
    <row r="47" spans="1:5" x14ac:dyDescent="0.25">
      <c r="A47" s="38" t="s">
        <v>311</v>
      </c>
      <c r="B47" s="38" t="s">
        <v>312</v>
      </c>
      <c r="C47" s="39">
        <v>2.52</v>
      </c>
      <c r="D47" s="39">
        <v>2.52</v>
      </c>
      <c r="E47" s="40"/>
    </row>
    <row r="48" spans="1:5" x14ac:dyDescent="0.25">
      <c r="A48" s="38" t="s">
        <v>313</v>
      </c>
      <c r="B48" s="38" t="s">
        <v>314</v>
      </c>
      <c r="C48" s="39">
        <v>5.04</v>
      </c>
      <c r="D48" s="39">
        <v>5.04</v>
      </c>
      <c r="E48" s="40"/>
    </row>
    <row r="49" spans="1:5" x14ac:dyDescent="0.25">
      <c r="A49" s="38" t="s">
        <v>315</v>
      </c>
      <c r="B49" s="38" t="s">
        <v>316</v>
      </c>
      <c r="C49" s="39">
        <v>2.52</v>
      </c>
      <c r="D49" s="39">
        <v>2.52</v>
      </c>
      <c r="E49" s="40"/>
    </row>
    <row r="50" spans="1:5" x14ac:dyDescent="0.25">
      <c r="A50" s="38" t="s">
        <v>317</v>
      </c>
      <c r="B50" s="38" t="s">
        <v>318</v>
      </c>
      <c r="C50" s="39">
        <v>5.4</v>
      </c>
      <c r="D50" s="39">
        <v>5.4</v>
      </c>
      <c r="E50" s="40"/>
    </row>
    <row r="51" spans="1:5" x14ac:dyDescent="0.25">
      <c r="A51" s="38" t="s">
        <v>319</v>
      </c>
      <c r="B51" s="38" t="s">
        <v>320</v>
      </c>
      <c r="C51" s="39">
        <v>22.5</v>
      </c>
      <c r="D51" s="39">
        <v>22.5</v>
      </c>
      <c r="E51" s="40"/>
    </row>
    <row r="52" spans="1:5" x14ac:dyDescent="0.25">
      <c r="A52" s="38" t="s">
        <v>323</v>
      </c>
      <c r="B52" s="38" t="s">
        <v>324</v>
      </c>
      <c r="C52" s="39">
        <v>99.12</v>
      </c>
      <c r="D52" s="39">
        <v>99.12</v>
      </c>
      <c r="E52" s="40"/>
    </row>
    <row r="53" spans="1:5" x14ac:dyDescent="0.25">
      <c r="A53" s="38" t="s">
        <v>325</v>
      </c>
      <c r="B53" s="38" t="s">
        <v>326</v>
      </c>
      <c r="C53" s="39">
        <v>28</v>
      </c>
      <c r="D53" s="39"/>
      <c r="E53" s="40">
        <v>-28</v>
      </c>
    </row>
    <row r="54" spans="1:5" x14ac:dyDescent="0.25">
      <c r="A54" s="38" t="s">
        <v>327</v>
      </c>
      <c r="B54" s="38" t="s">
        <v>328</v>
      </c>
      <c r="C54" s="39">
        <v>99.12</v>
      </c>
      <c r="D54" s="39"/>
      <c r="E54" s="40">
        <v>-99.12</v>
      </c>
    </row>
    <row r="55" spans="1:5" x14ac:dyDescent="0.25">
      <c r="A55" s="38" t="s">
        <v>329</v>
      </c>
      <c r="B55" s="38" t="s">
        <v>330</v>
      </c>
      <c r="C55" s="39">
        <v>252</v>
      </c>
      <c r="D55" s="39">
        <v>252</v>
      </c>
      <c r="E55" s="40"/>
    </row>
    <row r="56" spans="1:5" x14ac:dyDescent="0.25">
      <c r="A56" s="38" t="s">
        <v>331</v>
      </c>
      <c r="B56" s="38" t="s">
        <v>332</v>
      </c>
      <c r="C56" s="39">
        <v>15.12</v>
      </c>
      <c r="D56" s="39">
        <v>15.12</v>
      </c>
      <c r="E56" s="40"/>
    </row>
    <row r="57" spans="1:5" x14ac:dyDescent="0.25">
      <c r="A57" s="38" t="s">
        <v>333</v>
      </c>
      <c r="B57" s="38" t="s">
        <v>334</v>
      </c>
      <c r="C57" s="39">
        <v>59.5</v>
      </c>
      <c r="D57" s="39">
        <v>59.5</v>
      </c>
      <c r="E57" s="40"/>
    </row>
    <row r="58" spans="1:5" x14ac:dyDescent="0.25">
      <c r="A58" s="38" t="s">
        <v>339</v>
      </c>
      <c r="B58" s="38" t="s">
        <v>340</v>
      </c>
      <c r="C58" s="39">
        <v>585</v>
      </c>
      <c r="D58" s="39">
        <v>585</v>
      </c>
      <c r="E58" s="40"/>
    </row>
    <row r="59" spans="1:5" x14ac:dyDescent="0.25">
      <c r="A59" s="38" t="s">
        <v>349</v>
      </c>
      <c r="B59" s="38" t="s">
        <v>350</v>
      </c>
      <c r="C59" s="39">
        <v>12</v>
      </c>
      <c r="D59" s="39">
        <v>12</v>
      </c>
      <c r="E59" s="40"/>
    </row>
    <row r="60" spans="1:5" x14ac:dyDescent="0.25">
      <c r="A60" s="38" t="s">
        <v>351</v>
      </c>
      <c r="B60" s="38" t="s">
        <v>352</v>
      </c>
      <c r="C60" s="39">
        <v>405</v>
      </c>
      <c r="D60" s="39">
        <v>405</v>
      </c>
      <c r="E60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5051-4E71-4F88-889C-7715FFBA4C86}">
  <dimension ref="A1:E69"/>
  <sheetViews>
    <sheetView workbookViewId="0">
      <selection activeCell="H12" sqref="H12"/>
    </sheetView>
  </sheetViews>
  <sheetFormatPr defaultRowHeight="15" x14ac:dyDescent="0.25"/>
  <cols>
    <col min="2" max="2" width="120.5703125" bestFit="1" customWidth="1"/>
  </cols>
  <sheetData>
    <row r="1" spans="1:5" x14ac:dyDescent="0.25">
      <c r="A1" s="35" t="s">
        <v>201</v>
      </c>
      <c r="B1" s="35" t="s">
        <v>202</v>
      </c>
      <c r="C1" s="36">
        <v>2565</v>
      </c>
      <c r="D1" s="36">
        <v>2565</v>
      </c>
      <c r="E1" s="37"/>
    </row>
    <row r="2" spans="1:5" x14ac:dyDescent="0.25">
      <c r="A2" s="38" t="s">
        <v>205</v>
      </c>
      <c r="B2" s="38" t="s">
        <v>206</v>
      </c>
      <c r="C2" s="39">
        <v>702</v>
      </c>
      <c r="D2" s="39">
        <v>702</v>
      </c>
      <c r="E2" s="40"/>
    </row>
    <row r="3" spans="1:5" x14ac:dyDescent="0.25">
      <c r="A3" s="38" t="s">
        <v>356</v>
      </c>
      <c r="B3" s="38" t="s">
        <v>357</v>
      </c>
      <c r="C3" s="39">
        <v>4</v>
      </c>
      <c r="D3" s="39">
        <v>4</v>
      </c>
      <c r="E3" s="40"/>
    </row>
    <row r="4" spans="1:5" x14ac:dyDescent="0.25">
      <c r="A4" s="38" t="s">
        <v>358</v>
      </c>
      <c r="B4" s="38" t="s">
        <v>359</v>
      </c>
      <c r="C4" s="39">
        <v>1587.6</v>
      </c>
      <c r="D4" s="39">
        <v>1587.6</v>
      </c>
      <c r="E4" s="40"/>
    </row>
    <row r="5" spans="1:5" x14ac:dyDescent="0.25">
      <c r="A5" s="38" t="s">
        <v>360</v>
      </c>
      <c r="B5" s="38" t="s">
        <v>361</v>
      </c>
      <c r="C5" s="39">
        <v>21</v>
      </c>
      <c r="D5" s="39">
        <v>21</v>
      </c>
      <c r="E5" s="40"/>
    </row>
    <row r="6" spans="1:5" x14ac:dyDescent="0.25">
      <c r="A6" s="38" t="s">
        <v>213</v>
      </c>
      <c r="B6" s="38" t="s">
        <v>214</v>
      </c>
      <c r="C6" s="39">
        <v>20.399999999999999</v>
      </c>
      <c r="D6" s="39">
        <v>20.399999999999999</v>
      </c>
      <c r="E6" s="40"/>
    </row>
    <row r="7" spans="1:5" x14ac:dyDescent="0.25">
      <c r="A7" s="38" t="s">
        <v>354</v>
      </c>
      <c r="B7" s="38" t="s">
        <v>355</v>
      </c>
      <c r="C7" s="39">
        <v>6.08</v>
      </c>
      <c r="D7" s="39">
        <v>6.08</v>
      </c>
      <c r="E7" s="40"/>
    </row>
    <row r="8" spans="1:5" x14ac:dyDescent="0.25">
      <c r="A8" s="38" t="s">
        <v>215</v>
      </c>
      <c r="B8" s="38" t="s">
        <v>216</v>
      </c>
      <c r="C8" s="39">
        <v>1589.28</v>
      </c>
      <c r="D8" s="39">
        <v>1589.28</v>
      </c>
      <c r="E8" s="40"/>
    </row>
    <row r="9" spans="1:5" x14ac:dyDescent="0.25">
      <c r="A9" s="38" t="s">
        <v>217</v>
      </c>
      <c r="B9" s="38" t="s">
        <v>218</v>
      </c>
      <c r="C9" s="39">
        <v>654.72</v>
      </c>
      <c r="D9" s="39">
        <v>654.72</v>
      </c>
      <c r="E9" s="40"/>
    </row>
    <row r="10" spans="1:5" x14ac:dyDescent="0.25">
      <c r="A10" s="38" t="s">
        <v>219</v>
      </c>
      <c r="B10" s="38" t="s">
        <v>220</v>
      </c>
      <c r="C10" s="39">
        <v>1008</v>
      </c>
      <c r="D10" s="39">
        <v>1008</v>
      </c>
      <c r="E10" s="40"/>
    </row>
    <row r="11" spans="1:5" x14ac:dyDescent="0.25">
      <c r="A11" s="38" t="s">
        <v>223</v>
      </c>
      <c r="B11" s="38" t="s">
        <v>224</v>
      </c>
      <c r="C11" s="39">
        <v>454.08</v>
      </c>
      <c r="D11" s="39">
        <v>454.08</v>
      </c>
      <c r="E11" s="40"/>
    </row>
    <row r="12" spans="1:5" x14ac:dyDescent="0.25">
      <c r="A12" s="38" t="s">
        <v>225</v>
      </c>
      <c r="B12" s="38" t="s">
        <v>226</v>
      </c>
      <c r="C12" s="39">
        <v>644.16</v>
      </c>
      <c r="D12" s="39">
        <v>644.16</v>
      </c>
      <c r="E12" s="40"/>
    </row>
    <row r="13" spans="1:5" x14ac:dyDescent="0.25">
      <c r="A13" s="38" t="s">
        <v>227</v>
      </c>
      <c r="B13" s="38" t="s">
        <v>228</v>
      </c>
      <c r="C13" s="39">
        <v>253.44</v>
      </c>
      <c r="D13" s="39">
        <v>253.44</v>
      </c>
      <c r="E13" s="40"/>
    </row>
    <row r="14" spans="1:5" x14ac:dyDescent="0.25">
      <c r="A14" s="38" t="s">
        <v>229</v>
      </c>
      <c r="B14" s="38" t="s">
        <v>230</v>
      </c>
      <c r="C14" s="39">
        <v>81.599999999999994</v>
      </c>
      <c r="D14" s="39"/>
      <c r="E14" s="40">
        <v>-81.599999999999994</v>
      </c>
    </row>
    <row r="15" spans="1:5" x14ac:dyDescent="0.25">
      <c r="A15" s="38" t="s">
        <v>362</v>
      </c>
      <c r="B15" s="38" t="s">
        <v>363</v>
      </c>
      <c r="C15" s="39">
        <v>7.2</v>
      </c>
      <c r="D15" s="39">
        <v>7.2</v>
      </c>
      <c r="E15" s="40"/>
    </row>
    <row r="16" spans="1:5" x14ac:dyDescent="0.25">
      <c r="A16" s="38" t="s">
        <v>235</v>
      </c>
      <c r="B16" s="38" t="s">
        <v>236</v>
      </c>
      <c r="C16" s="39">
        <v>801.6</v>
      </c>
      <c r="D16" s="39">
        <v>801.6</v>
      </c>
      <c r="E16" s="40"/>
    </row>
    <row r="17" spans="1:5" x14ac:dyDescent="0.25">
      <c r="A17" s="38" t="s">
        <v>237</v>
      </c>
      <c r="B17" s="38" t="s">
        <v>238</v>
      </c>
      <c r="C17" s="39">
        <v>199.2</v>
      </c>
      <c r="D17" s="39">
        <v>199.2</v>
      </c>
      <c r="E17" s="40"/>
    </row>
    <row r="18" spans="1:5" x14ac:dyDescent="0.25">
      <c r="A18" s="38" t="s">
        <v>239</v>
      </c>
      <c r="B18" s="38" t="s">
        <v>240</v>
      </c>
      <c r="C18" s="39">
        <v>67.2</v>
      </c>
      <c r="D18" s="39">
        <v>67.2</v>
      </c>
      <c r="E18" s="40"/>
    </row>
    <row r="19" spans="1:5" x14ac:dyDescent="0.25">
      <c r="A19" s="38" t="s">
        <v>241</v>
      </c>
      <c r="B19" s="38" t="s">
        <v>242</v>
      </c>
      <c r="C19" s="39">
        <v>1027.2</v>
      </c>
      <c r="D19" s="39">
        <v>1027.2</v>
      </c>
      <c r="E19" s="40"/>
    </row>
    <row r="20" spans="1:5" x14ac:dyDescent="0.25">
      <c r="A20" s="38" t="s">
        <v>243</v>
      </c>
      <c r="B20" s="38" t="s">
        <v>244</v>
      </c>
      <c r="C20" s="39">
        <v>121.44</v>
      </c>
      <c r="D20" s="39">
        <v>121.44</v>
      </c>
      <c r="E20" s="40"/>
    </row>
    <row r="21" spans="1:5" x14ac:dyDescent="0.25">
      <c r="A21" s="38" t="s">
        <v>245</v>
      </c>
      <c r="B21" s="38" t="s">
        <v>246</v>
      </c>
      <c r="C21" s="39">
        <v>4.8</v>
      </c>
      <c r="D21" s="39">
        <v>4.8</v>
      </c>
      <c r="E21" s="40"/>
    </row>
    <row r="22" spans="1:5" x14ac:dyDescent="0.25">
      <c r="A22" s="38" t="s">
        <v>247</v>
      </c>
      <c r="B22" s="38" t="s">
        <v>248</v>
      </c>
      <c r="C22" s="39">
        <v>31.2</v>
      </c>
      <c r="D22" s="39">
        <v>31.2</v>
      </c>
      <c r="E22" s="40"/>
    </row>
    <row r="23" spans="1:5" x14ac:dyDescent="0.25">
      <c r="A23" s="38" t="s">
        <v>249</v>
      </c>
      <c r="B23" s="38" t="s">
        <v>250</v>
      </c>
      <c r="C23" s="39">
        <v>34.799999999999997</v>
      </c>
      <c r="D23" s="39">
        <v>34.799999999999997</v>
      </c>
      <c r="E23" s="40"/>
    </row>
    <row r="24" spans="1:5" x14ac:dyDescent="0.25">
      <c r="A24" s="38" t="s">
        <v>253</v>
      </c>
      <c r="B24" s="38" t="s">
        <v>254</v>
      </c>
      <c r="C24" s="39">
        <v>2.4</v>
      </c>
      <c r="D24" s="39">
        <v>2.4</v>
      </c>
      <c r="E24" s="40"/>
    </row>
    <row r="25" spans="1:5" x14ac:dyDescent="0.25">
      <c r="A25" s="38" t="s">
        <v>255</v>
      </c>
      <c r="B25" s="38" t="s">
        <v>256</v>
      </c>
      <c r="C25" s="39">
        <v>120</v>
      </c>
      <c r="D25" s="39">
        <v>120</v>
      </c>
      <c r="E25" s="40"/>
    </row>
    <row r="26" spans="1:5" x14ac:dyDescent="0.25">
      <c r="A26" s="38" t="s">
        <v>257</v>
      </c>
      <c r="B26" s="38" t="s">
        <v>258</v>
      </c>
      <c r="C26" s="39">
        <v>60</v>
      </c>
      <c r="D26" s="39">
        <v>60</v>
      </c>
      <c r="E26" s="40"/>
    </row>
    <row r="27" spans="1:5" x14ac:dyDescent="0.25">
      <c r="A27" s="38" t="s">
        <v>259</v>
      </c>
      <c r="B27" s="38" t="s">
        <v>260</v>
      </c>
      <c r="C27" s="39">
        <v>108</v>
      </c>
      <c r="D27" s="39">
        <v>108</v>
      </c>
      <c r="E27" s="40"/>
    </row>
    <row r="28" spans="1:5" x14ac:dyDescent="0.25">
      <c r="A28" s="38" t="s">
        <v>364</v>
      </c>
      <c r="B28" s="38" t="s">
        <v>365</v>
      </c>
      <c r="C28" s="39">
        <v>75.599999999999994</v>
      </c>
      <c r="D28" s="39">
        <v>75.599999999999994</v>
      </c>
      <c r="E28" s="40"/>
    </row>
    <row r="29" spans="1:5" x14ac:dyDescent="0.25">
      <c r="A29" s="38" t="s">
        <v>261</v>
      </c>
      <c r="B29" s="38" t="s">
        <v>262</v>
      </c>
      <c r="C29" s="39">
        <v>572.4</v>
      </c>
      <c r="D29" s="39">
        <v>572.4</v>
      </c>
      <c r="E29" s="40"/>
    </row>
    <row r="30" spans="1:5" x14ac:dyDescent="0.25">
      <c r="A30" s="38" t="s">
        <v>263</v>
      </c>
      <c r="B30" s="38" t="s">
        <v>264</v>
      </c>
      <c r="C30" s="39">
        <v>496.8</v>
      </c>
      <c r="D30" s="39">
        <v>496.8</v>
      </c>
      <c r="E30" s="40"/>
    </row>
    <row r="31" spans="1:5" x14ac:dyDescent="0.25">
      <c r="A31" s="38" t="s">
        <v>269</v>
      </c>
      <c r="B31" s="38" t="s">
        <v>270</v>
      </c>
      <c r="C31" s="39">
        <v>60</v>
      </c>
      <c r="D31" s="39">
        <v>60</v>
      </c>
      <c r="E31" s="40"/>
    </row>
    <row r="32" spans="1:5" x14ac:dyDescent="0.25">
      <c r="A32" s="38" t="s">
        <v>271</v>
      </c>
      <c r="B32" s="38" t="s">
        <v>272</v>
      </c>
      <c r="C32" s="39">
        <v>380.7</v>
      </c>
      <c r="D32" s="39">
        <v>380.7</v>
      </c>
      <c r="E32" s="40"/>
    </row>
    <row r="33" spans="1:5" x14ac:dyDescent="0.25">
      <c r="A33" s="38" t="s">
        <v>275</v>
      </c>
      <c r="B33" s="38" t="s">
        <v>276</v>
      </c>
      <c r="C33" s="39">
        <v>72.900000000000006</v>
      </c>
      <c r="D33" s="39">
        <v>31</v>
      </c>
      <c r="E33" s="40">
        <v>-41.9</v>
      </c>
    </row>
    <row r="34" spans="1:5" x14ac:dyDescent="0.25">
      <c r="A34" s="38" t="s">
        <v>277</v>
      </c>
      <c r="B34" s="38" t="s">
        <v>278</v>
      </c>
      <c r="C34" s="39">
        <v>8.4</v>
      </c>
      <c r="D34" s="39">
        <v>8.4</v>
      </c>
      <c r="E34" s="40"/>
    </row>
    <row r="35" spans="1:5" x14ac:dyDescent="0.25">
      <c r="A35" s="38" t="s">
        <v>279</v>
      </c>
      <c r="B35" s="38" t="s">
        <v>280</v>
      </c>
      <c r="C35" s="39">
        <v>123.9</v>
      </c>
      <c r="D35" s="39"/>
      <c r="E35" s="40">
        <v>-123.9</v>
      </c>
    </row>
    <row r="36" spans="1:5" x14ac:dyDescent="0.25">
      <c r="A36" s="38" t="s">
        <v>366</v>
      </c>
      <c r="B36" s="38" t="s">
        <v>367</v>
      </c>
      <c r="C36" s="39">
        <v>334.8</v>
      </c>
      <c r="D36" s="39">
        <v>334.8</v>
      </c>
      <c r="E36" s="40"/>
    </row>
    <row r="37" spans="1:5" x14ac:dyDescent="0.25">
      <c r="A37" s="38" t="s">
        <v>281</v>
      </c>
      <c r="B37" s="38" t="s">
        <v>282</v>
      </c>
      <c r="C37" s="39">
        <v>9</v>
      </c>
      <c r="D37" s="39"/>
      <c r="E37" s="40">
        <v>-9</v>
      </c>
    </row>
    <row r="38" spans="1:5" x14ac:dyDescent="0.25">
      <c r="A38" s="38" t="s">
        <v>283</v>
      </c>
      <c r="B38" s="38" t="s">
        <v>284</v>
      </c>
      <c r="C38" s="39">
        <v>151.19999999999999</v>
      </c>
      <c r="D38" s="39"/>
      <c r="E38" s="40">
        <v>-151.19999999999999</v>
      </c>
    </row>
    <row r="39" spans="1:5" x14ac:dyDescent="0.25">
      <c r="A39" s="38" t="s">
        <v>285</v>
      </c>
      <c r="B39" s="38" t="s">
        <v>286</v>
      </c>
      <c r="C39" s="39">
        <v>50.4</v>
      </c>
      <c r="D39" s="39">
        <v>50.4</v>
      </c>
      <c r="E39" s="40"/>
    </row>
    <row r="40" spans="1:5" x14ac:dyDescent="0.25">
      <c r="A40" s="38" t="s">
        <v>287</v>
      </c>
      <c r="B40" s="38" t="s">
        <v>288</v>
      </c>
      <c r="C40" s="39">
        <v>253.8</v>
      </c>
      <c r="D40" s="39">
        <v>253.8</v>
      </c>
      <c r="E40" s="40"/>
    </row>
    <row r="41" spans="1:5" x14ac:dyDescent="0.25">
      <c r="A41" s="38" t="s">
        <v>289</v>
      </c>
      <c r="B41" s="38" t="s">
        <v>290</v>
      </c>
      <c r="C41" s="39">
        <v>64.8</v>
      </c>
      <c r="D41" s="39"/>
      <c r="E41" s="40">
        <v>-64.8</v>
      </c>
    </row>
    <row r="42" spans="1:5" x14ac:dyDescent="0.25">
      <c r="A42" s="38" t="s">
        <v>291</v>
      </c>
      <c r="B42" s="38" t="s">
        <v>292</v>
      </c>
      <c r="C42" s="39">
        <v>16.2</v>
      </c>
      <c r="D42" s="39">
        <v>16.2</v>
      </c>
      <c r="E42" s="40"/>
    </row>
    <row r="43" spans="1:5" x14ac:dyDescent="0.25">
      <c r="A43" s="38" t="s">
        <v>368</v>
      </c>
      <c r="B43" s="38" t="s">
        <v>369</v>
      </c>
      <c r="C43" s="39">
        <v>16.8</v>
      </c>
      <c r="D43" s="39"/>
      <c r="E43" s="40">
        <v>-16.8</v>
      </c>
    </row>
    <row r="44" spans="1:5" x14ac:dyDescent="0.25">
      <c r="A44" s="38" t="s">
        <v>295</v>
      </c>
      <c r="B44" s="38" t="s">
        <v>296</v>
      </c>
      <c r="C44" s="39">
        <v>54.6</v>
      </c>
      <c r="D44" s="39">
        <v>54.6</v>
      </c>
      <c r="E44" s="40"/>
    </row>
    <row r="45" spans="1:5" x14ac:dyDescent="0.25">
      <c r="A45" s="38" t="s">
        <v>297</v>
      </c>
      <c r="B45" s="38" t="s">
        <v>298</v>
      </c>
      <c r="C45" s="39">
        <v>29.4</v>
      </c>
      <c r="D45" s="39"/>
      <c r="E45" s="40">
        <v>-29.4</v>
      </c>
    </row>
    <row r="46" spans="1:5" x14ac:dyDescent="0.25">
      <c r="A46" s="38" t="s">
        <v>299</v>
      </c>
      <c r="B46" s="38" t="s">
        <v>300</v>
      </c>
      <c r="C46" s="39">
        <v>19.2</v>
      </c>
      <c r="D46" s="39">
        <v>19.2</v>
      </c>
      <c r="E46" s="40"/>
    </row>
    <row r="47" spans="1:5" x14ac:dyDescent="0.25">
      <c r="A47" s="38" t="s">
        <v>370</v>
      </c>
      <c r="B47" s="38" t="s">
        <v>371</v>
      </c>
      <c r="C47" s="39">
        <v>21.6</v>
      </c>
      <c r="D47" s="39">
        <v>21.6</v>
      </c>
      <c r="E47" s="40"/>
    </row>
    <row r="48" spans="1:5" x14ac:dyDescent="0.25">
      <c r="A48" s="38" t="s">
        <v>372</v>
      </c>
      <c r="B48" s="38" t="s">
        <v>373</v>
      </c>
      <c r="C48" s="39">
        <v>465</v>
      </c>
      <c r="D48" s="39">
        <v>465</v>
      </c>
      <c r="E48" s="40"/>
    </row>
    <row r="49" spans="1:5" x14ac:dyDescent="0.25">
      <c r="A49" s="38" t="s">
        <v>374</v>
      </c>
      <c r="B49" s="38" t="s">
        <v>375</v>
      </c>
      <c r="C49" s="39">
        <v>570</v>
      </c>
      <c r="D49" s="39">
        <v>570</v>
      </c>
      <c r="E49" s="40"/>
    </row>
    <row r="50" spans="1:5" x14ac:dyDescent="0.25">
      <c r="A50" s="38" t="s">
        <v>301</v>
      </c>
      <c r="B50" s="38" t="s">
        <v>302</v>
      </c>
      <c r="C50" s="39">
        <v>33.6</v>
      </c>
      <c r="D50" s="39">
        <v>33.6</v>
      </c>
      <c r="E50" s="40"/>
    </row>
    <row r="51" spans="1:5" x14ac:dyDescent="0.25">
      <c r="A51" s="38" t="s">
        <v>376</v>
      </c>
      <c r="B51" s="38" t="s">
        <v>377</v>
      </c>
      <c r="C51" s="39">
        <v>5.4</v>
      </c>
      <c r="D51" s="39">
        <v>5.4</v>
      </c>
      <c r="E51" s="40"/>
    </row>
    <row r="52" spans="1:5" x14ac:dyDescent="0.25">
      <c r="A52" s="38" t="s">
        <v>305</v>
      </c>
      <c r="B52" s="38" t="s">
        <v>306</v>
      </c>
      <c r="C52" s="39">
        <v>23.4</v>
      </c>
      <c r="D52" s="39">
        <v>23.4</v>
      </c>
      <c r="E52" s="40"/>
    </row>
    <row r="53" spans="1:5" x14ac:dyDescent="0.25">
      <c r="A53" s="38" t="s">
        <v>309</v>
      </c>
      <c r="B53" s="38" t="s">
        <v>310</v>
      </c>
      <c r="C53" s="39">
        <v>7.2</v>
      </c>
      <c r="D53" s="39"/>
      <c r="E53" s="40">
        <v>-7.2</v>
      </c>
    </row>
    <row r="54" spans="1:5" x14ac:dyDescent="0.25">
      <c r="A54" s="38" t="s">
        <v>313</v>
      </c>
      <c r="B54" s="38" t="s">
        <v>314</v>
      </c>
      <c r="C54" s="39">
        <v>16.38</v>
      </c>
      <c r="D54" s="39"/>
      <c r="E54" s="40">
        <v>-16.38</v>
      </c>
    </row>
    <row r="55" spans="1:5" x14ac:dyDescent="0.25">
      <c r="A55" s="38" t="s">
        <v>315</v>
      </c>
      <c r="B55" s="38" t="s">
        <v>316</v>
      </c>
      <c r="C55" s="39">
        <v>5.04</v>
      </c>
      <c r="D55" s="39"/>
      <c r="E55" s="40">
        <v>-5.04</v>
      </c>
    </row>
    <row r="56" spans="1:5" x14ac:dyDescent="0.25">
      <c r="A56" s="38" t="s">
        <v>317</v>
      </c>
      <c r="B56" s="38" t="s">
        <v>318</v>
      </c>
      <c r="C56" s="39">
        <v>5.4</v>
      </c>
      <c r="D56" s="39">
        <v>5.4</v>
      </c>
      <c r="E56" s="40"/>
    </row>
    <row r="57" spans="1:5" x14ac:dyDescent="0.25">
      <c r="A57" s="38" t="s">
        <v>321</v>
      </c>
      <c r="B57" s="38" t="s">
        <v>322</v>
      </c>
      <c r="C57" s="39">
        <v>25.6</v>
      </c>
      <c r="D57" s="39">
        <v>25.6</v>
      </c>
      <c r="E57" s="40"/>
    </row>
    <row r="58" spans="1:5" x14ac:dyDescent="0.25">
      <c r="A58" s="38" t="s">
        <v>323</v>
      </c>
      <c r="B58" s="38" t="s">
        <v>324</v>
      </c>
      <c r="C58" s="39">
        <v>28.56</v>
      </c>
      <c r="D58" s="39">
        <v>28.56</v>
      </c>
      <c r="E58" s="40"/>
    </row>
    <row r="59" spans="1:5" x14ac:dyDescent="0.25">
      <c r="A59" s="38" t="s">
        <v>325</v>
      </c>
      <c r="B59" s="38" t="s">
        <v>326</v>
      </c>
      <c r="C59" s="39">
        <v>52.5</v>
      </c>
      <c r="D59" s="39"/>
      <c r="E59" s="40">
        <v>-52.5</v>
      </c>
    </row>
    <row r="60" spans="1:5" x14ac:dyDescent="0.25">
      <c r="A60" s="38" t="s">
        <v>327</v>
      </c>
      <c r="B60" s="38" t="s">
        <v>328</v>
      </c>
      <c r="C60" s="39">
        <v>84</v>
      </c>
      <c r="D60" s="39">
        <v>84</v>
      </c>
      <c r="E60" s="40"/>
    </row>
    <row r="61" spans="1:5" x14ac:dyDescent="0.25">
      <c r="A61" s="38" t="s">
        <v>329</v>
      </c>
      <c r="B61" s="38" t="s">
        <v>330</v>
      </c>
      <c r="C61" s="39">
        <v>112</v>
      </c>
      <c r="D61" s="39">
        <v>112</v>
      </c>
      <c r="E61" s="40"/>
    </row>
    <row r="62" spans="1:5" x14ac:dyDescent="0.25">
      <c r="A62" s="38" t="s">
        <v>331</v>
      </c>
      <c r="B62" s="38" t="s">
        <v>332</v>
      </c>
      <c r="C62" s="39">
        <v>8.4</v>
      </c>
      <c r="D62" s="39">
        <v>8.4</v>
      </c>
      <c r="E62" s="40"/>
    </row>
    <row r="63" spans="1:5" x14ac:dyDescent="0.25">
      <c r="A63" s="38" t="s">
        <v>333</v>
      </c>
      <c r="B63" s="38" t="s">
        <v>334</v>
      </c>
      <c r="C63" s="39">
        <v>129.5</v>
      </c>
      <c r="D63" s="39">
        <v>129.5</v>
      </c>
      <c r="E63" s="40"/>
    </row>
    <row r="64" spans="1:5" x14ac:dyDescent="0.25">
      <c r="A64" s="38" t="s">
        <v>337</v>
      </c>
      <c r="B64" s="38" t="s">
        <v>338</v>
      </c>
      <c r="C64" s="39">
        <v>23.4</v>
      </c>
      <c r="D64" s="39">
        <v>23.4</v>
      </c>
      <c r="E64" s="40"/>
    </row>
    <row r="65" spans="1:5" x14ac:dyDescent="0.25">
      <c r="A65" s="38" t="s">
        <v>339</v>
      </c>
      <c r="B65" s="38" t="s">
        <v>340</v>
      </c>
      <c r="C65" s="39">
        <v>351</v>
      </c>
      <c r="D65" s="39">
        <v>351</v>
      </c>
      <c r="E65" s="40"/>
    </row>
    <row r="66" spans="1:5" x14ac:dyDescent="0.25">
      <c r="A66" s="38" t="s">
        <v>341</v>
      </c>
      <c r="B66" s="38" t="s">
        <v>342</v>
      </c>
      <c r="C66" s="39">
        <v>70.2</v>
      </c>
      <c r="D66" s="39">
        <v>70.2</v>
      </c>
      <c r="E66" s="40"/>
    </row>
    <row r="67" spans="1:5" x14ac:dyDescent="0.25">
      <c r="A67" s="38" t="s">
        <v>378</v>
      </c>
      <c r="B67" s="38" t="s">
        <v>379</v>
      </c>
      <c r="C67" s="39">
        <v>30</v>
      </c>
      <c r="D67" s="39">
        <v>30</v>
      </c>
      <c r="E67" s="40"/>
    </row>
    <row r="68" spans="1:5" x14ac:dyDescent="0.25">
      <c r="A68" s="38" t="s">
        <v>349</v>
      </c>
      <c r="B68" s="38" t="s">
        <v>350</v>
      </c>
      <c r="C68" s="39">
        <v>18</v>
      </c>
      <c r="D68" s="39">
        <v>18</v>
      </c>
      <c r="E68" s="40"/>
    </row>
    <row r="69" spans="1:5" x14ac:dyDescent="0.25">
      <c r="A69" s="38" t="s">
        <v>351</v>
      </c>
      <c r="B69" s="38" t="s">
        <v>352</v>
      </c>
      <c r="C69" s="39">
        <v>540</v>
      </c>
      <c r="D69" s="39">
        <v>540</v>
      </c>
      <c r="E69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</vt:lpstr>
      <vt:lpstr>дефицит 12,09 (TSO001119761)</vt:lpstr>
      <vt:lpstr>дефицит 13,09 (TSO001120283)</vt:lpstr>
      <vt:lpstr>дефицит 14,09 (TSO001121071)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2026-09-10T12:36:27Z</dcterms:created>
  <dcterms:modified xsi:type="dcterms:W3CDTF">2026-09-15T07:37:04Z</dcterms:modified>
</cp:coreProperties>
</file>