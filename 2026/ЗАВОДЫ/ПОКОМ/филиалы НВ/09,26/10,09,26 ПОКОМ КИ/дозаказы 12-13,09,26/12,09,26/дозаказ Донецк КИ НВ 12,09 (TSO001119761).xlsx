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,09,26\"/>
    </mc:Choice>
  </mc:AlternateContent>
  <xr:revisionPtr revIDLastSave="0" documentId="13_ncr:1_{EE3CF8B5-C8F3-4598-9B28-B4E7D98EE88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Y517" i="2"/>
  <c r="X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N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N504" i="2"/>
  <c r="BM504" i="2"/>
  <c r="Y504" i="2"/>
  <c r="Z504" i="2" s="1"/>
  <c r="P504" i="2"/>
  <c r="BO503" i="2"/>
  <c r="BM503" i="2"/>
  <c r="Y503" i="2"/>
  <c r="P503" i="2"/>
  <c r="BO502" i="2"/>
  <c r="BN502" i="2"/>
  <c r="BM502" i="2"/>
  <c r="Y502" i="2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Z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Z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N410" i="2"/>
  <c r="BM410" i="2"/>
  <c r="Y410" i="2"/>
  <c r="BP410" i="2" s="1"/>
  <c r="P410" i="2"/>
  <c r="BO409" i="2"/>
  <c r="BM409" i="2"/>
  <c r="Y409" i="2"/>
  <c r="P409" i="2"/>
  <c r="BO408" i="2"/>
  <c r="BN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N403" i="2"/>
  <c r="BM403" i="2"/>
  <c r="Y403" i="2"/>
  <c r="Z403" i="2" s="1"/>
  <c r="P403" i="2"/>
  <c r="BO402" i="2"/>
  <c r="BM402" i="2"/>
  <c r="Y402" i="2"/>
  <c r="Y406" i="2" s="1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Z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P390" i="2"/>
  <c r="BO390" i="2"/>
  <c r="BM390" i="2"/>
  <c r="Z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Z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N319" i="2"/>
  <c r="BM319" i="2"/>
  <c r="Y319" i="2"/>
  <c r="Z319" i="2" s="1"/>
  <c r="P319" i="2"/>
  <c r="X317" i="2"/>
  <c r="X316" i="2"/>
  <c r="BO315" i="2"/>
  <c r="BM315" i="2"/>
  <c r="Y315" i="2"/>
  <c r="Y317" i="2" s="1"/>
  <c r="P315" i="2"/>
  <c r="Y313" i="2"/>
  <c r="X313" i="2"/>
  <c r="X312" i="2"/>
  <c r="BP311" i="2"/>
  <c r="BO311" i="2"/>
  <c r="BM311" i="2"/>
  <c r="Z311" i="2"/>
  <c r="Z312" i="2" s="1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N301" i="2"/>
  <c r="BM301" i="2"/>
  <c r="Y301" i="2"/>
  <c r="P301" i="2"/>
  <c r="Y298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N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Z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N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P281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P274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N265" i="2"/>
  <c r="BM265" i="2"/>
  <c r="Y265" i="2"/>
  <c r="BP265" i="2" s="1"/>
  <c r="P265" i="2"/>
  <c r="BP264" i="2"/>
  <c r="BO264" i="2"/>
  <c r="BN264" i="2"/>
  <c r="BM264" i="2"/>
  <c r="Z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P248" i="2"/>
  <c r="BO248" i="2"/>
  <c r="BN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P240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N237" i="2"/>
  <c r="BM237" i="2"/>
  <c r="Y237" i="2"/>
  <c r="BP237" i="2" s="1"/>
  <c r="P237" i="2"/>
  <c r="BO236" i="2"/>
  <c r="BM236" i="2"/>
  <c r="Z236" i="2"/>
  <c r="Y236" i="2"/>
  <c r="P236" i="2"/>
  <c r="X234" i="2"/>
  <c r="X233" i="2"/>
  <c r="BO232" i="2"/>
  <c r="BM232" i="2"/>
  <c r="Y232" i="2"/>
  <c r="P232" i="2"/>
  <c r="BO231" i="2"/>
  <c r="BM231" i="2"/>
  <c r="Z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N228" i="2"/>
  <c r="BM228" i="2"/>
  <c r="Z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P207" i="2"/>
  <c r="BO207" i="2"/>
  <c r="BN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Y199" i="2"/>
  <c r="X199" i="2"/>
  <c r="X198" i="2"/>
  <c r="BP197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N162" i="2"/>
  <c r="BM162" i="2"/>
  <c r="Y162" i="2"/>
  <c r="P162" i="2"/>
  <c r="BO161" i="2"/>
  <c r="BM161" i="2"/>
  <c r="Z161" i="2"/>
  <c r="Y161" i="2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N132" i="2"/>
  <c r="BM132" i="2"/>
  <c r="Y132" i="2"/>
  <c r="P132" i="2"/>
  <c r="BO131" i="2"/>
  <c r="BM131" i="2"/>
  <c r="Y131" i="2"/>
  <c r="Y134" i="2" s="1"/>
  <c r="P131" i="2"/>
  <c r="X128" i="2"/>
  <c r="Y127" i="2"/>
  <c r="X127" i="2"/>
  <c r="BO126" i="2"/>
  <c r="BN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P120" i="2"/>
  <c r="BO120" i="2"/>
  <c r="BM120" i="2"/>
  <c r="Y120" i="2"/>
  <c r="P120" i="2"/>
  <c r="BO119" i="2"/>
  <c r="BM119" i="2"/>
  <c r="Y119" i="2"/>
  <c r="P119" i="2"/>
  <c r="X117" i="2"/>
  <c r="X116" i="2"/>
  <c r="BP115" i="2"/>
  <c r="BO115" i="2"/>
  <c r="BM115" i="2"/>
  <c r="Z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N104" i="2"/>
  <c r="BM104" i="2"/>
  <c r="Z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N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Z65" i="2"/>
  <c r="Y65" i="2"/>
  <c r="BN65" i="2" s="1"/>
  <c r="P65" i="2"/>
  <c r="X63" i="2"/>
  <c r="X62" i="2"/>
  <c r="BP61" i="2"/>
  <c r="BO61" i="2"/>
  <c r="BM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N56" i="2"/>
  <c r="BM56" i="2"/>
  <c r="Y56" i="2"/>
  <c r="BP56" i="2" s="1"/>
  <c r="P56" i="2"/>
  <c r="BO55" i="2"/>
  <c r="BM55" i="2"/>
  <c r="Z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N39" i="2"/>
  <c r="BM39" i="2"/>
  <c r="Z39" i="2"/>
  <c r="Y39" i="2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Z23" i="2"/>
  <c r="Y23" i="2"/>
  <c r="P23" i="2"/>
  <c r="BO22" i="2"/>
  <c r="BM22" i="2"/>
  <c r="X559" i="2" s="1"/>
  <c r="Y22" i="2"/>
  <c r="BN22" i="2" s="1"/>
  <c r="P22" i="2"/>
  <c r="H10" i="2"/>
  <c r="A9" i="2"/>
  <c r="A10" i="2" s="1"/>
  <c r="D7" i="2"/>
  <c r="Q6" i="2"/>
  <c r="P2" i="2"/>
  <c r="Z351" i="2" l="1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Z399" i="2" s="1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Z424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497" i="2" s="1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Z51" i="2" s="1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2" i="2" s="1"/>
  <c r="Z68" i="2"/>
  <c r="Z69" i="2" s="1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Z481" i="2" s="1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Z437" i="2" s="1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22" i="2" l="1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<sst xmlns="http://schemas.openxmlformats.org/spreadsheetml/2006/main" count="4315" uniqueCount="916">
  <si>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</si>
  <si>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</si>
  <si>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</si>
  <si>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</si>
  <si>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</si>
  <si>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</si>
  <si>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</si>
  <si>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</si>
  <si>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</si>
  <si>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</si>
  <si>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</si>
  <si>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</si>
  <si>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</si>
  <si>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</si>
  <si>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</si>
  <si>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</si>
  <si>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</si>
  <si>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</si>
  <si>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</si>
  <si>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</si>
  <si>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</si>
  <si>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</si>
  <si>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</si>
  <si>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</si>
  <si>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</si>
  <si>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</si>
  <si>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</si>
  <si>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</si>
  <si>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</si>
  <si>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</si>
  <si>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</si>
  <si>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</si>
  <si>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</si>
  <si>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</si>
  <si>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</si>
  <si>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</si>
  <si>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</si>
  <si>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</si>
  <si>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</si>
  <si>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</si>
  <si>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</si>
  <si>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</si>
  <si>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</si>
  <si>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</si>
  <si>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</si>
  <si>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</si>
  <si>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</si>
  <si>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</si>
  <si>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</si>
  <si>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</si>
  <si>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</si>
  <si>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</si>
  <si>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</si>
  <si>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</si>
  <si>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</si>
  <si>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</si>
  <si>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</si>
  <si>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</si>
  <si>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</si>
  <si>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</si>
  <si>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</si>
  <si>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</si>
  <si>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</si>
  <si>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</si>
  <si>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</si>
  <si>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</si>
  <si>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</si>
  <si>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</si>
  <si>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</si>
  <si>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</si>
  <si>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</si>
  <si>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</si>
  <si>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</si>
  <si>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</si>
  <si>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</si>
  <si>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</si>
  <si>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</si>
  <si>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</si>
  <si>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</si>
  <si>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</si>
  <si>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</si>
  <si>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</si>
  <si>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</si>
  <si>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</si>
  <si>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</si>
  <si>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</si>
  <si>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</si>
  <si>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</si>
  <si>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</si>
  <si>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</si>
  <si>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</si>
  <si>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</si>
  <si>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</si>
  <si>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</si>
  <si>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</si>
  <si>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</si>
  <si>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</si>
  <si>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</si>
  <si>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</si>
  <si>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</si>
  <si>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</si>
  <si>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</si>
  <si>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</si>
  <si>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</si>
  <si>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</si>
  <si>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</si>
  <si>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</si>
  <si>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</si>
  <si>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</si>
  <si>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</si>
  <si>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</si>
  <si>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</si>
  <si>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</si>
  <si>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</si>
  <si>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</si>
  <si>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</si>
  <si>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</si>
  <si>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</si>
  <si>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</si>
  <si>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</si>
  <si>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</si>
  <si>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</si>
  <si>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</si>
  <si>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</si>
  <si>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</si>
  <si>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</si>
  <si>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</si>
  <si>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</si>
  <si>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</si>
  <si>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</si>
  <si>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</si>
  <si>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</si>
  <si>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</si>
  <si>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</si>
  <si>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</si>
  <si>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</si>
  <si>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</si>
  <si>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</si>
  <si>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</si>
  <si>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</si>
  <si>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</si>
  <si>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</si>
  <si>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</si>
  <si>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</si>
  <si>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</si>
  <si>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</si>
  <si>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</si>
  <si>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</si>
  <si>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</si>
  <si>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</si>
  <si>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</si>
  <si>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</si>
  <si>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</si>
  <si>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</si>
  <si>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</si>
  <si>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</si>
  <si>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</si>
  <si>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</si>
  <si>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</si>
  <si>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</si>
  <si>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</si>
  <si>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</si>
  <si>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</si>
  <si>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</si>
  <si>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</si>
  <si>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</si>
  <si>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</si>
  <si>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</si>
  <si>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</si>
  <si>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</si>
  <si>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</si>
  <si>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</si>
  <si>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</si>
  <si>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</si>
  <si>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</si>
  <si>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</si>
  <si>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</si>
  <si>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</si>
  <si>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</si>
  <si>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</si>
  <si>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</si>
  <si>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</si>
  <si>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</si>
  <si>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</si>
  <si>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</si>
  <si>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</si>
  <si>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</si>
  <si>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</si>
  <si>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</si>
  <si>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</si>
  <si>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</si>
  <si>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</si>
  <si>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</si>
  <si>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</si>
  <si>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</si>
  <si>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</si>
  <si>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</si>
  <si>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</si>
  <si>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</si>
  <si>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</si>
  <si>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</si>
  <si>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</si>
  <si>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</si>
  <si>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</si>
  <si>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</si>
  <si>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</si>
  <si>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</si>
  <si>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</si>
  <si>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</si>
  <si>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</si>
  <si>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</si>
  <si>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</si>
  <si>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</si>
  <si>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</si>
  <si>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</si>
  <si>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</si>
  <si>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</si>
  <si>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</si>
  <si>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</si>
  <si>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</si>
  <si>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</si>
  <si>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</si>
  <si>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</si>
  <si>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</si>
  <si>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</si>
  <si>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</si>
  <si>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</si>
  <si>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</si>
  <si>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</si>
  <si>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</si>
  <si>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</si>
  <si>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</si>
  <si>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</si>
  <si>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</si>
  <si>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</si>
  <si>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</si>
  <si>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</si>
  <si>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</si>
  <si>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</si>
  <si>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</si>
  <si>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</si>
  <si>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</si>
  <si>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</si>
  <si>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</si>
  <si>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</si>
  <si>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</si>
  <si>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</si>
  <si>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</si>
  <si>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</si>
  <si>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</si>
  <si>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</si>
  <si>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</si>
  <si>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</si>
  <si>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</si>
  <si>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</si>
  <si>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</si>
  <si>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</si>
  <si>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</si>
  <si>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</si>
  <si>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</si>
  <si>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</si>
  <si>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</si>
  <si>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</si>
  <si>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</si>
  <si>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</si>
  <si>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</si>
  <si>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</si>
  <si>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</si>
  <si>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</si>
  <si>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</si>
  <si>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</si>
  <si>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</si>
  <si>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</si>
  <si>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</si>
  <si>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</si>
  <si>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</si>
  <si>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</si>
  <si>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</si>
  <si>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</si>
  <si>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</si>
  <si>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</si>
  <si>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</si>
  <si>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</si>
  <si>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</si>
  <si>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</si>
  <si>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</si>
  <si>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</si>
  <si>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</si>
  <si>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</si>
  <si>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</si>
  <si>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</si>
  <si>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</si>
  <si>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</si>
  <si>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</si>
  <si>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</si>
  <si>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</si>
  <si>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</si>
  <si>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</si>
  <si>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</si>
  <si>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</si>
  <si>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</si>
  <si>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</si>
  <si>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</si>
  <si>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</si>
  <si>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</si>
  <si>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</si>
  <si>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</si>
  <si>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</si>
  <si>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</si>
  <si>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</si>
  <si>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</si>
  <si>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</si>
  <si>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</si>
  <si>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</si>
  <si>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</si>
  <si>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</si>
  <si>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</si>
  <si>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</si>
  <si>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</si>
  <si>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</si>
  <si>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</si>
  <si>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</si>
  <si>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</si>
  <si>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</si>
  <si>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</si>
  <si>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</si>
  <si>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</si>
  <si>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</si>
  <si>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</si>
  <si>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</si>
  <si>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</si>
  <si>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</si>
  <si>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</si>
  <si>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</si>
  <si>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</si>
  <si>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</si>
  <si>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</si>
  <si>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</si>
  <si>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</si>
  <si>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</si>
  <si>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</si>
  <si>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</si>
  <si>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</si>
  <si>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</si>
  <si>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</si>
  <si>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</si>
  <si>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</si>
  <si>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</si>
  <si>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</si>
  <si>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</si>
  <si>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</si>
  <si>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</si>
  <si>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</si>
  <si>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</si>
  <si>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</si>
  <si>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</si>
  <si>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</si>
  <si>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</si>
  <si>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</si>
  <si>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</si>
  <si>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</si>
  <si>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</si>
  <si>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</si>
  <si>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</si>
  <si>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</si>
  <si>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</si>
  <si>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</si>
  <si>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</si>
  <si>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</si>
  <si>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</si>
  <si>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</si>
  <si>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</si>
  <si>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</si>
  <si>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</si>
  <si>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</si>
  <si>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</si>
  <si>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</si>
  <si>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</si>
  <si>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</si>
  <si>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</si>
  <si>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</si>
  <si>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</si>
  <si>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</si>
  <si>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</si>
  <si>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</si>
  <si>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</si>
  <si>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</si>
  <si>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</si>
  <si>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</si>
  <si>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</si>
  <si>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</si>
  <si>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</si>
  <si>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</si>
  <si>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</si>
  <si>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</si>
  <si>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</si>
  <si>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</si>
  <si>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</si>
  <si>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</si>
  <si>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</si>
  <si>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</si>
  <si>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</si>
  <si>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</si>
  <si>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</si>
  <si>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</si>
  <si>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</si>
  <si>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</si>
  <si>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</si>
  <si>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</si>
  <si>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</si>
  <si>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</si>
  <si>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</si>
  <si>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</si>
  <si>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</si>
  <si>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</si>
  <si>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</si>
  <si>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</si>
  <si>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</si>
  <si>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</si>
  <si>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</si>
  <si>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</si>
  <si>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</si>
  <si>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</si>
  <si>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</si>
  <si>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</si>
  <si>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</si>
  <si>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</si>
  <si>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</si>
  <si>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</si>
  <si>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</si>
  <si>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</si>
  <si>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</si>
  <si>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</si>
  <si>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</si>
  <si>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</si>
  <si>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</si>
  <si>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</si>
  <si>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</si>
  <si>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</si>
  <si>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</si>
  <si>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</si>
  <si>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</si>
  <si>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</si>
  <si>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</si>
  <si>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</si>
  <si>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</si>
  <si>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</si>
  <si>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</si>
  <si>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</si>
  <si>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</si>
  <si>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</si>
  <si>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</si>
  <si>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</si>
  <si>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</si>
  <si>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</si>
  <si>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</si>
  <si>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</si>
  <si>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</si>
  <si>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</si>
  <si>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</si>
  <si>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</si>
  <si>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</si>
  <si>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</si>
  <si>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</si>
  <si>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</si>
  <si>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</si>
  <si>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</si>
  <si>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</si>
  <si>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</si>
  <si>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</si>
  <si>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</si>
  <si>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</si>
  <si>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</si>
  <si>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</si>
  <si>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</si>
  <si>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</si>
  <si>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</si>
  <si>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</si>
  <si>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</si>
  <si>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</si>
  <si>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</si>
  <si>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</si>
  <si>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</si>
  <si>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</si>
  <si>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</si>
  <si>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</si>
  <si>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</si>
  <si>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</si>
  <si>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</si>
  <si>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</si>
  <si>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</si>
  <si>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</si>
  <si>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</si>
  <si>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</si>
  <si>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</si>
  <si>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</si>
  <si>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</si>
  <si>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</si>
  <si>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</si>
  <si>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</si>
  <si>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</si>
  <si>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</si>
  <si>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</si>
  <si>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</si>
  <si>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</si>
  <si>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</si>
  <si>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</si>
  <si>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</si>
  <si>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</si>
  <si>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</si>
  <si>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</si>
  <si>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</si>
  <si>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</si>
  <si>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</si>
  <si>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</si>
  <si>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</si>
  <si>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</si>
  <si>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</si>
  <si>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</si>
  <si>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</si>
  <si>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</si>
  <si>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</si>
  <si>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</si>
  <si>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</si>
  <si>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</si>
  <si>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</si>
  <si>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</si>
  <si>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</si>
  <si>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</si>
  <si>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</si>
  <si>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</si>
  <si>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</si>
  <si>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</si>
  <si>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</si>
  <si>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</si>
  <si>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</si>
  <si>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</si>
  <si>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</si>
  <si>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</si>
  <si>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</si>
  <si>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</si>
  <si>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</si>
  <si>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</si>
  <si>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</si>
  <si>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</si>
  <si>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</si>
  <si>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</si>
  <si>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</si>
  <si>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</si>
  <si>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</si>
  <si>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</si>
  <si>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</si>
  <si>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</si>
  <si>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</si>
  <si>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</si>
  <si>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</si>
  <si>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</si>
  <si>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</si>
  <si>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</si>
  <si>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</si>
  <si>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</si>
  <si>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</si>
  <si>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</si>
  <si>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</si>
  <si>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</si>
  <si>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</si>
  <si>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</si>
  <si>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</si>
  <si>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</si>
  <si>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</si>
  <si>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</si>
  <si>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</si>
  <si>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</si>
  <si>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</si>
  <si>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</si>
  <si>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</si>
  <si>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</si>
  <si>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</si>
  <si>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</si>
  <si>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</si>
  <si>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</si>
  <si>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</si>
  <si>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</si>
  <si>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</si>
  <si>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</si>
  <si>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</si>
  <si>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</si>
  <si>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</si>
  <si>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</si>
  <si>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</si>
  <si>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</si>
  <si>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</si>
  <si>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</si>
  <si>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</si>
  <si>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</si>
  <si>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</si>
  <si>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</si>
  <si>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</si>
  <si>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</si>
  <si>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</si>
  <si>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</si>
  <si>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</si>
  <si>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</si>
  <si>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</si>
  <si>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</si>
  <si>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</si>
  <si>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</si>
  <si>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</si>
  <si>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</si>
  <si>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</si>
  <si>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</si>
  <si>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</si>
  <si>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</si>
  <si>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</si>
  <si>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</si>
  <si>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</si>
  <si>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</si>
  <si>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</si>
  <si>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</si>
  <si>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</si>
  <si>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</si>
  <si>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</si>
  <si>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</si>
  <si>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</si>
  <si>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</si>
  <si>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</si>
  <si>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</si>
  <si>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</si>
  <si>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</si>
  <si>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</si>
  <si>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</si>
  <si>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</si>
  <si>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</si>
  <si>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</si>
  <si>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</si>
  <si>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</si>
  <si>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</si>
  <si>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</si>
  <si>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</si>
  <si>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</si>
  <si>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</si>
  <si>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</si>
  <si>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</si>
  <si>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</si>
  <si>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</si>
  <si>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</si>
  <si>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</si>
  <si>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</si>
  <si>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</si>
  <si>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</si>
  <si>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</si>
  <si>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</si>
  <si>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</si>
  <si>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</si>
  <si>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</si>
  <si>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</si>
  <si>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</si>
  <si>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</si>
  <si>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</si>
  <si>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</si>
  <si>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</si>
  <si>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</si>
  <si>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</si>
  <si>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</si>
  <si>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</si>
  <si>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</si>
  <si>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</si>
  <si>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</si>
  <si>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</si>
  <si>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</si>
  <si>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</si>
  <si>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</si>
  <si>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</si>
  <si>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</si>
  <si>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</si>
  <si>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</si>
  <si>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</si>
  <si>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</si>
  <si>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</si>
  <si>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</si>
  <si>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</si>
  <si>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</si>
  <si>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</si>
  <si>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</si>
  <si>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</si>
  <si>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</si>
  <si>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</si>
  <si>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</si>
  <si>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</si>
  <si>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</si>
  <si>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</si>
  <si>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</si>
  <si>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</si>
  <si>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</si>
  <si>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</si>
  <si>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</si>
  <si>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</si>
  <si>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</si>
  <si>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</si>
  <si>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</si>
  <si>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</si>
  <si>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</si>
  <si>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</si>
  <si>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</si>
  <si>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</si>
  <si>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</si>
  <si>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</si>
  <si>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</si>
  <si>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</si>
  <si>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</si>
  <si>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</si>
  <si>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</si>
  <si>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</si>
  <si>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</si>
  <si>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</si>
  <si>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</si>
  <si>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</si>
  <si>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</si>
  <si>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</si>
  <si>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</si>
  <si>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</si>
  <si>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</si>
  <si>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</si>
  <si>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</si>
  <si>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</si>
  <si>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</si>
  <si>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</si>
  <si>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</si>
  <si>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</si>
  <si>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</si>
  <si>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</si>
  <si>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</si>
  <si>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</si>
  <si>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</si>
  <si>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</si>
  <si>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</si>
  <si>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</si>
  <si>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</si>
  <si>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</si>
  <si>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</si>
  <si>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</si>
  <si>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</si>
  <si>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</si>
  <si>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</si>
  <si>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</si>
  <si>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</si>
  <si>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</si>
  <si>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</si>
  <si>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</si>
  <si>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</si>
  <si>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</si>
  <si>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</si>
  <si>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</si>
  <si>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</si>
  <si>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</si>
  <si>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</si>
  <si>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</si>
  <si>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</si>
  <si>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</si>
  <si>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</si>
  <si>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</si>
  <si>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</si>
  <si>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</si>
  <si>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</si>
  <si>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</si>
  <si>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</si>
  <si>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</si>
  <si>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</si>
  <si>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</si>
  <si>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</si>
  <si>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</si>
  <si>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</si>
  <si>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</si>
  <si>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</si>
  <si>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</si>
  <si>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</si>
  <si>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</si>
  <si>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</si>
  <si>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</si>
  <si>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</si>
  <si>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</si>
  <si>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</si>
  <si>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</si>
  <si>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</si>
  <si>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</si>
  <si>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</si>
  <si>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</si>
  <si>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</si>
  <si>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</si>
  <si>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</si>
  <si>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</si>
  <si>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</si>
  <si>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</si>
  <si>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</si>
  <si>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</si>
  <si>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</si>
  <si>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</si>
  <si>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</si>
  <si>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</si>
  <si>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</si>
  <si>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</si>
  <si>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</si>
  <si>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</si>
  <si>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</si>
  <si>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</si>
  <si>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</si>
  <si>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</si>
  <si>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</si>
  <si>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</si>
  <si>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</si>
  <si>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</si>
  <si>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</si>
  <si>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</si>
  <si>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</si>
  <si>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</si>
  <si>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</si>
  <si>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</si>
  <si>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</si>
  <si>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</si>
  <si>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</si>
  <si>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</si>
  <si>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</si>
  <si>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</si>
  <si>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</si>
  <si>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</si>
  <si>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</si>
  <si>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</si>
  <si>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</si>
  <si>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</si>
  <si>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</si>
  <si>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</si>
  <si>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</si>
  <si>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</si>
  <si>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</si>
  <si>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</si>
  <si>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</si>
  <si>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</si>
  <si>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</si>
  <si>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</si>
  <si>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</si>
  <si>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</si>
  <si>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</si>
  <si>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</si>
  <si>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</si>
  <si>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</si>
  <si>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</si>
  <si>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</si>
  <si>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</si>
  <si>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</si>
  <si>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</si>
  <si>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</si>
  <si>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</si>
  <si>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</si>
  <si>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</si>
  <si>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</si>
  <si>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</si>
  <si>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</si>
  <si>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</si>
  <si>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</si>
  <si>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</si>
  <si>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</si>
  <si>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</si>
  <si>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</si>
  <si>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</si>
  <si>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</si>
  <si>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</si>
  <si>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</si>
  <si>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</si>
  <si>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</si>
  <si>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</si>
  <si>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</si>
  <si>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</si>
  <si>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</si>
  <si>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</si>
  <si>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</si>
  <si>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</si>
  <si>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</si>
  <si>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</si>
  <si>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</si>
  <si>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</si>
  <si>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</si>
  <si>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</si>
  <si>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</si>
  <si>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</si>
  <si>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</si>
  <si>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</si>
  <si>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</si>
  <si>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</si>
  <si>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</si>
  <si>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</si>
  <si>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</si>
  <si>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</si>
  <si>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</si>
  <si>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</si>
  <si>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</si>
  <si>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</si>
  <si>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</si>
  <si>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</si>
  <si>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</si>
  <si>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</si>
  <si>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</si>
  <si>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</si>
  <si>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</si>
  <si>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</si>
  <si>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</si>
  <si>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</si>
  <si>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</si>
  <si>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</si>
  <si>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</si>
  <si>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</si>
  <si>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</si>
  <si>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</si>
  <si>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</si>
  <si>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</si>
  <si>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</si>
  <si>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TSO001119761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</si>
</sst>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40" sqref="AA4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46277</v>
      </c>
      <c r="R5" s="992"/>
      <c r="T5" s="993" t="s">
        <v>3</v>
      </c>
      <c r="U5" s="994"/>
      <c r="V5" s="995" t="s">
        <v>874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887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Суббота</v>
      </c>
      <c r="R6" s="998"/>
      <c r="T6" s="999" t="s">
        <v>5</v>
      </c>
      <c r="U6" s="1000"/>
      <c r="V6" s="1001" t="s">
        <v>69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5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57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0.5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70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914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71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72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73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74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60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58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65</v>
      </c>
      <c r="L17" s="944" t="s">
        <v>63</v>
      </c>
      <c r="M17" s="944" t="s">
        <v>2</v>
      </c>
      <c r="N17" s="944" t="s">
        <v>62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55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59</v>
      </c>
      <c r="AB17" s="950" t="s">
        <v>19</v>
      </c>
      <c r="AC17" s="950" t="s">
        <v>64</v>
      </c>
      <c r="AD17" s="952" t="s">
        <v>56</v>
      </c>
      <c r="AE17" s="953"/>
      <c r="AF17" s="954"/>
      <c r="AG17" s="77"/>
      <c r="BD17" s="76" t="s">
        <v>61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75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75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76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85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103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85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119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120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121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6" t="s">
        <v>136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121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62" t="s">
        <v>156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62" t="s">
        <v>85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174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121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662" t="s">
        <v>85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206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121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62" t="s">
        <v>156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85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62" t="s">
        <v>174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246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121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76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85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259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85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274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119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121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156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76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85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274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339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343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344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121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365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156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76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2" t="s">
        <v>85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274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436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439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121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156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76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62" t="s">
        <v>85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2" t="s">
        <v>174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507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121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156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529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339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540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121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556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85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6" t="s">
        <v>565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76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85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586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121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595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121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76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85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174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2" t="s">
        <v>274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661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670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679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85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686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85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696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697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121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hidden="1" customHeight="1" x14ac:dyDescent="0.25">
      <c r="A430" s="60" t="s">
        <v>701</v>
      </c>
      <c r="B430" s="60" t="s">
        <v>702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idden="1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0</v>
      </c>
      <c r="Y437" s="41">
        <f>IFERROR(Y429/H429,"0")+IFERROR(Y430/H430,"0")+IFERROR(Y431/H431,"0")+IFERROR(Y432/H432,"0")+IFERROR(Y433/H433,"0")+IFERROR(Y434/H434,"0")+IFERROR(Y435/H435,"0")+IFERROR(Y436/H436,"0")</f>
        <v>0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0</v>
      </c>
      <c r="Y438" s="41">
        <f>IFERROR(SUM(Y429:Y436),"0")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62" t="s">
        <v>156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customHeight="1" x14ac:dyDescent="0.25">
      <c r="A440" s="60" t="s">
        <v>722</v>
      </c>
      <c r="B440" s="60" t="s">
        <v>723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790</v>
      </c>
      <c r="Y440" s="53">
        <f>IFERROR(IF(X440="",0,CEILING((X440/$H440),1)*$H440),"")</f>
        <v>795</v>
      </c>
      <c r="Z440" s="39">
        <f>IFERROR(IF(Y440=0,"",ROUNDUP(Y440/H440,0)*0.02175),"")</f>
        <v>1.1527499999999999</v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814.75333333333344</v>
      </c>
      <c r="BN440" s="75">
        <f>IFERROR(Y440*I440/H440,"0")</f>
        <v>819.91</v>
      </c>
      <c r="BO440" s="75">
        <f>IFERROR(1/J440*(X440/H440),"0")</f>
        <v>1.0972222222222221</v>
      </c>
      <c r="BP440" s="75">
        <f>IFERROR(1/J440*(Y440/H440),"0")</f>
        <v>1.1041666666666665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52.666666666666664</v>
      </c>
      <c r="Y443" s="41">
        <f>IFERROR(Y440/H440,"0")+IFERROR(Y441/H441,"0")+IFERROR(Y442/H442,"0")</f>
        <v>53</v>
      </c>
      <c r="Z443" s="41">
        <f>IFERROR(IF(Z440="",0,Z440),"0")+IFERROR(IF(Z441="",0,Z441),"0")+IFERROR(IF(Z442="",0,Z442),"0")</f>
        <v>1.1527499999999999</v>
      </c>
      <c r="AA443" s="64"/>
      <c r="AB443" s="64"/>
      <c r="AC443" s="64"/>
    </row>
    <row r="444" spans="1:68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790</v>
      </c>
      <c r="Y444" s="41">
        <f>IFERROR(SUM(Y440:Y442),"0")</f>
        <v>795</v>
      </c>
      <c r="Z444" s="40"/>
      <c r="AA444" s="64"/>
      <c r="AB444" s="64"/>
      <c r="AC444" s="64"/>
    </row>
    <row r="445" spans="1:68" ht="14.25" hidden="1" customHeight="1" x14ac:dyDescent="0.25">
      <c r="A445" s="662" t="s">
        <v>85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174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746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121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76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85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677" t="s">
        <v>762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763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76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85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786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156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76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798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798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2" t="s">
        <v>156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2" t="s">
        <v>76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677" t="s">
        <v>845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845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156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76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85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174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864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156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649" t="s">
        <v>870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790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795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814.75333333333344</v>
      </c>
      <c r="Y559" s="41">
        <f>IFERROR(SUM(BN22:BN555),"0")</f>
        <v>819.91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864.75333333333344</v>
      </c>
      <c r="Y561" s="41">
        <f>GrossWeightTotalR+PalletQtyTotalR*25</f>
        <v>869.91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52.666666666666664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53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1.1527499999999999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645" t="s">
        <v>119</v>
      </c>
      <c r="E565" s="645" t="s">
        <v>119</v>
      </c>
      <c r="F565" s="645" t="s">
        <v>119</v>
      </c>
      <c r="G565" s="645" t="s">
        <v>119</v>
      </c>
      <c r="H565" s="645" t="s">
        <v>119</v>
      </c>
      <c r="I565" s="645" t="s">
        <v>119</v>
      </c>
      <c r="J565" s="645" t="s">
        <v>119</v>
      </c>
      <c r="K565" s="645" t="s">
        <v>343</v>
      </c>
      <c r="L565" s="645" t="s">
        <v>343</v>
      </c>
      <c r="M565" s="645" t="s">
        <v>343</v>
      </c>
      <c r="N565" s="661"/>
      <c r="O565" s="645" t="s">
        <v>343</v>
      </c>
      <c r="P565" s="645" t="s">
        <v>343</v>
      </c>
      <c r="Q565" s="645" t="s">
        <v>343</v>
      </c>
      <c r="R565" s="645" t="s">
        <v>343</v>
      </c>
      <c r="S565" s="645" t="s">
        <v>343</v>
      </c>
      <c r="T565" s="645" t="s">
        <v>343</v>
      </c>
      <c r="U565" s="645" t="s">
        <v>343</v>
      </c>
      <c r="V565" s="645" t="s">
        <v>343</v>
      </c>
      <c r="W565" s="645" t="s">
        <v>696</v>
      </c>
      <c r="X565" s="645" t="s">
        <v>696</v>
      </c>
      <c r="Y565" s="645" t="s">
        <v>762</v>
      </c>
      <c r="Z565" s="645" t="s">
        <v>762</v>
      </c>
      <c r="AA565" s="80" t="s">
        <v>798</v>
      </c>
      <c r="AB565" s="645" t="s">
        <v>845</v>
      </c>
      <c r="AC565" s="645" t="s">
        <v>845</v>
      </c>
      <c r="AF565" s="1"/>
    </row>
    <row r="566" spans="1:32" ht="14.25" customHeight="1" thickTop="1" x14ac:dyDescent="0.2">
      <c r="A566" s="646" t="s">
        <v>10</v>
      </c>
      <c r="B566" s="645" t="s">
        <v>75</v>
      </c>
      <c r="C566" s="645" t="s">
        <v>103</v>
      </c>
      <c r="D566" s="645" t="s">
        <v>120</v>
      </c>
      <c r="E566" s="645" t="s">
        <v>136</v>
      </c>
      <c r="F566" s="645" t="s">
        <v>182</v>
      </c>
      <c r="G566" s="645" t="s">
        <v>206</v>
      </c>
      <c r="H566" s="645" t="s">
        <v>246</v>
      </c>
      <c r="I566" s="645" t="s">
        <v>259</v>
      </c>
      <c r="J566" s="645" t="s">
        <v>119</v>
      </c>
      <c r="K566" s="645" t="s">
        <v>344</v>
      </c>
      <c r="L566" s="645" t="s">
        <v>365</v>
      </c>
      <c r="M566" s="645" t="s">
        <v>439</v>
      </c>
      <c r="N566" s="1"/>
      <c r="O566" s="645" t="s">
        <v>507</v>
      </c>
      <c r="P566" s="645" t="s">
        <v>540</v>
      </c>
      <c r="Q566" s="645" t="s">
        <v>556</v>
      </c>
      <c r="R566" s="645" t="s">
        <v>565</v>
      </c>
      <c r="S566" s="645" t="s">
        <v>586</v>
      </c>
      <c r="T566" s="645" t="s">
        <v>595</v>
      </c>
      <c r="U566" s="645" t="s">
        <v>679</v>
      </c>
      <c r="V566" s="645" t="s">
        <v>686</v>
      </c>
      <c r="W566" s="645" t="s">
        <v>697</v>
      </c>
      <c r="X566" s="645" t="s">
        <v>746</v>
      </c>
      <c r="Y566" s="645" t="s">
        <v>763</v>
      </c>
      <c r="Z566" s="645" t="s">
        <v>786</v>
      </c>
      <c r="AA566" s="645" t="s">
        <v>798</v>
      </c>
      <c r="AB566" s="645" t="s">
        <v>845</v>
      </c>
      <c r="AC566" s="645" t="s">
        <v>864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795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52,67"/>
        <filter val="790,00"/>
        <filter val="814,75"/>
        <filter val="864,75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2026-09-12T08:04:50Z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