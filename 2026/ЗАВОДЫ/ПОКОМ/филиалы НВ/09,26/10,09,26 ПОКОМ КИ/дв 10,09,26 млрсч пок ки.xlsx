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10,09,26 ПОКОМ КИ\"/>
    </mc:Choice>
  </mc:AlternateContent>
  <xr:revisionPtr revIDLastSave="0" documentId="13_ncr:1_{4AE7022B-090F-4845-B712-70A3927AEB6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12,09 (TSO001119753)" sheetId="2" r:id="rId2"/>
    <sheet name="дефицит 14,09 (TSO001121064)" sheetId="3" r:id="rId3"/>
  </sheets>
  <definedNames>
    <definedName name="_xlnm._FilterDatabase" localSheetId="0" hidden="1">Sheet!$A$3:$AN$134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5" i="1" l="1"/>
  <c r="S5" i="1" l="1"/>
  <c r="T5" i="1" l="1"/>
  <c r="AO7" i="1"/>
  <c r="AO8" i="1"/>
  <c r="AO9" i="1"/>
  <c r="AO12" i="1"/>
  <c r="AO13" i="1"/>
  <c r="AO14" i="1"/>
  <c r="AO1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3" i="1"/>
  <c r="AO34" i="1"/>
  <c r="AO35" i="1"/>
  <c r="AO36" i="1"/>
  <c r="AO37" i="1"/>
  <c r="AO38" i="1"/>
  <c r="AO39" i="1"/>
  <c r="AO40" i="1"/>
  <c r="AO42" i="1"/>
  <c r="AO43" i="1"/>
  <c r="AO44" i="1"/>
  <c r="AO46" i="1"/>
  <c r="AO47" i="1"/>
  <c r="AO48" i="1"/>
  <c r="AO49" i="1"/>
  <c r="AO50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1" i="1"/>
  <c r="AO82" i="1"/>
  <c r="AO83" i="1"/>
  <c r="AO84" i="1"/>
  <c r="AO85" i="1"/>
  <c r="AO86" i="1"/>
  <c r="AO87" i="1"/>
  <c r="AO89" i="1"/>
  <c r="AO93" i="1"/>
  <c r="AO94" i="1"/>
  <c r="AO96" i="1"/>
  <c r="AO97" i="1"/>
  <c r="AO98" i="1"/>
  <c r="AO99" i="1"/>
  <c r="AO100" i="1"/>
  <c r="AO102" i="1"/>
  <c r="AO103" i="1"/>
  <c r="AO104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5" i="1"/>
  <c r="AO126" i="1"/>
  <c r="AO127" i="1"/>
  <c r="AO128" i="1"/>
  <c r="AO129" i="1"/>
  <c r="AO130" i="1"/>
  <c r="AO131" i="1"/>
  <c r="AO132" i="1"/>
  <c r="AO133" i="1"/>
  <c r="AO134" i="1"/>
  <c r="AO6" i="1"/>
  <c r="W7" i="1" l="1"/>
  <c r="AN7" i="1" s="1"/>
  <c r="W8" i="1"/>
  <c r="AN8" i="1" s="1"/>
  <c r="W9" i="1"/>
  <c r="X9" i="1" s="1"/>
  <c r="W12" i="1"/>
  <c r="X12" i="1" s="1"/>
  <c r="W18" i="1"/>
  <c r="X18" i="1" s="1"/>
  <c r="W19" i="1"/>
  <c r="X19" i="1" s="1"/>
  <c r="W21" i="1"/>
  <c r="X21" i="1" s="1"/>
  <c r="W22" i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W34" i="1"/>
  <c r="X34" i="1" s="1"/>
  <c r="W36" i="1"/>
  <c r="X36" i="1" s="1"/>
  <c r="W37" i="1"/>
  <c r="X37" i="1" s="1"/>
  <c r="W38" i="1"/>
  <c r="X38" i="1" s="1"/>
  <c r="W39" i="1"/>
  <c r="X39" i="1" s="1"/>
  <c r="W40" i="1"/>
  <c r="X40" i="1" s="1"/>
  <c r="W42" i="1"/>
  <c r="X42" i="1" s="1"/>
  <c r="W43" i="1"/>
  <c r="X43" i="1" s="1"/>
  <c r="W44" i="1"/>
  <c r="W46" i="1"/>
  <c r="X46" i="1" s="1"/>
  <c r="W47" i="1"/>
  <c r="X47" i="1" s="1"/>
  <c r="W49" i="1"/>
  <c r="AN49" i="1" s="1"/>
  <c r="W50" i="1"/>
  <c r="X50" i="1" s="1"/>
  <c r="W52" i="1"/>
  <c r="X52" i="1" s="1"/>
  <c r="W54" i="1"/>
  <c r="X54" i="1" s="1"/>
  <c r="W55" i="1"/>
  <c r="X55" i="1" s="1"/>
  <c r="W56" i="1"/>
  <c r="X56" i="1" s="1"/>
  <c r="W57" i="1"/>
  <c r="X57" i="1" s="1"/>
  <c r="W60" i="1"/>
  <c r="X60" i="1" s="1"/>
  <c r="W63" i="1"/>
  <c r="X63" i="1" s="1"/>
  <c r="W65" i="1"/>
  <c r="X65" i="1" s="1"/>
  <c r="W67" i="1"/>
  <c r="X67" i="1" s="1"/>
  <c r="W68" i="1"/>
  <c r="X68" i="1" s="1"/>
  <c r="W69" i="1"/>
  <c r="X69" i="1" s="1"/>
  <c r="W70" i="1"/>
  <c r="X70" i="1" s="1"/>
  <c r="W72" i="1"/>
  <c r="AN72" i="1" s="1"/>
  <c r="W73" i="1"/>
  <c r="X73" i="1" s="1"/>
  <c r="W74" i="1"/>
  <c r="X74" i="1" s="1"/>
  <c r="W77" i="1"/>
  <c r="X77" i="1" s="1"/>
  <c r="W78" i="1"/>
  <c r="X78" i="1" s="1"/>
  <c r="W79" i="1"/>
  <c r="X79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9" i="1"/>
  <c r="X89" i="1" s="1"/>
  <c r="W93" i="1"/>
  <c r="X93" i="1" s="1"/>
  <c r="W94" i="1"/>
  <c r="X94" i="1" s="1"/>
  <c r="W96" i="1"/>
  <c r="X96" i="1" s="1"/>
  <c r="W98" i="1"/>
  <c r="X98" i="1" s="1"/>
  <c r="W99" i="1"/>
  <c r="X99" i="1" s="1"/>
  <c r="W100" i="1"/>
  <c r="X100" i="1" s="1"/>
  <c r="W102" i="1"/>
  <c r="X102" i="1" s="1"/>
  <c r="W103" i="1"/>
  <c r="X103" i="1" s="1"/>
  <c r="W104" i="1"/>
  <c r="X104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20" i="1"/>
  <c r="X120" i="1" s="1"/>
  <c r="W126" i="1"/>
  <c r="X126" i="1" s="1"/>
  <c r="AN126" i="1" s="1"/>
  <c r="W128" i="1"/>
  <c r="X128" i="1" s="1"/>
  <c r="W129" i="1"/>
  <c r="X129" i="1" s="1"/>
  <c r="W131" i="1"/>
  <c r="X131" i="1" s="1"/>
  <c r="W132" i="1"/>
  <c r="X132" i="1" s="1"/>
  <c r="W133" i="1"/>
  <c r="X133" i="1" s="1"/>
  <c r="W134" i="1"/>
  <c r="X134" i="1" s="1"/>
  <c r="AN133" i="1" l="1"/>
  <c r="AN131" i="1"/>
  <c r="AN128" i="1"/>
  <c r="AN120" i="1"/>
  <c r="AN116" i="1"/>
  <c r="AN114" i="1"/>
  <c r="AN112" i="1"/>
  <c r="AN110" i="1"/>
  <c r="AN108" i="1"/>
  <c r="AN104" i="1"/>
  <c r="AN102" i="1"/>
  <c r="AN99" i="1"/>
  <c r="AN96" i="1"/>
  <c r="AN93" i="1"/>
  <c r="AN86" i="1"/>
  <c r="AN84" i="1"/>
  <c r="AN82" i="1"/>
  <c r="AN79" i="1"/>
  <c r="AN77" i="1"/>
  <c r="AN73" i="1"/>
  <c r="AN70" i="1"/>
  <c r="AN68" i="1"/>
  <c r="AN65" i="1"/>
  <c r="AN60" i="1"/>
  <c r="AN56" i="1"/>
  <c r="AN54" i="1"/>
  <c r="AN50" i="1"/>
  <c r="AN47" i="1"/>
  <c r="AN42" i="1"/>
  <c r="AN39" i="1"/>
  <c r="AN37" i="1"/>
  <c r="AN34" i="1"/>
  <c r="AN29" i="1"/>
  <c r="AN27" i="1"/>
  <c r="AN25" i="1"/>
  <c r="AN23" i="1"/>
  <c r="AN21" i="1"/>
  <c r="AN18" i="1"/>
  <c r="AN9" i="1"/>
  <c r="AN134" i="1"/>
  <c r="AN132" i="1"/>
  <c r="AN129" i="1"/>
  <c r="AN117" i="1"/>
  <c r="AN115" i="1"/>
  <c r="AN113" i="1"/>
  <c r="AN111" i="1"/>
  <c r="AN109" i="1"/>
  <c r="AN107" i="1"/>
  <c r="AN103" i="1"/>
  <c r="AN100" i="1"/>
  <c r="AN98" i="1"/>
  <c r="AN94" i="1"/>
  <c r="AN89" i="1"/>
  <c r="AN85" i="1"/>
  <c r="AN83" i="1"/>
  <c r="AN81" i="1"/>
  <c r="AN78" i="1"/>
  <c r="AN74" i="1"/>
  <c r="AN69" i="1"/>
  <c r="AN67" i="1"/>
  <c r="AN63" i="1"/>
  <c r="AN57" i="1"/>
  <c r="AN55" i="1"/>
  <c r="AN52" i="1"/>
  <c r="AN46" i="1"/>
  <c r="AN43" i="1"/>
  <c r="AN40" i="1"/>
  <c r="AN38" i="1"/>
  <c r="AN36" i="1"/>
  <c r="AN28" i="1"/>
  <c r="AN26" i="1"/>
  <c r="AN24" i="1"/>
  <c r="AN19" i="1"/>
  <c r="AN12" i="1"/>
  <c r="AN44" i="1"/>
  <c r="AN30" i="1"/>
  <c r="AN22" i="1"/>
  <c r="U134" i="1"/>
  <c r="AA134" i="1" s="1"/>
  <c r="L134" i="1"/>
  <c r="U133" i="1"/>
  <c r="AA133" i="1" s="1"/>
  <c r="L133" i="1"/>
  <c r="U132" i="1"/>
  <c r="AA132" i="1" s="1"/>
  <c r="L132" i="1"/>
  <c r="U131" i="1"/>
  <c r="AA131" i="1" s="1"/>
  <c r="L131" i="1"/>
  <c r="U130" i="1"/>
  <c r="L130" i="1"/>
  <c r="U129" i="1"/>
  <c r="AA129" i="1" s="1"/>
  <c r="L129" i="1"/>
  <c r="U128" i="1"/>
  <c r="AA128" i="1" s="1"/>
  <c r="L128" i="1"/>
  <c r="U127" i="1"/>
  <c r="AB127" i="1" s="1"/>
  <c r="L127" i="1"/>
  <c r="U126" i="1"/>
  <c r="L126" i="1"/>
  <c r="F126" i="1"/>
  <c r="AA126" i="1" s="1"/>
  <c r="U125" i="1"/>
  <c r="V125" i="1" s="1"/>
  <c r="W125" i="1" s="1"/>
  <c r="L125" i="1"/>
  <c r="U124" i="1"/>
  <c r="L124" i="1"/>
  <c r="U123" i="1"/>
  <c r="V123" i="1" s="1"/>
  <c r="W123" i="1" s="1"/>
  <c r="Z123" i="1" s="1"/>
  <c r="AO123" i="1" s="1"/>
  <c r="L123" i="1"/>
  <c r="U122" i="1"/>
  <c r="L122" i="1"/>
  <c r="U121" i="1"/>
  <c r="V121" i="1" s="1"/>
  <c r="W121" i="1" s="1"/>
  <c r="Z121" i="1" s="1"/>
  <c r="AO121" i="1" s="1"/>
  <c r="L121" i="1"/>
  <c r="U120" i="1"/>
  <c r="AA120" i="1" s="1"/>
  <c r="L120" i="1"/>
  <c r="U119" i="1"/>
  <c r="V119" i="1" s="1"/>
  <c r="W119" i="1" s="1"/>
  <c r="L119" i="1"/>
  <c r="U118" i="1"/>
  <c r="V118" i="1" s="1"/>
  <c r="W118" i="1" s="1"/>
  <c r="L118" i="1"/>
  <c r="U117" i="1"/>
  <c r="AA117" i="1" s="1"/>
  <c r="L117" i="1"/>
  <c r="U116" i="1"/>
  <c r="AA116" i="1" s="1"/>
  <c r="L116" i="1"/>
  <c r="U115" i="1"/>
  <c r="AA115" i="1" s="1"/>
  <c r="L115" i="1"/>
  <c r="U114" i="1"/>
  <c r="AA114" i="1" s="1"/>
  <c r="L114" i="1"/>
  <c r="U113" i="1"/>
  <c r="AA113" i="1" s="1"/>
  <c r="L113" i="1"/>
  <c r="U112" i="1"/>
  <c r="AA112" i="1" s="1"/>
  <c r="L112" i="1"/>
  <c r="U111" i="1"/>
  <c r="AA111" i="1" s="1"/>
  <c r="L111" i="1"/>
  <c r="U110" i="1"/>
  <c r="AA110" i="1" s="1"/>
  <c r="L110" i="1"/>
  <c r="U109" i="1"/>
  <c r="AA109" i="1" s="1"/>
  <c r="L109" i="1"/>
  <c r="U108" i="1"/>
  <c r="AA108" i="1" s="1"/>
  <c r="L108" i="1"/>
  <c r="U107" i="1"/>
  <c r="AA107" i="1" s="1"/>
  <c r="L107" i="1"/>
  <c r="U106" i="1"/>
  <c r="L106" i="1"/>
  <c r="U105" i="1"/>
  <c r="L105" i="1"/>
  <c r="U104" i="1"/>
  <c r="AA104" i="1" s="1"/>
  <c r="L104" i="1"/>
  <c r="U103" i="1"/>
  <c r="AA103" i="1" s="1"/>
  <c r="L103" i="1"/>
  <c r="U102" i="1"/>
  <c r="AA102" i="1" s="1"/>
  <c r="L102" i="1"/>
  <c r="U101" i="1"/>
  <c r="V101" i="1" s="1"/>
  <c r="W101" i="1" s="1"/>
  <c r="Z101" i="1" s="1"/>
  <c r="AO101" i="1" s="1"/>
  <c r="L101" i="1"/>
  <c r="U100" i="1"/>
  <c r="AA100" i="1" s="1"/>
  <c r="L100" i="1"/>
  <c r="U99" i="1"/>
  <c r="AA99" i="1" s="1"/>
  <c r="L99" i="1"/>
  <c r="U98" i="1"/>
  <c r="AA98" i="1" s="1"/>
  <c r="L98" i="1"/>
  <c r="U97" i="1"/>
  <c r="V97" i="1" s="1"/>
  <c r="W97" i="1" s="1"/>
  <c r="L97" i="1"/>
  <c r="U96" i="1"/>
  <c r="AA96" i="1" s="1"/>
  <c r="L96" i="1"/>
  <c r="U95" i="1"/>
  <c r="V95" i="1" s="1"/>
  <c r="W95" i="1" s="1"/>
  <c r="Z95" i="1" s="1"/>
  <c r="AO95" i="1" s="1"/>
  <c r="L95" i="1"/>
  <c r="U94" i="1"/>
  <c r="AA94" i="1" s="1"/>
  <c r="L94" i="1"/>
  <c r="U93" i="1"/>
  <c r="AA93" i="1" s="1"/>
  <c r="L93" i="1"/>
  <c r="U92" i="1"/>
  <c r="L92" i="1"/>
  <c r="U91" i="1"/>
  <c r="L91" i="1"/>
  <c r="U90" i="1"/>
  <c r="V90" i="1" s="1"/>
  <c r="W90" i="1" s="1"/>
  <c r="Z90" i="1" s="1"/>
  <c r="AO90" i="1" s="1"/>
  <c r="L90" i="1"/>
  <c r="U89" i="1"/>
  <c r="AA89" i="1" s="1"/>
  <c r="L89" i="1"/>
  <c r="U88" i="1"/>
  <c r="L88" i="1"/>
  <c r="U87" i="1"/>
  <c r="L87" i="1"/>
  <c r="U86" i="1"/>
  <c r="AA86" i="1" s="1"/>
  <c r="L86" i="1"/>
  <c r="U85" i="1"/>
  <c r="AA85" i="1" s="1"/>
  <c r="L85" i="1"/>
  <c r="U84" i="1"/>
  <c r="AA84" i="1" s="1"/>
  <c r="L84" i="1"/>
  <c r="U83" i="1"/>
  <c r="AA83" i="1" s="1"/>
  <c r="L83" i="1"/>
  <c r="U82" i="1"/>
  <c r="AA82" i="1" s="1"/>
  <c r="L82" i="1"/>
  <c r="U81" i="1"/>
  <c r="AA81" i="1" s="1"/>
  <c r="L81" i="1"/>
  <c r="U80" i="1"/>
  <c r="L80" i="1"/>
  <c r="U79" i="1"/>
  <c r="AA79" i="1" s="1"/>
  <c r="L79" i="1"/>
  <c r="U78" i="1"/>
  <c r="AA78" i="1" s="1"/>
  <c r="L78" i="1"/>
  <c r="U77" i="1"/>
  <c r="AA77" i="1" s="1"/>
  <c r="L77" i="1"/>
  <c r="U76" i="1"/>
  <c r="L76" i="1"/>
  <c r="U75" i="1"/>
  <c r="L75" i="1"/>
  <c r="U74" i="1"/>
  <c r="AA74" i="1" s="1"/>
  <c r="L74" i="1"/>
  <c r="U73" i="1"/>
  <c r="AA73" i="1" s="1"/>
  <c r="L73" i="1"/>
  <c r="U72" i="1"/>
  <c r="AA72" i="1" s="1"/>
  <c r="L72" i="1"/>
  <c r="U71" i="1"/>
  <c r="V71" i="1" s="1"/>
  <c r="W71" i="1" s="1"/>
  <c r="L71" i="1"/>
  <c r="U70" i="1"/>
  <c r="AA70" i="1" s="1"/>
  <c r="L70" i="1"/>
  <c r="U69" i="1"/>
  <c r="AA69" i="1" s="1"/>
  <c r="L69" i="1"/>
  <c r="U68" i="1"/>
  <c r="AA68" i="1" s="1"/>
  <c r="L68" i="1"/>
  <c r="U67" i="1"/>
  <c r="AA67" i="1" s="1"/>
  <c r="L67" i="1"/>
  <c r="U66" i="1"/>
  <c r="L66" i="1"/>
  <c r="U65" i="1"/>
  <c r="AA65" i="1" s="1"/>
  <c r="L65" i="1"/>
  <c r="U64" i="1"/>
  <c r="V64" i="1" s="1"/>
  <c r="W64" i="1" s="1"/>
  <c r="L64" i="1"/>
  <c r="U63" i="1"/>
  <c r="AA63" i="1" s="1"/>
  <c r="L63" i="1"/>
  <c r="U62" i="1"/>
  <c r="L62" i="1"/>
  <c r="U61" i="1"/>
  <c r="AA61" i="1" s="1"/>
  <c r="L61" i="1"/>
  <c r="U60" i="1"/>
  <c r="AA60" i="1" s="1"/>
  <c r="L60" i="1"/>
  <c r="U59" i="1"/>
  <c r="AA59" i="1" s="1"/>
  <c r="L59" i="1"/>
  <c r="F58" i="1"/>
  <c r="E58" i="1"/>
  <c r="L58" i="1" s="1"/>
  <c r="U57" i="1"/>
  <c r="AA57" i="1" s="1"/>
  <c r="L57" i="1"/>
  <c r="U56" i="1"/>
  <c r="AA56" i="1" s="1"/>
  <c r="L56" i="1"/>
  <c r="U55" i="1"/>
  <c r="AA55" i="1" s="1"/>
  <c r="L55" i="1"/>
  <c r="U54" i="1"/>
  <c r="AA54" i="1" s="1"/>
  <c r="L54" i="1"/>
  <c r="U53" i="1"/>
  <c r="L53" i="1"/>
  <c r="U52" i="1"/>
  <c r="AA52" i="1" s="1"/>
  <c r="L52" i="1"/>
  <c r="U51" i="1"/>
  <c r="L51" i="1"/>
  <c r="U50" i="1"/>
  <c r="AA50" i="1" s="1"/>
  <c r="L50" i="1"/>
  <c r="U49" i="1"/>
  <c r="AA49" i="1" s="1"/>
  <c r="L49" i="1"/>
  <c r="U48" i="1"/>
  <c r="L48" i="1"/>
  <c r="U47" i="1"/>
  <c r="AA47" i="1" s="1"/>
  <c r="L47" i="1"/>
  <c r="U46" i="1"/>
  <c r="AB46" i="1" s="1"/>
  <c r="L46" i="1"/>
  <c r="U45" i="1"/>
  <c r="L45" i="1"/>
  <c r="U44" i="1"/>
  <c r="AA44" i="1" s="1"/>
  <c r="L44" i="1"/>
  <c r="U43" i="1"/>
  <c r="AA43" i="1" s="1"/>
  <c r="L43" i="1"/>
  <c r="U42" i="1"/>
  <c r="AA42" i="1" s="1"/>
  <c r="L42" i="1"/>
  <c r="U41" i="1"/>
  <c r="L41" i="1"/>
  <c r="U40" i="1"/>
  <c r="AA40" i="1" s="1"/>
  <c r="L40" i="1"/>
  <c r="U39" i="1"/>
  <c r="AA39" i="1" s="1"/>
  <c r="L39" i="1"/>
  <c r="U38" i="1"/>
  <c r="AA38" i="1" s="1"/>
  <c r="L38" i="1"/>
  <c r="U37" i="1"/>
  <c r="AA37" i="1" s="1"/>
  <c r="L37" i="1"/>
  <c r="U36" i="1"/>
  <c r="AA36" i="1" s="1"/>
  <c r="L36" i="1"/>
  <c r="U35" i="1"/>
  <c r="L35" i="1"/>
  <c r="U34" i="1"/>
  <c r="AA34" i="1" s="1"/>
  <c r="L34" i="1"/>
  <c r="U33" i="1"/>
  <c r="L33" i="1"/>
  <c r="U32" i="1"/>
  <c r="L32" i="1"/>
  <c r="U31" i="1"/>
  <c r="L31" i="1"/>
  <c r="U30" i="1"/>
  <c r="AA30" i="1" s="1"/>
  <c r="L30" i="1"/>
  <c r="U29" i="1"/>
  <c r="AA29" i="1" s="1"/>
  <c r="L29" i="1"/>
  <c r="U28" i="1"/>
  <c r="AA28" i="1" s="1"/>
  <c r="L28" i="1"/>
  <c r="U27" i="1"/>
  <c r="AA27" i="1" s="1"/>
  <c r="L27" i="1"/>
  <c r="U26" i="1"/>
  <c r="AB26" i="1" s="1"/>
  <c r="L26" i="1"/>
  <c r="U25" i="1"/>
  <c r="AA25" i="1" s="1"/>
  <c r="L25" i="1"/>
  <c r="U24" i="1"/>
  <c r="AA24" i="1" s="1"/>
  <c r="L24" i="1"/>
  <c r="U23" i="1"/>
  <c r="AA23" i="1" s="1"/>
  <c r="L23" i="1"/>
  <c r="U22" i="1"/>
  <c r="AA22" i="1" s="1"/>
  <c r="L22" i="1"/>
  <c r="U21" i="1"/>
  <c r="AA21" i="1" s="1"/>
  <c r="L21" i="1"/>
  <c r="U20" i="1"/>
  <c r="V20" i="1" s="1"/>
  <c r="W20" i="1" s="1"/>
  <c r="X20" i="1" s="1"/>
  <c r="L20" i="1"/>
  <c r="U19" i="1"/>
  <c r="AA19" i="1" s="1"/>
  <c r="L19" i="1"/>
  <c r="U18" i="1"/>
  <c r="AB18" i="1" s="1"/>
  <c r="L18" i="1"/>
  <c r="U17" i="1"/>
  <c r="L17" i="1"/>
  <c r="U16" i="1"/>
  <c r="V16" i="1" s="1"/>
  <c r="W16" i="1" s="1"/>
  <c r="L16" i="1"/>
  <c r="U15" i="1"/>
  <c r="AA15" i="1" s="1"/>
  <c r="L15" i="1"/>
  <c r="U14" i="1"/>
  <c r="AB14" i="1" s="1"/>
  <c r="L14" i="1"/>
  <c r="U13" i="1"/>
  <c r="L13" i="1"/>
  <c r="U12" i="1"/>
  <c r="AB12" i="1" s="1"/>
  <c r="L12" i="1"/>
  <c r="U11" i="1"/>
  <c r="V11" i="1" s="1"/>
  <c r="W11" i="1" s="1"/>
  <c r="Z11" i="1" s="1"/>
  <c r="L11" i="1"/>
  <c r="U10" i="1"/>
  <c r="L10" i="1"/>
  <c r="U9" i="1"/>
  <c r="AA9" i="1" s="1"/>
  <c r="L9" i="1"/>
  <c r="U8" i="1"/>
  <c r="AA8" i="1" s="1"/>
  <c r="L8" i="1"/>
  <c r="U7" i="1"/>
  <c r="AA7" i="1" s="1"/>
  <c r="L7" i="1"/>
  <c r="U6" i="1"/>
  <c r="L6" i="1"/>
  <c r="AL5" i="1"/>
  <c r="AK5" i="1"/>
  <c r="AJ5" i="1"/>
  <c r="AI5" i="1"/>
  <c r="AH5" i="1"/>
  <c r="AG5" i="1"/>
  <c r="AF5" i="1"/>
  <c r="AE5" i="1"/>
  <c r="AD5" i="1"/>
  <c r="AC5" i="1"/>
  <c r="R5" i="1"/>
  <c r="Q5" i="1"/>
  <c r="P5" i="1"/>
  <c r="O5" i="1"/>
  <c r="N5" i="1"/>
  <c r="M5" i="1"/>
  <c r="K5" i="1"/>
  <c r="AO11" i="1" l="1"/>
  <c r="AA11" i="1"/>
  <c r="AN20" i="1"/>
  <c r="AA20" i="1"/>
  <c r="AA46" i="1"/>
  <c r="AA18" i="1"/>
  <c r="AA12" i="1"/>
  <c r="AA26" i="1"/>
  <c r="AO16" i="1"/>
  <c r="AN11" i="1"/>
  <c r="AB54" i="1"/>
  <c r="AB56" i="1"/>
  <c r="X64" i="1"/>
  <c r="X71" i="1"/>
  <c r="AB73" i="1"/>
  <c r="X90" i="1"/>
  <c r="AB93" i="1"/>
  <c r="AB94" i="1"/>
  <c r="X95" i="1"/>
  <c r="AB96" i="1"/>
  <c r="X97" i="1"/>
  <c r="AB98" i="1"/>
  <c r="X101" i="1"/>
  <c r="AB102" i="1"/>
  <c r="AB103" i="1"/>
  <c r="AB104" i="1"/>
  <c r="AB107" i="1"/>
  <c r="AB108" i="1"/>
  <c r="AB109" i="1"/>
  <c r="AB110" i="1"/>
  <c r="AB114" i="1"/>
  <c r="AB116" i="1"/>
  <c r="AB117" i="1"/>
  <c r="X118" i="1"/>
  <c r="X119" i="1"/>
  <c r="X121" i="1"/>
  <c r="X123" i="1"/>
  <c r="X125" i="1"/>
  <c r="AB129" i="1"/>
  <c r="AB131" i="1"/>
  <c r="AB133" i="1"/>
  <c r="AB134" i="1"/>
  <c r="F5" i="1"/>
  <c r="AB20" i="1"/>
  <c r="AB16" i="1"/>
  <c r="AB97" i="1"/>
  <c r="AB111" i="1"/>
  <c r="AB52" i="1"/>
  <c r="AB95" i="1"/>
  <c r="AB99" i="1"/>
  <c r="AB6" i="1"/>
  <c r="V6" i="1"/>
  <c r="W6" i="1" s="1"/>
  <c r="AB10" i="1"/>
  <c r="V10" i="1"/>
  <c r="W10" i="1" s="1"/>
  <c r="Z10" i="1" s="1"/>
  <c r="AA10" i="1" s="1"/>
  <c r="AB25" i="1"/>
  <c r="AB29" i="1"/>
  <c r="V32" i="1"/>
  <c r="W32" i="1" s="1"/>
  <c r="Z32" i="1" s="1"/>
  <c r="AO32" i="1" s="1"/>
  <c r="AB40" i="1"/>
  <c r="AB47" i="1"/>
  <c r="AB8" i="1"/>
  <c r="AB23" i="1"/>
  <c r="AB31" i="1"/>
  <c r="V31" i="1"/>
  <c r="W31" i="1" s="1"/>
  <c r="V35" i="1"/>
  <c r="W35" i="1" s="1"/>
  <c r="AB38" i="1"/>
  <c r="V41" i="1"/>
  <c r="W41" i="1" s="1"/>
  <c r="Z41" i="1" s="1"/>
  <c r="AO41" i="1" s="1"/>
  <c r="V48" i="1"/>
  <c r="W48" i="1" s="1"/>
  <c r="AB59" i="1"/>
  <c r="V59" i="1"/>
  <c r="W59" i="1" s="1"/>
  <c r="AB65" i="1"/>
  <c r="AB67" i="1"/>
  <c r="AB74" i="1"/>
  <c r="AB76" i="1"/>
  <c r="V76" i="1"/>
  <c r="W76" i="1" s="1"/>
  <c r="AB78" i="1"/>
  <c r="AB81" i="1"/>
  <c r="AB88" i="1"/>
  <c r="V88" i="1"/>
  <c r="W88" i="1" s="1"/>
  <c r="Z88" i="1" s="1"/>
  <c r="AO88" i="1" s="1"/>
  <c r="AB91" i="1"/>
  <c r="V91" i="1"/>
  <c r="W91" i="1" s="1"/>
  <c r="AO91" i="1" s="1"/>
  <c r="AB105" i="1"/>
  <c r="V105" i="1"/>
  <c r="W105" i="1" s="1"/>
  <c r="Z105" i="1" s="1"/>
  <c r="AO105" i="1" s="1"/>
  <c r="AB119" i="1"/>
  <c r="AB124" i="1"/>
  <c r="V124" i="1"/>
  <c r="W124" i="1" s="1"/>
  <c r="Z124" i="1" s="1"/>
  <c r="E5" i="1"/>
  <c r="AB13" i="1"/>
  <c r="V13" i="1"/>
  <c r="W13" i="1" s="1"/>
  <c r="AB15" i="1"/>
  <c r="V15" i="1"/>
  <c r="W15" i="1" s="1"/>
  <c r="AB17" i="1"/>
  <c r="V17" i="1"/>
  <c r="W17" i="1" s="1"/>
  <c r="Z17" i="1" s="1"/>
  <c r="AO17" i="1" s="1"/>
  <c r="AB19" i="1"/>
  <c r="AB21" i="1"/>
  <c r="AB27" i="1"/>
  <c r="AB33" i="1"/>
  <c r="V33" i="1"/>
  <c r="W33" i="1" s="1"/>
  <c r="AB36" i="1"/>
  <c r="AB42" i="1"/>
  <c r="AB44" i="1"/>
  <c r="AB49" i="1"/>
  <c r="AB51" i="1"/>
  <c r="V51" i="1"/>
  <c r="W51" i="1" s="1"/>
  <c r="Z51" i="1" s="1"/>
  <c r="AO51" i="1" s="1"/>
  <c r="AB53" i="1"/>
  <c r="V53" i="1"/>
  <c r="W53" i="1" s="1"/>
  <c r="AB55" i="1"/>
  <c r="AB57" i="1"/>
  <c r="AB61" i="1"/>
  <c r="V61" i="1"/>
  <c r="W61" i="1" s="1"/>
  <c r="AB63" i="1"/>
  <c r="AB69" i="1"/>
  <c r="AB71" i="1"/>
  <c r="AB75" i="1"/>
  <c r="AB77" i="1"/>
  <c r="AB79" i="1"/>
  <c r="AB83" i="1"/>
  <c r="AB87" i="1"/>
  <c r="AB89" i="1"/>
  <c r="AB122" i="1"/>
  <c r="V122" i="1"/>
  <c r="W122" i="1" s="1"/>
  <c r="Z122" i="1" s="1"/>
  <c r="AO122" i="1" s="1"/>
  <c r="V130" i="1"/>
  <c r="W130" i="1" s="1"/>
  <c r="V14" i="1"/>
  <c r="W14" i="1" s="1"/>
  <c r="V45" i="1"/>
  <c r="W45" i="1" s="1"/>
  <c r="Z45" i="1" s="1"/>
  <c r="AO45" i="1" s="1"/>
  <c r="V62" i="1"/>
  <c r="W62" i="1" s="1"/>
  <c r="V66" i="1"/>
  <c r="W66" i="1" s="1"/>
  <c r="Z66" i="1" s="1"/>
  <c r="AO66" i="1" s="1"/>
  <c r="V75" i="1"/>
  <c r="W75" i="1" s="1"/>
  <c r="V80" i="1"/>
  <c r="W80" i="1" s="1"/>
  <c r="Z80" i="1" s="1"/>
  <c r="AO80" i="1" s="1"/>
  <c r="V87" i="1"/>
  <c r="W87" i="1" s="1"/>
  <c r="V92" i="1"/>
  <c r="W92" i="1" s="1"/>
  <c r="AO92" i="1" s="1"/>
  <c r="V106" i="1"/>
  <c r="W106" i="1" s="1"/>
  <c r="V127" i="1"/>
  <c r="W127" i="1" s="1"/>
  <c r="L5" i="1"/>
  <c r="U58" i="1"/>
  <c r="V58" i="1" s="1"/>
  <c r="W58" i="1" s="1"/>
  <c r="AB85" i="1"/>
  <c r="AB101" i="1"/>
  <c r="AB113" i="1"/>
  <c r="AB115" i="1"/>
  <c r="AB121" i="1"/>
  <c r="AB123" i="1"/>
  <c r="AB125" i="1"/>
  <c r="AB7" i="1"/>
  <c r="AB9" i="1"/>
  <c r="AB11" i="1"/>
  <c r="AB22" i="1"/>
  <c r="AB24" i="1"/>
  <c r="AB28" i="1"/>
  <c r="AB30" i="1"/>
  <c r="AB32" i="1"/>
  <c r="AB34" i="1"/>
  <c r="AB35" i="1"/>
  <c r="AB37" i="1"/>
  <c r="AB39" i="1"/>
  <c r="AB41" i="1"/>
  <c r="AB43" i="1"/>
  <c r="AB45" i="1"/>
  <c r="AB48" i="1"/>
  <c r="AB50" i="1"/>
  <c r="AB60" i="1"/>
  <c r="AB62" i="1"/>
  <c r="AB64" i="1"/>
  <c r="AB66" i="1"/>
  <c r="AB68" i="1"/>
  <c r="AB70" i="1"/>
  <c r="AB72" i="1"/>
  <c r="AB80" i="1"/>
  <c r="AB82" i="1"/>
  <c r="AB84" i="1"/>
  <c r="AB86" i="1"/>
  <c r="AB90" i="1"/>
  <c r="AB92" i="1"/>
  <c r="AB100" i="1"/>
  <c r="AB106" i="1"/>
  <c r="AB112" i="1"/>
  <c r="AB118" i="1"/>
  <c r="AB120" i="1"/>
  <c r="AB126" i="1"/>
  <c r="AB128" i="1"/>
  <c r="AB130" i="1"/>
  <c r="AB132" i="1"/>
  <c r="AO124" i="1" l="1"/>
  <c r="AA124" i="1"/>
  <c r="AN123" i="1"/>
  <c r="AA123" i="1"/>
  <c r="AN119" i="1"/>
  <c r="AA119" i="1"/>
  <c r="AN101" i="1"/>
  <c r="AA101" i="1"/>
  <c r="AN97" i="1"/>
  <c r="AA97" i="1"/>
  <c r="AN95" i="1"/>
  <c r="AA95" i="1"/>
  <c r="AN64" i="1"/>
  <c r="AA64" i="1"/>
  <c r="AN125" i="1"/>
  <c r="AA125" i="1"/>
  <c r="AN121" i="1"/>
  <c r="AA121" i="1"/>
  <c r="AN118" i="1"/>
  <c r="AA118" i="1"/>
  <c r="AN90" i="1"/>
  <c r="AA90" i="1"/>
  <c r="AN71" i="1"/>
  <c r="AA71" i="1"/>
  <c r="AA58" i="1"/>
  <c r="AN58" i="1"/>
  <c r="AO10" i="1"/>
  <c r="Z5" i="1"/>
  <c r="X127" i="1"/>
  <c r="X92" i="1"/>
  <c r="X80" i="1"/>
  <c r="X66" i="1"/>
  <c r="X45" i="1"/>
  <c r="X130" i="1"/>
  <c r="AN61" i="1"/>
  <c r="X53" i="1"/>
  <c r="X51" i="1"/>
  <c r="X33" i="1"/>
  <c r="AN124" i="1"/>
  <c r="AN59" i="1"/>
  <c r="X48" i="1"/>
  <c r="X31" i="1"/>
  <c r="X32" i="1"/>
  <c r="X106" i="1"/>
  <c r="X87" i="1"/>
  <c r="X75" i="1"/>
  <c r="X62" i="1"/>
  <c r="X14" i="1"/>
  <c r="X122" i="1"/>
  <c r="X17" i="1"/>
  <c r="AN15" i="1"/>
  <c r="X13" i="1"/>
  <c r="X105" i="1"/>
  <c r="X91" i="1"/>
  <c r="X88" i="1"/>
  <c r="X76" i="1"/>
  <c r="X41" i="1"/>
  <c r="X35" i="1"/>
  <c r="AN10" i="1"/>
  <c r="X6" i="1"/>
  <c r="AA6" i="1" s="1"/>
  <c r="W5" i="1"/>
  <c r="AB58" i="1"/>
  <c r="U5" i="1"/>
  <c r="V5" i="1"/>
  <c r="AN35" i="1" l="1"/>
  <c r="AA35" i="1"/>
  <c r="AN76" i="1"/>
  <c r="AA76" i="1"/>
  <c r="AN13" i="1"/>
  <c r="AA13" i="1"/>
  <c r="AN17" i="1"/>
  <c r="AA17" i="1"/>
  <c r="AN14" i="1"/>
  <c r="AA14" i="1"/>
  <c r="AN75" i="1"/>
  <c r="AA75" i="1"/>
  <c r="AN106" i="1"/>
  <c r="AA106" i="1"/>
  <c r="AN31" i="1"/>
  <c r="AA31" i="1"/>
  <c r="AN33" i="1"/>
  <c r="AA33" i="1"/>
  <c r="AN53" i="1"/>
  <c r="AA53" i="1"/>
  <c r="AN130" i="1"/>
  <c r="AA130" i="1"/>
  <c r="AN66" i="1"/>
  <c r="AA66" i="1"/>
  <c r="AN41" i="1"/>
  <c r="AA41" i="1"/>
  <c r="AN88" i="1"/>
  <c r="AA88" i="1"/>
  <c r="AN105" i="1"/>
  <c r="AA105" i="1"/>
  <c r="AN122" i="1"/>
  <c r="AA122" i="1"/>
  <c r="AN62" i="1"/>
  <c r="AA62" i="1"/>
  <c r="AN87" i="1"/>
  <c r="AA87" i="1"/>
  <c r="AN32" i="1"/>
  <c r="AA32" i="1"/>
  <c r="AN48" i="1"/>
  <c r="AA48" i="1"/>
  <c r="AN51" i="1"/>
  <c r="AA51" i="1"/>
  <c r="AN45" i="1"/>
  <c r="AA45" i="1"/>
  <c r="AN80" i="1"/>
  <c r="AA80" i="1"/>
  <c r="AN127" i="1"/>
  <c r="AA127" i="1"/>
  <c r="AO5" i="1"/>
  <c r="AN91" i="1"/>
  <c r="AA91" i="1"/>
  <c r="AN92" i="1"/>
  <c r="AA92" i="1"/>
  <c r="AN16" i="1"/>
  <c r="AA16" i="1"/>
  <c r="AN6" i="1"/>
  <c r="X5" i="1"/>
  <c r="AN5" i="1" l="1"/>
</calcChain>
</file>

<file path=xl/sharedStrings.xml><?xml version="1.0" encoding="utf-8"?>
<sst xmlns="http://schemas.openxmlformats.org/spreadsheetml/2006/main" count="811" uniqueCount="371">
  <si>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</si>
  <si>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</si>
  <si>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</si>
  <si>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</si>
  <si>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</si>
  <si>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</si>
  <si>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</si>
  <si>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</si>
  <si>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</si>
  <si>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</si>
  <si>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</si>
  <si>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</si>
  <si>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</si>
  <si>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</si>
  <si>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</si>
  <si>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</si>
  <si>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</si>
  <si>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</si>
  <si>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</si>
  <si>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</si>
  <si>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</si>
  <si>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</si>
  <si>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</si>
  <si>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07,09,недогр</t>
  </si>
  <si>
    <t>07,09,доз</t>
  </si>
  <si>
    <t>12,09,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</si>
  <si>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</si>
  <si>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</si>
  <si>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</si>
  <si>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</si>
  <si>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</si>
  <si>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</si>
  <si>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</si>
  <si>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</si>
  <si>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</si>
  <si>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</si>
  <si>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</si>
  <si>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</si>
  <si>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</si>
  <si>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</si>
  <si>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</si>
  <si>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</si>
  <si>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</si>
  <si>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</si>
  <si>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</si>
  <si>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</si>
  <si>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</si>
  <si>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</si>
  <si>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</si>
  <si>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</si>
  <si>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</si>
  <si>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</si>
  <si>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</si>
  <si>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</si>
  <si>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</si>
  <si>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</si>
  <si>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</si>
  <si>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</si>
  <si>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</si>
  <si>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</si>
  <si>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</si>
  <si>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</si>
  <si>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</si>
  <si>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</si>
  <si>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</si>
  <si>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</si>
  <si>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</si>
  <si>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</si>
  <si>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</si>
  <si>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</si>
  <si>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</si>
  <si>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</si>
  <si>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</si>
  <si>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</si>
  <si>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</si>
  <si>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</si>
  <si>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</si>
  <si>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</si>
  <si>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</si>
  <si>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</si>
  <si>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</si>
  <si>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</si>
  <si>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</si>
  <si>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</si>
  <si>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</si>
  <si>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</si>
  <si>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</si>
  <si>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</si>
  <si>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</si>
  <si>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</si>
  <si>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</si>
  <si>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</si>
  <si>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продажи!!!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</si>
  <si>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</si>
  <si>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</si>
  <si>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</si>
  <si>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</si>
  <si>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</si>
  <si>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</si>
  <si>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</si>
  <si>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>нужно увеличить продажи / ПРОМО сентябрь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</si>
  <si>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</si>
  <si>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</si>
  <si>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</si>
  <si>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</si>
  <si>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</si>
  <si>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</si>
  <si>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</si>
  <si>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задача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</si>
  <si>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</si>
  <si>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</si>
  <si>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</si>
  <si>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</si>
  <si>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</si>
  <si>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</si>
  <si>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</si>
  <si>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</si>
  <si>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</si>
  <si>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</si>
  <si>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</si>
  <si>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</si>
  <si>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</si>
  <si>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</si>
  <si>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</si>
  <si>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</si>
  <si>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</si>
  <si>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</si>
  <si>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</si>
  <si>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</si>
  <si>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</si>
  <si>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</si>
  <si>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</si>
  <si>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</si>
  <si>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</si>
  <si>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</si>
  <si>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</si>
  <si>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</si>
  <si>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</si>
  <si>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</si>
  <si>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</si>
  <si>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</si>
  <si>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</si>
  <si>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</si>
  <si>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</si>
  <si>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</si>
  <si>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</si>
  <si>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</si>
  <si>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</si>
  <si>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</si>
  <si>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</si>
  <si>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</si>
  <si>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</si>
  <si>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</si>
  <si>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</si>
  <si>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</si>
  <si>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</si>
  <si>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</si>
  <si>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</si>
  <si>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</si>
  <si>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</si>
  <si>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</si>
  <si>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</si>
  <si>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</si>
  <si>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</si>
  <si>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</si>
  <si>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</si>
  <si>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</si>
  <si>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</si>
  <si>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</si>
  <si>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</si>
  <si>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</si>
  <si>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</si>
  <si>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</si>
  <si>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</si>
  <si>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</si>
  <si>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</si>
  <si>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</si>
  <si>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</si>
  <si>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</si>
  <si>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</si>
  <si>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</si>
  <si>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</si>
  <si>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</si>
  <si>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заказ</t>
  </si>
  <si>
    <t>итого</t>
  </si>
  <si>
    <t>14,09,</t>
  </si>
  <si>
    <t>15,09,</t>
  </si>
  <si>
    <t>%</t>
  </si>
  <si>
    <t>12,09,доз</t>
  </si>
  <si>
    <t>12,09,недогр</t>
  </si>
  <si>
    <t>SU000126</t>
  </si>
  <si>
    <t>Ветчины Нежная Особая Особая Весовые П/а Особый рецепт большой батон</t>
  </si>
  <si>
    <t>SU000227</t>
  </si>
  <si>
    <t>Сардельки «Стародворские с говядиной» Весовые NDX ТМ «Стародворье»</t>
  </si>
  <si>
    <t>SU000722</t>
  </si>
  <si>
    <t>Вареные колбасы Докторская ГОСТ Вязанка Весовые Вектор Вязанка</t>
  </si>
  <si>
    <t>SU001430</t>
  </si>
  <si>
    <t>Сардельки «Шпикачки Стародворские» Весовой NDX ТМ «Стародворье»</t>
  </si>
  <si>
    <t>SU001485</t>
  </si>
  <si>
    <t>Вареные колбасы Докторская ГОСТ Вязанка Фикс.вес 0,4 Вектор Вязанка</t>
  </si>
  <si>
    <t>SU001523</t>
  </si>
  <si>
    <t>Сосиски «Вязанка Молочные» Весовой п/а ТМ «Вязанка»</t>
  </si>
  <si>
    <t>SU001718</t>
  </si>
  <si>
    <t>Сосиски «Вязанка Молочные» Фикс.вес 0,45 п/а ТМ «Вязанка»</t>
  </si>
  <si>
    <t>SU001720</t>
  </si>
  <si>
    <t>Сосиски «Вязанка Сливочные» Фикс.вес 0,45 п/а ТМ «Вязанка»</t>
  </si>
  <si>
    <t>SU001721</t>
  </si>
  <si>
    <t>Сосиски «Вязанка Сливочные» Весовой п/а ТМ «Вязанка»</t>
  </si>
  <si>
    <t>SU002010</t>
  </si>
  <si>
    <t>Вареные колбасы «Молочная Дугушка» Весовые Вектор ТМ «Дугушка»</t>
  </si>
  <si>
    <t>SU002011</t>
  </si>
  <si>
    <t>Вареные колбасы Докторская ГОСТ Дугушка Весовые Вектор Дугушка</t>
  </si>
  <si>
    <t>SU002035</t>
  </si>
  <si>
    <t>Ветчины Дугушка Дугушка Вес б/о Дугушка</t>
  </si>
  <si>
    <t>SU002074</t>
  </si>
  <si>
    <t>Сосиски «Молочные для завтрака» Весовой п/а ТМ «Особый рецепт»</t>
  </si>
  <si>
    <t>SU002151</t>
  </si>
  <si>
    <t>В/к колбасы «Сервелат Запеченный» Весовые Вектор ТМ «Дугушка»</t>
  </si>
  <si>
    <t>SU002182</t>
  </si>
  <si>
    <t>Вареные колбасы «Дугушка со шпиком» Весовой Вектор ТМ «Дугушка»</t>
  </si>
  <si>
    <t>SU002205</t>
  </si>
  <si>
    <t>Сосиски «Молочные для завтрака» Фикс.вес 0,4 П/а мгс ТМ «Особый рецепт»</t>
  </si>
  <si>
    <t>SU002252</t>
  </si>
  <si>
    <t>П/к колбасы Кракушка пряная с сальцем Бавария Фикс.вес 0,3 н/о в/у Стародворье</t>
  </si>
  <si>
    <t>SU002287</t>
  </si>
  <si>
    <t>Сардельки «Сочные» Весовой п/а ТМ «Особый рецепт»</t>
  </si>
  <si>
    <t>SU002367</t>
  </si>
  <si>
    <t>Сардельки «Сливушки» Фикс.вес 0,33 п/а ТМ «Вязанка»</t>
  </si>
  <si>
    <t>SU002368</t>
  </si>
  <si>
    <t>Паштеты Со сливочным маслом ГОСТ Бордо фикс.вес 0,1 Стародворье</t>
  </si>
  <si>
    <t>SU002614</t>
  </si>
  <si>
    <t>Копченые колбасы «Салями Филейбургская зернистая» Весовой фиброуз ТМ «Баварушка»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</si>
  <si>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</si>
  <si>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</si>
  <si>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</si>
  <si>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</si>
  <si>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SU002634</t>
  </si>
  <si>
    <t>Вареные колбасы «Дугушка Стародворская» Вес п/а ТМ «Дугушка»</t>
  </si>
  <si>
    <t>SU002655</t>
  </si>
  <si>
    <t>Сосиски «Датские» Весовой п/а ТМ «Зареченские продукты»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</si>
  <si>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</si>
  <si>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</si>
  <si>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SU002686</t>
  </si>
  <si>
    <t>Сосиски Сочинки с сыром Бордо ф/в 0,4 кг п/а Стародворье</t>
  </si>
  <si>
    <t>SU002725</t>
  </si>
  <si>
    <t>Сосиски «Сочинки» Весовой п/а ТМ «Стародворье»</t>
  </si>
  <si>
    <t>SU002756</t>
  </si>
  <si>
    <t>Колбаса Мясорубская ТМ Стародворье с рубленой грудинкой в оболочке фиброуз в вакуумной упаковке</t>
  </si>
  <si>
    <t>SU002758</t>
  </si>
  <si>
    <t>Сардельки «Сочинки» Фикс.вес 0,4 п/а ТМ «Стародворье»</t>
  </si>
  <si>
    <t>SU002759</t>
  </si>
  <si>
    <t>Сардельки «Сочинки с сыром» Фикс.вес 0,4 п/а ТМ «Стародворье»</t>
  </si>
  <si>
    <t>SU002801</t>
  </si>
  <si>
    <t>Сосиски «Сочинки по-баварски с сыром» Фикс.вес 0,4 П/а мгс ТМ «Стародворье»</t>
  </si>
  <si>
    <t>SU002830</t>
  </si>
  <si>
    <t>Вареные колбасы Молокуша Вязанка Вес п/а Вязанка</t>
  </si>
  <si>
    <t>SU002831</t>
  </si>
  <si>
    <t>Колбаса вареная Филейская ТМ Вязанка ТС Классическая полиамид ф/в 0,4 кг</t>
  </si>
  <si>
    <t>SU002835</t>
  </si>
  <si>
    <t>Сардельки «Филейские» Весовые н/о мгс ТМ «Вязанка»</t>
  </si>
  <si>
    <t>SU002840</t>
  </si>
  <si>
    <t>Паштеты «Печеночный с морковью ГОСТ» Фикс.вес 0,1 ТМ «Стародворье»</t>
  </si>
  <si>
    <t>SU002843</t>
  </si>
  <si>
    <t>Сосиски «Сочинки Молочные» Весовой п/а мгс ТМ «Стародворье»</t>
  </si>
  <si>
    <t>SU002844</t>
  </si>
  <si>
    <t>Сосиски «Сочинки Сливочные» Фикс.вес 0,4 п/а мгс ТМ «Стародворье»</t>
  </si>
  <si>
    <t>SU002845</t>
  </si>
  <si>
    <t>Сосиски «Сочинки Сливочные» Весовые ТМ «Стародворье» 1,35 кг</t>
  </si>
  <si>
    <t>SU002847</t>
  </si>
  <si>
    <t>В/к колбасы Сервелат Мясорубский с мелкорубленным окороком Бордо Весовой фиброуз Стародворье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</si>
  <si>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</si>
  <si>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</si>
  <si>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SU002918</t>
  </si>
  <si>
    <t>В/к колбасы «Сервелат Запеченный» Фикс.вес 0,6 вектор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</si>
  <si>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</si>
  <si>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</si>
  <si>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</si>
  <si>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</si>
  <si>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</si>
  <si>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</si>
  <si>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</si>
  <si>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</si>
  <si>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</si>
  <si>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</si>
  <si>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</si>
  <si>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</si>
  <si>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</si>
  <si>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</si>
  <si>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SU002984</t>
  </si>
  <si>
    <t>Сосиски Восточные халяль ТМ Вязанка полиамид в/у ф/в 0,33 кг Казахстан АК</t>
  </si>
  <si>
    <t>SU002985</t>
  </si>
  <si>
    <t>П/к колбасы «Аль-Ислами халяль» ф/в 0,35 фиброуз ТМ «Вязанка»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</si>
  <si>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</si>
  <si>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</si>
  <si>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</si>
  <si>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</si>
  <si>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SU003178</t>
  </si>
  <si>
    <t>Копченые колбасы «Сервелат Мясорубский» Фикс.вес 0,08 нарезка ТМ «Стародворье»</t>
  </si>
  <si>
    <t>SU003273</t>
  </si>
  <si>
    <t>Вареные колбасы «Молочная Стародворская с молоком» Весовой п/а ТМ «Стародворье»</t>
  </si>
  <si>
    <t>SU003420</t>
  </si>
  <si>
    <t>Вареные колбасы «Филейная» Весовой п/а ТМ «Особый рецепт» большой батон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</si>
  <si>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</si>
  <si>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</si>
  <si>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</si>
  <si>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</si>
  <si>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SU003829</t>
  </si>
  <si>
    <t>Копченые колбасы «Сервелат Мясорубский Делюкс» Фикс.вес 0,3 фиброуз ТМ «Стародворье»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</si>
  <si>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</si>
  <si>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</si>
  <si>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</si>
  <si>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</si>
  <si>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SU003921</t>
  </si>
  <si>
    <t>Деликатесы в/к «Грудинка копчено-вареная» Фикс.вес 0,12 нарезка ТМ «Стародворье»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</si>
  <si>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</si>
  <si>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</si>
  <si>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SU004039</t>
  </si>
  <si>
    <t>Копченые колбасы «Балыковая» Фикс.вес 0,28 фиброуз срез ТМ «Вязанка»</t>
  </si>
  <si>
    <t>SU004041</t>
  </si>
  <si>
    <t>Копченые колбасы «Балыковая»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</si>
  <si>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</si>
  <si>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</si>
  <si>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>SU004044</t>
  </si>
  <si>
    <t>Копченые колбасы «Сервелат Ореховый»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</si>
  <si>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</si>
  <si>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</si>
  <si>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SU004047</t>
  </si>
  <si>
    <t>Копченые колбасы «Сервелат Финский» Весовой фиброуз ТМ «Вязанка»</t>
  </si>
  <si>
    <t>SU004103</t>
  </si>
  <si>
    <t>Вареные колбасы «Молочная» Весовой п/а ТМ «Стародворье»</t>
  </si>
  <si>
    <t>SU004106</t>
  </si>
  <si>
    <t>Вареные колбасы «Со шпиком» Весовой п/а ТМ «Стародворье»</t>
  </si>
  <si>
    <t>SU004145</t>
  </si>
  <si>
    <t>Консервы «Индейка томленая в собственном соку» Фикс.вес 0,25 ТМ «Стародворье»</t>
  </si>
  <si>
    <t>SU004238</t>
  </si>
  <si>
    <t>Вареные колбасы «Докторская Классическая» Весовой п/а ТМ «Особый рецепт»</t>
  </si>
  <si>
    <t>SU000246</t>
  </si>
  <si>
    <t>Сосиски «Молочные оригинальные» Весовой п/а ТМ «Особый рецепт»</t>
  </si>
  <si>
    <t>SU001869</t>
  </si>
  <si>
    <t>С/к колбасы Швейцарская Бордо Фикс.вес 0,17 Фиброуз терм/п Стародворье</t>
  </si>
  <si>
    <t>SU002158</t>
  </si>
  <si>
    <t>В/к колбасы «Салями Запеченая» Весовые ТМ «Дугушка»</t>
  </si>
  <si>
    <t>SU002612</t>
  </si>
  <si>
    <t>Копченые колбасы «Балыкбургская» Весовой фиброуз ТМ «Баварушка»</t>
  </si>
  <si>
    <t>SU002799</t>
  </si>
  <si>
    <t>Сосиски Сочинки по-баварски Бавария Фикс.вес 0,4 П/а мгс Стародворье</t>
  </si>
  <si>
    <t>SU002815</t>
  </si>
  <si>
    <t>Вареные колбасы «Филейская» Фикс.вес 0,45 Вектор ТМ «Вязанка»</t>
  </si>
  <si>
    <t>SU002841</t>
  </si>
  <si>
    <t>Паштеты «Любительский ГОСТ» Фикс.вес 0,1 ТМ «Стародворье»</t>
  </si>
  <si>
    <t>SU002842</t>
  </si>
  <si>
    <t>Сосиски «Сочинки Молочные» Фикс.вес 0,4 п/а мгс ТМ «Стародворье»</t>
  </si>
  <si>
    <t>SU002928</t>
  </si>
  <si>
    <t>Вареные колбасы «Сливушка» Вес П/а ТМ «Вязанка»</t>
  </si>
  <si>
    <t>SU002983</t>
  </si>
  <si>
    <t>Колбаса вареная Мусульманская ТМ Вязанка Халяль вектор ф/в 0,4 кг Казахстан АК</t>
  </si>
  <si>
    <t>SU003642</t>
  </si>
  <si>
    <t>Вареные колбасы «Филейская со шпиком» Весовой п/а ТМ «Вязанка»</t>
  </si>
  <si>
    <t>SU003665</t>
  </si>
  <si>
    <t>Сосиски «Сосиски с сыром» Фикс.вес 0,3 вискофан ТМ «Ядрена копоть»</t>
  </si>
  <si>
    <t>SU003686</t>
  </si>
  <si>
    <t>Ветчины «Нежная с индейкой» Весовой п/а ТМ «Особый рецепт»</t>
  </si>
  <si>
    <t>SU003753</t>
  </si>
  <si>
    <t>Копченые колбасы «Балыковая » Фикс.вес 0,09 нарезка ТМ «Вязанка»</t>
  </si>
  <si>
    <t>SU004016</t>
  </si>
  <si>
    <t>Сосиски «Мясные для гриля» Фикс.вес 0,3 целлофан ТМ «Ядрена копоть»</t>
  </si>
  <si>
    <t>SU004104</t>
  </si>
  <si>
    <t>Вареные колбасы «Мясная» Весовой п/а ТМ «Стародворье»</t>
  </si>
  <si>
    <t>SU004146</t>
  </si>
  <si>
    <t>Консервы «Буженина в пряном маринаде» Фикс.вес 0,25 ТМ «Стародворье»</t>
  </si>
  <si>
    <t>14,09,недогр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</si>
</sst>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#,##0_ ;[Red]\-#,##0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3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2" borderId="1" xfId="1" applyNumberFormat="1" applyFont="1" applyFill="1"/>
    <xf numFmtId="164" fontId="7" fillId="0" borderId="1" xfId="1" applyNumberFormat="1" applyFont="1"/>
    <xf numFmtId="165" fontId="1" fillId="0" borderId="1" xfId="1" applyNumberFormat="1"/>
    <xf numFmtId="164" fontId="1" fillId="9" borderId="1" xfId="1" applyNumberFormat="1" applyFill="1"/>
    <xf numFmtId="164" fontId="9" fillId="0" borderId="1" xfId="1" applyNumberFormat="1" applyFont="1"/>
    <xf numFmtId="164" fontId="9" fillId="3" borderId="1" xfId="1" applyNumberFormat="1" applyFont="1" applyFill="1"/>
    <xf numFmtId="164" fontId="9" fillId="6" borderId="1" xfId="1" applyNumberFormat="1" applyFont="1" applyFill="1"/>
    <xf numFmtId="0" fontId="8" fillId="0" borderId="0" xfId="0" applyFont="1" applyBorder="1"/>
    <xf numFmtId="164" fontId="5" fillId="0" borderId="1" xfId="1" applyNumberFormat="1" applyFont="1"/>
    <xf numFmtId="164" fontId="5" fillId="3" borderId="1" xfId="1" applyNumberFormat="1" applyFont="1" applyFill="1"/>
    <xf numFmtId="164" fontId="5" fillId="6" borderId="1" xfId="1" applyNumberFormat="1" applyFont="1" applyFill="1"/>
    <xf numFmtId="0" fontId="10" fillId="0" borderId="1" xfId="0" applyFont="1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166" fontId="0" fillId="0" borderId="3" xfId="0" applyNumberFormat="1" applyBorder="1" applyAlignment="1">
      <alignment horizontal="center"/>
    </xf>
    <xf numFmtId="0" fontId="0" fillId="8" borderId="3" xfId="0" applyFill="1" applyBorder="1"/>
    <xf numFmtId="3" fontId="0" fillId="8" borderId="3" xfId="0" applyNumberFormat="1" applyFill="1" applyBorder="1"/>
    <xf numFmtId="164" fontId="0" fillId="8" borderId="3" xfId="0" applyNumberFormat="1" applyFill="1" applyBorder="1"/>
    <xf numFmtId="0" fontId="0" fillId="0" borderId="3" xfId="0" applyBorder="1"/>
    <xf numFmtId="3" fontId="0" fillId="0" borderId="3" xfId="0" applyNumberFormat="1" applyBorder="1"/>
    <xf numFmtId="164" fontId="0" fillId="0" borderId="3" xfId="0" applyNumberFormat="1" applyBorder="1"/>
    <xf numFmtId="164" fontId="5" fillId="0" borderId="2" xfId="1" applyNumberFormat="1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0"/>
  <sheetViews>
    <sheetView tabSelected="1" zoomScale="85" workbookViewId="0">
      <pane xSplit="2" ySplit="5" topLeftCell="C75" activePane="bottomRight" state="frozen"/>
      <selection pane="topRight"/>
      <selection pane="bottomLeft"/>
      <selection pane="bottomRight" activeCell="AH1" sqref="AH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8" customWidth="1"/>
    <col min="20" max="20" width="7" style="24" customWidth="1"/>
    <col min="21" max="24" width="7" customWidth="1"/>
    <col min="25" max="25" width="7" style="28" customWidth="1"/>
    <col min="26" max="26" width="7" customWidth="1"/>
    <col min="27" max="28" width="5" customWidth="1"/>
    <col min="29" max="38" width="6" customWidth="1"/>
    <col min="39" max="39" width="24.42578125" customWidth="1"/>
    <col min="40" max="41" width="7" customWidth="1"/>
    <col min="42" max="55" width="8" customWidth="1"/>
  </cols>
  <sheetData>
    <row r="1" spans="1:5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5"/>
      <c r="T1" s="21"/>
      <c r="U1" s="1"/>
      <c r="V1" s="1"/>
      <c r="W1" s="1"/>
      <c r="X1" s="1"/>
      <c r="Y1" s="25"/>
      <c r="Z1" s="19">
        <v>0.59599999999999997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5"/>
      <c r="T2" s="21">
        <v>670</v>
      </c>
      <c r="U2" s="1"/>
      <c r="V2" s="1"/>
      <c r="W2" s="1"/>
      <c r="X2" s="1"/>
      <c r="Y2" s="25"/>
      <c r="Z2" s="18" t="s">
        <v>187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3" t="s">
        <v>14</v>
      </c>
      <c r="T3" s="2" t="s">
        <v>14</v>
      </c>
      <c r="U3" s="2" t="s">
        <v>15</v>
      </c>
      <c r="V3" s="3" t="s">
        <v>16</v>
      </c>
      <c r="W3" s="3" t="s">
        <v>184</v>
      </c>
      <c r="X3" s="17" t="s">
        <v>183</v>
      </c>
      <c r="Y3" s="3" t="s">
        <v>183</v>
      </c>
      <c r="Z3" s="17" t="s">
        <v>183</v>
      </c>
      <c r="AA3" s="2" t="s">
        <v>17</v>
      </c>
      <c r="AB3" s="2" t="s">
        <v>18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20</v>
      </c>
      <c r="AN3" s="2" t="s">
        <v>21</v>
      </c>
      <c r="AO3" s="2" t="s">
        <v>21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25" t="s">
        <v>189</v>
      </c>
      <c r="T4" s="21" t="s">
        <v>188</v>
      </c>
      <c r="U4" s="1" t="s">
        <v>26</v>
      </c>
      <c r="V4" s="1"/>
      <c r="W4" s="1"/>
      <c r="X4" s="18" t="s">
        <v>185</v>
      </c>
      <c r="Y4" s="25" t="s">
        <v>370</v>
      </c>
      <c r="Z4" s="18" t="s">
        <v>186</v>
      </c>
      <c r="AA4" s="1"/>
      <c r="AB4" s="1"/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/>
      <c r="AN4" s="18" t="s">
        <v>185</v>
      </c>
      <c r="AO4" s="18" t="s">
        <v>186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SUM(E6:E500)</f>
        <v>23444.38</v>
      </c>
      <c r="F5" s="4">
        <f>SUM(F6:F500)</f>
        <v>14373.083000000001</v>
      </c>
      <c r="G5" s="7"/>
      <c r="H5" s="1"/>
      <c r="I5" s="1"/>
      <c r="J5" s="1"/>
      <c r="K5" s="4">
        <f t="shared" ref="K5:Z5" si="0">SUM(K6:K500)</f>
        <v>25374.085000000006</v>
      </c>
      <c r="L5" s="4">
        <f t="shared" si="0"/>
        <v>-1929.7049999999997</v>
      </c>
      <c r="M5" s="4">
        <f t="shared" si="0"/>
        <v>0</v>
      </c>
      <c r="N5" s="4">
        <f t="shared" si="0"/>
        <v>0</v>
      </c>
      <c r="O5" s="4">
        <f t="shared" si="0"/>
        <v>10150.0819618</v>
      </c>
      <c r="P5" s="4">
        <f t="shared" si="0"/>
        <v>-1376.5</v>
      </c>
      <c r="Q5" s="4">
        <f t="shared" si="0"/>
        <v>780</v>
      </c>
      <c r="R5" s="4">
        <f t="shared" si="0"/>
        <v>20686.057696</v>
      </c>
      <c r="S5" s="26">
        <f t="shared" ref="S5" si="1">SUM(S6:S500)</f>
        <v>0</v>
      </c>
      <c r="T5" s="22">
        <f t="shared" ref="T5" si="2">SUM(T6:T500)</f>
        <v>670</v>
      </c>
      <c r="U5" s="4">
        <f t="shared" si="0"/>
        <v>4688.8759999999993</v>
      </c>
      <c r="V5" s="4">
        <f t="shared" si="0"/>
        <v>15299.280864400003</v>
      </c>
      <c r="W5" s="4">
        <f t="shared" si="0"/>
        <v>15299.280864400003</v>
      </c>
      <c r="X5" s="4">
        <f t="shared" si="0"/>
        <v>11045.074408799999</v>
      </c>
      <c r="Y5" s="26">
        <f t="shared" ref="Y5" si="3">SUM(Y6:Y500)</f>
        <v>0</v>
      </c>
      <c r="Z5" s="4">
        <f t="shared" si="0"/>
        <v>7020.7382152</v>
      </c>
      <c r="AA5" s="1"/>
      <c r="AB5" s="1"/>
      <c r="AC5" s="4">
        <f t="shared" ref="AC5:AL5" si="4">SUM(AC6:AC500)</f>
        <v>4508.2022000000024</v>
      </c>
      <c r="AD5" s="4">
        <f t="shared" si="4"/>
        <v>3139.2097999999987</v>
      </c>
      <c r="AE5" s="4">
        <f t="shared" si="4"/>
        <v>2557.4352000000008</v>
      </c>
      <c r="AF5" s="4">
        <f t="shared" si="4"/>
        <v>3687.9288000000001</v>
      </c>
      <c r="AG5" s="4">
        <f t="shared" si="4"/>
        <v>4635.2076000000015</v>
      </c>
      <c r="AH5" s="4">
        <f t="shared" si="4"/>
        <v>4207.7697999999991</v>
      </c>
      <c r="AI5" s="4">
        <f t="shared" si="4"/>
        <v>3443.0367999999989</v>
      </c>
      <c r="AJ5" s="4">
        <f t="shared" si="4"/>
        <v>3963.5633999999986</v>
      </c>
      <c r="AK5" s="4">
        <f t="shared" si="4"/>
        <v>3762.9608000000012</v>
      </c>
      <c r="AL5" s="4">
        <f t="shared" si="4"/>
        <v>3888.003999999999</v>
      </c>
      <c r="AM5" s="1"/>
      <c r="AN5" s="4">
        <f>SUM(AN6:AN500)</f>
        <v>8202</v>
      </c>
      <c r="AO5" s="4">
        <f>SUM(AO6:AO500)</f>
        <v>5464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" t="s">
        <v>37</v>
      </c>
      <c r="B6" s="1" t="s">
        <v>38</v>
      </c>
      <c r="C6" s="1">
        <v>523.09900000000005</v>
      </c>
      <c r="D6" s="1">
        <v>1.34</v>
      </c>
      <c r="E6" s="1">
        <v>254.14699999999999</v>
      </c>
      <c r="F6" s="1">
        <v>261.56799999999998</v>
      </c>
      <c r="G6" s="7">
        <v>1</v>
      </c>
      <c r="H6" s="1">
        <v>50</v>
      </c>
      <c r="I6" s="1" t="s">
        <v>39</v>
      </c>
      <c r="J6" s="1"/>
      <c r="K6" s="1">
        <v>245.75</v>
      </c>
      <c r="L6" s="1">
        <f t="shared" ref="L6:L37" si="5">E6-K6</f>
        <v>8.3969999999999914</v>
      </c>
      <c r="M6" s="1"/>
      <c r="N6" s="1"/>
      <c r="O6" s="1">
        <v>0</v>
      </c>
      <c r="P6" s="1"/>
      <c r="Q6" s="1"/>
      <c r="R6" s="1">
        <v>250</v>
      </c>
      <c r="S6" s="25"/>
      <c r="T6" s="21"/>
      <c r="U6" s="1">
        <f t="shared" ref="U6:U37" si="6">E6/5</f>
        <v>50.8294</v>
      </c>
      <c r="V6" s="5">
        <f>12*U6-R6-Q6-P6-O6-F6</f>
        <v>98.384800000000041</v>
      </c>
      <c r="W6" s="5">
        <f>V6</f>
        <v>98.384800000000041</v>
      </c>
      <c r="X6" s="5">
        <f>W6-Z6</f>
        <v>48.384800000000041</v>
      </c>
      <c r="Y6" s="38"/>
      <c r="Z6" s="5">
        <v>50</v>
      </c>
      <c r="AA6" s="1">
        <f>(F6+O6+P6+Q6+R6+X6+Z6)/U6</f>
        <v>12</v>
      </c>
      <c r="AB6" s="1">
        <f t="shared" ref="AB6:AB37" si="7">(F6+O6+P6+Q6+R6)/U6</f>
        <v>10.064411541352053</v>
      </c>
      <c r="AC6" s="1">
        <v>44.6526</v>
      </c>
      <c r="AD6" s="1">
        <v>29.516400000000001</v>
      </c>
      <c r="AE6" s="1">
        <v>27.771999999999998</v>
      </c>
      <c r="AF6" s="1">
        <v>46.390599999999999</v>
      </c>
      <c r="AG6" s="1">
        <v>62.169199999999996</v>
      </c>
      <c r="AH6" s="1">
        <v>46.914400000000001</v>
      </c>
      <c r="AI6" s="1">
        <v>34.5426</v>
      </c>
      <c r="AJ6" s="1">
        <v>43.8718</v>
      </c>
      <c r="AK6" s="1">
        <v>37.962800000000001</v>
      </c>
      <c r="AL6" s="1">
        <v>34.125799999999998</v>
      </c>
      <c r="AM6" s="1"/>
      <c r="AN6" s="1">
        <f>ROUND(G6*X6,0)</f>
        <v>48</v>
      </c>
      <c r="AO6" s="1">
        <f>ROUND(G6*Z6,0)</f>
        <v>50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40</v>
      </c>
      <c r="B7" s="1" t="s">
        <v>38</v>
      </c>
      <c r="C7" s="1">
        <v>966.75400000000002</v>
      </c>
      <c r="D7" s="1">
        <v>267.11099999999999</v>
      </c>
      <c r="E7" s="1">
        <v>770.39599999999996</v>
      </c>
      <c r="F7" s="1">
        <v>327.63099999999997</v>
      </c>
      <c r="G7" s="7">
        <v>1</v>
      </c>
      <c r="H7" s="1">
        <v>45</v>
      </c>
      <c r="I7" s="1" t="s">
        <v>39</v>
      </c>
      <c r="J7" s="1"/>
      <c r="K7" s="1">
        <v>748.9</v>
      </c>
      <c r="L7" s="1">
        <f t="shared" si="5"/>
        <v>21.495999999999981</v>
      </c>
      <c r="M7" s="1"/>
      <c r="N7" s="1"/>
      <c r="O7" s="1">
        <v>634.49845759999971</v>
      </c>
      <c r="P7" s="1"/>
      <c r="Q7" s="1"/>
      <c r="R7" s="1">
        <v>900</v>
      </c>
      <c r="S7" s="25"/>
      <c r="T7" s="21"/>
      <c r="U7" s="1">
        <f t="shared" si="6"/>
        <v>154.07919999999999</v>
      </c>
      <c r="V7" s="5"/>
      <c r="W7" s="5">
        <f t="shared" ref="W7:W70" si="8">V7</f>
        <v>0</v>
      </c>
      <c r="X7" s="5"/>
      <c r="Y7" s="38"/>
      <c r="Z7" s="5">
        <v>150</v>
      </c>
      <c r="AA7" s="1">
        <f t="shared" ref="AA7:AA70" si="9">(F7+O7+P7+Q7+R7+X7+Z7)/U7</f>
        <v>13.059059610901405</v>
      </c>
      <c r="AB7" s="1">
        <f t="shared" si="7"/>
        <v>12.085534307031706</v>
      </c>
      <c r="AC7" s="1">
        <v>164.6078</v>
      </c>
      <c r="AD7" s="1">
        <v>132.37119999999999</v>
      </c>
      <c r="AE7" s="1">
        <v>119.9396</v>
      </c>
      <c r="AF7" s="1">
        <v>148.16139999999999</v>
      </c>
      <c r="AG7" s="1">
        <v>172.14420000000001</v>
      </c>
      <c r="AH7" s="1">
        <v>171.35</v>
      </c>
      <c r="AI7" s="1">
        <v>161.2954</v>
      </c>
      <c r="AJ7" s="1">
        <v>174.07939999999999</v>
      </c>
      <c r="AK7" s="1">
        <v>156.54300000000001</v>
      </c>
      <c r="AL7" s="1">
        <v>115.7188</v>
      </c>
      <c r="AM7" s="1"/>
      <c r="AN7" s="1">
        <f t="shared" ref="AN7:AN70" si="10">ROUND(G7*X7,0)</f>
        <v>0</v>
      </c>
      <c r="AO7" s="1">
        <f t="shared" ref="AO7:AO70" si="11">ROUND(G7*Z7,0)</f>
        <v>150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41</v>
      </c>
      <c r="B8" s="1" t="s">
        <v>38</v>
      </c>
      <c r="C8" s="1">
        <v>857.61900000000003</v>
      </c>
      <c r="D8" s="1">
        <v>521.24</v>
      </c>
      <c r="E8" s="1">
        <v>806.66800000000001</v>
      </c>
      <c r="F8" s="1">
        <v>458.60899999999998</v>
      </c>
      <c r="G8" s="7">
        <v>1</v>
      </c>
      <c r="H8" s="1">
        <v>45</v>
      </c>
      <c r="I8" s="1" t="s">
        <v>39</v>
      </c>
      <c r="J8" s="1"/>
      <c r="K8" s="1">
        <v>810.5</v>
      </c>
      <c r="L8" s="1">
        <f t="shared" si="5"/>
        <v>-3.8319999999999936</v>
      </c>
      <c r="M8" s="1"/>
      <c r="N8" s="1"/>
      <c r="O8" s="1">
        <v>476.30950059999998</v>
      </c>
      <c r="P8" s="1"/>
      <c r="Q8" s="1"/>
      <c r="R8" s="1">
        <v>1000</v>
      </c>
      <c r="S8" s="25"/>
      <c r="T8" s="21"/>
      <c r="U8" s="1">
        <f t="shared" si="6"/>
        <v>161.33359999999999</v>
      </c>
      <c r="V8" s="5"/>
      <c r="W8" s="5">
        <f t="shared" si="8"/>
        <v>0</v>
      </c>
      <c r="X8" s="5"/>
      <c r="Y8" s="38"/>
      <c r="Z8" s="5">
        <v>150</v>
      </c>
      <c r="AA8" s="1">
        <f t="shared" si="9"/>
        <v>12.923027197062483</v>
      </c>
      <c r="AB8" s="1">
        <f t="shared" si="7"/>
        <v>11.993276667724517</v>
      </c>
      <c r="AC8" s="1">
        <v>169.9598</v>
      </c>
      <c r="AD8" s="1">
        <v>134.94839999999999</v>
      </c>
      <c r="AE8" s="1">
        <v>134.37119999999999</v>
      </c>
      <c r="AF8" s="1">
        <v>157.68879999999999</v>
      </c>
      <c r="AG8" s="1">
        <v>164.05779999999999</v>
      </c>
      <c r="AH8" s="1">
        <v>176.13800000000001</v>
      </c>
      <c r="AI8" s="1">
        <v>166.39340000000001</v>
      </c>
      <c r="AJ8" s="1">
        <v>154.95760000000001</v>
      </c>
      <c r="AK8" s="1">
        <v>140.4342</v>
      </c>
      <c r="AL8" s="1">
        <v>130.178</v>
      </c>
      <c r="AM8" s="1"/>
      <c r="AN8" s="1">
        <f t="shared" si="10"/>
        <v>0</v>
      </c>
      <c r="AO8" s="1">
        <f t="shared" si="11"/>
        <v>150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1" t="s">
        <v>42</v>
      </c>
      <c r="B9" s="1" t="s">
        <v>43</v>
      </c>
      <c r="C9" s="1">
        <v>7</v>
      </c>
      <c r="D9" s="1"/>
      <c r="E9" s="1">
        <v>8</v>
      </c>
      <c r="F9" s="1">
        <v>-1</v>
      </c>
      <c r="G9" s="7">
        <v>0.4</v>
      </c>
      <c r="H9" s="1">
        <v>50</v>
      </c>
      <c r="I9" s="1" t="s">
        <v>39</v>
      </c>
      <c r="J9" s="1"/>
      <c r="K9" s="1">
        <v>10</v>
      </c>
      <c r="L9" s="1">
        <f t="shared" si="5"/>
        <v>-2</v>
      </c>
      <c r="M9" s="1"/>
      <c r="N9" s="1"/>
      <c r="O9" s="1">
        <v>51.4</v>
      </c>
      <c r="P9" s="1"/>
      <c r="Q9" s="1"/>
      <c r="R9" s="1">
        <v>37.6</v>
      </c>
      <c r="S9" s="25"/>
      <c r="T9" s="21"/>
      <c r="U9" s="1">
        <f t="shared" si="6"/>
        <v>1.6</v>
      </c>
      <c r="V9" s="5"/>
      <c r="W9" s="5">
        <f t="shared" si="8"/>
        <v>0</v>
      </c>
      <c r="X9" s="5">
        <f t="shared" ref="X9:X70" si="12">W9-Z9</f>
        <v>0</v>
      </c>
      <c r="Y9" s="38"/>
      <c r="Z9" s="5"/>
      <c r="AA9" s="1">
        <f t="shared" si="9"/>
        <v>55</v>
      </c>
      <c r="AB9" s="1">
        <f t="shared" si="7"/>
        <v>55</v>
      </c>
      <c r="AC9" s="1">
        <v>8</v>
      </c>
      <c r="AD9" s="1">
        <v>6.8</v>
      </c>
      <c r="AE9" s="1">
        <v>0.4</v>
      </c>
      <c r="AF9" s="1">
        <v>0.4</v>
      </c>
      <c r="AG9" s="1">
        <v>2.6</v>
      </c>
      <c r="AH9" s="1">
        <v>6.2</v>
      </c>
      <c r="AI9" s="1">
        <v>4.5999999999999996</v>
      </c>
      <c r="AJ9" s="1">
        <v>2</v>
      </c>
      <c r="AK9" s="1">
        <v>2.6</v>
      </c>
      <c r="AL9" s="1">
        <v>1.4</v>
      </c>
      <c r="AM9" s="1" t="s">
        <v>44</v>
      </c>
      <c r="AN9" s="1">
        <f t="shared" si="10"/>
        <v>0</v>
      </c>
      <c r="AO9" s="1">
        <f t="shared" si="11"/>
        <v>0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45</v>
      </c>
      <c r="B10" s="1" t="s">
        <v>43</v>
      </c>
      <c r="C10" s="1">
        <v>208</v>
      </c>
      <c r="D10" s="1">
        <v>309</v>
      </c>
      <c r="E10" s="1">
        <v>388</v>
      </c>
      <c r="F10" s="1">
        <v>75</v>
      </c>
      <c r="G10" s="7">
        <v>0.45</v>
      </c>
      <c r="H10" s="1">
        <v>45</v>
      </c>
      <c r="I10" s="1" t="s">
        <v>39</v>
      </c>
      <c r="J10" s="1"/>
      <c r="K10" s="1">
        <v>394</v>
      </c>
      <c r="L10" s="1">
        <f t="shared" si="5"/>
        <v>-6</v>
      </c>
      <c r="M10" s="1"/>
      <c r="N10" s="1"/>
      <c r="O10" s="1">
        <v>69.17600000000003</v>
      </c>
      <c r="P10" s="1"/>
      <c r="Q10" s="1"/>
      <c r="R10" s="1">
        <v>450</v>
      </c>
      <c r="S10" s="25"/>
      <c r="T10" s="21"/>
      <c r="U10" s="1">
        <f t="shared" si="6"/>
        <v>77.599999999999994</v>
      </c>
      <c r="V10" s="5">
        <f t="shared" ref="V10" si="13">12*U10-R10-Q10-P10-O10-F10</f>
        <v>337.02399999999989</v>
      </c>
      <c r="W10" s="5">
        <f t="shared" si="8"/>
        <v>337.02399999999989</v>
      </c>
      <c r="X10" s="5">
        <v>200</v>
      </c>
      <c r="Y10" s="38"/>
      <c r="Z10" s="5">
        <f>W10*$Z$1</f>
        <v>200.86630399999993</v>
      </c>
      <c r="AA10" s="1">
        <f t="shared" si="9"/>
        <v>12.822710103092783</v>
      </c>
      <c r="AB10" s="1">
        <f t="shared" si="7"/>
        <v>7.6569072164948464</v>
      </c>
      <c r="AC10" s="1">
        <v>67.2</v>
      </c>
      <c r="AD10" s="1">
        <v>41.6</v>
      </c>
      <c r="AE10" s="1">
        <v>45.2</v>
      </c>
      <c r="AF10" s="1">
        <v>39.6</v>
      </c>
      <c r="AG10" s="1">
        <v>42.2</v>
      </c>
      <c r="AH10" s="1">
        <v>64.599999999999994</v>
      </c>
      <c r="AI10" s="1">
        <v>52.4</v>
      </c>
      <c r="AJ10" s="1">
        <v>54.8</v>
      </c>
      <c r="AK10" s="1">
        <v>47.6</v>
      </c>
      <c r="AL10" s="1">
        <v>31.2</v>
      </c>
      <c r="AM10" s="1"/>
      <c r="AN10" s="1">
        <f t="shared" si="10"/>
        <v>90</v>
      </c>
      <c r="AO10" s="1">
        <f t="shared" si="11"/>
        <v>90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46</v>
      </c>
      <c r="B11" s="1" t="s">
        <v>43</v>
      </c>
      <c r="C11" s="1">
        <v>276</v>
      </c>
      <c r="D11" s="1">
        <v>258</v>
      </c>
      <c r="E11" s="1">
        <v>498</v>
      </c>
      <c r="F11" s="1">
        <v>-5</v>
      </c>
      <c r="G11" s="7">
        <v>0.45</v>
      </c>
      <c r="H11" s="1">
        <v>45</v>
      </c>
      <c r="I11" s="1" t="s">
        <v>39</v>
      </c>
      <c r="J11" s="1"/>
      <c r="K11" s="1">
        <v>494</v>
      </c>
      <c r="L11" s="1">
        <f t="shared" si="5"/>
        <v>4</v>
      </c>
      <c r="M11" s="1"/>
      <c r="N11" s="1"/>
      <c r="O11" s="1">
        <v>0</v>
      </c>
      <c r="P11" s="1"/>
      <c r="Q11" s="1"/>
      <c r="R11" s="1">
        <v>531.19999999999993</v>
      </c>
      <c r="S11" s="25"/>
      <c r="T11" s="21"/>
      <c r="U11" s="1">
        <f t="shared" si="6"/>
        <v>99.6</v>
      </c>
      <c r="V11" s="5">
        <f>10*U11-R11-Q11-P11-O11-F11</f>
        <v>469.80000000000007</v>
      </c>
      <c r="W11" s="5">
        <f t="shared" si="8"/>
        <v>469.80000000000007</v>
      </c>
      <c r="X11" s="5">
        <v>250</v>
      </c>
      <c r="Y11" s="38"/>
      <c r="Z11" s="5">
        <f>W11*$Z$1</f>
        <v>280.00080000000003</v>
      </c>
      <c r="AA11" s="1">
        <f t="shared" si="9"/>
        <v>10.604425702811247</v>
      </c>
      <c r="AB11" s="1">
        <f t="shared" si="7"/>
        <v>5.2831325301204819</v>
      </c>
      <c r="AC11" s="1">
        <v>87.8</v>
      </c>
      <c r="AD11" s="1">
        <v>37.6</v>
      </c>
      <c r="AE11" s="1">
        <v>38.200000000000003</v>
      </c>
      <c r="AF11" s="1">
        <v>44.6</v>
      </c>
      <c r="AG11" s="1">
        <v>39.4</v>
      </c>
      <c r="AH11" s="1">
        <v>82.8</v>
      </c>
      <c r="AI11" s="1">
        <v>80.599999999999994</v>
      </c>
      <c r="AJ11" s="1">
        <v>70</v>
      </c>
      <c r="AK11" s="1">
        <v>63.8</v>
      </c>
      <c r="AL11" s="1">
        <v>57.2</v>
      </c>
      <c r="AM11" s="10" t="s">
        <v>47</v>
      </c>
      <c r="AN11" s="1">
        <f t="shared" si="10"/>
        <v>113</v>
      </c>
      <c r="AO11" s="1">
        <f t="shared" si="11"/>
        <v>126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1" t="s">
        <v>48</v>
      </c>
      <c r="B12" s="11" t="s">
        <v>43</v>
      </c>
      <c r="C12" s="11"/>
      <c r="D12" s="11"/>
      <c r="E12" s="11"/>
      <c r="F12" s="11"/>
      <c r="G12" s="12">
        <v>0</v>
      </c>
      <c r="H12" s="11"/>
      <c r="I12" s="11" t="s">
        <v>39</v>
      </c>
      <c r="J12" s="11"/>
      <c r="K12" s="11"/>
      <c r="L12" s="11">
        <f t="shared" si="5"/>
        <v>0</v>
      </c>
      <c r="M12" s="11"/>
      <c r="N12" s="11"/>
      <c r="O12" s="11">
        <v>0</v>
      </c>
      <c r="P12" s="11"/>
      <c r="Q12" s="11"/>
      <c r="R12" s="11">
        <v>0</v>
      </c>
      <c r="S12" s="27"/>
      <c r="T12" s="23"/>
      <c r="U12" s="11">
        <f t="shared" si="6"/>
        <v>0</v>
      </c>
      <c r="V12" s="13"/>
      <c r="W12" s="5">
        <f t="shared" si="8"/>
        <v>0</v>
      </c>
      <c r="X12" s="5">
        <f t="shared" si="12"/>
        <v>0</v>
      </c>
      <c r="Y12" s="38"/>
      <c r="Z12" s="5"/>
      <c r="AA12" s="1" t="e">
        <f t="shared" si="9"/>
        <v>#DIV/0!</v>
      </c>
      <c r="AB12" s="11" t="e">
        <f t="shared" si="7"/>
        <v>#DIV/0!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 t="s">
        <v>49</v>
      </c>
      <c r="AN12" s="1">
        <f t="shared" si="10"/>
        <v>0</v>
      </c>
      <c r="AO12" s="1">
        <f t="shared" si="11"/>
        <v>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50</v>
      </c>
      <c r="B13" s="1" t="s">
        <v>43</v>
      </c>
      <c r="C13" s="1">
        <v>9</v>
      </c>
      <c r="D13" s="1">
        <v>54</v>
      </c>
      <c r="E13" s="1">
        <v>54</v>
      </c>
      <c r="F13" s="1">
        <v>9</v>
      </c>
      <c r="G13" s="7">
        <v>0.3</v>
      </c>
      <c r="H13" s="1">
        <v>40</v>
      </c>
      <c r="I13" s="9" t="s">
        <v>51</v>
      </c>
      <c r="J13" s="1"/>
      <c r="K13" s="1">
        <v>88</v>
      </c>
      <c r="L13" s="1">
        <f t="shared" si="5"/>
        <v>-34</v>
      </c>
      <c r="M13" s="1"/>
      <c r="N13" s="1"/>
      <c r="O13" s="1">
        <v>80</v>
      </c>
      <c r="P13" s="1"/>
      <c r="Q13" s="1"/>
      <c r="R13" s="1">
        <v>31.400000000000009</v>
      </c>
      <c r="S13" s="25"/>
      <c r="T13" s="21"/>
      <c r="U13" s="1">
        <f t="shared" si="6"/>
        <v>10.8</v>
      </c>
      <c r="V13" s="5">
        <f t="shared" ref="V13:V20" si="14">12*U13-R13-Q13-P13-O13-F13</f>
        <v>9.2000000000000171</v>
      </c>
      <c r="W13" s="5">
        <f t="shared" si="8"/>
        <v>9.2000000000000171</v>
      </c>
      <c r="X13" s="5">
        <f t="shared" si="12"/>
        <v>9.2000000000000171</v>
      </c>
      <c r="Y13" s="38"/>
      <c r="Z13" s="5"/>
      <c r="AA13" s="1">
        <f t="shared" si="9"/>
        <v>12.000000000000002</v>
      </c>
      <c r="AB13" s="1">
        <f t="shared" si="7"/>
        <v>11.148148148148149</v>
      </c>
      <c r="AC13" s="1">
        <v>13.4</v>
      </c>
      <c r="AD13" s="1">
        <v>10.6</v>
      </c>
      <c r="AE13" s="1">
        <v>3</v>
      </c>
      <c r="AF13" s="1">
        <v>16.8</v>
      </c>
      <c r="AG13" s="1">
        <v>27</v>
      </c>
      <c r="AH13" s="1">
        <v>25</v>
      </c>
      <c r="AI13" s="1">
        <v>19.399999999999999</v>
      </c>
      <c r="AJ13" s="1">
        <v>21.6</v>
      </c>
      <c r="AK13" s="1">
        <v>19.8</v>
      </c>
      <c r="AL13" s="1">
        <v>20.2</v>
      </c>
      <c r="AM13" s="1"/>
      <c r="AN13" s="1">
        <f t="shared" si="10"/>
        <v>3</v>
      </c>
      <c r="AO13" s="1">
        <f t="shared" si="11"/>
        <v>0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52</v>
      </c>
      <c r="B14" s="1" t="s">
        <v>43</v>
      </c>
      <c r="C14" s="1">
        <v>303</v>
      </c>
      <c r="D14" s="1">
        <v>165</v>
      </c>
      <c r="E14" s="1">
        <v>160</v>
      </c>
      <c r="F14" s="1">
        <v>298</v>
      </c>
      <c r="G14" s="7">
        <v>0.17</v>
      </c>
      <c r="H14" s="1">
        <v>180</v>
      </c>
      <c r="I14" s="1" t="s">
        <v>39</v>
      </c>
      <c r="J14" s="1"/>
      <c r="K14" s="1">
        <v>160</v>
      </c>
      <c r="L14" s="1">
        <f t="shared" si="5"/>
        <v>0</v>
      </c>
      <c r="M14" s="1"/>
      <c r="N14" s="1"/>
      <c r="O14" s="1">
        <v>0</v>
      </c>
      <c r="P14" s="1"/>
      <c r="Q14" s="1"/>
      <c r="R14" s="1">
        <v>0</v>
      </c>
      <c r="S14" s="25"/>
      <c r="T14" s="21"/>
      <c r="U14" s="1">
        <f t="shared" si="6"/>
        <v>32</v>
      </c>
      <c r="V14" s="5">
        <f t="shared" si="14"/>
        <v>86</v>
      </c>
      <c r="W14" s="5">
        <f t="shared" si="8"/>
        <v>86</v>
      </c>
      <c r="X14" s="5">
        <f t="shared" si="12"/>
        <v>86</v>
      </c>
      <c r="Y14" s="38"/>
      <c r="Z14" s="5"/>
      <c r="AA14" s="1">
        <f t="shared" si="9"/>
        <v>12</v>
      </c>
      <c r="AB14" s="1">
        <f t="shared" si="7"/>
        <v>9.3125</v>
      </c>
      <c r="AC14" s="1">
        <v>22</v>
      </c>
      <c r="AD14" s="1">
        <v>10</v>
      </c>
      <c r="AE14" s="1">
        <v>1.4</v>
      </c>
      <c r="AF14" s="1">
        <v>13.6</v>
      </c>
      <c r="AG14" s="1">
        <v>31.2</v>
      </c>
      <c r="AH14" s="1">
        <v>32.200000000000003</v>
      </c>
      <c r="AI14" s="1">
        <v>17.8</v>
      </c>
      <c r="AJ14" s="1">
        <v>16.2</v>
      </c>
      <c r="AK14" s="1">
        <v>18</v>
      </c>
      <c r="AL14" s="1">
        <v>19.2</v>
      </c>
      <c r="AM14" s="1"/>
      <c r="AN14" s="1">
        <f t="shared" si="10"/>
        <v>15</v>
      </c>
      <c r="AO14" s="1">
        <f t="shared" si="11"/>
        <v>0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53</v>
      </c>
      <c r="B15" s="1" t="s">
        <v>38</v>
      </c>
      <c r="C15" s="1">
        <v>256.26400000000001</v>
      </c>
      <c r="D15" s="1">
        <v>234.154</v>
      </c>
      <c r="E15" s="1">
        <v>467.64499999999998</v>
      </c>
      <c r="F15" s="1">
        <v>0.39100000000000001</v>
      </c>
      <c r="G15" s="7">
        <v>1</v>
      </c>
      <c r="H15" s="1">
        <v>70</v>
      </c>
      <c r="I15" s="9" t="s">
        <v>51</v>
      </c>
      <c r="J15" s="1"/>
      <c r="K15" s="1">
        <v>467.84</v>
      </c>
      <c r="L15" s="1">
        <f t="shared" si="5"/>
        <v>-0.19499999999999318</v>
      </c>
      <c r="M15" s="1"/>
      <c r="N15" s="1"/>
      <c r="O15" s="1">
        <v>467.05355800000012</v>
      </c>
      <c r="P15" s="1"/>
      <c r="Q15" s="1"/>
      <c r="R15" s="1">
        <v>580</v>
      </c>
      <c r="S15" s="25"/>
      <c r="T15" s="21"/>
      <c r="U15" s="1">
        <f t="shared" si="6"/>
        <v>93.528999999999996</v>
      </c>
      <c r="V15" s="5">
        <f t="shared" si="14"/>
        <v>74.903441999999828</v>
      </c>
      <c r="W15" s="5">
        <f t="shared" si="8"/>
        <v>74.903441999999828</v>
      </c>
      <c r="X15" s="5">
        <v>150</v>
      </c>
      <c r="Y15" s="38"/>
      <c r="Z15" s="5">
        <v>100</v>
      </c>
      <c r="AA15" s="1">
        <f t="shared" si="9"/>
        <v>13.872109805514869</v>
      </c>
      <c r="AB15" s="1">
        <f t="shared" si="7"/>
        <v>11.199142062889587</v>
      </c>
      <c r="AC15" s="1">
        <v>100.50239999999999</v>
      </c>
      <c r="AD15" s="1">
        <v>69.866600000000005</v>
      </c>
      <c r="AE15" s="1">
        <v>59.2682</v>
      </c>
      <c r="AF15" s="1">
        <v>64.551999999999992</v>
      </c>
      <c r="AG15" s="1">
        <v>60.460999999999999</v>
      </c>
      <c r="AH15" s="1">
        <v>67.999800000000008</v>
      </c>
      <c r="AI15" s="1">
        <v>67.419600000000003</v>
      </c>
      <c r="AJ15" s="1">
        <v>63.860999999999997</v>
      </c>
      <c r="AK15" s="1">
        <v>64.120199999999997</v>
      </c>
      <c r="AL15" s="1">
        <v>71.404200000000003</v>
      </c>
      <c r="AM15" s="1"/>
      <c r="AN15" s="1">
        <f t="shared" si="10"/>
        <v>150</v>
      </c>
      <c r="AO15" s="1">
        <f t="shared" si="11"/>
        <v>100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20" t="s">
        <v>54</v>
      </c>
      <c r="B16" s="1" t="s">
        <v>38</v>
      </c>
      <c r="C16" s="1">
        <v>1824.4090000000001</v>
      </c>
      <c r="D16" s="1">
        <v>1589.0630000000001</v>
      </c>
      <c r="E16" s="1">
        <v>2409.123</v>
      </c>
      <c r="F16" s="1">
        <v>819.88099999999997</v>
      </c>
      <c r="G16" s="7">
        <v>1</v>
      </c>
      <c r="H16" s="1">
        <v>50</v>
      </c>
      <c r="I16" s="1" t="s">
        <v>39</v>
      </c>
      <c r="J16" s="1"/>
      <c r="K16" s="1">
        <v>2367.5</v>
      </c>
      <c r="L16" s="1">
        <f t="shared" si="5"/>
        <v>41.623000000000047</v>
      </c>
      <c r="M16" s="1"/>
      <c r="N16" s="1"/>
      <c r="O16" s="1">
        <v>170</v>
      </c>
      <c r="P16" s="1"/>
      <c r="Q16" s="1">
        <v>200</v>
      </c>
      <c r="R16" s="1">
        <v>2670.3504000000012</v>
      </c>
      <c r="S16" s="25"/>
      <c r="T16" s="21"/>
      <c r="U16" s="1">
        <f t="shared" si="6"/>
        <v>481.82460000000003</v>
      </c>
      <c r="V16" s="5">
        <f t="shared" si="14"/>
        <v>1921.6637999999998</v>
      </c>
      <c r="W16" s="5">
        <f t="shared" si="8"/>
        <v>1921.6637999999998</v>
      </c>
      <c r="X16" s="5">
        <v>1222</v>
      </c>
      <c r="Y16" s="38"/>
      <c r="Z16" s="5">
        <v>600</v>
      </c>
      <c r="AA16" s="1">
        <f t="shared" si="9"/>
        <v>11.793153359126952</v>
      </c>
      <c r="AB16" s="1">
        <f t="shared" si="7"/>
        <v>8.011694297053328</v>
      </c>
      <c r="AC16" s="1">
        <v>420.36439999999999</v>
      </c>
      <c r="AD16" s="1">
        <v>317.29700000000003</v>
      </c>
      <c r="AE16" s="1">
        <v>275.59399999999999</v>
      </c>
      <c r="AF16" s="1">
        <v>362.4502</v>
      </c>
      <c r="AG16" s="1">
        <v>400.47460000000001</v>
      </c>
      <c r="AH16" s="1">
        <v>338.92259999999999</v>
      </c>
      <c r="AI16" s="1">
        <v>312.99419999999998</v>
      </c>
      <c r="AJ16" s="1">
        <v>340.73579999999998</v>
      </c>
      <c r="AK16" s="1">
        <v>301.46600000000001</v>
      </c>
      <c r="AL16" s="1">
        <v>223.81219999999999</v>
      </c>
      <c r="AM16" s="1"/>
      <c r="AN16" s="1">
        <f t="shared" si="10"/>
        <v>1222</v>
      </c>
      <c r="AO16" s="1">
        <f t="shared" si="11"/>
        <v>600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55</v>
      </c>
      <c r="B17" s="1" t="s">
        <v>38</v>
      </c>
      <c r="C17" s="1">
        <v>31.707999999999998</v>
      </c>
      <c r="D17" s="1">
        <v>95.45</v>
      </c>
      <c r="E17" s="1">
        <v>87.963999999999999</v>
      </c>
      <c r="F17" s="1">
        <v>35.515999999999998</v>
      </c>
      <c r="G17" s="7">
        <v>1</v>
      </c>
      <c r="H17" s="1">
        <v>60</v>
      </c>
      <c r="I17" s="1" t="s">
        <v>39</v>
      </c>
      <c r="J17" s="1"/>
      <c r="K17" s="1">
        <v>88.3</v>
      </c>
      <c r="L17" s="1">
        <f t="shared" si="5"/>
        <v>-0.33599999999999852</v>
      </c>
      <c r="M17" s="1"/>
      <c r="N17" s="1"/>
      <c r="O17" s="1">
        <v>32.779800000000009</v>
      </c>
      <c r="P17" s="1"/>
      <c r="Q17" s="1"/>
      <c r="R17" s="1">
        <v>19.625800000000002</v>
      </c>
      <c r="S17" s="25"/>
      <c r="T17" s="21"/>
      <c r="U17" s="1">
        <f t="shared" si="6"/>
        <v>17.5928</v>
      </c>
      <c r="V17" s="5">
        <f t="shared" si="14"/>
        <v>123.19200000000004</v>
      </c>
      <c r="W17" s="5">
        <f t="shared" si="8"/>
        <v>123.19200000000004</v>
      </c>
      <c r="X17" s="5">
        <f t="shared" si="12"/>
        <v>49.769568000000021</v>
      </c>
      <c r="Y17" s="38"/>
      <c r="Z17" s="5">
        <f t="shared" ref="Z17" si="15">W17*$Z$1</f>
        <v>73.422432000000015</v>
      </c>
      <c r="AA17" s="1">
        <f t="shared" si="9"/>
        <v>12.000000000000002</v>
      </c>
      <c r="AB17" s="1">
        <f t="shared" si="7"/>
        <v>4.9975899231503806</v>
      </c>
      <c r="AC17" s="1">
        <v>11.008599999999999</v>
      </c>
      <c r="AD17" s="1">
        <v>13.476000000000001</v>
      </c>
      <c r="AE17" s="1">
        <v>14.8294</v>
      </c>
      <c r="AF17" s="1">
        <v>16.038599999999999</v>
      </c>
      <c r="AG17" s="1">
        <v>10.763999999999999</v>
      </c>
      <c r="AH17" s="1">
        <v>8.6592000000000002</v>
      </c>
      <c r="AI17" s="1">
        <v>14.825799999999999</v>
      </c>
      <c r="AJ17" s="1">
        <v>13.7936</v>
      </c>
      <c r="AK17" s="1">
        <v>9.2590000000000003</v>
      </c>
      <c r="AL17" s="1">
        <v>15.664400000000001</v>
      </c>
      <c r="AM17" s="1"/>
      <c r="AN17" s="1">
        <f t="shared" si="10"/>
        <v>50</v>
      </c>
      <c r="AO17" s="1">
        <f t="shared" si="11"/>
        <v>73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1" t="s">
        <v>56</v>
      </c>
      <c r="B18" s="1" t="s">
        <v>38</v>
      </c>
      <c r="C18" s="1">
        <v>14.835000000000001</v>
      </c>
      <c r="D18" s="1"/>
      <c r="E18" s="1">
        <v>9.7530000000000001</v>
      </c>
      <c r="F18" s="1">
        <v>2.4860000000000002</v>
      </c>
      <c r="G18" s="7">
        <v>1</v>
      </c>
      <c r="H18" s="1">
        <v>60</v>
      </c>
      <c r="I18" s="9" t="s">
        <v>51</v>
      </c>
      <c r="J18" s="1"/>
      <c r="K18" s="1">
        <v>30.8</v>
      </c>
      <c r="L18" s="1">
        <f t="shared" si="5"/>
        <v>-21.047000000000001</v>
      </c>
      <c r="M18" s="1"/>
      <c r="N18" s="1"/>
      <c r="O18" s="1">
        <v>50.872800000000012</v>
      </c>
      <c r="P18" s="1"/>
      <c r="Q18" s="1"/>
      <c r="R18" s="1">
        <v>45.561999999999983</v>
      </c>
      <c r="S18" s="25"/>
      <c r="T18" s="21"/>
      <c r="U18" s="1">
        <f t="shared" si="6"/>
        <v>1.9506000000000001</v>
      </c>
      <c r="V18" s="5"/>
      <c r="W18" s="5">
        <f t="shared" si="8"/>
        <v>0</v>
      </c>
      <c r="X18" s="5">
        <f t="shared" si="12"/>
        <v>0</v>
      </c>
      <c r="Y18" s="38"/>
      <c r="Z18" s="5"/>
      <c r="AA18" s="1">
        <f t="shared" si="9"/>
        <v>50.713011381113496</v>
      </c>
      <c r="AB18" s="1">
        <f t="shared" si="7"/>
        <v>50.713011381113496</v>
      </c>
      <c r="AC18" s="1">
        <v>8.992799999999999</v>
      </c>
      <c r="AD18" s="1">
        <v>11.2796</v>
      </c>
      <c r="AE18" s="1">
        <v>9.8811999999999998</v>
      </c>
      <c r="AF18" s="1">
        <v>10.02</v>
      </c>
      <c r="AG18" s="1">
        <v>6.4992000000000001</v>
      </c>
      <c r="AH18" s="1">
        <v>4.6139999999999999</v>
      </c>
      <c r="AI18" s="1">
        <v>9.6975999999999996</v>
      </c>
      <c r="AJ18" s="1">
        <v>9.870000000000001</v>
      </c>
      <c r="AK18" s="1">
        <v>4.0758000000000001</v>
      </c>
      <c r="AL18" s="1">
        <v>5.8464</v>
      </c>
      <c r="AM18" s="1"/>
      <c r="AN18" s="1">
        <f t="shared" si="10"/>
        <v>0</v>
      </c>
      <c r="AO18" s="1">
        <f t="shared" si="11"/>
        <v>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" t="s">
        <v>57</v>
      </c>
      <c r="B19" s="1" t="s">
        <v>38</v>
      </c>
      <c r="C19" s="1">
        <v>57.526000000000003</v>
      </c>
      <c r="D19" s="1">
        <v>43.670999999999999</v>
      </c>
      <c r="E19" s="1">
        <v>23.866</v>
      </c>
      <c r="F19" s="1">
        <v>76.587000000000003</v>
      </c>
      <c r="G19" s="7">
        <v>1</v>
      </c>
      <c r="H19" s="1">
        <v>180</v>
      </c>
      <c r="I19" s="1" t="s">
        <v>39</v>
      </c>
      <c r="J19" s="1"/>
      <c r="K19" s="1">
        <v>22.15</v>
      </c>
      <c r="L19" s="1">
        <f t="shared" si="5"/>
        <v>1.7160000000000011</v>
      </c>
      <c r="M19" s="1"/>
      <c r="N19" s="1"/>
      <c r="O19" s="1">
        <v>0</v>
      </c>
      <c r="P19" s="1"/>
      <c r="Q19" s="1"/>
      <c r="R19" s="1">
        <v>0</v>
      </c>
      <c r="S19" s="25"/>
      <c r="T19" s="21"/>
      <c r="U19" s="1">
        <f t="shared" si="6"/>
        <v>4.7732000000000001</v>
      </c>
      <c r="V19" s="5"/>
      <c r="W19" s="5">
        <f t="shared" si="8"/>
        <v>0</v>
      </c>
      <c r="X19" s="5">
        <f t="shared" si="12"/>
        <v>0</v>
      </c>
      <c r="Y19" s="38"/>
      <c r="Z19" s="5"/>
      <c r="AA19" s="1">
        <f t="shared" si="9"/>
        <v>16.045210760077097</v>
      </c>
      <c r="AB19" s="1">
        <f t="shared" si="7"/>
        <v>16.045210760077097</v>
      </c>
      <c r="AC19" s="1">
        <v>4.9626000000000001</v>
      </c>
      <c r="AD19" s="1">
        <v>3.0619999999999998</v>
      </c>
      <c r="AE19" s="1">
        <v>3.778799999999999</v>
      </c>
      <c r="AF19" s="1">
        <v>6.1134000000000004</v>
      </c>
      <c r="AG19" s="1">
        <v>6.3506</v>
      </c>
      <c r="AH19" s="1">
        <v>4.6951999999999998</v>
      </c>
      <c r="AI19" s="1">
        <v>3.7277999999999998</v>
      </c>
      <c r="AJ19" s="1">
        <v>4.875</v>
      </c>
      <c r="AK19" s="1">
        <v>3.3774000000000002</v>
      </c>
      <c r="AL19" s="1">
        <v>2.6214</v>
      </c>
      <c r="AM19" s="1"/>
      <c r="AN19" s="1">
        <f t="shared" si="10"/>
        <v>0</v>
      </c>
      <c r="AO19" s="1">
        <f t="shared" si="11"/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58</v>
      </c>
      <c r="B20" s="1" t="s">
        <v>38</v>
      </c>
      <c r="C20" s="1">
        <v>373.41899999999998</v>
      </c>
      <c r="D20" s="1">
        <v>291.43299999999999</v>
      </c>
      <c r="E20" s="1">
        <v>466.75099999999998</v>
      </c>
      <c r="F20" s="1">
        <v>170.804</v>
      </c>
      <c r="G20" s="7">
        <v>1</v>
      </c>
      <c r="H20" s="1">
        <v>60</v>
      </c>
      <c r="I20" s="1" t="s">
        <v>39</v>
      </c>
      <c r="J20" s="1"/>
      <c r="K20" s="1">
        <v>451.21</v>
      </c>
      <c r="L20" s="1">
        <f t="shared" si="5"/>
        <v>15.540999999999997</v>
      </c>
      <c r="M20" s="1"/>
      <c r="N20" s="1"/>
      <c r="O20" s="1">
        <v>253.96077760000011</v>
      </c>
      <c r="P20" s="1"/>
      <c r="Q20" s="1"/>
      <c r="R20" s="1">
        <v>600</v>
      </c>
      <c r="S20" s="25"/>
      <c r="T20" s="21"/>
      <c r="U20" s="1">
        <f t="shared" si="6"/>
        <v>93.350200000000001</v>
      </c>
      <c r="V20" s="5">
        <f t="shared" si="14"/>
        <v>95.437622399999981</v>
      </c>
      <c r="W20" s="5">
        <f t="shared" si="8"/>
        <v>95.437622399999981</v>
      </c>
      <c r="X20" s="5">
        <f t="shared" si="12"/>
        <v>95.437622399999981</v>
      </c>
      <c r="Y20" s="38"/>
      <c r="Z20" s="5"/>
      <c r="AA20" s="1">
        <f t="shared" si="9"/>
        <v>12.000000000000002</v>
      </c>
      <c r="AB20" s="1">
        <f t="shared" si="7"/>
        <v>10.977638800988109</v>
      </c>
      <c r="AC20" s="1">
        <v>93.1404</v>
      </c>
      <c r="AD20" s="1">
        <v>67.726399999999998</v>
      </c>
      <c r="AE20" s="1">
        <v>70.512</v>
      </c>
      <c r="AF20" s="1">
        <v>77.909599999999998</v>
      </c>
      <c r="AG20" s="1">
        <v>72.000399999999999</v>
      </c>
      <c r="AH20" s="1">
        <v>75.010799999999989</v>
      </c>
      <c r="AI20" s="1">
        <v>77.209599999999995</v>
      </c>
      <c r="AJ20" s="1">
        <v>79.551599999999993</v>
      </c>
      <c r="AK20" s="1">
        <v>73.747199999999992</v>
      </c>
      <c r="AL20" s="1">
        <v>84.715599999999995</v>
      </c>
      <c r="AM20" s="1"/>
      <c r="AN20" s="1">
        <f t="shared" si="10"/>
        <v>95</v>
      </c>
      <c r="AO20" s="1">
        <f t="shared" si="11"/>
        <v>0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59</v>
      </c>
      <c r="B21" s="1" t="s">
        <v>38</v>
      </c>
      <c r="C21" s="1">
        <v>38.689</v>
      </c>
      <c r="D21" s="1">
        <v>158.52699999999999</v>
      </c>
      <c r="E21" s="1">
        <v>93.644000000000005</v>
      </c>
      <c r="F21" s="1">
        <v>86.864999999999995</v>
      </c>
      <c r="G21" s="7">
        <v>1</v>
      </c>
      <c r="H21" s="1">
        <v>70</v>
      </c>
      <c r="I21" s="1" t="s">
        <v>39</v>
      </c>
      <c r="J21" s="1"/>
      <c r="K21" s="1">
        <v>82.58</v>
      </c>
      <c r="L21" s="1">
        <f t="shared" si="5"/>
        <v>11.064000000000007</v>
      </c>
      <c r="M21" s="1"/>
      <c r="N21" s="1"/>
      <c r="O21" s="1">
        <v>137.71163200000001</v>
      </c>
      <c r="P21" s="1"/>
      <c r="Q21" s="1"/>
      <c r="R21" s="1">
        <v>0</v>
      </c>
      <c r="S21" s="25"/>
      <c r="T21" s="21"/>
      <c r="U21" s="1">
        <f t="shared" si="6"/>
        <v>18.7288</v>
      </c>
      <c r="V21" s="5"/>
      <c r="W21" s="5">
        <f t="shared" si="8"/>
        <v>0</v>
      </c>
      <c r="X21" s="5">
        <f t="shared" si="12"/>
        <v>0</v>
      </c>
      <c r="Y21" s="38"/>
      <c r="Z21" s="5"/>
      <c r="AA21" s="1">
        <f t="shared" si="9"/>
        <v>11.990978172653882</v>
      </c>
      <c r="AB21" s="1">
        <f t="shared" si="7"/>
        <v>11.990978172653882</v>
      </c>
      <c r="AC21" s="1">
        <v>23.340800000000002</v>
      </c>
      <c r="AD21" s="1">
        <v>25.481200000000001</v>
      </c>
      <c r="AE21" s="1">
        <v>24.018799999999999</v>
      </c>
      <c r="AF21" s="1">
        <v>17.2928</v>
      </c>
      <c r="AG21" s="1">
        <v>16.8612</v>
      </c>
      <c r="AH21" s="1">
        <v>15.4404</v>
      </c>
      <c r="AI21" s="1">
        <v>13</v>
      </c>
      <c r="AJ21" s="1">
        <v>21.806999999999999</v>
      </c>
      <c r="AK21" s="1">
        <v>21.227</v>
      </c>
      <c r="AL21" s="1">
        <v>14.3834</v>
      </c>
      <c r="AM21" s="1"/>
      <c r="AN21" s="1">
        <f t="shared" si="10"/>
        <v>0</v>
      </c>
      <c r="AO21" s="1">
        <f t="shared" si="11"/>
        <v>0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" t="s">
        <v>60</v>
      </c>
      <c r="B22" s="1" t="s">
        <v>38</v>
      </c>
      <c r="C22" s="1">
        <v>35.841999999999999</v>
      </c>
      <c r="D22" s="1">
        <v>259.99099999999999</v>
      </c>
      <c r="E22" s="1">
        <v>190.976</v>
      </c>
      <c r="F22" s="1">
        <v>79.399000000000001</v>
      </c>
      <c r="G22" s="7">
        <v>1</v>
      </c>
      <c r="H22" s="1">
        <v>70</v>
      </c>
      <c r="I22" s="9" t="s">
        <v>51</v>
      </c>
      <c r="J22" s="1"/>
      <c r="K22" s="1">
        <v>184.14</v>
      </c>
      <c r="L22" s="1">
        <f t="shared" si="5"/>
        <v>6.8360000000000127</v>
      </c>
      <c r="M22" s="1"/>
      <c r="N22" s="1"/>
      <c r="O22" s="1">
        <v>100</v>
      </c>
      <c r="P22" s="1"/>
      <c r="Q22" s="1"/>
      <c r="R22" s="1">
        <v>0</v>
      </c>
      <c r="S22" s="25"/>
      <c r="T22" s="21"/>
      <c r="U22" s="1">
        <f t="shared" si="6"/>
        <v>38.1952</v>
      </c>
      <c r="V22" s="5">
        <v>250</v>
      </c>
      <c r="W22" s="5">
        <f t="shared" si="8"/>
        <v>250</v>
      </c>
      <c r="X22" s="5">
        <v>250</v>
      </c>
      <c r="Y22" s="38"/>
      <c r="Z22" s="5">
        <v>100</v>
      </c>
      <c r="AA22" s="1">
        <f t="shared" si="9"/>
        <v>13.860354180630027</v>
      </c>
      <c r="AB22" s="1">
        <f t="shared" si="7"/>
        <v>4.6968990867962468</v>
      </c>
      <c r="AC22" s="1">
        <v>16.365600000000001</v>
      </c>
      <c r="AD22" s="1">
        <v>6.5044000000000004</v>
      </c>
      <c r="AE22" s="1">
        <v>18.438800000000001</v>
      </c>
      <c r="AF22" s="1">
        <v>35.318600000000004</v>
      </c>
      <c r="AG22" s="1">
        <v>41.7134</v>
      </c>
      <c r="AH22" s="1">
        <v>43.699199999999998</v>
      </c>
      <c r="AI22" s="1">
        <v>38.575599999999987</v>
      </c>
      <c r="AJ22" s="1">
        <v>44.986800000000002</v>
      </c>
      <c r="AK22" s="1">
        <v>38.965000000000003</v>
      </c>
      <c r="AL22" s="1">
        <v>37.324399999999997</v>
      </c>
      <c r="AM22" s="1"/>
      <c r="AN22" s="1">
        <f t="shared" si="10"/>
        <v>250</v>
      </c>
      <c r="AO22" s="1">
        <f t="shared" si="11"/>
        <v>100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61</v>
      </c>
      <c r="B23" s="1" t="s">
        <v>38</v>
      </c>
      <c r="C23" s="1">
        <v>73.180000000000007</v>
      </c>
      <c r="D23" s="1">
        <v>88.884</v>
      </c>
      <c r="E23" s="1">
        <v>25.094000000000001</v>
      </c>
      <c r="F23" s="1">
        <v>135.55699999999999</v>
      </c>
      <c r="G23" s="7">
        <v>1</v>
      </c>
      <c r="H23" s="1">
        <v>180</v>
      </c>
      <c r="I23" s="1" t="s">
        <v>39</v>
      </c>
      <c r="J23" s="1"/>
      <c r="K23" s="1">
        <v>24.75</v>
      </c>
      <c r="L23" s="1">
        <f t="shared" si="5"/>
        <v>0.34400000000000119</v>
      </c>
      <c r="M23" s="1"/>
      <c r="N23" s="1"/>
      <c r="O23" s="1">
        <v>0</v>
      </c>
      <c r="P23" s="1"/>
      <c r="Q23" s="1"/>
      <c r="R23" s="1">
        <v>0</v>
      </c>
      <c r="S23" s="25"/>
      <c r="T23" s="21"/>
      <c r="U23" s="1">
        <f t="shared" si="6"/>
        <v>5.0188000000000006</v>
      </c>
      <c r="V23" s="5"/>
      <c r="W23" s="5">
        <f t="shared" si="8"/>
        <v>0</v>
      </c>
      <c r="X23" s="5">
        <f t="shared" si="12"/>
        <v>0</v>
      </c>
      <c r="Y23" s="38"/>
      <c r="Z23" s="5"/>
      <c r="AA23" s="1">
        <f t="shared" si="9"/>
        <v>27.009842990356255</v>
      </c>
      <c r="AB23" s="1">
        <f t="shared" si="7"/>
        <v>27.009842990356255</v>
      </c>
      <c r="AC23" s="1">
        <v>4.7473999999999998</v>
      </c>
      <c r="AD23" s="1">
        <v>1.9568000000000001</v>
      </c>
      <c r="AE23" s="1">
        <v>2.3163999999999998</v>
      </c>
      <c r="AF23" s="1">
        <v>7.5906000000000002</v>
      </c>
      <c r="AG23" s="1">
        <v>9.031600000000001</v>
      </c>
      <c r="AH23" s="1">
        <v>4.0991999999999997</v>
      </c>
      <c r="AI23" s="1">
        <v>1.9630000000000001</v>
      </c>
      <c r="AJ23" s="1">
        <v>4.3348000000000004</v>
      </c>
      <c r="AK23" s="1">
        <v>3.0522</v>
      </c>
      <c r="AL23" s="1">
        <v>3.3224</v>
      </c>
      <c r="AM23" s="15" t="s">
        <v>62</v>
      </c>
      <c r="AN23" s="1">
        <f t="shared" si="10"/>
        <v>0</v>
      </c>
      <c r="AO23" s="1">
        <f t="shared" si="11"/>
        <v>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1" t="s">
        <v>63</v>
      </c>
      <c r="B24" s="1" t="s">
        <v>38</v>
      </c>
      <c r="C24" s="1">
        <v>13.196999999999999</v>
      </c>
      <c r="D24" s="1">
        <v>74.655000000000001</v>
      </c>
      <c r="E24" s="1">
        <v>94.849000000000004</v>
      </c>
      <c r="F24" s="1">
        <v>-11.4</v>
      </c>
      <c r="G24" s="7">
        <v>1</v>
      </c>
      <c r="H24" s="1">
        <v>70</v>
      </c>
      <c r="I24" s="9" t="s">
        <v>51</v>
      </c>
      <c r="J24" s="1"/>
      <c r="K24" s="1">
        <v>177.56</v>
      </c>
      <c r="L24" s="1">
        <f t="shared" si="5"/>
        <v>-82.710999999999999</v>
      </c>
      <c r="M24" s="1"/>
      <c r="N24" s="1"/>
      <c r="O24" s="1">
        <v>200</v>
      </c>
      <c r="P24" s="1"/>
      <c r="Q24" s="1"/>
      <c r="R24" s="1">
        <v>50</v>
      </c>
      <c r="S24" s="25"/>
      <c r="T24" s="21"/>
      <c r="U24" s="1">
        <f t="shared" si="6"/>
        <v>18.969799999999999</v>
      </c>
      <c r="V24" s="5">
        <v>30</v>
      </c>
      <c r="W24" s="5">
        <f t="shared" si="8"/>
        <v>30</v>
      </c>
      <c r="X24" s="5">
        <f t="shared" si="12"/>
        <v>30</v>
      </c>
      <c r="Y24" s="38"/>
      <c r="Z24" s="5"/>
      <c r="AA24" s="1">
        <f t="shared" si="9"/>
        <v>14.15934801632068</v>
      </c>
      <c r="AB24" s="1">
        <f t="shared" si="7"/>
        <v>12.577886957163491</v>
      </c>
      <c r="AC24" s="1">
        <v>14.39</v>
      </c>
      <c r="AD24" s="1">
        <v>8.7706</v>
      </c>
      <c r="AE24" s="1">
        <v>14.5794</v>
      </c>
      <c r="AF24" s="1">
        <v>31.823799999999999</v>
      </c>
      <c r="AG24" s="1">
        <v>37.118400000000001</v>
      </c>
      <c r="AH24" s="1">
        <v>39.154400000000003</v>
      </c>
      <c r="AI24" s="1">
        <v>36.545400000000001</v>
      </c>
      <c r="AJ24" s="1">
        <v>37.086200000000012</v>
      </c>
      <c r="AK24" s="1">
        <v>30.3794</v>
      </c>
      <c r="AL24" s="1">
        <v>37.165799999999997</v>
      </c>
      <c r="AM24" s="1"/>
      <c r="AN24" s="1">
        <f t="shared" si="10"/>
        <v>30</v>
      </c>
      <c r="AO24" s="1">
        <f t="shared" si="11"/>
        <v>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1" t="s">
        <v>64</v>
      </c>
      <c r="B25" s="11" t="s">
        <v>38</v>
      </c>
      <c r="C25" s="11">
        <v>0.39800000000000002</v>
      </c>
      <c r="D25" s="11"/>
      <c r="E25" s="11">
        <v>-1.84</v>
      </c>
      <c r="F25" s="11">
        <v>0.39800000000000002</v>
      </c>
      <c r="G25" s="12">
        <v>0</v>
      </c>
      <c r="H25" s="11">
        <v>35</v>
      </c>
      <c r="I25" s="11" t="s">
        <v>65</v>
      </c>
      <c r="J25" s="11"/>
      <c r="K25" s="11">
        <v>0.7</v>
      </c>
      <c r="L25" s="11">
        <f t="shared" si="5"/>
        <v>-2.54</v>
      </c>
      <c r="M25" s="11"/>
      <c r="N25" s="11"/>
      <c r="O25" s="11">
        <v>0</v>
      </c>
      <c r="P25" s="11"/>
      <c r="Q25" s="11"/>
      <c r="R25" s="11">
        <v>0</v>
      </c>
      <c r="S25" s="27"/>
      <c r="T25" s="23"/>
      <c r="U25" s="11">
        <f t="shared" si="6"/>
        <v>-0.36799999999999999</v>
      </c>
      <c r="V25" s="13"/>
      <c r="W25" s="5">
        <f t="shared" si="8"/>
        <v>0</v>
      </c>
      <c r="X25" s="5">
        <f t="shared" si="12"/>
        <v>0</v>
      </c>
      <c r="Y25" s="38"/>
      <c r="Z25" s="5"/>
      <c r="AA25" s="1">
        <f t="shared" si="9"/>
        <v>-1.0815217391304348</v>
      </c>
      <c r="AB25" s="11">
        <f t="shared" si="7"/>
        <v>-1.0815217391304348</v>
      </c>
      <c r="AC25" s="11">
        <v>-0.51079999999999992</v>
      </c>
      <c r="AD25" s="11">
        <v>-0.14280000000000001</v>
      </c>
      <c r="AE25" s="11">
        <v>0</v>
      </c>
      <c r="AF25" s="11">
        <v>-0.1394</v>
      </c>
      <c r="AG25" s="11">
        <v>-0.42159999999999997</v>
      </c>
      <c r="AH25" s="11">
        <v>-0.28220000000000001</v>
      </c>
      <c r="AI25" s="11">
        <v>-0.14000000000000001</v>
      </c>
      <c r="AJ25" s="11">
        <v>-0.14000000000000001</v>
      </c>
      <c r="AK25" s="11">
        <v>0</v>
      </c>
      <c r="AL25" s="11">
        <v>4.6292</v>
      </c>
      <c r="AM25" s="11"/>
      <c r="AN25" s="1">
        <f t="shared" si="10"/>
        <v>0</v>
      </c>
      <c r="AO25" s="1">
        <f t="shared" si="11"/>
        <v>0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1" t="s">
        <v>66</v>
      </c>
      <c r="B26" s="11" t="s">
        <v>38</v>
      </c>
      <c r="C26" s="11"/>
      <c r="D26" s="11"/>
      <c r="E26" s="11"/>
      <c r="F26" s="11"/>
      <c r="G26" s="12">
        <v>0</v>
      </c>
      <c r="H26" s="11"/>
      <c r="I26" s="11" t="s">
        <v>39</v>
      </c>
      <c r="J26" s="11"/>
      <c r="K26" s="11"/>
      <c r="L26" s="11">
        <f t="shared" si="5"/>
        <v>0</v>
      </c>
      <c r="M26" s="11"/>
      <c r="N26" s="11"/>
      <c r="O26" s="11">
        <v>0</v>
      </c>
      <c r="P26" s="11"/>
      <c r="Q26" s="11"/>
      <c r="R26" s="11">
        <v>0</v>
      </c>
      <c r="S26" s="27"/>
      <c r="T26" s="23"/>
      <c r="U26" s="11">
        <f t="shared" si="6"/>
        <v>0</v>
      </c>
      <c r="V26" s="13"/>
      <c r="W26" s="5">
        <f t="shared" si="8"/>
        <v>0</v>
      </c>
      <c r="X26" s="5">
        <f t="shared" si="12"/>
        <v>0</v>
      </c>
      <c r="Y26" s="38"/>
      <c r="Z26" s="5"/>
      <c r="AA26" s="1" t="e">
        <f t="shared" si="9"/>
        <v>#DIV/0!</v>
      </c>
      <c r="AB26" s="11" t="e">
        <f t="shared" si="7"/>
        <v>#DIV/0!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 t="s">
        <v>49</v>
      </c>
      <c r="AN26" s="1">
        <f t="shared" si="10"/>
        <v>0</v>
      </c>
      <c r="AO26" s="1">
        <f t="shared" si="11"/>
        <v>0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" t="s">
        <v>67</v>
      </c>
      <c r="B27" s="1" t="s">
        <v>38</v>
      </c>
      <c r="C27" s="1">
        <v>19.146000000000001</v>
      </c>
      <c r="D27" s="1">
        <v>1.46</v>
      </c>
      <c r="E27" s="1">
        <v>8.2080000000000002</v>
      </c>
      <c r="F27" s="1">
        <v>-4.1520000000000001</v>
      </c>
      <c r="G27" s="7">
        <v>1</v>
      </c>
      <c r="H27" s="1">
        <v>30</v>
      </c>
      <c r="I27" s="1" t="s">
        <v>39</v>
      </c>
      <c r="J27" s="1"/>
      <c r="K27" s="1">
        <v>22.6</v>
      </c>
      <c r="L27" s="1">
        <f t="shared" si="5"/>
        <v>-14.392000000000001</v>
      </c>
      <c r="M27" s="1"/>
      <c r="N27" s="1"/>
      <c r="O27" s="1">
        <v>317.55293200000011</v>
      </c>
      <c r="P27" s="1"/>
      <c r="Q27" s="1"/>
      <c r="R27" s="1">
        <v>0</v>
      </c>
      <c r="S27" s="25"/>
      <c r="T27" s="21"/>
      <c r="U27" s="1">
        <f t="shared" si="6"/>
        <v>1.6415999999999999</v>
      </c>
      <c r="V27" s="5"/>
      <c r="W27" s="5">
        <f t="shared" si="8"/>
        <v>0</v>
      </c>
      <c r="X27" s="5">
        <f t="shared" si="12"/>
        <v>0</v>
      </c>
      <c r="Y27" s="38"/>
      <c r="Z27" s="5"/>
      <c r="AA27" s="1">
        <f t="shared" si="9"/>
        <v>190.91187378167649</v>
      </c>
      <c r="AB27" s="1">
        <f t="shared" si="7"/>
        <v>190.91187378167649</v>
      </c>
      <c r="AC27" s="1">
        <v>20.915800000000001</v>
      </c>
      <c r="AD27" s="1">
        <v>41.127400000000002</v>
      </c>
      <c r="AE27" s="1">
        <v>48.219200000000001</v>
      </c>
      <c r="AF27" s="1">
        <v>53.691999999999993</v>
      </c>
      <c r="AG27" s="1">
        <v>57.585799999999992</v>
      </c>
      <c r="AH27" s="1">
        <v>41.682000000000002</v>
      </c>
      <c r="AI27" s="1">
        <v>45.629399999999997</v>
      </c>
      <c r="AJ27" s="1">
        <v>54.0336</v>
      </c>
      <c r="AK27" s="1">
        <v>33.3504</v>
      </c>
      <c r="AL27" s="1">
        <v>39.0062</v>
      </c>
      <c r="AM27" s="1"/>
      <c r="AN27" s="1">
        <f t="shared" si="10"/>
        <v>0</v>
      </c>
      <c r="AO27" s="1">
        <f t="shared" si="11"/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68</v>
      </c>
      <c r="B28" s="1" t="s">
        <v>38</v>
      </c>
      <c r="C28" s="1">
        <v>3.702</v>
      </c>
      <c r="D28" s="1"/>
      <c r="E28" s="1">
        <v>-0.56000000000000005</v>
      </c>
      <c r="F28" s="1">
        <v>3.702</v>
      </c>
      <c r="G28" s="7">
        <v>1</v>
      </c>
      <c r="H28" s="1">
        <v>40</v>
      </c>
      <c r="I28" s="9" t="s">
        <v>51</v>
      </c>
      <c r="J28" s="1"/>
      <c r="K28" s="1">
        <v>26.8</v>
      </c>
      <c r="L28" s="1">
        <f t="shared" si="5"/>
        <v>-27.36</v>
      </c>
      <c r="M28" s="1"/>
      <c r="N28" s="1"/>
      <c r="O28" s="1">
        <v>50</v>
      </c>
      <c r="P28" s="1"/>
      <c r="Q28" s="1"/>
      <c r="R28" s="1">
        <v>30</v>
      </c>
      <c r="S28" s="25"/>
      <c r="T28" s="21"/>
      <c r="U28" s="1">
        <f t="shared" si="6"/>
        <v>-0.11200000000000002</v>
      </c>
      <c r="V28" s="5"/>
      <c r="W28" s="5">
        <f t="shared" si="8"/>
        <v>0</v>
      </c>
      <c r="X28" s="5">
        <f t="shared" si="12"/>
        <v>0</v>
      </c>
      <c r="Y28" s="38"/>
      <c r="Z28" s="5"/>
      <c r="AA28" s="1">
        <f t="shared" si="9"/>
        <v>-747.33928571428555</v>
      </c>
      <c r="AB28" s="1">
        <f t="shared" si="7"/>
        <v>-747.33928571428555</v>
      </c>
      <c r="AC28" s="1">
        <v>0</v>
      </c>
      <c r="AD28" s="1">
        <v>0</v>
      </c>
      <c r="AE28" s="1">
        <v>0</v>
      </c>
      <c r="AF28" s="1">
        <v>-0.40960000000000002</v>
      </c>
      <c r="AG28" s="1">
        <v>-0.79859999999999998</v>
      </c>
      <c r="AH28" s="1">
        <v>0.30380000000000001</v>
      </c>
      <c r="AI28" s="1">
        <v>-2.1000000000000001E-2</v>
      </c>
      <c r="AJ28" s="1">
        <v>0.1164</v>
      </c>
      <c r="AK28" s="1">
        <v>1.6801999999999999</v>
      </c>
      <c r="AL28" s="1">
        <v>37.1038</v>
      </c>
      <c r="AM28" s="1"/>
      <c r="AN28" s="1">
        <f t="shared" si="10"/>
        <v>0</v>
      </c>
      <c r="AO28" s="1">
        <f t="shared" si="11"/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" t="s">
        <v>69</v>
      </c>
      <c r="B29" s="1" t="s">
        <v>38</v>
      </c>
      <c r="C29" s="1">
        <v>1.25</v>
      </c>
      <c r="D29" s="1">
        <v>156.43799999999999</v>
      </c>
      <c r="E29" s="1">
        <v>143.20099999999999</v>
      </c>
      <c r="F29" s="1">
        <v>1.2849999999999999</v>
      </c>
      <c r="G29" s="7">
        <v>1</v>
      </c>
      <c r="H29" s="1">
        <v>30</v>
      </c>
      <c r="I29" s="9" t="s">
        <v>51</v>
      </c>
      <c r="J29" s="1"/>
      <c r="K29" s="1">
        <v>192.05</v>
      </c>
      <c r="L29" s="1">
        <f t="shared" si="5"/>
        <v>-48.849000000000018</v>
      </c>
      <c r="M29" s="1"/>
      <c r="N29" s="1"/>
      <c r="O29" s="1">
        <v>200</v>
      </c>
      <c r="P29" s="1"/>
      <c r="Q29" s="1"/>
      <c r="R29" s="1">
        <v>200</v>
      </c>
      <c r="S29" s="25"/>
      <c r="T29" s="21"/>
      <c r="U29" s="1">
        <f t="shared" si="6"/>
        <v>28.6402</v>
      </c>
      <c r="V29" s="5"/>
      <c r="W29" s="5">
        <f t="shared" si="8"/>
        <v>0</v>
      </c>
      <c r="X29" s="5">
        <f t="shared" si="12"/>
        <v>0</v>
      </c>
      <c r="Y29" s="38"/>
      <c r="Z29" s="5"/>
      <c r="AA29" s="1">
        <f t="shared" si="9"/>
        <v>14.011249921439095</v>
      </c>
      <c r="AB29" s="1">
        <f t="shared" si="7"/>
        <v>14.011249921439095</v>
      </c>
      <c r="AC29" s="1">
        <v>49.427</v>
      </c>
      <c r="AD29" s="1">
        <v>45.0518</v>
      </c>
      <c r="AE29" s="1">
        <v>-8.8800000000000004E-2</v>
      </c>
      <c r="AF29" s="1">
        <v>11.554</v>
      </c>
      <c r="AG29" s="1">
        <v>72.658000000000001</v>
      </c>
      <c r="AH29" s="1">
        <v>66.253200000000007</v>
      </c>
      <c r="AI29" s="1">
        <v>2.3946000000000001</v>
      </c>
      <c r="AJ29" s="1">
        <v>-0.96219999999999994</v>
      </c>
      <c r="AK29" s="1">
        <v>10.6404</v>
      </c>
      <c r="AL29" s="1">
        <v>28.9634</v>
      </c>
      <c r="AM29" s="10" t="s">
        <v>47</v>
      </c>
      <c r="AN29" s="1">
        <f t="shared" si="10"/>
        <v>0</v>
      </c>
      <c r="AO29" s="1">
        <f t="shared" si="11"/>
        <v>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" t="s">
        <v>70</v>
      </c>
      <c r="B30" s="1" t="s">
        <v>38</v>
      </c>
      <c r="C30" s="1">
        <v>917.93100000000004</v>
      </c>
      <c r="D30" s="1">
        <v>1.44</v>
      </c>
      <c r="E30" s="1">
        <v>915.90700000000004</v>
      </c>
      <c r="F30" s="1">
        <v>7.8E-2</v>
      </c>
      <c r="G30" s="7">
        <v>1</v>
      </c>
      <c r="H30" s="1">
        <v>40</v>
      </c>
      <c r="I30" s="9" t="s">
        <v>51</v>
      </c>
      <c r="J30" s="1"/>
      <c r="K30" s="1">
        <v>884.55499999999995</v>
      </c>
      <c r="L30" s="1">
        <f t="shared" si="5"/>
        <v>31.352000000000089</v>
      </c>
      <c r="M30" s="1"/>
      <c r="N30" s="1"/>
      <c r="O30" s="1">
        <v>0</v>
      </c>
      <c r="P30" s="1"/>
      <c r="Q30" s="1"/>
      <c r="R30" s="1">
        <v>700</v>
      </c>
      <c r="S30" s="25"/>
      <c r="T30" s="21"/>
      <c r="U30" s="1">
        <f t="shared" si="6"/>
        <v>183.1814</v>
      </c>
      <c r="V30" s="5">
        <v>800</v>
      </c>
      <c r="W30" s="5">
        <f t="shared" si="8"/>
        <v>800</v>
      </c>
      <c r="X30" s="5">
        <v>800</v>
      </c>
      <c r="Y30" s="38"/>
      <c r="Z30" s="5">
        <v>600</v>
      </c>
      <c r="AA30" s="1">
        <f t="shared" si="9"/>
        <v>11.464471829563482</v>
      </c>
      <c r="AB30" s="1">
        <f t="shared" si="7"/>
        <v>3.8217744814702801</v>
      </c>
      <c r="AC30" s="1">
        <v>189.0034</v>
      </c>
      <c r="AD30" s="1">
        <v>89.290199999999999</v>
      </c>
      <c r="AE30" s="1">
        <v>4.0186000000000002</v>
      </c>
      <c r="AF30" s="1">
        <v>4.0195999999999996</v>
      </c>
      <c r="AG30" s="1">
        <v>85.760400000000004</v>
      </c>
      <c r="AH30" s="1">
        <v>91.31280000000001</v>
      </c>
      <c r="AI30" s="1">
        <v>5.6337999999999999</v>
      </c>
      <c r="AJ30" s="1">
        <v>-0.54759999999999998</v>
      </c>
      <c r="AK30" s="1">
        <v>-0.10059999999999999</v>
      </c>
      <c r="AL30" s="1">
        <v>-0.82639999999999991</v>
      </c>
      <c r="AM30" s="10" t="s">
        <v>47</v>
      </c>
      <c r="AN30" s="1">
        <f t="shared" si="10"/>
        <v>800</v>
      </c>
      <c r="AO30" s="1">
        <f t="shared" si="11"/>
        <v>600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1" t="s">
        <v>71</v>
      </c>
      <c r="B31" s="1" t="s">
        <v>38</v>
      </c>
      <c r="C31" s="1">
        <v>0.28199999999999997</v>
      </c>
      <c r="D31" s="1">
        <v>27.111999999999998</v>
      </c>
      <c r="E31" s="1">
        <v>14.997</v>
      </c>
      <c r="F31" s="1">
        <v>7.71</v>
      </c>
      <c r="G31" s="7">
        <v>1</v>
      </c>
      <c r="H31" s="1">
        <v>40</v>
      </c>
      <c r="I31" s="9" t="s">
        <v>51</v>
      </c>
      <c r="J31" s="1"/>
      <c r="K31" s="1">
        <v>17.899999999999999</v>
      </c>
      <c r="L31" s="1">
        <f t="shared" si="5"/>
        <v>-2.9029999999999987</v>
      </c>
      <c r="M31" s="1"/>
      <c r="N31" s="1"/>
      <c r="O31" s="1">
        <v>10</v>
      </c>
      <c r="P31" s="1"/>
      <c r="Q31" s="1"/>
      <c r="R31" s="1">
        <v>0</v>
      </c>
      <c r="S31" s="25"/>
      <c r="T31" s="21"/>
      <c r="U31" s="1">
        <f t="shared" si="6"/>
        <v>2.9994000000000001</v>
      </c>
      <c r="V31" s="5">
        <f t="shared" ref="V31:V33" si="16">12*U31-R31-Q31-P31-O31-F31</f>
        <v>18.282800000000002</v>
      </c>
      <c r="W31" s="5">
        <f t="shared" si="8"/>
        <v>18.282800000000002</v>
      </c>
      <c r="X31" s="5">
        <f t="shared" si="12"/>
        <v>18.282800000000002</v>
      </c>
      <c r="Y31" s="38"/>
      <c r="Z31" s="5"/>
      <c r="AA31" s="1">
        <f t="shared" si="9"/>
        <v>12</v>
      </c>
      <c r="AB31" s="1">
        <f t="shared" si="7"/>
        <v>5.90451423618057</v>
      </c>
      <c r="AC31" s="1">
        <v>1.4805999999999999</v>
      </c>
      <c r="AD31" s="1">
        <v>0</v>
      </c>
      <c r="AE31" s="1">
        <v>0</v>
      </c>
      <c r="AF31" s="1">
        <v>3.4148000000000009</v>
      </c>
      <c r="AG31" s="1">
        <v>5.5952000000000002</v>
      </c>
      <c r="AH31" s="1">
        <v>2.1804000000000001</v>
      </c>
      <c r="AI31" s="1">
        <v>0</v>
      </c>
      <c r="AJ31" s="1">
        <v>0</v>
      </c>
      <c r="AK31" s="1">
        <v>0</v>
      </c>
      <c r="AL31" s="1">
        <v>0</v>
      </c>
      <c r="AM31" s="1"/>
      <c r="AN31" s="1">
        <f t="shared" si="10"/>
        <v>18</v>
      </c>
      <c r="AO31" s="1">
        <f t="shared" si="11"/>
        <v>0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" t="s">
        <v>72</v>
      </c>
      <c r="B32" s="1" t="s">
        <v>38</v>
      </c>
      <c r="C32" s="1">
        <v>156.74700000000001</v>
      </c>
      <c r="D32" s="1">
        <v>4.234</v>
      </c>
      <c r="E32" s="1">
        <v>101.834</v>
      </c>
      <c r="F32" s="1">
        <v>42.177</v>
      </c>
      <c r="G32" s="7">
        <v>1</v>
      </c>
      <c r="H32" s="1">
        <v>30</v>
      </c>
      <c r="I32" s="1" t="s">
        <v>39</v>
      </c>
      <c r="J32" s="1"/>
      <c r="K32" s="1">
        <v>122.4</v>
      </c>
      <c r="L32" s="1">
        <f t="shared" si="5"/>
        <v>-20.566000000000003</v>
      </c>
      <c r="M32" s="1"/>
      <c r="N32" s="1"/>
      <c r="O32" s="1">
        <v>0</v>
      </c>
      <c r="P32" s="1"/>
      <c r="Q32" s="1"/>
      <c r="R32" s="1">
        <v>63.789400000000029</v>
      </c>
      <c r="S32" s="25"/>
      <c r="T32" s="21"/>
      <c r="U32" s="1">
        <f t="shared" si="6"/>
        <v>20.366800000000001</v>
      </c>
      <c r="V32" s="5">
        <f t="shared" si="16"/>
        <v>138.43520000000001</v>
      </c>
      <c r="W32" s="5">
        <f t="shared" si="8"/>
        <v>138.43520000000001</v>
      </c>
      <c r="X32" s="5">
        <f t="shared" si="12"/>
        <v>55.927820800000006</v>
      </c>
      <c r="Y32" s="38"/>
      <c r="Z32" s="5">
        <f>W32*$Z$1</f>
        <v>82.507379200000003</v>
      </c>
      <c r="AA32" s="1">
        <f t="shared" si="9"/>
        <v>12</v>
      </c>
      <c r="AB32" s="1">
        <f t="shared" si="7"/>
        <v>5.2028988353595071</v>
      </c>
      <c r="AC32" s="1">
        <v>14.660399999999999</v>
      </c>
      <c r="AD32" s="1">
        <v>3.9342000000000001</v>
      </c>
      <c r="AE32" s="1">
        <v>1.4094</v>
      </c>
      <c r="AF32" s="1">
        <v>13.768800000000001</v>
      </c>
      <c r="AG32" s="1">
        <v>18.741599999999998</v>
      </c>
      <c r="AH32" s="1">
        <v>8.1288</v>
      </c>
      <c r="AI32" s="1">
        <v>0.57519999999999993</v>
      </c>
      <c r="AJ32" s="1">
        <v>4.4287999999999998</v>
      </c>
      <c r="AK32" s="1">
        <v>9.4892000000000003</v>
      </c>
      <c r="AL32" s="1">
        <v>9.4754000000000005</v>
      </c>
      <c r="AM32" s="1"/>
      <c r="AN32" s="1">
        <f t="shared" si="10"/>
        <v>56</v>
      </c>
      <c r="AO32" s="1">
        <f t="shared" si="11"/>
        <v>83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1" t="s">
        <v>73</v>
      </c>
      <c r="B33" s="1" t="s">
        <v>38</v>
      </c>
      <c r="C33" s="1">
        <v>6.2359999999999998</v>
      </c>
      <c r="D33" s="1">
        <v>159.78700000000001</v>
      </c>
      <c r="E33" s="1">
        <v>72.489000000000004</v>
      </c>
      <c r="F33" s="1">
        <v>88.944999999999993</v>
      </c>
      <c r="G33" s="7">
        <v>1</v>
      </c>
      <c r="H33" s="1">
        <v>50</v>
      </c>
      <c r="I33" s="9" t="s">
        <v>51</v>
      </c>
      <c r="J33" s="1"/>
      <c r="K33" s="1">
        <v>65.400000000000006</v>
      </c>
      <c r="L33" s="1">
        <f t="shared" si="5"/>
        <v>7.0889999999999986</v>
      </c>
      <c r="M33" s="1"/>
      <c r="N33" s="1"/>
      <c r="O33" s="1">
        <v>0</v>
      </c>
      <c r="P33" s="1"/>
      <c r="Q33" s="1"/>
      <c r="R33" s="1">
        <v>0</v>
      </c>
      <c r="S33" s="25"/>
      <c r="T33" s="21"/>
      <c r="U33" s="1">
        <f t="shared" si="6"/>
        <v>14.497800000000002</v>
      </c>
      <c r="V33" s="5">
        <f t="shared" si="16"/>
        <v>85.02860000000004</v>
      </c>
      <c r="W33" s="5">
        <f t="shared" si="8"/>
        <v>85.02860000000004</v>
      </c>
      <c r="X33" s="5">
        <f t="shared" si="12"/>
        <v>85.02860000000004</v>
      </c>
      <c r="Y33" s="38"/>
      <c r="Z33" s="5"/>
      <c r="AA33" s="1">
        <f t="shared" si="9"/>
        <v>12.000000000000002</v>
      </c>
      <c r="AB33" s="1">
        <f t="shared" si="7"/>
        <v>6.1350687690546142</v>
      </c>
      <c r="AC33" s="1">
        <v>7.5068000000000001</v>
      </c>
      <c r="AD33" s="1">
        <v>11.5124</v>
      </c>
      <c r="AE33" s="1">
        <v>10.9542</v>
      </c>
      <c r="AF33" s="1">
        <v>11.3468</v>
      </c>
      <c r="AG33" s="1">
        <v>12.454000000000001</v>
      </c>
      <c r="AH33" s="1">
        <v>10.270799999999999</v>
      </c>
      <c r="AI33" s="1">
        <v>14.135999999999999</v>
      </c>
      <c r="AJ33" s="1">
        <v>12.776400000000001</v>
      </c>
      <c r="AK33" s="1">
        <v>6.4742000000000006</v>
      </c>
      <c r="AL33" s="1">
        <v>12.1784</v>
      </c>
      <c r="AM33" s="1"/>
      <c r="AN33" s="1">
        <f t="shared" si="10"/>
        <v>85</v>
      </c>
      <c r="AO33" s="1">
        <f t="shared" si="11"/>
        <v>0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11" t="s">
        <v>74</v>
      </c>
      <c r="B34" s="11" t="s">
        <v>38</v>
      </c>
      <c r="C34" s="11">
        <v>3.173</v>
      </c>
      <c r="D34" s="11"/>
      <c r="E34" s="11">
        <v>-0.92</v>
      </c>
      <c r="F34" s="11">
        <v>3.173</v>
      </c>
      <c r="G34" s="12">
        <v>0</v>
      </c>
      <c r="H34" s="11">
        <v>50</v>
      </c>
      <c r="I34" s="11" t="s">
        <v>65</v>
      </c>
      <c r="J34" s="11"/>
      <c r="K34" s="11">
        <v>8.1999999999999993</v>
      </c>
      <c r="L34" s="11">
        <f t="shared" si="5"/>
        <v>-9.1199999999999992</v>
      </c>
      <c r="M34" s="11"/>
      <c r="N34" s="11"/>
      <c r="O34" s="11">
        <v>0</v>
      </c>
      <c r="P34" s="11"/>
      <c r="Q34" s="11"/>
      <c r="R34" s="11">
        <v>0</v>
      </c>
      <c r="S34" s="27"/>
      <c r="T34" s="23"/>
      <c r="U34" s="11">
        <f t="shared" si="6"/>
        <v>-0.184</v>
      </c>
      <c r="V34" s="13"/>
      <c r="W34" s="5">
        <f t="shared" si="8"/>
        <v>0</v>
      </c>
      <c r="X34" s="5">
        <f t="shared" si="12"/>
        <v>0</v>
      </c>
      <c r="Y34" s="38"/>
      <c r="Z34" s="5"/>
      <c r="AA34" s="1">
        <f t="shared" si="9"/>
        <v>-17.244565217391305</v>
      </c>
      <c r="AB34" s="11">
        <f t="shared" si="7"/>
        <v>-17.244565217391305</v>
      </c>
      <c r="AC34" s="11">
        <v>0</v>
      </c>
      <c r="AD34" s="11">
        <v>-0.18079999999999999</v>
      </c>
      <c r="AE34" s="11">
        <v>-0.36299999999999999</v>
      </c>
      <c r="AF34" s="11">
        <v>-0.1822</v>
      </c>
      <c r="AG34" s="11">
        <v>-0.54239999999999999</v>
      </c>
      <c r="AH34" s="11">
        <v>-2.3757999999999999</v>
      </c>
      <c r="AI34" s="11">
        <v>-0.74660000000000004</v>
      </c>
      <c r="AJ34" s="11">
        <v>5.9942000000000002</v>
      </c>
      <c r="AK34" s="11">
        <v>6.5543999999999993</v>
      </c>
      <c r="AL34" s="11">
        <v>7.2969999999999997</v>
      </c>
      <c r="AM34" s="11"/>
      <c r="AN34" s="1">
        <f t="shared" si="10"/>
        <v>0</v>
      </c>
      <c r="AO34" s="1">
        <f t="shared" si="11"/>
        <v>0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75</v>
      </c>
      <c r="B35" s="1" t="s">
        <v>38</v>
      </c>
      <c r="C35" s="1">
        <v>30.565000000000001</v>
      </c>
      <c r="D35" s="1">
        <v>54.098999999999997</v>
      </c>
      <c r="E35" s="1">
        <v>44.542000000000002</v>
      </c>
      <c r="F35" s="1">
        <v>35.563000000000002</v>
      </c>
      <c r="G35" s="7">
        <v>1</v>
      </c>
      <c r="H35" s="1">
        <v>50</v>
      </c>
      <c r="I35" s="1" t="s">
        <v>39</v>
      </c>
      <c r="J35" s="1"/>
      <c r="K35" s="1">
        <v>42.7</v>
      </c>
      <c r="L35" s="1">
        <f t="shared" si="5"/>
        <v>1.8419999999999987</v>
      </c>
      <c r="M35" s="1"/>
      <c r="N35" s="1"/>
      <c r="O35" s="1">
        <v>20</v>
      </c>
      <c r="P35" s="1"/>
      <c r="Q35" s="1"/>
      <c r="R35" s="1">
        <v>14.5044</v>
      </c>
      <c r="S35" s="25"/>
      <c r="T35" s="21"/>
      <c r="U35" s="1">
        <f t="shared" si="6"/>
        <v>8.9084000000000003</v>
      </c>
      <c r="V35" s="5">
        <f t="shared" ref="V35:V45" si="17">12*U35-R35-Q35-P35-O35-F35</f>
        <v>36.833399999999997</v>
      </c>
      <c r="W35" s="5">
        <f t="shared" si="8"/>
        <v>36.833399999999997</v>
      </c>
      <c r="X35" s="5">
        <f t="shared" si="12"/>
        <v>36.833399999999997</v>
      </c>
      <c r="Y35" s="38"/>
      <c r="Z35" s="5"/>
      <c r="AA35" s="1">
        <f t="shared" si="9"/>
        <v>12</v>
      </c>
      <c r="AB35" s="1">
        <f t="shared" si="7"/>
        <v>7.8653181267118679</v>
      </c>
      <c r="AC35" s="1">
        <v>7.8503999999999996</v>
      </c>
      <c r="AD35" s="1">
        <v>4.3845999999999998</v>
      </c>
      <c r="AE35" s="1">
        <v>6.3595999999999986</v>
      </c>
      <c r="AF35" s="1">
        <v>12.702</v>
      </c>
      <c r="AG35" s="1">
        <v>10.155799999999999</v>
      </c>
      <c r="AH35" s="1">
        <v>6.3393999999999986</v>
      </c>
      <c r="AI35" s="1">
        <v>11.959199999999999</v>
      </c>
      <c r="AJ35" s="1">
        <v>10.5078</v>
      </c>
      <c r="AK35" s="1">
        <v>5.4367999999999999</v>
      </c>
      <c r="AL35" s="1">
        <v>6.6819999999999986</v>
      </c>
      <c r="AM35" s="1"/>
      <c r="AN35" s="1">
        <f t="shared" si="10"/>
        <v>37</v>
      </c>
      <c r="AO35" s="1">
        <f t="shared" si="11"/>
        <v>0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76</v>
      </c>
      <c r="B36" s="1" t="s">
        <v>43</v>
      </c>
      <c r="C36" s="1">
        <v>3</v>
      </c>
      <c r="D36" s="1"/>
      <c r="E36" s="1">
        <v>-3</v>
      </c>
      <c r="F36" s="1">
        <v>3</v>
      </c>
      <c r="G36" s="7">
        <v>0.4</v>
      </c>
      <c r="H36" s="1">
        <v>45</v>
      </c>
      <c r="I36" s="9" t="s">
        <v>51</v>
      </c>
      <c r="J36" s="1"/>
      <c r="K36" s="1">
        <v>216</v>
      </c>
      <c r="L36" s="1">
        <f t="shared" si="5"/>
        <v>-219</v>
      </c>
      <c r="M36" s="1"/>
      <c r="N36" s="1"/>
      <c r="O36" s="1">
        <v>200</v>
      </c>
      <c r="P36" s="1"/>
      <c r="Q36" s="1"/>
      <c r="R36" s="1">
        <v>350</v>
      </c>
      <c r="S36" s="25"/>
      <c r="T36" s="21"/>
      <c r="U36" s="1">
        <f t="shared" si="6"/>
        <v>-0.6</v>
      </c>
      <c r="V36" s="5">
        <v>200</v>
      </c>
      <c r="W36" s="5">
        <f t="shared" si="8"/>
        <v>200</v>
      </c>
      <c r="X36" s="5">
        <f t="shared" si="12"/>
        <v>200</v>
      </c>
      <c r="Y36" s="38"/>
      <c r="Z36" s="5"/>
      <c r="AA36" s="1">
        <f t="shared" si="9"/>
        <v>-1255</v>
      </c>
      <c r="AB36" s="1">
        <f t="shared" si="7"/>
        <v>-921.66666666666674</v>
      </c>
      <c r="AC36" s="1">
        <v>43</v>
      </c>
      <c r="AD36" s="1">
        <v>53.6</v>
      </c>
      <c r="AE36" s="1">
        <v>82</v>
      </c>
      <c r="AF36" s="1">
        <v>105.6</v>
      </c>
      <c r="AG36" s="1">
        <v>114.4</v>
      </c>
      <c r="AH36" s="1">
        <v>104.2</v>
      </c>
      <c r="AI36" s="1">
        <v>116</v>
      </c>
      <c r="AJ36" s="1">
        <v>216.8</v>
      </c>
      <c r="AK36" s="1">
        <v>207.6</v>
      </c>
      <c r="AL36" s="1">
        <v>159.19999999999999</v>
      </c>
      <c r="AM36" s="1"/>
      <c r="AN36" s="1">
        <f t="shared" si="10"/>
        <v>80</v>
      </c>
      <c r="AO36" s="1">
        <f t="shared" si="11"/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" t="s">
        <v>77</v>
      </c>
      <c r="B37" s="1" t="s">
        <v>43</v>
      </c>
      <c r="C37" s="1">
        <v>498</v>
      </c>
      <c r="D37" s="1">
        <v>140</v>
      </c>
      <c r="E37" s="1">
        <v>133</v>
      </c>
      <c r="F37" s="1">
        <v>495</v>
      </c>
      <c r="G37" s="7">
        <v>0.45</v>
      </c>
      <c r="H37" s="1">
        <v>50</v>
      </c>
      <c r="I37" s="1" t="s">
        <v>39</v>
      </c>
      <c r="J37" s="1"/>
      <c r="K37" s="1">
        <v>133</v>
      </c>
      <c r="L37" s="1">
        <f t="shared" si="5"/>
        <v>0</v>
      </c>
      <c r="M37" s="1"/>
      <c r="N37" s="1"/>
      <c r="O37" s="1">
        <v>0</v>
      </c>
      <c r="P37" s="1"/>
      <c r="Q37" s="1"/>
      <c r="R37" s="1">
        <v>0</v>
      </c>
      <c r="S37" s="25"/>
      <c r="T37" s="21"/>
      <c r="U37" s="1">
        <f t="shared" si="6"/>
        <v>26.6</v>
      </c>
      <c r="V37" s="5"/>
      <c r="W37" s="5">
        <f t="shared" si="8"/>
        <v>0</v>
      </c>
      <c r="X37" s="5">
        <f t="shared" si="12"/>
        <v>0</v>
      </c>
      <c r="Y37" s="38"/>
      <c r="Z37" s="5"/>
      <c r="AA37" s="1">
        <f t="shared" si="9"/>
        <v>18.609022556390975</v>
      </c>
      <c r="AB37" s="1">
        <f t="shared" si="7"/>
        <v>18.609022556390975</v>
      </c>
      <c r="AC37" s="1">
        <v>21.8</v>
      </c>
      <c r="AD37" s="1">
        <v>11.8</v>
      </c>
      <c r="AE37" s="1">
        <v>12.6</v>
      </c>
      <c r="AF37" s="1">
        <v>23.8</v>
      </c>
      <c r="AG37" s="1">
        <v>51.6</v>
      </c>
      <c r="AH37" s="1">
        <v>52.6</v>
      </c>
      <c r="AI37" s="1">
        <v>22.2</v>
      </c>
      <c r="AJ37" s="1">
        <v>31.6</v>
      </c>
      <c r="AK37" s="1">
        <v>33.799999999999997</v>
      </c>
      <c r="AL37" s="1">
        <v>31.2</v>
      </c>
      <c r="AM37" s="16" t="s">
        <v>92</v>
      </c>
      <c r="AN37" s="1">
        <f t="shared" si="10"/>
        <v>0</v>
      </c>
      <c r="AO37" s="1">
        <f t="shared" si="11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78</v>
      </c>
      <c r="B38" s="1" t="s">
        <v>43</v>
      </c>
      <c r="C38" s="1">
        <v>22</v>
      </c>
      <c r="D38" s="1">
        <v>108</v>
      </c>
      <c r="E38" s="1">
        <v>90</v>
      </c>
      <c r="F38" s="1">
        <v>28</v>
      </c>
      <c r="G38" s="7">
        <v>0.4</v>
      </c>
      <c r="H38" s="1">
        <v>45</v>
      </c>
      <c r="I38" s="9" t="s">
        <v>51</v>
      </c>
      <c r="J38" s="1"/>
      <c r="K38" s="1">
        <v>191</v>
      </c>
      <c r="L38" s="1">
        <f t="shared" ref="L38:L69" si="18">E38-K38</f>
        <v>-101</v>
      </c>
      <c r="M38" s="1"/>
      <c r="N38" s="1"/>
      <c r="O38" s="1">
        <v>80</v>
      </c>
      <c r="P38" s="1"/>
      <c r="Q38" s="1"/>
      <c r="R38" s="1">
        <v>200</v>
      </c>
      <c r="S38" s="25"/>
      <c r="T38" s="21"/>
      <c r="U38" s="1">
        <f t="shared" ref="U38:U69" si="19">E38/5</f>
        <v>18</v>
      </c>
      <c r="V38" s="5">
        <v>60</v>
      </c>
      <c r="W38" s="5">
        <f t="shared" si="8"/>
        <v>60</v>
      </c>
      <c r="X38" s="5">
        <f t="shared" si="12"/>
        <v>60</v>
      </c>
      <c r="Y38" s="38"/>
      <c r="Z38" s="5"/>
      <c r="AA38" s="1">
        <f t="shared" si="9"/>
        <v>20.444444444444443</v>
      </c>
      <c r="AB38" s="1">
        <f t="shared" ref="AB38:AB69" si="20">(F38+O38+P38+Q38+R38)/U38</f>
        <v>17.111111111111111</v>
      </c>
      <c r="AC38" s="1">
        <v>24.6</v>
      </c>
      <c r="AD38" s="1">
        <v>14.2</v>
      </c>
      <c r="AE38" s="1">
        <v>-0.4</v>
      </c>
      <c r="AF38" s="1">
        <v>2.4</v>
      </c>
      <c r="AG38" s="1">
        <v>29</v>
      </c>
      <c r="AH38" s="1">
        <v>33.6</v>
      </c>
      <c r="AI38" s="1">
        <v>5.4</v>
      </c>
      <c r="AJ38" s="1">
        <v>27.8</v>
      </c>
      <c r="AK38" s="1">
        <v>61.4</v>
      </c>
      <c r="AL38" s="1">
        <v>43.8</v>
      </c>
      <c r="AM38" s="1"/>
      <c r="AN38" s="1">
        <f t="shared" si="10"/>
        <v>24</v>
      </c>
      <c r="AO38" s="1">
        <f t="shared" si="11"/>
        <v>0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79</v>
      </c>
      <c r="B39" s="1" t="s">
        <v>43</v>
      </c>
      <c r="C39" s="1">
        <v>-2</v>
      </c>
      <c r="D39" s="1"/>
      <c r="E39" s="1"/>
      <c r="F39" s="1">
        <v>-2</v>
      </c>
      <c r="G39" s="7">
        <v>0.4</v>
      </c>
      <c r="H39" s="1">
        <v>40</v>
      </c>
      <c r="I39" s="9" t="s">
        <v>51</v>
      </c>
      <c r="J39" s="1"/>
      <c r="K39" s="1">
        <v>6</v>
      </c>
      <c r="L39" s="1">
        <f t="shared" si="18"/>
        <v>-6</v>
      </c>
      <c r="M39" s="1"/>
      <c r="N39" s="1"/>
      <c r="O39" s="1">
        <v>10</v>
      </c>
      <c r="P39" s="1">
        <v>-12</v>
      </c>
      <c r="Q39" s="1"/>
      <c r="R39" s="1">
        <v>20</v>
      </c>
      <c r="S39" s="25"/>
      <c r="T39" s="21"/>
      <c r="U39" s="1">
        <f t="shared" si="19"/>
        <v>0</v>
      </c>
      <c r="V39" s="5">
        <v>20</v>
      </c>
      <c r="W39" s="5">
        <f t="shared" si="8"/>
        <v>20</v>
      </c>
      <c r="X39" s="5">
        <f t="shared" si="12"/>
        <v>20</v>
      </c>
      <c r="Y39" s="38"/>
      <c r="Z39" s="5"/>
      <c r="AA39" s="1" t="e">
        <f t="shared" si="9"/>
        <v>#DIV/0!</v>
      </c>
      <c r="AB39" s="1" t="e">
        <f t="shared" si="20"/>
        <v>#DIV/0!</v>
      </c>
      <c r="AC39" s="1">
        <v>0</v>
      </c>
      <c r="AD39" s="1">
        <v>0</v>
      </c>
      <c r="AE39" s="1">
        <v>0</v>
      </c>
      <c r="AF39" s="1">
        <v>3</v>
      </c>
      <c r="AG39" s="1">
        <v>8.6</v>
      </c>
      <c r="AH39" s="1">
        <v>9.1999999999999993</v>
      </c>
      <c r="AI39" s="1">
        <v>5.6</v>
      </c>
      <c r="AJ39" s="1">
        <v>11.2</v>
      </c>
      <c r="AK39" s="1">
        <v>12</v>
      </c>
      <c r="AL39" s="1">
        <v>6.6</v>
      </c>
      <c r="AM39" s="1"/>
      <c r="AN39" s="1">
        <f t="shared" si="10"/>
        <v>8</v>
      </c>
      <c r="AO39" s="1">
        <f t="shared" si="11"/>
        <v>0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80</v>
      </c>
      <c r="B40" s="1" t="s">
        <v>38</v>
      </c>
      <c r="C40" s="1">
        <v>53.665999999999997</v>
      </c>
      <c r="D40" s="1">
        <v>42.026000000000003</v>
      </c>
      <c r="E40" s="1">
        <v>46.777000000000001</v>
      </c>
      <c r="F40" s="1">
        <v>39.051000000000002</v>
      </c>
      <c r="G40" s="7">
        <v>1</v>
      </c>
      <c r="H40" s="1">
        <v>45</v>
      </c>
      <c r="I40" s="9" t="s">
        <v>51</v>
      </c>
      <c r="J40" s="1"/>
      <c r="K40" s="1">
        <v>38</v>
      </c>
      <c r="L40" s="1">
        <f t="shared" si="18"/>
        <v>8.777000000000001</v>
      </c>
      <c r="M40" s="1"/>
      <c r="N40" s="1"/>
      <c r="O40" s="1">
        <v>20</v>
      </c>
      <c r="P40" s="1"/>
      <c r="Q40" s="1"/>
      <c r="R40" s="1">
        <v>27.73</v>
      </c>
      <c r="S40" s="25"/>
      <c r="T40" s="21"/>
      <c r="U40" s="1">
        <f t="shared" si="19"/>
        <v>9.3553999999999995</v>
      </c>
      <c r="V40" s="5">
        <v>20</v>
      </c>
      <c r="W40" s="5">
        <f t="shared" si="8"/>
        <v>20</v>
      </c>
      <c r="X40" s="5">
        <f t="shared" si="12"/>
        <v>20</v>
      </c>
      <c r="Y40" s="38"/>
      <c r="Z40" s="5"/>
      <c r="AA40" s="1">
        <f t="shared" si="9"/>
        <v>11.413835859503603</v>
      </c>
      <c r="AB40" s="1">
        <f t="shared" si="20"/>
        <v>9.2760330931868236</v>
      </c>
      <c r="AC40" s="1">
        <v>10.323</v>
      </c>
      <c r="AD40" s="1">
        <v>4.6484000000000014</v>
      </c>
      <c r="AE40" s="1">
        <v>2.3094000000000001</v>
      </c>
      <c r="AF40" s="1">
        <v>9.5343999999999998</v>
      </c>
      <c r="AG40" s="1">
        <v>16.715199999999999</v>
      </c>
      <c r="AH40" s="1">
        <v>10.9094</v>
      </c>
      <c r="AI40" s="1">
        <v>0</v>
      </c>
      <c r="AJ40" s="1">
        <v>0</v>
      </c>
      <c r="AK40" s="1">
        <v>0</v>
      </c>
      <c r="AL40" s="1">
        <v>0</v>
      </c>
      <c r="AM40" s="1"/>
      <c r="AN40" s="1">
        <f t="shared" si="10"/>
        <v>20</v>
      </c>
      <c r="AO40" s="1">
        <f t="shared" si="11"/>
        <v>0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81</v>
      </c>
      <c r="B41" s="1" t="s">
        <v>43</v>
      </c>
      <c r="C41" s="1">
        <v>740</v>
      </c>
      <c r="D41" s="1">
        <v>520</v>
      </c>
      <c r="E41" s="1">
        <v>747</v>
      </c>
      <c r="F41" s="1">
        <v>480</v>
      </c>
      <c r="G41" s="7">
        <v>0.1</v>
      </c>
      <c r="H41" s="1">
        <v>731</v>
      </c>
      <c r="I41" s="1" t="s">
        <v>39</v>
      </c>
      <c r="J41" s="1"/>
      <c r="K41" s="1">
        <v>723</v>
      </c>
      <c r="L41" s="1">
        <f t="shared" si="18"/>
        <v>24</v>
      </c>
      <c r="M41" s="1"/>
      <c r="N41" s="1"/>
      <c r="O41" s="1">
        <v>400</v>
      </c>
      <c r="P41" s="1"/>
      <c r="Q41" s="1"/>
      <c r="R41" s="1">
        <v>400</v>
      </c>
      <c r="S41" s="25"/>
      <c r="T41" s="21"/>
      <c r="U41" s="1">
        <f t="shared" si="19"/>
        <v>149.4</v>
      </c>
      <c r="V41" s="5">
        <f t="shared" si="17"/>
        <v>512.80000000000018</v>
      </c>
      <c r="W41" s="5">
        <f t="shared" si="8"/>
        <v>512.80000000000018</v>
      </c>
      <c r="X41" s="5">
        <f t="shared" si="12"/>
        <v>207.17120000000011</v>
      </c>
      <c r="Y41" s="38"/>
      <c r="Z41" s="5">
        <f>W41*$Z$1</f>
        <v>305.62880000000007</v>
      </c>
      <c r="AA41" s="1">
        <f t="shared" si="9"/>
        <v>12</v>
      </c>
      <c r="AB41" s="1">
        <f t="shared" si="20"/>
        <v>8.5676037483266398</v>
      </c>
      <c r="AC41" s="1">
        <v>112</v>
      </c>
      <c r="AD41" s="1">
        <v>37</v>
      </c>
      <c r="AE41" s="1">
        <v>22.6</v>
      </c>
      <c r="AF41" s="1">
        <v>58.2</v>
      </c>
      <c r="AG41" s="1">
        <v>88</v>
      </c>
      <c r="AH41" s="1">
        <v>90</v>
      </c>
      <c r="AI41" s="1">
        <v>67.400000000000006</v>
      </c>
      <c r="AJ41" s="1">
        <v>57.8</v>
      </c>
      <c r="AK41" s="1">
        <v>47.8</v>
      </c>
      <c r="AL41" s="1">
        <v>59.6</v>
      </c>
      <c r="AM41" s="1" t="s">
        <v>82</v>
      </c>
      <c r="AN41" s="1">
        <f t="shared" si="10"/>
        <v>21</v>
      </c>
      <c r="AO41" s="1">
        <f t="shared" si="11"/>
        <v>31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83</v>
      </c>
      <c r="B42" s="1" t="s">
        <v>43</v>
      </c>
      <c r="C42" s="1">
        <v>5</v>
      </c>
      <c r="D42" s="1"/>
      <c r="E42" s="1">
        <v>-19</v>
      </c>
      <c r="F42" s="1">
        <v>5</v>
      </c>
      <c r="G42" s="7">
        <v>0.35</v>
      </c>
      <c r="H42" s="1">
        <v>40</v>
      </c>
      <c r="I42" s="9" t="s">
        <v>51</v>
      </c>
      <c r="J42" s="1"/>
      <c r="K42" s="1">
        <v>29</v>
      </c>
      <c r="L42" s="1">
        <f t="shared" si="18"/>
        <v>-48</v>
      </c>
      <c r="M42" s="1"/>
      <c r="N42" s="1"/>
      <c r="O42" s="1">
        <v>50</v>
      </c>
      <c r="P42" s="1"/>
      <c r="Q42" s="1"/>
      <c r="R42" s="1">
        <v>20</v>
      </c>
      <c r="S42" s="25"/>
      <c r="T42" s="21"/>
      <c r="U42" s="1">
        <f t="shared" si="19"/>
        <v>-3.8</v>
      </c>
      <c r="V42" s="5">
        <v>20</v>
      </c>
      <c r="W42" s="5">
        <f t="shared" si="8"/>
        <v>20</v>
      </c>
      <c r="X42" s="5">
        <f t="shared" si="12"/>
        <v>20</v>
      </c>
      <c r="Y42" s="38"/>
      <c r="Z42" s="5"/>
      <c r="AA42" s="1">
        <f t="shared" si="9"/>
        <v>-25</v>
      </c>
      <c r="AB42" s="1">
        <f t="shared" si="20"/>
        <v>-19.736842105263158</v>
      </c>
      <c r="AC42" s="1">
        <v>-3.6</v>
      </c>
      <c r="AD42" s="1">
        <v>0</v>
      </c>
      <c r="AE42" s="1">
        <v>0</v>
      </c>
      <c r="AF42" s="1">
        <v>-0.2</v>
      </c>
      <c r="AG42" s="1">
        <v>-0.8</v>
      </c>
      <c r="AH42" s="1">
        <v>0</v>
      </c>
      <c r="AI42" s="1">
        <v>-0.2</v>
      </c>
      <c r="AJ42" s="1">
        <v>-0.8</v>
      </c>
      <c r="AK42" s="1">
        <v>3.8</v>
      </c>
      <c r="AL42" s="1">
        <v>1.4</v>
      </c>
      <c r="AM42" s="1"/>
      <c r="AN42" s="1">
        <f t="shared" si="10"/>
        <v>7</v>
      </c>
      <c r="AO42" s="1">
        <f t="shared" si="11"/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84</v>
      </c>
      <c r="B43" s="1" t="s">
        <v>38</v>
      </c>
      <c r="C43" s="1">
        <v>24.013999999999999</v>
      </c>
      <c r="D43" s="1"/>
      <c r="E43" s="1">
        <v>28.54</v>
      </c>
      <c r="F43" s="1">
        <v>-5.0839999999999996</v>
      </c>
      <c r="G43" s="7">
        <v>1</v>
      </c>
      <c r="H43" s="1">
        <v>40</v>
      </c>
      <c r="I43" s="9" t="s">
        <v>51</v>
      </c>
      <c r="J43" s="1"/>
      <c r="K43" s="1">
        <v>34.5</v>
      </c>
      <c r="L43" s="1">
        <f t="shared" si="18"/>
        <v>-5.9600000000000009</v>
      </c>
      <c r="M43" s="1"/>
      <c r="N43" s="1"/>
      <c r="O43" s="1">
        <v>100</v>
      </c>
      <c r="P43" s="1"/>
      <c r="Q43" s="1"/>
      <c r="R43" s="1">
        <v>50</v>
      </c>
      <c r="S43" s="25"/>
      <c r="T43" s="21"/>
      <c r="U43" s="1">
        <f t="shared" si="19"/>
        <v>5.7080000000000002</v>
      </c>
      <c r="V43" s="5">
        <v>20</v>
      </c>
      <c r="W43" s="5">
        <f t="shared" si="8"/>
        <v>20</v>
      </c>
      <c r="X43" s="5">
        <f t="shared" si="12"/>
        <v>20</v>
      </c>
      <c r="Y43" s="38"/>
      <c r="Z43" s="5"/>
      <c r="AA43" s="1">
        <f t="shared" si="9"/>
        <v>28.892081289418357</v>
      </c>
      <c r="AB43" s="1">
        <f t="shared" si="20"/>
        <v>25.388227049754729</v>
      </c>
      <c r="AC43" s="1">
        <v>8.1778000000000013</v>
      </c>
      <c r="AD43" s="1">
        <v>8.4413999999999998</v>
      </c>
      <c r="AE43" s="1">
        <v>18.788799999999998</v>
      </c>
      <c r="AF43" s="1">
        <v>21.273199999999999</v>
      </c>
      <c r="AG43" s="1">
        <v>22.917999999999999</v>
      </c>
      <c r="AH43" s="1">
        <v>21.759399999999999</v>
      </c>
      <c r="AI43" s="1">
        <v>16.7</v>
      </c>
      <c r="AJ43" s="1">
        <v>22.0274</v>
      </c>
      <c r="AK43" s="1">
        <v>19.802399999999999</v>
      </c>
      <c r="AL43" s="1">
        <v>21.879200000000001</v>
      </c>
      <c r="AM43" s="1"/>
      <c r="AN43" s="1">
        <f t="shared" si="10"/>
        <v>20</v>
      </c>
      <c r="AO43" s="1">
        <f t="shared" si="11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85</v>
      </c>
      <c r="B44" s="1" t="s">
        <v>43</v>
      </c>
      <c r="C44" s="1">
        <v>91</v>
      </c>
      <c r="D44" s="1">
        <v>72</v>
      </c>
      <c r="E44" s="1">
        <v>123</v>
      </c>
      <c r="F44" s="1">
        <v>37</v>
      </c>
      <c r="G44" s="7">
        <v>0.4</v>
      </c>
      <c r="H44" s="1">
        <v>40</v>
      </c>
      <c r="I44" s="9" t="s">
        <v>51</v>
      </c>
      <c r="J44" s="1"/>
      <c r="K44" s="1">
        <v>118</v>
      </c>
      <c r="L44" s="1">
        <f t="shared" si="18"/>
        <v>5</v>
      </c>
      <c r="M44" s="1"/>
      <c r="N44" s="1"/>
      <c r="O44" s="1">
        <v>40</v>
      </c>
      <c r="P44" s="1"/>
      <c r="Q44" s="1"/>
      <c r="R44" s="1">
        <v>20</v>
      </c>
      <c r="S44" s="25"/>
      <c r="T44" s="21"/>
      <c r="U44" s="1">
        <f t="shared" si="19"/>
        <v>24.6</v>
      </c>
      <c r="V44" s="5">
        <v>120</v>
      </c>
      <c r="W44" s="5">
        <f t="shared" si="8"/>
        <v>120</v>
      </c>
      <c r="X44" s="5">
        <v>120</v>
      </c>
      <c r="Y44" s="38"/>
      <c r="Z44" s="5">
        <v>100</v>
      </c>
      <c r="AA44" s="1">
        <f t="shared" si="9"/>
        <v>12.886178861788617</v>
      </c>
      <c r="AB44" s="1">
        <f t="shared" si="20"/>
        <v>3.9430894308943087</v>
      </c>
      <c r="AC44" s="1">
        <v>15.2</v>
      </c>
      <c r="AD44" s="1">
        <v>11.6</v>
      </c>
      <c r="AE44" s="1">
        <v>11</v>
      </c>
      <c r="AF44" s="1">
        <v>16.399999999999999</v>
      </c>
      <c r="AG44" s="1">
        <v>26.8</v>
      </c>
      <c r="AH44" s="1">
        <v>22.8</v>
      </c>
      <c r="AI44" s="1">
        <v>2</v>
      </c>
      <c r="AJ44" s="1">
        <v>6.2</v>
      </c>
      <c r="AK44" s="1">
        <v>16.399999999999999</v>
      </c>
      <c r="AL44" s="1">
        <v>13.2</v>
      </c>
      <c r="AM44" s="1"/>
      <c r="AN44" s="1">
        <f t="shared" si="10"/>
        <v>48</v>
      </c>
      <c r="AO44" s="1">
        <f t="shared" si="11"/>
        <v>40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86</v>
      </c>
      <c r="B45" s="1" t="s">
        <v>43</v>
      </c>
      <c r="C45" s="1">
        <v>113</v>
      </c>
      <c r="D45" s="1">
        <v>150</v>
      </c>
      <c r="E45" s="1">
        <v>138</v>
      </c>
      <c r="F45" s="1">
        <v>122</v>
      </c>
      <c r="G45" s="7">
        <v>0.4</v>
      </c>
      <c r="H45" s="1">
        <v>45</v>
      </c>
      <c r="I45" s="1" t="s">
        <v>39</v>
      </c>
      <c r="J45" s="1"/>
      <c r="K45" s="1">
        <v>139</v>
      </c>
      <c r="L45" s="1">
        <f t="shared" si="18"/>
        <v>-1</v>
      </c>
      <c r="M45" s="1"/>
      <c r="N45" s="1"/>
      <c r="O45" s="1">
        <v>50</v>
      </c>
      <c r="P45" s="1"/>
      <c r="Q45" s="1"/>
      <c r="R45" s="1">
        <v>0</v>
      </c>
      <c r="S45" s="25"/>
      <c r="T45" s="21"/>
      <c r="U45" s="1">
        <f t="shared" si="19"/>
        <v>27.6</v>
      </c>
      <c r="V45" s="5">
        <f t="shared" si="17"/>
        <v>159.20000000000005</v>
      </c>
      <c r="W45" s="5">
        <f t="shared" si="8"/>
        <v>159.20000000000005</v>
      </c>
      <c r="X45" s="5">
        <f t="shared" si="12"/>
        <v>64.316800000000029</v>
      </c>
      <c r="Y45" s="38"/>
      <c r="Z45" s="5">
        <f>W45*$Z$1</f>
        <v>94.883200000000016</v>
      </c>
      <c r="AA45" s="1">
        <f t="shared" si="9"/>
        <v>12.000000000000002</v>
      </c>
      <c r="AB45" s="1">
        <f t="shared" si="20"/>
        <v>6.2318840579710137</v>
      </c>
      <c r="AC45" s="1">
        <v>19</v>
      </c>
      <c r="AD45" s="1">
        <v>11.4</v>
      </c>
      <c r="AE45" s="1">
        <v>1.4</v>
      </c>
      <c r="AF45" s="1">
        <v>4.8</v>
      </c>
      <c r="AG45" s="1">
        <v>25</v>
      </c>
      <c r="AH45" s="1">
        <v>30.8</v>
      </c>
      <c r="AI45" s="1">
        <v>13.8</v>
      </c>
      <c r="AJ45" s="1">
        <v>21.8</v>
      </c>
      <c r="AK45" s="1">
        <v>26.4</v>
      </c>
      <c r="AL45" s="1">
        <v>14.8</v>
      </c>
      <c r="AM45" s="1"/>
      <c r="AN45" s="1">
        <f t="shared" si="10"/>
        <v>26</v>
      </c>
      <c r="AO45" s="1">
        <f t="shared" si="11"/>
        <v>38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1" t="s">
        <v>87</v>
      </c>
      <c r="B46" s="11" t="s">
        <v>38</v>
      </c>
      <c r="C46" s="11">
        <v>2.2000000000000002</v>
      </c>
      <c r="D46" s="11"/>
      <c r="E46" s="11">
        <v>-0.72799999999999998</v>
      </c>
      <c r="F46" s="11">
        <v>2.2000000000000002</v>
      </c>
      <c r="G46" s="12">
        <v>0</v>
      </c>
      <c r="H46" s="11">
        <v>40</v>
      </c>
      <c r="I46" s="11" t="s">
        <v>65</v>
      </c>
      <c r="J46" s="11"/>
      <c r="K46" s="11">
        <v>11.7</v>
      </c>
      <c r="L46" s="11">
        <f t="shared" si="18"/>
        <v>-12.427999999999999</v>
      </c>
      <c r="M46" s="11"/>
      <c r="N46" s="11"/>
      <c r="O46" s="11">
        <v>0</v>
      </c>
      <c r="P46" s="11"/>
      <c r="Q46" s="11"/>
      <c r="R46" s="11">
        <v>0</v>
      </c>
      <c r="S46" s="27"/>
      <c r="T46" s="23"/>
      <c r="U46" s="11">
        <f t="shared" si="19"/>
        <v>-0.14560000000000001</v>
      </c>
      <c r="V46" s="13"/>
      <c r="W46" s="5">
        <f t="shared" si="8"/>
        <v>0</v>
      </c>
      <c r="X46" s="5">
        <f t="shared" si="12"/>
        <v>0</v>
      </c>
      <c r="Y46" s="38"/>
      <c r="Z46" s="5"/>
      <c r="AA46" s="1">
        <f t="shared" si="9"/>
        <v>-15.109890109890109</v>
      </c>
      <c r="AB46" s="11">
        <f t="shared" si="20"/>
        <v>-15.109890109890109</v>
      </c>
      <c r="AC46" s="11">
        <v>-0.14560000000000001</v>
      </c>
      <c r="AD46" s="11">
        <v>0</v>
      </c>
      <c r="AE46" s="11">
        <v>0</v>
      </c>
      <c r="AF46" s="11">
        <v>0</v>
      </c>
      <c r="AG46" s="11">
        <v>-0.1434</v>
      </c>
      <c r="AH46" s="11">
        <v>-0.1434</v>
      </c>
      <c r="AI46" s="11">
        <v>0</v>
      </c>
      <c r="AJ46" s="11">
        <v>-0.43659999999999999</v>
      </c>
      <c r="AK46" s="11">
        <v>-0.43659999999999999</v>
      </c>
      <c r="AL46" s="11">
        <v>-0.28799999999999998</v>
      </c>
      <c r="AM46" s="11"/>
      <c r="AN46" s="1">
        <f t="shared" si="10"/>
        <v>0</v>
      </c>
      <c r="AO46" s="1">
        <f t="shared" si="11"/>
        <v>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88</v>
      </c>
      <c r="B47" s="1" t="s">
        <v>38</v>
      </c>
      <c r="C47" s="1">
        <v>10.734999999999999</v>
      </c>
      <c r="D47" s="1"/>
      <c r="E47" s="1">
        <v>16.913</v>
      </c>
      <c r="F47" s="1">
        <v>-11.271000000000001</v>
      </c>
      <c r="G47" s="7">
        <v>1</v>
      </c>
      <c r="H47" s="1">
        <v>40</v>
      </c>
      <c r="I47" s="9" t="s">
        <v>51</v>
      </c>
      <c r="J47" s="1"/>
      <c r="K47" s="1">
        <v>32.6</v>
      </c>
      <c r="L47" s="1">
        <f t="shared" si="18"/>
        <v>-15.687000000000001</v>
      </c>
      <c r="M47" s="1"/>
      <c r="N47" s="1"/>
      <c r="O47" s="1">
        <v>20</v>
      </c>
      <c r="P47" s="1"/>
      <c r="Q47" s="1"/>
      <c r="R47" s="1">
        <v>50</v>
      </c>
      <c r="S47" s="25"/>
      <c r="T47" s="21"/>
      <c r="U47" s="1">
        <f t="shared" si="19"/>
        <v>3.3826000000000001</v>
      </c>
      <c r="V47" s="5">
        <v>40</v>
      </c>
      <c r="W47" s="5">
        <f t="shared" si="8"/>
        <v>40</v>
      </c>
      <c r="X47" s="5">
        <f t="shared" si="12"/>
        <v>40</v>
      </c>
      <c r="Y47" s="38"/>
      <c r="Z47" s="5"/>
      <c r="AA47" s="1">
        <f t="shared" si="9"/>
        <v>29.187311535505231</v>
      </c>
      <c r="AB47" s="1">
        <f t="shared" si="20"/>
        <v>17.362088334417312</v>
      </c>
      <c r="AC47" s="1">
        <v>8.9486000000000008</v>
      </c>
      <c r="AD47" s="1">
        <v>4.9824000000000002</v>
      </c>
      <c r="AE47" s="1">
        <v>7.7111999999999998</v>
      </c>
      <c r="AF47" s="1">
        <v>16.299800000000001</v>
      </c>
      <c r="AG47" s="1">
        <v>23.334199999999999</v>
      </c>
      <c r="AH47" s="1">
        <v>20.9544</v>
      </c>
      <c r="AI47" s="1">
        <v>15.678000000000001</v>
      </c>
      <c r="AJ47" s="1">
        <v>20.927800000000001</v>
      </c>
      <c r="AK47" s="1">
        <v>16.421600000000002</v>
      </c>
      <c r="AL47" s="1">
        <v>18.161000000000001</v>
      </c>
      <c r="AM47" s="1"/>
      <c r="AN47" s="1">
        <f t="shared" si="10"/>
        <v>40</v>
      </c>
      <c r="AO47" s="1">
        <f t="shared" si="11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89</v>
      </c>
      <c r="B48" s="1" t="s">
        <v>43</v>
      </c>
      <c r="C48" s="1">
        <v>47</v>
      </c>
      <c r="D48" s="1">
        <v>159</v>
      </c>
      <c r="E48" s="1">
        <v>195</v>
      </c>
      <c r="F48" s="1">
        <v>6</v>
      </c>
      <c r="G48" s="7">
        <v>0.35</v>
      </c>
      <c r="H48" s="1">
        <v>40</v>
      </c>
      <c r="I48" s="9" t="s">
        <v>51</v>
      </c>
      <c r="J48" s="1"/>
      <c r="K48" s="1">
        <v>316</v>
      </c>
      <c r="L48" s="1">
        <f t="shared" si="18"/>
        <v>-121</v>
      </c>
      <c r="M48" s="1"/>
      <c r="N48" s="1"/>
      <c r="O48" s="1">
        <v>120</v>
      </c>
      <c r="P48" s="1"/>
      <c r="Q48" s="1"/>
      <c r="R48" s="1">
        <v>172.6</v>
      </c>
      <c r="S48" s="25"/>
      <c r="T48" s="21"/>
      <c r="U48" s="1">
        <f t="shared" si="19"/>
        <v>39</v>
      </c>
      <c r="V48" s="5">
        <f t="shared" ref="V48:V66" si="21">12*U48-R48-Q48-P48-O48-F48</f>
        <v>169.39999999999998</v>
      </c>
      <c r="W48" s="5">
        <f t="shared" si="8"/>
        <v>169.39999999999998</v>
      </c>
      <c r="X48" s="5">
        <f t="shared" si="12"/>
        <v>169.39999999999998</v>
      </c>
      <c r="Y48" s="38"/>
      <c r="Z48" s="5"/>
      <c r="AA48" s="1">
        <f t="shared" si="9"/>
        <v>12</v>
      </c>
      <c r="AB48" s="1">
        <f t="shared" si="20"/>
        <v>7.6564102564102567</v>
      </c>
      <c r="AC48" s="1">
        <v>35.6</v>
      </c>
      <c r="AD48" s="1">
        <v>19.600000000000001</v>
      </c>
      <c r="AE48" s="1">
        <v>0</v>
      </c>
      <c r="AF48" s="1">
        <v>2.2000000000000002</v>
      </c>
      <c r="AG48" s="1">
        <v>53</v>
      </c>
      <c r="AH48" s="1">
        <v>103</v>
      </c>
      <c r="AI48" s="1">
        <v>97.6</v>
      </c>
      <c r="AJ48" s="1">
        <v>89</v>
      </c>
      <c r="AK48" s="1">
        <v>59.8</v>
      </c>
      <c r="AL48" s="1">
        <v>29.4</v>
      </c>
      <c r="AM48" s="1"/>
      <c r="AN48" s="1">
        <f t="shared" si="10"/>
        <v>59</v>
      </c>
      <c r="AO48" s="1">
        <f t="shared" si="11"/>
        <v>0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" t="s">
        <v>90</v>
      </c>
      <c r="B49" s="1" t="s">
        <v>43</v>
      </c>
      <c r="C49" s="1">
        <v>145</v>
      </c>
      <c r="D49" s="1">
        <v>150</v>
      </c>
      <c r="E49" s="1">
        <v>258</v>
      </c>
      <c r="F49" s="1">
        <v>11</v>
      </c>
      <c r="G49" s="7">
        <v>0.4</v>
      </c>
      <c r="H49" s="1">
        <v>40</v>
      </c>
      <c r="I49" s="9" t="s">
        <v>51</v>
      </c>
      <c r="J49" s="1"/>
      <c r="K49" s="1">
        <v>262</v>
      </c>
      <c r="L49" s="1">
        <f t="shared" si="18"/>
        <v>-4</v>
      </c>
      <c r="M49" s="1"/>
      <c r="N49" s="1"/>
      <c r="O49" s="1">
        <v>100</v>
      </c>
      <c r="P49" s="1">
        <v>-102</v>
      </c>
      <c r="Q49" s="1"/>
      <c r="R49" s="1">
        <v>150</v>
      </c>
      <c r="S49" s="25"/>
      <c r="T49" s="21"/>
      <c r="U49" s="1">
        <f t="shared" si="19"/>
        <v>51.6</v>
      </c>
      <c r="V49" s="5">
        <v>150</v>
      </c>
      <c r="W49" s="5">
        <f t="shared" si="8"/>
        <v>150</v>
      </c>
      <c r="X49" s="5">
        <v>150</v>
      </c>
      <c r="Y49" s="38"/>
      <c r="Z49" s="5">
        <v>100</v>
      </c>
      <c r="AA49" s="1">
        <f t="shared" si="9"/>
        <v>7.9263565891472867</v>
      </c>
      <c r="AB49" s="1">
        <f t="shared" si="20"/>
        <v>3.081395348837209</v>
      </c>
      <c r="AC49" s="1">
        <v>49.6</v>
      </c>
      <c r="AD49" s="1">
        <v>31</v>
      </c>
      <c r="AE49" s="1">
        <v>7</v>
      </c>
      <c r="AF49" s="1">
        <v>16.399999999999999</v>
      </c>
      <c r="AG49" s="1">
        <v>57.2</v>
      </c>
      <c r="AH49" s="1">
        <v>50.6</v>
      </c>
      <c r="AI49" s="1">
        <v>5.8</v>
      </c>
      <c r="AJ49" s="1">
        <v>33.6</v>
      </c>
      <c r="AK49" s="1">
        <v>70.400000000000006</v>
      </c>
      <c r="AL49" s="1">
        <v>38.799999999999997</v>
      </c>
      <c r="AM49" s="1"/>
      <c r="AN49" s="1">
        <f t="shared" si="10"/>
        <v>60</v>
      </c>
      <c r="AO49" s="1">
        <f t="shared" si="11"/>
        <v>40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" t="s">
        <v>91</v>
      </c>
      <c r="B50" s="1" t="s">
        <v>38</v>
      </c>
      <c r="C50" s="1">
        <v>96.960999999999999</v>
      </c>
      <c r="D50" s="1">
        <v>99.929000000000002</v>
      </c>
      <c r="E50" s="1">
        <v>41.874000000000002</v>
      </c>
      <c r="F50" s="1">
        <v>146.94</v>
      </c>
      <c r="G50" s="7">
        <v>1</v>
      </c>
      <c r="H50" s="1">
        <v>50</v>
      </c>
      <c r="I50" s="1" t="s">
        <v>39</v>
      </c>
      <c r="J50" s="1"/>
      <c r="K50" s="1">
        <v>39.299999999999997</v>
      </c>
      <c r="L50" s="1">
        <f t="shared" si="18"/>
        <v>2.5740000000000052</v>
      </c>
      <c r="M50" s="1"/>
      <c r="N50" s="1"/>
      <c r="O50" s="1">
        <v>0</v>
      </c>
      <c r="P50" s="1"/>
      <c r="Q50" s="1"/>
      <c r="R50" s="1">
        <v>0</v>
      </c>
      <c r="S50" s="25"/>
      <c r="T50" s="21"/>
      <c r="U50" s="1">
        <f t="shared" si="19"/>
        <v>8.3748000000000005</v>
      </c>
      <c r="V50" s="5"/>
      <c r="W50" s="5">
        <f t="shared" si="8"/>
        <v>0</v>
      </c>
      <c r="X50" s="5">
        <f t="shared" si="12"/>
        <v>0</v>
      </c>
      <c r="Y50" s="38"/>
      <c r="Z50" s="5"/>
      <c r="AA50" s="1">
        <f t="shared" si="9"/>
        <v>17.545493623728326</v>
      </c>
      <c r="AB50" s="1">
        <f t="shared" si="20"/>
        <v>17.545493623728326</v>
      </c>
      <c r="AC50" s="1">
        <v>5.9323999999999986</v>
      </c>
      <c r="AD50" s="1">
        <v>6.7408000000000001</v>
      </c>
      <c r="AE50" s="1">
        <v>7.5424000000000007</v>
      </c>
      <c r="AF50" s="1">
        <v>17.248200000000001</v>
      </c>
      <c r="AG50" s="1">
        <v>16.198599999999999</v>
      </c>
      <c r="AH50" s="1">
        <v>4.0784000000000002</v>
      </c>
      <c r="AI50" s="1">
        <v>5.7111999999999998</v>
      </c>
      <c r="AJ50" s="1">
        <v>8.3732000000000006</v>
      </c>
      <c r="AK50" s="1">
        <v>5.0987999999999998</v>
      </c>
      <c r="AL50" s="1">
        <v>3.4666000000000001</v>
      </c>
      <c r="AM50" s="16" t="s">
        <v>92</v>
      </c>
      <c r="AN50" s="1">
        <f t="shared" si="10"/>
        <v>0</v>
      </c>
      <c r="AO50" s="1">
        <f t="shared" si="11"/>
        <v>0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93</v>
      </c>
      <c r="B51" s="1" t="s">
        <v>38</v>
      </c>
      <c r="C51" s="1">
        <v>233.553</v>
      </c>
      <c r="D51" s="1">
        <v>167.13900000000001</v>
      </c>
      <c r="E51" s="1">
        <v>155.81800000000001</v>
      </c>
      <c r="F51" s="1">
        <v>233.97200000000001</v>
      </c>
      <c r="G51" s="7">
        <v>1</v>
      </c>
      <c r="H51" s="1">
        <v>50</v>
      </c>
      <c r="I51" s="1" t="s">
        <v>39</v>
      </c>
      <c r="J51" s="1"/>
      <c r="K51" s="1">
        <v>152.25</v>
      </c>
      <c r="L51" s="1">
        <f t="shared" si="18"/>
        <v>3.5680000000000121</v>
      </c>
      <c r="M51" s="1"/>
      <c r="N51" s="1"/>
      <c r="O51" s="1">
        <v>0</v>
      </c>
      <c r="P51" s="1"/>
      <c r="Q51" s="1"/>
      <c r="R51" s="1">
        <v>30.38839999999993</v>
      </c>
      <c r="S51" s="25"/>
      <c r="T51" s="21"/>
      <c r="U51" s="1">
        <f t="shared" si="19"/>
        <v>31.163600000000002</v>
      </c>
      <c r="V51" s="5">
        <f t="shared" si="21"/>
        <v>109.60280000000009</v>
      </c>
      <c r="W51" s="5">
        <f t="shared" si="8"/>
        <v>109.60280000000009</v>
      </c>
      <c r="X51" s="5">
        <f t="shared" si="12"/>
        <v>44.279531200000037</v>
      </c>
      <c r="Y51" s="38"/>
      <c r="Z51" s="5">
        <f>W51*$Z$1</f>
        <v>65.323268800000051</v>
      </c>
      <c r="AA51" s="1">
        <f t="shared" si="9"/>
        <v>12</v>
      </c>
      <c r="AB51" s="1">
        <f t="shared" si="20"/>
        <v>8.482986561244525</v>
      </c>
      <c r="AC51" s="1">
        <v>29.2424</v>
      </c>
      <c r="AD51" s="1">
        <v>13.016</v>
      </c>
      <c r="AE51" s="1">
        <v>12.1088</v>
      </c>
      <c r="AF51" s="1">
        <v>26.9346</v>
      </c>
      <c r="AG51" s="1">
        <v>28.4544</v>
      </c>
      <c r="AH51" s="1">
        <v>15.607200000000001</v>
      </c>
      <c r="AI51" s="1">
        <v>15.357799999999999</v>
      </c>
      <c r="AJ51" s="1">
        <v>21.200199999999999</v>
      </c>
      <c r="AK51" s="1">
        <v>14.8202</v>
      </c>
      <c r="AL51" s="1">
        <v>20.593</v>
      </c>
      <c r="AM51" s="1" t="s">
        <v>82</v>
      </c>
      <c r="AN51" s="1">
        <f t="shared" si="10"/>
        <v>44</v>
      </c>
      <c r="AO51" s="1">
        <f t="shared" si="11"/>
        <v>65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94</v>
      </c>
      <c r="B52" s="1" t="s">
        <v>38</v>
      </c>
      <c r="C52" s="1">
        <v>-0.125</v>
      </c>
      <c r="D52" s="1"/>
      <c r="E52" s="1"/>
      <c r="F52" s="1">
        <v>-0.125</v>
      </c>
      <c r="G52" s="7">
        <v>1</v>
      </c>
      <c r="H52" s="1">
        <v>45</v>
      </c>
      <c r="I52" s="9" t="s">
        <v>51</v>
      </c>
      <c r="J52" s="1"/>
      <c r="K52" s="1"/>
      <c r="L52" s="1">
        <f t="shared" si="18"/>
        <v>0</v>
      </c>
      <c r="M52" s="1"/>
      <c r="N52" s="1"/>
      <c r="O52" s="1">
        <v>30</v>
      </c>
      <c r="P52" s="1">
        <v>-36</v>
      </c>
      <c r="Q52" s="1"/>
      <c r="R52" s="1">
        <v>30</v>
      </c>
      <c r="S52" s="25"/>
      <c r="T52" s="21"/>
      <c r="U52" s="1">
        <f t="shared" si="19"/>
        <v>0</v>
      </c>
      <c r="V52" s="5">
        <v>30</v>
      </c>
      <c r="W52" s="5">
        <f t="shared" si="8"/>
        <v>30</v>
      </c>
      <c r="X52" s="5">
        <f t="shared" si="12"/>
        <v>30</v>
      </c>
      <c r="Y52" s="38"/>
      <c r="Z52" s="5"/>
      <c r="AA52" s="1" t="e">
        <f t="shared" si="9"/>
        <v>#DIV/0!</v>
      </c>
      <c r="AB52" s="1" t="e">
        <f t="shared" si="20"/>
        <v>#DIV/0!</v>
      </c>
      <c r="AC52" s="1">
        <v>0</v>
      </c>
      <c r="AD52" s="1">
        <v>0</v>
      </c>
      <c r="AE52" s="1">
        <v>0</v>
      </c>
      <c r="AF52" s="1">
        <v>0</v>
      </c>
      <c r="AG52" s="1">
        <v>-0.03</v>
      </c>
      <c r="AH52" s="1">
        <v>-0.03</v>
      </c>
      <c r="AI52" s="1">
        <v>0</v>
      </c>
      <c r="AJ52" s="1">
        <v>0.57939999999999992</v>
      </c>
      <c r="AK52" s="1">
        <v>19.140999999999998</v>
      </c>
      <c r="AL52" s="1">
        <v>23.854800000000001</v>
      </c>
      <c r="AM52" s="1"/>
      <c r="AN52" s="1">
        <f t="shared" si="10"/>
        <v>30</v>
      </c>
      <c r="AO52" s="1">
        <f t="shared" si="11"/>
        <v>0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" t="s">
        <v>95</v>
      </c>
      <c r="B53" s="1" t="s">
        <v>43</v>
      </c>
      <c r="C53" s="1">
        <v>108</v>
      </c>
      <c r="D53" s="1">
        <v>260</v>
      </c>
      <c r="E53" s="1">
        <v>107</v>
      </c>
      <c r="F53" s="1">
        <v>252</v>
      </c>
      <c r="G53" s="7">
        <v>0.45</v>
      </c>
      <c r="H53" s="1">
        <v>50</v>
      </c>
      <c r="I53" s="1" t="s">
        <v>39</v>
      </c>
      <c r="J53" s="1"/>
      <c r="K53" s="1">
        <v>108</v>
      </c>
      <c r="L53" s="1">
        <f t="shared" si="18"/>
        <v>-1</v>
      </c>
      <c r="M53" s="1"/>
      <c r="N53" s="1"/>
      <c r="O53" s="1">
        <v>0</v>
      </c>
      <c r="P53" s="1"/>
      <c r="Q53" s="1"/>
      <c r="R53" s="1">
        <v>0</v>
      </c>
      <c r="S53" s="25"/>
      <c r="T53" s="21"/>
      <c r="U53" s="1">
        <f t="shared" si="19"/>
        <v>21.4</v>
      </c>
      <c r="V53" s="5">
        <f t="shared" si="21"/>
        <v>4.7999999999999545</v>
      </c>
      <c r="W53" s="5">
        <f t="shared" si="8"/>
        <v>4.7999999999999545</v>
      </c>
      <c r="X53" s="5">
        <f t="shared" si="12"/>
        <v>4.7999999999999545</v>
      </c>
      <c r="Y53" s="38"/>
      <c r="Z53" s="5"/>
      <c r="AA53" s="1">
        <f t="shared" si="9"/>
        <v>11.999999999999998</v>
      </c>
      <c r="AB53" s="1">
        <f t="shared" si="20"/>
        <v>11.77570093457944</v>
      </c>
      <c r="AC53" s="1">
        <v>19.399999999999999</v>
      </c>
      <c r="AD53" s="1">
        <v>21</v>
      </c>
      <c r="AE53" s="1">
        <v>22</v>
      </c>
      <c r="AF53" s="1">
        <v>21.8</v>
      </c>
      <c r="AG53" s="1">
        <v>20.2</v>
      </c>
      <c r="AH53" s="1">
        <v>20.6</v>
      </c>
      <c r="AI53" s="1">
        <v>16.399999999999999</v>
      </c>
      <c r="AJ53" s="1">
        <v>19.600000000000001</v>
      </c>
      <c r="AK53" s="1">
        <v>21.8</v>
      </c>
      <c r="AL53" s="1">
        <v>20.2</v>
      </c>
      <c r="AM53" s="1"/>
      <c r="AN53" s="1">
        <f t="shared" si="10"/>
        <v>2</v>
      </c>
      <c r="AO53" s="1">
        <f t="shared" si="11"/>
        <v>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96</v>
      </c>
      <c r="B54" s="1" t="s">
        <v>43</v>
      </c>
      <c r="C54" s="1">
        <v>391</v>
      </c>
      <c r="D54" s="1">
        <v>210</v>
      </c>
      <c r="E54" s="1">
        <v>108</v>
      </c>
      <c r="F54" s="1">
        <v>484</v>
      </c>
      <c r="G54" s="7">
        <v>0.45</v>
      </c>
      <c r="H54" s="1">
        <v>50</v>
      </c>
      <c r="I54" s="1" t="s">
        <v>39</v>
      </c>
      <c r="J54" s="1"/>
      <c r="K54" s="1">
        <v>130</v>
      </c>
      <c r="L54" s="1">
        <f t="shared" si="18"/>
        <v>-22</v>
      </c>
      <c r="M54" s="1"/>
      <c r="N54" s="1"/>
      <c r="O54" s="1">
        <v>0</v>
      </c>
      <c r="P54" s="1"/>
      <c r="Q54" s="1"/>
      <c r="R54" s="1">
        <v>0</v>
      </c>
      <c r="S54" s="25"/>
      <c r="T54" s="21"/>
      <c r="U54" s="1">
        <f t="shared" si="19"/>
        <v>21.6</v>
      </c>
      <c r="V54" s="5"/>
      <c r="W54" s="5">
        <f t="shared" si="8"/>
        <v>0</v>
      </c>
      <c r="X54" s="5">
        <f t="shared" si="12"/>
        <v>0</v>
      </c>
      <c r="Y54" s="38"/>
      <c r="Z54" s="5"/>
      <c r="AA54" s="1">
        <f t="shared" si="9"/>
        <v>22.407407407407405</v>
      </c>
      <c r="AB54" s="1">
        <f t="shared" si="20"/>
        <v>22.407407407407405</v>
      </c>
      <c r="AC54" s="1">
        <v>16</v>
      </c>
      <c r="AD54" s="1">
        <v>26</v>
      </c>
      <c r="AE54" s="1">
        <v>33</v>
      </c>
      <c r="AF54" s="1">
        <v>31.8</v>
      </c>
      <c r="AG54" s="1">
        <v>48.2</v>
      </c>
      <c r="AH54" s="1">
        <v>45.8</v>
      </c>
      <c r="AI54" s="1">
        <v>21.2</v>
      </c>
      <c r="AJ54" s="1">
        <v>24</v>
      </c>
      <c r="AK54" s="1">
        <v>25.8</v>
      </c>
      <c r="AL54" s="1">
        <v>20.8</v>
      </c>
      <c r="AM54" s="16" t="s">
        <v>92</v>
      </c>
      <c r="AN54" s="1">
        <f t="shared" si="10"/>
        <v>0</v>
      </c>
      <c r="AO54" s="1">
        <f t="shared" si="11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97</v>
      </c>
      <c r="B55" s="1" t="s">
        <v>43</v>
      </c>
      <c r="C55" s="1">
        <v>-6</v>
      </c>
      <c r="D55" s="1"/>
      <c r="E55" s="1"/>
      <c r="F55" s="1">
        <v>-6</v>
      </c>
      <c r="G55" s="7">
        <v>0.4</v>
      </c>
      <c r="H55" s="1">
        <v>40</v>
      </c>
      <c r="I55" s="9" t="s">
        <v>51</v>
      </c>
      <c r="J55" s="1"/>
      <c r="K55" s="1"/>
      <c r="L55" s="1">
        <f t="shared" si="18"/>
        <v>0</v>
      </c>
      <c r="M55" s="1"/>
      <c r="N55" s="1"/>
      <c r="O55" s="1">
        <v>50</v>
      </c>
      <c r="P55" s="1">
        <v>-54</v>
      </c>
      <c r="Q55" s="1"/>
      <c r="R55" s="1">
        <v>50</v>
      </c>
      <c r="S55" s="25"/>
      <c r="T55" s="21"/>
      <c r="U55" s="1">
        <f t="shared" si="19"/>
        <v>0</v>
      </c>
      <c r="V55" s="5">
        <v>50</v>
      </c>
      <c r="W55" s="5">
        <f t="shared" si="8"/>
        <v>50</v>
      </c>
      <c r="X55" s="5">
        <f t="shared" si="12"/>
        <v>50</v>
      </c>
      <c r="Y55" s="38"/>
      <c r="Z55" s="5"/>
      <c r="AA55" s="1" t="e">
        <f t="shared" si="9"/>
        <v>#DIV/0!</v>
      </c>
      <c r="AB55" s="1" t="e">
        <f t="shared" si="20"/>
        <v>#DIV/0!</v>
      </c>
      <c r="AC55" s="1">
        <v>0.6</v>
      </c>
      <c r="AD55" s="1">
        <v>0.4</v>
      </c>
      <c r="AE55" s="1">
        <v>0.4</v>
      </c>
      <c r="AF55" s="1">
        <v>5.2</v>
      </c>
      <c r="AG55" s="1">
        <v>32</v>
      </c>
      <c r="AH55" s="1">
        <v>37.200000000000003</v>
      </c>
      <c r="AI55" s="1">
        <v>17</v>
      </c>
      <c r="AJ55" s="1">
        <v>23.2</v>
      </c>
      <c r="AK55" s="1">
        <v>22.4</v>
      </c>
      <c r="AL55" s="1">
        <v>14.8</v>
      </c>
      <c r="AM55" s="1"/>
      <c r="AN55" s="1">
        <f t="shared" si="10"/>
        <v>20</v>
      </c>
      <c r="AO55" s="1">
        <f t="shared" si="11"/>
        <v>0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" t="s">
        <v>98</v>
      </c>
      <c r="B56" s="1" t="s">
        <v>43</v>
      </c>
      <c r="C56" s="1">
        <v>144</v>
      </c>
      <c r="D56" s="1"/>
      <c r="E56" s="1">
        <v>113</v>
      </c>
      <c r="F56" s="1">
        <v>22</v>
      </c>
      <c r="G56" s="7">
        <v>0.4</v>
      </c>
      <c r="H56" s="1">
        <v>40</v>
      </c>
      <c r="I56" s="9" t="s">
        <v>51</v>
      </c>
      <c r="J56" s="1"/>
      <c r="K56" s="1">
        <v>116</v>
      </c>
      <c r="L56" s="1">
        <f t="shared" si="18"/>
        <v>-3</v>
      </c>
      <c r="M56" s="1"/>
      <c r="N56" s="1"/>
      <c r="O56" s="1">
        <v>60</v>
      </c>
      <c r="P56" s="1"/>
      <c r="Q56" s="1"/>
      <c r="R56" s="1">
        <v>25</v>
      </c>
      <c r="S56" s="25"/>
      <c r="T56" s="21"/>
      <c r="U56" s="1">
        <f t="shared" si="19"/>
        <v>22.6</v>
      </c>
      <c r="V56" s="5">
        <v>120</v>
      </c>
      <c r="W56" s="5">
        <f t="shared" si="8"/>
        <v>120</v>
      </c>
      <c r="X56" s="5">
        <f t="shared" si="12"/>
        <v>120</v>
      </c>
      <c r="Y56" s="38"/>
      <c r="Z56" s="5"/>
      <c r="AA56" s="1">
        <f t="shared" si="9"/>
        <v>10.044247787610619</v>
      </c>
      <c r="AB56" s="1">
        <f t="shared" si="20"/>
        <v>4.7345132743362832</v>
      </c>
      <c r="AC56" s="1">
        <v>16</v>
      </c>
      <c r="AD56" s="1">
        <v>9.1999999999999993</v>
      </c>
      <c r="AE56" s="1">
        <v>11.2</v>
      </c>
      <c r="AF56" s="1">
        <v>18.600000000000001</v>
      </c>
      <c r="AG56" s="1">
        <v>35.200000000000003</v>
      </c>
      <c r="AH56" s="1">
        <v>32</v>
      </c>
      <c r="AI56" s="1">
        <v>12.8</v>
      </c>
      <c r="AJ56" s="1">
        <v>20.8</v>
      </c>
      <c r="AK56" s="1">
        <v>25.4</v>
      </c>
      <c r="AL56" s="1">
        <v>15.6</v>
      </c>
      <c r="AM56" s="1"/>
      <c r="AN56" s="1">
        <f t="shared" si="10"/>
        <v>48</v>
      </c>
      <c r="AO56" s="1">
        <f t="shared" si="11"/>
        <v>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 t="s">
        <v>99</v>
      </c>
      <c r="B57" s="1" t="s">
        <v>38</v>
      </c>
      <c r="C57" s="1">
        <v>235.55799999999999</v>
      </c>
      <c r="D57" s="1">
        <v>162.822</v>
      </c>
      <c r="E57" s="1">
        <v>72.686000000000007</v>
      </c>
      <c r="F57" s="1">
        <v>321.60000000000002</v>
      </c>
      <c r="G57" s="7">
        <v>1</v>
      </c>
      <c r="H57" s="1">
        <v>50</v>
      </c>
      <c r="I57" s="1" t="s">
        <v>39</v>
      </c>
      <c r="J57" s="1"/>
      <c r="K57" s="1">
        <v>71.349999999999994</v>
      </c>
      <c r="L57" s="1">
        <f t="shared" si="18"/>
        <v>1.3360000000000127</v>
      </c>
      <c r="M57" s="1"/>
      <c r="N57" s="1"/>
      <c r="O57" s="1">
        <v>0</v>
      </c>
      <c r="P57" s="1"/>
      <c r="Q57" s="1"/>
      <c r="R57" s="1">
        <v>0</v>
      </c>
      <c r="S57" s="25"/>
      <c r="T57" s="21"/>
      <c r="U57" s="1">
        <f t="shared" si="19"/>
        <v>14.537200000000002</v>
      </c>
      <c r="V57" s="5"/>
      <c r="W57" s="5">
        <f t="shared" si="8"/>
        <v>0</v>
      </c>
      <c r="X57" s="5">
        <f t="shared" si="12"/>
        <v>0</v>
      </c>
      <c r="Y57" s="38"/>
      <c r="Z57" s="5"/>
      <c r="AA57" s="1">
        <f t="shared" si="9"/>
        <v>22.122554549706958</v>
      </c>
      <c r="AB57" s="1">
        <f t="shared" si="20"/>
        <v>22.122554549706958</v>
      </c>
      <c r="AC57" s="1">
        <v>14.926600000000001</v>
      </c>
      <c r="AD57" s="1">
        <v>10.1182</v>
      </c>
      <c r="AE57" s="1">
        <v>9.234</v>
      </c>
      <c r="AF57" s="1">
        <v>17.479399999999998</v>
      </c>
      <c r="AG57" s="1">
        <v>25.413399999999999</v>
      </c>
      <c r="AH57" s="1">
        <v>15.8782</v>
      </c>
      <c r="AI57" s="1">
        <v>12.8612</v>
      </c>
      <c r="AJ57" s="1">
        <v>18.917200000000001</v>
      </c>
      <c r="AK57" s="1">
        <v>14.224399999999999</v>
      </c>
      <c r="AL57" s="1">
        <v>14.7386</v>
      </c>
      <c r="AM57" s="15" t="s">
        <v>100</v>
      </c>
      <c r="AN57" s="1">
        <f t="shared" si="10"/>
        <v>0</v>
      </c>
      <c r="AO57" s="1">
        <f t="shared" si="11"/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 t="s">
        <v>101</v>
      </c>
      <c r="B58" s="1" t="s">
        <v>43</v>
      </c>
      <c r="C58" s="1">
        <v>141</v>
      </c>
      <c r="D58" s="1">
        <v>871</v>
      </c>
      <c r="E58" s="14">
        <f>404+E133</f>
        <v>596</v>
      </c>
      <c r="F58" s="14">
        <f>311+F133</f>
        <v>357</v>
      </c>
      <c r="G58" s="7">
        <v>0.1</v>
      </c>
      <c r="H58" s="1">
        <v>731</v>
      </c>
      <c r="I58" s="1" t="s">
        <v>39</v>
      </c>
      <c r="J58" s="1"/>
      <c r="K58" s="1">
        <v>374</v>
      </c>
      <c r="L58" s="1">
        <f t="shared" si="18"/>
        <v>222</v>
      </c>
      <c r="M58" s="1"/>
      <c r="N58" s="1"/>
      <c r="O58" s="1">
        <v>1000</v>
      </c>
      <c r="P58" s="1"/>
      <c r="Q58" s="1"/>
      <c r="R58" s="1">
        <v>0</v>
      </c>
      <c r="S58" s="25"/>
      <c r="T58" s="21"/>
      <c r="U58" s="1">
        <f t="shared" si="19"/>
        <v>119.2</v>
      </c>
      <c r="V58" s="5">
        <f t="shared" si="21"/>
        <v>73.400000000000091</v>
      </c>
      <c r="W58" s="5">
        <f t="shared" si="8"/>
        <v>73.400000000000091</v>
      </c>
      <c r="X58" s="5">
        <v>300</v>
      </c>
      <c r="Y58" s="38"/>
      <c r="Z58" s="5">
        <v>300</v>
      </c>
      <c r="AA58" s="1">
        <f t="shared" si="9"/>
        <v>16.417785234899327</v>
      </c>
      <c r="AB58" s="1">
        <f t="shared" si="20"/>
        <v>11.384228187919463</v>
      </c>
      <c r="AC58" s="1">
        <v>95.4</v>
      </c>
      <c r="AD58" s="1">
        <v>58.6</v>
      </c>
      <c r="AE58" s="1">
        <v>45.4</v>
      </c>
      <c r="AF58" s="1">
        <v>50</v>
      </c>
      <c r="AG58" s="1">
        <v>44.8</v>
      </c>
      <c r="AH58" s="1">
        <v>32.4</v>
      </c>
      <c r="AI58" s="1">
        <v>36.799999999999997</v>
      </c>
      <c r="AJ58" s="1">
        <v>25.6</v>
      </c>
      <c r="AK58" s="1">
        <v>16.2</v>
      </c>
      <c r="AL58" s="1">
        <v>44</v>
      </c>
      <c r="AM58" s="1" t="s">
        <v>82</v>
      </c>
      <c r="AN58" s="1">
        <f t="shared" si="10"/>
        <v>30</v>
      </c>
      <c r="AO58" s="1">
        <f t="shared" si="11"/>
        <v>30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 t="s">
        <v>102</v>
      </c>
      <c r="B59" s="1" t="s">
        <v>38</v>
      </c>
      <c r="C59" s="1">
        <v>142.79</v>
      </c>
      <c r="D59" s="1">
        <v>162.04</v>
      </c>
      <c r="E59" s="1">
        <v>112.31100000000001</v>
      </c>
      <c r="F59" s="1">
        <v>180.85499999999999</v>
      </c>
      <c r="G59" s="7">
        <v>1</v>
      </c>
      <c r="H59" s="1">
        <v>50</v>
      </c>
      <c r="I59" s="1" t="s">
        <v>39</v>
      </c>
      <c r="J59" s="1"/>
      <c r="K59" s="1">
        <v>96.15</v>
      </c>
      <c r="L59" s="1">
        <f t="shared" si="18"/>
        <v>16.161000000000001</v>
      </c>
      <c r="M59" s="1"/>
      <c r="N59" s="1"/>
      <c r="O59" s="1">
        <v>0</v>
      </c>
      <c r="P59" s="1"/>
      <c r="Q59" s="1"/>
      <c r="R59" s="1">
        <v>0</v>
      </c>
      <c r="S59" s="25"/>
      <c r="T59" s="21"/>
      <c r="U59" s="1">
        <f t="shared" si="19"/>
        <v>22.462200000000003</v>
      </c>
      <c r="V59" s="5">
        <f t="shared" si="21"/>
        <v>88.691400000000073</v>
      </c>
      <c r="W59" s="5">
        <f t="shared" si="8"/>
        <v>88.691400000000073</v>
      </c>
      <c r="X59" s="5">
        <v>100</v>
      </c>
      <c r="Y59" s="38"/>
      <c r="Z59" s="5">
        <v>80</v>
      </c>
      <c r="AA59" s="1">
        <f t="shared" si="9"/>
        <v>16.064989181825467</v>
      </c>
      <c r="AB59" s="1">
        <f t="shared" si="20"/>
        <v>8.0515265646285741</v>
      </c>
      <c r="AC59" s="1">
        <v>19.364799999999999</v>
      </c>
      <c r="AD59" s="1">
        <v>7.6135999999999999</v>
      </c>
      <c r="AE59" s="1">
        <v>7.0691999999999986</v>
      </c>
      <c r="AF59" s="1">
        <v>16.045000000000002</v>
      </c>
      <c r="AG59" s="1">
        <v>15.5054</v>
      </c>
      <c r="AH59" s="1">
        <v>10.170400000000001</v>
      </c>
      <c r="AI59" s="1">
        <v>14.961</v>
      </c>
      <c r="AJ59" s="1">
        <v>15.6616</v>
      </c>
      <c r="AK59" s="1">
        <v>8.7063999999999986</v>
      </c>
      <c r="AL59" s="1">
        <v>10.54</v>
      </c>
      <c r="AM59" s="1" t="s">
        <v>82</v>
      </c>
      <c r="AN59" s="1">
        <f t="shared" si="10"/>
        <v>100</v>
      </c>
      <c r="AO59" s="1">
        <f t="shared" si="11"/>
        <v>80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 t="s">
        <v>103</v>
      </c>
      <c r="B60" s="1" t="s">
        <v>38</v>
      </c>
      <c r="C60" s="1">
        <v>59.17</v>
      </c>
      <c r="D60" s="1">
        <v>56.18</v>
      </c>
      <c r="E60" s="1">
        <v>33.343000000000004</v>
      </c>
      <c r="F60" s="1">
        <v>80.203000000000003</v>
      </c>
      <c r="G60" s="7">
        <v>1</v>
      </c>
      <c r="H60" s="1">
        <v>55</v>
      </c>
      <c r="I60" s="1" t="s">
        <v>39</v>
      </c>
      <c r="J60" s="1"/>
      <c r="K60" s="1">
        <v>33.5</v>
      </c>
      <c r="L60" s="1">
        <f t="shared" si="18"/>
        <v>-0.15699999999999648</v>
      </c>
      <c r="M60" s="1"/>
      <c r="N60" s="1"/>
      <c r="O60" s="1">
        <v>0</v>
      </c>
      <c r="P60" s="1"/>
      <c r="Q60" s="1"/>
      <c r="R60" s="1">
        <v>0</v>
      </c>
      <c r="S60" s="25"/>
      <c r="T60" s="21"/>
      <c r="U60" s="1">
        <f t="shared" si="19"/>
        <v>6.6686000000000005</v>
      </c>
      <c r="V60" s="5"/>
      <c r="W60" s="5">
        <f t="shared" si="8"/>
        <v>0</v>
      </c>
      <c r="X60" s="5">
        <f t="shared" si="12"/>
        <v>0</v>
      </c>
      <c r="Y60" s="38"/>
      <c r="Z60" s="5"/>
      <c r="AA60" s="1">
        <f t="shared" si="9"/>
        <v>12.026962180967519</v>
      </c>
      <c r="AB60" s="1">
        <f t="shared" si="20"/>
        <v>12.026962180967519</v>
      </c>
      <c r="AC60" s="1">
        <v>3.7136</v>
      </c>
      <c r="AD60" s="1">
        <v>4.3811999999999998</v>
      </c>
      <c r="AE60" s="1">
        <v>5.7595999999999998</v>
      </c>
      <c r="AF60" s="1">
        <v>8.5346000000000011</v>
      </c>
      <c r="AG60" s="1">
        <v>7.9825999999999997</v>
      </c>
      <c r="AH60" s="1">
        <v>2.7427999999999999</v>
      </c>
      <c r="AI60" s="1">
        <v>6.0340000000000007</v>
      </c>
      <c r="AJ60" s="1">
        <v>6.3116000000000003</v>
      </c>
      <c r="AK60" s="1">
        <v>1.65</v>
      </c>
      <c r="AL60" s="1">
        <v>4.9256000000000002</v>
      </c>
      <c r="AM60" s="1"/>
      <c r="AN60" s="1">
        <f t="shared" si="10"/>
        <v>0</v>
      </c>
      <c r="AO60" s="1">
        <f t="shared" si="11"/>
        <v>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 t="s">
        <v>104</v>
      </c>
      <c r="B61" s="1" t="s">
        <v>43</v>
      </c>
      <c r="C61" s="1">
        <v>694</v>
      </c>
      <c r="D61" s="1">
        <v>520</v>
      </c>
      <c r="E61" s="1">
        <v>434</v>
      </c>
      <c r="F61" s="1">
        <v>754</v>
      </c>
      <c r="G61" s="7">
        <v>0.1</v>
      </c>
      <c r="H61" s="1">
        <v>731</v>
      </c>
      <c r="I61" s="1" t="s">
        <v>39</v>
      </c>
      <c r="J61" s="1"/>
      <c r="K61" s="1">
        <v>422</v>
      </c>
      <c r="L61" s="1">
        <f t="shared" si="18"/>
        <v>12</v>
      </c>
      <c r="M61" s="1"/>
      <c r="N61" s="1"/>
      <c r="O61" s="1">
        <v>100</v>
      </c>
      <c r="P61" s="1"/>
      <c r="Q61" s="1"/>
      <c r="R61" s="1">
        <v>100</v>
      </c>
      <c r="S61" s="25"/>
      <c r="T61" s="21"/>
      <c r="U61" s="1">
        <f t="shared" si="19"/>
        <v>86.8</v>
      </c>
      <c r="V61" s="5">
        <f t="shared" si="21"/>
        <v>87.599999999999909</v>
      </c>
      <c r="W61" s="5">
        <f t="shared" si="8"/>
        <v>87.599999999999909</v>
      </c>
      <c r="X61" s="5">
        <v>300</v>
      </c>
      <c r="Y61" s="38"/>
      <c r="Z61" s="5">
        <v>200</v>
      </c>
      <c r="AA61" s="1">
        <f t="shared" si="9"/>
        <v>16.751152073732719</v>
      </c>
      <c r="AB61" s="1">
        <f t="shared" si="20"/>
        <v>10.990783410138249</v>
      </c>
      <c r="AC61" s="1">
        <v>72.8</v>
      </c>
      <c r="AD61" s="1">
        <v>27.2</v>
      </c>
      <c r="AE61" s="1">
        <v>7</v>
      </c>
      <c r="AF61" s="1">
        <v>29</v>
      </c>
      <c r="AG61" s="1">
        <v>73.2</v>
      </c>
      <c r="AH61" s="1">
        <v>64.2</v>
      </c>
      <c r="AI61" s="1">
        <v>32.799999999999997</v>
      </c>
      <c r="AJ61" s="1">
        <v>32.6</v>
      </c>
      <c r="AK61" s="1">
        <v>33.200000000000003</v>
      </c>
      <c r="AL61" s="1">
        <v>38.4</v>
      </c>
      <c r="AM61" s="1" t="s">
        <v>82</v>
      </c>
      <c r="AN61" s="1">
        <f t="shared" si="10"/>
        <v>30</v>
      </c>
      <c r="AO61" s="1">
        <f t="shared" si="11"/>
        <v>20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 t="s">
        <v>105</v>
      </c>
      <c r="B62" s="1" t="s">
        <v>43</v>
      </c>
      <c r="C62" s="1">
        <v>53</v>
      </c>
      <c r="D62" s="1">
        <v>20</v>
      </c>
      <c r="E62" s="1">
        <v>38</v>
      </c>
      <c r="F62" s="1">
        <v>33</v>
      </c>
      <c r="G62" s="7">
        <v>0.4</v>
      </c>
      <c r="H62" s="1">
        <v>50</v>
      </c>
      <c r="I62" s="1" t="s">
        <v>39</v>
      </c>
      <c r="J62" s="1"/>
      <c r="K62" s="1">
        <v>38</v>
      </c>
      <c r="L62" s="1">
        <f t="shared" si="18"/>
        <v>0</v>
      </c>
      <c r="M62" s="1"/>
      <c r="N62" s="1"/>
      <c r="O62" s="1">
        <v>0</v>
      </c>
      <c r="P62" s="1"/>
      <c r="Q62" s="1"/>
      <c r="R62" s="1">
        <v>30</v>
      </c>
      <c r="S62" s="25"/>
      <c r="T62" s="21"/>
      <c r="U62" s="1">
        <f t="shared" si="19"/>
        <v>7.6</v>
      </c>
      <c r="V62" s="5">
        <f t="shared" si="21"/>
        <v>28.199999999999989</v>
      </c>
      <c r="W62" s="5">
        <f t="shared" si="8"/>
        <v>28.199999999999989</v>
      </c>
      <c r="X62" s="5">
        <f t="shared" si="12"/>
        <v>28.199999999999989</v>
      </c>
      <c r="Y62" s="38"/>
      <c r="Z62" s="5"/>
      <c r="AA62" s="1">
        <f t="shared" si="9"/>
        <v>11.999999999999998</v>
      </c>
      <c r="AB62" s="1">
        <f t="shared" si="20"/>
        <v>8.2894736842105274</v>
      </c>
      <c r="AC62" s="1">
        <v>7</v>
      </c>
      <c r="AD62" s="1">
        <v>4.4000000000000004</v>
      </c>
      <c r="AE62" s="1">
        <v>3.6</v>
      </c>
      <c r="AF62" s="1">
        <v>7.6</v>
      </c>
      <c r="AG62" s="1">
        <v>8.8000000000000007</v>
      </c>
      <c r="AH62" s="1">
        <v>4</v>
      </c>
      <c r="AI62" s="1">
        <v>4</v>
      </c>
      <c r="AJ62" s="1">
        <v>3.6</v>
      </c>
      <c r="AK62" s="1">
        <v>2.6</v>
      </c>
      <c r="AL62" s="1">
        <v>3.6</v>
      </c>
      <c r="AM62" s="1"/>
      <c r="AN62" s="1">
        <f t="shared" si="10"/>
        <v>11</v>
      </c>
      <c r="AO62" s="1">
        <f t="shared" si="11"/>
        <v>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 t="s">
        <v>106</v>
      </c>
      <c r="B63" s="1" t="s">
        <v>38</v>
      </c>
      <c r="C63" s="1">
        <v>26.98</v>
      </c>
      <c r="D63" s="1">
        <v>47.165999999999997</v>
      </c>
      <c r="E63" s="1">
        <v>72.349999999999994</v>
      </c>
      <c r="F63" s="1">
        <v>1.796</v>
      </c>
      <c r="G63" s="7">
        <v>1</v>
      </c>
      <c r="H63" s="1">
        <v>40</v>
      </c>
      <c r="I63" s="9" t="s">
        <v>51</v>
      </c>
      <c r="J63" s="1"/>
      <c r="K63" s="1">
        <v>92.6</v>
      </c>
      <c r="L63" s="1">
        <f t="shared" si="18"/>
        <v>-20.25</v>
      </c>
      <c r="M63" s="1"/>
      <c r="N63" s="1"/>
      <c r="O63" s="1">
        <v>50</v>
      </c>
      <c r="P63" s="1"/>
      <c r="Q63" s="1"/>
      <c r="R63" s="1">
        <v>146.70160000000001</v>
      </c>
      <c r="S63" s="25"/>
      <c r="T63" s="21"/>
      <c r="U63" s="1">
        <f t="shared" si="19"/>
        <v>14.469999999999999</v>
      </c>
      <c r="V63" s="5">
        <v>20</v>
      </c>
      <c r="W63" s="5">
        <f t="shared" si="8"/>
        <v>20</v>
      </c>
      <c r="X63" s="5">
        <f t="shared" si="12"/>
        <v>20</v>
      </c>
      <c r="Y63" s="38"/>
      <c r="Z63" s="5"/>
      <c r="AA63" s="1">
        <f t="shared" si="9"/>
        <v>15.100041465100208</v>
      </c>
      <c r="AB63" s="1">
        <f t="shared" si="20"/>
        <v>13.717871458189359</v>
      </c>
      <c r="AC63" s="1">
        <v>20.325600000000001</v>
      </c>
      <c r="AD63" s="1">
        <v>13.4848</v>
      </c>
      <c r="AE63" s="1">
        <v>5.4063999999999997</v>
      </c>
      <c r="AF63" s="1">
        <v>11.4124</v>
      </c>
      <c r="AG63" s="1">
        <v>15.1564</v>
      </c>
      <c r="AH63" s="1">
        <v>9.6504000000000012</v>
      </c>
      <c r="AI63" s="1">
        <v>0</v>
      </c>
      <c r="AJ63" s="1">
        <v>13.583600000000001</v>
      </c>
      <c r="AK63" s="1">
        <v>14.9016</v>
      </c>
      <c r="AL63" s="1">
        <v>6.7847999999999997</v>
      </c>
      <c r="AM63" s="1"/>
      <c r="AN63" s="1">
        <f t="shared" si="10"/>
        <v>20</v>
      </c>
      <c r="AO63" s="1">
        <f t="shared" si="11"/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 t="s">
        <v>107</v>
      </c>
      <c r="B64" s="1" t="s">
        <v>38</v>
      </c>
      <c r="C64" s="1">
        <v>303.19299999999998</v>
      </c>
      <c r="D64" s="1"/>
      <c r="E64" s="1">
        <v>253.71700000000001</v>
      </c>
      <c r="F64" s="1">
        <v>8.5850000000000009</v>
      </c>
      <c r="G64" s="7">
        <v>1</v>
      </c>
      <c r="H64" s="1">
        <v>40</v>
      </c>
      <c r="I64" s="9" t="s">
        <v>51</v>
      </c>
      <c r="J64" s="1"/>
      <c r="K64" s="1">
        <v>246.85</v>
      </c>
      <c r="L64" s="1">
        <f t="shared" si="18"/>
        <v>6.8670000000000186</v>
      </c>
      <c r="M64" s="1"/>
      <c r="N64" s="1"/>
      <c r="O64" s="1">
        <v>0</v>
      </c>
      <c r="P64" s="1"/>
      <c r="Q64" s="1"/>
      <c r="R64" s="1">
        <v>360.13679999999999</v>
      </c>
      <c r="S64" s="25"/>
      <c r="T64" s="21"/>
      <c r="U64" s="1">
        <f t="shared" si="19"/>
        <v>50.743400000000001</v>
      </c>
      <c r="V64" s="5">
        <f t="shared" si="21"/>
        <v>240.19899999999998</v>
      </c>
      <c r="W64" s="5">
        <f t="shared" si="8"/>
        <v>240.19899999999998</v>
      </c>
      <c r="X64" s="5">
        <f t="shared" si="12"/>
        <v>240.19899999999998</v>
      </c>
      <c r="Y64" s="38"/>
      <c r="Z64" s="5"/>
      <c r="AA64" s="1">
        <f t="shared" si="9"/>
        <v>12</v>
      </c>
      <c r="AB64" s="1">
        <f t="shared" si="20"/>
        <v>7.2663991770358303</v>
      </c>
      <c r="AC64" s="1">
        <v>44.511800000000001</v>
      </c>
      <c r="AD64" s="1">
        <v>13.555400000000001</v>
      </c>
      <c r="AE64" s="1">
        <v>7.0035999999999996</v>
      </c>
      <c r="AF64" s="1">
        <v>20.619199999999999</v>
      </c>
      <c r="AG64" s="1">
        <v>34.844000000000001</v>
      </c>
      <c r="AH64" s="1">
        <v>21.790600000000001</v>
      </c>
      <c r="AI64" s="1">
        <v>3.8224</v>
      </c>
      <c r="AJ64" s="1">
        <v>16.229199999999999</v>
      </c>
      <c r="AK64" s="1">
        <v>13.7578</v>
      </c>
      <c r="AL64" s="1">
        <v>11.1006</v>
      </c>
      <c r="AM64" s="1" t="s">
        <v>108</v>
      </c>
      <c r="AN64" s="1">
        <f t="shared" si="10"/>
        <v>240</v>
      </c>
      <c r="AO64" s="1">
        <f t="shared" si="11"/>
        <v>0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 t="s">
        <v>109</v>
      </c>
      <c r="B65" s="1" t="s">
        <v>43</v>
      </c>
      <c r="C65" s="1">
        <v>323</v>
      </c>
      <c r="D65" s="1"/>
      <c r="E65" s="1"/>
      <c r="F65" s="1">
        <v>323</v>
      </c>
      <c r="G65" s="7">
        <v>0.4</v>
      </c>
      <c r="H65" s="1">
        <v>40</v>
      </c>
      <c r="I65" s="9" t="s">
        <v>51</v>
      </c>
      <c r="J65" s="1"/>
      <c r="K65" s="1">
        <v>619</v>
      </c>
      <c r="L65" s="1">
        <f t="shared" si="18"/>
        <v>-619</v>
      </c>
      <c r="M65" s="1"/>
      <c r="N65" s="1"/>
      <c r="O65" s="1">
        <v>249.54400000000001</v>
      </c>
      <c r="P65" s="1"/>
      <c r="Q65" s="1"/>
      <c r="R65" s="1">
        <v>0</v>
      </c>
      <c r="S65" s="25"/>
      <c r="T65" s="21"/>
      <c r="U65" s="1">
        <f t="shared" si="19"/>
        <v>0</v>
      </c>
      <c r="V65" s="5">
        <v>250</v>
      </c>
      <c r="W65" s="5">
        <f t="shared" si="8"/>
        <v>250</v>
      </c>
      <c r="X65" s="5">
        <f t="shared" si="12"/>
        <v>250</v>
      </c>
      <c r="Y65" s="38"/>
      <c r="Z65" s="5"/>
      <c r="AA65" s="1" t="e">
        <f t="shared" si="9"/>
        <v>#DIV/0!</v>
      </c>
      <c r="AB65" s="1" t="e">
        <f t="shared" si="20"/>
        <v>#DIV/0!</v>
      </c>
      <c r="AC65" s="1">
        <v>46.2</v>
      </c>
      <c r="AD65" s="1">
        <v>50.4</v>
      </c>
      <c r="AE65" s="1">
        <v>4</v>
      </c>
      <c r="AF65" s="1">
        <v>2.4</v>
      </c>
      <c r="AG65" s="1">
        <v>49</v>
      </c>
      <c r="AH65" s="1">
        <v>58</v>
      </c>
      <c r="AI65" s="1">
        <v>10</v>
      </c>
      <c r="AJ65" s="1">
        <v>24.8</v>
      </c>
      <c r="AK65" s="1">
        <v>56.2</v>
      </c>
      <c r="AL65" s="1">
        <v>44.2</v>
      </c>
      <c r="AM65" s="1"/>
      <c r="AN65" s="1">
        <f t="shared" si="10"/>
        <v>100</v>
      </c>
      <c r="AO65" s="1">
        <f t="shared" si="11"/>
        <v>0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" t="s">
        <v>110</v>
      </c>
      <c r="B66" s="1" t="s">
        <v>43</v>
      </c>
      <c r="C66" s="1">
        <v>172</v>
      </c>
      <c r="D66" s="1">
        <v>300</v>
      </c>
      <c r="E66" s="1">
        <v>440</v>
      </c>
      <c r="F66" s="1">
        <v>21</v>
      </c>
      <c r="G66" s="7">
        <v>0.4</v>
      </c>
      <c r="H66" s="1">
        <v>40</v>
      </c>
      <c r="I66" s="1" t="s">
        <v>39</v>
      </c>
      <c r="J66" s="1"/>
      <c r="K66" s="1">
        <v>424</v>
      </c>
      <c r="L66" s="1">
        <f t="shared" si="18"/>
        <v>16</v>
      </c>
      <c r="M66" s="1"/>
      <c r="N66" s="1"/>
      <c r="O66" s="1">
        <v>200</v>
      </c>
      <c r="P66" s="1"/>
      <c r="Q66" s="1"/>
      <c r="R66" s="1">
        <v>407.8</v>
      </c>
      <c r="S66" s="25"/>
      <c r="T66" s="21"/>
      <c r="U66" s="1">
        <f t="shared" si="19"/>
        <v>88</v>
      </c>
      <c r="V66" s="5">
        <f t="shared" si="21"/>
        <v>427.20000000000005</v>
      </c>
      <c r="W66" s="5">
        <f t="shared" si="8"/>
        <v>427.20000000000005</v>
      </c>
      <c r="X66" s="5">
        <f t="shared" si="12"/>
        <v>172.58880000000002</v>
      </c>
      <c r="Y66" s="38"/>
      <c r="Z66" s="5">
        <f>W66*$Z$1</f>
        <v>254.61120000000003</v>
      </c>
      <c r="AA66" s="1">
        <f t="shared" si="9"/>
        <v>12</v>
      </c>
      <c r="AB66" s="1">
        <f t="shared" si="20"/>
        <v>7.1454545454545446</v>
      </c>
      <c r="AC66" s="1">
        <v>78.8</v>
      </c>
      <c r="AD66" s="1">
        <v>41.4</v>
      </c>
      <c r="AE66" s="1">
        <v>17.2</v>
      </c>
      <c r="AF66" s="1">
        <v>65.599999999999994</v>
      </c>
      <c r="AG66" s="1">
        <v>94.4</v>
      </c>
      <c r="AH66" s="1">
        <v>46.4</v>
      </c>
      <c r="AI66" s="1">
        <v>4</v>
      </c>
      <c r="AJ66" s="1">
        <v>-0.2</v>
      </c>
      <c r="AK66" s="1">
        <v>-0.2</v>
      </c>
      <c r="AL66" s="1">
        <v>-0.2</v>
      </c>
      <c r="AM66" s="1"/>
      <c r="AN66" s="1">
        <f t="shared" si="10"/>
        <v>69</v>
      </c>
      <c r="AO66" s="1">
        <f t="shared" si="11"/>
        <v>102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" t="s">
        <v>111</v>
      </c>
      <c r="B67" s="1" t="s">
        <v>38</v>
      </c>
      <c r="C67" s="1">
        <v>47.585999999999999</v>
      </c>
      <c r="D67" s="1"/>
      <c r="E67" s="1">
        <v>46.341000000000001</v>
      </c>
      <c r="F67" s="1">
        <v>-4.1779999999999999</v>
      </c>
      <c r="G67" s="7">
        <v>1</v>
      </c>
      <c r="H67" s="1">
        <v>40</v>
      </c>
      <c r="I67" s="9" t="s">
        <v>51</v>
      </c>
      <c r="J67" s="1"/>
      <c r="K67" s="1">
        <v>50.5</v>
      </c>
      <c r="L67" s="1">
        <f t="shared" si="18"/>
        <v>-4.1589999999999989</v>
      </c>
      <c r="M67" s="1"/>
      <c r="N67" s="1"/>
      <c r="O67" s="1">
        <v>60</v>
      </c>
      <c r="P67" s="1"/>
      <c r="Q67" s="1"/>
      <c r="R67" s="1">
        <v>92.044399999999996</v>
      </c>
      <c r="S67" s="25"/>
      <c r="T67" s="21"/>
      <c r="U67" s="1">
        <f t="shared" si="19"/>
        <v>9.2682000000000002</v>
      </c>
      <c r="V67" s="5"/>
      <c r="W67" s="5">
        <f t="shared" si="8"/>
        <v>0</v>
      </c>
      <c r="X67" s="5">
        <f t="shared" si="12"/>
        <v>0</v>
      </c>
      <c r="Y67" s="38"/>
      <c r="Z67" s="5"/>
      <c r="AA67" s="1">
        <f t="shared" si="9"/>
        <v>15.954165857448048</v>
      </c>
      <c r="AB67" s="1">
        <f t="shared" si="20"/>
        <v>15.954165857448048</v>
      </c>
      <c r="AC67" s="1">
        <v>13.442399999999999</v>
      </c>
      <c r="AD67" s="1">
        <v>3.0853999999999999</v>
      </c>
      <c r="AE67" s="1">
        <v>12.965400000000001</v>
      </c>
      <c r="AF67" s="1">
        <v>26.226199999999999</v>
      </c>
      <c r="AG67" s="1">
        <v>32.113799999999998</v>
      </c>
      <c r="AH67" s="1">
        <v>30.863199999999999</v>
      </c>
      <c r="AI67" s="1">
        <v>28.920999999999999</v>
      </c>
      <c r="AJ67" s="1">
        <v>27.451000000000001</v>
      </c>
      <c r="AK67" s="1">
        <v>27.457799999999999</v>
      </c>
      <c r="AL67" s="1">
        <v>33.810199999999988</v>
      </c>
      <c r="AM67" s="1"/>
      <c r="AN67" s="1">
        <f t="shared" si="10"/>
        <v>0</v>
      </c>
      <c r="AO67" s="1">
        <f t="shared" si="11"/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" t="s">
        <v>112</v>
      </c>
      <c r="B68" s="1" t="s">
        <v>38</v>
      </c>
      <c r="C68" s="1">
        <v>50.637999999999998</v>
      </c>
      <c r="D68" s="1"/>
      <c r="E68" s="1">
        <v>49.533999999999999</v>
      </c>
      <c r="F68" s="1">
        <v>-0.71</v>
      </c>
      <c r="G68" s="7">
        <v>1</v>
      </c>
      <c r="H68" s="1">
        <v>40</v>
      </c>
      <c r="I68" s="9" t="s">
        <v>51</v>
      </c>
      <c r="J68" s="1"/>
      <c r="K68" s="1">
        <v>56.4</v>
      </c>
      <c r="L68" s="1">
        <f t="shared" si="18"/>
        <v>-6.8659999999999997</v>
      </c>
      <c r="M68" s="1"/>
      <c r="N68" s="1"/>
      <c r="O68" s="1">
        <v>50</v>
      </c>
      <c r="P68" s="1">
        <v>-54</v>
      </c>
      <c r="Q68" s="1"/>
      <c r="R68" s="1">
        <v>60</v>
      </c>
      <c r="S68" s="25"/>
      <c r="T68" s="21"/>
      <c r="U68" s="1">
        <f t="shared" si="19"/>
        <v>9.9068000000000005</v>
      </c>
      <c r="V68" s="5">
        <v>50</v>
      </c>
      <c r="W68" s="5">
        <f t="shared" si="8"/>
        <v>50</v>
      </c>
      <c r="X68" s="5">
        <f t="shared" si="12"/>
        <v>50</v>
      </c>
      <c r="Y68" s="38"/>
      <c r="Z68" s="5"/>
      <c r="AA68" s="1">
        <f t="shared" si="9"/>
        <v>10.628053458230708</v>
      </c>
      <c r="AB68" s="1">
        <f t="shared" si="20"/>
        <v>5.5810150603625788</v>
      </c>
      <c r="AC68" s="1">
        <v>13.321</v>
      </c>
      <c r="AD68" s="1">
        <v>3.2414000000000001</v>
      </c>
      <c r="AE68" s="1">
        <v>-0.35539999999999999</v>
      </c>
      <c r="AF68" s="1">
        <v>0.54620000000000002</v>
      </c>
      <c r="AG68" s="1">
        <v>13.5738</v>
      </c>
      <c r="AH68" s="1">
        <v>26.236799999999999</v>
      </c>
      <c r="AI68" s="1">
        <v>30.546399999999998</v>
      </c>
      <c r="AJ68" s="1">
        <v>28.173400000000001</v>
      </c>
      <c r="AK68" s="1">
        <v>25.8324</v>
      </c>
      <c r="AL68" s="1">
        <v>32.492199999999997</v>
      </c>
      <c r="AM68" s="1"/>
      <c r="AN68" s="1">
        <f t="shared" si="10"/>
        <v>50</v>
      </c>
      <c r="AO68" s="1">
        <f t="shared" si="11"/>
        <v>0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" t="s">
        <v>113</v>
      </c>
      <c r="B69" s="1" t="s">
        <v>38</v>
      </c>
      <c r="C69" s="1">
        <v>75.391000000000005</v>
      </c>
      <c r="D69" s="1"/>
      <c r="E69" s="1">
        <v>61.085999999999999</v>
      </c>
      <c r="F69" s="1">
        <v>3.7759999999999998</v>
      </c>
      <c r="G69" s="7">
        <v>1</v>
      </c>
      <c r="H69" s="1">
        <v>40</v>
      </c>
      <c r="I69" s="9" t="s">
        <v>51</v>
      </c>
      <c r="J69" s="1"/>
      <c r="K69" s="1">
        <v>157.4</v>
      </c>
      <c r="L69" s="1">
        <f t="shared" si="18"/>
        <v>-96.314000000000007</v>
      </c>
      <c r="M69" s="1"/>
      <c r="N69" s="1"/>
      <c r="O69" s="1">
        <v>80</v>
      </c>
      <c r="P69" s="1">
        <v>-81</v>
      </c>
      <c r="Q69" s="1"/>
      <c r="R69" s="1">
        <v>100</v>
      </c>
      <c r="S69" s="25"/>
      <c r="T69" s="21"/>
      <c r="U69" s="1">
        <f t="shared" si="19"/>
        <v>12.2172</v>
      </c>
      <c r="V69" s="5">
        <v>80</v>
      </c>
      <c r="W69" s="5">
        <f t="shared" si="8"/>
        <v>80</v>
      </c>
      <c r="X69" s="5">
        <f t="shared" si="12"/>
        <v>80</v>
      </c>
      <c r="Y69" s="38"/>
      <c r="Z69" s="5"/>
      <c r="AA69" s="1">
        <f t="shared" si="9"/>
        <v>14.960547424941886</v>
      </c>
      <c r="AB69" s="1">
        <f t="shared" si="20"/>
        <v>8.4124021870805095</v>
      </c>
      <c r="AC69" s="1">
        <v>26.985199999999999</v>
      </c>
      <c r="AD69" s="1">
        <v>13.568199999999999</v>
      </c>
      <c r="AE69" s="1">
        <v>13.93</v>
      </c>
      <c r="AF69" s="1">
        <v>51.272399999999998</v>
      </c>
      <c r="AG69" s="1">
        <v>69.817999999999998</v>
      </c>
      <c r="AH69" s="1">
        <v>64.147799999999989</v>
      </c>
      <c r="AI69" s="1">
        <v>64.944199999999995</v>
      </c>
      <c r="AJ69" s="1">
        <v>60.923400000000001</v>
      </c>
      <c r="AK69" s="1">
        <v>43.718000000000004</v>
      </c>
      <c r="AL69" s="1">
        <v>53.330599999999997</v>
      </c>
      <c r="AM69" s="1"/>
      <c r="AN69" s="1">
        <f t="shared" si="10"/>
        <v>80</v>
      </c>
      <c r="AO69" s="1">
        <f t="shared" si="11"/>
        <v>0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" t="s">
        <v>114</v>
      </c>
      <c r="B70" s="1" t="s">
        <v>38</v>
      </c>
      <c r="C70" s="1">
        <v>6.4160000000000004</v>
      </c>
      <c r="D70" s="1"/>
      <c r="E70" s="1">
        <v>-1.8109999999999999</v>
      </c>
      <c r="F70" s="1">
        <v>5.5129999999999999</v>
      </c>
      <c r="G70" s="7">
        <v>1</v>
      </c>
      <c r="H70" s="1">
        <v>40</v>
      </c>
      <c r="I70" s="9" t="s">
        <v>51</v>
      </c>
      <c r="J70" s="1"/>
      <c r="K70" s="1">
        <v>51.7</v>
      </c>
      <c r="L70" s="1">
        <f t="shared" ref="L70:L101" si="22">E70-K70</f>
        <v>-53.511000000000003</v>
      </c>
      <c r="M70" s="1"/>
      <c r="N70" s="1"/>
      <c r="O70" s="1">
        <v>60</v>
      </c>
      <c r="P70" s="1"/>
      <c r="Q70" s="1"/>
      <c r="R70" s="1">
        <v>78.241600000000005</v>
      </c>
      <c r="S70" s="25"/>
      <c r="T70" s="21"/>
      <c r="U70" s="1">
        <f t="shared" ref="U70:U101" si="23">E70/5</f>
        <v>-0.36219999999999997</v>
      </c>
      <c r="V70" s="5">
        <v>20</v>
      </c>
      <c r="W70" s="5">
        <f t="shared" si="8"/>
        <v>20</v>
      </c>
      <c r="X70" s="5">
        <f t="shared" si="12"/>
        <v>20</v>
      </c>
      <c r="Y70" s="38"/>
      <c r="Z70" s="5"/>
      <c r="AA70" s="1">
        <f t="shared" si="9"/>
        <v>-452.11098840419663</v>
      </c>
      <c r="AB70" s="1">
        <f t="shared" ref="AB70:AB101" si="24">(F70+O70+P70+Q70+R70)/U70</f>
        <v>-396.89287686361132</v>
      </c>
      <c r="AC70" s="1">
        <v>13.0686</v>
      </c>
      <c r="AD70" s="1">
        <v>12.698600000000001</v>
      </c>
      <c r="AE70" s="1">
        <v>15.569800000000001</v>
      </c>
      <c r="AF70" s="1">
        <v>33.192999999999998</v>
      </c>
      <c r="AG70" s="1">
        <v>31.08</v>
      </c>
      <c r="AH70" s="1">
        <v>25.4434</v>
      </c>
      <c r="AI70" s="1">
        <v>23.120999999999999</v>
      </c>
      <c r="AJ70" s="1">
        <v>23.457599999999999</v>
      </c>
      <c r="AK70" s="1">
        <v>20.8584</v>
      </c>
      <c r="AL70" s="1">
        <v>27.188800000000001</v>
      </c>
      <c r="AM70" s="1"/>
      <c r="AN70" s="1">
        <f t="shared" si="10"/>
        <v>20</v>
      </c>
      <c r="AO70" s="1">
        <f t="shared" si="11"/>
        <v>0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" t="s">
        <v>115</v>
      </c>
      <c r="B71" s="1" t="s">
        <v>43</v>
      </c>
      <c r="C71" s="1">
        <v>32</v>
      </c>
      <c r="D71" s="1"/>
      <c r="E71" s="1">
        <v>23</v>
      </c>
      <c r="F71" s="1">
        <v>1</v>
      </c>
      <c r="G71" s="7">
        <v>0.6</v>
      </c>
      <c r="H71" s="1">
        <v>70</v>
      </c>
      <c r="I71" s="1" t="s">
        <v>39</v>
      </c>
      <c r="J71" s="1"/>
      <c r="K71" s="1">
        <v>25</v>
      </c>
      <c r="L71" s="1">
        <f t="shared" si="22"/>
        <v>-2</v>
      </c>
      <c r="M71" s="1"/>
      <c r="N71" s="1"/>
      <c r="O71" s="1">
        <v>0</v>
      </c>
      <c r="P71" s="1"/>
      <c r="Q71" s="1"/>
      <c r="R71" s="1">
        <v>19.399999999999999</v>
      </c>
      <c r="S71" s="25"/>
      <c r="T71" s="21"/>
      <c r="U71" s="1">
        <f t="shared" si="23"/>
        <v>4.5999999999999996</v>
      </c>
      <c r="V71" s="5">
        <f>11*U71-R71-Q71-P71-O71-F71</f>
        <v>30.199999999999996</v>
      </c>
      <c r="W71" s="5">
        <f t="shared" ref="W71:W134" si="25">V71</f>
        <v>30.199999999999996</v>
      </c>
      <c r="X71" s="5">
        <f t="shared" ref="X71:X134" si="26">W71-Z71</f>
        <v>30.199999999999996</v>
      </c>
      <c r="Y71" s="38"/>
      <c r="Z71" s="5"/>
      <c r="AA71" s="1">
        <f t="shared" ref="AA71:AA134" si="27">(F71+O71+P71+Q71+R71+X71+Z71)/U71</f>
        <v>11</v>
      </c>
      <c r="AB71" s="1">
        <f t="shared" si="24"/>
        <v>4.4347826086956523</v>
      </c>
      <c r="AC71" s="1">
        <v>3.8</v>
      </c>
      <c r="AD71" s="1">
        <v>0</v>
      </c>
      <c r="AE71" s="1">
        <v>0</v>
      </c>
      <c r="AF71" s="1">
        <v>2.2000000000000002</v>
      </c>
      <c r="AG71" s="1">
        <v>2.8</v>
      </c>
      <c r="AH71" s="1">
        <v>2.2000000000000002</v>
      </c>
      <c r="AI71" s="1">
        <v>1.6</v>
      </c>
      <c r="AJ71" s="1">
        <v>1.6</v>
      </c>
      <c r="AK71" s="1">
        <v>1.6</v>
      </c>
      <c r="AL71" s="1">
        <v>0.6</v>
      </c>
      <c r="AM71" s="1"/>
      <c r="AN71" s="1">
        <f t="shared" ref="AN71:AN134" si="28">ROUND(G71*X71,0)</f>
        <v>18</v>
      </c>
      <c r="AO71" s="1">
        <f t="shared" ref="AO71:AO134" si="29">ROUND(G71*Z71,0)</f>
        <v>0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" t="s">
        <v>116</v>
      </c>
      <c r="B72" s="1" t="s">
        <v>38</v>
      </c>
      <c r="C72" s="1">
        <v>401.303</v>
      </c>
      <c r="D72" s="1">
        <v>285.54599999999999</v>
      </c>
      <c r="E72" s="1">
        <v>530.42499999999995</v>
      </c>
      <c r="F72" s="1">
        <v>84.863</v>
      </c>
      <c r="G72" s="7">
        <v>1</v>
      </c>
      <c r="H72" s="1">
        <v>30</v>
      </c>
      <c r="I72" s="9" t="s">
        <v>51</v>
      </c>
      <c r="J72" s="1"/>
      <c r="K72" s="1">
        <v>559.35</v>
      </c>
      <c r="L72" s="1">
        <f t="shared" si="22"/>
        <v>-28.925000000000068</v>
      </c>
      <c r="M72" s="1"/>
      <c r="N72" s="1"/>
      <c r="O72" s="1">
        <v>0</v>
      </c>
      <c r="P72" s="1"/>
      <c r="Q72" s="1"/>
      <c r="R72" s="1">
        <v>495.65460000000002</v>
      </c>
      <c r="S72" s="25"/>
      <c r="T72" s="21"/>
      <c r="U72" s="1">
        <f t="shared" si="23"/>
        <v>106.08499999999999</v>
      </c>
      <c r="V72" s="5">
        <v>500</v>
      </c>
      <c r="W72" s="5">
        <f t="shared" si="25"/>
        <v>500</v>
      </c>
      <c r="X72" s="5">
        <v>500</v>
      </c>
      <c r="Y72" s="38"/>
      <c r="Z72" s="5">
        <v>200</v>
      </c>
      <c r="AA72" s="1">
        <f t="shared" si="27"/>
        <v>12.070675401800445</v>
      </c>
      <c r="AB72" s="1">
        <f t="shared" si="24"/>
        <v>5.4721930527407272</v>
      </c>
      <c r="AC72" s="1">
        <v>87.413399999999996</v>
      </c>
      <c r="AD72" s="1">
        <v>25.441199999999998</v>
      </c>
      <c r="AE72" s="1">
        <v>47.512</v>
      </c>
      <c r="AF72" s="1">
        <v>93.200599999999994</v>
      </c>
      <c r="AG72" s="1">
        <v>88.773200000000003</v>
      </c>
      <c r="AH72" s="1">
        <v>43.605600000000003</v>
      </c>
      <c r="AI72" s="1">
        <v>12.5822</v>
      </c>
      <c r="AJ72" s="1">
        <v>49.552399999999999</v>
      </c>
      <c r="AK72" s="1">
        <v>72.886200000000002</v>
      </c>
      <c r="AL72" s="1">
        <v>41.464399999999998</v>
      </c>
      <c r="AM72" s="10" t="s">
        <v>47</v>
      </c>
      <c r="AN72" s="1">
        <f t="shared" si="28"/>
        <v>500</v>
      </c>
      <c r="AO72" s="1">
        <f t="shared" si="29"/>
        <v>200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1" t="s">
        <v>117</v>
      </c>
      <c r="B73" s="11" t="s">
        <v>43</v>
      </c>
      <c r="C73" s="11"/>
      <c r="D73" s="11"/>
      <c r="E73" s="11"/>
      <c r="F73" s="11"/>
      <c r="G73" s="12">
        <v>0</v>
      </c>
      <c r="H73" s="11"/>
      <c r="I73" s="11" t="s">
        <v>39</v>
      </c>
      <c r="J73" s="11"/>
      <c r="K73" s="11"/>
      <c r="L73" s="11">
        <f t="shared" si="22"/>
        <v>0</v>
      </c>
      <c r="M73" s="11"/>
      <c r="N73" s="11"/>
      <c r="O73" s="11">
        <v>0</v>
      </c>
      <c r="P73" s="11"/>
      <c r="Q73" s="11"/>
      <c r="R73" s="11">
        <v>0</v>
      </c>
      <c r="S73" s="27"/>
      <c r="T73" s="23"/>
      <c r="U73" s="11">
        <f t="shared" si="23"/>
        <v>0</v>
      </c>
      <c r="V73" s="13"/>
      <c r="W73" s="5">
        <f t="shared" si="25"/>
        <v>0</v>
      </c>
      <c r="X73" s="5">
        <f t="shared" si="26"/>
        <v>0</v>
      </c>
      <c r="Y73" s="38"/>
      <c r="Z73" s="5"/>
      <c r="AA73" s="1" t="e">
        <f t="shared" si="27"/>
        <v>#DIV/0!</v>
      </c>
      <c r="AB73" s="11" t="e">
        <f t="shared" si="24"/>
        <v>#DIV/0!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 t="s">
        <v>49</v>
      </c>
      <c r="AN73" s="1">
        <f t="shared" si="28"/>
        <v>0</v>
      </c>
      <c r="AO73" s="1">
        <f t="shared" si="29"/>
        <v>0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" t="s">
        <v>118</v>
      </c>
      <c r="B74" s="1" t="s">
        <v>43</v>
      </c>
      <c r="C74" s="1">
        <v>227</v>
      </c>
      <c r="D74" s="1">
        <v>80</v>
      </c>
      <c r="E74" s="1">
        <v>52</v>
      </c>
      <c r="F74" s="1">
        <v>255</v>
      </c>
      <c r="G74" s="7">
        <v>0.6</v>
      </c>
      <c r="H74" s="1">
        <v>60</v>
      </c>
      <c r="I74" s="1" t="s">
        <v>39</v>
      </c>
      <c r="J74" s="1"/>
      <c r="K74" s="1">
        <v>44</v>
      </c>
      <c r="L74" s="1">
        <f t="shared" si="22"/>
        <v>8</v>
      </c>
      <c r="M74" s="1"/>
      <c r="N74" s="1"/>
      <c r="O74" s="1">
        <v>0</v>
      </c>
      <c r="P74" s="1"/>
      <c r="Q74" s="1"/>
      <c r="R74" s="1">
        <v>0</v>
      </c>
      <c r="S74" s="25"/>
      <c r="T74" s="21"/>
      <c r="U74" s="1">
        <f t="shared" si="23"/>
        <v>10.4</v>
      </c>
      <c r="V74" s="5"/>
      <c r="W74" s="5">
        <f t="shared" si="25"/>
        <v>0</v>
      </c>
      <c r="X74" s="5">
        <f t="shared" si="26"/>
        <v>0</v>
      </c>
      <c r="Y74" s="38"/>
      <c r="Z74" s="5"/>
      <c r="AA74" s="1">
        <f t="shared" si="27"/>
        <v>24.51923076923077</v>
      </c>
      <c r="AB74" s="1">
        <f t="shared" si="24"/>
        <v>24.51923076923077</v>
      </c>
      <c r="AC74" s="1">
        <v>2.4</v>
      </c>
      <c r="AD74" s="1">
        <v>6.8</v>
      </c>
      <c r="AE74" s="1">
        <v>12.6</v>
      </c>
      <c r="AF74" s="1">
        <v>8.1999999999999993</v>
      </c>
      <c r="AG74" s="1">
        <v>22.4</v>
      </c>
      <c r="AH74" s="1">
        <v>22.4</v>
      </c>
      <c r="AI74" s="1">
        <v>1.8</v>
      </c>
      <c r="AJ74" s="1">
        <v>12</v>
      </c>
      <c r="AK74" s="1">
        <v>16.8</v>
      </c>
      <c r="AL74" s="1">
        <v>10</v>
      </c>
      <c r="AM74" s="16" t="s">
        <v>92</v>
      </c>
      <c r="AN74" s="1">
        <f t="shared" si="28"/>
        <v>0</v>
      </c>
      <c r="AO74" s="1">
        <f t="shared" si="29"/>
        <v>0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" t="s">
        <v>119</v>
      </c>
      <c r="B75" s="1" t="s">
        <v>43</v>
      </c>
      <c r="C75" s="1">
        <v>137</v>
      </c>
      <c r="D75" s="1">
        <v>152</v>
      </c>
      <c r="E75" s="1">
        <v>88</v>
      </c>
      <c r="F75" s="1">
        <v>196</v>
      </c>
      <c r="G75" s="7">
        <v>0.4</v>
      </c>
      <c r="H75" s="1">
        <v>90</v>
      </c>
      <c r="I75" s="1" t="s">
        <v>39</v>
      </c>
      <c r="J75" s="1"/>
      <c r="K75" s="1">
        <v>87</v>
      </c>
      <c r="L75" s="1">
        <f t="shared" si="22"/>
        <v>1</v>
      </c>
      <c r="M75" s="1"/>
      <c r="N75" s="1"/>
      <c r="O75" s="1">
        <v>0</v>
      </c>
      <c r="P75" s="1"/>
      <c r="Q75" s="1"/>
      <c r="R75" s="1">
        <v>0</v>
      </c>
      <c r="S75" s="25"/>
      <c r="T75" s="21"/>
      <c r="U75" s="1">
        <f t="shared" si="23"/>
        <v>17.600000000000001</v>
      </c>
      <c r="V75" s="5">
        <f t="shared" ref="V75:V76" si="30">12*U75-R75-Q75-P75-O75-F75</f>
        <v>15.200000000000017</v>
      </c>
      <c r="W75" s="5">
        <f t="shared" si="25"/>
        <v>15.200000000000017</v>
      </c>
      <c r="X75" s="5">
        <f t="shared" si="26"/>
        <v>15.200000000000017</v>
      </c>
      <c r="Y75" s="38"/>
      <c r="Z75" s="5"/>
      <c r="AA75" s="1">
        <f t="shared" si="27"/>
        <v>12</v>
      </c>
      <c r="AB75" s="1">
        <f t="shared" si="24"/>
        <v>11.136363636363635</v>
      </c>
      <c r="AC75" s="1">
        <v>21</v>
      </c>
      <c r="AD75" s="1">
        <v>10.4</v>
      </c>
      <c r="AE75" s="1">
        <v>8.1999999999999993</v>
      </c>
      <c r="AF75" s="1">
        <v>16</v>
      </c>
      <c r="AG75" s="1">
        <v>19</v>
      </c>
      <c r="AH75" s="1">
        <v>17.600000000000001</v>
      </c>
      <c r="AI75" s="1">
        <v>16.600000000000001</v>
      </c>
      <c r="AJ75" s="1">
        <v>13.6</v>
      </c>
      <c r="AK75" s="1">
        <v>5.4</v>
      </c>
      <c r="AL75" s="1">
        <v>5.6</v>
      </c>
      <c r="AM75" s="1"/>
      <c r="AN75" s="1">
        <f t="shared" si="28"/>
        <v>6</v>
      </c>
      <c r="AO75" s="1">
        <f t="shared" si="29"/>
        <v>0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 t="s">
        <v>120</v>
      </c>
      <c r="B76" s="1" t="s">
        <v>43</v>
      </c>
      <c r="C76" s="1">
        <v>281</v>
      </c>
      <c r="D76" s="1">
        <v>128</v>
      </c>
      <c r="E76" s="1">
        <v>180</v>
      </c>
      <c r="F76" s="1">
        <v>213</v>
      </c>
      <c r="G76" s="7">
        <v>0.33</v>
      </c>
      <c r="H76" s="1">
        <v>60</v>
      </c>
      <c r="I76" s="9" t="s">
        <v>51</v>
      </c>
      <c r="J76" s="1"/>
      <c r="K76" s="1">
        <v>171</v>
      </c>
      <c r="L76" s="1">
        <f t="shared" si="22"/>
        <v>9</v>
      </c>
      <c r="M76" s="1"/>
      <c r="N76" s="1"/>
      <c r="O76" s="1">
        <v>0</v>
      </c>
      <c r="P76" s="1"/>
      <c r="Q76" s="1"/>
      <c r="R76" s="1">
        <v>98.600000000000023</v>
      </c>
      <c r="S76" s="25"/>
      <c r="T76" s="21"/>
      <c r="U76" s="1">
        <f t="shared" si="23"/>
        <v>36</v>
      </c>
      <c r="V76" s="5">
        <f t="shared" si="30"/>
        <v>120.39999999999998</v>
      </c>
      <c r="W76" s="5">
        <f t="shared" si="25"/>
        <v>120.39999999999998</v>
      </c>
      <c r="X76" s="5">
        <f t="shared" si="26"/>
        <v>120.39999999999998</v>
      </c>
      <c r="Y76" s="38"/>
      <c r="Z76" s="5"/>
      <c r="AA76" s="1">
        <f t="shared" si="27"/>
        <v>12</v>
      </c>
      <c r="AB76" s="1">
        <f t="shared" si="24"/>
        <v>8.6555555555555568</v>
      </c>
      <c r="AC76" s="1">
        <v>37.6</v>
      </c>
      <c r="AD76" s="1">
        <v>21.4</v>
      </c>
      <c r="AE76" s="1">
        <v>11.8</v>
      </c>
      <c r="AF76" s="1">
        <v>27.4</v>
      </c>
      <c r="AG76" s="1">
        <v>37.6</v>
      </c>
      <c r="AH76" s="1">
        <v>36</v>
      </c>
      <c r="AI76" s="1">
        <v>29.6</v>
      </c>
      <c r="AJ76" s="1">
        <v>26.2</v>
      </c>
      <c r="AK76" s="1">
        <v>20.399999999999999</v>
      </c>
      <c r="AL76" s="1">
        <v>23.4</v>
      </c>
      <c r="AM76" s="1"/>
      <c r="AN76" s="1">
        <f t="shared" si="28"/>
        <v>40</v>
      </c>
      <c r="AO76" s="1">
        <f t="shared" si="29"/>
        <v>0</v>
      </c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" t="s">
        <v>121</v>
      </c>
      <c r="B77" s="1" t="s">
        <v>43</v>
      </c>
      <c r="C77" s="1">
        <v>64</v>
      </c>
      <c r="D77" s="1">
        <v>152</v>
      </c>
      <c r="E77" s="1">
        <v>102</v>
      </c>
      <c r="F77" s="1">
        <v>111</v>
      </c>
      <c r="G77" s="7">
        <v>0.35</v>
      </c>
      <c r="H77" s="1">
        <v>90</v>
      </c>
      <c r="I77" s="1" t="s">
        <v>39</v>
      </c>
      <c r="J77" s="1"/>
      <c r="K77" s="1">
        <v>102</v>
      </c>
      <c r="L77" s="1">
        <f t="shared" si="22"/>
        <v>0</v>
      </c>
      <c r="M77" s="1"/>
      <c r="N77" s="1"/>
      <c r="O77" s="1">
        <v>0</v>
      </c>
      <c r="P77" s="1"/>
      <c r="Q77" s="1"/>
      <c r="R77" s="1">
        <v>130.19999999999999</v>
      </c>
      <c r="S77" s="25"/>
      <c r="T77" s="21"/>
      <c r="U77" s="1">
        <f t="shared" si="23"/>
        <v>20.399999999999999</v>
      </c>
      <c r="V77" s="5">
        <v>10</v>
      </c>
      <c r="W77" s="5">
        <f t="shared" si="25"/>
        <v>10</v>
      </c>
      <c r="X77" s="5">
        <f t="shared" si="26"/>
        <v>10</v>
      </c>
      <c r="Y77" s="38"/>
      <c r="Z77" s="5"/>
      <c r="AA77" s="1">
        <f t="shared" si="27"/>
        <v>12.313725490196079</v>
      </c>
      <c r="AB77" s="1">
        <f t="shared" si="24"/>
        <v>11.823529411764707</v>
      </c>
      <c r="AC77" s="1">
        <v>25.2</v>
      </c>
      <c r="AD77" s="1">
        <v>11.8</v>
      </c>
      <c r="AE77" s="1">
        <v>10.4</v>
      </c>
      <c r="AF77" s="1">
        <v>13.6</v>
      </c>
      <c r="AG77" s="1">
        <v>7.8</v>
      </c>
      <c r="AH77" s="1">
        <v>18.399999999999999</v>
      </c>
      <c r="AI77" s="1">
        <v>25</v>
      </c>
      <c r="AJ77" s="1">
        <v>13</v>
      </c>
      <c r="AK77" s="1">
        <v>5.4</v>
      </c>
      <c r="AL77" s="1">
        <v>7.2</v>
      </c>
      <c r="AM77" s="1"/>
      <c r="AN77" s="1">
        <f t="shared" si="28"/>
        <v>4</v>
      </c>
      <c r="AO77" s="1">
        <f t="shared" si="29"/>
        <v>0</v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 t="s">
        <v>122</v>
      </c>
      <c r="B78" s="1" t="s">
        <v>43</v>
      </c>
      <c r="C78" s="1">
        <v>478</v>
      </c>
      <c r="D78" s="1">
        <v>210</v>
      </c>
      <c r="E78" s="1">
        <v>65</v>
      </c>
      <c r="F78" s="1">
        <v>616</v>
      </c>
      <c r="G78" s="7">
        <v>0.37</v>
      </c>
      <c r="H78" s="1">
        <v>50</v>
      </c>
      <c r="I78" s="1" t="s">
        <v>39</v>
      </c>
      <c r="J78" s="1"/>
      <c r="K78" s="1">
        <v>65</v>
      </c>
      <c r="L78" s="1">
        <f t="shared" si="22"/>
        <v>0</v>
      </c>
      <c r="M78" s="1"/>
      <c r="N78" s="1"/>
      <c r="O78" s="1">
        <v>0</v>
      </c>
      <c r="P78" s="1"/>
      <c r="Q78" s="1"/>
      <c r="R78" s="1">
        <v>0</v>
      </c>
      <c r="S78" s="25"/>
      <c r="T78" s="21"/>
      <c r="U78" s="1">
        <f t="shared" si="23"/>
        <v>13</v>
      </c>
      <c r="V78" s="5"/>
      <c r="W78" s="5">
        <f t="shared" si="25"/>
        <v>0</v>
      </c>
      <c r="X78" s="5">
        <f t="shared" si="26"/>
        <v>0</v>
      </c>
      <c r="Y78" s="38"/>
      <c r="Z78" s="5"/>
      <c r="AA78" s="1">
        <f t="shared" si="27"/>
        <v>47.384615384615387</v>
      </c>
      <c r="AB78" s="1">
        <f t="shared" si="24"/>
        <v>47.384615384615387</v>
      </c>
      <c r="AC78" s="1">
        <v>3.6</v>
      </c>
      <c r="AD78" s="1">
        <v>1</v>
      </c>
      <c r="AE78" s="1">
        <v>8.1999999999999993</v>
      </c>
      <c r="AF78" s="1">
        <v>13.4</v>
      </c>
      <c r="AG78" s="1">
        <v>43.8</v>
      </c>
      <c r="AH78" s="1">
        <v>44.4</v>
      </c>
      <c r="AI78" s="1">
        <v>11.8</v>
      </c>
      <c r="AJ78" s="1">
        <v>23.6</v>
      </c>
      <c r="AK78" s="1">
        <v>22.4</v>
      </c>
      <c r="AL78" s="1">
        <v>18.399999999999999</v>
      </c>
      <c r="AM78" s="16" t="s">
        <v>92</v>
      </c>
      <c r="AN78" s="1">
        <f t="shared" si="28"/>
        <v>0</v>
      </c>
      <c r="AO78" s="1">
        <f t="shared" si="29"/>
        <v>0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1" t="s">
        <v>123</v>
      </c>
      <c r="B79" s="11" t="s">
        <v>43</v>
      </c>
      <c r="C79" s="11"/>
      <c r="D79" s="11"/>
      <c r="E79" s="11"/>
      <c r="F79" s="11"/>
      <c r="G79" s="12">
        <v>0</v>
      </c>
      <c r="H79" s="11"/>
      <c r="I79" s="11" t="s">
        <v>39</v>
      </c>
      <c r="J79" s="11"/>
      <c r="K79" s="11"/>
      <c r="L79" s="11">
        <f t="shared" si="22"/>
        <v>0</v>
      </c>
      <c r="M79" s="11"/>
      <c r="N79" s="11"/>
      <c r="O79" s="11">
        <v>0</v>
      </c>
      <c r="P79" s="11"/>
      <c r="Q79" s="11"/>
      <c r="R79" s="11">
        <v>0</v>
      </c>
      <c r="S79" s="27"/>
      <c r="T79" s="23"/>
      <c r="U79" s="11">
        <f t="shared" si="23"/>
        <v>0</v>
      </c>
      <c r="V79" s="13"/>
      <c r="W79" s="5">
        <f t="shared" si="25"/>
        <v>0</v>
      </c>
      <c r="X79" s="5">
        <f t="shared" si="26"/>
        <v>0</v>
      </c>
      <c r="Y79" s="38"/>
      <c r="Z79" s="5"/>
      <c r="AA79" s="1" t="e">
        <f t="shared" si="27"/>
        <v>#DIV/0!</v>
      </c>
      <c r="AB79" s="11" t="e">
        <f t="shared" si="24"/>
        <v>#DIV/0!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 t="s">
        <v>49</v>
      </c>
      <c r="AN79" s="1">
        <f t="shared" si="28"/>
        <v>0</v>
      </c>
      <c r="AO79" s="1">
        <f t="shared" si="29"/>
        <v>0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" t="s">
        <v>124</v>
      </c>
      <c r="B80" s="1" t="s">
        <v>43</v>
      </c>
      <c r="C80" s="1">
        <v>148</v>
      </c>
      <c r="D80" s="1"/>
      <c r="E80" s="1">
        <v>146</v>
      </c>
      <c r="F80" s="1">
        <v>1</v>
      </c>
      <c r="G80" s="7">
        <v>0.33</v>
      </c>
      <c r="H80" s="1">
        <v>40</v>
      </c>
      <c r="I80" s="1" t="s">
        <v>39</v>
      </c>
      <c r="J80" s="1"/>
      <c r="K80" s="1">
        <v>145</v>
      </c>
      <c r="L80" s="1">
        <f t="shared" si="22"/>
        <v>1</v>
      </c>
      <c r="M80" s="1"/>
      <c r="N80" s="1"/>
      <c r="O80" s="1">
        <v>0</v>
      </c>
      <c r="P80" s="1"/>
      <c r="Q80" s="1"/>
      <c r="R80" s="1">
        <v>139</v>
      </c>
      <c r="S80" s="25"/>
      <c r="T80" s="21"/>
      <c r="U80" s="1">
        <f t="shared" si="23"/>
        <v>29.2</v>
      </c>
      <c r="V80" s="5">
        <f t="shared" ref="V80" si="31">12*U80-R80-Q80-P80-O80-F80</f>
        <v>210.39999999999998</v>
      </c>
      <c r="W80" s="5">
        <f t="shared" si="25"/>
        <v>210.39999999999998</v>
      </c>
      <c r="X80" s="5">
        <f t="shared" si="26"/>
        <v>85.001599999999996</v>
      </c>
      <c r="Y80" s="38"/>
      <c r="Z80" s="5">
        <f>W80*$Z$1</f>
        <v>125.39839999999998</v>
      </c>
      <c r="AA80" s="1">
        <f t="shared" si="27"/>
        <v>12</v>
      </c>
      <c r="AB80" s="1">
        <f t="shared" si="24"/>
        <v>4.794520547945206</v>
      </c>
      <c r="AC80" s="1">
        <v>26</v>
      </c>
      <c r="AD80" s="1">
        <v>7.6</v>
      </c>
      <c r="AE80" s="1">
        <v>4.5999999999999996</v>
      </c>
      <c r="AF80" s="1">
        <v>8.8000000000000007</v>
      </c>
      <c r="AG80" s="1">
        <v>16.600000000000001</v>
      </c>
      <c r="AH80" s="1">
        <v>15.4</v>
      </c>
      <c r="AI80" s="1">
        <v>6.4</v>
      </c>
      <c r="AJ80" s="1">
        <v>8.6</v>
      </c>
      <c r="AK80" s="1">
        <v>8.4</v>
      </c>
      <c r="AL80" s="1">
        <v>6</v>
      </c>
      <c r="AM80" s="1"/>
      <c r="AN80" s="1">
        <f t="shared" si="28"/>
        <v>28</v>
      </c>
      <c r="AO80" s="1">
        <f t="shared" si="29"/>
        <v>41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 t="s">
        <v>125</v>
      </c>
      <c r="B81" s="1" t="s">
        <v>43</v>
      </c>
      <c r="C81" s="1">
        <v>134</v>
      </c>
      <c r="D81" s="1">
        <v>60</v>
      </c>
      <c r="E81" s="1">
        <v>59</v>
      </c>
      <c r="F81" s="1">
        <v>130</v>
      </c>
      <c r="G81" s="7">
        <v>0.4</v>
      </c>
      <c r="H81" s="1">
        <v>55</v>
      </c>
      <c r="I81" s="1" t="s">
        <v>39</v>
      </c>
      <c r="J81" s="1"/>
      <c r="K81" s="1">
        <v>53</v>
      </c>
      <c r="L81" s="1">
        <f t="shared" si="22"/>
        <v>6</v>
      </c>
      <c r="M81" s="1"/>
      <c r="N81" s="1"/>
      <c r="O81" s="1">
        <v>12.600000000000019</v>
      </c>
      <c r="P81" s="1"/>
      <c r="Q81" s="1"/>
      <c r="R81" s="1">
        <v>0</v>
      </c>
      <c r="S81" s="25"/>
      <c r="T81" s="21"/>
      <c r="U81" s="1">
        <f t="shared" si="23"/>
        <v>11.8</v>
      </c>
      <c r="V81" s="5"/>
      <c r="W81" s="5">
        <f t="shared" si="25"/>
        <v>0</v>
      </c>
      <c r="X81" s="5">
        <f t="shared" si="26"/>
        <v>0</v>
      </c>
      <c r="Y81" s="38"/>
      <c r="Z81" s="5"/>
      <c r="AA81" s="1">
        <f t="shared" si="27"/>
        <v>12.084745762711865</v>
      </c>
      <c r="AB81" s="1">
        <f t="shared" si="24"/>
        <v>12.084745762711865</v>
      </c>
      <c r="AC81" s="1">
        <v>3.6</v>
      </c>
      <c r="AD81" s="1">
        <v>18.600000000000001</v>
      </c>
      <c r="AE81" s="1">
        <v>21.2</v>
      </c>
      <c r="AF81" s="1">
        <v>8.8000000000000007</v>
      </c>
      <c r="AG81" s="1">
        <v>14.8</v>
      </c>
      <c r="AH81" s="1">
        <v>11</v>
      </c>
      <c r="AI81" s="1">
        <v>4.4000000000000004</v>
      </c>
      <c r="AJ81" s="1">
        <v>12.2</v>
      </c>
      <c r="AK81" s="1">
        <v>13.8</v>
      </c>
      <c r="AL81" s="1">
        <v>9</v>
      </c>
      <c r="AM81" s="15" t="s">
        <v>62</v>
      </c>
      <c r="AN81" s="1">
        <f t="shared" si="28"/>
        <v>0</v>
      </c>
      <c r="AO81" s="1">
        <f t="shared" si="29"/>
        <v>0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 t="s">
        <v>126</v>
      </c>
      <c r="B82" s="1" t="s">
        <v>43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9" t="s">
        <v>51</v>
      </c>
      <c r="J82" s="1"/>
      <c r="K82" s="1">
        <v>22</v>
      </c>
      <c r="L82" s="1">
        <f t="shared" si="22"/>
        <v>-22</v>
      </c>
      <c r="M82" s="1"/>
      <c r="N82" s="1"/>
      <c r="O82" s="1">
        <v>10</v>
      </c>
      <c r="P82" s="1">
        <v>-12</v>
      </c>
      <c r="Q82" s="1"/>
      <c r="R82" s="1">
        <v>10</v>
      </c>
      <c r="S82" s="25"/>
      <c r="T82" s="21"/>
      <c r="U82" s="1">
        <f t="shared" si="23"/>
        <v>0</v>
      </c>
      <c r="V82" s="5">
        <v>10</v>
      </c>
      <c r="W82" s="5">
        <f t="shared" si="25"/>
        <v>10</v>
      </c>
      <c r="X82" s="5">
        <f t="shared" si="26"/>
        <v>10</v>
      </c>
      <c r="Y82" s="38"/>
      <c r="Z82" s="5"/>
      <c r="AA82" s="1" t="e">
        <f t="shared" si="27"/>
        <v>#DIV/0!</v>
      </c>
      <c r="AB82" s="1" t="e">
        <f t="shared" si="24"/>
        <v>#DIV/0!</v>
      </c>
      <c r="AC82" s="1">
        <v>0</v>
      </c>
      <c r="AD82" s="1">
        <v>0</v>
      </c>
      <c r="AE82" s="1">
        <v>0</v>
      </c>
      <c r="AF82" s="1">
        <v>0</v>
      </c>
      <c r="AG82" s="1">
        <v>2</v>
      </c>
      <c r="AH82" s="1">
        <v>2</v>
      </c>
      <c r="AI82" s="1">
        <v>0</v>
      </c>
      <c r="AJ82" s="1">
        <v>0</v>
      </c>
      <c r="AK82" s="1">
        <v>2.4</v>
      </c>
      <c r="AL82" s="1">
        <v>6.2</v>
      </c>
      <c r="AM82" s="1"/>
      <c r="AN82" s="1">
        <f t="shared" si="28"/>
        <v>4</v>
      </c>
      <c r="AO82" s="1">
        <f t="shared" si="29"/>
        <v>0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 t="s">
        <v>127</v>
      </c>
      <c r="B83" s="1" t="s">
        <v>43</v>
      </c>
      <c r="C83" s="1">
        <v>29</v>
      </c>
      <c r="D83" s="1"/>
      <c r="E83" s="1">
        <v>26</v>
      </c>
      <c r="F83" s="1">
        <v>3</v>
      </c>
      <c r="G83" s="7">
        <v>0.35</v>
      </c>
      <c r="H83" s="1">
        <v>45</v>
      </c>
      <c r="I83" s="9" t="s">
        <v>51</v>
      </c>
      <c r="J83" s="1"/>
      <c r="K83" s="1">
        <v>28</v>
      </c>
      <c r="L83" s="1">
        <f t="shared" si="22"/>
        <v>-2</v>
      </c>
      <c r="M83" s="1"/>
      <c r="N83" s="1"/>
      <c r="O83" s="1">
        <v>20</v>
      </c>
      <c r="P83" s="1"/>
      <c r="Q83" s="1"/>
      <c r="R83" s="1">
        <v>36.200000000000003</v>
      </c>
      <c r="S83" s="25"/>
      <c r="T83" s="21"/>
      <c r="U83" s="1">
        <f t="shared" si="23"/>
        <v>5.2</v>
      </c>
      <c r="V83" s="5">
        <v>10</v>
      </c>
      <c r="W83" s="5">
        <f t="shared" si="25"/>
        <v>10</v>
      </c>
      <c r="X83" s="5">
        <f t="shared" si="26"/>
        <v>10</v>
      </c>
      <c r="Y83" s="38"/>
      <c r="Z83" s="5"/>
      <c r="AA83" s="1">
        <f t="shared" si="27"/>
        <v>13.307692307692308</v>
      </c>
      <c r="AB83" s="1">
        <f t="shared" si="24"/>
        <v>11.384615384615385</v>
      </c>
      <c r="AC83" s="1">
        <v>6.2</v>
      </c>
      <c r="AD83" s="1">
        <v>3.6</v>
      </c>
      <c r="AE83" s="1">
        <v>2</v>
      </c>
      <c r="AF83" s="1">
        <v>8</v>
      </c>
      <c r="AG83" s="1">
        <v>9.4</v>
      </c>
      <c r="AH83" s="1">
        <v>3.4</v>
      </c>
      <c r="AI83" s="1">
        <v>0</v>
      </c>
      <c r="AJ83" s="1">
        <v>0</v>
      </c>
      <c r="AK83" s="1">
        <v>1.4</v>
      </c>
      <c r="AL83" s="1">
        <v>5.4</v>
      </c>
      <c r="AM83" s="1"/>
      <c r="AN83" s="1">
        <f t="shared" si="28"/>
        <v>4</v>
      </c>
      <c r="AO83" s="1">
        <f t="shared" si="29"/>
        <v>0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1" t="s">
        <v>128</v>
      </c>
      <c r="B84" s="11" t="s">
        <v>43</v>
      </c>
      <c r="C84" s="11"/>
      <c r="D84" s="11"/>
      <c r="E84" s="11"/>
      <c r="F84" s="11"/>
      <c r="G84" s="12">
        <v>0</v>
      </c>
      <c r="H84" s="11"/>
      <c r="I84" s="11" t="s">
        <v>39</v>
      </c>
      <c r="J84" s="11"/>
      <c r="K84" s="11"/>
      <c r="L84" s="11">
        <f t="shared" si="22"/>
        <v>0</v>
      </c>
      <c r="M84" s="11"/>
      <c r="N84" s="11"/>
      <c r="O84" s="11">
        <v>0</v>
      </c>
      <c r="P84" s="11"/>
      <c r="Q84" s="11"/>
      <c r="R84" s="11">
        <v>0</v>
      </c>
      <c r="S84" s="27"/>
      <c r="T84" s="23"/>
      <c r="U84" s="11">
        <f t="shared" si="23"/>
        <v>0</v>
      </c>
      <c r="V84" s="13"/>
      <c r="W84" s="5">
        <f t="shared" si="25"/>
        <v>0</v>
      </c>
      <c r="X84" s="5">
        <f t="shared" si="26"/>
        <v>0</v>
      </c>
      <c r="Y84" s="38"/>
      <c r="Z84" s="5"/>
      <c r="AA84" s="1" t="e">
        <f t="shared" si="27"/>
        <v>#DIV/0!</v>
      </c>
      <c r="AB84" s="11" t="e">
        <f t="shared" si="24"/>
        <v>#DIV/0!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 t="s">
        <v>49</v>
      </c>
      <c r="AN84" s="1">
        <f t="shared" si="28"/>
        <v>0</v>
      </c>
      <c r="AO84" s="1">
        <f t="shared" si="29"/>
        <v>0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1" t="s">
        <v>129</v>
      </c>
      <c r="B85" s="11" t="s">
        <v>38</v>
      </c>
      <c r="C85" s="11"/>
      <c r="D85" s="11"/>
      <c r="E85" s="11"/>
      <c r="F85" s="11"/>
      <c r="G85" s="12">
        <v>0</v>
      </c>
      <c r="H85" s="11"/>
      <c r="I85" s="11" t="s">
        <v>39</v>
      </c>
      <c r="J85" s="11"/>
      <c r="K85" s="11"/>
      <c r="L85" s="11">
        <f t="shared" si="22"/>
        <v>0</v>
      </c>
      <c r="M85" s="11"/>
      <c r="N85" s="11"/>
      <c r="O85" s="11">
        <v>0</v>
      </c>
      <c r="P85" s="11"/>
      <c r="Q85" s="11"/>
      <c r="R85" s="11">
        <v>0</v>
      </c>
      <c r="S85" s="27"/>
      <c r="T85" s="23"/>
      <c r="U85" s="11">
        <f t="shared" si="23"/>
        <v>0</v>
      </c>
      <c r="V85" s="13"/>
      <c r="W85" s="5">
        <f t="shared" si="25"/>
        <v>0</v>
      </c>
      <c r="X85" s="5">
        <f t="shared" si="26"/>
        <v>0</v>
      </c>
      <c r="Y85" s="38"/>
      <c r="Z85" s="5"/>
      <c r="AA85" s="1" t="e">
        <f t="shared" si="27"/>
        <v>#DIV/0!</v>
      </c>
      <c r="AB85" s="11" t="e">
        <f t="shared" si="24"/>
        <v>#DIV/0!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 t="s">
        <v>49</v>
      </c>
      <c r="AN85" s="1">
        <f t="shared" si="28"/>
        <v>0</v>
      </c>
      <c r="AO85" s="1">
        <f t="shared" si="29"/>
        <v>0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11" t="s">
        <v>130</v>
      </c>
      <c r="B86" s="11" t="s">
        <v>43</v>
      </c>
      <c r="C86" s="11">
        <v>-5</v>
      </c>
      <c r="D86" s="11"/>
      <c r="E86" s="11">
        <v>-1</v>
      </c>
      <c r="F86" s="11">
        <v>-5</v>
      </c>
      <c r="G86" s="12">
        <v>0</v>
      </c>
      <c r="H86" s="11">
        <v>55</v>
      </c>
      <c r="I86" s="11" t="s">
        <v>65</v>
      </c>
      <c r="J86" s="11"/>
      <c r="K86" s="11"/>
      <c r="L86" s="11">
        <f t="shared" si="22"/>
        <v>-1</v>
      </c>
      <c r="M86" s="11"/>
      <c r="N86" s="11"/>
      <c r="O86" s="11">
        <v>0</v>
      </c>
      <c r="P86" s="11"/>
      <c r="Q86" s="11"/>
      <c r="R86" s="11">
        <v>0</v>
      </c>
      <c r="S86" s="27"/>
      <c r="T86" s="23"/>
      <c r="U86" s="11">
        <f t="shared" si="23"/>
        <v>-0.2</v>
      </c>
      <c r="V86" s="13"/>
      <c r="W86" s="5">
        <f t="shared" si="25"/>
        <v>0</v>
      </c>
      <c r="X86" s="5">
        <f t="shared" si="26"/>
        <v>0</v>
      </c>
      <c r="Y86" s="38"/>
      <c r="Z86" s="5"/>
      <c r="AA86" s="1">
        <f t="shared" si="27"/>
        <v>25</v>
      </c>
      <c r="AB86" s="11">
        <f t="shared" si="24"/>
        <v>25</v>
      </c>
      <c r="AC86" s="11">
        <v>-0.2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2</v>
      </c>
      <c r="AL86" s="11">
        <v>2</v>
      </c>
      <c r="AM86" s="11"/>
      <c r="AN86" s="1">
        <f t="shared" si="28"/>
        <v>0</v>
      </c>
      <c r="AO86" s="1">
        <f t="shared" si="29"/>
        <v>0</v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" t="s">
        <v>131</v>
      </c>
      <c r="B87" s="1" t="s">
        <v>38</v>
      </c>
      <c r="C87" s="1">
        <v>42.99</v>
      </c>
      <c r="D87" s="1">
        <v>11.458</v>
      </c>
      <c r="E87" s="1">
        <v>22.977</v>
      </c>
      <c r="F87" s="1">
        <v>20.013000000000002</v>
      </c>
      <c r="G87" s="7">
        <v>1</v>
      </c>
      <c r="H87" s="1">
        <v>55</v>
      </c>
      <c r="I87" s="1" t="s">
        <v>39</v>
      </c>
      <c r="J87" s="1"/>
      <c r="K87" s="1">
        <v>33.5</v>
      </c>
      <c r="L87" s="1">
        <f t="shared" si="22"/>
        <v>-10.523</v>
      </c>
      <c r="M87" s="1"/>
      <c r="N87" s="1"/>
      <c r="O87" s="1">
        <v>0</v>
      </c>
      <c r="P87" s="1"/>
      <c r="Q87" s="1"/>
      <c r="R87" s="1">
        <v>17.043600000000001</v>
      </c>
      <c r="S87" s="25"/>
      <c r="T87" s="21"/>
      <c r="U87" s="1">
        <f t="shared" si="23"/>
        <v>4.5953999999999997</v>
      </c>
      <c r="V87" s="5">
        <f t="shared" ref="V87:V88" si="32">12*U87-R87-Q87-P87-O87-F87</f>
        <v>18.08819999999999</v>
      </c>
      <c r="W87" s="5">
        <f t="shared" si="25"/>
        <v>18.08819999999999</v>
      </c>
      <c r="X87" s="5">
        <f t="shared" si="26"/>
        <v>18.08819999999999</v>
      </c>
      <c r="Y87" s="38"/>
      <c r="Z87" s="5"/>
      <c r="AA87" s="1">
        <f t="shared" si="27"/>
        <v>11.999999999999998</v>
      </c>
      <c r="AB87" s="1">
        <f t="shared" si="24"/>
        <v>8.063846455150804</v>
      </c>
      <c r="AC87" s="1">
        <v>4.0216000000000003</v>
      </c>
      <c r="AD87" s="1">
        <v>0.86240000000000006</v>
      </c>
      <c r="AE87" s="1">
        <v>0</v>
      </c>
      <c r="AF87" s="1">
        <v>2.0213999999999999</v>
      </c>
      <c r="AG87" s="1">
        <v>3.1659999999999999</v>
      </c>
      <c r="AH87" s="1">
        <v>2.0042</v>
      </c>
      <c r="AI87" s="1">
        <v>1.1472</v>
      </c>
      <c r="AJ87" s="1">
        <v>0.57320000000000004</v>
      </c>
      <c r="AK87" s="1">
        <v>0.57420000000000004</v>
      </c>
      <c r="AL87" s="1">
        <v>0.57440000000000002</v>
      </c>
      <c r="AM87" s="1"/>
      <c r="AN87" s="1">
        <f t="shared" si="28"/>
        <v>18</v>
      </c>
      <c r="AO87" s="1">
        <f t="shared" si="29"/>
        <v>0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" t="s">
        <v>132</v>
      </c>
      <c r="B88" s="1" t="s">
        <v>38</v>
      </c>
      <c r="C88" s="1">
        <v>219.49600000000001</v>
      </c>
      <c r="D88" s="1">
        <v>10.125</v>
      </c>
      <c r="E88" s="1">
        <v>233.97499999999999</v>
      </c>
      <c r="F88" s="1">
        <v>-5.8920000000000003</v>
      </c>
      <c r="G88" s="7">
        <v>1</v>
      </c>
      <c r="H88" s="1">
        <v>60</v>
      </c>
      <c r="I88" s="1" t="s">
        <v>39</v>
      </c>
      <c r="J88" s="1"/>
      <c r="K88" s="1">
        <v>231.6</v>
      </c>
      <c r="L88" s="1">
        <f t="shared" si="22"/>
        <v>2.375</v>
      </c>
      <c r="M88" s="1"/>
      <c r="N88" s="1"/>
      <c r="O88" s="1">
        <v>311.13500799999991</v>
      </c>
      <c r="P88" s="1"/>
      <c r="Q88" s="1"/>
      <c r="R88" s="1">
        <v>105.31639200000011</v>
      </c>
      <c r="S88" s="25"/>
      <c r="T88" s="21"/>
      <c r="U88" s="1">
        <f t="shared" si="23"/>
        <v>46.795000000000002</v>
      </c>
      <c r="V88" s="5">
        <f t="shared" si="32"/>
        <v>150.98059999999992</v>
      </c>
      <c r="W88" s="5">
        <f t="shared" si="25"/>
        <v>150.98059999999992</v>
      </c>
      <c r="X88" s="5">
        <f t="shared" si="26"/>
        <v>60.996162399999974</v>
      </c>
      <c r="Y88" s="38"/>
      <c r="Z88" s="5">
        <f>W88*$Z$1</f>
        <v>89.98443759999995</v>
      </c>
      <c r="AA88" s="1">
        <f t="shared" si="27"/>
        <v>11.999999999999998</v>
      </c>
      <c r="AB88" s="1">
        <f t="shared" si="24"/>
        <v>8.7735740997969867</v>
      </c>
      <c r="AC88" s="1">
        <v>43.2684</v>
      </c>
      <c r="AD88" s="1">
        <v>40.822800000000001</v>
      </c>
      <c r="AE88" s="1">
        <v>37.770800000000001</v>
      </c>
      <c r="AF88" s="1">
        <v>33.010000000000012</v>
      </c>
      <c r="AG88" s="1">
        <v>40.011200000000002</v>
      </c>
      <c r="AH88" s="1">
        <v>37.158999999999999</v>
      </c>
      <c r="AI88" s="1">
        <v>27.297799999999999</v>
      </c>
      <c r="AJ88" s="1">
        <v>35.398400000000002</v>
      </c>
      <c r="AK88" s="1">
        <v>35.738399999999999</v>
      </c>
      <c r="AL88" s="1">
        <v>39.966799999999999</v>
      </c>
      <c r="AM88" s="1"/>
      <c r="AN88" s="1">
        <f t="shared" si="28"/>
        <v>61</v>
      </c>
      <c r="AO88" s="1">
        <f t="shared" si="29"/>
        <v>90</v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1" t="s">
        <v>133</v>
      </c>
      <c r="B89" s="11" t="s">
        <v>43</v>
      </c>
      <c r="C89" s="11"/>
      <c r="D89" s="11"/>
      <c r="E89" s="11"/>
      <c r="F89" s="11"/>
      <c r="G89" s="12">
        <v>0</v>
      </c>
      <c r="H89" s="11"/>
      <c r="I89" s="11" t="s">
        <v>39</v>
      </c>
      <c r="J89" s="11"/>
      <c r="K89" s="11"/>
      <c r="L89" s="11">
        <f t="shared" si="22"/>
        <v>0</v>
      </c>
      <c r="M89" s="11"/>
      <c r="N89" s="11"/>
      <c r="O89" s="11">
        <v>0</v>
      </c>
      <c r="P89" s="11"/>
      <c r="Q89" s="11"/>
      <c r="R89" s="11">
        <v>0</v>
      </c>
      <c r="S89" s="27"/>
      <c r="T89" s="23"/>
      <c r="U89" s="11">
        <f t="shared" si="23"/>
        <v>0</v>
      </c>
      <c r="V89" s="13"/>
      <c r="W89" s="5">
        <f t="shared" si="25"/>
        <v>0</v>
      </c>
      <c r="X89" s="5">
        <f t="shared" si="26"/>
        <v>0</v>
      </c>
      <c r="Y89" s="38"/>
      <c r="Z89" s="5"/>
      <c r="AA89" s="1" t="e">
        <f t="shared" si="27"/>
        <v>#DIV/0!</v>
      </c>
      <c r="AB89" s="11" t="e">
        <f t="shared" si="24"/>
        <v>#DIV/0!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 t="s">
        <v>49</v>
      </c>
      <c r="AN89" s="1">
        <f t="shared" si="28"/>
        <v>0</v>
      </c>
      <c r="AO89" s="1">
        <f t="shared" si="29"/>
        <v>0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20" t="s">
        <v>134</v>
      </c>
      <c r="B90" s="1" t="s">
        <v>38</v>
      </c>
      <c r="C90" s="1">
        <v>977.09299999999996</v>
      </c>
      <c r="D90" s="1">
        <v>1361.5150000000001</v>
      </c>
      <c r="E90" s="1">
        <v>1564.424</v>
      </c>
      <c r="F90" s="1">
        <v>624.72199999999998</v>
      </c>
      <c r="G90" s="7">
        <v>1</v>
      </c>
      <c r="H90" s="1">
        <v>60</v>
      </c>
      <c r="I90" s="1" t="s">
        <v>39</v>
      </c>
      <c r="J90" s="1"/>
      <c r="K90" s="1">
        <v>1587.5</v>
      </c>
      <c r="L90" s="1">
        <f t="shared" si="22"/>
        <v>-23.076000000000022</v>
      </c>
      <c r="M90" s="1"/>
      <c r="N90" s="1"/>
      <c r="O90" s="1">
        <v>1077.3959279999999</v>
      </c>
      <c r="P90" s="1"/>
      <c r="Q90" s="1">
        <v>150</v>
      </c>
      <c r="R90" s="1">
        <v>1570.0830719999999</v>
      </c>
      <c r="S90" s="25"/>
      <c r="T90" s="21"/>
      <c r="U90" s="1">
        <f t="shared" si="23"/>
        <v>312.88479999999998</v>
      </c>
      <c r="V90" s="5">
        <f t="shared" ref="V90:V92" si="33">12*U90-R90-Q90-P90-O90-F90</f>
        <v>332.41659999999979</v>
      </c>
      <c r="W90" s="5">
        <f t="shared" si="25"/>
        <v>332.41659999999979</v>
      </c>
      <c r="X90" s="5">
        <f t="shared" si="26"/>
        <v>134.29630639999993</v>
      </c>
      <c r="Y90" s="38"/>
      <c r="Z90" s="5">
        <f t="shared" ref="Z90" si="34">W90*$Z$1</f>
        <v>198.12029359999985</v>
      </c>
      <c r="AA90" s="1">
        <f t="shared" si="27"/>
        <v>12</v>
      </c>
      <c r="AB90" s="1">
        <f t="shared" si="24"/>
        <v>10.93757510751561</v>
      </c>
      <c r="AC90" s="1">
        <v>368.565</v>
      </c>
      <c r="AD90" s="1">
        <v>303.18119999999999</v>
      </c>
      <c r="AE90" s="1">
        <v>264.67619999999999</v>
      </c>
      <c r="AF90" s="1">
        <v>304.95080000000002</v>
      </c>
      <c r="AG90" s="1">
        <v>256.99919999999997</v>
      </c>
      <c r="AH90" s="1">
        <v>231.32480000000001</v>
      </c>
      <c r="AI90" s="1">
        <v>263.76119999999997</v>
      </c>
      <c r="AJ90" s="1">
        <v>305.51940000000002</v>
      </c>
      <c r="AK90" s="1">
        <v>261.89159999999998</v>
      </c>
      <c r="AL90" s="1">
        <v>278.6728</v>
      </c>
      <c r="AM90" s="1"/>
      <c r="AN90" s="1">
        <f t="shared" si="28"/>
        <v>134</v>
      </c>
      <c r="AO90" s="1">
        <f t="shared" si="29"/>
        <v>198</v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20" t="s">
        <v>135</v>
      </c>
      <c r="B91" s="1" t="s">
        <v>38</v>
      </c>
      <c r="C91" s="1">
        <v>1289.2929999999999</v>
      </c>
      <c r="D91" s="1">
        <v>1641.921</v>
      </c>
      <c r="E91" s="1">
        <v>1968.067</v>
      </c>
      <c r="F91" s="1">
        <v>812.38699999999994</v>
      </c>
      <c r="G91" s="7">
        <v>1</v>
      </c>
      <c r="H91" s="1">
        <v>60</v>
      </c>
      <c r="I91" s="1" t="s">
        <v>39</v>
      </c>
      <c r="J91" s="1"/>
      <c r="K91" s="1">
        <v>1930</v>
      </c>
      <c r="L91" s="1">
        <f t="shared" si="22"/>
        <v>38.067000000000007</v>
      </c>
      <c r="M91" s="1"/>
      <c r="N91" s="1"/>
      <c r="O91" s="1"/>
      <c r="P91" s="1"/>
      <c r="Q91" s="1">
        <v>150</v>
      </c>
      <c r="R91" s="1">
        <v>2008.4182000000001</v>
      </c>
      <c r="S91" s="25"/>
      <c r="T91" s="21">
        <v>270</v>
      </c>
      <c r="U91" s="1">
        <f t="shared" si="23"/>
        <v>393.61340000000001</v>
      </c>
      <c r="V91" s="5">
        <f t="shared" si="33"/>
        <v>1752.5556000000004</v>
      </c>
      <c r="W91" s="5">
        <f t="shared" si="25"/>
        <v>1752.5556000000004</v>
      </c>
      <c r="X91" s="5">
        <f t="shared" si="26"/>
        <v>752.55560000000037</v>
      </c>
      <c r="Y91" s="38"/>
      <c r="Z91" s="5">
        <v>1000</v>
      </c>
      <c r="AA91" s="1">
        <f t="shared" si="27"/>
        <v>12</v>
      </c>
      <c r="AB91" s="1">
        <f t="shared" si="24"/>
        <v>7.5475204858371177</v>
      </c>
      <c r="AC91" s="1">
        <v>331.94720000000001</v>
      </c>
      <c r="AD91" s="1">
        <v>257.45100000000002</v>
      </c>
      <c r="AE91" s="1">
        <v>207.36179999999999</v>
      </c>
      <c r="AF91" s="1">
        <v>301.77659999999997</v>
      </c>
      <c r="AG91" s="1">
        <v>293.72859999999997</v>
      </c>
      <c r="AH91" s="1">
        <v>213.80719999999999</v>
      </c>
      <c r="AI91" s="1">
        <v>230.60740000000001</v>
      </c>
      <c r="AJ91" s="1">
        <v>267.38240000000002</v>
      </c>
      <c r="AK91" s="1">
        <v>257.27859999999998</v>
      </c>
      <c r="AL91" s="1">
        <v>302.92239999999998</v>
      </c>
      <c r="AM91" s="1"/>
      <c r="AN91" s="1">
        <f t="shared" si="28"/>
        <v>753</v>
      </c>
      <c r="AO91" s="1">
        <f t="shared" si="29"/>
        <v>1000</v>
      </c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20" t="s">
        <v>136</v>
      </c>
      <c r="B92" s="1" t="s">
        <v>38</v>
      </c>
      <c r="C92" s="1">
        <v>1948.61</v>
      </c>
      <c r="D92" s="1">
        <v>2170.2109999999998</v>
      </c>
      <c r="E92" s="1">
        <v>2618.0650000000001</v>
      </c>
      <c r="F92" s="1">
        <v>1286.1980000000001</v>
      </c>
      <c r="G92" s="7">
        <v>1</v>
      </c>
      <c r="H92" s="1">
        <v>60</v>
      </c>
      <c r="I92" s="1" t="s">
        <v>39</v>
      </c>
      <c r="J92" s="1"/>
      <c r="K92" s="1">
        <v>2661.4</v>
      </c>
      <c r="L92" s="1">
        <f t="shared" si="22"/>
        <v>-43.335000000000036</v>
      </c>
      <c r="M92" s="1"/>
      <c r="N92" s="1"/>
      <c r="O92" s="1">
        <v>367.46000000000032</v>
      </c>
      <c r="P92" s="1"/>
      <c r="Q92" s="1">
        <v>280</v>
      </c>
      <c r="R92" s="1">
        <v>2536.2446</v>
      </c>
      <c r="S92" s="25"/>
      <c r="T92" s="21">
        <v>400</v>
      </c>
      <c r="U92" s="1">
        <f t="shared" si="23"/>
        <v>523.61300000000006</v>
      </c>
      <c r="V92" s="5">
        <f t="shared" si="33"/>
        <v>1813.4534000000001</v>
      </c>
      <c r="W92" s="5">
        <f t="shared" si="25"/>
        <v>1813.4534000000001</v>
      </c>
      <c r="X92" s="5">
        <f t="shared" si="26"/>
        <v>1113.4534000000001</v>
      </c>
      <c r="Y92" s="38"/>
      <c r="Z92" s="5">
        <v>700</v>
      </c>
      <c r="AA92" s="1">
        <f t="shared" si="27"/>
        <v>12</v>
      </c>
      <c r="AB92" s="1">
        <f t="shared" si="24"/>
        <v>8.5366532152563046</v>
      </c>
      <c r="AC92" s="1">
        <v>494.76659999999998</v>
      </c>
      <c r="AD92" s="1">
        <v>402.2328</v>
      </c>
      <c r="AE92" s="1">
        <v>356.45299999999997</v>
      </c>
      <c r="AF92" s="1">
        <v>435.99239999999998</v>
      </c>
      <c r="AG92" s="1">
        <v>464.71859999999998</v>
      </c>
      <c r="AH92" s="1">
        <v>390.34859999999998</v>
      </c>
      <c r="AI92" s="1">
        <v>377.59100000000001</v>
      </c>
      <c r="AJ92" s="1">
        <v>432.98239999999998</v>
      </c>
      <c r="AK92" s="1">
        <v>418.18819999999988</v>
      </c>
      <c r="AL92" s="1">
        <v>465.66320000000002</v>
      </c>
      <c r="AM92" s="1"/>
      <c r="AN92" s="1">
        <f t="shared" si="28"/>
        <v>1113</v>
      </c>
      <c r="AO92" s="1">
        <f t="shared" si="29"/>
        <v>700</v>
      </c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11" t="s">
        <v>137</v>
      </c>
      <c r="B93" s="11" t="s">
        <v>38</v>
      </c>
      <c r="C93" s="11"/>
      <c r="D93" s="11"/>
      <c r="E93" s="11"/>
      <c r="F93" s="11"/>
      <c r="G93" s="12">
        <v>0</v>
      </c>
      <c r="H93" s="11"/>
      <c r="I93" s="11" t="s">
        <v>39</v>
      </c>
      <c r="J93" s="11"/>
      <c r="K93" s="11"/>
      <c r="L93" s="11">
        <f t="shared" si="22"/>
        <v>0</v>
      </c>
      <c r="M93" s="11"/>
      <c r="N93" s="11"/>
      <c r="O93" s="11">
        <v>0</v>
      </c>
      <c r="P93" s="11"/>
      <c r="Q93" s="11"/>
      <c r="R93" s="11">
        <v>0</v>
      </c>
      <c r="S93" s="27"/>
      <c r="T93" s="23"/>
      <c r="U93" s="11">
        <f t="shared" si="23"/>
        <v>0</v>
      </c>
      <c r="V93" s="13"/>
      <c r="W93" s="5">
        <f t="shared" si="25"/>
        <v>0</v>
      </c>
      <c r="X93" s="5">
        <f t="shared" si="26"/>
        <v>0</v>
      </c>
      <c r="Y93" s="38"/>
      <c r="Z93" s="5"/>
      <c r="AA93" s="1" t="e">
        <f t="shared" si="27"/>
        <v>#DIV/0!</v>
      </c>
      <c r="AB93" s="11" t="e">
        <f t="shared" si="24"/>
        <v>#DIV/0!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 t="s">
        <v>49</v>
      </c>
      <c r="AN93" s="1">
        <f t="shared" si="28"/>
        <v>0</v>
      </c>
      <c r="AO93" s="1">
        <f t="shared" si="29"/>
        <v>0</v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 t="s">
        <v>138</v>
      </c>
      <c r="B94" s="1" t="s">
        <v>43</v>
      </c>
      <c r="C94" s="1">
        <v>-11</v>
      </c>
      <c r="D94" s="1"/>
      <c r="E94" s="1">
        <v>-3</v>
      </c>
      <c r="F94" s="1">
        <v>-11</v>
      </c>
      <c r="G94" s="7">
        <v>0.3</v>
      </c>
      <c r="H94" s="1">
        <v>40</v>
      </c>
      <c r="I94" s="9" t="s">
        <v>51</v>
      </c>
      <c r="J94" s="1"/>
      <c r="K94" s="1">
        <v>3</v>
      </c>
      <c r="L94" s="1">
        <f t="shared" si="22"/>
        <v>-6</v>
      </c>
      <c r="M94" s="1"/>
      <c r="N94" s="1"/>
      <c r="O94" s="1">
        <v>50</v>
      </c>
      <c r="P94" s="1">
        <v>-54</v>
      </c>
      <c r="Q94" s="1"/>
      <c r="R94" s="1">
        <v>50</v>
      </c>
      <c r="S94" s="25"/>
      <c r="T94" s="21"/>
      <c r="U94" s="1">
        <f t="shared" si="23"/>
        <v>-0.6</v>
      </c>
      <c r="V94" s="5">
        <v>50</v>
      </c>
      <c r="W94" s="5">
        <f t="shared" si="25"/>
        <v>50</v>
      </c>
      <c r="X94" s="5">
        <f t="shared" si="26"/>
        <v>50</v>
      </c>
      <c r="Y94" s="38"/>
      <c r="Z94" s="5"/>
      <c r="AA94" s="1">
        <f t="shared" si="27"/>
        <v>-141.66666666666669</v>
      </c>
      <c r="AB94" s="1">
        <f t="shared" si="24"/>
        <v>-58.333333333333336</v>
      </c>
      <c r="AC94" s="1">
        <v>-1</v>
      </c>
      <c r="AD94" s="1">
        <v>-0.8</v>
      </c>
      <c r="AE94" s="1">
        <v>-1</v>
      </c>
      <c r="AF94" s="1">
        <v>-1.2</v>
      </c>
      <c r="AG94" s="1">
        <v>-1</v>
      </c>
      <c r="AH94" s="1">
        <v>5.4</v>
      </c>
      <c r="AI94" s="1">
        <v>28.6</v>
      </c>
      <c r="AJ94" s="1">
        <v>48.6</v>
      </c>
      <c r="AK94" s="1">
        <v>42.6</v>
      </c>
      <c r="AL94" s="1">
        <v>15.2</v>
      </c>
      <c r="AM94" s="1"/>
      <c r="AN94" s="1">
        <f t="shared" si="28"/>
        <v>15</v>
      </c>
      <c r="AO94" s="1">
        <f t="shared" si="29"/>
        <v>0</v>
      </c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" t="s">
        <v>139</v>
      </c>
      <c r="B95" s="1" t="s">
        <v>43</v>
      </c>
      <c r="C95" s="1"/>
      <c r="D95" s="1">
        <v>84</v>
      </c>
      <c r="E95" s="1">
        <v>83</v>
      </c>
      <c r="F95" s="1">
        <v>1</v>
      </c>
      <c r="G95" s="7">
        <v>0.3</v>
      </c>
      <c r="H95" s="1"/>
      <c r="I95" s="1" t="s">
        <v>39</v>
      </c>
      <c r="J95" s="1"/>
      <c r="K95" s="1">
        <v>97</v>
      </c>
      <c r="L95" s="1">
        <f t="shared" si="22"/>
        <v>-14</v>
      </c>
      <c r="M95" s="1"/>
      <c r="N95" s="1"/>
      <c r="O95" s="1">
        <v>0</v>
      </c>
      <c r="P95" s="1"/>
      <c r="Q95" s="1"/>
      <c r="R95" s="1">
        <v>0</v>
      </c>
      <c r="S95" s="25"/>
      <c r="T95" s="21"/>
      <c r="U95" s="1">
        <f t="shared" si="23"/>
        <v>16.600000000000001</v>
      </c>
      <c r="V95" s="5">
        <f>7*U95-R95-Q95-P95-O95-F95</f>
        <v>115.20000000000002</v>
      </c>
      <c r="W95" s="5">
        <f t="shared" si="25"/>
        <v>115.20000000000002</v>
      </c>
      <c r="X95" s="5">
        <f t="shared" si="26"/>
        <v>46.540800000000004</v>
      </c>
      <c r="Y95" s="38"/>
      <c r="Z95" s="5">
        <f>W95*$Z$1</f>
        <v>68.659200000000013</v>
      </c>
      <c r="AA95" s="1">
        <f t="shared" si="27"/>
        <v>7</v>
      </c>
      <c r="AB95" s="1">
        <f t="shared" si="24"/>
        <v>6.0240963855421679E-2</v>
      </c>
      <c r="AC95" s="1">
        <v>1.2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 t="s">
        <v>140</v>
      </c>
      <c r="AN95" s="1">
        <f t="shared" si="28"/>
        <v>14</v>
      </c>
      <c r="AO95" s="1">
        <f t="shared" si="29"/>
        <v>21</v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1" t="s">
        <v>141</v>
      </c>
      <c r="B96" s="1" t="s">
        <v>43</v>
      </c>
      <c r="C96" s="1">
        <v>54</v>
      </c>
      <c r="D96" s="1"/>
      <c r="E96" s="1">
        <v>50</v>
      </c>
      <c r="F96" s="1">
        <v>4</v>
      </c>
      <c r="G96" s="7">
        <v>7.0000000000000007E-2</v>
      </c>
      <c r="H96" s="1">
        <v>90</v>
      </c>
      <c r="I96" s="9" t="s">
        <v>51</v>
      </c>
      <c r="J96" s="1"/>
      <c r="K96" s="1">
        <v>65</v>
      </c>
      <c r="L96" s="1">
        <f t="shared" si="22"/>
        <v>-15</v>
      </c>
      <c r="M96" s="1"/>
      <c r="N96" s="1"/>
      <c r="O96" s="1">
        <v>20</v>
      </c>
      <c r="P96" s="1">
        <v>-18</v>
      </c>
      <c r="Q96" s="1"/>
      <c r="R96" s="1">
        <v>40</v>
      </c>
      <c r="S96" s="25"/>
      <c r="T96" s="21"/>
      <c r="U96" s="1">
        <f t="shared" si="23"/>
        <v>10</v>
      </c>
      <c r="V96" s="5">
        <v>30</v>
      </c>
      <c r="W96" s="5">
        <f t="shared" si="25"/>
        <v>30</v>
      </c>
      <c r="X96" s="5">
        <f t="shared" si="26"/>
        <v>30</v>
      </c>
      <c r="Y96" s="38"/>
      <c r="Z96" s="5"/>
      <c r="AA96" s="1">
        <f t="shared" si="27"/>
        <v>7.6</v>
      </c>
      <c r="AB96" s="1">
        <f t="shared" si="24"/>
        <v>4.5999999999999996</v>
      </c>
      <c r="AC96" s="1">
        <v>9.4</v>
      </c>
      <c r="AD96" s="1">
        <v>5.2</v>
      </c>
      <c r="AE96" s="1">
        <v>7.6</v>
      </c>
      <c r="AF96" s="1">
        <v>16</v>
      </c>
      <c r="AG96" s="1">
        <v>18.2</v>
      </c>
      <c r="AH96" s="1">
        <v>15.2</v>
      </c>
      <c r="AI96" s="1">
        <v>12.6</v>
      </c>
      <c r="AJ96" s="1">
        <v>7</v>
      </c>
      <c r="AK96" s="1">
        <v>4.4000000000000004</v>
      </c>
      <c r="AL96" s="1">
        <v>14.2</v>
      </c>
      <c r="AM96" s="1"/>
      <c r="AN96" s="1">
        <f t="shared" si="28"/>
        <v>2</v>
      </c>
      <c r="AO96" s="1">
        <f t="shared" si="29"/>
        <v>0</v>
      </c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" t="s">
        <v>142</v>
      </c>
      <c r="B97" s="1" t="s">
        <v>43</v>
      </c>
      <c r="C97" s="1">
        <v>33</v>
      </c>
      <c r="D97" s="1">
        <v>36</v>
      </c>
      <c r="E97" s="1">
        <v>45</v>
      </c>
      <c r="F97" s="1">
        <v>15</v>
      </c>
      <c r="G97" s="7">
        <v>7.0000000000000007E-2</v>
      </c>
      <c r="H97" s="1">
        <v>90</v>
      </c>
      <c r="I97" s="9" t="s">
        <v>51</v>
      </c>
      <c r="J97" s="1"/>
      <c r="K97" s="1">
        <v>45</v>
      </c>
      <c r="L97" s="1">
        <f t="shared" si="22"/>
        <v>0</v>
      </c>
      <c r="M97" s="1"/>
      <c r="N97" s="1"/>
      <c r="O97" s="1">
        <v>20</v>
      </c>
      <c r="P97" s="1"/>
      <c r="Q97" s="1"/>
      <c r="R97" s="1">
        <v>30.599999999999991</v>
      </c>
      <c r="S97" s="25"/>
      <c r="T97" s="21"/>
      <c r="U97" s="1">
        <f t="shared" si="23"/>
        <v>9</v>
      </c>
      <c r="V97" s="5">
        <f t="shared" ref="V97" si="35">12*U97-R97-Q97-P97-O97-F97</f>
        <v>42.400000000000006</v>
      </c>
      <c r="W97" s="5">
        <f t="shared" si="25"/>
        <v>42.400000000000006</v>
      </c>
      <c r="X97" s="5">
        <f t="shared" si="26"/>
        <v>42.400000000000006</v>
      </c>
      <c r="Y97" s="38"/>
      <c r="Z97" s="5"/>
      <c r="AA97" s="1">
        <f t="shared" si="27"/>
        <v>12</v>
      </c>
      <c r="AB97" s="1">
        <f t="shared" si="24"/>
        <v>7.2888888888888879</v>
      </c>
      <c r="AC97" s="1">
        <v>8.6</v>
      </c>
      <c r="AD97" s="1">
        <v>4.2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7.2</v>
      </c>
      <c r="AM97" s="1"/>
      <c r="AN97" s="1">
        <f t="shared" si="28"/>
        <v>3</v>
      </c>
      <c r="AO97" s="1">
        <f t="shared" si="29"/>
        <v>0</v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1" t="s">
        <v>143</v>
      </c>
      <c r="B98" s="1" t="s">
        <v>43</v>
      </c>
      <c r="C98" s="1">
        <v>171</v>
      </c>
      <c r="D98" s="1">
        <v>108</v>
      </c>
      <c r="E98" s="1">
        <v>68</v>
      </c>
      <c r="F98" s="1">
        <v>199</v>
      </c>
      <c r="G98" s="7">
        <v>7.0000000000000007E-2</v>
      </c>
      <c r="H98" s="1">
        <v>90</v>
      </c>
      <c r="I98" s="9" t="s">
        <v>51</v>
      </c>
      <c r="J98" s="1"/>
      <c r="K98" s="1">
        <v>68</v>
      </c>
      <c r="L98" s="1">
        <f t="shared" si="22"/>
        <v>0</v>
      </c>
      <c r="M98" s="1"/>
      <c r="N98" s="1"/>
      <c r="O98" s="1">
        <v>0</v>
      </c>
      <c r="P98" s="1"/>
      <c r="Q98" s="1"/>
      <c r="R98" s="1">
        <v>0</v>
      </c>
      <c r="S98" s="25"/>
      <c r="T98" s="21"/>
      <c r="U98" s="1">
        <f t="shared" si="23"/>
        <v>13.6</v>
      </c>
      <c r="V98" s="5"/>
      <c r="W98" s="5">
        <f t="shared" si="25"/>
        <v>0</v>
      </c>
      <c r="X98" s="5">
        <f t="shared" si="26"/>
        <v>0</v>
      </c>
      <c r="Y98" s="38"/>
      <c r="Z98" s="5"/>
      <c r="AA98" s="1">
        <f t="shared" si="27"/>
        <v>14.632352941176471</v>
      </c>
      <c r="AB98" s="1">
        <f t="shared" si="24"/>
        <v>14.632352941176471</v>
      </c>
      <c r="AC98" s="1">
        <v>14.2</v>
      </c>
      <c r="AD98" s="1">
        <v>7</v>
      </c>
      <c r="AE98" s="1">
        <v>-0.2</v>
      </c>
      <c r="AF98" s="1">
        <v>10</v>
      </c>
      <c r="AG98" s="1">
        <v>17.2</v>
      </c>
      <c r="AH98" s="1">
        <v>13</v>
      </c>
      <c r="AI98" s="1">
        <v>12.2</v>
      </c>
      <c r="AJ98" s="1">
        <v>9.1999999999999993</v>
      </c>
      <c r="AK98" s="1">
        <v>5</v>
      </c>
      <c r="AL98" s="1">
        <v>11</v>
      </c>
      <c r="AM98" s="1"/>
      <c r="AN98" s="1">
        <f t="shared" si="28"/>
        <v>0</v>
      </c>
      <c r="AO98" s="1">
        <f t="shared" si="29"/>
        <v>0</v>
      </c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11" t="s">
        <v>144</v>
      </c>
      <c r="B99" s="11" t="s">
        <v>43</v>
      </c>
      <c r="C99" s="11">
        <v>7</v>
      </c>
      <c r="D99" s="11"/>
      <c r="E99" s="11">
        <v>-1</v>
      </c>
      <c r="F99" s="11">
        <v>7</v>
      </c>
      <c r="G99" s="12">
        <v>0</v>
      </c>
      <c r="H99" s="11">
        <v>90</v>
      </c>
      <c r="I99" s="11" t="s">
        <v>65</v>
      </c>
      <c r="J99" s="11"/>
      <c r="K99" s="11">
        <v>27</v>
      </c>
      <c r="L99" s="11">
        <f t="shared" si="22"/>
        <v>-28</v>
      </c>
      <c r="M99" s="11"/>
      <c r="N99" s="11"/>
      <c r="O99" s="11">
        <v>0</v>
      </c>
      <c r="P99" s="11"/>
      <c r="Q99" s="11"/>
      <c r="R99" s="11">
        <v>0</v>
      </c>
      <c r="S99" s="27"/>
      <c r="T99" s="23"/>
      <c r="U99" s="11">
        <f t="shared" si="23"/>
        <v>-0.2</v>
      </c>
      <c r="V99" s="13"/>
      <c r="W99" s="5">
        <f t="shared" si="25"/>
        <v>0</v>
      </c>
      <c r="X99" s="5">
        <f t="shared" si="26"/>
        <v>0</v>
      </c>
      <c r="Y99" s="38"/>
      <c r="Z99" s="5"/>
      <c r="AA99" s="1">
        <f t="shared" si="27"/>
        <v>-35</v>
      </c>
      <c r="AB99" s="11">
        <f t="shared" si="24"/>
        <v>-35</v>
      </c>
      <c r="AC99" s="11">
        <v>0</v>
      </c>
      <c r="AD99" s="11">
        <v>0</v>
      </c>
      <c r="AE99" s="11">
        <v>0</v>
      </c>
      <c r="AF99" s="11">
        <v>-0.2</v>
      </c>
      <c r="AG99" s="11">
        <v>-0.2</v>
      </c>
      <c r="AH99" s="11">
        <v>-0.2</v>
      </c>
      <c r="AI99" s="11">
        <v>-0.6</v>
      </c>
      <c r="AJ99" s="11">
        <v>-0.4</v>
      </c>
      <c r="AK99" s="11">
        <v>0</v>
      </c>
      <c r="AL99" s="11">
        <v>8.8000000000000007</v>
      </c>
      <c r="AM99" s="11"/>
      <c r="AN99" s="1">
        <f t="shared" si="28"/>
        <v>0</v>
      </c>
      <c r="AO99" s="1">
        <f t="shared" si="29"/>
        <v>0</v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11" t="s">
        <v>145</v>
      </c>
      <c r="B100" s="11" t="s">
        <v>43</v>
      </c>
      <c r="C100" s="11">
        <v>1</v>
      </c>
      <c r="D100" s="11"/>
      <c r="E100" s="11">
        <v>-1</v>
      </c>
      <c r="F100" s="11">
        <v>1</v>
      </c>
      <c r="G100" s="12">
        <v>0</v>
      </c>
      <c r="H100" s="11"/>
      <c r="I100" s="11" t="s">
        <v>65</v>
      </c>
      <c r="J100" s="11"/>
      <c r="K100" s="11">
        <v>10</v>
      </c>
      <c r="L100" s="11">
        <f t="shared" si="22"/>
        <v>-11</v>
      </c>
      <c r="M100" s="11"/>
      <c r="N100" s="11"/>
      <c r="O100" s="11">
        <v>0</v>
      </c>
      <c r="P100" s="11"/>
      <c r="Q100" s="11"/>
      <c r="R100" s="11">
        <v>0</v>
      </c>
      <c r="S100" s="27"/>
      <c r="T100" s="23"/>
      <c r="U100" s="11">
        <f t="shared" si="23"/>
        <v>-0.2</v>
      </c>
      <c r="V100" s="13"/>
      <c r="W100" s="5">
        <f t="shared" si="25"/>
        <v>0</v>
      </c>
      <c r="X100" s="5">
        <f t="shared" si="26"/>
        <v>0</v>
      </c>
      <c r="Y100" s="38"/>
      <c r="Z100" s="5"/>
      <c r="AA100" s="1">
        <f t="shared" si="27"/>
        <v>-5</v>
      </c>
      <c r="AB100" s="11">
        <f t="shared" si="24"/>
        <v>-5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-0.2</v>
      </c>
      <c r="AI100" s="11">
        <v>-0.2</v>
      </c>
      <c r="AJ100" s="11">
        <v>-0.2</v>
      </c>
      <c r="AK100" s="11">
        <v>-0.2</v>
      </c>
      <c r="AL100" s="11">
        <v>-1.8</v>
      </c>
      <c r="AM100" s="11" t="s">
        <v>146</v>
      </c>
      <c r="AN100" s="1">
        <f t="shared" si="28"/>
        <v>0</v>
      </c>
      <c r="AO100" s="1">
        <f t="shared" si="29"/>
        <v>0</v>
      </c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 t="s">
        <v>147</v>
      </c>
      <c r="B101" s="1" t="s">
        <v>43</v>
      </c>
      <c r="C101" s="1"/>
      <c r="D101" s="1">
        <v>84</v>
      </c>
      <c r="E101" s="1">
        <v>83</v>
      </c>
      <c r="F101" s="1">
        <v>1</v>
      </c>
      <c r="G101" s="7">
        <v>0.3</v>
      </c>
      <c r="H101" s="1"/>
      <c r="I101" s="1" t="s">
        <v>39</v>
      </c>
      <c r="J101" s="1"/>
      <c r="K101" s="1">
        <v>82</v>
      </c>
      <c r="L101" s="1">
        <f t="shared" si="22"/>
        <v>1</v>
      </c>
      <c r="M101" s="1"/>
      <c r="N101" s="1"/>
      <c r="O101" s="1">
        <v>0</v>
      </c>
      <c r="P101" s="1"/>
      <c r="Q101" s="1"/>
      <c r="R101" s="1">
        <v>0</v>
      </c>
      <c r="S101" s="25"/>
      <c r="T101" s="21"/>
      <c r="U101" s="1">
        <f t="shared" si="23"/>
        <v>16.600000000000001</v>
      </c>
      <c r="V101" s="5">
        <f>7*U101-R101-Q101-P101-O101-F101</f>
        <v>115.20000000000002</v>
      </c>
      <c r="W101" s="5">
        <f t="shared" si="25"/>
        <v>115.20000000000002</v>
      </c>
      <c r="X101" s="5">
        <f t="shared" si="26"/>
        <v>46.540800000000004</v>
      </c>
      <c r="Y101" s="38"/>
      <c r="Z101" s="5">
        <f>W101*$Z$1</f>
        <v>68.659200000000013</v>
      </c>
      <c r="AA101" s="1">
        <f t="shared" si="27"/>
        <v>7</v>
      </c>
      <c r="AB101" s="1">
        <f t="shared" si="24"/>
        <v>6.0240963855421679E-2</v>
      </c>
      <c r="AC101" s="1">
        <v>1.2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 t="s">
        <v>140</v>
      </c>
      <c r="AN101" s="1">
        <f t="shared" si="28"/>
        <v>14</v>
      </c>
      <c r="AO101" s="1">
        <f t="shared" si="29"/>
        <v>21</v>
      </c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1" t="s">
        <v>148</v>
      </c>
      <c r="B102" s="11" t="s">
        <v>38</v>
      </c>
      <c r="C102" s="11">
        <v>-3.173</v>
      </c>
      <c r="D102" s="11"/>
      <c r="E102" s="11"/>
      <c r="F102" s="11">
        <v>-3.173</v>
      </c>
      <c r="G102" s="12">
        <v>0</v>
      </c>
      <c r="H102" s="11"/>
      <c r="I102" s="11" t="s">
        <v>39</v>
      </c>
      <c r="J102" s="11"/>
      <c r="K102" s="11"/>
      <c r="L102" s="11">
        <f t="shared" ref="L102:L133" si="36">E102-K102</f>
        <v>0</v>
      </c>
      <c r="M102" s="11"/>
      <c r="N102" s="11"/>
      <c r="O102" s="11">
        <v>0</v>
      </c>
      <c r="P102" s="11"/>
      <c r="Q102" s="11"/>
      <c r="R102" s="11">
        <v>0</v>
      </c>
      <c r="S102" s="27"/>
      <c r="T102" s="23"/>
      <c r="U102" s="11">
        <f t="shared" ref="U102:U134" si="37">E102/5</f>
        <v>0</v>
      </c>
      <c r="V102" s="13"/>
      <c r="W102" s="5">
        <f t="shared" si="25"/>
        <v>0</v>
      </c>
      <c r="X102" s="5">
        <f t="shared" si="26"/>
        <v>0</v>
      </c>
      <c r="Y102" s="38"/>
      <c r="Z102" s="5"/>
      <c r="AA102" s="1" t="e">
        <f t="shared" si="27"/>
        <v>#DIV/0!</v>
      </c>
      <c r="AB102" s="11" t="e">
        <f t="shared" ref="AB102:AB134" si="38">(F102+O102+P102+Q102+R102)/U102</f>
        <v>#DIV/0!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-0.32</v>
      </c>
      <c r="AJ102" s="11">
        <v>-0.32</v>
      </c>
      <c r="AK102" s="11">
        <v>-0.31919999999999998</v>
      </c>
      <c r="AL102" s="11">
        <v>-0.31919999999999998</v>
      </c>
      <c r="AM102" s="11" t="s">
        <v>49</v>
      </c>
      <c r="AN102" s="1">
        <f t="shared" si="28"/>
        <v>0</v>
      </c>
      <c r="AO102" s="1">
        <f t="shared" si="29"/>
        <v>0</v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1" t="s">
        <v>149</v>
      </c>
      <c r="B103" s="11" t="s">
        <v>43</v>
      </c>
      <c r="C103" s="11"/>
      <c r="D103" s="11"/>
      <c r="E103" s="11"/>
      <c r="F103" s="11"/>
      <c r="G103" s="12">
        <v>0</v>
      </c>
      <c r="H103" s="11"/>
      <c r="I103" s="11" t="s">
        <v>39</v>
      </c>
      <c r="J103" s="11"/>
      <c r="K103" s="11"/>
      <c r="L103" s="11">
        <f t="shared" si="36"/>
        <v>0</v>
      </c>
      <c r="M103" s="11"/>
      <c r="N103" s="11"/>
      <c r="O103" s="11">
        <v>0</v>
      </c>
      <c r="P103" s="11"/>
      <c r="Q103" s="11"/>
      <c r="R103" s="11">
        <v>0</v>
      </c>
      <c r="S103" s="27"/>
      <c r="T103" s="23"/>
      <c r="U103" s="11">
        <f t="shared" si="37"/>
        <v>0</v>
      </c>
      <c r="V103" s="13"/>
      <c r="W103" s="5">
        <f t="shared" si="25"/>
        <v>0</v>
      </c>
      <c r="X103" s="5">
        <f t="shared" si="26"/>
        <v>0</v>
      </c>
      <c r="Y103" s="38"/>
      <c r="Z103" s="5"/>
      <c r="AA103" s="1" t="e">
        <f t="shared" si="27"/>
        <v>#DIV/0!</v>
      </c>
      <c r="AB103" s="11" t="e">
        <f t="shared" si="38"/>
        <v>#DIV/0!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 t="s">
        <v>49</v>
      </c>
      <c r="AN103" s="1">
        <f t="shared" si="28"/>
        <v>0</v>
      </c>
      <c r="AO103" s="1">
        <f t="shared" si="29"/>
        <v>0</v>
      </c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1" t="s">
        <v>150</v>
      </c>
      <c r="B104" s="11" t="s">
        <v>43</v>
      </c>
      <c r="C104" s="11"/>
      <c r="D104" s="11"/>
      <c r="E104" s="11"/>
      <c r="F104" s="11"/>
      <c r="G104" s="12">
        <v>0</v>
      </c>
      <c r="H104" s="11"/>
      <c r="I104" s="11" t="s">
        <v>39</v>
      </c>
      <c r="J104" s="11"/>
      <c r="K104" s="11"/>
      <c r="L104" s="11">
        <f t="shared" si="36"/>
        <v>0</v>
      </c>
      <c r="M104" s="11"/>
      <c r="N104" s="11"/>
      <c r="O104" s="11">
        <v>0</v>
      </c>
      <c r="P104" s="11"/>
      <c r="Q104" s="11"/>
      <c r="R104" s="11">
        <v>0</v>
      </c>
      <c r="S104" s="27"/>
      <c r="T104" s="23"/>
      <c r="U104" s="11">
        <f t="shared" si="37"/>
        <v>0</v>
      </c>
      <c r="V104" s="13"/>
      <c r="W104" s="5">
        <f t="shared" si="25"/>
        <v>0</v>
      </c>
      <c r="X104" s="5">
        <f t="shared" si="26"/>
        <v>0</v>
      </c>
      <c r="Y104" s="38"/>
      <c r="Z104" s="5"/>
      <c r="AA104" s="1" t="e">
        <f t="shared" si="27"/>
        <v>#DIV/0!</v>
      </c>
      <c r="AB104" s="11" t="e">
        <f t="shared" si="38"/>
        <v>#DIV/0!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 t="s">
        <v>49</v>
      </c>
      <c r="AN104" s="1">
        <f t="shared" si="28"/>
        <v>0</v>
      </c>
      <c r="AO104" s="1">
        <f t="shared" si="29"/>
        <v>0</v>
      </c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 t="s">
        <v>151</v>
      </c>
      <c r="B105" s="1" t="s">
        <v>43</v>
      </c>
      <c r="C105" s="1">
        <v>201</v>
      </c>
      <c r="D105" s="1">
        <v>100</v>
      </c>
      <c r="E105" s="1">
        <v>128</v>
      </c>
      <c r="F105" s="1">
        <v>166</v>
      </c>
      <c r="G105" s="7">
        <v>0.08</v>
      </c>
      <c r="H105" s="1">
        <v>45</v>
      </c>
      <c r="I105" s="1" t="s">
        <v>39</v>
      </c>
      <c r="J105" s="1"/>
      <c r="K105" s="1">
        <v>123</v>
      </c>
      <c r="L105" s="1">
        <f t="shared" si="36"/>
        <v>5</v>
      </c>
      <c r="M105" s="1"/>
      <c r="N105" s="1"/>
      <c r="O105" s="1">
        <v>0</v>
      </c>
      <c r="P105" s="1"/>
      <c r="Q105" s="1"/>
      <c r="R105" s="1">
        <v>35.199999999999989</v>
      </c>
      <c r="S105" s="25"/>
      <c r="T105" s="21"/>
      <c r="U105" s="1">
        <f t="shared" si="37"/>
        <v>25.6</v>
      </c>
      <c r="V105" s="5">
        <f t="shared" ref="V105:V106" si="39">12*U105-R105-Q105-P105-O105-F105</f>
        <v>106.00000000000006</v>
      </c>
      <c r="W105" s="5">
        <f t="shared" si="25"/>
        <v>106.00000000000006</v>
      </c>
      <c r="X105" s="5">
        <f t="shared" si="26"/>
        <v>42.824000000000026</v>
      </c>
      <c r="Y105" s="38"/>
      <c r="Z105" s="5">
        <f>W105*$Z$1</f>
        <v>63.17600000000003</v>
      </c>
      <c r="AA105" s="1">
        <f t="shared" si="27"/>
        <v>12.000000000000002</v>
      </c>
      <c r="AB105" s="1">
        <f t="shared" si="38"/>
        <v>7.8593749999999991</v>
      </c>
      <c r="AC105" s="1">
        <v>25.2</v>
      </c>
      <c r="AD105" s="1">
        <v>14</v>
      </c>
      <c r="AE105" s="1">
        <v>0.6</v>
      </c>
      <c r="AF105" s="1">
        <v>11.2</v>
      </c>
      <c r="AG105" s="1">
        <v>23.6</v>
      </c>
      <c r="AH105" s="1">
        <v>19</v>
      </c>
      <c r="AI105" s="1">
        <v>14.6</v>
      </c>
      <c r="AJ105" s="1">
        <v>11.6</v>
      </c>
      <c r="AK105" s="1">
        <v>5.4</v>
      </c>
      <c r="AL105" s="1">
        <v>13.6</v>
      </c>
      <c r="AM105" s="1"/>
      <c r="AN105" s="1">
        <f t="shared" si="28"/>
        <v>3</v>
      </c>
      <c r="AO105" s="1">
        <f t="shared" si="29"/>
        <v>5</v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 t="s">
        <v>152</v>
      </c>
      <c r="B106" s="1" t="s">
        <v>43</v>
      </c>
      <c r="C106" s="1">
        <v>113</v>
      </c>
      <c r="D106" s="1">
        <v>200</v>
      </c>
      <c r="E106" s="1">
        <v>149</v>
      </c>
      <c r="F106" s="1">
        <v>145</v>
      </c>
      <c r="G106" s="7">
        <v>0.08</v>
      </c>
      <c r="H106" s="1">
        <v>45</v>
      </c>
      <c r="I106" s="1" t="s">
        <v>39</v>
      </c>
      <c r="J106" s="1"/>
      <c r="K106" s="1">
        <v>146</v>
      </c>
      <c r="L106" s="1">
        <f t="shared" si="36"/>
        <v>3</v>
      </c>
      <c r="M106" s="1"/>
      <c r="N106" s="1"/>
      <c r="O106" s="1">
        <v>0</v>
      </c>
      <c r="P106" s="1"/>
      <c r="Q106" s="1"/>
      <c r="R106" s="1">
        <v>114</v>
      </c>
      <c r="S106" s="25"/>
      <c r="T106" s="21"/>
      <c r="U106" s="1">
        <f t="shared" si="37"/>
        <v>29.8</v>
      </c>
      <c r="V106" s="5">
        <f t="shared" si="39"/>
        <v>98.600000000000023</v>
      </c>
      <c r="W106" s="5">
        <f t="shared" si="25"/>
        <v>98.600000000000023</v>
      </c>
      <c r="X106" s="5">
        <f t="shared" si="26"/>
        <v>98.600000000000023</v>
      </c>
      <c r="Y106" s="38"/>
      <c r="Z106" s="5"/>
      <c r="AA106" s="1">
        <f t="shared" si="27"/>
        <v>12</v>
      </c>
      <c r="AB106" s="1">
        <f t="shared" si="38"/>
        <v>8.6912751677852356</v>
      </c>
      <c r="AC106" s="1">
        <v>31</v>
      </c>
      <c r="AD106" s="1">
        <v>18.2</v>
      </c>
      <c r="AE106" s="1">
        <v>11</v>
      </c>
      <c r="AF106" s="1">
        <v>21</v>
      </c>
      <c r="AG106" s="1">
        <v>22.2</v>
      </c>
      <c r="AH106" s="1">
        <v>14.4</v>
      </c>
      <c r="AI106" s="1">
        <v>15.6</v>
      </c>
      <c r="AJ106" s="1">
        <v>9.8000000000000007</v>
      </c>
      <c r="AK106" s="1">
        <v>4.2</v>
      </c>
      <c r="AL106" s="1">
        <v>18</v>
      </c>
      <c r="AM106" s="1" t="s">
        <v>82</v>
      </c>
      <c r="AN106" s="1">
        <f t="shared" si="28"/>
        <v>8</v>
      </c>
      <c r="AO106" s="1">
        <f t="shared" si="29"/>
        <v>0</v>
      </c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11" t="s">
        <v>153</v>
      </c>
      <c r="B107" s="11" t="s">
        <v>43</v>
      </c>
      <c r="C107" s="11"/>
      <c r="D107" s="11"/>
      <c r="E107" s="11"/>
      <c r="F107" s="11"/>
      <c r="G107" s="12">
        <v>0</v>
      </c>
      <c r="H107" s="11"/>
      <c r="I107" s="11" t="s">
        <v>39</v>
      </c>
      <c r="J107" s="11"/>
      <c r="K107" s="11"/>
      <c r="L107" s="11">
        <f t="shared" si="36"/>
        <v>0</v>
      </c>
      <c r="M107" s="11"/>
      <c r="N107" s="11"/>
      <c r="O107" s="11">
        <v>0</v>
      </c>
      <c r="P107" s="11"/>
      <c r="Q107" s="11"/>
      <c r="R107" s="11">
        <v>0</v>
      </c>
      <c r="S107" s="27"/>
      <c r="T107" s="23"/>
      <c r="U107" s="11">
        <f t="shared" si="37"/>
        <v>0</v>
      </c>
      <c r="V107" s="13"/>
      <c r="W107" s="5">
        <f t="shared" si="25"/>
        <v>0</v>
      </c>
      <c r="X107" s="5">
        <f t="shared" si="26"/>
        <v>0</v>
      </c>
      <c r="Y107" s="38"/>
      <c r="Z107" s="5"/>
      <c r="AA107" s="1" t="e">
        <f t="shared" si="27"/>
        <v>#DIV/0!</v>
      </c>
      <c r="AB107" s="11" t="e">
        <f t="shared" si="38"/>
        <v>#DIV/0!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 t="s">
        <v>49</v>
      </c>
      <c r="AN107" s="1">
        <f t="shared" si="28"/>
        <v>0</v>
      </c>
      <c r="AO107" s="1">
        <f t="shared" si="29"/>
        <v>0</v>
      </c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 t="s">
        <v>154</v>
      </c>
      <c r="B108" s="1" t="s">
        <v>38</v>
      </c>
      <c r="C108" s="1">
        <v>-1.371</v>
      </c>
      <c r="D108" s="1">
        <v>106.367</v>
      </c>
      <c r="E108" s="1">
        <v>87.661000000000001</v>
      </c>
      <c r="F108" s="1">
        <v>6.7000000000000004E-2</v>
      </c>
      <c r="G108" s="7">
        <v>1</v>
      </c>
      <c r="H108" s="1">
        <v>40</v>
      </c>
      <c r="I108" s="9" t="s">
        <v>51</v>
      </c>
      <c r="J108" s="1"/>
      <c r="K108" s="1">
        <v>153.69999999999999</v>
      </c>
      <c r="L108" s="1">
        <f t="shared" si="36"/>
        <v>-66.038999999999987</v>
      </c>
      <c r="M108" s="1"/>
      <c r="N108" s="1"/>
      <c r="O108" s="1">
        <v>150</v>
      </c>
      <c r="P108" s="1">
        <v>-150.5</v>
      </c>
      <c r="Q108" s="1"/>
      <c r="R108" s="1">
        <v>100</v>
      </c>
      <c r="S108" s="25"/>
      <c r="T108" s="21"/>
      <c r="U108" s="1">
        <f t="shared" si="37"/>
        <v>17.5322</v>
      </c>
      <c r="V108" s="5">
        <v>100</v>
      </c>
      <c r="W108" s="5">
        <f t="shared" si="25"/>
        <v>100</v>
      </c>
      <c r="X108" s="5">
        <f t="shared" si="26"/>
        <v>100</v>
      </c>
      <c r="Y108" s="38"/>
      <c r="Z108" s="5"/>
      <c r="AA108" s="1">
        <f t="shared" si="27"/>
        <v>11.382884064749433</v>
      </c>
      <c r="AB108" s="1">
        <f t="shared" si="38"/>
        <v>5.679093325424077</v>
      </c>
      <c r="AC108" s="1">
        <v>21.331199999999999</v>
      </c>
      <c r="AD108" s="1">
        <v>16.2516</v>
      </c>
      <c r="AE108" s="1">
        <v>0.43880000000000002</v>
      </c>
      <c r="AF108" s="1">
        <v>18.152000000000001</v>
      </c>
      <c r="AG108" s="1">
        <v>37.6066</v>
      </c>
      <c r="AH108" s="1">
        <v>48.525799999999997</v>
      </c>
      <c r="AI108" s="1">
        <v>48.293199999999999</v>
      </c>
      <c r="AJ108" s="1">
        <v>40.6768</v>
      </c>
      <c r="AK108" s="1">
        <v>32.158000000000001</v>
      </c>
      <c r="AL108" s="1">
        <v>35.068199999999997</v>
      </c>
      <c r="AM108" s="1"/>
      <c r="AN108" s="1">
        <f t="shared" si="28"/>
        <v>100</v>
      </c>
      <c r="AO108" s="1">
        <f t="shared" si="29"/>
        <v>0</v>
      </c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 t="s">
        <v>155</v>
      </c>
      <c r="B109" s="1" t="s">
        <v>38</v>
      </c>
      <c r="C109" s="1">
        <v>-6.75</v>
      </c>
      <c r="D109" s="1">
        <v>108.137</v>
      </c>
      <c r="E109" s="1">
        <v>92.977000000000004</v>
      </c>
      <c r="F109" s="1">
        <v>-0.28399999999999997</v>
      </c>
      <c r="G109" s="7">
        <v>1</v>
      </c>
      <c r="H109" s="1">
        <v>40</v>
      </c>
      <c r="I109" s="9" t="s">
        <v>51</v>
      </c>
      <c r="J109" s="1"/>
      <c r="K109" s="1">
        <v>165.5</v>
      </c>
      <c r="L109" s="1">
        <f t="shared" si="36"/>
        <v>-72.522999999999996</v>
      </c>
      <c r="M109" s="1"/>
      <c r="N109" s="1"/>
      <c r="O109" s="1">
        <v>150</v>
      </c>
      <c r="P109" s="1"/>
      <c r="Q109" s="1"/>
      <c r="R109" s="1">
        <v>20</v>
      </c>
      <c r="S109" s="25"/>
      <c r="T109" s="21"/>
      <c r="U109" s="1">
        <f t="shared" si="37"/>
        <v>18.595400000000001</v>
      </c>
      <c r="V109" s="5">
        <v>100</v>
      </c>
      <c r="W109" s="5">
        <f t="shared" si="25"/>
        <v>100</v>
      </c>
      <c r="X109" s="5">
        <f t="shared" si="26"/>
        <v>100</v>
      </c>
      <c r="Y109" s="38"/>
      <c r="Z109" s="5"/>
      <c r="AA109" s="1">
        <f t="shared" si="27"/>
        <v>14.504447336438043</v>
      </c>
      <c r="AB109" s="1">
        <f t="shared" si="38"/>
        <v>9.1267732880174659</v>
      </c>
      <c r="AC109" s="1">
        <v>14.566599999999999</v>
      </c>
      <c r="AD109" s="1">
        <v>10.164199999999999</v>
      </c>
      <c r="AE109" s="1">
        <v>1.1066</v>
      </c>
      <c r="AF109" s="1">
        <v>18.8582</v>
      </c>
      <c r="AG109" s="1">
        <v>41.940399999999997</v>
      </c>
      <c r="AH109" s="1">
        <v>51.450800000000001</v>
      </c>
      <c r="AI109" s="1">
        <v>46.6586</v>
      </c>
      <c r="AJ109" s="1">
        <v>38.007399999999997</v>
      </c>
      <c r="AK109" s="1">
        <v>31.772600000000001</v>
      </c>
      <c r="AL109" s="1">
        <v>34.806199999999997</v>
      </c>
      <c r="AM109" s="1"/>
      <c r="AN109" s="1">
        <f t="shared" si="28"/>
        <v>100</v>
      </c>
      <c r="AO109" s="1">
        <f t="shared" si="29"/>
        <v>0</v>
      </c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1" t="s">
        <v>156</v>
      </c>
      <c r="B110" s="1" t="s">
        <v>38</v>
      </c>
      <c r="C110" s="1">
        <v>8.0519999999999996</v>
      </c>
      <c r="D110" s="1"/>
      <c r="E110" s="1">
        <v>-4.2770000000000001</v>
      </c>
      <c r="F110" s="1">
        <v>8.0519999999999996</v>
      </c>
      <c r="G110" s="7">
        <v>1</v>
      </c>
      <c r="H110" s="1">
        <v>40</v>
      </c>
      <c r="I110" s="9" t="s">
        <v>51</v>
      </c>
      <c r="J110" s="1"/>
      <c r="K110" s="1">
        <v>106.4</v>
      </c>
      <c r="L110" s="1">
        <f t="shared" si="36"/>
        <v>-110.67700000000001</v>
      </c>
      <c r="M110" s="1"/>
      <c r="N110" s="1"/>
      <c r="O110" s="1">
        <v>200</v>
      </c>
      <c r="P110" s="1">
        <v>-203</v>
      </c>
      <c r="Q110" s="1"/>
      <c r="R110" s="1">
        <v>150</v>
      </c>
      <c r="S110" s="25"/>
      <c r="T110" s="21"/>
      <c r="U110" s="1">
        <f t="shared" si="37"/>
        <v>-0.85540000000000005</v>
      </c>
      <c r="V110" s="5">
        <v>150</v>
      </c>
      <c r="W110" s="5">
        <f t="shared" si="25"/>
        <v>150</v>
      </c>
      <c r="X110" s="5">
        <f t="shared" si="26"/>
        <v>150</v>
      </c>
      <c r="Y110" s="38"/>
      <c r="Z110" s="5"/>
      <c r="AA110" s="1">
        <f t="shared" si="27"/>
        <v>-356.6191255552958</v>
      </c>
      <c r="AB110" s="1">
        <f t="shared" si="38"/>
        <v>-181.26256722001401</v>
      </c>
      <c r="AC110" s="1">
        <v>-0.56600000000000006</v>
      </c>
      <c r="AD110" s="1">
        <v>-0.42</v>
      </c>
      <c r="AE110" s="1">
        <v>-0.42220000000000002</v>
      </c>
      <c r="AF110" s="1">
        <v>-1.1372</v>
      </c>
      <c r="AG110" s="1">
        <v>-1.2682</v>
      </c>
      <c r="AH110" s="1">
        <v>29.753599999999999</v>
      </c>
      <c r="AI110" s="1">
        <v>60.248199999999997</v>
      </c>
      <c r="AJ110" s="1">
        <v>61.4514</v>
      </c>
      <c r="AK110" s="1">
        <v>45.332599999999999</v>
      </c>
      <c r="AL110" s="1">
        <v>44.720799999999997</v>
      </c>
      <c r="AM110" s="1"/>
      <c r="AN110" s="1">
        <f t="shared" si="28"/>
        <v>150</v>
      </c>
      <c r="AO110" s="1">
        <f t="shared" si="29"/>
        <v>0</v>
      </c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1" t="s">
        <v>157</v>
      </c>
      <c r="B111" s="11" t="s">
        <v>43</v>
      </c>
      <c r="C111" s="11"/>
      <c r="D111" s="11"/>
      <c r="E111" s="11"/>
      <c r="F111" s="11"/>
      <c r="G111" s="12">
        <v>0</v>
      </c>
      <c r="H111" s="11"/>
      <c r="I111" s="11" t="s">
        <v>39</v>
      </c>
      <c r="J111" s="11"/>
      <c r="K111" s="11"/>
      <c r="L111" s="11">
        <f t="shared" si="36"/>
        <v>0</v>
      </c>
      <c r="M111" s="11"/>
      <c r="N111" s="11"/>
      <c r="O111" s="11">
        <v>0</v>
      </c>
      <c r="P111" s="11"/>
      <c r="Q111" s="11"/>
      <c r="R111" s="11">
        <v>0</v>
      </c>
      <c r="S111" s="27"/>
      <c r="T111" s="23"/>
      <c r="U111" s="11">
        <f t="shared" si="37"/>
        <v>0</v>
      </c>
      <c r="V111" s="13"/>
      <c r="W111" s="5">
        <f t="shared" si="25"/>
        <v>0</v>
      </c>
      <c r="X111" s="5">
        <f t="shared" si="26"/>
        <v>0</v>
      </c>
      <c r="Y111" s="38"/>
      <c r="Z111" s="5"/>
      <c r="AA111" s="1" t="e">
        <f t="shared" si="27"/>
        <v>#DIV/0!</v>
      </c>
      <c r="AB111" s="11" t="e">
        <f t="shared" si="38"/>
        <v>#DIV/0!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 t="s">
        <v>49</v>
      </c>
      <c r="AN111" s="1">
        <f t="shared" si="28"/>
        <v>0</v>
      </c>
      <c r="AO111" s="1">
        <f t="shared" si="29"/>
        <v>0</v>
      </c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1" t="s">
        <v>158</v>
      </c>
      <c r="B112" s="11" t="s">
        <v>43</v>
      </c>
      <c r="C112" s="11"/>
      <c r="D112" s="11"/>
      <c r="E112" s="11"/>
      <c r="F112" s="11"/>
      <c r="G112" s="12">
        <v>0</v>
      </c>
      <c r="H112" s="11"/>
      <c r="I112" s="11" t="s">
        <v>39</v>
      </c>
      <c r="J112" s="11"/>
      <c r="K112" s="11"/>
      <c r="L112" s="11">
        <f t="shared" si="36"/>
        <v>0</v>
      </c>
      <c r="M112" s="11"/>
      <c r="N112" s="11"/>
      <c r="O112" s="11">
        <v>0</v>
      </c>
      <c r="P112" s="11"/>
      <c r="Q112" s="11"/>
      <c r="R112" s="11">
        <v>0</v>
      </c>
      <c r="S112" s="27"/>
      <c r="T112" s="23"/>
      <c r="U112" s="11">
        <f t="shared" si="37"/>
        <v>0</v>
      </c>
      <c r="V112" s="13"/>
      <c r="W112" s="5">
        <f t="shared" si="25"/>
        <v>0</v>
      </c>
      <c r="X112" s="5">
        <f t="shared" si="26"/>
        <v>0</v>
      </c>
      <c r="Y112" s="38"/>
      <c r="Z112" s="5"/>
      <c r="AA112" s="1" t="e">
        <f t="shared" si="27"/>
        <v>#DIV/0!</v>
      </c>
      <c r="AB112" s="11" t="e">
        <f t="shared" si="38"/>
        <v>#DIV/0!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 t="s">
        <v>49</v>
      </c>
      <c r="AN112" s="1">
        <f t="shared" si="28"/>
        <v>0</v>
      </c>
      <c r="AO112" s="1">
        <f t="shared" si="29"/>
        <v>0</v>
      </c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 t="s">
        <v>159</v>
      </c>
      <c r="B113" s="1" t="s">
        <v>43</v>
      </c>
      <c r="C113" s="1">
        <v>23</v>
      </c>
      <c r="D113" s="1">
        <v>103</v>
      </c>
      <c r="E113" s="1">
        <v>114</v>
      </c>
      <c r="F113" s="1">
        <v>7</v>
      </c>
      <c r="G113" s="7">
        <v>0.28000000000000003</v>
      </c>
      <c r="H113" s="1">
        <v>40</v>
      </c>
      <c r="I113" s="9" t="s">
        <v>51</v>
      </c>
      <c r="J113" s="1"/>
      <c r="K113" s="1">
        <v>237</v>
      </c>
      <c r="L113" s="1">
        <f t="shared" si="36"/>
        <v>-123</v>
      </c>
      <c r="M113" s="1"/>
      <c r="N113" s="1"/>
      <c r="O113" s="1">
        <v>200</v>
      </c>
      <c r="P113" s="1"/>
      <c r="Q113" s="1"/>
      <c r="R113" s="1">
        <v>137.80000000000001</v>
      </c>
      <c r="S113" s="25"/>
      <c r="T113" s="21"/>
      <c r="U113" s="1">
        <f t="shared" si="37"/>
        <v>22.8</v>
      </c>
      <c r="V113" s="5">
        <v>80</v>
      </c>
      <c r="W113" s="5">
        <f t="shared" si="25"/>
        <v>80</v>
      </c>
      <c r="X113" s="5">
        <f t="shared" si="26"/>
        <v>80</v>
      </c>
      <c r="Y113" s="38"/>
      <c r="Z113" s="5"/>
      <c r="AA113" s="1">
        <f t="shared" si="27"/>
        <v>18.631578947368421</v>
      </c>
      <c r="AB113" s="1">
        <f t="shared" si="38"/>
        <v>15.12280701754386</v>
      </c>
      <c r="AC113" s="1">
        <v>33.799999999999997</v>
      </c>
      <c r="AD113" s="1">
        <v>17.8</v>
      </c>
      <c r="AE113" s="1">
        <v>-1.2</v>
      </c>
      <c r="AF113" s="1">
        <v>19.2</v>
      </c>
      <c r="AG113" s="1">
        <v>56.6</v>
      </c>
      <c r="AH113" s="1">
        <v>41</v>
      </c>
      <c r="AI113" s="1">
        <v>1</v>
      </c>
      <c r="AJ113" s="1">
        <v>-2</v>
      </c>
      <c r="AK113" s="1">
        <v>7</v>
      </c>
      <c r="AL113" s="1">
        <v>46</v>
      </c>
      <c r="AM113" s="1"/>
      <c r="AN113" s="1">
        <f t="shared" si="28"/>
        <v>22</v>
      </c>
      <c r="AO113" s="1">
        <f t="shared" si="29"/>
        <v>0</v>
      </c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 t="s">
        <v>160</v>
      </c>
      <c r="B114" s="1" t="s">
        <v>43</v>
      </c>
      <c r="C114" s="1">
        <v>2</v>
      </c>
      <c r="D114" s="1">
        <v>105</v>
      </c>
      <c r="E114" s="1">
        <v>96</v>
      </c>
      <c r="F114" s="1">
        <v>3</v>
      </c>
      <c r="G114" s="7">
        <v>0.28000000000000003</v>
      </c>
      <c r="H114" s="1">
        <v>40</v>
      </c>
      <c r="I114" s="9" t="s">
        <v>51</v>
      </c>
      <c r="J114" s="1"/>
      <c r="K114" s="1">
        <v>163</v>
      </c>
      <c r="L114" s="1">
        <f t="shared" si="36"/>
        <v>-67</v>
      </c>
      <c r="M114" s="1"/>
      <c r="N114" s="1"/>
      <c r="O114" s="1">
        <v>200</v>
      </c>
      <c r="P114" s="1">
        <v>-204</v>
      </c>
      <c r="Q114" s="1"/>
      <c r="R114" s="1">
        <v>150</v>
      </c>
      <c r="S114" s="25"/>
      <c r="T114" s="21"/>
      <c r="U114" s="1">
        <f t="shared" si="37"/>
        <v>19.2</v>
      </c>
      <c r="V114" s="5">
        <v>150</v>
      </c>
      <c r="W114" s="5">
        <f t="shared" si="25"/>
        <v>150</v>
      </c>
      <c r="X114" s="5">
        <f t="shared" si="26"/>
        <v>150</v>
      </c>
      <c r="Y114" s="38"/>
      <c r="Z114" s="5"/>
      <c r="AA114" s="1">
        <f t="shared" si="27"/>
        <v>15.572916666666668</v>
      </c>
      <c r="AB114" s="1">
        <f t="shared" si="38"/>
        <v>7.760416666666667</v>
      </c>
      <c r="AC114" s="1">
        <v>21.2</v>
      </c>
      <c r="AD114" s="1">
        <v>13.8</v>
      </c>
      <c r="AE114" s="1">
        <v>-0.6</v>
      </c>
      <c r="AF114" s="1">
        <v>-1</v>
      </c>
      <c r="AG114" s="1">
        <v>-2.4</v>
      </c>
      <c r="AH114" s="1">
        <v>-2.4</v>
      </c>
      <c r="AI114" s="1">
        <v>1</v>
      </c>
      <c r="AJ114" s="1">
        <v>22.4</v>
      </c>
      <c r="AK114" s="1">
        <v>34.6</v>
      </c>
      <c r="AL114" s="1">
        <v>45.2</v>
      </c>
      <c r="AM114" s="1"/>
      <c r="AN114" s="1">
        <f t="shared" si="28"/>
        <v>42</v>
      </c>
      <c r="AO114" s="1">
        <f t="shared" si="29"/>
        <v>0</v>
      </c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 t="s">
        <v>161</v>
      </c>
      <c r="B115" s="1" t="s">
        <v>43</v>
      </c>
      <c r="C115" s="1">
        <v>-7</v>
      </c>
      <c r="D115" s="1">
        <v>87</v>
      </c>
      <c r="E115" s="1">
        <v>76</v>
      </c>
      <c r="F115" s="1">
        <v>-4</v>
      </c>
      <c r="G115" s="7">
        <v>0.28000000000000003</v>
      </c>
      <c r="H115" s="1">
        <v>40</v>
      </c>
      <c r="I115" s="9" t="s">
        <v>51</v>
      </c>
      <c r="J115" s="1"/>
      <c r="K115" s="1">
        <v>129</v>
      </c>
      <c r="L115" s="1">
        <f t="shared" si="36"/>
        <v>-53</v>
      </c>
      <c r="M115" s="1"/>
      <c r="N115" s="1"/>
      <c r="O115" s="1">
        <v>200</v>
      </c>
      <c r="P115" s="1">
        <v>-204</v>
      </c>
      <c r="Q115" s="1"/>
      <c r="R115" s="1">
        <v>150</v>
      </c>
      <c r="S115" s="25"/>
      <c r="T115" s="21"/>
      <c r="U115" s="1">
        <f t="shared" si="37"/>
        <v>15.2</v>
      </c>
      <c r="V115" s="5">
        <v>100</v>
      </c>
      <c r="W115" s="5">
        <f t="shared" si="25"/>
        <v>100</v>
      </c>
      <c r="X115" s="5">
        <f t="shared" si="26"/>
        <v>100</v>
      </c>
      <c r="Y115" s="38"/>
      <c r="Z115" s="5"/>
      <c r="AA115" s="1">
        <f t="shared" si="27"/>
        <v>15.921052631578949</v>
      </c>
      <c r="AB115" s="1">
        <f t="shared" si="38"/>
        <v>9.3421052631578956</v>
      </c>
      <c r="AC115" s="1">
        <v>19</v>
      </c>
      <c r="AD115" s="1">
        <v>13.2</v>
      </c>
      <c r="AE115" s="1">
        <v>8</v>
      </c>
      <c r="AF115" s="1">
        <v>42.2</v>
      </c>
      <c r="AG115" s="1">
        <v>68.2</v>
      </c>
      <c r="AH115" s="1">
        <v>49.2</v>
      </c>
      <c r="AI115" s="1">
        <v>33</v>
      </c>
      <c r="AJ115" s="1">
        <v>39.200000000000003</v>
      </c>
      <c r="AK115" s="1">
        <v>30.6</v>
      </c>
      <c r="AL115" s="1">
        <v>43.4</v>
      </c>
      <c r="AM115" s="1"/>
      <c r="AN115" s="1">
        <f t="shared" si="28"/>
        <v>28</v>
      </c>
      <c r="AO115" s="1">
        <f t="shared" si="29"/>
        <v>0</v>
      </c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11" t="s">
        <v>162</v>
      </c>
      <c r="B116" s="11" t="s">
        <v>43</v>
      </c>
      <c r="C116" s="11"/>
      <c r="D116" s="11"/>
      <c r="E116" s="11"/>
      <c r="F116" s="11"/>
      <c r="G116" s="12">
        <v>0</v>
      </c>
      <c r="H116" s="11"/>
      <c r="I116" s="11" t="s">
        <v>39</v>
      </c>
      <c r="J116" s="11"/>
      <c r="K116" s="11"/>
      <c r="L116" s="11">
        <f t="shared" si="36"/>
        <v>0</v>
      </c>
      <c r="M116" s="11"/>
      <c r="N116" s="11"/>
      <c r="O116" s="11">
        <v>0</v>
      </c>
      <c r="P116" s="11"/>
      <c r="Q116" s="11"/>
      <c r="R116" s="11">
        <v>0</v>
      </c>
      <c r="S116" s="27"/>
      <c r="T116" s="23"/>
      <c r="U116" s="11">
        <f t="shared" si="37"/>
        <v>0</v>
      </c>
      <c r="V116" s="13"/>
      <c r="W116" s="5">
        <f t="shared" si="25"/>
        <v>0</v>
      </c>
      <c r="X116" s="5">
        <f t="shared" si="26"/>
        <v>0</v>
      </c>
      <c r="Y116" s="38"/>
      <c r="Z116" s="5"/>
      <c r="AA116" s="1" t="e">
        <f t="shared" si="27"/>
        <v>#DIV/0!</v>
      </c>
      <c r="AB116" s="11" t="e">
        <f t="shared" si="38"/>
        <v>#DIV/0!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 t="s">
        <v>49</v>
      </c>
      <c r="AN116" s="1">
        <f t="shared" si="28"/>
        <v>0</v>
      </c>
      <c r="AO116" s="1">
        <f t="shared" si="29"/>
        <v>0</v>
      </c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 t="s">
        <v>163</v>
      </c>
      <c r="B117" s="1" t="s">
        <v>38</v>
      </c>
      <c r="C117" s="1">
        <v>144.423</v>
      </c>
      <c r="D117" s="1"/>
      <c r="E117" s="1">
        <v>34.146999999999998</v>
      </c>
      <c r="F117" s="1">
        <v>99.305999999999997</v>
      </c>
      <c r="G117" s="7">
        <v>1</v>
      </c>
      <c r="H117" s="1">
        <v>60</v>
      </c>
      <c r="I117" s="1" t="s">
        <v>39</v>
      </c>
      <c r="J117" s="1"/>
      <c r="K117" s="1">
        <v>35</v>
      </c>
      <c r="L117" s="1">
        <f t="shared" si="36"/>
        <v>-0.85300000000000153</v>
      </c>
      <c r="M117" s="1"/>
      <c r="N117" s="1"/>
      <c r="O117" s="1">
        <v>0</v>
      </c>
      <c r="P117" s="1"/>
      <c r="Q117" s="1"/>
      <c r="R117" s="1">
        <v>0</v>
      </c>
      <c r="S117" s="25"/>
      <c r="T117" s="21"/>
      <c r="U117" s="1">
        <f t="shared" si="37"/>
        <v>6.8293999999999997</v>
      </c>
      <c r="V117" s="5"/>
      <c r="W117" s="5">
        <f t="shared" si="25"/>
        <v>0</v>
      </c>
      <c r="X117" s="5">
        <f t="shared" si="26"/>
        <v>0</v>
      </c>
      <c r="Y117" s="38"/>
      <c r="Z117" s="5"/>
      <c r="AA117" s="1">
        <f t="shared" si="27"/>
        <v>14.540955281576712</v>
      </c>
      <c r="AB117" s="1">
        <f t="shared" si="38"/>
        <v>14.540955281576712</v>
      </c>
      <c r="AC117" s="1">
        <v>5.8517999999999999</v>
      </c>
      <c r="AD117" s="1">
        <v>3.0104000000000002</v>
      </c>
      <c r="AE117" s="1">
        <v>7.0028000000000006</v>
      </c>
      <c r="AF117" s="1">
        <v>11.0334</v>
      </c>
      <c r="AG117" s="1">
        <v>6.3334000000000001</v>
      </c>
      <c r="AH117" s="1">
        <v>3.678199999999999</v>
      </c>
      <c r="AI117" s="1">
        <v>4.3917999999999999</v>
      </c>
      <c r="AJ117" s="1">
        <v>9.8704000000000001</v>
      </c>
      <c r="AK117" s="1">
        <v>11.0616</v>
      </c>
      <c r="AL117" s="1">
        <v>18.499199999999998</v>
      </c>
      <c r="AM117" s="16" t="s">
        <v>92</v>
      </c>
      <c r="AN117" s="1">
        <f t="shared" si="28"/>
        <v>0</v>
      </c>
      <c r="AO117" s="1">
        <f t="shared" si="29"/>
        <v>0</v>
      </c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 t="s">
        <v>164</v>
      </c>
      <c r="B118" s="1" t="s">
        <v>38</v>
      </c>
      <c r="C118" s="1">
        <v>42.637</v>
      </c>
      <c r="D118" s="1">
        <v>64.73</v>
      </c>
      <c r="E118" s="1">
        <v>29.841000000000001</v>
      </c>
      <c r="F118" s="1">
        <v>62.595999999999997</v>
      </c>
      <c r="G118" s="7">
        <v>1</v>
      </c>
      <c r="H118" s="1">
        <v>50</v>
      </c>
      <c r="I118" s="1" t="s">
        <v>39</v>
      </c>
      <c r="J118" s="1"/>
      <c r="K118" s="1">
        <v>35</v>
      </c>
      <c r="L118" s="1">
        <f t="shared" si="36"/>
        <v>-5.1589999999999989</v>
      </c>
      <c r="M118" s="1"/>
      <c r="N118" s="1"/>
      <c r="O118" s="1">
        <v>0</v>
      </c>
      <c r="P118" s="1"/>
      <c r="Q118" s="1"/>
      <c r="R118" s="1">
        <v>0</v>
      </c>
      <c r="S118" s="25"/>
      <c r="T118" s="21"/>
      <c r="U118" s="1">
        <f t="shared" si="37"/>
        <v>5.9682000000000004</v>
      </c>
      <c r="V118" s="5">
        <f t="shared" ref="V118" si="40">12*U118-R118-Q118-P118-O118-F118</f>
        <v>9.0224000000000117</v>
      </c>
      <c r="W118" s="5">
        <f t="shared" si="25"/>
        <v>9.0224000000000117</v>
      </c>
      <c r="X118" s="5">
        <f t="shared" si="26"/>
        <v>9.0224000000000117</v>
      </c>
      <c r="Y118" s="38"/>
      <c r="Z118" s="5"/>
      <c r="AA118" s="1">
        <f t="shared" si="27"/>
        <v>12</v>
      </c>
      <c r="AB118" s="1">
        <f t="shared" si="38"/>
        <v>10.488254415066518</v>
      </c>
      <c r="AC118" s="1">
        <v>6.4512</v>
      </c>
      <c r="AD118" s="1">
        <v>3.9742000000000002</v>
      </c>
      <c r="AE118" s="1">
        <v>4.4668000000000001</v>
      </c>
      <c r="AF118" s="1">
        <v>8.9374000000000002</v>
      </c>
      <c r="AG118" s="1">
        <v>6.4590000000000014</v>
      </c>
      <c r="AH118" s="1">
        <v>1.9887999999999999</v>
      </c>
      <c r="AI118" s="1">
        <v>5.2645999999999997</v>
      </c>
      <c r="AJ118" s="1">
        <v>7.7645999999999997</v>
      </c>
      <c r="AK118" s="1">
        <v>5.4868000000000006</v>
      </c>
      <c r="AL118" s="1">
        <v>7.4721999999999991</v>
      </c>
      <c r="AM118" s="1"/>
      <c r="AN118" s="1">
        <f t="shared" si="28"/>
        <v>9</v>
      </c>
      <c r="AO118" s="1">
        <f t="shared" si="29"/>
        <v>0</v>
      </c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 t="s">
        <v>165</v>
      </c>
      <c r="B119" s="1" t="s">
        <v>43</v>
      </c>
      <c r="C119" s="1"/>
      <c r="D119" s="1">
        <v>65</v>
      </c>
      <c r="E119" s="1">
        <v>51</v>
      </c>
      <c r="F119" s="1">
        <v>5</v>
      </c>
      <c r="G119" s="7">
        <v>0.09</v>
      </c>
      <c r="H119" s="1"/>
      <c r="I119" s="1" t="s">
        <v>39</v>
      </c>
      <c r="J119" s="1"/>
      <c r="K119" s="1">
        <v>57</v>
      </c>
      <c r="L119" s="1">
        <f t="shared" si="36"/>
        <v>-6</v>
      </c>
      <c r="M119" s="1"/>
      <c r="N119" s="1"/>
      <c r="O119" s="1">
        <v>0</v>
      </c>
      <c r="P119" s="1"/>
      <c r="Q119" s="1"/>
      <c r="R119" s="1">
        <v>0</v>
      </c>
      <c r="S119" s="25"/>
      <c r="T119" s="21"/>
      <c r="U119" s="1">
        <f t="shared" si="37"/>
        <v>10.199999999999999</v>
      </c>
      <c r="V119" s="5">
        <f>7*U119-R119-Q119-P119-O119-F119</f>
        <v>66.399999999999991</v>
      </c>
      <c r="W119" s="5">
        <f t="shared" si="25"/>
        <v>66.399999999999991</v>
      </c>
      <c r="X119" s="5">
        <f t="shared" si="26"/>
        <v>66.399999999999991</v>
      </c>
      <c r="Y119" s="38"/>
      <c r="Z119" s="5"/>
      <c r="AA119" s="1">
        <f t="shared" si="27"/>
        <v>7</v>
      </c>
      <c r="AB119" s="1">
        <f t="shared" si="38"/>
        <v>0.49019607843137258</v>
      </c>
      <c r="AC119" s="1">
        <v>1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 t="s">
        <v>140</v>
      </c>
      <c r="AN119" s="1">
        <f t="shared" si="28"/>
        <v>6</v>
      </c>
      <c r="AO119" s="1">
        <f t="shared" si="29"/>
        <v>0</v>
      </c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1" t="s">
        <v>166</v>
      </c>
      <c r="B120" s="11" t="s">
        <v>43</v>
      </c>
      <c r="C120" s="11"/>
      <c r="D120" s="11"/>
      <c r="E120" s="11"/>
      <c r="F120" s="11"/>
      <c r="G120" s="12">
        <v>0</v>
      </c>
      <c r="H120" s="11"/>
      <c r="I120" s="11" t="s">
        <v>39</v>
      </c>
      <c r="J120" s="11"/>
      <c r="K120" s="11"/>
      <c r="L120" s="11">
        <f t="shared" si="36"/>
        <v>0</v>
      </c>
      <c r="M120" s="11"/>
      <c r="N120" s="11"/>
      <c r="O120" s="11">
        <v>0</v>
      </c>
      <c r="P120" s="11"/>
      <c r="Q120" s="11"/>
      <c r="R120" s="11">
        <v>0</v>
      </c>
      <c r="S120" s="27"/>
      <c r="T120" s="23"/>
      <c r="U120" s="11">
        <f t="shared" si="37"/>
        <v>0</v>
      </c>
      <c r="V120" s="13"/>
      <c r="W120" s="5">
        <f t="shared" si="25"/>
        <v>0</v>
      </c>
      <c r="X120" s="5">
        <f t="shared" si="26"/>
        <v>0</v>
      </c>
      <c r="Y120" s="38"/>
      <c r="Z120" s="5"/>
      <c r="AA120" s="1" t="e">
        <f t="shared" si="27"/>
        <v>#DIV/0!</v>
      </c>
      <c r="AB120" s="11" t="e">
        <f t="shared" si="38"/>
        <v>#DIV/0!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 t="s">
        <v>49</v>
      </c>
      <c r="AN120" s="1">
        <f t="shared" si="28"/>
        <v>0</v>
      </c>
      <c r="AO120" s="1">
        <f t="shared" si="29"/>
        <v>0</v>
      </c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 t="s">
        <v>167</v>
      </c>
      <c r="B121" s="1" t="s">
        <v>38</v>
      </c>
      <c r="C121" s="1">
        <v>56.634</v>
      </c>
      <c r="D121" s="1">
        <v>197.88200000000001</v>
      </c>
      <c r="E121" s="1">
        <v>184.49</v>
      </c>
      <c r="F121" s="1">
        <v>52.350999999999999</v>
      </c>
      <c r="G121" s="7">
        <v>1</v>
      </c>
      <c r="H121" s="1">
        <v>60</v>
      </c>
      <c r="I121" s="1" t="s">
        <v>39</v>
      </c>
      <c r="J121" s="1"/>
      <c r="K121" s="1">
        <v>185.6</v>
      </c>
      <c r="L121" s="1">
        <f t="shared" si="36"/>
        <v>-1.1099999999999852</v>
      </c>
      <c r="M121" s="1"/>
      <c r="N121" s="1"/>
      <c r="O121" s="1">
        <v>76.631567999999987</v>
      </c>
      <c r="P121" s="1"/>
      <c r="Q121" s="1"/>
      <c r="R121" s="1">
        <v>207.05563200000009</v>
      </c>
      <c r="S121" s="25"/>
      <c r="T121" s="21"/>
      <c r="U121" s="1">
        <f t="shared" si="37"/>
        <v>36.898000000000003</v>
      </c>
      <c r="V121" s="5">
        <f t="shared" ref="V121:V130" si="41">12*U121-R121-Q121-P121-O121-F121</f>
        <v>106.73779999999999</v>
      </c>
      <c r="W121" s="5">
        <f t="shared" si="25"/>
        <v>106.73779999999999</v>
      </c>
      <c r="X121" s="5">
        <f t="shared" si="26"/>
        <v>43.122071200000001</v>
      </c>
      <c r="Y121" s="38"/>
      <c r="Z121" s="5">
        <f t="shared" ref="Z121:Z124" si="42">W121*$Z$1</f>
        <v>63.615728799999992</v>
      </c>
      <c r="AA121" s="1">
        <f t="shared" si="27"/>
        <v>12</v>
      </c>
      <c r="AB121" s="1">
        <f t="shared" si="38"/>
        <v>9.107219903517807</v>
      </c>
      <c r="AC121" s="1">
        <v>36.700200000000002</v>
      </c>
      <c r="AD121" s="1">
        <v>21.813800000000001</v>
      </c>
      <c r="AE121" s="1">
        <v>19.250399999999999</v>
      </c>
      <c r="AF121" s="1">
        <v>20.642199999999999</v>
      </c>
      <c r="AG121" s="1">
        <v>20.875599999999999</v>
      </c>
      <c r="AH121" s="1">
        <v>23.84</v>
      </c>
      <c r="AI121" s="1">
        <v>21.065799999999999</v>
      </c>
      <c r="AJ121" s="1">
        <v>20.172000000000001</v>
      </c>
      <c r="AK121" s="1">
        <v>15.214600000000001</v>
      </c>
      <c r="AL121" s="1">
        <v>14.1698</v>
      </c>
      <c r="AM121" s="1" t="s">
        <v>82</v>
      </c>
      <c r="AN121" s="1">
        <f t="shared" si="28"/>
        <v>43</v>
      </c>
      <c r="AO121" s="1">
        <f t="shared" si="29"/>
        <v>64</v>
      </c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 t="s">
        <v>168</v>
      </c>
      <c r="B122" s="1" t="s">
        <v>38</v>
      </c>
      <c r="C122" s="1">
        <v>533.88599999999997</v>
      </c>
      <c r="D122" s="1">
        <v>106.57299999999999</v>
      </c>
      <c r="E122" s="1">
        <v>233.67699999999999</v>
      </c>
      <c r="F122" s="1">
        <v>382.07900000000001</v>
      </c>
      <c r="G122" s="7">
        <v>1</v>
      </c>
      <c r="H122" s="1">
        <v>60</v>
      </c>
      <c r="I122" s="1" t="s">
        <v>39</v>
      </c>
      <c r="J122" s="1"/>
      <c r="K122" s="1">
        <v>229.45</v>
      </c>
      <c r="L122" s="1">
        <f t="shared" si="36"/>
        <v>4.2270000000000039</v>
      </c>
      <c r="M122" s="1"/>
      <c r="N122" s="1"/>
      <c r="O122" s="1">
        <v>0</v>
      </c>
      <c r="P122" s="1"/>
      <c r="Q122" s="1"/>
      <c r="R122" s="1">
        <v>0</v>
      </c>
      <c r="S122" s="25"/>
      <c r="T122" s="21"/>
      <c r="U122" s="1">
        <f t="shared" si="37"/>
        <v>46.735399999999998</v>
      </c>
      <c r="V122" s="5">
        <f t="shared" si="41"/>
        <v>178.74579999999997</v>
      </c>
      <c r="W122" s="5">
        <f t="shared" si="25"/>
        <v>178.74579999999997</v>
      </c>
      <c r="X122" s="5">
        <f t="shared" si="26"/>
        <v>72.213303199999999</v>
      </c>
      <c r="Y122" s="38"/>
      <c r="Z122" s="5">
        <f t="shared" si="42"/>
        <v>106.53249679999998</v>
      </c>
      <c r="AA122" s="1">
        <f t="shared" si="27"/>
        <v>12</v>
      </c>
      <c r="AB122" s="1">
        <f t="shared" si="38"/>
        <v>8.1753659966535004</v>
      </c>
      <c r="AC122" s="1">
        <v>35.391800000000003</v>
      </c>
      <c r="AD122" s="1">
        <v>16.724399999999999</v>
      </c>
      <c r="AE122" s="1">
        <v>15.421799999999999</v>
      </c>
      <c r="AF122" s="1">
        <v>46.654200000000003</v>
      </c>
      <c r="AG122" s="1">
        <v>57.178999999999988</v>
      </c>
      <c r="AH122" s="1">
        <v>41.480200000000004</v>
      </c>
      <c r="AI122" s="1">
        <v>28.829000000000001</v>
      </c>
      <c r="AJ122" s="1">
        <v>33.867400000000004</v>
      </c>
      <c r="AK122" s="1">
        <v>37.478999999999999</v>
      </c>
      <c r="AL122" s="1">
        <v>34.275799999999997</v>
      </c>
      <c r="AM122" s="1" t="s">
        <v>82</v>
      </c>
      <c r="AN122" s="1">
        <f t="shared" si="28"/>
        <v>72</v>
      </c>
      <c r="AO122" s="1">
        <f t="shared" si="29"/>
        <v>107</v>
      </c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 t="s">
        <v>169</v>
      </c>
      <c r="B123" s="1" t="s">
        <v>38</v>
      </c>
      <c r="C123" s="1">
        <v>100.453</v>
      </c>
      <c r="D123" s="1"/>
      <c r="E123" s="1">
        <v>73.486999999999995</v>
      </c>
      <c r="F123" s="1">
        <v>21.683</v>
      </c>
      <c r="G123" s="7">
        <v>1</v>
      </c>
      <c r="H123" s="1">
        <v>60</v>
      </c>
      <c r="I123" s="1" t="s">
        <v>39</v>
      </c>
      <c r="J123" s="1"/>
      <c r="K123" s="1">
        <v>72.2</v>
      </c>
      <c r="L123" s="1">
        <f t="shared" si="36"/>
        <v>1.2869999999999919</v>
      </c>
      <c r="M123" s="1"/>
      <c r="N123" s="1"/>
      <c r="O123" s="1">
        <v>4</v>
      </c>
      <c r="P123" s="1"/>
      <c r="Q123" s="1"/>
      <c r="R123" s="1">
        <v>48.36</v>
      </c>
      <c r="S123" s="25"/>
      <c r="T123" s="21"/>
      <c r="U123" s="1">
        <f t="shared" si="37"/>
        <v>14.697399999999998</v>
      </c>
      <c r="V123" s="5">
        <f t="shared" si="41"/>
        <v>102.32579999999996</v>
      </c>
      <c r="W123" s="5">
        <f t="shared" si="25"/>
        <v>102.32579999999996</v>
      </c>
      <c r="X123" s="5">
        <f t="shared" si="26"/>
        <v>41.339623199999984</v>
      </c>
      <c r="Y123" s="38"/>
      <c r="Z123" s="5">
        <f t="shared" si="42"/>
        <v>60.986176799999974</v>
      </c>
      <c r="AA123" s="1">
        <f t="shared" si="27"/>
        <v>11.999999999999998</v>
      </c>
      <c r="AB123" s="1">
        <f t="shared" si="38"/>
        <v>5.037829820240316</v>
      </c>
      <c r="AC123" s="1">
        <v>11.095000000000001</v>
      </c>
      <c r="AD123" s="1">
        <v>8.4111999999999991</v>
      </c>
      <c r="AE123" s="1">
        <v>7.3227999999999991</v>
      </c>
      <c r="AF123" s="1">
        <v>10.3934</v>
      </c>
      <c r="AG123" s="1">
        <v>13.385199999999999</v>
      </c>
      <c r="AH123" s="1">
        <v>14.412599999999999</v>
      </c>
      <c r="AI123" s="1">
        <v>11.468</v>
      </c>
      <c r="AJ123" s="1">
        <v>9.6209999999999987</v>
      </c>
      <c r="AK123" s="1">
        <v>8.5533999999999999</v>
      </c>
      <c r="AL123" s="1">
        <v>12.0816</v>
      </c>
      <c r="AM123" s="1"/>
      <c r="AN123" s="1">
        <f t="shared" si="28"/>
        <v>41</v>
      </c>
      <c r="AO123" s="1">
        <f t="shared" si="29"/>
        <v>61</v>
      </c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1" t="s">
        <v>170</v>
      </c>
      <c r="B124" s="1" t="s">
        <v>38</v>
      </c>
      <c r="C124" s="1">
        <v>881.64099999999996</v>
      </c>
      <c r="D124" s="1">
        <v>814.15099999999995</v>
      </c>
      <c r="E124" s="1">
        <v>867.58600000000001</v>
      </c>
      <c r="F124" s="1">
        <v>738.38400000000001</v>
      </c>
      <c r="G124" s="7">
        <v>1</v>
      </c>
      <c r="H124" s="1">
        <v>60</v>
      </c>
      <c r="I124" s="1" t="s">
        <v>39</v>
      </c>
      <c r="J124" s="1"/>
      <c r="K124" s="1">
        <v>857.5</v>
      </c>
      <c r="L124" s="1">
        <f t="shared" si="36"/>
        <v>10.086000000000013</v>
      </c>
      <c r="M124" s="1"/>
      <c r="N124" s="1"/>
      <c r="O124" s="1">
        <v>0</v>
      </c>
      <c r="P124" s="1"/>
      <c r="Q124" s="1"/>
      <c r="R124" s="1">
        <v>692.20679999999993</v>
      </c>
      <c r="S124" s="25"/>
      <c r="T124" s="21"/>
      <c r="U124" s="1">
        <f t="shared" si="37"/>
        <v>173.5172</v>
      </c>
      <c r="V124" s="5">
        <f t="shared" si="41"/>
        <v>651.61560000000009</v>
      </c>
      <c r="W124" s="5">
        <f t="shared" si="25"/>
        <v>651.61560000000009</v>
      </c>
      <c r="X124" s="5">
        <v>400</v>
      </c>
      <c r="Y124" s="38"/>
      <c r="Z124" s="5">
        <f t="shared" si="42"/>
        <v>388.36289760000005</v>
      </c>
      <c r="AA124" s="1">
        <f t="shared" si="27"/>
        <v>12.788090734520843</v>
      </c>
      <c r="AB124" s="1">
        <f t="shared" si="38"/>
        <v>8.2446627769466083</v>
      </c>
      <c r="AC124" s="1">
        <v>165.2568</v>
      </c>
      <c r="AD124" s="1">
        <v>112.7216</v>
      </c>
      <c r="AE124" s="1">
        <v>127.8082</v>
      </c>
      <c r="AF124" s="1">
        <v>160.60159999999999</v>
      </c>
      <c r="AG124" s="1">
        <v>163.82</v>
      </c>
      <c r="AH124" s="1">
        <v>131.39340000000001</v>
      </c>
      <c r="AI124" s="1">
        <v>135.7192</v>
      </c>
      <c r="AJ124" s="1">
        <v>165.4958</v>
      </c>
      <c r="AK124" s="1">
        <v>148.43340000000001</v>
      </c>
      <c r="AL124" s="1">
        <v>180.2364</v>
      </c>
      <c r="AM124" s="1"/>
      <c r="AN124" s="1">
        <f t="shared" si="28"/>
        <v>400</v>
      </c>
      <c r="AO124" s="1">
        <f t="shared" si="29"/>
        <v>388</v>
      </c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1" t="s">
        <v>171</v>
      </c>
      <c r="B125" s="1" t="s">
        <v>43</v>
      </c>
      <c r="C125" s="1">
        <v>27</v>
      </c>
      <c r="D125" s="1">
        <v>205</v>
      </c>
      <c r="E125" s="1">
        <v>131</v>
      </c>
      <c r="F125" s="1">
        <v>64</v>
      </c>
      <c r="G125" s="7">
        <v>0.25</v>
      </c>
      <c r="H125" s="1">
        <v>1096</v>
      </c>
      <c r="I125" s="1" t="s">
        <v>39</v>
      </c>
      <c r="J125" s="1"/>
      <c r="K125" s="1">
        <v>139</v>
      </c>
      <c r="L125" s="1">
        <f t="shared" si="36"/>
        <v>-8</v>
      </c>
      <c r="M125" s="1"/>
      <c r="N125" s="1"/>
      <c r="O125" s="1">
        <v>200</v>
      </c>
      <c r="P125" s="1"/>
      <c r="Q125" s="1"/>
      <c r="R125" s="1">
        <v>0</v>
      </c>
      <c r="S125" s="25"/>
      <c r="T125" s="21"/>
      <c r="U125" s="1">
        <f t="shared" si="37"/>
        <v>26.2</v>
      </c>
      <c r="V125" s="5">
        <f t="shared" si="41"/>
        <v>50.399999999999977</v>
      </c>
      <c r="W125" s="5">
        <f t="shared" si="25"/>
        <v>50.399999999999977</v>
      </c>
      <c r="X125" s="5">
        <f t="shared" si="26"/>
        <v>50.399999999999977</v>
      </c>
      <c r="Y125" s="38"/>
      <c r="Z125" s="5"/>
      <c r="AA125" s="1">
        <f t="shared" si="27"/>
        <v>12</v>
      </c>
      <c r="AB125" s="1">
        <f t="shared" si="38"/>
        <v>10.076335877862595</v>
      </c>
      <c r="AC125" s="1">
        <v>23</v>
      </c>
      <c r="AD125" s="1">
        <v>14.4</v>
      </c>
      <c r="AE125" s="1">
        <v>0.6</v>
      </c>
      <c r="AF125" s="1">
        <v>0</v>
      </c>
      <c r="AG125" s="1">
        <v>0</v>
      </c>
      <c r="AH125" s="1">
        <v>0</v>
      </c>
      <c r="AI125" s="1">
        <v>1.6</v>
      </c>
      <c r="AJ125" s="1">
        <v>3.6</v>
      </c>
      <c r="AK125" s="1">
        <v>5.4</v>
      </c>
      <c r="AL125" s="1">
        <v>25.8</v>
      </c>
      <c r="AM125" s="1" t="s">
        <v>82</v>
      </c>
      <c r="AN125" s="1">
        <f t="shared" si="28"/>
        <v>13</v>
      </c>
      <c r="AO125" s="1">
        <f t="shared" si="29"/>
        <v>0</v>
      </c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1" t="s">
        <v>172</v>
      </c>
      <c r="B126" s="1" t="s">
        <v>43</v>
      </c>
      <c r="C126" s="1">
        <v>16</v>
      </c>
      <c r="D126" s="1">
        <v>409</v>
      </c>
      <c r="E126" s="1">
        <v>81</v>
      </c>
      <c r="F126" s="14">
        <f>339+F134</f>
        <v>341</v>
      </c>
      <c r="G126" s="7">
        <v>0.32500000000000001</v>
      </c>
      <c r="H126" s="1">
        <v>1096</v>
      </c>
      <c r="I126" s="1" t="s">
        <v>39</v>
      </c>
      <c r="J126" s="1"/>
      <c r="K126" s="1">
        <v>79</v>
      </c>
      <c r="L126" s="1">
        <f t="shared" si="36"/>
        <v>2</v>
      </c>
      <c r="M126" s="1"/>
      <c r="N126" s="1"/>
      <c r="O126" s="1">
        <v>200</v>
      </c>
      <c r="P126" s="1"/>
      <c r="Q126" s="1"/>
      <c r="R126" s="1">
        <v>0</v>
      </c>
      <c r="S126" s="25"/>
      <c r="T126" s="21"/>
      <c r="U126" s="1">
        <f t="shared" si="37"/>
        <v>16.2</v>
      </c>
      <c r="V126" s="5"/>
      <c r="W126" s="5">
        <f t="shared" si="25"/>
        <v>0</v>
      </c>
      <c r="X126" s="5">
        <f t="shared" si="26"/>
        <v>0</v>
      </c>
      <c r="Y126" s="38"/>
      <c r="Z126" s="5"/>
      <c r="AA126" s="1">
        <f t="shared" si="27"/>
        <v>33.395061728395063</v>
      </c>
      <c r="AB126" s="1">
        <f t="shared" si="38"/>
        <v>33.395061728395063</v>
      </c>
      <c r="AC126" s="1">
        <v>15.6</v>
      </c>
      <c r="AD126" s="1">
        <v>12</v>
      </c>
      <c r="AE126" s="1">
        <v>0</v>
      </c>
      <c r="AF126" s="1">
        <v>0</v>
      </c>
      <c r="AG126" s="1">
        <v>0.4</v>
      </c>
      <c r="AH126" s="1">
        <v>6.2</v>
      </c>
      <c r="AI126" s="1">
        <v>11</v>
      </c>
      <c r="AJ126" s="1">
        <v>8</v>
      </c>
      <c r="AK126" s="1">
        <v>5.6</v>
      </c>
      <c r="AL126" s="1">
        <v>22</v>
      </c>
      <c r="AM126" s="1" t="s">
        <v>82</v>
      </c>
      <c r="AN126" s="1">
        <f t="shared" si="28"/>
        <v>0</v>
      </c>
      <c r="AO126" s="1">
        <f t="shared" si="29"/>
        <v>0</v>
      </c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 t="s">
        <v>173</v>
      </c>
      <c r="B127" s="1" t="s">
        <v>43</v>
      </c>
      <c r="C127" s="1">
        <v>392</v>
      </c>
      <c r="D127" s="1">
        <v>25</v>
      </c>
      <c r="E127" s="1">
        <v>211</v>
      </c>
      <c r="F127" s="1">
        <v>193</v>
      </c>
      <c r="G127" s="7">
        <v>0.25</v>
      </c>
      <c r="H127" s="1">
        <v>1096</v>
      </c>
      <c r="I127" s="1" t="s">
        <v>39</v>
      </c>
      <c r="J127" s="1"/>
      <c r="K127" s="1">
        <v>200</v>
      </c>
      <c r="L127" s="1">
        <f t="shared" si="36"/>
        <v>11</v>
      </c>
      <c r="M127" s="1"/>
      <c r="N127" s="1"/>
      <c r="O127" s="1">
        <v>0</v>
      </c>
      <c r="P127" s="1"/>
      <c r="Q127" s="1"/>
      <c r="R127" s="1">
        <v>300</v>
      </c>
      <c r="S127" s="25"/>
      <c r="T127" s="21"/>
      <c r="U127" s="1">
        <f t="shared" si="37"/>
        <v>42.2</v>
      </c>
      <c r="V127" s="5">
        <f t="shared" si="41"/>
        <v>13.400000000000034</v>
      </c>
      <c r="W127" s="5">
        <f t="shared" si="25"/>
        <v>13.400000000000034</v>
      </c>
      <c r="X127" s="5">
        <f t="shared" si="26"/>
        <v>13.400000000000034</v>
      </c>
      <c r="Y127" s="38"/>
      <c r="Z127" s="5"/>
      <c r="AA127" s="1">
        <f t="shared" si="27"/>
        <v>12</v>
      </c>
      <c r="AB127" s="1">
        <f t="shared" si="38"/>
        <v>11.682464454976303</v>
      </c>
      <c r="AC127" s="1">
        <v>40</v>
      </c>
      <c r="AD127" s="1">
        <v>24.2</v>
      </c>
      <c r="AE127" s="1">
        <v>18.399999999999999</v>
      </c>
      <c r="AF127" s="1">
        <v>43.2</v>
      </c>
      <c r="AG127" s="1">
        <v>52.6</v>
      </c>
      <c r="AH127" s="1">
        <v>20.399999999999999</v>
      </c>
      <c r="AI127" s="1">
        <v>3</v>
      </c>
      <c r="AJ127" s="1">
        <v>5.2</v>
      </c>
      <c r="AK127" s="1">
        <v>8.1999999999999993</v>
      </c>
      <c r="AL127" s="1">
        <v>27.6</v>
      </c>
      <c r="AM127" s="1"/>
      <c r="AN127" s="1">
        <f t="shared" si="28"/>
        <v>3</v>
      </c>
      <c r="AO127" s="1">
        <f t="shared" si="29"/>
        <v>0</v>
      </c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" t="s">
        <v>174</v>
      </c>
      <c r="B128" s="1" t="s">
        <v>43</v>
      </c>
      <c r="C128" s="1"/>
      <c r="D128" s="1"/>
      <c r="E128" s="1">
        <v>-4</v>
      </c>
      <c r="F128" s="1"/>
      <c r="G128" s="7">
        <v>0.3</v>
      </c>
      <c r="H128" s="1">
        <v>40</v>
      </c>
      <c r="I128" s="9" t="s">
        <v>51</v>
      </c>
      <c r="J128" s="1"/>
      <c r="K128" s="1"/>
      <c r="L128" s="1">
        <f t="shared" si="36"/>
        <v>-4</v>
      </c>
      <c r="M128" s="1"/>
      <c r="N128" s="1"/>
      <c r="O128" s="1">
        <v>30</v>
      </c>
      <c r="P128" s="1">
        <v>-30</v>
      </c>
      <c r="Q128" s="1"/>
      <c r="R128" s="1">
        <v>30</v>
      </c>
      <c r="S128" s="25"/>
      <c r="T128" s="21"/>
      <c r="U128" s="1">
        <f t="shared" si="37"/>
        <v>-0.8</v>
      </c>
      <c r="V128" s="5">
        <v>30</v>
      </c>
      <c r="W128" s="5">
        <f t="shared" si="25"/>
        <v>30</v>
      </c>
      <c r="X128" s="5">
        <f t="shared" si="26"/>
        <v>30</v>
      </c>
      <c r="Y128" s="38"/>
      <c r="Z128" s="5"/>
      <c r="AA128" s="1">
        <f t="shared" si="27"/>
        <v>-75</v>
      </c>
      <c r="AB128" s="1">
        <f t="shared" si="38"/>
        <v>-37.5</v>
      </c>
      <c r="AC128" s="1">
        <v>-1.4</v>
      </c>
      <c r="AD128" s="1">
        <v>-0.6</v>
      </c>
      <c r="AE128" s="1">
        <v>0</v>
      </c>
      <c r="AF128" s="1">
        <v>0</v>
      </c>
      <c r="AG128" s="1">
        <v>0</v>
      </c>
      <c r="AH128" s="1">
        <v>-0.2</v>
      </c>
      <c r="AI128" s="1">
        <v>-0.4</v>
      </c>
      <c r="AJ128" s="1">
        <v>-1</v>
      </c>
      <c r="AK128" s="1">
        <v>-1.2</v>
      </c>
      <c r="AL128" s="1">
        <v>-0.6</v>
      </c>
      <c r="AM128" s="1"/>
      <c r="AN128" s="1">
        <f t="shared" si="28"/>
        <v>9</v>
      </c>
      <c r="AO128" s="1">
        <f t="shared" si="29"/>
        <v>0</v>
      </c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 t="s">
        <v>175</v>
      </c>
      <c r="B129" s="1" t="s">
        <v>43</v>
      </c>
      <c r="C129" s="1">
        <v>1</v>
      </c>
      <c r="D129" s="1"/>
      <c r="E129" s="1">
        <v>-1</v>
      </c>
      <c r="F129" s="1">
        <v>1</v>
      </c>
      <c r="G129" s="7">
        <v>0.3</v>
      </c>
      <c r="H129" s="1">
        <v>40</v>
      </c>
      <c r="I129" s="9" t="s">
        <v>51</v>
      </c>
      <c r="J129" s="1"/>
      <c r="K129" s="1">
        <v>22</v>
      </c>
      <c r="L129" s="1">
        <f t="shared" si="36"/>
        <v>-23</v>
      </c>
      <c r="M129" s="1"/>
      <c r="N129" s="1"/>
      <c r="O129" s="1">
        <v>30</v>
      </c>
      <c r="P129" s="1">
        <v>-30</v>
      </c>
      <c r="Q129" s="1"/>
      <c r="R129" s="1">
        <v>30</v>
      </c>
      <c r="S129" s="25"/>
      <c r="T129" s="21"/>
      <c r="U129" s="1">
        <f t="shared" si="37"/>
        <v>-0.2</v>
      </c>
      <c r="V129" s="5">
        <v>30</v>
      </c>
      <c r="W129" s="5">
        <f t="shared" si="25"/>
        <v>30</v>
      </c>
      <c r="X129" s="5">
        <f t="shared" si="26"/>
        <v>30</v>
      </c>
      <c r="Y129" s="38"/>
      <c r="Z129" s="5"/>
      <c r="AA129" s="1">
        <f t="shared" si="27"/>
        <v>-305</v>
      </c>
      <c r="AB129" s="1">
        <f t="shared" si="38"/>
        <v>-155</v>
      </c>
      <c r="AC129" s="1">
        <v>-0.2</v>
      </c>
      <c r="AD129" s="1">
        <v>0</v>
      </c>
      <c r="AE129" s="1">
        <v>0</v>
      </c>
      <c r="AF129" s="1">
        <v>0</v>
      </c>
      <c r="AG129" s="1">
        <v>-0.8</v>
      </c>
      <c r="AH129" s="1">
        <v>-0.2</v>
      </c>
      <c r="AI129" s="1">
        <v>0</v>
      </c>
      <c r="AJ129" s="1">
        <v>0.6</v>
      </c>
      <c r="AK129" s="1">
        <v>5.8</v>
      </c>
      <c r="AL129" s="1">
        <v>6.8</v>
      </c>
      <c r="AM129" s="1" t="s">
        <v>176</v>
      </c>
      <c r="AN129" s="1">
        <f t="shared" si="28"/>
        <v>9</v>
      </c>
      <c r="AO129" s="1">
        <f t="shared" si="29"/>
        <v>0</v>
      </c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" t="s">
        <v>177</v>
      </c>
      <c r="B130" s="1" t="s">
        <v>38</v>
      </c>
      <c r="C130" s="1">
        <v>45.723999999999997</v>
      </c>
      <c r="D130" s="1">
        <v>10.925000000000001</v>
      </c>
      <c r="E130" s="1">
        <v>23.373000000000001</v>
      </c>
      <c r="F130" s="1">
        <v>31.835000000000001</v>
      </c>
      <c r="G130" s="7">
        <v>1</v>
      </c>
      <c r="H130" s="1">
        <v>50</v>
      </c>
      <c r="I130" s="1" t="s">
        <v>39</v>
      </c>
      <c r="J130" s="1"/>
      <c r="K130" s="1">
        <v>21.3</v>
      </c>
      <c r="L130" s="1">
        <f t="shared" si="36"/>
        <v>2.0730000000000004</v>
      </c>
      <c r="M130" s="1"/>
      <c r="N130" s="1"/>
      <c r="O130" s="1">
        <v>0</v>
      </c>
      <c r="P130" s="1"/>
      <c r="Q130" s="1"/>
      <c r="R130" s="1">
        <v>0</v>
      </c>
      <c r="S130" s="25"/>
      <c r="T130" s="21"/>
      <c r="U130" s="1">
        <f t="shared" si="37"/>
        <v>4.6745999999999999</v>
      </c>
      <c r="V130" s="5">
        <f t="shared" si="41"/>
        <v>24.260199999999998</v>
      </c>
      <c r="W130" s="5">
        <f t="shared" si="25"/>
        <v>24.260199999999998</v>
      </c>
      <c r="X130" s="5">
        <f t="shared" si="26"/>
        <v>24.260199999999998</v>
      </c>
      <c r="Y130" s="38"/>
      <c r="Z130" s="5"/>
      <c r="AA130" s="1">
        <f t="shared" si="27"/>
        <v>12</v>
      </c>
      <c r="AB130" s="1">
        <f t="shared" si="38"/>
        <v>6.8102083600735899</v>
      </c>
      <c r="AC130" s="1">
        <v>3.2343999999999999</v>
      </c>
      <c r="AD130" s="1">
        <v>1.3575999999999999</v>
      </c>
      <c r="AE130" s="1">
        <v>0.81319999999999992</v>
      </c>
      <c r="AF130" s="1">
        <v>4.306</v>
      </c>
      <c r="AG130" s="1">
        <v>5.1116000000000001</v>
      </c>
      <c r="AH130" s="1">
        <v>2.4276</v>
      </c>
      <c r="AI130" s="1">
        <v>2.9628000000000001</v>
      </c>
      <c r="AJ130" s="1">
        <v>2.1503999999999999</v>
      </c>
      <c r="AK130" s="1">
        <v>2.1423999999999999</v>
      </c>
      <c r="AL130" s="1">
        <v>2.9592000000000001</v>
      </c>
      <c r="AM130" s="1"/>
      <c r="AN130" s="1">
        <f t="shared" si="28"/>
        <v>24</v>
      </c>
      <c r="AO130" s="1">
        <f t="shared" si="29"/>
        <v>0</v>
      </c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 t="s">
        <v>178</v>
      </c>
      <c r="B131" s="1" t="s">
        <v>43</v>
      </c>
      <c r="C131" s="1">
        <v>12</v>
      </c>
      <c r="D131" s="1"/>
      <c r="E131" s="1">
        <v>-4</v>
      </c>
      <c r="F131" s="1">
        <v>12</v>
      </c>
      <c r="G131" s="7">
        <v>0.3</v>
      </c>
      <c r="H131" s="1">
        <v>40</v>
      </c>
      <c r="I131" s="9" t="s">
        <v>51</v>
      </c>
      <c r="J131" s="1"/>
      <c r="K131" s="1">
        <v>68</v>
      </c>
      <c r="L131" s="1">
        <f t="shared" si="36"/>
        <v>-72</v>
      </c>
      <c r="M131" s="1"/>
      <c r="N131" s="1"/>
      <c r="O131" s="1">
        <v>100</v>
      </c>
      <c r="P131" s="1">
        <v>-102</v>
      </c>
      <c r="Q131" s="1"/>
      <c r="R131" s="1">
        <v>60</v>
      </c>
      <c r="S131" s="25"/>
      <c r="T131" s="21"/>
      <c r="U131" s="1">
        <f t="shared" si="37"/>
        <v>-0.8</v>
      </c>
      <c r="V131" s="5">
        <v>60</v>
      </c>
      <c r="W131" s="5">
        <f t="shared" si="25"/>
        <v>60</v>
      </c>
      <c r="X131" s="5">
        <f t="shared" si="26"/>
        <v>60</v>
      </c>
      <c r="Y131" s="38"/>
      <c r="Z131" s="5"/>
      <c r="AA131" s="1">
        <f t="shared" si="27"/>
        <v>-162.5</v>
      </c>
      <c r="AB131" s="1">
        <f t="shared" si="38"/>
        <v>-87.5</v>
      </c>
      <c r="AC131" s="1">
        <v>-0.8</v>
      </c>
      <c r="AD131" s="1">
        <v>-0.4</v>
      </c>
      <c r="AE131" s="1">
        <v>-0.2</v>
      </c>
      <c r="AF131" s="1">
        <v>1</v>
      </c>
      <c r="AG131" s="1">
        <v>20.8</v>
      </c>
      <c r="AH131" s="1">
        <v>23.4</v>
      </c>
      <c r="AI131" s="1">
        <v>2.4</v>
      </c>
      <c r="AJ131" s="1">
        <v>4</v>
      </c>
      <c r="AK131" s="1">
        <v>11.6</v>
      </c>
      <c r="AL131" s="1">
        <v>31.2</v>
      </c>
      <c r="AM131" s="1"/>
      <c r="AN131" s="1">
        <f t="shared" si="28"/>
        <v>18</v>
      </c>
      <c r="AO131" s="1">
        <f t="shared" si="29"/>
        <v>0</v>
      </c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1" t="s">
        <v>179</v>
      </c>
      <c r="B132" s="1" t="s">
        <v>43</v>
      </c>
      <c r="C132" s="1">
        <v>19</v>
      </c>
      <c r="D132" s="1"/>
      <c r="E132" s="1">
        <v>6</v>
      </c>
      <c r="F132" s="1">
        <v>7</v>
      </c>
      <c r="G132" s="7">
        <v>0.12</v>
      </c>
      <c r="H132" s="1">
        <v>45</v>
      </c>
      <c r="I132" s="9" t="s">
        <v>51</v>
      </c>
      <c r="J132" s="1"/>
      <c r="K132" s="1">
        <v>32</v>
      </c>
      <c r="L132" s="1">
        <f t="shared" si="36"/>
        <v>-26</v>
      </c>
      <c r="M132" s="1"/>
      <c r="N132" s="1"/>
      <c r="O132" s="1">
        <v>20</v>
      </c>
      <c r="P132" s="1">
        <v>-30</v>
      </c>
      <c r="Q132" s="1"/>
      <c r="R132" s="1">
        <v>30</v>
      </c>
      <c r="S132" s="25"/>
      <c r="T132" s="21"/>
      <c r="U132" s="1">
        <f t="shared" si="37"/>
        <v>1.2</v>
      </c>
      <c r="V132" s="5">
        <v>20</v>
      </c>
      <c r="W132" s="5">
        <f t="shared" si="25"/>
        <v>20</v>
      </c>
      <c r="X132" s="5">
        <f t="shared" si="26"/>
        <v>20</v>
      </c>
      <c r="Y132" s="38"/>
      <c r="Z132" s="5"/>
      <c r="AA132" s="1">
        <f t="shared" si="27"/>
        <v>39.166666666666671</v>
      </c>
      <c r="AB132" s="1">
        <f t="shared" si="38"/>
        <v>22.5</v>
      </c>
      <c r="AC132" s="1">
        <v>11</v>
      </c>
      <c r="AD132" s="1">
        <v>9</v>
      </c>
      <c r="AE132" s="1">
        <v>-0.6</v>
      </c>
      <c r="AF132" s="1">
        <v>3.4</v>
      </c>
      <c r="AG132" s="1">
        <v>9.6</v>
      </c>
      <c r="AH132" s="1">
        <v>9.8000000000000007</v>
      </c>
      <c r="AI132" s="1">
        <v>6</v>
      </c>
      <c r="AJ132" s="1">
        <v>8.6</v>
      </c>
      <c r="AK132" s="1">
        <v>9</v>
      </c>
      <c r="AL132" s="1">
        <v>13.4</v>
      </c>
      <c r="AM132" s="1"/>
      <c r="AN132" s="1">
        <f t="shared" si="28"/>
        <v>2</v>
      </c>
      <c r="AO132" s="1">
        <f t="shared" si="29"/>
        <v>0</v>
      </c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1" t="s">
        <v>180</v>
      </c>
      <c r="B133" s="11" t="s">
        <v>43</v>
      </c>
      <c r="C133" s="11">
        <v>52</v>
      </c>
      <c r="D133" s="11">
        <v>200</v>
      </c>
      <c r="E133" s="14">
        <v>192</v>
      </c>
      <c r="F133" s="14">
        <v>46</v>
      </c>
      <c r="G133" s="12">
        <v>0</v>
      </c>
      <c r="H133" s="11"/>
      <c r="I133" s="11" t="s">
        <v>181</v>
      </c>
      <c r="J133" s="11" t="s">
        <v>101</v>
      </c>
      <c r="K133" s="11">
        <v>213</v>
      </c>
      <c r="L133" s="11">
        <f t="shared" si="36"/>
        <v>-21</v>
      </c>
      <c r="M133" s="11"/>
      <c r="N133" s="11"/>
      <c r="O133" s="11">
        <v>0</v>
      </c>
      <c r="P133" s="11"/>
      <c r="Q133" s="11"/>
      <c r="R133" s="11">
        <v>0</v>
      </c>
      <c r="S133" s="27"/>
      <c r="T133" s="23"/>
      <c r="U133" s="11">
        <f t="shared" si="37"/>
        <v>38.4</v>
      </c>
      <c r="V133" s="13"/>
      <c r="W133" s="5">
        <f t="shared" si="25"/>
        <v>0</v>
      </c>
      <c r="X133" s="5">
        <f t="shared" si="26"/>
        <v>0</v>
      </c>
      <c r="Y133" s="38"/>
      <c r="Z133" s="5"/>
      <c r="AA133" s="1">
        <f t="shared" si="27"/>
        <v>1.1979166666666667</v>
      </c>
      <c r="AB133" s="11">
        <f t="shared" si="38"/>
        <v>1.1979166666666667</v>
      </c>
      <c r="AC133" s="11">
        <v>29.4</v>
      </c>
      <c r="AD133" s="11">
        <v>9.6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/>
      <c r="AN133" s="1">
        <f t="shared" si="28"/>
        <v>0</v>
      </c>
      <c r="AO133" s="1">
        <f t="shared" si="29"/>
        <v>0</v>
      </c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1" t="s">
        <v>182</v>
      </c>
      <c r="B134" s="11" t="s">
        <v>43</v>
      </c>
      <c r="C134" s="11">
        <v>2</v>
      </c>
      <c r="D134" s="11"/>
      <c r="E134" s="11"/>
      <c r="F134" s="14">
        <v>2</v>
      </c>
      <c r="G134" s="12">
        <v>0</v>
      </c>
      <c r="H134" s="11"/>
      <c r="I134" s="11" t="s">
        <v>181</v>
      </c>
      <c r="J134" s="11" t="s">
        <v>172</v>
      </c>
      <c r="K134" s="11">
        <v>2</v>
      </c>
      <c r="L134" s="11">
        <f t="shared" ref="L134" si="43">E134-K134</f>
        <v>-2</v>
      </c>
      <c r="M134" s="11"/>
      <c r="N134" s="11"/>
      <c r="O134" s="11">
        <v>0</v>
      </c>
      <c r="P134" s="11"/>
      <c r="Q134" s="11"/>
      <c r="R134" s="11">
        <v>0</v>
      </c>
      <c r="S134" s="27"/>
      <c r="T134" s="23"/>
      <c r="U134" s="11">
        <f t="shared" si="37"/>
        <v>0</v>
      </c>
      <c r="V134" s="13"/>
      <c r="W134" s="5">
        <f t="shared" si="25"/>
        <v>0</v>
      </c>
      <c r="X134" s="5">
        <f t="shared" si="26"/>
        <v>0</v>
      </c>
      <c r="Y134" s="38"/>
      <c r="Z134" s="5"/>
      <c r="AA134" s="1" t="e">
        <f t="shared" si="27"/>
        <v>#DIV/0!</v>
      </c>
      <c r="AB134" s="11" t="e">
        <f t="shared" si="38"/>
        <v>#DIV/0!</v>
      </c>
      <c r="AC134" s="11">
        <v>1</v>
      </c>
      <c r="AD134" s="11">
        <v>1</v>
      </c>
      <c r="AE134" s="11">
        <v>0</v>
      </c>
      <c r="AF134" s="11">
        <v>0</v>
      </c>
      <c r="AG134" s="11">
        <v>0.4</v>
      </c>
      <c r="AH134" s="11">
        <v>5.2</v>
      </c>
      <c r="AI134" s="11">
        <v>5.2</v>
      </c>
      <c r="AJ134" s="11">
        <v>1.4</v>
      </c>
      <c r="AK134" s="11">
        <v>2.4</v>
      </c>
      <c r="AL134" s="11">
        <v>2</v>
      </c>
      <c r="AM134" s="11"/>
      <c r="AN134" s="1">
        <f t="shared" si="28"/>
        <v>0</v>
      </c>
      <c r="AO134" s="1">
        <f t="shared" si="29"/>
        <v>0</v>
      </c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5"/>
      <c r="T135" s="21"/>
      <c r="U135" s="1"/>
      <c r="V135" s="1"/>
      <c r="W135" s="1"/>
      <c r="X135" s="1"/>
      <c r="Y135" s="25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5"/>
      <c r="T136" s="21"/>
      <c r="U136" s="1"/>
      <c r="V136" s="1"/>
      <c r="W136" s="1"/>
      <c r="X136" s="1"/>
      <c r="Y136" s="25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5"/>
      <c r="T137" s="21"/>
      <c r="U137" s="1"/>
      <c r="V137" s="1"/>
      <c r="W137" s="1"/>
      <c r="X137" s="1"/>
      <c r="Y137" s="25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5"/>
      <c r="T138" s="21"/>
      <c r="U138" s="1"/>
      <c r="V138" s="1"/>
      <c r="W138" s="1"/>
      <c r="X138" s="1"/>
      <c r="Y138" s="25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5"/>
      <c r="T139" s="21"/>
      <c r="U139" s="1"/>
      <c r="V139" s="1"/>
      <c r="W139" s="1"/>
      <c r="X139" s="1"/>
      <c r="Y139" s="25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5"/>
      <c r="T140" s="21"/>
      <c r="U140" s="1"/>
      <c r="V140" s="1"/>
      <c r="W140" s="1"/>
      <c r="X140" s="1"/>
      <c r="Y140" s="25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5"/>
      <c r="T141" s="21"/>
      <c r="U141" s="1"/>
      <c r="V141" s="1"/>
      <c r="W141" s="1"/>
      <c r="X141" s="1"/>
      <c r="Y141" s="25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5"/>
      <c r="T142" s="21"/>
      <c r="U142" s="1"/>
      <c r="V142" s="1"/>
      <c r="W142" s="1"/>
      <c r="X142" s="1"/>
      <c r="Y142" s="25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5"/>
      <c r="T143" s="21"/>
      <c r="U143" s="1"/>
      <c r="V143" s="1"/>
      <c r="W143" s="1"/>
      <c r="X143" s="1"/>
      <c r="Y143" s="25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5"/>
      <c r="T144" s="21"/>
      <c r="U144" s="1"/>
      <c r="V144" s="1"/>
      <c r="W144" s="1"/>
      <c r="X144" s="1"/>
      <c r="Y144" s="25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5"/>
      <c r="T145" s="21"/>
      <c r="U145" s="1"/>
      <c r="V145" s="1"/>
      <c r="W145" s="1"/>
      <c r="X145" s="1"/>
      <c r="Y145" s="25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5"/>
      <c r="T146" s="21"/>
      <c r="U146" s="1"/>
      <c r="V146" s="1"/>
      <c r="W146" s="1"/>
      <c r="X146" s="1"/>
      <c r="Y146" s="25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5"/>
      <c r="T147" s="21"/>
      <c r="U147" s="1"/>
      <c r="V147" s="1"/>
      <c r="W147" s="1"/>
      <c r="X147" s="1"/>
      <c r="Y147" s="25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5"/>
      <c r="T148" s="21"/>
      <c r="U148" s="1"/>
      <c r="V148" s="1"/>
      <c r="W148" s="1"/>
      <c r="X148" s="1"/>
      <c r="Y148" s="25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5"/>
      <c r="T149" s="21"/>
      <c r="U149" s="1"/>
      <c r="V149" s="1"/>
      <c r="W149" s="1"/>
      <c r="X149" s="1"/>
      <c r="Y149" s="25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5"/>
      <c r="T150" s="21"/>
      <c r="U150" s="1"/>
      <c r="V150" s="1"/>
      <c r="W150" s="1"/>
      <c r="X150" s="1"/>
      <c r="Y150" s="25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5"/>
      <c r="T151" s="21"/>
      <c r="U151" s="1"/>
      <c r="V151" s="1"/>
      <c r="W151" s="1"/>
      <c r="X151" s="1"/>
      <c r="Y151" s="25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5"/>
      <c r="T152" s="21"/>
      <c r="U152" s="1"/>
      <c r="V152" s="1"/>
      <c r="W152" s="1"/>
      <c r="X152" s="1"/>
      <c r="Y152" s="25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5"/>
      <c r="T153" s="21"/>
      <c r="U153" s="1"/>
      <c r="V153" s="1"/>
      <c r="W153" s="1"/>
      <c r="X153" s="1"/>
      <c r="Y153" s="25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5"/>
      <c r="T154" s="21"/>
      <c r="U154" s="1"/>
      <c r="V154" s="1"/>
      <c r="W154" s="1"/>
      <c r="X154" s="1"/>
      <c r="Y154" s="25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5"/>
      <c r="T155" s="21"/>
      <c r="U155" s="1"/>
      <c r="V155" s="1"/>
      <c r="W155" s="1"/>
      <c r="X155" s="1"/>
      <c r="Y155" s="25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5"/>
      <c r="T156" s="21"/>
      <c r="U156" s="1"/>
      <c r="V156" s="1"/>
      <c r="W156" s="1"/>
      <c r="X156" s="1"/>
      <c r="Y156" s="25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5"/>
      <c r="T157" s="21"/>
      <c r="U157" s="1"/>
      <c r="V157" s="1"/>
      <c r="W157" s="1"/>
      <c r="X157" s="1"/>
      <c r="Y157" s="25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5"/>
      <c r="T158" s="21"/>
      <c r="U158" s="1"/>
      <c r="V158" s="1"/>
      <c r="W158" s="1"/>
      <c r="X158" s="1"/>
      <c r="Y158" s="25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5"/>
      <c r="T159" s="21"/>
      <c r="U159" s="1"/>
      <c r="V159" s="1"/>
      <c r="W159" s="1"/>
      <c r="X159" s="1"/>
      <c r="Y159" s="25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5"/>
      <c r="T160" s="21"/>
      <c r="U160" s="1"/>
      <c r="V160" s="1"/>
      <c r="W160" s="1"/>
      <c r="X160" s="1"/>
      <c r="Y160" s="25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5"/>
      <c r="T161" s="21"/>
      <c r="U161" s="1"/>
      <c r="V161" s="1"/>
      <c r="W161" s="1"/>
      <c r="X161" s="1"/>
      <c r="Y161" s="25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5"/>
      <c r="T162" s="21"/>
      <c r="U162" s="1"/>
      <c r="V162" s="1"/>
      <c r="W162" s="1"/>
      <c r="X162" s="1"/>
      <c r="Y162" s="25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5"/>
      <c r="T163" s="21"/>
      <c r="U163" s="1"/>
      <c r="V163" s="1"/>
      <c r="W163" s="1"/>
      <c r="X163" s="1"/>
      <c r="Y163" s="25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5"/>
      <c r="T164" s="21"/>
      <c r="U164" s="1"/>
      <c r="V164" s="1"/>
      <c r="W164" s="1"/>
      <c r="X164" s="1"/>
      <c r="Y164" s="25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5"/>
      <c r="T165" s="21"/>
      <c r="U165" s="1"/>
      <c r="V165" s="1"/>
      <c r="W165" s="1"/>
      <c r="X165" s="1"/>
      <c r="Y165" s="25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5"/>
      <c r="T166" s="21"/>
      <c r="U166" s="1"/>
      <c r="V166" s="1"/>
      <c r="W166" s="1"/>
      <c r="X166" s="1"/>
      <c r="Y166" s="25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5"/>
      <c r="T167" s="21"/>
      <c r="U167" s="1"/>
      <c r="V167" s="1"/>
      <c r="W167" s="1"/>
      <c r="X167" s="1"/>
      <c r="Y167" s="25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5"/>
      <c r="T168" s="21"/>
      <c r="U168" s="1"/>
      <c r="V168" s="1"/>
      <c r="W168" s="1"/>
      <c r="X168" s="1"/>
      <c r="Y168" s="25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5"/>
      <c r="T169" s="21"/>
      <c r="U169" s="1"/>
      <c r="V169" s="1"/>
      <c r="W169" s="1"/>
      <c r="X169" s="1"/>
      <c r="Y169" s="25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5"/>
      <c r="T170" s="21"/>
      <c r="U170" s="1"/>
      <c r="V170" s="1"/>
      <c r="W170" s="1"/>
      <c r="X170" s="1"/>
      <c r="Y170" s="25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5"/>
      <c r="T171" s="21"/>
      <c r="U171" s="1"/>
      <c r="V171" s="1"/>
      <c r="W171" s="1"/>
      <c r="X171" s="1"/>
      <c r="Y171" s="25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5"/>
      <c r="T172" s="21"/>
      <c r="U172" s="1"/>
      <c r="V172" s="1"/>
      <c r="W172" s="1"/>
      <c r="X172" s="1"/>
      <c r="Y172" s="25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5"/>
      <c r="T173" s="21"/>
      <c r="U173" s="1"/>
      <c r="V173" s="1"/>
      <c r="W173" s="1"/>
      <c r="X173" s="1"/>
      <c r="Y173" s="25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5"/>
      <c r="T174" s="21"/>
      <c r="U174" s="1"/>
      <c r="V174" s="1"/>
      <c r="W174" s="1"/>
      <c r="X174" s="1"/>
      <c r="Y174" s="25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5"/>
      <c r="T175" s="21"/>
      <c r="U175" s="1"/>
      <c r="V175" s="1"/>
      <c r="W175" s="1"/>
      <c r="X175" s="1"/>
      <c r="Y175" s="25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5"/>
      <c r="T176" s="21"/>
      <c r="U176" s="1"/>
      <c r="V176" s="1"/>
      <c r="W176" s="1"/>
      <c r="X176" s="1"/>
      <c r="Y176" s="25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5"/>
      <c r="T177" s="21"/>
      <c r="U177" s="1"/>
      <c r="V177" s="1"/>
      <c r="W177" s="1"/>
      <c r="X177" s="1"/>
      <c r="Y177" s="25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5"/>
      <c r="T178" s="21"/>
      <c r="U178" s="1"/>
      <c r="V178" s="1"/>
      <c r="W178" s="1"/>
      <c r="X178" s="1"/>
      <c r="Y178" s="25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5"/>
      <c r="T179" s="21"/>
      <c r="U179" s="1"/>
      <c r="V179" s="1"/>
      <c r="W179" s="1"/>
      <c r="X179" s="1"/>
      <c r="Y179" s="25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5"/>
      <c r="T180" s="21"/>
      <c r="U180" s="1"/>
      <c r="V180" s="1"/>
      <c r="W180" s="1"/>
      <c r="X180" s="1"/>
      <c r="Y180" s="25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5"/>
      <c r="T181" s="21"/>
      <c r="U181" s="1"/>
      <c r="V181" s="1"/>
      <c r="W181" s="1"/>
      <c r="X181" s="1"/>
      <c r="Y181" s="25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5"/>
      <c r="T182" s="21"/>
      <c r="U182" s="1"/>
      <c r="V182" s="1"/>
      <c r="W182" s="1"/>
      <c r="X182" s="1"/>
      <c r="Y182" s="25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5"/>
      <c r="T183" s="21"/>
      <c r="U183" s="1"/>
      <c r="V183" s="1"/>
      <c r="W183" s="1"/>
      <c r="X183" s="1"/>
      <c r="Y183" s="25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5"/>
      <c r="T184" s="21"/>
      <c r="U184" s="1"/>
      <c r="V184" s="1"/>
      <c r="W184" s="1"/>
      <c r="X184" s="1"/>
      <c r="Y184" s="25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5"/>
      <c r="T185" s="21"/>
      <c r="U185" s="1"/>
      <c r="V185" s="1"/>
      <c r="W185" s="1"/>
      <c r="X185" s="1"/>
      <c r="Y185" s="25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5"/>
      <c r="T186" s="21"/>
      <c r="U186" s="1"/>
      <c r="V186" s="1"/>
      <c r="W186" s="1"/>
      <c r="X186" s="1"/>
      <c r="Y186" s="25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5"/>
      <c r="T187" s="21"/>
      <c r="U187" s="1"/>
      <c r="V187" s="1"/>
      <c r="W187" s="1"/>
      <c r="X187" s="1"/>
      <c r="Y187" s="25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5"/>
      <c r="T188" s="21"/>
      <c r="U188" s="1"/>
      <c r="V188" s="1"/>
      <c r="W188" s="1"/>
      <c r="X188" s="1"/>
      <c r="Y188" s="25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5"/>
      <c r="T189" s="21"/>
      <c r="U189" s="1"/>
      <c r="V189" s="1"/>
      <c r="W189" s="1"/>
      <c r="X189" s="1"/>
      <c r="Y189" s="25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5"/>
      <c r="T190" s="21"/>
      <c r="U190" s="1"/>
      <c r="V190" s="1"/>
      <c r="W190" s="1"/>
      <c r="X190" s="1"/>
      <c r="Y190" s="25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5"/>
      <c r="T191" s="21"/>
      <c r="U191" s="1"/>
      <c r="V191" s="1"/>
      <c r="W191" s="1"/>
      <c r="X191" s="1"/>
      <c r="Y191" s="25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5"/>
      <c r="T192" s="21"/>
      <c r="U192" s="1"/>
      <c r="V192" s="1"/>
      <c r="W192" s="1"/>
      <c r="X192" s="1"/>
      <c r="Y192" s="25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5"/>
      <c r="T193" s="21"/>
      <c r="U193" s="1"/>
      <c r="V193" s="1"/>
      <c r="W193" s="1"/>
      <c r="X193" s="1"/>
      <c r="Y193" s="25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5"/>
      <c r="T194" s="21"/>
      <c r="U194" s="1"/>
      <c r="V194" s="1"/>
      <c r="W194" s="1"/>
      <c r="X194" s="1"/>
      <c r="Y194" s="25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5"/>
      <c r="T195" s="21"/>
      <c r="U195" s="1"/>
      <c r="V195" s="1"/>
      <c r="W195" s="1"/>
      <c r="X195" s="1"/>
      <c r="Y195" s="25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5"/>
      <c r="T196" s="21"/>
      <c r="U196" s="1"/>
      <c r="V196" s="1"/>
      <c r="W196" s="1"/>
      <c r="X196" s="1"/>
      <c r="Y196" s="25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5"/>
      <c r="T197" s="21"/>
      <c r="U197" s="1"/>
      <c r="V197" s="1"/>
      <c r="W197" s="1"/>
      <c r="X197" s="1"/>
      <c r="Y197" s="25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5"/>
      <c r="T198" s="21"/>
      <c r="U198" s="1"/>
      <c r="V198" s="1"/>
      <c r="W198" s="1"/>
      <c r="X198" s="1"/>
      <c r="Y198" s="25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5"/>
      <c r="T199" s="21"/>
      <c r="U199" s="1"/>
      <c r="V199" s="1"/>
      <c r="W199" s="1"/>
      <c r="X199" s="1"/>
      <c r="Y199" s="25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5"/>
      <c r="T200" s="21"/>
      <c r="U200" s="1"/>
      <c r="V200" s="1"/>
      <c r="W200" s="1"/>
      <c r="X200" s="1"/>
      <c r="Y200" s="25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5"/>
      <c r="T201" s="21"/>
      <c r="U201" s="1"/>
      <c r="V201" s="1"/>
      <c r="W201" s="1"/>
      <c r="X201" s="1"/>
      <c r="Y201" s="25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5"/>
      <c r="T202" s="21"/>
      <c r="U202" s="1"/>
      <c r="V202" s="1"/>
      <c r="W202" s="1"/>
      <c r="X202" s="1"/>
      <c r="Y202" s="25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5"/>
      <c r="T203" s="21"/>
      <c r="U203" s="1"/>
      <c r="V203" s="1"/>
      <c r="W203" s="1"/>
      <c r="X203" s="1"/>
      <c r="Y203" s="25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5"/>
      <c r="T204" s="21"/>
      <c r="U204" s="1"/>
      <c r="V204" s="1"/>
      <c r="W204" s="1"/>
      <c r="X204" s="1"/>
      <c r="Y204" s="25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5"/>
      <c r="T205" s="21"/>
      <c r="U205" s="1"/>
      <c r="V205" s="1"/>
      <c r="W205" s="1"/>
      <c r="X205" s="1"/>
      <c r="Y205" s="25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5"/>
      <c r="T206" s="21"/>
      <c r="U206" s="1"/>
      <c r="V206" s="1"/>
      <c r="W206" s="1"/>
      <c r="X206" s="1"/>
      <c r="Y206" s="25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5"/>
      <c r="T207" s="21"/>
      <c r="U207" s="1"/>
      <c r="V207" s="1"/>
      <c r="W207" s="1"/>
      <c r="X207" s="1"/>
      <c r="Y207" s="25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5"/>
      <c r="T208" s="21"/>
      <c r="U208" s="1"/>
      <c r="V208" s="1"/>
      <c r="W208" s="1"/>
      <c r="X208" s="1"/>
      <c r="Y208" s="25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5"/>
      <c r="T209" s="21"/>
      <c r="U209" s="1"/>
      <c r="V209" s="1"/>
      <c r="W209" s="1"/>
      <c r="X209" s="1"/>
      <c r="Y209" s="25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5"/>
      <c r="T210" s="21"/>
      <c r="U210" s="1"/>
      <c r="V210" s="1"/>
      <c r="W210" s="1"/>
      <c r="X210" s="1"/>
      <c r="Y210" s="25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5"/>
      <c r="T211" s="21"/>
      <c r="U211" s="1"/>
      <c r="V211" s="1"/>
      <c r="W211" s="1"/>
      <c r="X211" s="1"/>
      <c r="Y211" s="25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5"/>
      <c r="T212" s="21"/>
      <c r="U212" s="1"/>
      <c r="V212" s="1"/>
      <c r="W212" s="1"/>
      <c r="X212" s="1"/>
      <c r="Y212" s="25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5"/>
      <c r="T213" s="21"/>
      <c r="U213" s="1"/>
      <c r="V213" s="1"/>
      <c r="W213" s="1"/>
      <c r="X213" s="1"/>
      <c r="Y213" s="25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5"/>
      <c r="T214" s="21"/>
      <c r="U214" s="1"/>
      <c r="V214" s="1"/>
      <c r="W214" s="1"/>
      <c r="X214" s="1"/>
      <c r="Y214" s="25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5"/>
      <c r="T215" s="21"/>
      <c r="U215" s="1"/>
      <c r="V215" s="1"/>
      <c r="W215" s="1"/>
      <c r="X215" s="1"/>
      <c r="Y215" s="25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5"/>
      <c r="T216" s="21"/>
      <c r="U216" s="1"/>
      <c r="V216" s="1"/>
      <c r="W216" s="1"/>
      <c r="X216" s="1"/>
      <c r="Y216" s="25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5"/>
      <c r="T217" s="21"/>
      <c r="U217" s="1"/>
      <c r="V217" s="1"/>
      <c r="W217" s="1"/>
      <c r="X217" s="1"/>
      <c r="Y217" s="25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5"/>
      <c r="T218" s="21"/>
      <c r="U218" s="1"/>
      <c r="V218" s="1"/>
      <c r="W218" s="1"/>
      <c r="X218" s="1"/>
      <c r="Y218" s="25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5"/>
      <c r="T219" s="21"/>
      <c r="U219" s="1"/>
      <c r="V219" s="1"/>
      <c r="W219" s="1"/>
      <c r="X219" s="1"/>
      <c r="Y219" s="25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5"/>
      <c r="T220" s="21"/>
      <c r="U220" s="1"/>
      <c r="V220" s="1"/>
      <c r="W220" s="1"/>
      <c r="X220" s="1"/>
      <c r="Y220" s="25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5"/>
      <c r="T221" s="21"/>
      <c r="U221" s="1"/>
      <c r="V221" s="1"/>
      <c r="W221" s="1"/>
      <c r="X221" s="1"/>
      <c r="Y221" s="25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5"/>
      <c r="T222" s="21"/>
      <c r="U222" s="1"/>
      <c r="V222" s="1"/>
      <c r="W222" s="1"/>
      <c r="X222" s="1"/>
      <c r="Y222" s="25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5"/>
      <c r="T223" s="21"/>
      <c r="U223" s="1"/>
      <c r="V223" s="1"/>
      <c r="W223" s="1"/>
      <c r="X223" s="1"/>
      <c r="Y223" s="25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5"/>
      <c r="T224" s="21"/>
      <c r="U224" s="1"/>
      <c r="V224" s="1"/>
      <c r="W224" s="1"/>
      <c r="X224" s="1"/>
      <c r="Y224" s="25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5"/>
      <c r="T225" s="21"/>
      <c r="U225" s="1"/>
      <c r="V225" s="1"/>
      <c r="W225" s="1"/>
      <c r="X225" s="1"/>
      <c r="Y225" s="25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5"/>
      <c r="T226" s="21"/>
      <c r="U226" s="1"/>
      <c r="V226" s="1"/>
      <c r="W226" s="1"/>
      <c r="X226" s="1"/>
      <c r="Y226" s="25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5"/>
      <c r="T227" s="21"/>
      <c r="U227" s="1"/>
      <c r="V227" s="1"/>
      <c r="W227" s="1"/>
      <c r="X227" s="1"/>
      <c r="Y227" s="25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5"/>
      <c r="T228" s="21"/>
      <c r="U228" s="1"/>
      <c r="V228" s="1"/>
      <c r="W228" s="1"/>
      <c r="X228" s="1"/>
      <c r="Y228" s="25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5"/>
      <c r="T229" s="21"/>
      <c r="U229" s="1"/>
      <c r="V229" s="1"/>
      <c r="W229" s="1"/>
      <c r="X229" s="1"/>
      <c r="Y229" s="25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5"/>
      <c r="T230" s="21"/>
      <c r="U230" s="1"/>
      <c r="V230" s="1"/>
      <c r="W230" s="1"/>
      <c r="X230" s="1"/>
      <c r="Y230" s="25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5"/>
      <c r="T231" s="21"/>
      <c r="U231" s="1"/>
      <c r="V231" s="1"/>
      <c r="W231" s="1"/>
      <c r="X231" s="1"/>
      <c r="Y231" s="25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5"/>
      <c r="T232" s="21"/>
      <c r="U232" s="1"/>
      <c r="V232" s="1"/>
      <c r="W232" s="1"/>
      <c r="X232" s="1"/>
      <c r="Y232" s="25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5"/>
      <c r="T233" s="21"/>
      <c r="U233" s="1"/>
      <c r="V233" s="1"/>
      <c r="W233" s="1"/>
      <c r="X233" s="1"/>
      <c r="Y233" s="25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5"/>
      <c r="T234" s="21"/>
      <c r="U234" s="1"/>
      <c r="V234" s="1"/>
      <c r="W234" s="1"/>
      <c r="X234" s="1"/>
      <c r="Y234" s="25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5"/>
      <c r="T235" s="21"/>
      <c r="U235" s="1"/>
      <c r="V235" s="1"/>
      <c r="W235" s="1"/>
      <c r="X235" s="1"/>
      <c r="Y235" s="25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5"/>
      <c r="T236" s="21"/>
      <c r="U236" s="1"/>
      <c r="V236" s="1"/>
      <c r="W236" s="1"/>
      <c r="X236" s="1"/>
      <c r="Y236" s="25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5"/>
      <c r="T237" s="21"/>
      <c r="U237" s="1"/>
      <c r="V237" s="1"/>
      <c r="W237" s="1"/>
      <c r="X237" s="1"/>
      <c r="Y237" s="25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5"/>
      <c r="T238" s="21"/>
      <c r="U238" s="1"/>
      <c r="V238" s="1"/>
      <c r="W238" s="1"/>
      <c r="X238" s="1"/>
      <c r="Y238" s="25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5"/>
      <c r="T239" s="21"/>
      <c r="U239" s="1"/>
      <c r="V239" s="1"/>
      <c r="W239" s="1"/>
      <c r="X239" s="1"/>
      <c r="Y239" s="25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5"/>
      <c r="T240" s="21"/>
      <c r="U240" s="1"/>
      <c r="V240" s="1"/>
      <c r="W240" s="1"/>
      <c r="X240" s="1"/>
      <c r="Y240" s="25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5"/>
      <c r="T241" s="21"/>
      <c r="U241" s="1"/>
      <c r="V241" s="1"/>
      <c r="W241" s="1"/>
      <c r="X241" s="1"/>
      <c r="Y241" s="25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5"/>
      <c r="T242" s="21"/>
      <c r="U242" s="1"/>
      <c r="V242" s="1"/>
      <c r="W242" s="1"/>
      <c r="X242" s="1"/>
      <c r="Y242" s="25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5"/>
      <c r="T243" s="21"/>
      <c r="U243" s="1"/>
      <c r="V243" s="1"/>
      <c r="W243" s="1"/>
      <c r="X243" s="1"/>
      <c r="Y243" s="25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5"/>
      <c r="T244" s="21"/>
      <c r="U244" s="1"/>
      <c r="V244" s="1"/>
      <c r="W244" s="1"/>
      <c r="X244" s="1"/>
      <c r="Y244" s="25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5"/>
      <c r="T245" s="21"/>
      <c r="U245" s="1"/>
      <c r="V245" s="1"/>
      <c r="W245" s="1"/>
      <c r="X245" s="1"/>
      <c r="Y245" s="25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5"/>
      <c r="T246" s="21"/>
      <c r="U246" s="1"/>
      <c r="V246" s="1"/>
      <c r="W246" s="1"/>
      <c r="X246" s="1"/>
      <c r="Y246" s="25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5"/>
      <c r="T247" s="21"/>
      <c r="U247" s="1"/>
      <c r="V247" s="1"/>
      <c r="W247" s="1"/>
      <c r="X247" s="1"/>
      <c r="Y247" s="25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5"/>
      <c r="T248" s="21"/>
      <c r="U248" s="1"/>
      <c r="V248" s="1"/>
      <c r="W248" s="1"/>
      <c r="X248" s="1"/>
      <c r="Y248" s="25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5"/>
      <c r="T249" s="21"/>
      <c r="U249" s="1"/>
      <c r="V249" s="1"/>
      <c r="W249" s="1"/>
      <c r="X249" s="1"/>
      <c r="Y249" s="25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5"/>
      <c r="T250" s="21"/>
      <c r="U250" s="1"/>
      <c r="V250" s="1"/>
      <c r="W250" s="1"/>
      <c r="X250" s="1"/>
      <c r="Y250" s="25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5"/>
      <c r="T251" s="21"/>
      <c r="U251" s="1"/>
      <c r="V251" s="1"/>
      <c r="W251" s="1"/>
      <c r="X251" s="1"/>
      <c r="Y251" s="25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5"/>
      <c r="T252" s="21"/>
      <c r="U252" s="1"/>
      <c r="V252" s="1"/>
      <c r="W252" s="1"/>
      <c r="X252" s="1"/>
      <c r="Y252" s="25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5"/>
      <c r="T253" s="21"/>
      <c r="U253" s="1"/>
      <c r="V253" s="1"/>
      <c r="W253" s="1"/>
      <c r="X253" s="1"/>
      <c r="Y253" s="25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5"/>
      <c r="T254" s="21"/>
      <c r="U254" s="1"/>
      <c r="V254" s="1"/>
      <c r="W254" s="1"/>
      <c r="X254" s="1"/>
      <c r="Y254" s="25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5"/>
      <c r="T255" s="21"/>
      <c r="U255" s="1"/>
      <c r="V255" s="1"/>
      <c r="W255" s="1"/>
      <c r="X255" s="1"/>
      <c r="Y255" s="25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5"/>
      <c r="T256" s="21"/>
      <c r="U256" s="1"/>
      <c r="V256" s="1"/>
      <c r="W256" s="1"/>
      <c r="X256" s="1"/>
      <c r="Y256" s="25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5"/>
      <c r="T257" s="21"/>
      <c r="U257" s="1"/>
      <c r="V257" s="1"/>
      <c r="W257" s="1"/>
      <c r="X257" s="1"/>
      <c r="Y257" s="25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5"/>
      <c r="T258" s="21"/>
      <c r="U258" s="1"/>
      <c r="V258" s="1"/>
      <c r="W258" s="1"/>
      <c r="X258" s="1"/>
      <c r="Y258" s="25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5"/>
      <c r="T259" s="21"/>
      <c r="U259" s="1"/>
      <c r="V259" s="1"/>
      <c r="W259" s="1"/>
      <c r="X259" s="1"/>
      <c r="Y259" s="25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5"/>
      <c r="T260" s="21"/>
      <c r="U260" s="1"/>
      <c r="V260" s="1"/>
      <c r="W260" s="1"/>
      <c r="X260" s="1"/>
      <c r="Y260" s="25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5"/>
      <c r="T261" s="21"/>
      <c r="U261" s="1"/>
      <c r="V261" s="1"/>
      <c r="W261" s="1"/>
      <c r="X261" s="1"/>
      <c r="Y261" s="25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5"/>
      <c r="T262" s="21"/>
      <c r="U262" s="1"/>
      <c r="V262" s="1"/>
      <c r="W262" s="1"/>
      <c r="X262" s="1"/>
      <c r="Y262" s="25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5"/>
      <c r="T263" s="21"/>
      <c r="U263" s="1"/>
      <c r="V263" s="1"/>
      <c r="W263" s="1"/>
      <c r="X263" s="1"/>
      <c r="Y263" s="25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5"/>
      <c r="T264" s="21"/>
      <c r="U264" s="1"/>
      <c r="V264" s="1"/>
      <c r="W264" s="1"/>
      <c r="X264" s="1"/>
      <c r="Y264" s="25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5"/>
      <c r="T265" s="21"/>
      <c r="U265" s="1"/>
      <c r="V265" s="1"/>
      <c r="W265" s="1"/>
      <c r="X265" s="1"/>
      <c r="Y265" s="25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5"/>
      <c r="T266" s="21"/>
      <c r="U266" s="1"/>
      <c r="V266" s="1"/>
      <c r="W266" s="1"/>
      <c r="X266" s="1"/>
      <c r="Y266" s="25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5"/>
      <c r="T267" s="21"/>
      <c r="U267" s="1"/>
      <c r="V267" s="1"/>
      <c r="W267" s="1"/>
      <c r="X267" s="1"/>
      <c r="Y267" s="25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5"/>
      <c r="T268" s="21"/>
      <c r="U268" s="1"/>
      <c r="V268" s="1"/>
      <c r="W268" s="1"/>
      <c r="X268" s="1"/>
      <c r="Y268" s="25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5"/>
      <c r="T269" s="21"/>
      <c r="U269" s="1"/>
      <c r="V269" s="1"/>
      <c r="W269" s="1"/>
      <c r="X269" s="1"/>
      <c r="Y269" s="25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5"/>
      <c r="T270" s="21"/>
      <c r="U270" s="1"/>
      <c r="V270" s="1"/>
      <c r="W270" s="1"/>
      <c r="X270" s="1"/>
      <c r="Y270" s="25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5"/>
      <c r="T271" s="21"/>
      <c r="U271" s="1"/>
      <c r="V271" s="1"/>
      <c r="W271" s="1"/>
      <c r="X271" s="1"/>
      <c r="Y271" s="25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5"/>
      <c r="T272" s="21"/>
      <c r="U272" s="1"/>
      <c r="V272" s="1"/>
      <c r="W272" s="1"/>
      <c r="X272" s="1"/>
      <c r="Y272" s="25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5"/>
      <c r="T273" s="21"/>
      <c r="U273" s="1"/>
      <c r="V273" s="1"/>
      <c r="W273" s="1"/>
      <c r="X273" s="1"/>
      <c r="Y273" s="25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5"/>
      <c r="T274" s="21"/>
      <c r="U274" s="1"/>
      <c r="V274" s="1"/>
      <c r="W274" s="1"/>
      <c r="X274" s="1"/>
      <c r="Y274" s="25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5"/>
      <c r="T275" s="21"/>
      <c r="U275" s="1"/>
      <c r="V275" s="1"/>
      <c r="W275" s="1"/>
      <c r="X275" s="1"/>
      <c r="Y275" s="25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5"/>
      <c r="T276" s="21"/>
      <c r="U276" s="1"/>
      <c r="V276" s="1"/>
      <c r="W276" s="1"/>
      <c r="X276" s="1"/>
      <c r="Y276" s="25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5"/>
      <c r="T277" s="21"/>
      <c r="U277" s="1"/>
      <c r="V277" s="1"/>
      <c r="W277" s="1"/>
      <c r="X277" s="1"/>
      <c r="Y277" s="25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5"/>
      <c r="T278" s="21"/>
      <c r="U278" s="1"/>
      <c r="V278" s="1"/>
      <c r="W278" s="1"/>
      <c r="X278" s="1"/>
      <c r="Y278" s="25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5"/>
      <c r="T279" s="21"/>
      <c r="U279" s="1"/>
      <c r="V279" s="1"/>
      <c r="W279" s="1"/>
      <c r="X279" s="1"/>
      <c r="Y279" s="25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5"/>
      <c r="T280" s="21"/>
      <c r="U280" s="1"/>
      <c r="V280" s="1"/>
      <c r="W280" s="1"/>
      <c r="X280" s="1"/>
      <c r="Y280" s="25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5"/>
      <c r="T281" s="21"/>
      <c r="U281" s="1"/>
      <c r="V281" s="1"/>
      <c r="W281" s="1"/>
      <c r="X281" s="1"/>
      <c r="Y281" s="25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5"/>
      <c r="T282" s="21"/>
      <c r="U282" s="1"/>
      <c r="V282" s="1"/>
      <c r="W282" s="1"/>
      <c r="X282" s="1"/>
      <c r="Y282" s="25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5"/>
      <c r="T283" s="21"/>
      <c r="U283" s="1"/>
      <c r="V283" s="1"/>
      <c r="W283" s="1"/>
      <c r="X283" s="1"/>
      <c r="Y283" s="25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5"/>
      <c r="T284" s="21"/>
      <c r="U284" s="1"/>
      <c r="V284" s="1"/>
      <c r="W284" s="1"/>
      <c r="X284" s="1"/>
      <c r="Y284" s="25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5"/>
      <c r="T285" s="21"/>
      <c r="U285" s="1"/>
      <c r="V285" s="1"/>
      <c r="W285" s="1"/>
      <c r="X285" s="1"/>
      <c r="Y285" s="25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5"/>
      <c r="T286" s="21"/>
      <c r="U286" s="1"/>
      <c r="V286" s="1"/>
      <c r="W286" s="1"/>
      <c r="X286" s="1"/>
      <c r="Y286" s="25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5"/>
      <c r="T287" s="21"/>
      <c r="U287" s="1"/>
      <c r="V287" s="1"/>
      <c r="W287" s="1"/>
      <c r="X287" s="1"/>
      <c r="Y287" s="25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5"/>
      <c r="T288" s="21"/>
      <c r="U288" s="1"/>
      <c r="V288" s="1"/>
      <c r="W288" s="1"/>
      <c r="X288" s="1"/>
      <c r="Y288" s="25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5"/>
      <c r="T289" s="21"/>
      <c r="U289" s="1"/>
      <c r="V289" s="1"/>
      <c r="W289" s="1"/>
      <c r="X289" s="1"/>
      <c r="Y289" s="25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5"/>
      <c r="T290" s="21"/>
      <c r="U290" s="1"/>
      <c r="V290" s="1"/>
      <c r="W290" s="1"/>
      <c r="X290" s="1"/>
      <c r="Y290" s="25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5"/>
      <c r="T291" s="21"/>
      <c r="U291" s="1"/>
      <c r="V291" s="1"/>
      <c r="W291" s="1"/>
      <c r="X291" s="1"/>
      <c r="Y291" s="25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5"/>
      <c r="T292" s="21"/>
      <c r="U292" s="1"/>
      <c r="V292" s="1"/>
      <c r="W292" s="1"/>
      <c r="X292" s="1"/>
      <c r="Y292" s="25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5"/>
      <c r="T293" s="21"/>
      <c r="U293" s="1"/>
      <c r="V293" s="1"/>
      <c r="W293" s="1"/>
      <c r="X293" s="1"/>
      <c r="Y293" s="25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5"/>
      <c r="T294" s="21"/>
      <c r="U294" s="1"/>
      <c r="V294" s="1"/>
      <c r="W294" s="1"/>
      <c r="X294" s="1"/>
      <c r="Y294" s="25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5"/>
      <c r="T295" s="21"/>
      <c r="U295" s="1"/>
      <c r="V295" s="1"/>
      <c r="W295" s="1"/>
      <c r="X295" s="1"/>
      <c r="Y295" s="25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5"/>
      <c r="T296" s="21"/>
      <c r="U296" s="1"/>
      <c r="V296" s="1"/>
      <c r="W296" s="1"/>
      <c r="X296" s="1"/>
      <c r="Y296" s="25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5"/>
      <c r="T297" s="21"/>
      <c r="U297" s="1"/>
      <c r="V297" s="1"/>
      <c r="W297" s="1"/>
      <c r="X297" s="1"/>
      <c r="Y297" s="25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5"/>
      <c r="T298" s="21"/>
      <c r="U298" s="1"/>
      <c r="V298" s="1"/>
      <c r="W298" s="1"/>
      <c r="X298" s="1"/>
      <c r="Y298" s="25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5"/>
      <c r="T299" s="21"/>
      <c r="U299" s="1"/>
      <c r="V299" s="1"/>
      <c r="W299" s="1"/>
      <c r="X299" s="1"/>
      <c r="Y299" s="25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5"/>
      <c r="T300" s="21"/>
      <c r="U300" s="1"/>
      <c r="V300" s="1"/>
      <c r="W300" s="1"/>
      <c r="X300" s="1"/>
      <c r="Y300" s="25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5"/>
      <c r="T301" s="21"/>
      <c r="U301" s="1"/>
      <c r="V301" s="1"/>
      <c r="W301" s="1"/>
      <c r="X301" s="1"/>
      <c r="Y301" s="25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5"/>
      <c r="T302" s="21"/>
      <c r="U302" s="1"/>
      <c r="V302" s="1"/>
      <c r="W302" s="1"/>
      <c r="X302" s="1"/>
      <c r="Y302" s="25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5"/>
      <c r="T303" s="21"/>
      <c r="U303" s="1"/>
      <c r="V303" s="1"/>
      <c r="W303" s="1"/>
      <c r="X303" s="1"/>
      <c r="Y303" s="25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5"/>
      <c r="T304" s="21"/>
      <c r="U304" s="1"/>
      <c r="V304" s="1"/>
      <c r="W304" s="1"/>
      <c r="X304" s="1"/>
      <c r="Y304" s="25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5"/>
      <c r="T305" s="21"/>
      <c r="U305" s="1"/>
      <c r="V305" s="1"/>
      <c r="W305" s="1"/>
      <c r="X305" s="1"/>
      <c r="Y305" s="25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5"/>
      <c r="T306" s="21"/>
      <c r="U306" s="1"/>
      <c r="V306" s="1"/>
      <c r="W306" s="1"/>
      <c r="X306" s="1"/>
      <c r="Y306" s="25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5"/>
      <c r="T307" s="21"/>
      <c r="U307" s="1"/>
      <c r="V307" s="1"/>
      <c r="W307" s="1"/>
      <c r="X307" s="1"/>
      <c r="Y307" s="25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5"/>
      <c r="T308" s="21"/>
      <c r="U308" s="1"/>
      <c r="V308" s="1"/>
      <c r="W308" s="1"/>
      <c r="X308" s="1"/>
      <c r="Y308" s="25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5"/>
      <c r="T309" s="21"/>
      <c r="U309" s="1"/>
      <c r="V309" s="1"/>
      <c r="W309" s="1"/>
      <c r="X309" s="1"/>
      <c r="Y309" s="25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5"/>
      <c r="T310" s="21"/>
      <c r="U310" s="1"/>
      <c r="V310" s="1"/>
      <c r="W310" s="1"/>
      <c r="X310" s="1"/>
      <c r="Y310" s="25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5"/>
      <c r="T311" s="21"/>
      <c r="U311" s="1"/>
      <c r="V311" s="1"/>
      <c r="W311" s="1"/>
      <c r="X311" s="1"/>
      <c r="Y311" s="25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5"/>
      <c r="T312" s="21"/>
      <c r="U312" s="1"/>
      <c r="V312" s="1"/>
      <c r="W312" s="1"/>
      <c r="X312" s="1"/>
      <c r="Y312" s="25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5"/>
      <c r="T313" s="21"/>
      <c r="U313" s="1"/>
      <c r="V313" s="1"/>
      <c r="W313" s="1"/>
      <c r="X313" s="1"/>
      <c r="Y313" s="25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5"/>
      <c r="T314" s="21"/>
      <c r="U314" s="1"/>
      <c r="V314" s="1"/>
      <c r="W314" s="1"/>
      <c r="X314" s="1"/>
      <c r="Y314" s="25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5"/>
      <c r="T315" s="21"/>
      <c r="U315" s="1"/>
      <c r="V315" s="1"/>
      <c r="W315" s="1"/>
      <c r="X315" s="1"/>
      <c r="Y315" s="25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5"/>
      <c r="T316" s="21"/>
      <c r="U316" s="1"/>
      <c r="V316" s="1"/>
      <c r="W316" s="1"/>
      <c r="X316" s="1"/>
      <c r="Y316" s="25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5"/>
      <c r="T317" s="21"/>
      <c r="U317" s="1"/>
      <c r="V317" s="1"/>
      <c r="W317" s="1"/>
      <c r="X317" s="1"/>
      <c r="Y317" s="25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5"/>
      <c r="T318" s="21"/>
      <c r="U318" s="1"/>
      <c r="V318" s="1"/>
      <c r="W318" s="1"/>
      <c r="X318" s="1"/>
      <c r="Y318" s="25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5"/>
      <c r="T319" s="21"/>
      <c r="U319" s="1"/>
      <c r="V319" s="1"/>
      <c r="W319" s="1"/>
      <c r="X319" s="1"/>
      <c r="Y319" s="25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5"/>
      <c r="T320" s="21"/>
      <c r="U320" s="1"/>
      <c r="V320" s="1"/>
      <c r="W320" s="1"/>
      <c r="X320" s="1"/>
      <c r="Y320" s="25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5"/>
      <c r="T321" s="21"/>
      <c r="U321" s="1"/>
      <c r="V321" s="1"/>
      <c r="W321" s="1"/>
      <c r="X321" s="1"/>
      <c r="Y321" s="25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5"/>
      <c r="T322" s="21"/>
      <c r="U322" s="1"/>
      <c r="V322" s="1"/>
      <c r="W322" s="1"/>
      <c r="X322" s="1"/>
      <c r="Y322" s="25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5"/>
      <c r="T323" s="21"/>
      <c r="U323" s="1"/>
      <c r="V323" s="1"/>
      <c r="W323" s="1"/>
      <c r="X323" s="1"/>
      <c r="Y323" s="25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5"/>
      <c r="T324" s="21"/>
      <c r="U324" s="1"/>
      <c r="V324" s="1"/>
      <c r="W324" s="1"/>
      <c r="X324" s="1"/>
      <c r="Y324" s="25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5"/>
      <c r="T325" s="21"/>
      <c r="U325" s="1"/>
      <c r="V325" s="1"/>
      <c r="W325" s="1"/>
      <c r="X325" s="1"/>
      <c r="Y325" s="25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5"/>
      <c r="T326" s="21"/>
      <c r="U326" s="1"/>
      <c r="V326" s="1"/>
      <c r="W326" s="1"/>
      <c r="X326" s="1"/>
      <c r="Y326" s="25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5"/>
      <c r="T327" s="21"/>
      <c r="U327" s="1"/>
      <c r="V327" s="1"/>
      <c r="W327" s="1"/>
      <c r="X327" s="1"/>
      <c r="Y327" s="25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5"/>
      <c r="T328" s="21"/>
      <c r="U328" s="1"/>
      <c r="V328" s="1"/>
      <c r="W328" s="1"/>
      <c r="X328" s="1"/>
      <c r="Y328" s="25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5"/>
      <c r="T329" s="21"/>
      <c r="U329" s="1"/>
      <c r="V329" s="1"/>
      <c r="W329" s="1"/>
      <c r="X329" s="1"/>
      <c r="Y329" s="25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5"/>
      <c r="T330" s="21"/>
      <c r="U330" s="1"/>
      <c r="V330" s="1"/>
      <c r="W330" s="1"/>
      <c r="X330" s="1"/>
      <c r="Y330" s="25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5"/>
      <c r="T331" s="21"/>
      <c r="U331" s="1"/>
      <c r="V331" s="1"/>
      <c r="W331" s="1"/>
      <c r="X331" s="1"/>
      <c r="Y331" s="25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5"/>
      <c r="T332" s="21"/>
      <c r="U332" s="1"/>
      <c r="V332" s="1"/>
      <c r="W332" s="1"/>
      <c r="X332" s="1"/>
      <c r="Y332" s="25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5"/>
      <c r="T333" s="21"/>
      <c r="U333" s="1"/>
      <c r="V333" s="1"/>
      <c r="W333" s="1"/>
      <c r="X333" s="1"/>
      <c r="Y333" s="25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5"/>
      <c r="T334" s="21"/>
      <c r="U334" s="1"/>
      <c r="V334" s="1"/>
      <c r="W334" s="1"/>
      <c r="X334" s="1"/>
      <c r="Y334" s="25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5"/>
      <c r="T335" s="21"/>
      <c r="U335" s="1"/>
      <c r="V335" s="1"/>
      <c r="W335" s="1"/>
      <c r="X335" s="1"/>
      <c r="Y335" s="25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5"/>
      <c r="T336" s="21"/>
      <c r="U336" s="1"/>
      <c r="V336" s="1"/>
      <c r="W336" s="1"/>
      <c r="X336" s="1"/>
      <c r="Y336" s="25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5"/>
      <c r="T337" s="21"/>
      <c r="U337" s="1"/>
      <c r="V337" s="1"/>
      <c r="W337" s="1"/>
      <c r="X337" s="1"/>
      <c r="Y337" s="25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5"/>
      <c r="T338" s="21"/>
      <c r="U338" s="1"/>
      <c r="V338" s="1"/>
      <c r="W338" s="1"/>
      <c r="X338" s="1"/>
      <c r="Y338" s="25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5"/>
      <c r="T339" s="21"/>
      <c r="U339" s="1"/>
      <c r="V339" s="1"/>
      <c r="W339" s="1"/>
      <c r="X339" s="1"/>
      <c r="Y339" s="25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5"/>
      <c r="T340" s="21"/>
      <c r="U340" s="1"/>
      <c r="V340" s="1"/>
      <c r="W340" s="1"/>
      <c r="X340" s="1"/>
      <c r="Y340" s="25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5"/>
      <c r="T341" s="21"/>
      <c r="U341" s="1"/>
      <c r="V341" s="1"/>
      <c r="W341" s="1"/>
      <c r="X341" s="1"/>
      <c r="Y341" s="25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5"/>
      <c r="T342" s="21"/>
      <c r="U342" s="1"/>
      <c r="V342" s="1"/>
      <c r="W342" s="1"/>
      <c r="X342" s="1"/>
      <c r="Y342" s="25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5"/>
      <c r="T343" s="21"/>
      <c r="U343" s="1"/>
      <c r="V343" s="1"/>
      <c r="W343" s="1"/>
      <c r="X343" s="1"/>
      <c r="Y343" s="25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5"/>
      <c r="T344" s="21"/>
      <c r="U344" s="1"/>
      <c r="V344" s="1"/>
      <c r="W344" s="1"/>
      <c r="X344" s="1"/>
      <c r="Y344" s="25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5"/>
      <c r="T345" s="21"/>
      <c r="U345" s="1"/>
      <c r="V345" s="1"/>
      <c r="W345" s="1"/>
      <c r="X345" s="1"/>
      <c r="Y345" s="25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5"/>
      <c r="T346" s="21"/>
      <c r="U346" s="1"/>
      <c r="V346" s="1"/>
      <c r="W346" s="1"/>
      <c r="X346" s="1"/>
      <c r="Y346" s="25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5"/>
      <c r="T347" s="21"/>
      <c r="U347" s="1"/>
      <c r="V347" s="1"/>
      <c r="W347" s="1"/>
      <c r="X347" s="1"/>
      <c r="Y347" s="25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5"/>
      <c r="T348" s="21"/>
      <c r="U348" s="1"/>
      <c r="V348" s="1"/>
      <c r="W348" s="1"/>
      <c r="X348" s="1"/>
      <c r="Y348" s="25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5"/>
      <c r="T349" s="21"/>
      <c r="U349" s="1"/>
      <c r="V349" s="1"/>
      <c r="W349" s="1"/>
      <c r="X349" s="1"/>
      <c r="Y349" s="25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5"/>
      <c r="T350" s="21"/>
      <c r="U350" s="1"/>
      <c r="V350" s="1"/>
      <c r="W350" s="1"/>
      <c r="X350" s="1"/>
      <c r="Y350" s="25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5"/>
      <c r="T351" s="21"/>
      <c r="U351" s="1"/>
      <c r="V351" s="1"/>
      <c r="W351" s="1"/>
      <c r="X351" s="1"/>
      <c r="Y351" s="25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5"/>
      <c r="T352" s="21"/>
      <c r="U352" s="1"/>
      <c r="V352" s="1"/>
      <c r="W352" s="1"/>
      <c r="X352" s="1"/>
      <c r="Y352" s="25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5"/>
      <c r="T353" s="21"/>
      <c r="U353" s="1"/>
      <c r="V353" s="1"/>
      <c r="W353" s="1"/>
      <c r="X353" s="1"/>
      <c r="Y353" s="25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5"/>
      <c r="T354" s="21"/>
      <c r="U354" s="1"/>
      <c r="V354" s="1"/>
      <c r="W354" s="1"/>
      <c r="X354" s="1"/>
      <c r="Y354" s="25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5"/>
      <c r="T355" s="21"/>
      <c r="U355" s="1"/>
      <c r="V355" s="1"/>
      <c r="W355" s="1"/>
      <c r="X355" s="1"/>
      <c r="Y355" s="25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5"/>
      <c r="T356" s="21"/>
      <c r="U356" s="1"/>
      <c r="V356" s="1"/>
      <c r="W356" s="1"/>
      <c r="X356" s="1"/>
      <c r="Y356" s="25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5"/>
      <c r="T357" s="21"/>
      <c r="U357" s="1"/>
      <c r="V357" s="1"/>
      <c r="W357" s="1"/>
      <c r="X357" s="1"/>
      <c r="Y357" s="25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5"/>
      <c r="T358" s="21"/>
      <c r="U358" s="1"/>
      <c r="V358" s="1"/>
      <c r="W358" s="1"/>
      <c r="X358" s="1"/>
      <c r="Y358" s="25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5"/>
      <c r="T359" s="21"/>
      <c r="U359" s="1"/>
      <c r="V359" s="1"/>
      <c r="W359" s="1"/>
      <c r="X359" s="1"/>
      <c r="Y359" s="25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5"/>
      <c r="T360" s="21"/>
      <c r="U360" s="1"/>
      <c r="V360" s="1"/>
      <c r="W360" s="1"/>
      <c r="X360" s="1"/>
      <c r="Y360" s="25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5"/>
      <c r="T361" s="21"/>
      <c r="U361" s="1"/>
      <c r="V361" s="1"/>
      <c r="W361" s="1"/>
      <c r="X361" s="1"/>
      <c r="Y361" s="25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5"/>
      <c r="T362" s="21"/>
      <c r="U362" s="1"/>
      <c r="V362" s="1"/>
      <c r="W362" s="1"/>
      <c r="X362" s="1"/>
      <c r="Y362" s="25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5"/>
      <c r="T363" s="21"/>
      <c r="U363" s="1"/>
      <c r="V363" s="1"/>
      <c r="W363" s="1"/>
      <c r="X363" s="1"/>
      <c r="Y363" s="25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5"/>
      <c r="T364" s="21"/>
      <c r="U364" s="1"/>
      <c r="V364" s="1"/>
      <c r="W364" s="1"/>
      <c r="X364" s="1"/>
      <c r="Y364" s="25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5"/>
      <c r="T365" s="21"/>
      <c r="U365" s="1"/>
      <c r="V365" s="1"/>
      <c r="W365" s="1"/>
      <c r="X365" s="1"/>
      <c r="Y365" s="25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5"/>
      <c r="T366" s="21"/>
      <c r="U366" s="1"/>
      <c r="V366" s="1"/>
      <c r="W366" s="1"/>
      <c r="X366" s="1"/>
      <c r="Y366" s="25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5"/>
      <c r="T367" s="21"/>
      <c r="U367" s="1"/>
      <c r="V367" s="1"/>
      <c r="W367" s="1"/>
      <c r="X367" s="1"/>
      <c r="Y367" s="25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5"/>
      <c r="T368" s="21"/>
      <c r="U368" s="1"/>
      <c r="V368" s="1"/>
      <c r="W368" s="1"/>
      <c r="X368" s="1"/>
      <c r="Y368" s="25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5"/>
      <c r="T369" s="21"/>
      <c r="U369" s="1"/>
      <c r="V369" s="1"/>
      <c r="W369" s="1"/>
      <c r="X369" s="1"/>
      <c r="Y369" s="25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5"/>
      <c r="T370" s="21"/>
      <c r="U370" s="1"/>
      <c r="V370" s="1"/>
      <c r="W370" s="1"/>
      <c r="X370" s="1"/>
      <c r="Y370" s="25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5"/>
      <c r="T371" s="21"/>
      <c r="U371" s="1"/>
      <c r="V371" s="1"/>
      <c r="W371" s="1"/>
      <c r="X371" s="1"/>
      <c r="Y371" s="25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5"/>
      <c r="T372" s="21"/>
      <c r="U372" s="1"/>
      <c r="V372" s="1"/>
      <c r="W372" s="1"/>
      <c r="X372" s="1"/>
      <c r="Y372" s="25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5"/>
      <c r="T373" s="21"/>
      <c r="U373" s="1"/>
      <c r="V373" s="1"/>
      <c r="W373" s="1"/>
      <c r="X373" s="1"/>
      <c r="Y373" s="25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5"/>
      <c r="T374" s="21"/>
      <c r="U374" s="1"/>
      <c r="V374" s="1"/>
      <c r="W374" s="1"/>
      <c r="X374" s="1"/>
      <c r="Y374" s="25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5"/>
      <c r="T375" s="21"/>
      <c r="U375" s="1"/>
      <c r="V375" s="1"/>
      <c r="W375" s="1"/>
      <c r="X375" s="1"/>
      <c r="Y375" s="25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5"/>
      <c r="T376" s="21"/>
      <c r="U376" s="1"/>
      <c r="V376" s="1"/>
      <c r="W376" s="1"/>
      <c r="X376" s="1"/>
      <c r="Y376" s="25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5"/>
      <c r="T377" s="21"/>
      <c r="U377" s="1"/>
      <c r="V377" s="1"/>
      <c r="W377" s="1"/>
      <c r="X377" s="1"/>
      <c r="Y377" s="25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5"/>
      <c r="T378" s="21"/>
      <c r="U378" s="1"/>
      <c r="V378" s="1"/>
      <c r="W378" s="1"/>
      <c r="X378" s="1"/>
      <c r="Y378" s="25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5"/>
      <c r="T379" s="21"/>
      <c r="U379" s="1"/>
      <c r="V379" s="1"/>
      <c r="W379" s="1"/>
      <c r="X379" s="1"/>
      <c r="Y379" s="25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5"/>
      <c r="T380" s="21"/>
      <c r="U380" s="1"/>
      <c r="V380" s="1"/>
      <c r="W380" s="1"/>
      <c r="X380" s="1"/>
      <c r="Y380" s="25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5"/>
      <c r="T381" s="21"/>
      <c r="U381" s="1"/>
      <c r="V381" s="1"/>
      <c r="W381" s="1"/>
      <c r="X381" s="1"/>
      <c r="Y381" s="25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5"/>
      <c r="T382" s="21"/>
      <c r="U382" s="1"/>
      <c r="V382" s="1"/>
      <c r="W382" s="1"/>
      <c r="X382" s="1"/>
      <c r="Y382" s="25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5"/>
      <c r="T383" s="21"/>
      <c r="U383" s="1"/>
      <c r="V383" s="1"/>
      <c r="W383" s="1"/>
      <c r="X383" s="1"/>
      <c r="Y383" s="25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5"/>
      <c r="T384" s="21"/>
      <c r="U384" s="1"/>
      <c r="V384" s="1"/>
      <c r="W384" s="1"/>
      <c r="X384" s="1"/>
      <c r="Y384" s="25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5"/>
      <c r="T385" s="21"/>
      <c r="U385" s="1"/>
      <c r="V385" s="1"/>
      <c r="W385" s="1"/>
      <c r="X385" s="1"/>
      <c r="Y385" s="25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5"/>
      <c r="T386" s="21"/>
      <c r="U386" s="1"/>
      <c r="V386" s="1"/>
      <c r="W386" s="1"/>
      <c r="X386" s="1"/>
      <c r="Y386" s="25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5"/>
      <c r="T387" s="21"/>
      <c r="U387" s="1"/>
      <c r="V387" s="1"/>
      <c r="W387" s="1"/>
      <c r="X387" s="1"/>
      <c r="Y387" s="25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5"/>
      <c r="T388" s="21"/>
      <c r="U388" s="1"/>
      <c r="V388" s="1"/>
      <c r="W388" s="1"/>
      <c r="X388" s="1"/>
      <c r="Y388" s="25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5"/>
      <c r="T389" s="21"/>
      <c r="U389" s="1"/>
      <c r="V389" s="1"/>
      <c r="W389" s="1"/>
      <c r="X389" s="1"/>
      <c r="Y389" s="25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5"/>
      <c r="T390" s="21"/>
      <c r="U390" s="1"/>
      <c r="V390" s="1"/>
      <c r="W390" s="1"/>
      <c r="X390" s="1"/>
      <c r="Y390" s="25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5"/>
      <c r="T391" s="21"/>
      <c r="U391" s="1"/>
      <c r="V391" s="1"/>
      <c r="W391" s="1"/>
      <c r="X391" s="1"/>
      <c r="Y391" s="25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5"/>
      <c r="T392" s="21"/>
      <c r="U392" s="1"/>
      <c r="V392" s="1"/>
      <c r="W392" s="1"/>
      <c r="X392" s="1"/>
      <c r="Y392" s="25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5"/>
      <c r="T393" s="21"/>
      <c r="U393" s="1"/>
      <c r="V393" s="1"/>
      <c r="W393" s="1"/>
      <c r="X393" s="1"/>
      <c r="Y393" s="25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5"/>
      <c r="T394" s="21"/>
      <c r="U394" s="1"/>
      <c r="V394" s="1"/>
      <c r="W394" s="1"/>
      <c r="X394" s="1"/>
      <c r="Y394" s="25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5"/>
      <c r="T395" s="21"/>
      <c r="U395" s="1"/>
      <c r="V395" s="1"/>
      <c r="W395" s="1"/>
      <c r="X395" s="1"/>
      <c r="Y395" s="25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5"/>
      <c r="T396" s="21"/>
      <c r="U396" s="1"/>
      <c r="V396" s="1"/>
      <c r="W396" s="1"/>
      <c r="X396" s="1"/>
      <c r="Y396" s="25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5"/>
      <c r="T397" s="21"/>
      <c r="U397" s="1"/>
      <c r="V397" s="1"/>
      <c r="W397" s="1"/>
      <c r="X397" s="1"/>
      <c r="Y397" s="25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5"/>
      <c r="T398" s="21"/>
      <c r="U398" s="1"/>
      <c r="V398" s="1"/>
      <c r="W398" s="1"/>
      <c r="X398" s="1"/>
      <c r="Y398" s="25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5"/>
      <c r="T399" s="21"/>
      <c r="U399" s="1"/>
      <c r="V399" s="1"/>
      <c r="W399" s="1"/>
      <c r="X399" s="1"/>
      <c r="Y399" s="25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5"/>
      <c r="T400" s="21"/>
      <c r="U400" s="1"/>
      <c r="V400" s="1"/>
      <c r="W400" s="1"/>
      <c r="X400" s="1"/>
      <c r="Y400" s="25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5"/>
      <c r="T401" s="21"/>
      <c r="U401" s="1"/>
      <c r="V401" s="1"/>
      <c r="W401" s="1"/>
      <c r="X401" s="1"/>
      <c r="Y401" s="25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5"/>
      <c r="T402" s="21"/>
      <c r="U402" s="1"/>
      <c r="V402" s="1"/>
      <c r="W402" s="1"/>
      <c r="X402" s="1"/>
      <c r="Y402" s="25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5"/>
      <c r="T403" s="21"/>
      <c r="U403" s="1"/>
      <c r="V403" s="1"/>
      <c r="W403" s="1"/>
      <c r="X403" s="1"/>
      <c r="Y403" s="25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5"/>
      <c r="T404" s="21"/>
      <c r="U404" s="1"/>
      <c r="V404" s="1"/>
      <c r="W404" s="1"/>
      <c r="X404" s="1"/>
      <c r="Y404" s="25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5"/>
      <c r="T405" s="21"/>
      <c r="U405" s="1"/>
      <c r="V405" s="1"/>
      <c r="W405" s="1"/>
      <c r="X405" s="1"/>
      <c r="Y405" s="25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5"/>
      <c r="T406" s="21"/>
      <c r="U406" s="1"/>
      <c r="V406" s="1"/>
      <c r="W406" s="1"/>
      <c r="X406" s="1"/>
      <c r="Y406" s="25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5"/>
      <c r="T407" s="21"/>
      <c r="U407" s="1"/>
      <c r="V407" s="1"/>
      <c r="W407" s="1"/>
      <c r="X407" s="1"/>
      <c r="Y407" s="25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5"/>
      <c r="T408" s="21"/>
      <c r="U408" s="1"/>
      <c r="V408" s="1"/>
      <c r="W408" s="1"/>
      <c r="X408" s="1"/>
      <c r="Y408" s="25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5"/>
      <c r="T409" s="21"/>
      <c r="U409" s="1"/>
      <c r="V409" s="1"/>
      <c r="W409" s="1"/>
      <c r="X409" s="1"/>
      <c r="Y409" s="25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5"/>
      <c r="T410" s="21"/>
      <c r="U410" s="1"/>
      <c r="V410" s="1"/>
      <c r="W410" s="1"/>
      <c r="X410" s="1"/>
      <c r="Y410" s="25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5"/>
      <c r="T411" s="21"/>
      <c r="U411" s="1"/>
      <c r="V411" s="1"/>
      <c r="W411" s="1"/>
      <c r="X411" s="1"/>
      <c r="Y411" s="25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5"/>
      <c r="T412" s="21"/>
      <c r="U412" s="1"/>
      <c r="V412" s="1"/>
      <c r="W412" s="1"/>
      <c r="X412" s="1"/>
      <c r="Y412" s="25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5"/>
      <c r="T413" s="21"/>
      <c r="U413" s="1"/>
      <c r="V413" s="1"/>
      <c r="W413" s="1"/>
      <c r="X413" s="1"/>
      <c r="Y413" s="25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5"/>
      <c r="T414" s="21"/>
      <c r="U414" s="1"/>
      <c r="V414" s="1"/>
      <c r="W414" s="1"/>
      <c r="X414" s="1"/>
      <c r="Y414" s="25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5"/>
      <c r="T415" s="21"/>
      <c r="U415" s="1"/>
      <c r="V415" s="1"/>
      <c r="W415" s="1"/>
      <c r="X415" s="1"/>
      <c r="Y415" s="25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5"/>
      <c r="T416" s="21"/>
      <c r="U416" s="1"/>
      <c r="V416" s="1"/>
      <c r="W416" s="1"/>
      <c r="X416" s="1"/>
      <c r="Y416" s="25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5"/>
      <c r="T417" s="21"/>
      <c r="U417" s="1"/>
      <c r="V417" s="1"/>
      <c r="W417" s="1"/>
      <c r="X417" s="1"/>
      <c r="Y417" s="25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5"/>
      <c r="T418" s="21"/>
      <c r="U418" s="1"/>
      <c r="V418" s="1"/>
      <c r="W418" s="1"/>
      <c r="X418" s="1"/>
      <c r="Y418" s="25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5"/>
      <c r="T419" s="21"/>
      <c r="U419" s="1"/>
      <c r="V419" s="1"/>
      <c r="W419" s="1"/>
      <c r="X419" s="1"/>
      <c r="Y419" s="25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5"/>
      <c r="T420" s="21"/>
      <c r="U420" s="1"/>
      <c r="V420" s="1"/>
      <c r="W420" s="1"/>
      <c r="X420" s="1"/>
      <c r="Y420" s="25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5"/>
      <c r="T421" s="21"/>
      <c r="U421" s="1"/>
      <c r="V421" s="1"/>
      <c r="W421" s="1"/>
      <c r="X421" s="1"/>
      <c r="Y421" s="25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5"/>
      <c r="T422" s="21"/>
      <c r="U422" s="1"/>
      <c r="V422" s="1"/>
      <c r="W422" s="1"/>
      <c r="X422" s="1"/>
      <c r="Y422" s="25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5"/>
      <c r="T423" s="21"/>
      <c r="U423" s="1"/>
      <c r="V423" s="1"/>
      <c r="W423" s="1"/>
      <c r="X423" s="1"/>
      <c r="Y423" s="25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5"/>
      <c r="T424" s="21"/>
      <c r="U424" s="1"/>
      <c r="V424" s="1"/>
      <c r="W424" s="1"/>
      <c r="X424" s="1"/>
      <c r="Y424" s="25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5"/>
      <c r="T425" s="21"/>
      <c r="U425" s="1"/>
      <c r="V425" s="1"/>
      <c r="W425" s="1"/>
      <c r="X425" s="1"/>
      <c r="Y425" s="25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5"/>
      <c r="T426" s="21"/>
      <c r="U426" s="1"/>
      <c r="V426" s="1"/>
      <c r="W426" s="1"/>
      <c r="X426" s="1"/>
      <c r="Y426" s="25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5"/>
      <c r="T427" s="21"/>
      <c r="U427" s="1"/>
      <c r="V427" s="1"/>
      <c r="W427" s="1"/>
      <c r="X427" s="1"/>
      <c r="Y427" s="25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5"/>
      <c r="T428" s="21"/>
      <c r="U428" s="1"/>
      <c r="V428" s="1"/>
      <c r="W428" s="1"/>
      <c r="X428" s="1"/>
      <c r="Y428" s="25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5"/>
      <c r="T429" s="21"/>
      <c r="U429" s="1"/>
      <c r="V429" s="1"/>
      <c r="W429" s="1"/>
      <c r="X429" s="1"/>
      <c r="Y429" s="25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5"/>
      <c r="T430" s="21"/>
      <c r="U430" s="1"/>
      <c r="V430" s="1"/>
      <c r="W430" s="1"/>
      <c r="X430" s="1"/>
      <c r="Y430" s="25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5"/>
      <c r="T431" s="21"/>
      <c r="U431" s="1"/>
      <c r="V431" s="1"/>
      <c r="W431" s="1"/>
      <c r="X431" s="1"/>
      <c r="Y431" s="25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5"/>
      <c r="T432" s="21"/>
      <c r="U432" s="1"/>
      <c r="V432" s="1"/>
      <c r="W432" s="1"/>
      <c r="X432" s="1"/>
      <c r="Y432" s="25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5"/>
      <c r="T433" s="21"/>
      <c r="U433" s="1"/>
      <c r="V433" s="1"/>
      <c r="W433" s="1"/>
      <c r="X433" s="1"/>
      <c r="Y433" s="25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5"/>
      <c r="T434" s="21"/>
      <c r="U434" s="1"/>
      <c r="V434" s="1"/>
      <c r="W434" s="1"/>
      <c r="X434" s="1"/>
      <c r="Y434" s="25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5"/>
      <c r="T435" s="21"/>
      <c r="U435" s="1"/>
      <c r="V435" s="1"/>
      <c r="W435" s="1"/>
      <c r="X435" s="1"/>
      <c r="Y435" s="25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5"/>
      <c r="T436" s="21"/>
      <c r="U436" s="1"/>
      <c r="V436" s="1"/>
      <c r="W436" s="1"/>
      <c r="X436" s="1"/>
      <c r="Y436" s="25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5"/>
      <c r="T437" s="21"/>
      <c r="U437" s="1"/>
      <c r="V437" s="1"/>
      <c r="W437" s="1"/>
      <c r="X437" s="1"/>
      <c r="Y437" s="25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5"/>
      <c r="T438" s="21"/>
      <c r="U438" s="1"/>
      <c r="V438" s="1"/>
      <c r="W438" s="1"/>
      <c r="X438" s="1"/>
      <c r="Y438" s="25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5"/>
      <c r="T439" s="21"/>
      <c r="U439" s="1"/>
      <c r="V439" s="1"/>
      <c r="W439" s="1"/>
      <c r="X439" s="1"/>
      <c r="Y439" s="25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5"/>
      <c r="T440" s="21"/>
      <c r="U440" s="1"/>
      <c r="V440" s="1"/>
      <c r="W440" s="1"/>
      <c r="X440" s="1"/>
      <c r="Y440" s="25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5"/>
      <c r="T441" s="21"/>
      <c r="U441" s="1"/>
      <c r="V441" s="1"/>
      <c r="W441" s="1"/>
      <c r="X441" s="1"/>
      <c r="Y441" s="25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5"/>
      <c r="T442" s="21"/>
      <c r="U442" s="1"/>
      <c r="V442" s="1"/>
      <c r="W442" s="1"/>
      <c r="X442" s="1"/>
      <c r="Y442" s="25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5"/>
      <c r="T443" s="21"/>
      <c r="U443" s="1"/>
      <c r="V443" s="1"/>
      <c r="W443" s="1"/>
      <c r="X443" s="1"/>
      <c r="Y443" s="25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5"/>
      <c r="T444" s="21"/>
      <c r="U444" s="1"/>
      <c r="V444" s="1"/>
      <c r="W444" s="1"/>
      <c r="X444" s="1"/>
      <c r="Y444" s="25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5"/>
      <c r="T445" s="21"/>
      <c r="U445" s="1"/>
      <c r="V445" s="1"/>
      <c r="W445" s="1"/>
      <c r="X445" s="1"/>
      <c r="Y445" s="25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5"/>
      <c r="T446" s="21"/>
      <c r="U446" s="1"/>
      <c r="V446" s="1"/>
      <c r="W446" s="1"/>
      <c r="X446" s="1"/>
      <c r="Y446" s="25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5"/>
      <c r="T447" s="21"/>
      <c r="U447" s="1"/>
      <c r="V447" s="1"/>
      <c r="W447" s="1"/>
      <c r="X447" s="1"/>
      <c r="Y447" s="25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5"/>
      <c r="T448" s="21"/>
      <c r="U448" s="1"/>
      <c r="V448" s="1"/>
      <c r="W448" s="1"/>
      <c r="X448" s="1"/>
      <c r="Y448" s="25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5"/>
      <c r="T449" s="21"/>
      <c r="U449" s="1"/>
      <c r="V449" s="1"/>
      <c r="W449" s="1"/>
      <c r="X449" s="1"/>
      <c r="Y449" s="25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5"/>
      <c r="T450" s="21"/>
      <c r="U450" s="1"/>
      <c r="V450" s="1"/>
      <c r="W450" s="1"/>
      <c r="X450" s="1"/>
      <c r="Y450" s="25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5"/>
      <c r="T451" s="21"/>
      <c r="U451" s="1"/>
      <c r="V451" s="1"/>
      <c r="W451" s="1"/>
      <c r="X451" s="1"/>
      <c r="Y451" s="25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5"/>
      <c r="T452" s="21"/>
      <c r="U452" s="1"/>
      <c r="V452" s="1"/>
      <c r="W452" s="1"/>
      <c r="X452" s="1"/>
      <c r="Y452" s="25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5"/>
      <c r="T453" s="21"/>
      <c r="U453" s="1"/>
      <c r="V453" s="1"/>
      <c r="W453" s="1"/>
      <c r="X453" s="1"/>
      <c r="Y453" s="25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5"/>
      <c r="T454" s="21"/>
      <c r="U454" s="1"/>
      <c r="V454" s="1"/>
      <c r="W454" s="1"/>
      <c r="X454" s="1"/>
      <c r="Y454" s="25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5"/>
      <c r="T455" s="21"/>
      <c r="U455" s="1"/>
      <c r="V455" s="1"/>
      <c r="W455" s="1"/>
      <c r="X455" s="1"/>
      <c r="Y455" s="25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5"/>
      <c r="T456" s="21"/>
      <c r="U456" s="1"/>
      <c r="V456" s="1"/>
      <c r="W456" s="1"/>
      <c r="X456" s="1"/>
      <c r="Y456" s="25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5"/>
      <c r="T457" s="21"/>
      <c r="U457" s="1"/>
      <c r="V457" s="1"/>
      <c r="W457" s="1"/>
      <c r="X457" s="1"/>
      <c r="Y457" s="25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5"/>
      <c r="T458" s="21"/>
      <c r="U458" s="1"/>
      <c r="V458" s="1"/>
      <c r="W458" s="1"/>
      <c r="X458" s="1"/>
      <c r="Y458" s="25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5"/>
      <c r="T459" s="21"/>
      <c r="U459" s="1"/>
      <c r="V459" s="1"/>
      <c r="W459" s="1"/>
      <c r="X459" s="1"/>
      <c r="Y459" s="25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5"/>
      <c r="T460" s="21"/>
      <c r="U460" s="1"/>
      <c r="V460" s="1"/>
      <c r="W460" s="1"/>
      <c r="X460" s="1"/>
      <c r="Y460" s="25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5"/>
      <c r="T461" s="21"/>
      <c r="U461" s="1"/>
      <c r="V461" s="1"/>
      <c r="W461" s="1"/>
      <c r="X461" s="1"/>
      <c r="Y461" s="25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5"/>
      <c r="T462" s="21"/>
      <c r="U462" s="1"/>
      <c r="V462" s="1"/>
      <c r="W462" s="1"/>
      <c r="X462" s="1"/>
      <c r="Y462" s="25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5"/>
      <c r="T463" s="21"/>
      <c r="U463" s="1"/>
      <c r="V463" s="1"/>
      <c r="W463" s="1"/>
      <c r="X463" s="1"/>
      <c r="Y463" s="25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5"/>
      <c r="T464" s="21"/>
      <c r="U464" s="1"/>
      <c r="V464" s="1"/>
      <c r="W464" s="1"/>
      <c r="X464" s="1"/>
      <c r="Y464" s="25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5"/>
      <c r="T465" s="21"/>
      <c r="U465" s="1"/>
      <c r="V465" s="1"/>
      <c r="W465" s="1"/>
      <c r="X465" s="1"/>
      <c r="Y465" s="25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5"/>
      <c r="T466" s="21"/>
      <c r="U466" s="1"/>
      <c r="V466" s="1"/>
      <c r="W466" s="1"/>
      <c r="X466" s="1"/>
      <c r="Y466" s="25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5"/>
      <c r="T467" s="21"/>
      <c r="U467" s="1"/>
      <c r="V467" s="1"/>
      <c r="W467" s="1"/>
      <c r="X467" s="1"/>
      <c r="Y467" s="25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5"/>
      <c r="T468" s="21"/>
      <c r="U468" s="1"/>
      <c r="V468" s="1"/>
      <c r="W468" s="1"/>
      <c r="X468" s="1"/>
      <c r="Y468" s="25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5"/>
      <c r="T469" s="21"/>
      <c r="U469" s="1"/>
      <c r="V469" s="1"/>
      <c r="W469" s="1"/>
      <c r="X469" s="1"/>
      <c r="Y469" s="25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5"/>
      <c r="T470" s="21"/>
      <c r="U470" s="1"/>
      <c r="V470" s="1"/>
      <c r="W470" s="1"/>
      <c r="X470" s="1"/>
      <c r="Y470" s="25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5"/>
      <c r="T471" s="21"/>
      <c r="U471" s="1"/>
      <c r="V471" s="1"/>
      <c r="W471" s="1"/>
      <c r="X471" s="1"/>
      <c r="Y471" s="25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5"/>
      <c r="T472" s="21"/>
      <c r="U472" s="1"/>
      <c r="V472" s="1"/>
      <c r="W472" s="1"/>
      <c r="X472" s="1"/>
      <c r="Y472" s="25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5"/>
      <c r="T473" s="21"/>
      <c r="U473" s="1"/>
      <c r="V473" s="1"/>
      <c r="W473" s="1"/>
      <c r="X473" s="1"/>
      <c r="Y473" s="25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5"/>
      <c r="T474" s="21"/>
      <c r="U474" s="1"/>
      <c r="V474" s="1"/>
      <c r="W474" s="1"/>
      <c r="X474" s="1"/>
      <c r="Y474" s="25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5"/>
      <c r="T475" s="21"/>
      <c r="U475" s="1"/>
      <c r="V475" s="1"/>
      <c r="W475" s="1"/>
      <c r="X475" s="1"/>
      <c r="Y475" s="25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5"/>
      <c r="T476" s="21"/>
      <c r="U476" s="1"/>
      <c r="V476" s="1"/>
      <c r="W476" s="1"/>
      <c r="X476" s="1"/>
      <c r="Y476" s="25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5"/>
      <c r="T477" s="21"/>
      <c r="U477" s="1"/>
      <c r="V477" s="1"/>
      <c r="W477" s="1"/>
      <c r="X477" s="1"/>
      <c r="Y477" s="25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5"/>
      <c r="T478" s="21"/>
      <c r="U478" s="1"/>
      <c r="V478" s="1"/>
      <c r="W478" s="1"/>
      <c r="X478" s="1"/>
      <c r="Y478" s="25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5"/>
      <c r="T479" s="21"/>
      <c r="U479" s="1"/>
      <c r="V479" s="1"/>
      <c r="W479" s="1"/>
      <c r="X479" s="1"/>
      <c r="Y479" s="25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5"/>
      <c r="T480" s="21"/>
      <c r="U480" s="1"/>
      <c r="V480" s="1"/>
      <c r="W480" s="1"/>
      <c r="X480" s="1"/>
      <c r="Y480" s="25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5"/>
      <c r="T481" s="21"/>
      <c r="U481" s="1"/>
      <c r="V481" s="1"/>
      <c r="W481" s="1"/>
      <c r="X481" s="1"/>
      <c r="Y481" s="25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5"/>
      <c r="T482" s="21"/>
      <c r="U482" s="1"/>
      <c r="V482" s="1"/>
      <c r="W482" s="1"/>
      <c r="X482" s="1"/>
      <c r="Y482" s="25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5"/>
      <c r="T483" s="21"/>
      <c r="U483" s="1"/>
      <c r="V483" s="1"/>
      <c r="W483" s="1"/>
      <c r="X483" s="1"/>
      <c r="Y483" s="25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5"/>
      <c r="T484" s="21"/>
      <c r="U484" s="1"/>
      <c r="V484" s="1"/>
      <c r="W484" s="1"/>
      <c r="X484" s="1"/>
      <c r="Y484" s="25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5"/>
      <c r="T485" s="21"/>
      <c r="U485" s="1"/>
      <c r="V485" s="1"/>
      <c r="W485" s="1"/>
      <c r="X485" s="1"/>
      <c r="Y485" s="25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5"/>
      <c r="T486" s="21"/>
      <c r="U486" s="1"/>
      <c r="V486" s="1"/>
      <c r="W486" s="1"/>
      <c r="X486" s="1"/>
      <c r="Y486" s="25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5"/>
      <c r="T487" s="21"/>
      <c r="U487" s="1"/>
      <c r="V487" s="1"/>
      <c r="W487" s="1"/>
      <c r="X487" s="1"/>
      <c r="Y487" s="25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5"/>
      <c r="T488" s="21"/>
      <c r="U488" s="1"/>
      <c r="V488" s="1"/>
      <c r="W488" s="1"/>
      <c r="X488" s="1"/>
      <c r="Y488" s="25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5"/>
      <c r="T489" s="21"/>
      <c r="U489" s="1"/>
      <c r="V489" s="1"/>
      <c r="W489" s="1"/>
      <c r="X489" s="1"/>
      <c r="Y489" s="25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5"/>
      <c r="T490" s="21"/>
      <c r="U490" s="1"/>
      <c r="V490" s="1"/>
      <c r="W490" s="1"/>
      <c r="X490" s="1"/>
      <c r="Y490" s="25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5"/>
      <c r="T491" s="21"/>
      <c r="U491" s="1"/>
      <c r="V491" s="1"/>
      <c r="W491" s="1"/>
      <c r="X491" s="1"/>
      <c r="Y491" s="25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5"/>
      <c r="T492" s="21"/>
      <c r="U492" s="1"/>
      <c r="V492" s="1"/>
      <c r="W492" s="1"/>
      <c r="X492" s="1"/>
      <c r="Y492" s="25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5"/>
      <c r="T493" s="21"/>
      <c r="U493" s="1"/>
      <c r="V493" s="1"/>
      <c r="W493" s="1"/>
      <c r="X493" s="1"/>
      <c r="Y493" s="25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5"/>
      <c r="T494" s="21"/>
      <c r="U494" s="1"/>
      <c r="V494" s="1"/>
      <c r="W494" s="1"/>
      <c r="X494" s="1"/>
      <c r="Y494" s="25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5"/>
      <c r="T495" s="21"/>
      <c r="U495" s="1"/>
      <c r="V495" s="1"/>
      <c r="W495" s="1"/>
      <c r="X495" s="1"/>
      <c r="Y495" s="25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5"/>
      <c r="T496" s="21"/>
      <c r="U496" s="1"/>
      <c r="V496" s="1"/>
      <c r="W496" s="1"/>
      <c r="X496" s="1"/>
      <c r="Y496" s="25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5"/>
      <c r="T497" s="21"/>
      <c r="U497" s="1"/>
      <c r="V497" s="1"/>
      <c r="W497" s="1"/>
      <c r="X497" s="1"/>
      <c r="Y497" s="25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5"/>
      <c r="T498" s="21"/>
      <c r="U498" s="1"/>
      <c r="V498" s="1"/>
      <c r="W498" s="1"/>
      <c r="X498" s="1"/>
      <c r="Y498" s="25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25"/>
      <c r="T499" s="21"/>
      <c r="U499" s="1"/>
      <c r="V499" s="1"/>
      <c r="W499" s="1"/>
      <c r="X499" s="1"/>
      <c r="Y499" s="25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25"/>
      <c r="T500" s="21"/>
      <c r="U500" s="1"/>
      <c r="V500" s="1"/>
      <c r="W500" s="1"/>
      <c r="X500" s="1"/>
      <c r="Y500" s="25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</sheetData>
  <autoFilter ref="A3:AN134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536B-F848-4024-8D3B-A70CFDD82B4E}">
  <dimension ref="A1:E74"/>
  <sheetViews>
    <sheetView topLeftCell="A37" workbookViewId="0">
      <selection activeCell="F2" sqref="F2"/>
    </sheetView>
  </sheetViews>
  <sheetFormatPr defaultRowHeight="15" x14ac:dyDescent="0.25"/>
  <cols>
    <col min="2" max="2" width="120.5703125" bestFit="1" customWidth="1"/>
  </cols>
  <sheetData>
    <row r="1" spans="1:5" x14ac:dyDescent="0.25">
      <c r="A1" s="29" t="s">
        <v>190</v>
      </c>
      <c r="B1" s="30" t="s">
        <v>191</v>
      </c>
      <c r="C1" s="31">
        <v>2670</v>
      </c>
      <c r="D1" s="31">
        <v>2670</v>
      </c>
      <c r="E1" s="31"/>
    </row>
    <row r="2" spans="1:5" x14ac:dyDescent="0.25">
      <c r="A2" s="29" t="s">
        <v>192</v>
      </c>
      <c r="B2" s="30" t="s">
        <v>193</v>
      </c>
      <c r="C2" s="31">
        <v>202.8</v>
      </c>
      <c r="D2" s="31">
        <v>202.8</v>
      </c>
      <c r="E2" s="31"/>
    </row>
    <row r="3" spans="1:5" x14ac:dyDescent="0.25">
      <c r="A3" s="29" t="s">
        <v>194</v>
      </c>
      <c r="B3" s="30" t="s">
        <v>195</v>
      </c>
      <c r="C3" s="31">
        <v>259.2</v>
      </c>
      <c r="D3" s="31">
        <v>259.2</v>
      </c>
      <c r="E3" s="31"/>
    </row>
    <row r="4" spans="1:5" x14ac:dyDescent="0.25">
      <c r="A4" s="29" t="s">
        <v>196</v>
      </c>
      <c r="B4" s="30" t="s">
        <v>197</v>
      </c>
      <c r="C4" s="31">
        <v>67.2</v>
      </c>
      <c r="D4" s="31">
        <v>67.2</v>
      </c>
      <c r="E4" s="31"/>
    </row>
    <row r="5" spans="1:5" x14ac:dyDescent="0.25">
      <c r="A5" s="29" t="s">
        <v>198</v>
      </c>
      <c r="B5" s="30" t="s">
        <v>199</v>
      </c>
      <c r="C5" s="31">
        <v>16</v>
      </c>
      <c r="D5" s="31">
        <v>16</v>
      </c>
      <c r="E5" s="31"/>
    </row>
    <row r="6" spans="1:5" x14ac:dyDescent="0.25">
      <c r="A6" s="29" t="s">
        <v>200</v>
      </c>
      <c r="B6" s="30" t="s">
        <v>201</v>
      </c>
      <c r="C6" s="31">
        <v>907.2</v>
      </c>
      <c r="D6" s="31">
        <v>907.2</v>
      </c>
      <c r="E6" s="31"/>
    </row>
    <row r="7" spans="1:5" x14ac:dyDescent="0.25">
      <c r="A7" s="29" t="s">
        <v>202</v>
      </c>
      <c r="B7" s="30" t="s">
        <v>203</v>
      </c>
      <c r="C7" s="31"/>
      <c r="D7" s="31"/>
      <c r="E7" s="31"/>
    </row>
    <row r="8" spans="1:5" x14ac:dyDescent="0.25">
      <c r="A8" s="29" t="s">
        <v>204</v>
      </c>
      <c r="B8" s="30" t="s">
        <v>205</v>
      </c>
      <c r="C8" s="31">
        <v>240.3</v>
      </c>
      <c r="D8" s="31">
        <v>240.3</v>
      </c>
      <c r="E8" s="31"/>
    </row>
    <row r="9" spans="1:5" x14ac:dyDescent="0.25">
      <c r="A9" s="29" t="s">
        <v>206</v>
      </c>
      <c r="B9" s="30" t="s">
        <v>207</v>
      </c>
      <c r="C9" s="31">
        <v>1004.4</v>
      </c>
      <c r="D9" s="31">
        <v>1004.4</v>
      </c>
      <c r="E9" s="31"/>
    </row>
    <row r="10" spans="1:5" x14ac:dyDescent="0.25">
      <c r="A10" s="29" t="s">
        <v>208</v>
      </c>
      <c r="B10" s="30" t="s">
        <v>209</v>
      </c>
      <c r="C10" s="31">
        <v>601.91999999999996</v>
      </c>
      <c r="D10" s="31">
        <v>601.91999999999996</v>
      </c>
      <c r="E10" s="31"/>
    </row>
    <row r="11" spans="1:5" x14ac:dyDescent="0.25">
      <c r="A11" s="29" t="s">
        <v>210</v>
      </c>
      <c r="B11" s="30" t="s">
        <v>211</v>
      </c>
      <c r="C11" s="31">
        <v>21.12</v>
      </c>
      <c r="D11" s="31">
        <v>21.12</v>
      </c>
      <c r="E11" s="31"/>
    </row>
    <row r="12" spans="1:5" x14ac:dyDescent="0.25">
      <c r="A12" s="29" t="s">
        <v>212</v>
      </c>
      <c r="B12" s="30" t="s">
        <v>213</v>
      </c>
      <c r="C12" s="31">
        <v>580.79999999999995</v>
      </c>
      <c r="D12" s="31">
        <v>580.79999999999995</v>
      </c>
      <c r="E12" s="31"/>
    </row>
    <row r="13" spans="1:5" x14ac:dyDescent="0.25">
      <c r="A13" s="29" t="s">
        <v>214</v>
      </c>
      <c r="B13" s="30" t="s">
        <v>215</v>
      </c>
      <c r="C13" s="31">
        <v>702</v>
      </c>
      <c r="D13" s="31">
        <v>702</v>
      </c>
      <c r="E13" s="31"/>
    </row>
    <row r="14" spans="1:5" x14ac:dyDescent="0.25">
      <c r="A14" s="29" t="s">
        <v>216</v>
      </c>
      <c r="B14" s="30" t="s">
        <v>217</v>
      </c>
      <c r="C14" s="31">
        <v>52.8</v>
      </c>
      <c r="D14" s="31">
        <v>52.8</v>
      </c>
      <c r="E14" s="31"/>
    </row>
    <row r="15" spans="1:5" x14ac:dyDescent="0.25">
      <c r="A15" s="29" t="s">
        <v>218</v>
      </c>
      <c r="B15" s="30" t="s">
        <v>219</v>
      </c>
      <c r="C15" s="31">
        <v>47.52</v>
      </c>
      <c r="D15" s="31">
        <v>47.52</v>
      </c>
      <c r="E15" s="31"/>
    </row>
    <row r="16" spans="1:5" x14ac:dyDescent="0.25">
      <c r="A16" s="29" t="s">
        <v>220</v>
      </c>
      <c r="B16" s="30" t="s">
        <v>221</v>
      </c>
      <c r="C16" s="31">
        <v>9.6</v>
      </c>
      <c r="D16" s="31">
        <v>9.6</v>
      </c>
      <c r="E16" s="31"/>
    </row>
    <row r="17" spans="1:5" x14ac:dyDescent="0.25">
      <c r="A17" s="29" t="s">
        <v>222</v>
      </c>
      <c r="B17" s="30" t="s">
        <v>223</v>
      </c>
      <c r="C17" s="31">
        <v>9</v>
      </c>
      <c r="D17" s="31">
        <v>9</v>
      </c>
      <c r="E17" s="31"/>
    </row>
    <row r="18" spans="1:5" x14ac:dyDescent="0.25">
      <c r="A18" s="29" t="s">
        <v>224</v>
      </c>
      <c r="B18" s="30" t="s">
        <v>225</v>
      </c>
      <c r="C18" s="31">
        <v>36</v>
      </c>
      <c r="D18" s="31">
        <v>36</v>
      </c>
      <c r="E18" s="31"/>
    </row>
    <row r="19" spans="1:5" x14ac:dyDescent="0.25">
      <c r="A19" s="29" t="s">
        <v>226</v>
      </c>
      <c r="B19" s="30" t="s">
        <v>227</v>
      </c>
      <c r="C19" s="31">
        <v>47.52</v>
      </c>
      <c r="D19" s="31">
        <v>47.52</v>
      </c>
      <c r="E19" s="31"/>
    </row>
    <row r="20" spans="1:5" x14ac:dyDescent="0.25">
      <c r="A20" s="29" t="s">
        <v>228</v>
      </c>
      <c r="B20" s="30" t="s">
        <v>229</v>
      </c>
      <c r="C20" s="31">
        <v>40</v>
      </c>
      <c r="D20" s="31">
        <v>40</v>
      </c>
      <c r="E20" s="31"/>
    </row>
    <row r="21" spans="1:5" x14ac:dyDescent="0.25">
      <c r="A21" s="29" t="s">
        <v>230</v>
      </c>
      <c r="B21" s="30" t="s">
        <v>231</v>
      </c>
      <c r="C21" s="31">
        <v>16.2</v>
      </c>
      <c r="D21" s="31">
        <v>16.2</v>
      </c>
      <c r="E21" s="31"/>
    </row>
    <row r="22" spans="1:5" x14ac:dyDescent="0.25">
      <c r="A22" s="29" t="s">
        <v>232</v>
      </c>
      <c r="B22" s="30" t="s">
        <v>233</v>
      </c>
      <c r="C22" s="31">
        <v>141.6</v>
      </c>
      <c r="D22" s="31">
        <v>141.6</v>
      </c>
      <c r="E22" s="31"/>
    </row>
    <row r="23" spans="1:5" x14ac:dyDescent="0.25">
      <c r="A23" s="29" t="s">
        <v>234</v>
      </c>
      <c r="B23" s="30" t="s">
        <v>235</v>
      </c>
      <c r="C23" s="31">
        <v>81.599999999999994</v>
      </c>
      <c r="D23" s="31">
        <v>81.599999999999994</v>
      </c>
      <c r="E23" s="31"/>
    </row>
    <row r="24" spans="1:5" x14ac:dyDescent="0.25">
      <c r="A24" s="29" t="s">
        <v>236</v>
      </c>
      <c r="B24" s="30" t="s">
        <v>237</v>
      </c>
      <c r="C24" s="31">
        <v>105.6</v>
      </c>
      <c r="D24" s="31">
        <v>105.6</v>
      </c>
      <c r="E24" s="31"/>
    </row>
    <row r="25" spans="1:5" x14ac:dyDescent="0.25">
      <c r="A25" s="29" t="s">
        <v>238</v>
      </c>
      <c r="B25" s="30" t="s">
        <v>239</v>
      </c>
      <c r="C25" s="31">
        <v>36</v>
      </c>
      <c r="D25" s="31"/>
      <c r="E25" s="31">
        <v>-36</v>
      </c>
    </row>
    <row r="26" spans="1:5" x14ac:dyDescent="0.25">
      <c r="A26" s="29" t="s">
        <v>240</v>
      </c>
      <c r="B26" s="30" t="s">
        <v>241</v>
      </c>
      <c r="C26" s="31">
        <v>8.4</v>
      </c>
      <c r="D26" s="31">
        <v>8.4</v>
      </c>
      <c r="E26" s="31"/>
    </row>
    <row r="27" spans="1:5" x14ac:dyDescent="0.25">
      <c r="A27" s="29" t="s">
        <v>242</v>
      </c>
      <c r="B27" s="30" t="s">
        <v>243</v>
      </c>
      <c r="C27" s="31">
        <v>60</v>
      </c>
      <c r="D27" s="31">
        <v>60</v>
      </c>
      <c r="E27" s="31"/>
    </row>
    <row r="28" spans="1:5" x14ac:dyDescent="0.25">
      <c r="A28" s="29" t="s">
        <v>244</v>
      </c>
      <c r="B28" s="30" t="s">
        <v>245</v>
      </c>
      <c r="C28" s="31">
        <v>34.799999999999997</v>
      </c>
      <c r="D28" s="31">
        <v>34.799999999999997</v>
      </c>
      <c r="E28" s="31"/>
    </row>
    <row r="29" spans="1:5" x14ac:dyDescent="0.25">
      <c r="A29" s="29" t="s">
        <v>246</v>
      </c>
      <c r="B29" s="30" t="s">
        <v>247</v>
      </c>
      <c r="C29" s="31">
        <v>50.4</v>
      </c>
      <c r="D29" s="31">
        <v>50.4</v>
      </c>
      <c r="E29" s="31"/>
    </row>
    <row r="30" spans="1:5" x14ac:dyDescent="0.25">
      <c r="A30" s="29" t="s">
        <v>248</v>
      </c>
      <c r="B30" s="30" t="s">
        <v>249</v>
      </c>
      <c r="C30" s="31">
        <v>43.2</v>
      </c>
      <c r="D30" s="31">
        <v>21.6</v>
      </c>
      <c r="E30" s="31">
        <v>-21.6</v>
      </c>
    </row>
    <row r="31" spans="1:5" x14ac:dyDescent="0.25">
      <c r="A31" s="29" t="s">
        <v>250</v>
      </c>
      <c r="B31" s="30" t="s">
        <v>251</v>
      </c>
      <c r="C31" s="31">
        <v>12</v>
      </c>
      <c r="D31" s="31">
        <v>12</v>
      </c>
      <c r="E31" s="31"/>
    </row>
    <row r="32" spans="1:5" x14ac:dyDescent="0.25">
      <c r="A32" s="29" t="s">
        <v>252</v>
      </c>
      <c r="B32" s="30" t="s">
        <v>253</v>
      </c>
      <c r="C32" s="31">
        <v>9.6</v>
      </c>
      <c r="D32" s="31">
        <v>9.6</v>
      </c>
      <c r="E32" s="31"/>
    </row>
    <row r="33" spans="1:5" x14ac:dyDescent="0.25">
      <c r="A33" s="29" t="s">
        <v>254</v>
      </c>
      <c r="B33" s="30" t="s">
        <v>255</v>
      </c>
      <c r="C33" s="31">
        <v>32.4</v>
      </c>
      <c r="D33" s="31">
        <v>32.4</v>
      </c>
      <c r="E33" s="31"/>
    </row>
    <row r="34" spans="1:5" x14ac:dyDescent="0.25">
      <c r="A34" s="29" t="s">
        <v>256</v>
      </c>
      <c r="B34" s="30" t="s">
        <v>257</v>
      </c>
      <c r="C34" s="31">
        <v>12</v>
      </c>
      <c r="D34" s="31">
        <v>12</v>
      </c>
      <c r="E34" s="31"/>
    </row>
    <row r="35" spans="1:5" x14ac:dyDescent="0.25">
      <c r="A35" s="29" t="s">
        <v>258</v>
      </c>
      <c r="B35" s="30" t="s">
        <v>259</v>
      </c>
      <c r="C35" s="31">
        <v>499.2</v>
      </c>
      <c r="D35" s="31">
        <v>499.2</v>
      </c>
      <c r="E35" s="31"/>
    </row>
    <row r="36" spans="1:5" x14ac:dyDescent="0.25">
      <c r="A36" s="29" t="s">
        <v>260</v>
      </c>
      <c r="B36" s="30" t="s">
        <v>261</v>
      </c>
      <c r="C36" s="31">
        <v>10</v>
      </c>
      <c r="D36" s="31">
        <v>10</v>
      </c>
      <c r="E36" s="31"/>
    </row>
    <row r="37" spans="1:5" x14ac:dyDescent="0.25">
      <c r="A37" s="29" t="s">
        <v>262</v>
      </c>
      <c r="B37" s="30" t="s">
        <v>263</v>
      </c>
      <c r="C37" s="31">
        <v>153.9</v>
      </c>
      <c r="D37" s="31">
        <v>153.9</v>
      </c>
      <c r="E37" s="31"/>
    </row>
    <row r="38" spans="1:5" x14ac:dyDescent="0.25">
      <c r="A38" s="29" t="s">
        <v>264</v>
      </c>
      <c r="B38" s="30" t="s">
        <v>265</v>
      </c>
      <c r="C38" s="31">
        <v>163.19999999999999</v>
      </c>
      <c r="D38" s="31">
        <v>163.19999999999999</v>
      </c>
      <c r="E38" s="31"/>
    </row>
    <row r="39" spans="1:5" x14ac:dyDescent="0.25">
      <c r="A39" s="29" t="s">
        <v>266</v>
      </c>
      <c r="B39" s="30" t="s">
        <v>267</v>
      </c>
      <c r="C39" s="31">
        <v>364.5</v>
      </c>
      <c r="D39" s="31">
        <v>364.5</v>
      </c>
      <c r="E39" s="31"/>
    </row>
    <row r="40" spans="1:5" x14ac:dyDescent="0.25">
      <c r="A40" s="29" t="s">
        <v>268</v>
      </c>
      <c r="B40" s="30" t="s">
        <v>269</v>
      </c>
      <c r="C40" s="31">
        <v>50.4</v>
      </c>
      <c r="D40" s="31">
        <v>50.4</v>
      </c>
      <c r="E40" s="31"/>
    </row>
    <row r="41" spans="1:5" x14ac:dyDescent="0.25">
      <c r="A41" s="29" t="s">
        <v>270</v>
      </c>
      <c r="B41" s="30" t="s">
        <v>271</v>
      </c>
      <c r="C41" s="31">
        <v>60.9</v>
      </c>
      <c r="D41" s="31">
        <v>60.9</v>
      </c>
      <c r="E41" s="31"/>
    </row>
    <row r="42" spans="1:5" x14ac:dyDescent="0.25">
      <c r="A42" s="29" t="s">
        <v>272</v>
      </c>
      <c r="B42" s="30" t="s">
        <v>273</v>
      </c>
      <c r="C42" s="31">
        <v>14.4</v>
      </c>
      <c r="D42" s="31">
        <v>14.4</v>
      </c>
      <c r="E42" s="31"/>
    </row>
    <row r="43" spans="1:5" x14ac:dyDescent="0.25">
      <c r="A43" s="29" t="s">
        <v>274</v>
      </c>
      <c r="B43" s="30" t="s">
        <v>275</v>
      </c>
      <c r="C43" s="31">
        <v>97.2</v>
      </c>
      <c r="D43" s="31">
        <v>97.2</v>
      </c>
      <c r="E43" s="31"/>
    </row>
    <row r="44" spans="1:5" x14ac:dyDescent="0.25">
      <c r="A44" s="29" t="s">
        <v>276</v>
      </c>
      <c r="B44" s="30" t="s">
        <v>277</v>
      </c>
      <c r="C44" s="31">
        <v>9</v>
      </c>
      <c r="D44" s="31"/>
      <c r="E44" s="31">
        <v>-9</v>
      </c>
    </row>
    <row r="45" spans="1:5" x14ac:dyDescent="0.25">
      <c r="A45" s="29" t="s">
        <v>278</v>
      </c>
      <c r="B45" s="30" t="s">
        <v>279</v>
      </c>
      <c r="C45" s="31">
        <v>64.8</v>
      </c>
      <c r="D45" s="31"/>
      <c r="E45" s="31">
        <v>-64.8</v>
      </c>
    </row>
    <row r="46" spans="1:5" x14ac:dyDescent="0.25">
      <c r="A46" s="29" t="s">
        <v>280</v>
      </c>
      <c r="B46" s="30" t="s">
        <v>281</v>
      </c>
      <c r="C46" s="31">
        <v>9</v>
      </c>
      <c r="D46" s="31"/>
      <c r="E46" s="31">
        <v>-9</v>
      </c>
    </row>
    <row r="47" spans="1:5" x14ac:dyDescent="0.25">
      <c r="A47" s="29" t="s">
        <v>282</v>
      </c>
      <c r="B47" s="30" t="s">
        <v>283</v>
      </c>
      <c r="C47" s="31">
        <v>102.6</v>
      </c>
      <c r="D47" s="31"/>
      <c r="E47" s="31">
        <v>-102.6</v>
      </c>
    </row>
    <row r="48" spans="1:5" x14ac:dyDescent="0.25">
      <c r="A48" s="29" t="s">
        <v>284</v>
      </c>
      <c r="B48" s="30" t="s">
        <v>285</v>
      </c>
      <c r="C48" s="31">
        <v>81</v>
      </c>
      <c r="D48" s="31"/>
      <c r="E48" s="31">
        <v>-81</v>
      </c>
    </row>
    <row r="49" spans="1:5" x14ac:dyDescent="0.25">
      <c r="A49" s="29" t="s">
        <v>286</v>
      </c>
      <c r="B49" s="30" t="s">
        <v>287</v>
      </c>
      <c r="C49" s="31">
        <v>16.2</v>
      </c>
      <c r="D49" s="31"/>
      <c r="E49" s="31">
        <v>-16.2</v>
      </c>
    </row>
    <row r="50" spans="1:5" x14ac:dyDescent="0.25">
      <c r="A50" s="29" t="s">
        <v>288</v>
      </c>
      <c r="B50" s="30" t="s">
        <v>289</v>
      </c>
      <c r="C50" s="31">
        <v>34.32</v>
      </c>
      <c r="D50" s="31">
        <v>34.32</v>
      </c>
      <c r="E50" s="31"/>
    </row>
    <row r="51" spans="1:5" x14ac:dyDescent="0.25">
      <c r="A51" s="29" t="s">
        <v>290</v>
      </c>
      <c r="B51" s="30" t="s">
        <v>291</v>
      </c>
      <c r="C51" s="31">
        <v>47.6</v>
      </c>
      <c r="D51" s="31">
        <v>47.6</v>
      </c>
      <c r="E51" s="31"/>
    </row>
    <row r="52" spans="1:5" x14ac:dyDescent="0.25">
      <c r="A52" s="29" t="s">
        <v>292</v>
      </c>
      <c r="B52" s="30" t="s">
        <v>293</v>
      </c>
      <c r="C52" s="31">
        <v>14.7</v>
      </c>
      <c r="D52" s="31">
        <v>14.7</v>
      </c>
      <c r="E52" s="31"/>
    </row>
    <row r="53" spans="1:5" x14ac:dyDescent="0.25">
      <c r="A53" s="29" t="s">
        <v>294</v>
      </c>
      <c r="B53" s="30" t="s">
        <v>295</v>
      </c>
      <c r="C53" s="31">
        <v>4.2</v>
      </c>
      <c r="D53" s="31"/>
      <c r="E53" s="31">
        <v>-4.2</v>
      </c>
    </row>
    <row r="54" spans="1:5" x14ac:dyDescent="0.25">
      <c r="A54" s="29" t="s">
        <v>296</v>
      </c>
      <c r="B54" s="30" t="s">
        <v>297</v>
      </c>
      <c r="C54" s="31">
        <v>9.6</v>
      </c>
      <c r="D54" s="31">
        <v>9.6</v>
      </c>
      <c r="E54" s="31"/>
    </row>
    <row r="55" spans="1:5" x14ac:dyDescent="0.25">
      <c r="A55" s="29" t="s">
        <v>298</v>
      </c>
      <c r="B55" s="30" t="s">
        <v>299</v>
      </c>
      <c r="C55" s="31">
        <v>23.2</v>
      </c>
      <c r="D55" s="31">
        <v>23.2</v>
      </c>
      <c r="E55" s="31"/>
    </row>
    <row r="56" spans="1:5" x14ac:dyDescent="0.25">
      <c r="A56" s="29" t="s">
        <v>300</v>
      </c>
      <c r="B56" s="30" t="s">
        <v>301</v>
      </c>
      <c r="C56" s="31">
        <v>2010</v>
      </c>
      <c r="D56" s="31">
        <v>2010</v>
      </c>
      <c r="E56" s="31"/>
    </row>
    <row r="57" spans="1:5" x14ac:dyDescent="0.25">
      <c r="A57" s="29" t="s">
        <v>302</v>
      </c>
      <c r="B57" s="30" t="s">
        <v>303</v>
      </c>
      <c r="C57" s="31">
        <v>2550</v>
      </c>
      <c r="D57" s="31">
        <v>2550</v>
      </c>
      <c r="E57" s="31"/>
    </row>
    <row r="58" spans="1:5" x14ac:dyDescent="0.25">
      <c r="A58" s="29" t="s">
        <v>304</v>
      </c>
      <c r="B58" s="30" t="s">
        <v>305</v>
      </c>
      <c r="C58" s="31">
        <v>1575</v>
      </c>
      <c r="D58" s="31">
        <v>1575</v>
      </c>
      <c r="E58" s="31"/>
    </row>
    <row r="59" spans="1:5" x14ac:dyDescent="0.25">
      <c r="A59" s="29" t="s">
        <v>306</v>
      </c>
      <c r="B59" s="30" t="s">
        <v>307</v>
      </c>
      <c r="C59" s="31">
        <v>18</v>
      </c>
      <c r="D59" s="31"/>
      <c r="E59" s="31">
        <v>-18</v>
      </c>
    </row>
    <row r="60" spans="1:5" x14ac:dyDescent="0.25">
      <c r="A60" s="29" t="s">
        <v>308</v>
      </c>
      <c r="B60" s="30" t="s">
        <v>309</v>
      </c>
      <c r="C60" s="31">
        <v>3.78</v>
      </c>
      <c r="D60" s="31">
        <v>3.78</v>
      </c>
      <c r="E60" s="31"/>
    </row>
    <row r="61" spans="1:5" x14ac:dyDescent="0.25">
      <c r="A61" s="29" t="s">
        <v>310</v>
      </c>
      <c r="B61" s="30" t="s">
        <v>311</v>
      </c>
      <c r="C61" s="31">
        <v>2.52</v>
      </c>
      <c r="D61" s="31">
        <v>2.52</v>
      </c>
      <c r="E61" s="31"/>
    </row>
    <row r="62" spans="1:5" x14ac:dyDescent="0.25">
      <c r="A62" s="29" t="s">
        <v>312</v>
      </c>
      <c r="B62" s="30" t="s">
        <v>313</v>
      </c>
      <c r="C62" s="31">
        <v>5.4</v>
      </c>
      <c r="D62" s="31">
        <v>5.4</v>
      </c>
      <c r="E62" s="31"/>
    </row>
    <row r="63" spans="1:5" x14ac:dyDescent="0.25">
      <c r="A63" s="29" t="s">
        <v>314</v>
      </c>
      <c r="B63" s="30" t="s">
        <v>315</v>
      </c>
      <c r="C63" s="31">
        <v>3.2</v>
      </c>
      <c r="D63" s="31">
        <v>3.2</v>
      </c>
      <c r="E63" s="31"/>
    </row>
    <row r="64" spans="1:5" x14ac:dyDescent="0.25">
      <c r="A64" s="29" t="s">
        <v>316</v>
      </c>
      <c r="B64" s="30" t="s">
        <v>317</v>
      </c>
      <c r="C64" s="31">
        <v>40.32</v>
      </c>
      <c r="D64" s="31">
        <v>40.32</v>
      </c>
      <c r="E64" s="31"/>
    </row>
    <row r="65" spans="1:5" x14ac:dyDescent="0.25">
      <c r="A65" s="29" t="s">
        <v>318</v>
      </c>
      <c r="B65" s="30" t="s">
        <v>319</v>
      </c>
      <c r="C65" s="31">
        <v>150.5</v>
      </c>
      <c r="D65" s="31"/>
      <c r="E65" s="31">
        <v>-150.5</v>
      </c>
    </row>
    <row r="66" spans="1:5" x14ac:dyDescent="0.25">
      <c r="A66" s="29" t="s">
        <v>320</v>
      </c>
      <c r="B66" s="30" t="s">
        <v>321</v>
      </c>
      <c r="C66" s="31">
        <v>42</v>
      </c>
      <c r="D66" s="31">
        <v>42</v>
      </c>
      <c r="E66" s="31"/>
    </row>
    <row r="67" spans="1:5" x14ac:dyDescent="0.25">
      <c r="A67" s="29" t="s">
        <v>322</v>
      </c>
      <c r="B67" s="30" t="s">
        <v>323</v>
      </c>
      <c r="C67" s="31">
        <v>101.5</v>
      </c>
      <c r="D67" s="31"/>
      <c r="E67" s="31">
        <v>-101.5</v>
      </c>
    </row>
    <row r="68" spans="1:5" x14ac:dyDescent="0.25">
      <c r="A68" s="29" t="s">
        <v>324</v>
      </c>
      <c r="B68" s="30" t="s">
        <v>325</v>
      </c>
      <c r="C68" s="31">
        <v>42</v>
      </c>
      <c r="D68" s="31"/>
      <c r="E68" s="31">
        <v>-42</v>
      </c>
    </row>
    <row r="69" spans="1:5" x14ac:dyDescent="0.25">
      <c r="A69" s="29" t="s">
        <v>326</v>
      </c>
      <c r="B69" s="30" t="s">
        <v>327</v>
      </c>
      <c r="C69" s="31">
        <v>21</v>
      </c>
      <c r="D69" s="31"/>
      <c r="E69" s="31">
        <v>-21</v>
      </c>
    </row>
    <row r="70" spans="1:5" x14ac:dyDescent="0.25">
      <c r="A70" s="29" t="s">
        <v>328</v>
      </c>
      <c r="B70" s="30" t="s">
        <v>329</v>
      </c>
      <c r="C70" s="31">
        <v>210.6</v>
      </c>
      <c r="D70" s="31">
        <v>210.6</v>
      </c>
      <c r="E70" s="31"/>
    </row>
    <row r="71" spans="1:5" x14ac:dyDescent="0.25">
      <c r="A71" s="29" t="s">
        <v>330</v>
      </c>
      <c r="B71" s="30" t="s">
        <v>331</v>
      </c>
      <c r="C71" s="31">
        <v>54.6</v>
      </c>
      <c r="D71" s="31">
        <v>54.6</v>
      </c>
      <c r="E71" s="31"/>
    </row>
    <row r="72" spans="1:5" x14ac:dyDescent="0.25">
      <c r="A72" s="29" t="s">
        <v>332</v>
      </c>
      <c r="B72" s="30" t="s">
        <v>333</v>
      </c>
      <c r="C72" s="31">
        <v>75</v>
      </c>
      <c r="D72" s="31">
        <v>75</v>
      </c>
      <c r="E72" s="31"/>
    </row>
    <row r="73" spans="1:5" x14ac:dyDescent="0.25">
      <c r="A73" s="29" t="s">
        <v>334</v>
      </c>
      <c r="B73" s="30" t="s">
        <v>335</v>
      </c>
      <c r="C73" s="31">
        <v>705</v>
      </c>
      <c r="D73" s="31">
        <v>705</v>
      </c>
      <c r="E73" s="31"/>
    </row>
    <row r="74" spans="1:5" x14ac:dyDescent="0.25">
      <c r="A74" s="29"/>
      <c r="B74" s="30"/>
      <c r="C74" s="31">
        <v>17599.520000000004</v>
      </c>
      <c r="D74" s="31">
        <v>16922.120000000006</v>
      </c>
      <c r="E74" s="31">
        <v>-677.4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48CFC-B178-4D2B-8EDE-9DCD3B5F3D4A}">
  <dimension ref="A1:E83"/>
  <sheetViews>
    <sheetView workbookViewId="0">
      <selection activeCell="J12" sqref="J12"/>
    </sheetView>
  </sheetViews>
  <sheetFormatPr defaultRowHeight="15" x14ac:dyDescent="0.25"/>
  <cols>
    <col min="2" max="2" width="120.5703125" bestFit="1" customWidth="1"/>
  </cols>
  <sheetData>
    <row r="1" spans="1:5" x14ac:dyDescent="0.25">
      <c r="A1" s="32" t="s">
        <v>190</v>
      </c>
      <c r="B1" s="32" t="s">
        <v>191</v>
      </c>
      <c r="C1" s="33">
        <v>1230</v>
      </c>
      <c r="D1" s="33">
        <v>1230</v>
      </c>
      <c r="E1" s="34"/>
    </row>
    <row r="2" spans="1:5" x14ac:dyDescent="0.25">
      <c r="A2" s="35" t="s">
        <v>336</v>
      </c>
      <c r="B2" s="35" t="s">
        <v>337</v>
      </c>
      <c r="C2" s="36">
        <v>18</v>
      </c>
      <c r="D2" s="36">
        <v>18</v>
      </c>
      <c r="E2" s="37"/>
    </row>
    <row r="3" spans="1:5" x14ac:dyDescent="0.25">
      <c r="A3" s="35" t="s">
        <v>194</v>
      </c>
      <c r="B3" s="35" t="s">
        <v>195</v>
      </c>
      <c r="C3" s="36">
        <v>54</v>
      </c>
      <c r="D3" s="36">
        <v>54</v>
      </c>
      <c r="E3" s="37"/>
    </row>
    <row r="4" spans="1:5" x14ac:dyDescent="0.25">
      <c r="A4" s="35" t="s">
        <v>196</v>
      </c>
      <c r="B4" s="35" t="s">
        <v>197</v>
      </c>
      <c r="C4" s="36">
        <v>58.8</v>
      </c>
      <c r="D4" s="36">
        <v>58.8</v>
      </c>
      <c r="E4" s="37"/>
    </row>
    <row r="5" spans="1:5" x14ac:dyDescent="0.25">
      <c r="A5" s="35" t="s">
        <v>202</v>
      </c>
      <c r="B5" s="35" t="s">
        <v>203</v>
      </c>
      <c r="C5" s="36">
        <v>91.8</v>
      </c>
      <c r="D5" s="36">
        <v>91.8</v>
      </c>
      <c r="E5" s="37"/>
    </row>
    <row r="6" spans="1:5" x14ac:dyDescent="0.25">
      <c r="A6" s="35" t="s">
        <v>204</v>
      </c>
      <c r="B6" s="35" t="s">
        <v>205</v>
      </c>
      <c r="C6" s="36">
        <v>113.4</v>
      </c>
      <c r="D6" s="36">
        <v>113.4</v>
      </c>
      <c r="E6" s="37"/>
    </row>
    <row r="7" spans="1:5" x14ac:dyDescent="0.25">
      <c r="A7" s="35" t="s">
        <v>338</v>
      </c>
      <c r="B7" s="35" t="s">
        <v>339</v>
      </c>
      <c r="C7" s="36">
        <v>15.3</v>
      </c>
      <c r="D7" s="36">
        <v>15.3</v>
      </c>
      <c r="E7" s="37"/>
    </row>
    <row r="8" spans="1:5" x14ac:dyDescent="0.25">
      <c r="A8" s="35" t="s">
        <v>208</v>
      </c>
      <c r="B8" s="35" t="s">
        <v>209</v>
      </c>
      <c r="C8" s="36">
        <v>95.04</v>
      </c>
      <c r="D8" s="36">
        <v>95.04</v>
      </c>
      <c r="E8" s="37"/>
    </row>
    <row r="9" spans="1:5" x14ac:dyDescent="0.25">
      <c r="A9" s="35" t="s">
        <v>210</v>
      </c>
      <c r="B9" s="35" t="s">
        <v>211</v>
      </c>
      <c r="C9" s="36">
        <v>52.8</v>
      </c>
      <c r="D9" s="36">
        <v>52.8</v>
      </c>
      <c r="E9" s="37"/>
    </row>
    <row r="10" spans="1:5" x14ac:dyDescent="0.25">
      <c r="A10" s="35" t="s">
        <v>212</v>
      </c>
      <c r="B10" s="35" t="s">
        <v>213</v>
      </c>
      <c r="C10" s="36">
        <v>153.12</v>
      </c>
      <c r="D10" s="36">
        <v>153.12</v>
      </c>
      <c r="E10" s="37"/>
    </row>
    <row r="11" spans="1:5" x14ac:dyDescent="0.25">
      <c r="A11" s="35" t="s">
        <v>214</v>
      </c>
      <c r="B11" s="35" t="s">
        <v>215</v>
      </c>
      <c r="C11" s="36">
        <v>801</v>
      </c>
      <c r="D11" s="36">
        <v>801</v>
      </c>
      <c r="E11" s="37"/>
    </row>
    <row r="12" spans="1:5" x14ac:dyDescent="0.25">
      <c r="A12" s="35" t="s">
        <v>216</v>
      </c>
      <c r="B12" s="35" t="s">
        <v>217</v>
      </c>
      <c r="C12" s="36">
        <v>31.68</v>
      </c>
      <c r="D12" s="36">
        <v>31.68</v>
      </c>
      <c r="E12" s="37"/>
    </row>
    <row r="13" spans="1:5" x14ac:dyDescent="0.25">
      <c r="A13" s="35" t="s">
        <v>340</v>
      </c>
      <c r="B13" s="35" t="s">
        <v>341</v>
      </c>
      <c r="C13" s="36">
        <v>253.44</v>
      </c>
      <c r="D13" s="36">
        <v>253.44</v>
      </c>
      <c r="E13" s="37"/>
    </row>
    <row r="14" spans="1:5" x14ac:dyDescent="0.25">
      <c r="A14" s="35" t="s">
        <v>220</v>
      </c>
      <c r="B14" s="35" t="s">
        <v>221</v>
      </c>
      <c r="C14" s="36">
        <v>9.6</v>
      </c>
      <c r="D14" s="36"/>
      <c r="E14" s="37">
        <v>-9.6</v>
      </c>
    </row>
    <row r="15" spans="1:5" x14ac:dyDescent="0.25">
      <c r="A15" s="35" t="s">
        <v>222</v>
      </c>
      <c r="B15" s="35" t="s">
        <v>223</v>
      </c>
      <c r="C15" s="36">
        <v>3.6</v>
      </c>
      <c r="D15" s="36">
        <v>3.6</v>
      </c>
      <c r="E15" s="37"/>
    </row>
    <row r="16" spans="1:5" x14ac:dyDescent="0.25">
      <c r="A16" s="35" t="s">
        <v>226</v>
      </c>
      <c r="B16" s="35" t="s">
        <v>227</v>
      </c>
      <c r="C16" s="36">
        <v>29.7</v>
      </c>
      <c r="D16" s="36">
        <v>29.7</v>
      </c>
      <c r="E16" s="37"/>
    </row>
    <row r="17" spans="1:5" x14ac:dyDescent="0.25">
      <c r="A17" s="35" t="s">
        <v>228</v>
      </c>
      <c r="B17" s="35" t="s">
        <v>229</v>
      </c>
      <c r="C17" s="36">
        <v>22</v>
      </c>
      <c r="D17" s="36">
        <v>22</v>
      </c>
      <c r="E17" s="37"/>
    </row>
    <row r="18" spans="1:5" x14ac:dyDescent="0.25">
      <c r="A18" s="35" t="s">
        <v>342</v>
      </c>
      <c r="B18" s="35" t="s">
        <v>343</v>
      </c>
      <c r="C18" s="36">
        <v>86.4</v>
      </c>
      <c r="D18" s="36">
        <v>86.4</v>
      </c>
      <c r="E18" s="37"/>
    </row>
    <row r="19" spans="1:5" x14ac:dyDescent="0.25">
      <c r="A19" s="35" t="s">
        <v>230</v>
      </c>
      <c r="B19" s="35" t="s">
        <v>231</v>
      </c>
      <c r="C19" s="36">
        <v>37.799999999999997</v>
      </c>
      <c r="D19" s="36"/>
      <c r="E19" s="37">
        <v>-37.799999999999997</v>
      </c>
    </row>
    <row r="20" spans="1:5" x14ac:dyDescent="0.25">
      <c r="A20" s="35" t="s">
        <v>232</v>
      </c>
      <c r="B20" s="35" t="s">
        <v>233</v>
      </c>
      <c r="C20" s="36">
        <v>81.599999999999994</v>
      </c>
      <c r="D20" s="36">
        <v>81.599999999999994</v>
      </c>
      <c r="E20" s="37"/>
    </row>
    <row r="21" spans="1:5" x14ac:dyDescent="0.25">
      <c r="A21" s="35" t="s">
        <v>234</v>
      </c>
      <c r="B21" s="35" t="s">
        <v>235</v>
      </c>
      <c r="C21" s="36">
        <v>24</v>
      </c>
      <c r="D21" s="36">
        <v>24</v>
      </c>
      <c r="E21" s="37"/>
    </row>
    <row r="22" spans="1:5" x14ac:dyDescent="0.25">
      <c r="A22" s="35" t="s">
        <v>236</v>
      </c>
      <c r="B22" s="35" t="s">
        <v>237</v>
      </c>
      <c r="C22" s="36">
        <v>63.36</v>
      </c>
      <c r="D22" s="36">
        <v>63.36</v>
      </c>
      <c r="E22" s="37"/>
    </row>
    <row r="23" spans="1:5" x14ac:dyDescent="0.25">
      <c r="A23" s="35" t="s">
        <v>238</v>
      </c>
      <c r="B23" s="35" t="s">
        <v>239</v>
      </c>
      <c r="C23" s="36">
        <v>36</v>
      </c>
      <c r="D23" s="36"/>
      <c r="E23" s="37">
        <v>-36</v>
      </c>
    </row>
    <row r="24" spans="1:5" x14ac:dyDescent="0.25">
      <c r="A24" s="35" t="s">
        <v>240</v>
      </c>
      <c r="B24" s="35" t="s">
        <v>241</v>
      </c>
      <c r="C24" s="36">
        <v>8.4</v>
      </c>
      <c r="D24" s="36">
        <v>8.4</v>
      </c>
      <c r="E24" s="37"/>
    </row>
    <row r="25" spans="1:5" x14ac:dyDescent="0.25">
      <c r="A25" s="35" t="s">
        <v>242</v>
      </c>
      <c r="B25" s="35" t="s">
        <v>243</v>
      </c>
      <c r="C25" s="36">
        <v>60</v>
      </c>
      <c r="D25" s="36">
        <v>60</v>
      </c>
      <c r="E25" s="37"/>
    </row>
    <row r="26" spans="1:5" x14ac:dyDescent="0.25">
      <c r="A26" s="35" t="s">
        <v>244</v>
      </c>
      <c r="B26" s="35" t="s">
        <v>245</v>
      </c>
      <c r="C26" s="36">
        <v>26.1</v>
      </c>
      <c r="D26" s="36">
        <v>26.1</v>
      </c>
      <c r="E26" s="37"/>
    </row>
    <row r="27" spans="1:5" x14ac:dyDescent="0.25">
      <c r="A27" s="35" t="s">
        <v>246</v>
      </c>
      <c r="B27" s="35" t="s">
        <v>247</v>
      </c>
      <c r="C27" s="36">
        <v>21</v>
      </c>
      <c r="D27" s="36">
        <v>21</v>
      </c>
      <c r="E27" s="37"/>
    </row>
    <row r="28" spans="1:5" x14ac:dyDescent="0.25">
      <c r="A28" s="35" t="s">
        <v>248</v>
      </c>
      <c r="B28" s="35" t="s">
        <v>249</v>
      </c>
      <c r="C28" s="36">
        <v>21.6</v>
      </c>
      <c r="D28" s="36">
        <v>21.6</v>
      </c>
      <c r="E28" s="37"/>
    </row>
    <row r="29" spans="1:5" x14ac:dyDescent="0.25">
      <c r="A29" s="35" t="s">
        <v>250</v>
      </c>
      <c r="B29" s="35" t="s">
        <v>251</v>
      </c>
      <c r="C29" s="36">
        <v>48</v>
      </c>
      <c r="D29" s="36">
        <v>48</v>
      </c>
      <c r="E29" s="37"/>
    </row>
    <row r="30" spans="1:5" x14ac:dyDescent="0.25">
      <c r="A30" s="35" t="s">
        <v>344</v>
      </c>
      <c r="B30" s="35" t="s">
        <v>345</v>
      </c>
      <c r="C30" s="36">
        <v>26.4</v>
      </c>
      <c r="D30" s="36">
        <v>26.4</v>
      </c>
      <c r="E30" s="37"/>
    </row>
    <row r="31" spans="1:5" x14ac:dyDescent="0.25">
      <c r="A31" s="35" t="s">
        <v>252</v>
      </c>
      <c r="B31" s="35" t="s">
        <v>253</v>
      </c>
      <c r="C31" s="36">
        <v>48</v>
      </c>
      <c r="D31" s="36">
        <v>48</v>
      </c>
      <c r="E31" s="37"/>
    </row>
    <row r="32" spans="1:5" x14ac:dyDescent="0.25">
      <c r="A32" s="35" t="s">
        <v>346</v>
      </c>
      <c r="B32" s="35" t="s">
        <v>347</v>
      </c>
      <c r="C32" s="36">
        <v>4.5</v>
      </c>
      <c r="D32" s="36">
        <v>4.5</v>
      </c>
      <c r="E32" s="37"/>
    </row>
    <row r="33" spans="1:5" x14ac:dyDescent="0.25">
      <c r="A33" s="35" t="s">
        <v>254</v>
      </c>
      <c r="B33" s="35" t="s">
        <v>255</v>
      </c>
      <c r="C33" s="36">
        <v>54</v>
      </c>
      <c r="D33" s="36">
        <v>54</v>
      </c>
      <c r="E33" s="37"/>
    </row>
    <row r="34" spans="1:5" x14ac:dyDescent="0.25">
      <c r="A34" s="35" t="s">
        <v>256</v>
      </c>
      <c r="B34" s="35" t="s">
        <v>257</v>
      </c>
      <c r="C34" s="36">
        <v>12</v>
      </c>
      <c r="D34" s="36">
        <v>12</v>
      </c>
      <c r="E34" s="37"/>
    </row>
    <row r="35" spans="1:5" x14ac:dyDescent="0.25">
      <c r="A35" s="35" t="s">
        <v>258</v>
      </c>
      <c r="B35" s="35" t="s">
        <v>259</v>
      </c>
      <c r="C35" s="36">
        <v>507</v>
      </c>
      <c r="D35" s="36">
        <v>507</v>
      </c>
      <c r="E35" s="37"/>
    </row>
    <row r="36" spans="1:5" x14ac:dyDescent="0.25">
      <c r="A36" s="35" t="s">
        <v>260</v>
      </c>
      <c r="B36" s="35" t="s">
        <v>261</v>
      </c>
      <c r="C36" s="36">
        <v>30</v>
      </c>
      <c r="D36" s="36">
        <v>30</v>
      </c>
      <c r="E36" s="37"/>
    </row>
    <row r="37" spans="1:5" x14ac:dyDescent="0.25">
      <c r="A37" s="35" t="s">
        <v>348</v>
      </c>
      <c r="B37" s="35" t="s">
        <v>349</v>
      </c>
      <c r="C37" s="36">
        <v>30</v>
      </c>
      <c r="D37" s="36">
        <v>30</v>
      </c>
      <c r="E37" s="37"/>
    </row>
    <row r="38" spans="1:5" x14ac:dyDescent="0.25">
      <c r="A38" s="35" t="s">
        <v>350</v>
      </c>
      <c r="B38" s="35" t="s">
        <v>351</v>
      </c>
      <c r="C38" s="36">
        <v>100.8</v>
      </c>
      <c r="D38" s="36">
        <v>100.8</v>
      </c>
      <c r="E38" s="37"/>
    </row>
    <row r="39" spans="1:5" x14ac:dyDescent="0.25">
      <c r="A39" s="35" t="s">
        <v>262</v>
      </c>
      <c r="B39" s="35" t="s">
        <v>263</v>
      </c>
      <c r="C39" s="36">
        <v>24.3</v>
      </c>
      <c r="D39" s="36">
        <v>24.3</v>
      </c>
      <c r="E39" s="37"/>
    </row>
    <row r="40" spans="1:5" x14ac:dyDescent="0.25">
      <c r="A40" s="35" t="s">
        <v>264</v>
      </c>
      <c r="B40" s="35" t="s">
        <v>265</v>
      </c>
      <c r="C40" s="36">
        <v>69.599999999999994</v>
      </c>
      <c r="D40" s="36">
        <v>69.599999999999994</v>
      </c>
      <c r="E40" s="37"/>
    </row>
    <row r="41" spans="1:5" x14ac:dyDescent="0.25">
      <c r="A41" s="35" t="s">
        <v>266</v>
      </c>
      <c r="B41" s="35" t="s">
        <v>267</v>
      </c>
      <c r="C41" s="36">
        <v>243</v>
      </c>
      <c r="D41" s="36">
        <v>243</v>
      </c>
      <c r="E41" s="37"/>
    </row>
    <row r="42" spans="1:5" x14ac:dyDescent="0.25">
      <c r="A42" s="35" t="s">
        <v>268</v>
      </c>
      <c r="B42" s="35" t="s">
        <v>269</v>
      </c>
      <c r="C42" s="36">
        <v>42</v>
      </c>
      <c r="D42" s="36">
        <v>42</v>
      </c>
      <c r="E42" s="37"/>
    </row>
    <row r="43" spans="1:5" x14ac:dyDescent="0.25">
      <c r="A43" s="35" t="s">
        <v>270</v>
      </c>
      <c r="B43" s="35" t="s">
        <v>271</v>
      </c>
      <c r="C43" s="36">
        <v>60.9</v>
      </c>
      <c r="D43" s="36"/>
      <c r="E43" s="37">
        <v>-60.9</v>
      </c>
    </row>
    <row r="44" spans="1:5" x14ac:dyDescent="0.25">
      <c r="A44" s="35" t="s">
        <v>272</v>
      </c>
      <c r="B44" s="35" t="s">
        <v>273</v>
      </c>
      <c r="C44" s="36">
        <v>19.2</v>
      </c>
      <c r="D44" s="36">
        <v>19.2</v>
      </c>
      <c r="E44" s="37"/>
    </row>
    <row r="45" spans="1:5" x14ac:dyDescent="0.25">
      <c r="A45" s="35" t="s">
        <v>352</v>
      </c>
      <c r="B45" s="35" t="s">
        <v>353</v>
      </c>
      <c r="C45" s="36">
        <v>108</v>
      </c>
      <c r="D45" s="36">
        <v>108</v>
      </c>
      <c r="E45" s="37"/>
    </row>
    <row r="46" spans="1:5" x14ac:dyDescent="0.25">
      <c r="A46" s="35" t="s">
        <v>276</v>
      </c>
      <c r="B46" s="35" t="s">
        <v>277</v>
      </c>
      <c r="C46" s="36">
        <v>9</v>
      </c>
      <c r="D46" s="36"/>
      <c r="E46" s="37">
        <v>-9</v>
      </c>
    </row>
    <row r="47" spans="1:5" x14ac:dyDescent="0.25">
      <c r="A47" s="35" t="s">
        <v>278</v>
      </c>
      <c r="B47" s="35" t="s">
        <v>279</v>
      </c>
      <c r="C47" s="36">
        <v>54</v>
      </c>
      <c r="D47" s="36"/>
      <c r="E47" s="37">
        <v>-54</v>
      </c>
    </row>
    <row r="48" spans="1:5" x14ac:dyDescent="0.25">
      <c r="A48" s="35" t="s">
        <v>280</v>
      </c>
      <c r="B48" s="35" t="s">
        <v>281</v>
      </c>
      <c r="C48" s="36">
        <v>9</v>
      </c>
      <c r="D48" s="36">
        <v>9</v>
      </c>
      <c r="E48" s="37"/>
    </row>
    <row r="49" spans="1:5" x14ac:dyDescent="0.25">
      <c r="A49" s="35" t="s">
        <v>282</v>
      </c>
      <c r="B49" s="35" t="s">
        <v>283</v>
      </c>
      <c r="C49" s="36">
        <v>81</v>
      </c>
      <c r="D49" s="36">
        <v>81</v>
      </c>
      <c r="E49" s="37"/>
    </row>
    <row r="50" spans="1:5" x14ac:dyDescent="0.25">
      <c r="A50" s="35" t="s">
        <v>284</v>
      </c>
      <c r="B50" s="35" t="s">
        <v>285</v>
      </c>
      <c r="C50" s="36">
        <v>21.6</v>
      </c>
      <c r="D50" s="36"/>
      <c r="E50" s="37">
        <v>-21.6</v>
      </c>
    </row>
    <row r="51" spans="1:5" x14ac:dyDescent="0.25">
      <c r="A51" s="35" t="s">
        <v>286</v>
      </c>
      <c r="B51" s="35" t="s">
        <v>287</v>
      </c>
      <c r="C51" s="36">
        <v>16.2</v>
      </c>
      <c r="D51" s="36">
        <v>16.2</v>
      </c>
      <c r="E51" s="37"/>
    </row>
    <row r="52" spans="1:5" x14ac:dyDescent="0.25">
      <c r="A52" s="35" t="s">
        <v>354</v>
      </c>
      <c r="B52" s="35" t="s">
        <v>355</v>
      </c>
      <c r="C52" s="36">
        <v>6.4</v>
      </c>
      <c r="D52" s="36">
        <v>6.4</v>
      </c>
      <c r="E52" s="37"/>
    </row>
    <row r="53" spans="1:5" x14ac:dyDescent="0.25">
      <c r="A53" s="35" t="s">
        <v>288</v>
      </c>
      <c r="B53" s="35" t="s">
        <v>289</v>
      </c>
      <c r="C53" s="36">
        <v>42.24</v>
      </c>
      <c r="D53" s="36"/>
      <c r="E53" s="37">
        <v>-42.24</v>
      </c>
    </row>
    <row r="54" spans="1:5" x14ac:dyDescent="0.25">
      <c r="A54" s="35" t="s">
        <v>290</v>
      </c>
      <c r="B54" s="35" t="s">
        <v>291</v>
      </c>
      <c r="C54" s="36">
        <v>5.6</v>
      </c>
      <c r="D54" s="36"/>
      <c r="E54" s="37">
        <v>-5.6</v>
      </c>
    </row>
    <row r="55" spans="1:5" x14ac:dyDescent="0.25">
      <c r="A55" s="35" t="s">
        <v>292</v>
      </c>
      <c r="B55" s="35" t="s">
        <v>293</v>
      </c>
      <c r="C55" s="36">
        <v>4.2</v>
      </c>
      <c r="D55" s="36">
        <v>4.2</v>
      </c>
      <c r="E55" s="37"/>
    </row>
    <row r="56" spans="1:5" x14ac:dyDescent="0.25">
      <c r="A56" s="35" t="s">
        <v>294</v>
      </c>
      <c r="B56" s="35" t="s">
        <v>295</v>
      </c>
      <c r="C56" s="36">
        <v>4.2</v>
      </c>
      <c r="D56" s="36"/>
      <c r="E56" s="37">
        <v>-4.2</v>
      </c>
    </row>
    <row r="57" spans="1:5" x14ac:dyDescent="0.25">
      <c r="A57" s="35" t="s">
        <v>296</v>
      </c>
      <c r="B57" s="35" t="s">
        <v>297</v>
      </c>
      <c r="C57" s="36">
        <v>8</v>
      </c>
      <c r="D57" s="36">
        <v>8</v>
      </c>
      <c r="E57" s="37"/>
    </row>
    <row r="58" spans="1:5" x14ac:dyDescent="0.25">
      <c r="A58" s="35" t="s">
        <v>298</v>
      </c>
      <c r="B58" s="35" t="s">
        <v>299</v>
      </c>
      <c r="C58" s="36">
        <v>23.2</v>
      </c>
      <c r="D58" s="36">
        <v>23.2</v>
      </c>
      <c r="E58" s="37"/>
    </row>
    <row r="59" spans="1:5" x14ac:dyDescent="0.25">
      <c r="A59" s="35" t="s">
        <v>300</v>
      </c>
      <c r="B59" s="35" t="s">
        <v>301</v>
      </c>
      <c r="C59" s="36">
        <v>765</v>
      </c>
      <c r="D59" s="36">
        <v>765</v>
      </c>
      <c r="E59" s="37"/>
    </row>
    <row r="60" spans="1:5" x14ac:dyDescent="0.25">
      <c r="A60" s="35" t="s">
        <v>302</v>
      </c>
      <c r="B60" s="35" t="s">
        <v>303</v>
      </c>
      <c r="C60" s="36">
        <v>1125</v>
      </c>
      <c r="D60" s="36">
        <v>1125</v>
      </c>
      <c r="E60" s="37"/>
    </row>
    <row r="61" spans="1:5" x14ac:dyDescent="0.25">
      <c r="A61" s="35" t="s">
        <v>304</v>
      </c>
      <c r="B61" s="35" t="s">
        <v>305</v>
      </c>
      <c r="C61" s="36">
        <v>135</v>
      </c>
      <c r="D61" s="36">
        <v>135</v>
      </c>
      <c r="E61" s="37"/>
    </row>
    <row r="62" spans="1:5" x14ac:dyDescent="0.25">
      <c r="A62" s="35" t="s">
        <v>356</v>
      </c>
      <c r="B62" s="35" t="s">
        <v>357</v>
      </c>
      <c r="C62" s="36">
        <v>33.6</v>
      </c>
      <c r="D62" s="36">
        <v>33.6</v>
      </c>
      <c r="E62" s="37"/>
    </row>
    <row r="63" spans="1:5" x14ac:dyDescent="0.25">
      <c r="A63" s="35" t="s">
        <v>358</v>
      </c>
      <c r="B63" s="35" t="s">
        <v>359</v>
      </c>
      <c r="C63" s="36">
        <v>14.4</v>
      </c>
      <c r="D63" s="36">
        <v>14.4</v>
      </c>
      <c r="E63" s="37"/>
    </row>
    <row r="64" spans="1:5" x14ac:dyDescent="0.25">
      <c r="A64" s="35" t="s">
        <v>360</v>
      </c>
      <c r="B64" s="35" t="s">
        <v>361</v>
      </c>
      <c r="C64" s="36">
        <v>15</v>
      </c>
      <c r="D64" s="36">
        <v>15</v>
      </c>
      <c r="E64" s="37"/>
    </row>
    <row r="65" spans="1:5" x14ac:dyDescent="0.25">
      <c r="A65" s="35" t="s">
        <v>362</v>
      </c>
      <c r="B65" s="35" t="s">
        <v>363</v>
      </c>
      <c r="C65" s="36">
        <v>6.3</v>
      </c>
      <c r="D65" s="36">
        <v>6.3</v>
      </c>
      <c r="E65" s="37"/>
    </row>
    <row r="66" spans="1:5" x14ac:dyDescent="0.25">
      <c r="A66" s="35" t="s">
        <v>306</v>
      </c>
      <c r="B66" s="35" t="s">
        <v>307</v>
      </c>
      <c r="C66" s="36">
        <v>18</v>
      </c>
      <c r="D66" s="36"/>
      <c r="E66" s="37">
        <v>-18</v>
      </c>
    </row>
    <row r="67" spans="1:5" x14ac:dyDescent="0.25">
      <c r="A67" s="35" t="s">
        <v>308</v>
      </c>
      <c r="B67" s="35" t="s">
        <v>309</v>
      </c>
      <c r="C67" s="36">
        <v>2.52</v>
      </c>
      <c r="D67" s="36"/>
      <c r="E67" s="37">
        <v>-2.52</v>
      </c>
    </row>
    <row r="68" spans="1:5" x14ac:dyDescent="0.25">
      <c r="A68" s="35" t="s">
        <v>310</v>
      </c>
      <c r="B68" s="35" t="s">
        <v>311</v>
      </c>
      <c r="C68" s="36">
        <v>3.78</v>
      </c>
      <c r="D68" s="36"/>
      <c r="E68" s="37">
        <v>-3.78</v>
      </c>
    </row>
    <row r="69" spans="1:5" x14ac:dyDescent="0.25">
      <c r="A69" s="35" t="s">
        <v>312</v>
      </c>
      <c r="B69" s="35" t="s">
        <v>313</v>
      </c>
      <c r="C69" s="36">
        <v>3.6</v>
      </c>
      <c r="D69" s="36">
        <v>3.6</v>
      </c>
      <c r="E69" s="37"/>
    </row>
    <row r="70" spans="1:5" x14ac:dyDescent="0.25">
      <c r="A70" s="35" t="s">
        <v>364</v>
      </c>
      <c r="B70" s="35" t="s">
        <v>365</v>
      </c>
      <c r="C70" s="36">
        <v>14.4</v>
      </c>
      <c r="D70" s="36">
        <v>14.4</v>
      </c>
      <c r="E70" s="37"/>
    </row>
    <row r="71" spans="1:5" x14ac:dyDescent="0.25">
      <c r="A71" s="35" t="s">
        <v>314</v>
      </c>
      <c r="B71" s="35" t="s">
        <v>315</v>
      </c>
      <c r="C71" s="36">
        <v>3.2</v>
      </c>
      <c r="D71" s="36">
        <v>3.2</v>
      </c>
      <c r="E71" s="37"/>
    </row>
    <row r="72" spans="1:5" x14ac:dyDescent="0.25">
      <c r="A72" s="35" t="s">
        <v>316</v>
      </c>
      <c r="B72" s="35" t="s">
        <v>317</v>
      </c>
      <c r="C72" s="36">
        <v>23.52</v>
      </c>
      <c r="D72" s="36">
        <v>23.52</v>
      </c>
      <c r="E72" s="37"/>
    </row>
    <row r="73" spans="1:5" x14ac:dyDescent="0.25">
      <c r="A73" s="35" t="s">
        <v>318</v>
      </c>
      <c r="B73" s="35" t="s">
        <v>319</v>
      </c>
      <c r="C73" s="36">
        <v>150.5</v>
      </c>
      <c r="D73" s="36"/>
      <c r="E73" s="37">
        <v>-150.5</v>
      </c>
    </row>
    <row r="74" spans="1:5" x14ac:dyDescent="0.25">
      <c r="A74" s="35" t="s">
        <v>320</v>
      </c>
      <c r="B74" s="35" t="s">
        <v>321</v>
      </c>
      <c r="C74" s="36">
        <v>28.56</v>
      </c>
      <c r="D74" s="36">
        <v>28.56</v>
      </c>
      <c r="E74" s="37"/>
    </row>
    <row r="75" spans="1:5" x14ac:dyDescent="0.25">
      <c r="A75" s="35" t="s">
        <v>322</v>
      </c>
      <c r="B75" s="35" t="s">
        <v>323</v>
      </c>
      <c r="C75" s="36">
        <v>101.5</v>
      </c>
      <c r="D75" s="36">
        <v>101.5</v>
      </c>
      <c r="E75" s="37"/>
    </row>
    <row r="76" spans="1:5" x14ac:dyDescent="0.25">
      <c r="A76" s="35" t="s">
        <v>324</v>
      </c>
      <c r="B76" s="35" t="s">
        <v>325</v>
      </c>
      <c r="C76" s="36">
        <v>42</v>
      </c>
      <c r="D76" s="36">
        <v>42</v>
      </c>
      <c r="E76" s="37"/>
    </row>
    <row r="77" spans="1:5" x14ac:dyDescent="0.25">
      <c r="A77" s="35" t="s">
        <v>326</v>
      </c>
      <c r="B77" s="35" t="s">
        <v>327</v>
      </c>
      <c r="C77" s="36">
        <v>101.5</v>
      </c>
      <c r="D77" s="36">
        <v>101.5</v>
      </c>
      <c r="E77" s="37"/>
    </row>
    <row r="78" spans="1:5" x14ac:dyDescent="0.25">
      <c r="A78" s="35" t="s">
        <v>328</v>
      </c>
      <c r="B78" s="35" t="s">
        <v>329</v>
      </c>
      <c r="C78" s="36">
        <v>46.8</v>
      </c>
      <c r="D78" s="36">
        <v>46.8</v>
      </c>
      <c r="E78" s="37"/>
    </row>
    <row r="79" spans="1:5" x14ac:dyDescent="0.25">
      <c r="A79" s="35" t="s">
        <v>366</v>
      </c>
      <c r="B79" s="35" t="s">
        <v>367</v>
      </c>
      <c r="C79" s="36">
        <v>78</v>
      </c>
      <c r="D79" s="36">
        <v>78</v>
      </c>
      <c r="E79" s="37"/>
    </row>
    <row r="80" spans="1:5" x14ac:dyDescent="0.25">
      <c r="A80" s="35" t="s">
        <v>330</v>
      </c>
      <c r="B80" s="35" t="s">
        <v>331</v>
      </c>
      <c r="C80" s="36">
        <v>46.8</v>
      </c>
      <c r="D80" s="36">
        <v>46.8</v>
      </c>
      <c r="E80" s="37"/>
    </row>
    <row r="81" spans="1:5" x14ac:dyDescent="0.25">
      <c r="A81" s="35" t="s">
        <v>332</v>
      </c>
      <c r="B81" s="35" t="s">
        <v>333</v>
      </c>
      <c r="C81" s="36">
        <v>3</v>
      </c>
      <c r="D81" s="36">
        <v>3</v>
      </c>
      <c r="E81" s="37"/>
    </row>
    <row r="82" spans="1:5" x14ac:dyDescent="0.25">
      <c r="A82" s="35" t="s">
        <v>368</v>
      </c>
      <c r="B82" s="35" t="s">
        <v>369</v>
      </c>
      <c r="C82" s="36">
        <v>15</v>
      </c>
      <c r="D82" s="36">
        <v>15</v>
      </c>
      <c r="E82" s="37"/>
    </row>
    <row r="83" spans="1:5" x14ac:dyDescent="0.25">
      <c r="A83" s="35" t="s">
        <v>334</v>
      </c>
      <c r="B83" s="35" t="s">
        <v>335</v>
      </c>
      <c r="C83" s="36">
        <v>405</v>
      </c>
      <c r="D83" s="36">
        <v>405</v>
      </c>
      <c r="E83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дефицит 12,09 (TSO001119753)</vt:lpstr>
      <vt:lpstr>дефицит 14,09 (TSO001121064)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2026-09-10T13:27:38Z</dcterms:created>
  <dcterms:modified xsi:type="dcterms:W3CDTF">2026-09-15T07:45:00Z</dcterms:modified>
</cp:coreProperties>
</file>