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0,09,26 ПОКОМ КИ\дозаказы 12-14,09,26\"/>
    </mc:Choice>
  </mc:AlternateContent>
  <xr:revisionPtr revIDLastSave="0" documentId="13_ncr:1_{DF2C6B18-3374-40E1-94F2-EE6842E8EB5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N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P374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N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Z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Z248" i="2" s="1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Y199" i="2"/>
  <c r="X199" i="2"/>
  <c r="X198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Z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N136" i="2" s="1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P61" i="2"/>
  <c r="BO61" i="2"/>
  <c r="BM61" i="2"/>
  <c r="Y61" i="2"/>
  <c r="BN61" i="2" s="1"/>
  <c r="P61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311" i="2" l="1"/>
  <c r="Z312" i="2" s="1"/>
  <c r="Z395" i="2"/>
  <c r="Z231" i="2"/>
  <c r="BN105" i="2"/>
  <c r="BP311" i="2"/>
  <c r="Z374" i="2"/>
  <c r="BN403" i="2"/>
  <c r="BN410" i="2"/>
  <c r="Z422" i="2"/>
  <c r="BP197" i="2"/>
  <c r="BN207" i="2"/>
  <c r="BP60" i="2"/>
  <c r="BN56" i="2"/>
  <c r="BP207" i="2"/>
  <c r="BP240" i="2"/>
  <c r="BP281" i="2"/>
  <c r="Y359" i="2"/>
  <c r="BP115" i="2"/>
  <c r="BN408" i="2"/>
  <c r="BN237" i="2"/>
  <c r="BP50" i="2"/>
  <c r="Z65" i="2"/>
  <c r="BN72" i="2"/>
  <c r="Z104" i="2"/>
  <c r="Z228" i="2"/>
  <c r="BN264" i="2"/>
  <c r="Z271" i="2"/>
  <c r="Y486" i="2"/>
  <c r="BN504" i="2"/>
  <c r="BN104" i="2"/>
  <c r="BN228" i="2"/>
  <c r="BP264" i="2"/>
  <c r="BN271" i="2"/>
  <c r="Z390" i="2"/>
  <c r="BN319" i="2"/>
  <c r="Y517" i="2"/>
  <c r="X559" i="2"/>
  <c r="Z288" i="2"/>
  <c r="Z345" i="2"/>
  <c r="BP390" i="2"/>
  <c r="Z55" i="2"/>
  <c r="Z39" i="2"/>
  <c r="BN126" i="2"/>
  <c r="BN265" i="2"/>
  <c r="BN510" i="2"/>
  <c r="BN248" i="2"/>
  <c r="Y261" i="2"/>
  <c r="Z469" i="2"/>
  <c r="BN39" i="2"/>
  <c r="Y127" i="2"/>
  <c r="BP248" i="2"/>
  <c r="Z434" i="2"/>
  <c r="AC568" i="2"/>
  <c r="Y134" i="2"/>
  <c r="BN285" i="2"/>
  <c r="Y298" i="2"/>
  <c r="Y313" i="2"/>
  <c r="Y406" i="2"/>
  <c r="Z50" i="2"/>
  <c r="BN367" i="2"/>
  <c r="BN515" i="2"/>
  <c r="Z115" i="2"/>
  <c r="BP274" i="2"/>
  <c r="Z351" i="2"/>
  <c r="Z38" i="2"/>
  <c r="Z94" i="2"/>
  <c r="BN329" i="2"/>
  <c r="Y369" i="2"/>
  <c r="BN385" i="2"/>
  <c r="BN467" i="2"/>
  <c r="BN29" i="2"/>
  <c r="BN87" i="2"/>
  <c r="G568" i="2"/>
  <c r="Z237" i="2"/>
  <c r="Z337" i="2"/>
  <c r="Y51" i="2"/>
  <c r="BN94" i="2"/>
  <c r="Z181" i="2"/>
  <c r="Z222" i="2"/>
  <c r="BN286" i="2"/>
  <c r="Z368" i="2"/>
  <c r="Z520" i="2"/>
  <c r="BP38" i="2"/>
  <c r="Y352" i="2"/>
  <c r="BP476" i="2"/>
  <c r="BN231" i="2"/>
  <c r="BN306" i="2"/>
  <c r="BN330" i="2"/>
  <c r="BN375" i="2"/>
  <c r="Z459" i="2"/>
  <c r="BN514" i="2"/>
  <c r="BN131" i="2"/>
  <c r="Y154" i="2"/>
  <c r="BN315" i="2"/>
  <c r="Y339" i="2"/>
  <c r="Z477" i="2"/>
  <c r="Y139" i="2"/>
  <c r="BN430" i="2"/>
  <c r="BN95" i="2"/>
  <c r="BN182" i="2"/>
  <c r="BN302" i="2"/>
  <c r="BP459" i="2"/>
  <c r="BN477" i="2"/>
  <c r="Z27" i="2"/>
  <c r="BN66" i="2"/>
  <c r="BP223" i="2"/>
  <c r="Z284" i="2"/>
  <c r="Z484" i="2"/>
  <c r="BN494" i="2"/>
  <c r="BN31" i="2"/>
  <c r="BN89" i="2"/>
  <c r="BN149" i="2"/>
  <c r="BN156" i="2"/>
  <c r="BN307" i="2"/>
  <c r="Q568" i="2"/>
  <c r="BN376" i="2"/>
  <c r="BN469" i="2"/>
  <c r="Y541" i="2"/>
  <c r="F568" i="2"/>
  <c r="BP178" i="2"/>
  <c r="BP269" i="2"/>
  <c r="BN284" i="2"/>
  <c r="Z335" i="2"/>
  <c r="Z431" i="2"/>
  <c r="Z239" i="2"/>
  <c r="BN243" i="2"/>
  <c r="Z384" i="2"/>
  <c r="BP484" i="2"/>
  <c r="Y497" i="2"/>
  <c r="BN522" i="2"/>
  <c r="BN27" i="2"/>
  <c r="Z436" i="2"/>
  <c r="Y470" i="2"/>
  <c r="BP49" i="2"/>
  <c r="Z61" i="2"/>
  <c r="BP111" i="2"/>
  <c r="Y158" i="2"/>
  <c r="BN239" i="2"/>
  <c r="Y266" i="2"/>
  <c r="Z281" i="2"/>
  <c r="BP335" i="2"/>
  <c r="Z343" i="2"/>
  <c r="BN384" i="2"/>
  <c r="BN478" i="2"/>
  <c r="Z516" i="2"/>
  <c r="Z544" i="2"/>
  <c r="Z545" i="2" s="1"/>
  <c r="X558" i="2"/>
  <c r="C568" i="2"/>
  <c r="BN142" i="2"/>
  <c r="BN296" i="2"/>
  <c r="BN350" i="2"/>
  <c r="Z485" i="2"/>
  <c r="Z398" i="2"/>
  <c r="BP436" i="2"/>
  <c r="Y124" i="2"/>
  <c r="Z22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24" i="2" s="1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Z481" i="2" s="1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Z437" i="2" s="1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42" i="2" l="1"/>
  <c r="X561" i="2"/>
  <c r="Z69" i="2"/>
  <c r="Z62" i="2"/>
  <c r="Z497" i="2"/>
  <c r="Z405" i="2"/>
  <c r="Z51" i="2"/>
  <c r="Z322" i="2"/>
  <c r="Z338" i="2"/>
  <c r="Z75" i="2"/>
  <c r="Z347" i="2"/>
  <c r="Z454" i="2"/>
  <c r="Z210" i="2"/>
  <c r="Z486" i="2"/>
  <c r="Z91" i="2"/>
  <c r="Y562" i="2"/>
  <c r="Z190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<sst xmlns="http://schemas.openxmlformats.org/spreadsheetml/2006/main" count="4315" uniqueCount="916">
  <si>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</si>
  <si>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</si>
  <si>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</si>
  <si>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</si>
  <si>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</si>
  <si>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</si>
  <si>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</si>
  <si>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</si>
  <si>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</si>
  <si>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</si>
  <si>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</si>
  <si>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</si>
  <si>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</si>
  <si>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</si>
  <si>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</si>
  <si>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</si>
  <si>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</si>
  <si>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</si>
  <si>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</si>
  <si>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</si>
  <si>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</si>
  <si>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</si>
  <si>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</si>
  <si>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</si>
  <si>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</si>
  <si>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</si>
  <si>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</si>
  <si>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</si>
  <si>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</si>
  <si>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</si>
  <si>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</si>
  <si>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</si>
  <si>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</si>
  <si>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</si>
  <si>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</si>
  <si>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</si>
  <si>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</si>
  <si>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</si>
  <si>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</si>
  <si>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</si>
  <si>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</si>
  <si>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</si>
  <si>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</si>
  <si>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</si>
  <si>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</si>
  <si>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</si>
  <si>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</si>
  <si>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</si>
  <si>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</si>
  <si>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</si>
  <si>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</si>
  <si>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</si>
  <si>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</si>
  <si>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</si>
  <si>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</si>
  <si>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</si>
  <si>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</si>
  <si>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</si>
  <si>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</si>
  <si>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</si>
  <si>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</si>
  <si>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</si>
  <si>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</si>
  <si>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</si>
  <si>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</si>
  <si>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</si>
  <si>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</si>
  <si>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</si>
  <si>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</si>
  <si>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</si>
  <si>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</si>
  <si>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</si>
  <si>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</si>
  <si>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</si>
  <si>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</si>
  <si>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</si>
  <si>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</si>
  <si>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</si>
  <si>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</si>
  <si>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</si>
  <si>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</si>
  <si>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</si>
  <si>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</si>
  <si>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</si>
  <si>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</si>
  <si>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</si>
  <si>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</si>
  <si>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</si>
  <si>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</si>
  <si>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</si>
  <si>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</si>
  <si>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</si>
  <si>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</si>
  <si>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</si>
  <si>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</si>
  <si>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</si>
  <si>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</si>
  <si>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</si>
  <si>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</si>
  <si>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</si>
  <si>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</si>
  <si>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</si>
  <si>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</si>
  <si>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</si>
  <si>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</si>
  <si>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</si>
  <si>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</si>
  <si>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</si>
  <si>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</si>
  <si>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</si>
  <si>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</si>
  <si>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</si>
  <si>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</si>
  <si>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</si>
  <si>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</si>
  <si>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</si>
  <si>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</si>
  <si>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</si>
  <si>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</si>
  <si>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</si>
  <si>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</si>
  <si>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</si>
  <si>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</si>
  <si>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</si>
  <si>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</si>
  <si>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</si>
  <si>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</si>
  <si>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</si>
  <si>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</si>
  <si>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</si>
  <si>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</si>
  <si>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</si>
  <si>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</si>
  <si>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</si>
  <si>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</si>
  <si>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</si>
  <si>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</si>
  <si>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</si>
  <si>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</si>
  <si>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</si>
  <si>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</si>
  <si>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</si>
  <si>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</si>
  <si>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</si>
  <si>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</si>
  <si>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</si>
  <si>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</si>
  <si>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</si>
  <si>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</si>
  <si>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</si>
  <si>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</si>
  <si>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</si>
  <si>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</si>
  <si>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</si>
  <si>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</si>
  <si>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</si>
  <si>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</si>
  <si>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</si>
  <si>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</si>
  <si>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</si>
  <si>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</si>
  <si>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</si>
  <si>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</si>
  <si>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</si>
  <si>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</si>
  <si>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</si>
  <si>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</si>
  <si>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</si>
  <si>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</si>
  <si>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</si>
  <si>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</si>
  <si>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</si>
  <si>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</si>
  <si>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</si>
  <si>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</si>
  <si>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</si>
  <si>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</si>
  <si>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</si>
  <si>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</si>
  <si>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</si>
  <si>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</si>
  <si>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</si>
  <si>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</si>
  <si>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</si>
  <si>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</si>
  <si>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</si>
  <si>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</si>
  <si>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</si>
  <si>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</si>
  <si>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</si>
  <si>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</si>
  <si>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</si>
  <si>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</si>
  <si>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</si>
  <si>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</si>
  <si>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</si>
  <si>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</si>
  <si>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</si>
  <si>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</si>
  <si>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</si>
  <si>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</si>
  <si>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</si>
  <si>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</si>
  <si>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</si>
  <si>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</si>
  <si>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</si>
  <si>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</si>
  <si>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</si>
  <si>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</si>
  <si>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</si>
  <si>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</si>
  <si>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</si>
  <si>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</si>
  <si>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</si>
  <si>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</si>
  <si>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</si>
  <si>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</si>
  <si>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</si>
  <si>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</si>
  <si>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</si>
  <si>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</si>
  <si>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</si>
  <si>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</si>
  <si>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</si>
  <si>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</si>
  <si>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</si>
  <si>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</si>
  <si>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</si>
  <si>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</si>
  <si>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</si>
  <si>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</si>
  <si>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</si>
  <si>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</si>
  <si>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</si>
  <si>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</si>
  <si>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</si>
  <si>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</si>
  <si>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</si>
  <si>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</si>
  <si>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</si>
  <si>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</si>
  <si>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</si>
  <si>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</si>
  <si>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</si>
  <si>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</si>
  <si>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</si>
  <si>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</si>
  <si>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</si>
  <si>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</si>
  <si>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</si>
  <si>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</si>
  <si>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</si>
  <si>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</si>
  <si>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</si>
  <si>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</si>
  <si>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</si>
  <si>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</si>
  <si>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</si>
  <si>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</si>
  <si>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</si>
  <si>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</si>
  <si>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</si>
  <si>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</si>
  <si>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</si>
  <si>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</si>
  <si>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</si>
  <si>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</si>
  <si>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</si>
  <si>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</si>
  <si>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</si>
  <si>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</si>
  <si>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</si>
  <si>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</si>
  <si>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</si>
  <si>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</si>
  <si>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</si>
  <si>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</si>
  <si>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</si>
  <si>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</si>
  <si>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</si>
  <si>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</si>
  <si>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</si>
  <si>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</si>
  <si>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</si>
  <si>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</si>
  <si>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</si>
  <si>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</si>
  <si>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</si>
  <si>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</si>
  <si>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</si>
  <si>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</si>
  <si>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</si>
  <si>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</si>
  <si>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</si>
  <si>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</si>
  <si>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</si>
  <si>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</si>
  <si>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</si>
  <si>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</si>
  <si>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</si>
  <si>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</si>
  <si>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</si>
  <si>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</si>
  <si>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</si>
  <si>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</si>
  <si>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</si>
  <si>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</si>
  <si>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</si>
  <si>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</si>
  <si>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</si>
  <si>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</si>
  <si>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</si>
  <si>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</si>
  <si>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</si>
  <si>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</si>
  <si>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</si>
  <si>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</si>
  <si>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</si>
  <si>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</si>
  <si>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</si>
  <si>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</si>
  <si>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</si>
  <si>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</si>
  <si>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</si>
  <si>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</si>
  <si>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</si>
  <si>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</si>
  <si>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</si>
  <si>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</si>
  <si>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</si>
  <si>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</si>
  <si>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</si>
  <si>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</si>
  <si>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</si>
  <si>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</si>
  <si>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</si>
  <si>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</si>
  <si>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</si>
  <si>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</si>
  <si>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</si>
  <si>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</si>
  <si>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</si>
  <si>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</si>
  <si>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</si>
  <si>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</si>
  <si>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</si>
  <si>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</si>
  <si>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</si>
  <si>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</si>
  <si>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</si>
  <si>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</si>
  <si>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</si>
  <si>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</si>
  <si>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</si>
  <si>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</si>
  <si>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</si>
  <si>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</si>
  <si>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</si>
  <si>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</si>
  <si>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</si>
  <si>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</si>
  <si>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</si>
  <si>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</si>
  <si>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</si>
  <si>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</si>
  <si>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</si>
  <si>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</si>
  <si>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</si>
  <si>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</si>
  <si>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</si>
  <si>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</si>
  <si>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</si>
  <si>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</si>
  <si>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</si>
  <si>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</si>
  <si>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</si>
  <si>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</si>
  <si>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</si>
  <si>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</si>
  <si>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</si>
  <si>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</si>
  <si>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</si>
  <si>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</si>
  <si>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</si>
  <si>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</si>
  <si>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</si>
  <si>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</si>
  <si>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</si>
  <si>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</si>
  <si>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</si>
  <si>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</si>
  <si>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</si>
  <si>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</si>
  <si>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</si>
  <si>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</si>
  <si>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</si>
  <si>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</si>
  <si>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</si>
  <si>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</si>
  <si>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</si>
  <si>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</si>
  <si>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</si>
  <si>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</si>
  <si>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</si>
  <si>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</si>
  <si>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</si>
  <si>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</si>
  <si>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</si>
  <si>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</si>
  <si>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</si>
  <si>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</si>
  <si>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</si>
  <si>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</si>
  <si>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</si>
  <si>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</si>
  <si>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</si>
  <si>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</si>
  <si>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</si>
  <si>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</si>
  <si>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</si>
  <si>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</si>
  <si>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</si>
  <si>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</si>
  <si>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</si>
  <si>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</si>
  <si>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</si>
  <si>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</si>
  <si>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</si>
  <si>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</si>
  <si>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</si>
  <si>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</si>
  <si>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</si>
  <si>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</si>
  <si>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</si>
  <si>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</si>
  <si>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</si>
  <si>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</si>
  <si>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</si>
  <si>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</si>
  <si>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</si>
  <si>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</si>
  <si>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</si>
  <si>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</si>
  <si>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</si>
  <si>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</si>
  <si>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</si>
  <si>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</si>
  <si>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</si>
  <si>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</si>
  <si>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</si>
  <si>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</si>
  <si>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</si>
  <si>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</si>
  <si>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</si>
  <si>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</si>
  <si>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</si>
  <si>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</si>
  <si>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</si>
  <si>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</si>
  <si>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</si>
  <si>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</si>
  <si>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</si>
  <si>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</si>
  <si>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</si>
  <si>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</si>
  <si>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</si>
  <si>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</si>
  <si>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</si>
  <si>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</si>
  <si>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</si>
  <si>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</si>
  <si>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</si>
  <si>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</si>
  <si>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</si>
  <si>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</si>
  <si>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</si>
  <si>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</si>
  <si>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</si>
  <si>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</si>
  <si>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</si>
  <si>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</si>
  <si>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</si>
  <si>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</si>
  <si>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</si>
  <si>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</si>
  <si>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</si>
  <si>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</si>
  <si>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</si>
  <si>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</si>
  <si>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</si>
  <si>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</si>
  <si>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</si>
  <si>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</si>
  <si>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</si>
  <si>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</si>
  <si>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</si>
  <si>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</si>
  <si>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</si>
  <si>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</si>
  <si>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</si>
  <si>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</si>
  <si>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</si>
  <si>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</si>
  <si>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</si>
  <si>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</si>
  <si>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</si>
  <si>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</si>
  <si>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</si>
  <si>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</si>
  <si>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</si>
  <si>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</si>
  <si>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</si>
  <si>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</si>
  <si>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</si>
  <si>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</si>
  <si>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</si>
  <si>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</si>
  <si>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</si>
  <si>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</si>
  <si>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</si>
  <si>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</si>
  <si>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</si>
  <si>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</si>
  <si>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</si>
  <si>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</si>
  <si>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</si>
  <si>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</si>
  <si>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</si>
  <si>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</si>
  <si>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</si>
  <si>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</si>
  <si>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</si>
  <si>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</si>
  <si>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</si>
  <si>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</si>
  <si>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</si>
  <si>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</si>
  <si>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</si>
  <si>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</si>
  <si>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</si>
  <si>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</si>
  <si>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</si>
  <si>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</si>
  <si>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</si>
  <si>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</si>
  <si>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</si>
  <si>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</si>
  <si>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</si>
  <si>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</si>
  <si>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</si>
  <si>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</si>
  <si>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</si>
  <si>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</si>
  <si>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</si>
  <si>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</si>
  <si>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</si>
  <si>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</si>
  <si>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</si>
  <si>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</si>
  <si>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</si>
  <si>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</si>
  <si>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</si>
  <si>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</si>
  <si>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</si>
  <si>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</si>
  <si>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</si>
  <si>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</si>
  <si>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</si>
  <si>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</si>
  <si>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</si>
  <si>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</si>
  <si>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</si>
  <si>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</si>
  <si>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</si>
  <si>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</si>
  <si>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</si>
  <si>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</si>
  <si>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</si>
  <si>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</si>
  <si>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</si>
  <si>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</si>
  <si>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</si>
  <si>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</si>
  <si>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</si>
  <si>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</si>
  <si>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</si>
  <si>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</si>
  <si>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</si>
  <si>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</si>
  <si>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</si>
  <si>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</si>
  <si>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</si>
  <si>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</si>
  <si>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</si>
  <si>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</si>
  <si>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</si>
  <si>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</si>
  <si>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</si>
  <si>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</si>
  <si>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</si>
  <si>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</si>
  <si>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</si>
  <si>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</si>
  <si>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</si>
  <si>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</si>
  <si>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</si>
  <si>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</si>
  <si>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</si>
  <si>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</si>
  <si>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</si>
  <si>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</si>
  <si>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</si>
  <si>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</si>
  <si>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</si>
  <si>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</si>
  <si>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</si>
  <si>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</si>
  <si>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</si>
  <si>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</si>
  <si>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</si>
  <si>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</si>
  <si>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</si>
  <si>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</si>
  <si>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</si>
  <si>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</si>
  <si>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</si>
  <si>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</si>
  <si>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</si>
  <si>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</si>
  <si>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</si>
  <si>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</si>
  <si>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</si>
  <si>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</si>
  <si>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</si>
  <si>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</si>
  <si>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</si>
  <si>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</si>
  <si>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</si>
  <si>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</si>
  <si>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</si>
  <si>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</si>
  <si>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</si>
  <si>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</si>
  <si>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</si>
  <si>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</si>
  <si>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</si>
  <si>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</si>
  <si>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</si>
  <si>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</si>
  <si>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</si>
  <si>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</si>
  <si>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</si>
  <si>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</si>
  <si>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</si>
  <si>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</si>
  <si>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</si>
  <si>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</si>
  <si>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</si>
  <si>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</si>
  <si>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</si>
  <si>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</si>
  <si>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</si>
  <si>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</si>
  <si>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</si>
  <si>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</si>
  <si>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</si>
  <si>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</si>
  <si>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</si>
  <si>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</si>
  <si>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</si>
  <si>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</si>
  <si>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</si>
  <si>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</si>
  <si>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</si>
  <si>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</si>
  <si>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</si>
  <si>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</si>
  <si>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</si>
  <si>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</si>
  <si>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</si>
  <si>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</si>
  <si>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</si>
  <si>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</si>
  <si>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</si>
  <si>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</si>
  <si>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</si>
  <si>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</si>
  <si>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</si>
  <si>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</si>
  <si>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</si>
  <si>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</si>
  <si>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</si>
  <si>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</si>
  <si>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</si>
  <si>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</si>
  <si>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</si>
  <si>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</si>
  <si>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</si>
  <si>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</si>
  <si>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</si>
  <si>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</si>
  <si>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</si>
  <si>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</si>
  <si>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</si>
  <si>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</si>
  <si>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</si>
  <si>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</si>
  <si>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</si>
  <si>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</si>
  <si>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</si>
  <si>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</si>
  <si>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</si>
  <si>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</si>
  <si>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</si>
  <si>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</si>
  <si>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</si>
  <si>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</si>
  <si>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</si>
  <si>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</si>
  <si>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</si>
  <si>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</si>
  <si>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</si>
  <si>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</si>
  <si>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</si>
  <si>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</si>
  <si>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</si>
  <si>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</si>
  <si>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</si>
  <si>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</si>
  <si>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</si>
  <si>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</si>
  <si>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</si>
  <si>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</si>
  <si>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</si>
  <si>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</si>
  <si>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</si>
  <si>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</si>
  <si>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</si>
  <si>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</si>
  <si>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</si>
  <si>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</si>
  <si>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</si>
  <si>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</si>
  <si>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</si>
  <si>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</si>
  <si>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</si>
  <si>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</si>
  <si>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</si>
  <si>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</si>
  <si>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</si>
  <si>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</si>
  <si>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</si>
  <si>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</si>
  <si>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</si>
  <si>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</si>
  <si>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</si>
  <si>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</si>
  <si>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</si>
  <si>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</si>
  <si>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</si>
  <si>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</si>
  <si>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</si>
  <si>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</si>
  <si>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</si>
  <si>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</si>
  <si>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</si>
  <si>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</si>
  <si>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</si>
  <si>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</si>
  <si>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</si>
  <si>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</si>
  <si>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</si>
  <si>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</si>
  <si>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</si>
  <si>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</si>
  <si>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</si>
  <si>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</si>
  <si>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</si>
  <si>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</si>
  <si>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</si>
  <si>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</si>
  <si>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</si>
  <si>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</si>
  <si>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</si>
  <si>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</si>
  <si>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</si>
  <si>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</si>
  <si>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</si>
  <si>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</si>
  <si>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</si>
  <si>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</si>
  <si>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</si>
  <si>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</si>
  <si>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</si>
  <si>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</si>
  <si>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</si>
  <si>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</si>
  <si>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</si>
  <si>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</si>
  <si>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</si>
  <si>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</si>
  <si>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</si>
  <si>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</si>
  <si>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</si>
  <si>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</si>
  <si>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</si>
  <si>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</si>
  <si>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</si>
  <si>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</si>
  <si>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</si>
  <si>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</si>
  <si>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</si>
  <si>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</si>
  <si>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</si>
  <si>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</si>
  <si>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</si>
  <si>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</si>
  <si>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</si>
  <si>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</si>
  <si>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</si>
  <si>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</si>
  <si>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</si>
  <si>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</si>
  <si>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</si>
  <si>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</si>
  <si>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</si>
  <si>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</si>
  <si>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</si>
  <si>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</si>
  <si>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</si>
  <si>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</si>
  <si>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</si>
  <si>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</si>
  <si>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</si>
  <si>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</si>
  <si>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</si>
  <si>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</si>
  <si>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</si>
  <si>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</si>
  <si>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</si>
  <si>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</si>
  <si>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</si>
  <si>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</si>
  <si>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</si>
  <si>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</si>
  <si>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</si>
  <si>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</si>
  <si>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</si>
  <si>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</si>
  <si>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</si>
  <si>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</si>
  <si>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</si>
  <si>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</si>
  <si>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</si>
  <si>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</si>
  <si>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</si>
  <si>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</si>
  <si>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</si>
  <si>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</si>
  <si>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</si>
  <si>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</si>
  <si>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</si>
  <si>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</si>
  <si>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</si>
  <si>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</si>
  <si>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</si>
  <si>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</si>
  <si>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</si>
  <si>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</si>
  <si>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</si>
  <si>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</si>
  <si>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</si>
  <si>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</si>
  <si>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</si>
  <si>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</si>
  <si>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</si>
  <si>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</si>
  <si>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</si>
  <si>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</si>
  <si>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</si>
  <si>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</si>
  <si>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</si>
  <si>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</si>
  <si>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</si>
  <si>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</si>
  <si>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</si>
  <si>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</si>
  <si>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</si>
  <si>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</si>
  <si>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</si>
  <si>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</si>
  <si>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</si>
  <si>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</si>
  <si>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</si>
  <si>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</si>
  <si>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</si>
  <si>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</si>
  <si>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</si>
  <si>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</si>
  <si>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</si>
  <si>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</si>
  <si>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</si>
  <si>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</si>
  <si>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</si>
  <si>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</si>
  <si>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</si>
  <si>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</si>
  <si>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</si>
  <si>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</si>
  <si>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</si>
  <si>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</si>
  <si>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</si>
  <si>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</si>
  <si>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</si>
  <si>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</si>
  <si>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TSO001120283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</si>
</sst>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1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Y14" sqref="Y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9" t="s">
        <v>8</v>
      </c>
      <c r="B5" s="989"/>
      <c r="C5" s="989"/>
      <c r="D5" s="990"/>
      <c r="E5" s="990"/>
      <c r="F5" s="991" t="s">
        <v>14</v>
      </c>
      <c r="G5" s="991"/>
      <c r="H5" s="990" t="s">
        <v>915</v>
      </c>
      <c r="I5" s="990"/>
      <c r="J5" s="990"/>
      <c r="K5" s="990"/>
      <c r="L5" s="990"/>
      <c r="M5" s="990"/>
      <c r="N5" s="69"/>
      <c r="P5" s="26" t="s">
        <v>4</v>
      </c>
      <c r="Q5" s="992">
        <v>46279</v>
      </c>
      <c r="R5" s="992"/>
      <c r="T5" s="993" t="s">
        <v>3</v>
      </c>
      <c r="U5" s="994"/>
      <c r="V5" s="995" t="s">
        <v>874</v>
      </c>
      <c r="W5" s="996"/>
      <c r="AB5" s="57"/>
      <c r="AC5" s="57"/>
      <c r="AD5" s="57"/>
      <c r="AE5" s="57"/>
    </row>
    <row r="6" spans="1:32" s="17" customFormat="1" ht="24" customHeight="1" x14ac:dyDescent="0.2">
      <c r="A6" s="989" t="s">
        <v>1</v>
      </c>
      <c r="B6" s="989"/>
      <c r="C6" s="989"/>
      <c r="D6" s="997" t="s">
        <v>887</v>
      </c>
      <c r="E6" s="997"/>
      <c r="F6" s="997"/>
      <c r="G6" s="997"/>
      <c r="H6" s="997"/>
      <c r="I6" s="997"/>
      <c r="J6" s="997"/>
      <c r="K6" s="997"/>
      <c r="L6" s="997"/>
      <c r="M6" s="997"/>
      <c r="N6" s="70"/>
      <c r="P6" s="26" t="s">
        <v>27</v>
      </c>
      <c r="Q6" s="998" t="str">
        <f>IF(Q5=0," ",CHOOSE(WEEKDAY(Q5,2),"Понедельник","Вторник","Среда","Четверг","Пятница","Суббота","Воскресенье"))</f>
        <v>Понедельник</v>
      </c>
      <c r="R6" s="998"/>
      <c r="T6" s="999" t="s">
        <v>5</v>
      </c>
      <c r="U6" s="1000"/>
      <c r="V6" s="1001" t="s">
        <v>69</v>
      </c>
      <c r="W6" s="10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07" t="str">
        <f>IFERROR(VLOOKUP(DeliveryAddress,Table,3,0),1)</f>
        <v>5</v>
      </c>
      <c r="E7" s="1008"/>
      <c r="F7" s="1008"/>
      <c r="G7" s="1008"/>
      <c r="H7" s="1008"/>
      <c r="I7" s="1008"/>
      <c r="J7" s="1008"/>
      <c r="K7" s="1008"/>
      <c r="L7" s="1008"/>
      <c r="M7" s="1009"/>
      <c r="N7" s="71"/>
      <c r="P7" s="26"/>
      <c r="Q7" s="46"/>
      <c r="R7" s="46"/>
      <c r="T7" s="999"/>
      <c r="U7" s="1000"/>
      <c r="V7" s="1003"/>
      <c r="W7" s="1004"/>
      <c r="AB7" s="57"/>
      <c r="AC7" s="57"/>
      <c r="AD7" s="57"/>
      <c r="AE7" s="57"/>
    </row>
    <row r="8" spans="1:32" s="17" customFormat="1" ht="25.5" customHeight="1" x14ac:dyDescent="0.2">
      <c r="A8" s="1010" t="s">
        <v>57</v>
      </c>
      <c r="B8" s="1010"/>
      <c r="C8" s="1010"/>
      <c r="D8" s="1011"/>
      <c r="E8" s="1011"/>
      <c r="F8" s="1011"/>
      <c r="G8" s="1011"/>
      <c r="H8" s="1011"/>
      <c r="I8" s="1011"/>
      <c r="J8" s="1011"/>
      <c r="K8" s="1011"/>
      <c r="L8" s="1011"/>
      <c r="M8" s="1011"/>
      <c r="N8" s="72"/>
      <c r="P8" s="26" t="s">
        <v>11</v>
      </c>
      <c r="Q8" s="970">
        <v>0.83333333333333337</v>
      </c>
      <c r="R8" s="970"/>
      <c r="T8" s="999"/>
      <c r="U8" s="1000"/>
      <c r="V8" s="1003"/>
      <c r="W8" s="1004"/>
      <c r="AB8" s="57"/>
      <c r="AC8" s="57"/>
      <c r="AD8" s="57"/>
      <c r="AE8" s="57"/>
    </row>
    <row r="9" spans="1:32" s="17" customFormat="1" ht="39.950000000000003" customHeight="1" x14ac:dyDescent="0.2">
      <c r="A9" s="9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0"/>
      <c r="C9" s="960"/>
      <c r="D9" s="961" t="s">
        <v>46</v>
      </c>
      <c r="E9" s="962"/>
      <c r="F9" s="9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0"/>
      <c r="H9" s="1012" t="str">
        <f>IF(AND($A$9="Тип доверенности/получателя при получении в адресе перегруза:",$D$9="Разовая доверенность"),"Введите ФИО","")</f>
        <v/>
      </c>
      <c r="I9" s="1012"/>
      <c r="J9" s="10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2"/>
      <c r="L9" s="1012"/>
      <c r="M9" s="1012"/>
      <c r="N9" s="67"/>
      <c r="P9" s="29" t="s">
        <v>15</v>
      </c>
      <c r="Q9" s="1013"/>
      <c r="R9" s="1013"/>
      <c r="T9" s="999"/>
      <c r="U9" s="1000"/>
      <c r="V9" s="1005"/>
      <c r="W9" s="10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0"/>
      <c r="C10" s="960"/>
      <c r="D10" s="961"/>
      <c r="E10" s="962"/>
      <c r="F10" s="9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0"/>
      <c r="H10" s="963" t="str">
        <f>IFERROR(VLOOKUP($D$10,Proxy,2,FALSE),"")</f>
        <v/>
      </c>
      <c r="I10" s="963"/>
      <c r="J10" s="963"/>
      <c r="K10" s="963"/>
      <c r="L10" s="963"/>
      <c r="M10" s="963"/>
      <c r="N10" s="68"/>
      <c r="P10" s="29" t="s">
        <v>32</v>
      </c>
      <c r="Q10" s="964"/>
      <c r="R10" s="964"/>
      <c r="U10" s="26" t="s">
        <v>12</v>
      </c>
      <c r="V10" s="965" t="s">
        <v>70</v>
      </c>
      <c r="W10" s="96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7"/>
      <c r="R11" s="967"/>
      <c r="U11" s="26" t="s">
        <v>28</v>
      </c>
      <c r="V11" s="968" t="s">
        <v>914</v>
      </c>
      <c r="W11" s="9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9" t="s">
        <v>71</v>
      </c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73"/>
      <c r="P12" s="26" t="s">
        <v>30</v>
      </c>
      <c r="Q12" s="970"/>
      <c r="R12" s="970"/>
      <c r="S12" s="27"/>
      <c r="T12"/>
      <c r="U12" s="26" t="s">
        <v>46</v>
      </c>
      <c r="V12" s="971"/>
      <c r="W12" s="971"/>
      <c r="X12"/>
      <c r="AB12" s="57"/>
      <c r="AC12" s="57"/>
      <c r="AD12" s="57"/>
      <c r="AE12" s="57"/>
    </row>
    <row r="13" spans="1:32" s="17" customFormat="1" ht="23.25" customHeight="1" x14ac:dyDescent="0.2">
      <c r="A13" s="969" t="s">
        <v>72</v>
      </c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73"/>
      <c r="O13" s="29"/>
      <c r="P13" s="29" t="s">
        <v>31</v>
      </c>
      <c r="Q13" s="968"/>
      <c r="R13" s="96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9" t="s">
        <v>73</v>
      </c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2" t="s">
        <v>74</v>
      </c>
      <c r="B15" s="972"/>
      <c r="C15" s="972"/>
      <c r="D15" s="972"/>
      <c r="E15" s="972"/>
      <c r="F15" s="972"/>
      <c r="G15" s="972"/>
      <c r="H15" s="972"/>
      <c r="I15" s="972"/>
      <c r="J15" s="972"/>
      <c r="K15" s="972"/>
      <c r="L15" s="972"/>
      <c r="M15" s="972"/>
      <c r="N15" s="74"/>
      <c r="O15"/>
      <c r="P15" s="973" t="s">
        <v>60</v>
      </c>
      <c r="Q15" s="973"/>
      <c r="R15" s="973"/>
      <c r="S15" s="973"/>
      <c r="T15" s="9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4"/>
      <c r="Q16" s="974"/>
      <c r="R16" s="974"/>
      <c r="S16" s="974"/>
      <c r="T16" s="9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4" t="s">
        <v>58</v>
      </c>
      <c r="B17" s="944" t="s">
        <v>49</v>
      </c>
      <c r="C17" s="977" t="s">
        <v>48</v>
      </c>
      <c r="D17" s="979" t="s">
        <v>50</v>
      </c>
      <c r="E17" s="980"/>
      <c r="F17" s="944" t="s">
        <v>21</v>
      </c>
      <c r="G17" s="944" t="s">
        <v>24</v>
      </c>
      <c r="H17" s="944" t="s">
        <v>22</v>
      </c>
      <c r="I17" s="944" t="s">
        <v>23</v>
      </c>
      <c r="J17" s="944" t="s">
        <v>16</v>
      </c>
      <c r="K17" s="944" t="s">
        <v>65</v>
      </c>
      <c r="L17" s="944" t="s">
        <v>63</v>
      </c>
      <c r="M17" s="944" t="s">
        <v>2</v>
      </c>
      <c r="N17" s="944" t="s">
        <v>62</v>
      </c>
      <c r="O17" s="944" t="s">
        <v>25</v>
      </c>
      <c r="P17" s="979" t="s">
        <v>17</v>
      </c>
      <c r="Q17" s="983"/>
      <c r="R17" s="983"/>
      <c r="S17" s="983"/>
      <c r="T17" s="980"/>
      <c r="U17" s="975" t="s">
        <v>55</v>
      </c>
      <c r="V17" s="976"/>
      <c r="W17" s="944" t="s">
        <v>6</v>
      </c>
      <c r="X17" s="944" t="s">
        <v>41</v>
      </c>
      <c r="Y17" s="946" t="s">
        <v>54</v>
      </c>
      <c r="Z17" s="948" t="s">
        <v>18</v>
      </c>
      <c r="AA17" s="950" t="s">
        <v>59</v>
      </c>
      <c r="AB17" s="950" t="s">
        <v>19</v>
      </c>
      <c r="AC17" s="950" t="s">
        <v>64</v>
      </c>
      <c r="AD17" s="952" t="s">
        <v>56</v>
      </c>
      <c r="AE17" s="953"/>
      <c r="AF17" s="954"/>
      <c r="AG17" s="77"/>
      <c r="BD17" s="76" t="s">
        <v>61</v>
      </c>
    </row>
    <row r="18" spans="1:68" ht="14.25" customHeight="1" x14ac:dyDescent="0.2">
      <c r="A18" s="945"/>
      <c r="B18" s="945"/>
      <c r="C18" s="978"/>
      <c r="D18" s="981"/>
      <c r="E18" s="982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81"/>
      <c r="Q18" s="984"/>
      <c r="R18" s="984"/>
      <c r="S18" s="984"/>
      <c r="T18" s="982"/>
      <c r="U18" s="78" t="s">
        <v>44</v>
      </c>
      <c r="V18" s="78" t="s">
        <v>43</v>
      </c>
      <c r="W18" s="945"/>
      <c r="X18" s="945"/>
      <c r="Y18" s="947"/>
      <c r="Z18" s="949"/>
      <c r="AA18" s="951"/>
      <c r="AB18" s="951"/>
      <c r="AC18" s="951"/>
      <c r="AD18" s="955"/>
      <c r="AE18" s="956"/>
      <c r="AF18" s="957"/>
      <c r="AG18" s="77"/>
      <c r="BD18" s="76"/>
    </row>
    <row r="19" spans="1:68" ht="27.75" hidden="1" customHeight="1" x14ac:dyDescent="0.2">
      <c r="A19" s="677" t="s">
        <v>75</v>
      </c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  <c r="AA19" s="52"/>
      <c r="AB19" s="52"/>
      <c r="AC19" s="52"/>
    </row>
    <row r="20" spans="1:68" ht="16.5" hidden="1" customHeight="1" x14ac:dyDescent="0.25">
      <c r="A20" s="666" t="s">
        <v>75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2" t="s">
        <v>76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8">
        <v>4680115886643</v>
      </c>
      <c r="E22" s="64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5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8">
        <v>4680115889071</v>
      </c>
      <c r="E23" s="64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2" t="s">
        <v>40</v>
      </c>
      <c r="Q24" s="653"/>
      <c r="R24" s="653"/>
      <c r="S24" s="653"/>
      <c r="T24" s="653"/>
      <c r="U24" s="653"/>
      <c r="V24" s="65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2" t="s">
        <v>40</v>
      </c>
      <c r="Q25" s="653"/>
      <c r="R25" s="653"/>
      <c r="S25" s="653"/>
      <c r="T25" s="653"/>
      <c r="U25" s="653"/>
      <c r="V25" s="65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2" t="s">
        <v>85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8">
        <v>4680115885912</v>
      </c>
      <c r="E27" s="64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8">
        <v>4607091388237</v>
      </c>
      <c r="E28" s="64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8">
        <v>4680115887350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8">
        <v>4680115885905</v>
      </c>
      <c r="E30" s="64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8">
        <v>4680115887619</v>
      </c>
      <c r="E31" s="64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2" t="s">
        <v>40</v>
      </c>
      <c r="Q32" s="653"/>
      <c r="R32" s="653"/>
      <c r="S32" s="653"/>
      <c r="T32" s="653"/>
      <c r="U32" s="653"/>
      <c r="V32" s="654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2" t="s">
        <v>40</v>
      </c>
      <c r="Q33" s="653"/>
      <c r="R33" s="653"/>
      <c r="S33" s="653"/>
      <c r="T33" s="653"/>
      <c r="U33" s="653"/>
      <c r="V33" s="654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7" t="s">
        <v>45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52"/>
      <c r="AB34" s="52"/>
      <c r="AC34" s="52"/>
    </row>
    <row r="35" spans="1:68" ht="16.5" hidden="1" customHeight="1" x14ac:dyDescent="0.25">
      <c r="A35" s="666" t="s">
        <v>103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2" t="s">
        <v>85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48">
        <v>4680115889354</v>
      </c>
      <c r="E37" s="64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48">
        <v>4680115888463</v>
      </c>
      <c r="E38" s="64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48">
        <v>4680115889590</v>
      </c>
      <c r="E39" s="64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48">
        <v>4680115888272</v>
      </c>
      <c r="E40" s="64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48">
        <v>4680115888364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2" t="s">
        <v>40</v>
      </c>
      <c r="Q42" s="653"/>
      <c r="R42" s="653"/>
      <c r="S42" s="653"/>
      <c r="T42" s="653"/>
      <c r="U42" s="653"/>
      <c r="V42" s="654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2" t="s">
        <v>40</v>
      </c>
      <c r="Q43" s="653"/>
      <c r="R43" s="653"/>
      <c r="S43" s="653"/>
      <c r="T43" s="653"/>
      <c r="U43" s="653"/>
      <c r="V43" s="654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7" t="s">
        <v>119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52"/>
      <c r="AB44" s="52"/>
      <c r="AC44" s="52"/>
    </row>
    <row r="45" spans="1:68" ht="16.5" hidden="1" customHeight="1" x14ac:dyDescent="0.25">
      <c r="A45" s="666" t="s">
        <v>120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2" t="s">
        <v>121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48">
        <v>4607091385670</v>
      </c>
      <c r="E47" s="64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48">
        <v>4680115887725</v>
      </c>
      <c r="E48" s="64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48">
        <v>4607091385687</v>
      </c>
      <c r="E49" s="64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48">
        <v>4680115882539</v>
      </c>
      <c r="E50" s="64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2" t="s">
        <v>40</v>
      </c>
      <c r="Q51" s="653"/>
      <c r="R51" s="653"/>
      <c r="S51" s="653"/>
      <c r="T51" s="653"/>
      <c r="U51" s="653"/>
      <c r="V51" s="654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2" t="s">
        <v>40</v>
      </c>
      <c r="Q52" s="653"/>
      <c r="R52" s="653"/>
      <c r="S52" s="653"/>
      <c r="T52" s="653"/>
      <c r="U52" s="653"/>
      <c r="V52" s="654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6" t="s">
        <v>136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2" t="s">
        <v>121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48">
        <v>4680115885882</v>
      </c>
      <c r="E55" s="64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48">
        <v>4680115881426</v>
      </c>
      <c r="E56" s="64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48">
        <v>4680115880283</v>
      </c>
      <c r="E57" s="64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48">
        <v>4680115881525</v>
      </c>
      <c r="E58" s="64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48">
        <v>4680115881525</v>
      </c>
      <c r="E59" s="64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648">
        <v>4680115885899</v>
      </c>
      <c r="E60" s="648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648">
        <v>4680115881419</v>
      </c>
      <c r="E61" s="648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2" t="s">
        <v>40</v>
      </c>
      <c r="Q62" s="653"/>
      <c r="R62" s="653"/>
      <c r="S62" s="653"/>
      <c r="T62" s="653"/>
      <c r="U62" s="653"/>
      <c r="V62" s="654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2" t="s">
        <v>40</v>
      </c>
      <c r="Q63" s="653"/>
      <c r="R63" s="653"/>
      <c r="S63" s="653"/>
      <c r="T63" s="653"/>
      <c r="U63" s="653"/>
      <c r="V63" s="654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62" t="s">
        <v>156</v>
      </c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648">
        <v>4680115881440</v>
      </c>
      <c r="E65" s="648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648">
        <v>4680115885950</v>
      </c>
      <c r="E66" s="648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648">
        <v>4680115887688</v>
      </c>
      <c r="E67" s="648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648">
        <v>4680115881433</v>
      </c>
      <c r="E68" s="648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9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2" t="s">
        <v>40</v>
      </c>
      <c r="Q69" s="653"/>
      <c r="R69" s="653"/>
      <c r="S69" s="653"/>
      <c r="T69" s="653"/>
      <c r="U69" s="653"/>
      <c r="V69" s="654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2" t="s">
        <v>40</v>
      </c>
      <c r="Q70" s="653"/>
      <c r="R70" s="653"/>
      <c r="S70" s="653"/>
      <c r="T70" s="653"/>
      <c r="U70" s="653"/>
      <c r="V70" s="654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62" t="s">
        <v>85</v>
      </c>
      <c r="B71" s="662"/>
      <c r="C71" s="662"/>
      <c r="D71" s="662"/>
      <c r="E71" s="662"/>
      <c r="F71" s="662"/>
      <c r="G71" s="662"/>
      <c r="H71" s="662"/>
      <c r="I71" s="662"/>
      <c r="J71" s="662"/>
      <c r="K71" s="662"/>
      <c r="L71" s="662"/>
      <c r="M71" s="662"/>
      <c r="N71" s="662"/>
      <c r="O71" s="662"/>
      <c r="P71" s="662"/>
      <c r="Q71" s="662"/>
      <c r="R71" s="662"/>
      <c r="S71" s="662"/>
      <c r="T71" s="662"/>
      <c r="U71" s="662"/>
      <c r="V71" s="662"/>
      <c r="W71" s="662"/>
      <c r="X71" s="662"/>
      <c r="Y71" s="662"/>
      <c r="Z71" s="662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648">
        <v>4680115884311</v>
      </c>
      <c r="E72" s="648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648">
        <v>4680115884403</v>
      </c>
      <c r="E73" s="64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648">
        <v>4680115884403</v>
      </c>
      <c r="E74" s="64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2" t="s">
        <v>40</v>
      </c>
      <c r="Q75" s="653"/>
      <c r="R75" s="653"/>
      <c r="S75" s="653"/>
      <c r="T75" s="653"/>
      <c r="U75" s="653"/>
      <c r="V75" s="654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2" t="s">
        <v>40</v>
      </c>
      <c r="Q76" s="653"/>
      <c r="R76" s="653"/>
      <c r="S76" s="653"/>
      <c r="T76" s="653"/>
      <c r="U76" s="653"/>
      <c r="V76" s="654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62" t="s">
        <v>174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648">
        <v>4680115881532</v>
      </c>
      <c r="E78" s="64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648">
        <v>4680115881532</v>
      </c>
      <c r="E79" s="648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90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648">
        <v>4680115881464</v>
      </c>
      <c r="E80" s="64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2" t="s">
        <v>40</v>
      </c>
      <c r="Q81" s="653"/>
      <c r="R81" s="653"/>
      <c r="S81" s="653"/>
      <c r="T81" s="653"/>
      <c r="U81" s="653"/>
      <c r="V81" s="654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2" t="s">
        <v>40</v>
      </c>
      <c r="Q82" s="653"/>
      <c r="R82" s="653"/>
      <c r="S82" s="653"/>
      <c r="T82" s="653"/>
      <c r="U82" s="653"/>
      <c r="V82" s="654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66" t="s">
        <v>182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2" t="s">
        <v>121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/>
      <c r="L84" s="662"/>
      <c r="M84" s="662"/>
      <c r="N84" s="662"/>
      <c r="O84" s="662"/>
      <c r="P84" s="662"/>
      <c r="Q84" s="662"/>
      <c r="R84" s="662"/>
      <c r="S84" s="662"/>
      <c r="T84" s="662"/>
      <c r="U84" s="662"/>
      <c r="V84" s="662"/>
      <c r="W84" s="662"/>
      <c r="X84" s="662"/>
      <c r="Y84" s="662"/>
      <c r="Z84" s="662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48">
        <v>4680115881327</v>
      </c>
      <c r="E85" s="64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48">
        <v>4680115887732</v>
      </c>
      <c r="E86" s="64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48">
        <v>4680115887732</v>
      </c>
      <c r="E87" s="64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48">
        <v>4680115881518</v>
      </c>
      <c r="E88" s="64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48">
        <v>4680115881303</v>
      </c>
      <c r="E89" s="64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648">
        <v>4680115881303</v>
      </c>
      <c r="E90" s="64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6"/>
      <c r="P91" s="652" t="s">
        <v>40</v>
      </c>
      <c r="Q91" s="653"/>
      <c r="R91" s="653"/>
      <c r="S91" s="653"/>
      <c r="T91" s="653"/>
      <c r="U91" s="653"/>
      <c r="V91" s="654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56"/>
      <c r="P92" s="652" t="s">
        <v>40</v>
      </c>
      <c r="Q92" s="653"/>
      <c r="R92" s="653"/>
      <c r="S92" s="653"/>
      <c r="T92" s="653"/>
      <c r="U92" s="653"/>
      <c r="V92" s="654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662" t="s">
        <v>85</v>
      </c>
      <c r="B93" s="662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O93" s="662"/>
      <c r="P93" s="662"/>
      <c r="Q93" s="662"/>
      <c r="R93" s="662"/>
      <c r="S93" s="662"/>
      <c r="T93" s="662"/>
      <c r="U93" s="662"/>
      <c r="V93" s="662"/>
      <c r="W93" s="662"/>
      <c r="X93" s="662"/>
      <c r="Y93" s="662"/>
      <c r="Z93" s="662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648">
        <v>4607091386967</v>
      </c>
      <c r="E94" s="64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648">
        <v>4680115884953</v>
      </c>
      <c r="E95" s="64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0"/>
      <c r="R95" s="650"/>
      <c r="S95" s="650"/>
      <c r="T95" s="65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648">
        <v>4607091385731</v>
      </c>
      <c r="E96" s="64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0"/>
      <c r="R96" s="650"/>
      <c r="S96" s="650"/>
      <c r="T96" s="65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648">
        <v>4680115880894</v>
      </c>
      <c r="E97" s="64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9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0"/>
      <c r="R97" s="650"/>
      <c r="S97" s="650"/>
      <c r="T97" s="65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6"/>
      <c r="P98" s="652" t="s">
        <v>40</v>
      </c>
      <c r="Q98" s="653"/>
      <c r="R98" s="653"/>
      <c r="S98" s="653"/>
      <c r="T98" s="653"/>
      <c r="U98" s="653"/>
      <c r="V98" s="654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56"/>
      <c r="P99" s="652" t="s">
        <v>40</v>
      </c>
      <c r="Q99" s="653"/>
      <c r="R99" s="653"/>
      <c r="S99" s="653"/>
      <c r="T99" s="653"/>
      <c r="U99" s="653"/>
      <c r="V99" s="654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66" t="s">
        <v>206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2" t="s">
        <v>121</v>
      </c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2"/>
      <c r="P101" s="662"/>
      <c r="Q101" s="662"/>
      <c r="R101" s="662"/>
      <c r="S101" s="662"/>
      <c r="T101" s="662"/>
      <c r="U101" s="662"/>
      <c r="V101" s="662"/>
      <c r="W101" s="662"/>
      <c r="X101" s="662"/>
      <c r="Y101" s="662"/>
      <c r="Z101" s="662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648">
        <v>4680115882133</v>
      </c>
      <c r="E102" s="64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0"/>
      <c r="R102" s="650"/>
      <c r="S102" s="650"/>
      <c r="T102" s="65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48">
        <v>4680115887718</v>
      </c>
      <c r="E103" s="648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648">
        <v>4680115880269</v>
      </c>
      <c r="E104" s="648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89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48">
        <v>4680115880429</v>
      </c>
      <c r="E105" s="648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648">
        <v>4680115881457</v>
      </c>
      <c r="E106" s="648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648">
        <v>4680115881457</v>
      </c>
      <c r="E107" s="648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90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2" t="s">
        <v>40</v>
      </c>
      <c r="Q108" s="653"/>
      <c r="R108" s="653"/>
      <c r="S108" s="653"/>
      <c r="T108" s="653"/>
      <c r="U108" s="653"/>
      <c r="V108" s="654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2" t="s">
        <v>40</v>
      </c>
      <c r="Q109" s="653"/>
      <c r="R109" s="653"/>
      <c r="S109" s="653"/>
      <c r="T109" s="653"/>
      <c r="U109" s="653"/>
      <c r="V109" s="654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662" t="s">
        <v>156</v>
      </c>
      <c r="B110" s="662"/>
      <c r="C110" s="662"/>
      <c r="D110" s="662"/>
      <c r="E110" s="662"/>
      <c r="F110" s="662"/>
      <c r="G110" s="662"/>
      <c r="H110" s="662"/>
      <c r="I110" s="662"/>
      <c r="J110" s="662"/>
      <c r="K110" s="662"/>
      <c r="L110" s="662"/>
      <c r="M110" s="662"/>
      <c r="N110" s="662"/>
      <c r="O110" s="662"/>
      <c r="P110" s="662"/>
      <c r="Q110" s="662"/>
      <c r="R110" s="662"/>
      <c r="S110" s="662"/>
      <c r="T110" s="662"/>
      <c r="U110" s="662"/>
      <c r="V110" s="662"/>
      <c r="W110" s="662"/>
      <c r="X110" s="662"/>
      <c r="Y110" s="662"/>
      <c r="Z110" s="662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648">
        <v>4680115881488</v>
      </c>
      <c r="E111" s="648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648">
        <v>4680115887664</v>
      </c>
      <c r="E112" s="648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648">
        <v>4680115887664</v>
      </c>
      <c r="E113" s="648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648">
        <v>4680115882775</v>
      </c>
      <c r="E114" s="64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0"/>
      <c r="R114" s="650"/>
      <c r="S114" s="650"/>
      <c r="T114" s="65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648">
        <v>4680115880658</v>
      </c>
      <c r="E115" s="64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0"/>
      <c r="R115" s="650"/>
      <c r="S115" s="650"/>
      <c r="T115" s="65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6"/>
      <c r="P116" s="652" t="s">
        <v>40</v>
      </c>
      <c r="Q116" s="653"/>
      <c r="R116" s="653"/>
      <c r="S116" s="653"/>
      <c r="T116" s="653"/>
      <c r="U116" s="653"/>
      <c r="V116" s="654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  <c r="L117" s="655"/>
      <c r="M117" s="655"/>
      <c r="N117" s="655"/>
      <c r="O117" s="656"/>
      <c r="P117" s="652" t="s">
        <v>40</v>
      </c>
      <c r="Q117" s="653"/>
      <c r="R117" s="653"/>
      <c r="S117" s="653"/>
      <c r="T117" s="653"/>
      <c r="U117" s="653"/>
      <c r="V117" s="654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62" t="s">
        <v>85</v>
      </c>
      <c r="B118" s="662"/>
      <c r="C118" s="662"/>
      <c r="D118" s="662"/>
      <c r="E118" s="662"/>
      <c r="F118" s="662"/>
      <c r="G118" s="662"/>
      <c r="H118" s="662"/>
      <c r="I118" s="662"/>
      <c r="J118" s="662"/>
      <c r="K118" s="662"/>
      <c r="L118" s="662"/>
      <c r="M118" s="662"/>
      <c r="N118" s="662"/>
      <c r="O118" s="662"/>
      <c r="P118" s="662"/>
      <c r="Q118" s="662"/>
      <c r="R118" s="662"/>
      <c r="S118" s="662"/>
      <c r="T118" s="662"/>
      <c r="U118" s="662"/>
      <c r="V118" s="662"/>
      <c r="W118" s="662"/>
      <c r="X118" s="662"/>
      <c r="Y118" s="662"/>
      <c r="Z118" s="662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648">
        <v>4607091385168</v>
      </c>
      <c r="E119" s="648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648">
        <v>4607091383256</v>
      </c>
      <c r="E120" s="648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8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0"/>
      <c r="R120" s="650"/>
      <c r="S120" s="650"/>
      <c r="T120" s="651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648">
        <v>4607091385748</v>
      </c>
      <c r="E121" s="648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8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0"/>
      <c r="R121" s="650"/>
      <c r="S121" s="650"/>
      <c r="T121" s="65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648">
        <v>4680115884533</v>
      </c>
      <c r="E122" s="648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8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0"/>
      <c r="R122" s="650"/>
      <c r="S122" s="650"/>
      <c r="T122" s="65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6"/>
      <c r="P123" s="652" t="s">
        <v>40</v>
      </c>
      <c r="Q123" s="653"/>
      <c r="R123" s="653"/>
      <c r="S123" s="653"/>
      <c r="T123" s="653"/>
      <c r="U123" s="653"/>
      <c r="V123" s="654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2" t="s">
        <v>40</v>
      </c>
      <c r="Q124" s="653"/>
      <c r="R124" s="653"/>
      <c r="S124" s="653"/>
      <c r="T124" s="653"/>
      <c r="U124" s="653"/>
      <c r="V124" s="654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662" t="s">
        <v>174</v>
      </c>
      <c r="B125" s="662"/>
      <c r="C125" s="662"/>
      <c r="D125" s="662"/>
      <c r="E125" s="662"/>
      <c r="F125" s="662"/>
      <c r="G125" s="662"/>
      <c r="H125" s="662"/>
      <c r="I125" s="662"/>
      <c r="J125" s="662"/>
      <c r="K125" s="662"/>
      <c r="L125" s="662"/>
      <c r="M125" s="662"/>
      <c r="N125" s="662"/>
      <c r="O125" s="662"/>
      <c r="P125" s="662"/>
      <c r="Q125" s="662"/>
      <c r="R125" s="662"/>
      <c r="S125" s="662"/>
      <c r="T125" s="662"/>
      <c r="U125" s="662"/>
      <c r="V125" s="662"/>
      <c r="W125" s="662"/>
      <c r="X125" s="662"/>
      <c r="Y125" s="662"/>
      <c r="Z125" s="662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648">
        <v>4680115880238</v>
      </c>
      <c r="E126" s="648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8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6"/>
      <c r="P127" s="652" t="s">
        <v>40</v>
      </c>
      <c r="Q127" s="653"/>
      <c r="R127" s="653"/>
      <c r="S127" s="653"/>
      <c r="T127" s="653"/>
      <c r="U127" s="653"/>
      <c r="V127" s="654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6"/>
      <c r="P128" s="652" t="s">
        <v>40</v>
      </c>
      <c r="Q128" s="653"/>
      <c r="R128" s="653"/>
      <c r="S128" s="653"/>
      <c r="T128" s="653"/>
      <c r="U128" s="653"/>
      <c r="V128" s="654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66" t="s">
        <v>246</v>
      </c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2"/>
      <c r="AB129" s="62"/>
      <c r="AC129" s="62"/>
    </row>
    <row r="130" spans="1:68" ht="14.25" hidden="1" customHeight="1" x14ac:dyDescent="0.25">
      <c r="A130" s="662" t="s">
        <v>121</v>
      </c>
      <c r="B130" s="662"/>
      <c r="C130" s="662"/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  <c r="U130" s="662"/>
      <c r="V130" s="662"/>
      <c r="W130" s="662"/>
      <c r="X130" s="662"/>
      <c r="Y130" s="662"/>
      <c r="Z130" s="662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648">
        <v>4680115882577</v>
      </c>
      <c r="E131" s="64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0"/>
      <c r="R131" s="650"/>
      <c r="S131" s="650"/>
      <c r="T131" s="651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648">
        <v>4680115882577</v>
      </c>
      <c r="E132" s="648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0"/>
      <c r="R132" s="650"/>
      <c r="S132" s="650"/>
      <c r="T132" s="65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2" t="s">
        <v>40</v>
      </c>
      <c r="Q133" s="653"/>
      <c r="R133" s="653"/>
      <c r="S133" s="653"/>
      <c r="T133" s="653"/>
      <c r="U133" s="653"/>
      <c r="V133" s="654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6"/>
      <c r="P134" s="652" t="s">
        <v>40</v>
      </c>
      <c r="Q134" s="653"/>
      <c r="R134" s="653"/>
      <c r="S134" s="653"/>
      <c r="T134" s="653"/>
      <c r="U134" s="653"/>
      <c r="V134" s="654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62" t="s">
        <v>76</v>
      </c>
      <c r="B135" s="662"/>
      <c r="C135" s="662"/>
      <c r="D135" s="662"/>
      <c r="E135" s="662"/>
      <c r="F135" s="662"/>
      <c r="G135" s="662"/>
      <c r="H135" s="662"/>
      <c r="I135" s="662"/>
      <c r="J135" s="662"/>
      <c r="K135" s="662"/>
      <c r="L135" s="662"/>
      <c r="M135" s="662"/>
      <c r="N135" s="662"/>
      <c r="O135" s="662"/>
      <c r="P135" s="662"/>
      <c r="Q135" s="662"/>
      <c r="R135" s="662"/>
      <c r="S135" s="662"/>
      <c r="T135" s="662"/>
      <c r="U135" s="662"/>
      <c r="V135" s="662"/>
      <c r="W135" s="662"/>
      <c r="X135" s="662"/>
      <c r="Y135" s="662"/>
      <c r="Z135" s="662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648">
        <v>4680115883444</v>
      </c>
      <c r="E136" s="64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648">
        <v>4680115883444</v>
      </c>
      <c r="E137" s="64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6"/>
      <c r="P138" s="652" t="s">
        <v>40</v>
      </c>
      <c r="Q138" s="653"/>
      <c r="R138" s="653"/>
      <c r="S138" s="653"/>
      <c r="T138" s="653"/>
      <c r="U138" s="653"/>
      <c r="V138" s="654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2" t="s">
        <v>40</v>
      </c>
      <c r="Q139" s="653"/>
      <c r="R139" s="653"/>
      <c r="S139" s="653"/>
      <c r="T139" s="653"/>
      <c r="U139" s="653"/>
      <c r="V139" s="654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2" t="s">
        <v>85</v>
      </c>
      <c r="B140" s="662"/>
      <c r="C140" s="662"/>
      <c r="D140" s="662"/>
      <c r="E140" s="662"/>
      <c r="F140" s="662"/>
      <c r="G140" s="662"/>
      <c r="H140" s="662"/>
      <c r="I140" s="662"/>
      <c r="J140" s="662"/>
      <c r="K140" s="662"/>
      <c r="L140" s="662"/>
      <c r="M140" s="662"/>
      <c r="N140" s="662"/>
      <c r="O140" s="662"/>
      <c r="P140" s="662"/>
      <c r="Q140" s="662"/>
      <c r="R140" s="662"/>
      <c r="S140" s="662"/>
      <c r="T140" s="662"/>
      <c r="U140" s="662"/>
      <c r="V140" s="662"/>
      <c r="W140" s="662"/>
      <c r="X140" s="662"/>
      <c r="Y140" s="662"/>
      <c r="Z140" s="662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648">
        <v>4680115882584</v>
      </c>
      <c r="E141" s="648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648">
        <v>4680115882584</v>
      </c>
      <c r="E142" s="648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0"/>
      <c r="R142" s="650"/>
      <c r="S142" s="650"/>
      <c r="T142" s="651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6"/>
      <c r="P143" s="652" t="s">
        <v>40</v>
      </c>
      <c r="Q143" s="653"/>
      <c r="R143" s="653"/>
      <c r="S143" s="653"/>
      <c r="T143" s="653"/>
      <c r="U143" s="653"/>
      <c r="V143" s="654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655"/>
      <c r="N144" s="655"/>
      <c r="O144" s="656"/>
      <c r="P144" s="652" t="s">
        <v>40</v>
      </c>
      <c r="Q144" s="653"/>
      <c r="R144" s="653"/>
      <c r="S144" s="653"/>
      <c r="T144" s="653"/>
      <c r="U144" s="653"/>
      <c r="V144" s="654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66" t="s">
        <v>259</v>
      </c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2"/>
      <c r="AB145" s="62"/>
      <c r="AC145" s="62"/>
    </row>
    <row r="146" spans="1:68" ht="14.25" hidden="1" customHeight="1" x14ac:dyDescent="0.25">
      <c r="A146" s="662" t="s">
        <v>85</v>
      </c>
      <c r="B146" s="662"/>
      <c r="C146" s="662"/>
      <c r="D146" s="662"/>
      <c r="E146" s="662"/>
      <c r="F146" s="662"/>
      <c r="G146" s="662"/>
      <c r="H146" s="662"/>
      <c r="I146" s="662"/>
      <c r="J146" s="662"/>
      <c r="K146" s="662"/>
      <c r="L146" s="662"/>
      <c r="M146" s="662"/>
      <c r="N146" s="662"/>
      <c r="O146" s="662"/>
      <c r="P146" s="662"/>
      <c r="Q146" s="662"/>
      <c r="R146" s="662"/>
      <c r="S146" s="662"/>
      <c r="T146" s="662"/>
      <c r="U146" s="662"/>
      <c r="V146" s="662"/>
      <c r="W146" s="662"/>
      <c r="X146" s="662"/>
      <c r="Y146" s="662"/>
      <c r="Z146" s="662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648">
        <v>4680115888203</v>
      </c>
      <c r="E147" s="648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0"/>
      <c r="R147" s="650"/>
      <c r="S147" s="650"/>
      <c r="T147" s="651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648">
        <v>4680115888180</v>
      </c>
      <c r="E148" s="648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0"/>
      <c r="R148" s="650"/>
      <c r="S148" s="650"/>
      <c r="T148" s="651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648">
        <v>4680115888180</v>
      </c>
      <c r="E149" s="64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648">
        <v>4680115888197</v>
      </c>
      <c r="E150" s="64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0"/>
      <c r="R150" s="650"/>
      <c r="S150" s="650"/>
      <c r="T150" s="65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648">
        <v>4680115888210</v>
      </c>
      <c r="E151" s="64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648">
        <v>4680115888210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6"/>
      <c r="P153" s="652" t="s">
        <v>40</v>
      </c>
      <c r="Q153" s="653"/>
      <c r="R153" s="653"/>
      <c r="S153" s="653"/>
      <c r="T153" s="653"/>
      <c r="U153" s="653"/>
      <c r="V153" s="654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  <c r="L154" s="655"/>
      <c r="M154" s="655"/>
      <c r="N154" s="655"/>
      <c r="O154" s="656"/>
      <c r="P154" s="652" t="s">
        <v>40</v>
      </c>
      <c r="Q154" s="653"/>
      <c r="R154" s="653"/>
      <c r="S154" s="653"/>
      <c r="T154" s="653"/>
      <c r="U154" s="653"/>
      <c r="V154" s="654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62" t="s">
        <v>274</v>
      </c>
      <c r="B155" s="662"/>
      <c r="C155" s="662"/>
      <c r="D155" s="662"/>
      <c r="E155" s="662"/>
      <c r="F155" s="662"/>
      <c r="G155" s="662"/>
      <c r="H155" s="662"/>
      <c r="I155" s="662"/>
      <c r="J155" s="662"/>
      <c r="K155" s="662"/>
      <c r="L155" s="662"/>
      <c r="M155" s="662"/>
      <c r="N155" s="662"/>
      <c r="O155" s="662"/>
      <c r="P155" s="662"/>
      <c r="Q155" s="662"/>
      <c r="R155" s="662"/>
      <c r="S155" s="662"/>
      <c r="T155" s="662"/>
      <c r="U155" s="662"/>
      <c r="V155" s="662"/>
      <c r="W155" s="662"/>
      <c r="X155" s="662"/>
      <c r="Y155" s="662"/>
      <c r="Z155" s="662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648">
        <v>4680115889132</v>
      </c>
      <c r="E156" s="648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0"/>
      <c r="R156" s="650"/>
      <c r="S156" s="650"/>
      <c r="T156" s="651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2" t="s">
        <v>40</v>
      </c>
      <c r="Q157" s="653"/>
      <c r="R157" s="653"/>
      <c r="S157" s="653"/>
      <c r="T157" s="653"/>
      <c r="U157" s="653"/>
      <c r="V157" s="654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6"/>
      <c r="P158" s="652" t="s">
        <v>40</v>
      </c>
      <c r="Q158" s="653"/>
      <c r="R158" s="653"/>
      <c r="S158" s="653"/>
      <c r="T158" s="653"/>
      <c r="U158" s="653"/>
      <c r="V158" s="654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666" t="s">
        <v>119</v>
      </c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2"/>
      <c r="AB159" s="62"/>
      <c r="AC159" s="62"/>
    </row>
    <row r="160" spans="1:68" ht="14.25" hidden="1" customHeight="1" x14ac:dyDescent="0.25">
      <c r="A160" s="662" t="s">
        <v>121</v>
      </c>
      <c r="B160" s="662"/>
      <c r="C160" s="662"/>
      <c r="D160" s="662"/>
      <c r="E160" s="662"/>
      <c r="F160" s="662"/>
      <c r="G160" s="662"/>
      <c r="H160" s="662"/>
      <c r="I160" s="662"/>
      <c r="J160" s="662"/>
      <c r="K160" s="662"/>
      <c r="L160" s="662"/>
      <c r="M160" s="662"/>
      <c r="N160" s="662"/>
      <c r="O160" s="662"/>
      <c r="P160" s="662"/>
      <c r="Q160" s="662"/>
      <c r="R160" s="662"/>
      <c r="S160" s="662"/>
      <c r="T160" s="662"/>
      <c r="U160" s="662"/>
      <c r="V160" s="662"/>
      <c r="W160" s="662"/>
      <c r="X160" s="662"/>
      <c r="Y160" s="662"/>
      <c r="Z160" s="662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648">
        <v>4680115887374</v>
      </c>
      <c r="E161" s="648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87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0"/>
      <c r="R161" s="650"/>
      <c r="S161" s="650"/>
      <c r="T161" s="651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648">
        <v>4607091384604</v>
      </c>
      <c r="E162" s="648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8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0"/>
      <c r="R162" s="650"/>
      <c r="S162" s="650"/>
      <c r="T162" s="65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648">
        <v>4680115888876</v>
      </c>
      <c r="E163" s="648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6"/>
      <c r="P164" s="652" t="s">
        <v>40</v>
      </c>
      <c r="Q164" s="653"/>
      <c r="R164" s="653"/>
      <c r="S164" s="653"/>
      <c r="T164" s="653"/>
      <c r="U164" s="653"/>
      <c r="V164" s="654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655"/>
      <c r="O165" s="656"/>
      <c r="P165" s="652" t="s">
        <v>40</v>
      </c>
      <c r="Q165" s="653"/>
      <c r="R165" s="653"/>
      <c r="S165" s="653"/>
      <c r="T165" s="653"/>
      <c r="U165" s="653"/>
      <c r="V165" s="654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62" t="s">
        <v>156</v>
      </c>
      <c r="B166" s="662"/>
      <c r="C166" s="662"/>
      <c r="D166" s="662"/>
      <c r="E166" s="662"/>
      <c r="F166" s="662"/>
      <c r="G166" s="662"/>
      <c r="H166" s="662"/>
      <c r="I166" s="662"/>
      <c r="J166" s="662"/>
      <c r="K166" s="662"/>
      <c r="L166" s="662"/>
      <c r="M166" s="662"/>
      <c r="N166" s="662"/>
      <c r="O166" s="662"/>
      <c r="P166" s="662"/>
      <c r="Q166" s="662"/>
      <c r="R166" s="662"/>
      <c r="S166" s="662"/>
      <c r="T166" s="662"/>
      <c r="U166" s="662"/>
      <c r="V166" s="662"/>
      <c r="W166" s="662"/>
      <c r="X166" s="662"/>
      <c r="Y166" s="662"/>
      <c r="Z166" s="662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648">
        <v>4680115887695</v>
      </c>
      <c r="E167" s="648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0"/>
      <c r="R167" s="650"/>
      <c r="S167" s="650"/>
      <c r="T167" s="65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648">
        <v>4680115889491</v>
      </c>
      <c r="E168" s="648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0"/>
      <c r="R168" s="650"/>
      <c r="S168" s="650"/>
      <c r="T168" s="651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6"/>
      <c r="P169" s="652" t="s">
        <v>40</v>
      </c>
      <c r="Q169" s="653"/>
      <c r="R169" s="653"/>
      <c r="S169" s="653"/>
      <c r="T169" s="653"/>
      <c r="U169" s="653"/>
      <c r="V169" s="654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6"/>
      <c r="P170" s="652" t="s">
        <v>40</v>
      </c>
      <c r="Q170" s="653"/>
      <c r="R170" s="653"/>
      <c r="S170" s="653"/>
      <c r="T170" s="653"/>
      <c r="U170" s="653"/>
      <c r="V170" s="654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62" t="s">
        <v>76</v>
      </c>
      <c r="B171" s="662"/>
      <c r="C171" s="662"/>
      <c r="D171" s="662"/>
      <c r="E171" s="662"/>
      <c r="F171" s="662"/>
      <c r="G171" s="662"/>
      <c r="H171" s="662"/>
      <c r="I171" s="662"/>
      <c r="J171" s="662"/>
      <c r="K171" s="662"/>
      <c r="L171" s="662"/>
      <c r="M171" s="662"/>
      <c r="N171" s="662"/>
      <c r="O171" s="662"/>
      <c r="P171" s="662"/>
      <c r="Q171" s="662"/>
      <c r="R171" s="662"/>
      <c r="S171" s="662"/>
      <c r="T171" s="662"/>
      <c r="U171" s="662"/>
      <c r="V171" s="662"/>
      <c r="W171" s="662"/>
      <c r="X171" s="662"/>
      <c r="Y171" s="662"/>
      <c r="Z171" s="662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648">
        <v>4680115887428</v>
      </c>
      <c r="E172" s="648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0"/>
      <c r="R172" s="650"/>
      <c r="S172" s="650"/>
      <c r="T172" s="65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648">
        <v>4680115889170</v>
      </c>
      <c r="E173" s="648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0"/>
      <c r="R173" s="650"/>
      <c r="S173" s="650"/>
      <c r="T173" s="65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648">
        <v>4680115887398</v>
      </c>
      <c r="E174" s="648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5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0"/>
      <c r="R174" s="650"/>
      <c r="S174" s="650"/>
      <c r="T174" s="65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648">
        <v>4680115887398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648">
        <v>4680115887336</v>
      </c>
      <c r="E176" s="64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648">
        <v>4680115887787</v>
      </c>
      <c r="E177" s="648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648">
        <v>4680115887787</v>
      </c>
      <c r="E178" s="648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6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648">
        <v>4680115887503</v>
      </c>
      <c r="E179" s="648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648">
        <v>4680115887763</v>
      </c>
      <c r="E180" s="64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648">
        <v>4680115887480</v>
      </c>
      <c r="E181" s="64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648">
        <v>4680115888067</v>
      </c>
      <c r="E182" s="648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648">
        <v>4680115887435</v>
      </c>
      <c r="E183" s="64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2" t="s">
        <v>40</v>
      </c>
      <c r="Q184" s="653"/>
      <c r="R184" s="653"/>
      <c r="S184" s="653"/>
      <c r="T184" s="653"/>
      <c r="U184" s="653"/>
      <c r="V184" s="654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2" t="s">
        <v>40</v>
      </c>
      <c r="Q185" s="653"/>
      <c r="R185" s="653"/>
      <c r="S185" s="653"/>
      <c r="T185" s="653"/>
      <c r="U185" s="653"/>
      <c r="V185" s="654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62" t="s">
        <v>85</v>
      </c>
      <c r="B186" s="662"/>
      <c r="C186" s="662"/>
      <c r="D186" s="662"/>
      <c r="E186" s="662"/>
      <c r="F186" s="662"/>
      <c r="G186" s="662"/>
      <c r="H186" s="662"/>
      <c r="I186" s="662"/>
      <c r="J186" s="662"/>
      <c r="K186" s="662"/>
      <c r="L186" s="662"/>
      <c r="M186" s="662"/>
      <c r="N186" s="662"/>
      <c r="O186" s="662"/>
      <c r="P186" s="662"/>
      <c r="Q186" s="662"/>
      <c r="R186" s="662"/>
      <c r="S186" s="662"/>
      <c r="T186" s="662"/>
      <c r="U186" s="662"/>
      <c r="V186" s="662"/>
      <c r="W186" s="662"/>
      <c r="X186" s="662"/>
      <c r="Y186" s="662"/>
      <c r="Z186" s="662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648">
        <v>4680115888395</v>
      </c>
      <c r="E187" s="648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0"/>
      <c r="R187" s="650"/>
      <c r="S187" s="650"/>
      <c r="T187" s="65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648">
        <v>4680115888371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648">
        <v>4680115887459</v>
      </c>
      <c r="E189" s="648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6"/>
      <c r="P190" s="652" t="s">
        <v>40</v>
      </c>
      <c r="Q190" s="653"/>
      <c r="R190" s="653"/>
      <c r="S190" s="653"/>
      <c r="T190" s="653"/>
      <c r="U190" s="653"/>
      <c r="V190" s="654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6"/>
      <c r="P191" s="652" t="s">
        <v>40</v>
      </c>
      <c r="Q191" s="653"/>
      <c r="R191" s="653"/>
      <c r="S191" s="653"/>
      <c r="T191" s="653"/>
      <c r="U191" s="653"/>
      <c r="V191" s="654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62" t="s">
        <v>274</v>
      </c>
      <c r="B192" s="662"/>
      <c r="C192" s="662"/>
      <c r="D192" s="662"/>
      <c r="E192" s="662"/>
      <c r="F192" s="662"/>
      <c r="G192" s="662"/>
      <c r="H192" s="662"/>
      <c r="I192" s="662"/>
      <c r="J192" s="662"/>
      <c r="K192" s="662"/>
      <c r="L192" s="662"/>
      <c r="M192" s="662"/>
      <c r="N192" s="662"/>
      <c r="O192" s="662"/>
      <c r="P192" s="662"/>
      <c r="Q192" s="662"/>
      <c r="R192" s="662"/>
      <c r="S192" s="662"/>
      <c r="T192" s="662"/>
      <c r="U192" s="662"/>
      <c r="V192" s="662"/>
      <c r="W192" s="662"/>
      <c r="X192" s="662"/>
      <c r="Y192" s="662"/>
      <c r="Z192" s="662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2" t="s">
        <v>40</v>
      </c>
      <c r="Q194" s="653"/>
      <c r="R194" s="653"/>
      <c r="S194" s="653"/>
      <c r="T194" s="653"/>
      <c r="U194" s="653"/>
      <c r="V194" s="65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2" t="s">
        <v>40</v>
      </c>
      <c r="Q195" s="653"/>
      <c r="R195" s="653"/>
      <c r="S195" s="653"/>
      <c r="T195" s="653"/>
      <c r="U195" s="653"/>
      <c r="V195" s="65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2" t="s">
        <v>339</v>
      </c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2"/>
      <c r="P196" s="662"/>
      <c r="Q196" s="662"/>
      <c r="R196" s="662"/>
      <c r="S196" s="662"/>
      <c r="T196" s="662"/>
      <c r="U196" s="662"/>
      <c r="V196" s="662"/>
      <c r="W196" s="662"/>
      <c r="X196" s="662"/>
      <c r="Y196" s="662"/>
      <c r="Z196" s="662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2" t="s">
        <v>40</v>
      </c>
      <c r="Q198" s="653"/>
      <c r="R198" s="653"/>
      <c r="S198" s="653"/>
      <c r="T198" s="653"/>
      <c r="U198" s="653"/>
      <c r="V198" s="65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2" t="s">
        <v>40</v>
      </c>
      <c r="Q199" s="653"/>
      <c r="R199" s="653"/>
      <c r="S199" s="653"/>
      <c r="T199" s="653"/>
      <c r="U199" s="653"/>
      <c r="V199" s="65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77" t="s">
        <v>343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52"/>
      <c r="AB200" s="52"/>
      <c r="AC200" s="52"/>
    </row>
    <row r="201" spans="1:68" ht="16.5" hidden="1" customHeight="1" x14ac:dyDescent="0.25">
      <c r="A201" s="666" t="s">
        <v>344</v>
      </c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2"/>
      <c r="AB201" s="62"/>
      <c r="AC201" s="62"/>
    </row>
    <row r="202" spans="1:68" ht="14.25" hidden="1" customHeight="1" x14ac:dyDescent="0.25">
      <c r="A202" s="662" t="s">
        <v>121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5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2" t="s">
        <v>40</v>
      </c>
      <c r="Q210" s="653"/>
      <c r="R210" s="653"/>
      <c r="S210" s="653"/>
      <c r="T210" s="653"/>
      <c r="U210" s="653"/>
      <c r="V210" s="65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2" t="s">
        <v>40</v>
      </c>
      <c r="Q211" s="653"/>
      <c r="R211" s="653"/>
      <c r="S211" s="653"/>
      <c r="T211" s="653"/>
      <c r="U211" s="653"/>
      <c r="V211" s="65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666" t="s">
        <v>365</v>
      </c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2"/>
      <c r="AB212" s="62"/>
      <c r="AC212" s="62"/>
    </row>
    <row r="213" spans="1:68" ht="14.25" hidden="1" customHeight="1" x14ac:dyDescent="0.25">
      <c r="A213" s="662" t="s">
        <v>156</v>
      </c>
      <c r="B213" s="662"/>
      <c r="C213" s="662"/>
      <c r="D213" s="662"/>
      <c r="E213" s="662"/>
      <c r="F213" s="662"/>
      <c r="G213" s="662"/>
      <c r="H213" s="662"/>
      <c r="I213" s="662"/>
      <c r="J213" s="662"/>
      <c r="K213" s="662"/>
      <c r="L213" s="662"/>
      <c r="M213" s="662"/>
      <c r="N213" s="662"/>
      <c r="O213" s="662"/>
      <c r="P213" s="662"/>
      <c r="Q213" s="662"/>
      <c r="R213" s="662"/>
      <c r="S213" s="662"/>
      <c r="T213" s="662"/>
      <c r="U213" s="662"/>
      <c r="V213" s="662"/>
      <c r="W213" s="662"/>
      <c r="X213" s="662"/>
      <c r="Y213" s="662"/>
      <c r="Z213" s="662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6"/>
      <c r="P215" s="652" t="s">
        <v>40</v>
      </c>
      <c r="Q215" s="653"/>
      <c r="R215" s="653"/>
      <c r="S215" s="653"/>
      <c r="T215" s="653"/>
      <c r="U215" s="653"/>
      <c r="V215" s="65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6"/>
      <c r="P216" s="652" t="s">
        <v>40</v>
      </c>
      <c r="Q216" s="653"/>
      <c r="R216" s="653"/>
      <c r="S216" s="653"/>
      <c r="T216" s="653"/>
      <c r="U216" s="653"/>
      <c r="V216" s="65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2" t="s">
        <v>76</v>
      </c>
      <c r="B217" s="662"/>
      <c r="C217" s="662"/>
      <c r="D217" s="662"/>
      <c r="E217" s="662"/>
      <c r="F217" s="662"/>
      <c r="G217" s="662"/>
      <c r="H217" s="662"/>
      <c r="I217" s="662"/>
      <c r="J217" s="662"/>
      <c r="K217" s="662"/>
      <c r="L217" s="662"/>
      <c r="M217" s="662"/>
      <c r="N217" s="662"/>
      <c r="O217" s="662"/>
      <c r="P217" s="662"/>
      <c r="Q217" s="662"/>
      <c r="R217" s="662"/>
      <c r="S217" s="662"/>
      <c r="T217" s="662"/>
      <c r="U217" s="662"/>
      <c r="V217" s="662"/>
      <c r="W217" s="662"/>
      <c r="X217" s="662"/>
      <c r="Y217" s="662"/>
      <c r="Z217" s="662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648">
        <v>4680115887565</v>
      </c>
      <c r="E221" s="648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648">
        <v>4680115880986</v>
      </c>
      <c r="E222" s="648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648">
        <v>4680115887213</v>
      </c>
      <c r="E223" s="648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648">
        <v>4680115881785</v>
      </c>
      <c r="E224" s="64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648">
        <v>4680115888432</v>
      </c>
      <c r="E225" s="648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648">
        <v>4680115888104</v>
      </c>
      <c r="E226" s="648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648">
        <v>4680115880191</v>
      </c>
      <c r="E231" s="648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648">
        <v>4680115883963</v>
      </c>
      <c r="E232" s="648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  <c r="L233" s="655"/>
      <c r="M233" s="655"/>
      <c r="N233" s="655"/>
      <c r="O233" s="656"/>
      <c r="P233" s="652" t="s">
        <v>40</v>
      </c>
      <c r="Q233" s="653"/>
      <c r="R233" s="653"/>
      <c r="S233" s="653"/>
      <c r="T233" s="653"/>
      <c r="U233" s="653"/>
      <c r="V233" s="654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6"/>
      <c r="P234" s="652" t="s">
        <v>40</v>
      </c>
      <c r="Q234" s="653"/>
      <c r="R234" s="653"/>
      <c r="S234" s="653"/>
      <c r="T234" s="653"/>
      <c r="U234" s="653"/>
      <c r="V234" s="654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2" t="s">
        <v>85</v>
      </c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648">
        <v>4680115888692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648">
        <v>4680115888692</v>
      </c>
      <c r="E237" s="648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648">
        <v>4680115888722</v>
      </c>
      <c r="E238" s="64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648">
        <v>4680115888722</v>
      </c>
      <c r="E239" s="64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2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648">
        <v>4680115888951</v>
      </c>
      <c r="E240" s="64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2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0"/>
      <c r="R240" s="650"/>
      <c r="S240" s="650"/>
      <c r="T240" s="65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648">
        <v>4680115888951</v>
      </c>
      <c r="E241" s="648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0"/>
      <c r="R241" s="650"/>
      <c r="S241" s="650"/>
      <c r="T241" s="65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648">
        <v>4680115888975</v>
      </c>
      <c r="E242" s="648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2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0"/>
      <c r="R242" s="650"/>
      <c r="S242" s="650"/>
      <c r="T242" s="65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648">
        <v>4680115888982</v>
      </c>
      <c r="E243" s="64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648">
        <v>4680115888982</v>
      </c>
      <c r="E244" s="64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2" t="s">
        <v>40</v>
      </c>
      <c r="Q245" s="653"/>
      <c r="R245" s="653"/>
      <c r="S245" s="653"/>
      <c r="T245" s="653"/>
      <c r="U245" s="653"/>
      <c r="V245" s="654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6"/>
      <c r="P246" s="652" t="s">
        <v>40</v>
      </c>
      <c r="Q246" s="653"/>
      <c r="R246" s="653"/>
      <c r="S246" s="653"/>
      <c r="T246" s="653"/>
      <c r="U246" s="653"/>
      <c r="V246" s="654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62" t="s">
        <v>274</v>
      </c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648">
        <v>4680115886780</v>
      </c>
      <c r="E248" s="64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0"/>
      <c r="R248" s="650"/>
      <c r="S248" s="650"/>
      <c r="T248" s="65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648">
        <v>4680115886742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648">
        <v>4680115886766</v>
      </c>
      <c r="E250" s="64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0"/>
      <c r="R250" s="650"/>
      <c r="S250" s="650"/>
      <c r="T250" s="65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6"/>
      <c r="P251" s="652" t="s">
        <v>40</v>
      </c>
      <c r="Q251" s="653"/>
      <c r="R251" s="653"/>
      <c r="S251" s="653"/>
      <c r="T251" s="653"/>
      <c r="U251" s="653"/>
      <c r="V251" s="654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6"/>
      <c r="P252" s="652" t="s">
        <v>40</v>
      </c>
      <c r="Q252" s="653"/>
      <c r="R252" s="653"/>
      <c r="S252" s="653"/>
      <c r="T252" s="653"/>
      <c r="U252" s="653"/>
      <c r="V252" s="654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2" t="s">
        <v>436</v>
      </c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648">
        <v>4680115886797</v>
      </c>
      <c r="E254" s="648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6"/>
      <c r="P255" s="652" t="s">
        <v>40</v>
      </c>
      <c r="Q255" s="653"/>
      <c r="R255" s="653"/>
      <c r="S255" s="653"/>
      <c r="T255" s="653"/>
      <c r="U255" s="653"/>
      <c r="V255" s="654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2" t="s">
        <v>40</v>
      </c>
      <c r="Q256" s="653"/>
      <c r="R256" s="653"/>
      <c r="S256" s="653"/>
      <c r="T256" s="653"/>
      <c r="U256" s="653"/>
      <c r="V256" s="654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66" t="s">
        <v>439</v>
      </c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2"/>
      <c r="AB257" s="62"/>
      <c r="AC257" s="62"/>
    </row>
    <row r="258" spans="1:68" ht="14.25" hidden="1" customHeight="1" x14ac:dyDescent="0.25">
      <c r="A258" s="662" t="s">
        <v>121</v>
      </c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648">
        <v>4680115881402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648">
        <v>4680115881396</v>
      </c>
      <c r="E260" s="648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6"/>
      <c r="P261" s="652" t="s">
        <v>40</v>
      </c>
      <c r="Q261" s="653"/>
      <c r="R261" s="653"/>
      <c r="S261" s="653"/>
      <c r="T261" s="653"/>
      <c r="U261" s="653"/>
      <c r="V261" s="65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  <c r="L262" s="655"/>
      <c r="M262" s="655"/>
      <c r="N262" s="655"/>
      <c r="O262" s="656"/>
      <c r="P262" s="652" t="s">
        <v>40</v>
      </c>
      <c r="Q262" s="653"/>
      <c r="R262" s="653"/>
      <c r="S262" s="653"/>
      <c r="T262" s="653"/>
      <c r="U262" s="653"/>
      <c r="V262" s="65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62" t="s">
        <v>156</v>
      </c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648">
        <v>4680115882935</v>
      </c>
      <c r="E264" s="648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648">
        <v>4680115880764</v>
      </c>
      <c r="E265" s="648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2" t="s">
        <v>40</v>
      </c>
      <c r="Q266" s="653"/>
      <c r="R266" s="653"/>
      <c r="S266" s="653"/>
      <c r="T266" s="653"/>
      <c r="U266" s="653"/>
      <c r="V266" s="654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2" t="s">
        <v>40</v>
      </c>
      <c r="Q267" s="653"/>
      <c r="R267" s="653"/>
      <c r="S267" s="653"/>
      <c r="T267" s="653"/>
      <c r="U267" s="653"/>
      <c r="V267" s="654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2" t="s">
        <v>76</v>
      </c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648">
        <v>4680115882683</v>
      </c>
      <c r="E269" s="64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648">
        <v>4680115882690</v>
      </c>
      <c r="E270" s="64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648">
        <v>4680115882669</v>
      </c>
      <c r="E271" s="64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648">
        <v>4680115882676</v>
      </c>
      <c r="E272" s="64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0"/>
      <c r="R272" s="650"/>
      <c r="S272" s="650"/>
      <c r="T272" s="65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648">
        <v>4680115884014</v>
      </c>
      <c r="E273" s="648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0"/>
      <c r="R273" s="650"/>
      <c r="S273" s="650"/>
      <c r="T273" s="65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648">
        <v>4680115884007</v>
      </c>
      <c r="E274" s="64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0"/>
      <c r="R274" s="650"/>
      <c r="S274" s="650"/>
      <c r="T274" s="65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648">
        <v>4680115884038</v>
      </c>
      <c r="E275" s="648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648">
        <v>4680115884021</v>
      </c>
      <c r="E276" s="64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6"/>
      <c r="P277" s="652" t="s">
        <v>40</v>
      </c>
      <c r="Q277" s="653"/>
      <c r="R277" s="653"/>
      <c r="S277" s="653"/>
      <c r="T277" s="653"/>
      <c r="U277" s="653"/>
      <c r="V277" s="654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  <c r="L278" s="655"/>
      <c r="M278" s="655"/>
      <c r="N278" s="655"/>
      <c r="O278" s="656"/>
      <c r="P278" s="652" t="s">
        <v>40</v>
      </c>
      <c r="Q278" s="653"/>
      <c r="R278" s="653"/>
      <c r="S278" s="653"/>
      <c r="T278" s="653"/>
      <c r="U278" s="653"/>
      <c r="V278" s="654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62" t="s">
        <v>85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648">
        <v>4680115881594</v>
      </c>
      <c r="E280" s="648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648">
        <v>4680115881617</v>
      </c>
      <c r="E281" s="648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648">
        <v>4680115880573</v>
      </c>
      <c r="E282" s="648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648">
        <v>4680115882195</v>
      </c>
      <c r="E283" s="648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648">
        <v>4680115882607</v>
      </c>
      <c r="E284" s="648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648">
        <v>4680115882607</v>
      </c>
      <c r="E285" s="648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648">
        <v>4680115880092</v>
      </c>
      <c r="E286" s="64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0"/>
      <c r="R286" s="650"/>
      <c r="S286" s="650"/>
      <c r="T286" s="65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648">
        <v>4680115889064</v>
      </c>
      <c r="E287" s="648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0"/>
      <c r="R287" s="650"/>
      <c r="S287" s="650"/>
      <c r="T287" s="65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648">
        <v>4680115880221</v>
      </c>
      <c r="E288" s="64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0"/>
      <c r="R288" s="650"/>
      <c r="S288" s="650"/>
      <c r="T288" s="65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648">
        <v>4680115880504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648">
        <v>4680115882164</v>
      </c>
      <c r="E290" s="648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648">
        <v>4680115888340</v>
      </c>
      <c r="E291" s="64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0"/>
      <c r="R291" s="650"/>
      <c r="S291" s="650"/>
      <c r="T291" s="65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2" t="s">
        <v>40</v>
      </c>
      <c r="Q292" s="653"/>
      <c r="R292" s="653"/>
      <c r="S292" s="653"/>
      <c r="T292" s="653"/>
      <c r="U292" s="653"/>
      <c r="V292" s="654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6"/>
      <c r="P293" s="652" t="s">
        <v>40</v>
      </c>
      <c r="Q293" s="653"/>
      <c r="R293" s="653"/>
      <c r="S293" s="653"/>
      <c r="T293" s="653"/>
      <c r="U293" s="653"/>
      <c r="V293" s="654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2" t="s">
        <v>174</v>
      </c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648">
        <v>4680115880818</v>
      </c>
      <c r="E295" s="64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648">
        <v>4680115880801</v>
      </c>
      <c r="E296" s="64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2" t="s">
        <v>40</v>
      </c>
      <c r="Q297" s="653"/>
      <c r="R297" s="653"/>
      <c r="S297" s="653"/>
      <c r="T297" s="653"/>
      <c r="U297" s="653"/>
      <c r="V297" s="654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6"/>
      <c r="P298" s="652" t="s">
        <v>40</v>
      </c>
      <c r="Q298" s="653"/>
      <c r="R298" s="653"/>
      <c r="S298" s="653"/>
      <c r="T298" s="653"/>
      <c r="U298" s="653"/>
      <c r="V298" s="654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66" t="s">
        <v>507</v>
      </c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2"/>
      <c r="AB299" s="62"/>
      <c r="AC299" s="62"/>
    </row>
    <row r="300" spans="1:68" ht="14.25" hidden="1" customHeight="1" x14ac:dyDescent="0.25">
      <c r="A300" s="662" t="s">
        <v>121</v>
      </c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648">
        <v>4680115884137</v>
      </c>
      <c r="E301" s="64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648">
        <v>4680115884236</v>
      </c>
      <c r="E302" s="648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0"/>
      <c r="R302" s="650"/>
      <c r="S302" s="650"/>
      <c r="T302" s="651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648">
        <v>4680115884175</v>
      </c>
      <c r="E303" s="64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0"/>
      <c r="R303" s="650"/>
      <c r="S303" s="650"/>
      <c r="T303" s="65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648">
        <v>4680115884144</v>
      </c>
      <c r="E304" s="648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0"/>
      <c r="R304" s="650"/>
      <c r="S304" s="650"/>
      <c r="T304" s="65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648">
        <v>4680115886551</v>
      </c>
      <c r="E305" s="64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648">
        <v>4680115887282</v>
      </c>
      <c r="E306" s="648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0"/>
      <c r="R306" s="650"/>
      <c r="S306" s="650"/>
      <c r="T306" s="65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648">
        <v>4680115884205</v>
      </c>
      <c r="E307" s="64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0"/>
      <c r="R307" s="650"/>
      <c r="S307" s="650"/>
      <c r="T307" s="65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2" t="s">
        <v>40</v>
      </c>
      <c r="Q308" s="653"/>
      <c r="R308" s="653"/>
      <c r="S308" s="653"/>
      <c r="T308" s="653"/>
      <c r="U308" s="653"/>
      <c r="V308" s="654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6"/>
      <c r="P309" s="652" t="s">
        <v>40</v>
      </c>
      <c r="Q309" s="653"/>
      <c r="R309" s="653"/>
      <c r="S309" s="653"/>
      <c r="T309" s="653"/>
      <c r="U309" s="653"/>
      <c r="V309" s="654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62" t="s">
        <v>156</v>
      </c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648">
        <v>4680115885981</v>
      </c>
      <c r="E311" s="648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0"/>
      <c r="R311" s="650"/>
      <c r="S311" s="650"/>
      <c r="T311" s="65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6"/>
      <c r="P312" s="652" t="s">
        <v>40</v>
      </c>
      <c r="Q312" s="653"/>
      <c r="R312" s="653"/>
      <c r="S312" s="653"/>
      <c r="T312" s="653"/>
      <c r="U312" s="653"/>
      <c r="V312" s="654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6"/>
      <c r="P313" s="652" t="s">
        <v>40</v>
      </c>
      <c r="Q313" s="653"/>
      <c r="R313" s="653"/>
      <c r="S313" s="653"/>
      <c r="T313" s="653"/>
      <c r="U313" s="653"/>
      <c r="V313" s="654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62" t="s">
        <v>529</v>
      </c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648">
        <v>4680115886803</v>
      </c>
      <c r="E315" s="648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6"/>
      <c r="P316" s="652" t="s">
        <v>40</v>
      </c>
      <c r="Q316" s="653"/>
      <c r="R316" s="653"/>
      <c r="S316" s="653"/>
      <c r="T316" s="653"/>
      <c r="U316" s="653"/>
      <c r="V316" s="654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2" t="s">
        <v>40</v>
      </c>
      <c r="Q317" s="653"/>
      <c r="R317" s="653"/>
      <c r="S317" s="653"/>
      <c r="T317" s="653"/>
      <c r="U317" s="653"/>
      <c r="V317" s="654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62" t="s">
        <v>339</v>
      </c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648">
        <v>4680115886704</v>
      </c>
      <c r="E319" s="648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0"/>
      <c r="R319" s="650"/>
      <c r="S319" s="650"/>
      <c r="T319" s="65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648">
        <v>4680115886681</v>
      </c>
      <c r="E320" s="648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0"/>
      <c r="R320" s="650"/>
      <c r="S320" s="650"/>
      <c r="T320" s="65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648">
        <v>4680115886735</v>
      </c>
      <c r="E321" s="648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6"/>
      <c r="P322" s="652" t="s">
        <v>40</v>
      </c>
      <c r="Q322" s="653"/>
      <c r="R322" s="653"/>
      <c r="S322" s="653"/>
      <c r="T322" s="653"/>
      <c r="U322" s="653"/>
      <c r="V322" s="654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6"/>
      <c r="P323" s="652" t="s">
        <v>40</v>
      </c>
      <c r="Q323" s="653"/>
      <c r="R323" s="653"/>
      <c r="S323" s="653"/>
      <c r="T323" s="653"/>
      <c r="U323" s="653"/>
      <c r="V323" s="654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6" t="s">
        <v>540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2"/>
      <c r="AB324" s="62"/>
      <c r="AC324" s="62"/>
    </row>
    <row r="325" spans="1:68" ht="14.25" hidden="1" customHeight="1" x14ac:dyDescent="0.25">
      <c r="A325" s="662" t="s">
        <v>121</v>
      </c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648">
        <v>4680115885837</v>
      </c>
      <c r="E326" s="64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648">
        <v>4680115887237</v>
      </c>
      <c r="E327" s="64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648">
        <v>4680115885806</v>
      </c>
      <c r="E328" s="64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0"/>
      <c r="R328" s="650"/>
      <c r="S328" s="650"/>
      <c r="T328" s="65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648">
        <v>4680115885844</v>
      </c>
      <c r="E329" s="648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0"/>
      <c r="R329" s="650"/>
      <c r="S329" s="650"/>
      <c r="T329" s="65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648">
        <v>4680115885820</v>
      </c>
      <c r="E330" s="64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0"/>
      <c r="R330" s="650"/>
      <c r="S330" s="650"/>
      <c r="T330" s="65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6"/>
      <c r="P331" s="652" t="s">
        <v>40</v>
      </c>
      <c r="Q331" s="653"/>
      <c r="R331" s="653"/>
      <c r="S331" s="653"/>
      <c r="T331" s="653"/>
      <c r="U331" s="653"/>
      <c r="V331" s="654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2" t="s">
        <v>40</v>
      </c>
      <c r="Q332" s="653"/>
      <c r="R332" s="653"/>
      <c r="S332" s="653"/>
      <c r="T332" s="653"/>
      <c r="U332" s="653"/>
      <c r="V332" s="654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66" t="s">
        <v>556</v>
      </c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2"/>
      <c r="AB333" s="62"/>
      <c r="AC333" s="62"/>
    </row>
    <row r="334" spans="1:68" ht="14.25" hidden="1" customHeight="1" x14ac:dyDescent="0.25">
      <c r="A334" s="662" t="s">
        <v>85</v>
      </c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648">
        <v>4680115886186</v>
      </c>
      <c r="E335" s="648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0"/>
      <c r="R335" s="650"/>
      <c r="S335" s="650"/>
      <c r="T335" s="65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648">
        <v>4680115881228</v>
      </c>
      <c r="E336" s="648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0"/>
      <c r="R336" s="650"/>
      <c r="S336" s="650"/>
      <c r="T336" s="65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648">
        <v>4680115881211</v>
      </c>
      <c r="E337" s="648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0"/>
      <c r="R337" s="650"/>
      <c r="S337" s="650"/>
      <c r="T337" s="65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2" t="s">
        <v>40</v>
      </c>
      <c r="Q338" s="653"/>
      <c r="R338" s="653"/>
      <c r="S338" s="653"/>
      <c r="T338" s="653"/>
      <c r="U338" s="653"/>
      <c r="V338" s="654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2" t="s">
        <v>40</v>
      </c>
      <c r="Q339" s="653"/>
      <c r="R339" s="653"/>
      <c r="S339" s="653"/>
      <c r="T339" s="653"/>
      <c r="U339" s="653"/>
      <c r="V339" s="654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66" t="s">
        <v>565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2" t="s">
        <v>76</v>
      </c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648">
        <v>4680115888319</v>
      </c>
      <c r="E342" s="648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648">
        <v>4680115884700</v>
      </c>
      <c r="E343" s="648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0"/>
      <c r="R343" s="650"/>
      <c r="S343" s="650"/>
      <c r="T343" s="65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648">
        <v>4680115880344</v>
      </c>
      <c r="E344" s="648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0"/>
      <c r="R344" s="650"/>
      <c r="S344" s="650"/>
      <c r="T344" s="65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648">
        <v>4680115886919</v>
      </c>
      <c r="E345" s="648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0"/>
      <c r="R345" s="650"/>
      <c r="S345" s="650"/>
      <c r="T345" s="65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648">
        <v>4680115883970</v>
      </c>
      <c r="E346" s="648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6"/>
      <c r="P347" s="652" t="s">
        <v>40</v>
      </c>
      <c r="Q347" s="653"/>
      <c r="R347" s="653"/>
      <c r="S347" s="653"/>
      <c r="T347" s="653"/>
      <c r="U347" s="653"/>
      <c r="V347" s="654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6"/>
      <c r="P348" s="652" t="s">
        <v>40</v>
      </c>
      <c r="Q348" s="653"/>
      <c r="R348" s="653"/>
      <c r="S348" s="653"/>
      <c r="T348" s="653"/>
      <c r="U348" s="653"/>
      <c r="V348" s="654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62" t="s">
        <v>85</v>
      </c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648">
        <v>4680115884618</v>
      </c>
      <c r="E350" s="648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0"/>
      <c r="R350" s="650"/>
      <c r="S350" s="650"/>
      <c r="T350" s="65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648">
        <v>4680115887114</v>
      </c>
      <c r="E351" s="648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0"/>
      <c r="R351" s="650"/>
      <c r="S351" s="650"/>
      <c r="T351" s="65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2" t="s">
        <v>40</v>
      </c>
      <c r="Q352" s="653"/>
      <c r="R352" s="653"/>
      <c r="S352" s="653"/>
      <c r="T352" s="653"/>
      <c r="U352" s="653"/>
      <c r="V352" s="654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6"/>
      <c r="P353" s="652" t="s">
        <v>40</v>
      </c>
      <c r="Q353" s="653"/>
      <c r="R353" s="653"/>
      <c r="S353" s="653"/>
      <c r="T353" s="653"/>
      <c r="U353" s="653"/>
      <c r="V353" s="654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66" t="s">
        <v>586</v>
      </c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2"/>
      <c r="AB354" s="62"/>
      <c r="AC354" s="62"/>
    </row>
    <row r="355" spans="1:68" ht="14.25" hidden="1" customHeight="1" x14ac:dyDescent="0.25">
      <c r="A355" s="662" t="s">
        <v>121</v>
      </c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648">
        <v>4680115887947</v>
      </c>
      <c r="E356" s="64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0"/>
      <c r="R356" s="650"/>
      <c r="S356" s="650"/>
      <c r="T356" s="651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648">
        <v>4680115887978</v>
      </c>
      <c r="E357" s="64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7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648">
        <v>4680115887992</v>
      </c>
      <c r="E358" s="64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0"/>
      <c r="R358" s="650"/>
      <c r="S358" s="650"/>
      <c r="T358" s="65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6"/>
      <c r="P359" s="652" t="s">
        <v>40</v>
      </c>
      <c r="Q359" s="653"/>
      <c r="R359" s="653"/>
      <c r="S359" s="653"/>
      <c r="T359" s="653"/>
      <c r="U359" s="653"/>
      <c r="V359" s="654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6"/>
      <c r="P360" s="652" t="s">
        <v>40</v>
      </c>
      <c r="Q360" s="653"/>
      <c r="R360" s="653"/>
      <c r="S360" s="653"/>
      <c r="T360" s="653"/>
      <c r="U360" s="653"/>
      <c r="V360" s="654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595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2" t="s">
        <v>121</v>
      </c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648">
        <v>4680115889293</v>
      </c>
      <c r="E363" s="64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75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648">
        <v>4680115887190</v>
      </c>
      <c r="E364" s="64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648">
        <v>4680115887138</v>
      </c>
      <c r="E365" s="64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7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0"/>
      <c r="R365" s="650"/>
      <c r="S365" s="650"/>
      <c r="T365" s="65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648">
        <v>4680115885554</v>
      </c>
      <c r="E366" s="64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0"/>
      <c r="R366" s="650"/>
      <c r="S366" s="650"/>
      <c r="T366" s="65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648">
        <v>4680115887220</v>
      </c>
      <c r="E367" s="648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7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0"/>
      <c r="R367" s="650"/>
      <c r="S367" s="650"/>
      <c r="T367" s="65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648">
        <v>4680115885608</v>
      </c>
      <c r="E368" s="648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0"/>
      <c r="R368" s="650"/>
      <c r="S368" s="650"/>
      <c r="T368" s="65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  <c r="L369" s="655"/>
      <c r="M369" s="655"/>
      <c r="N369" s="655"/>
      <c r="O369" s="656"/>
      <c r="P369" s="652" t="s">
        <v>40</v>
      </c>
      <c r="Q369" s="653"/>
      <c r="R369" s="653"/>
      <c r="S369" s="653"/>
      <c r="T369" s="653"/>
      <c r="U369" s="653"/>
      <c r="V369" s="654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  <c r="L370" s="655"/>
      <c r="M370" s="655"/>
      <c r="N370" s="655"/>
      <c r="O370" s="656"/>
      <c r="P370" s="652" t="s">
        <v>40</v>
      </c>
      <c r="Q370" s="653"/>
      <c r="R370" s="653"/>
      <c r="S370" s="653"/>
      <c r="T370" s="653"/>
      <c r="U370" s="653"/>
      <c r="V370" s="654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2" t="s">
        <v>76</v>
      </c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648">
        <v>4607091387193</v>
      </c>
      <c r="E372" s="648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648">
        <v>4607091387230</v>
      </c>
      <c r="E373" s="648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648">
        <v>4607091387292</v>
      </c>
      <c r="E374" s="64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648">
        <v>4607091387285</v>
      </c>
      <c r="E375" s="648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648">
        <v>4607091389845</v>
      </c>
      <c r="E376" s="648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0"/>
      <c r="R376" s="650"/>
      <c r="S376" s="650"/>
      <c r="T376" s="65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648">
        <v>4680115887442</v>
      </c>
      <c r="E377" s="64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0"/>
      <c r="R377" s="650"/>
      <c r="S377" s="650"/>
      <c r="T377" s="65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648">
        <v>4607091383836</v>
      </c>
      <c r="E378" s="648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0"/>
      <c r="R378" s="650"/>
      <c r="S378" s="650"/>
      <c r="T378" s="65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2" t="s">
        <v>40</v>
      </c>
      <c r="Q379" s="653"/>
      <c r="R379" s="653"/>
      <c r="S379" s="653"/>
      <c r="T379" s="653"/>
      <c r="U379" s="653"/>
      <c r="V379" s="654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2" t="s">
        <v>40</v>
      </c>
      <c r="Q380" s="653"/>
      <c r="R380" s="653"/>
      <c r="S380" s="653"/>
      <c r="T380" s="653"/>
      <c r="U380" s="653"/>
      <c r="V380" s="654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62" t="s">
        <v>85</v>
      </c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648">
        <v>4607091387766</v>
      </c>
      <c r="E382" s="648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648">
        <v>4607091387957</v>
      </c>
      <c r="E383" s="648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648">
        <v>4607091387964</v>
      </c>
      <c r="E384" s="648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648">
        <v>4680115884588</v>
      </c>
      <c r="E385" s="648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6"/>
      <c r="P386" s="652" t="s">
        <v>40</v>
      </c>
      <c r="Q386" s="653"/>
      <c r="R386" s="653"/>
      <c r="S386" s="653"/>
      <c r="T386" s="653"/>
      <c r="U386" s="653"/>
      <c r="V386" s="654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  <c r="L387" s="655"/>
      <c r="M387" s="655"/>
      <c r="N387" s="655"/>
      <c r="O387" s="656"/>
      <c r="P387" s="652" t="s">
        <v>40</v>
      </c>
      <c r="Q387" s="653"/>
      <c r="R387" s="653"/>
      <c r="S387" s="653"/>
      <c r="T387" s="653"/>
      <c r="U387" s="653"/>
      <c r="V387" s="654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2" t="s">
        <v>174</v>
      </c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648">
        <v>4607091380880</v>
      </c>
      <c r="E389" s="648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648">
        <v>4607091384482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648">
        <v>4607091380897</v>
      </c>
      <c r="E391" s="64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  <c r="L392" s="655"/>
      <c r="M392" s="655"/>
      <c r="N392" s="655"/>
      <c r="O392" s="656"/>
      <c r="P392" s="652" t="s">
        <v>40</v>
      </c>
      <c r="Q392" s="653"/>
      <c r="R392" s="653"/>
      <c r="S392" s="653"/>
      <c r="T392" s="653"/>
      <c r="U392" s="653"/>
      <c r="V392" s="654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  <c r="L393" s="655"/>
      <c r="M393" s="655"/>
      <c r="N393" s="655"/>
      <c r="O393" s="656"/>
      <c r="P393" s="652" t="s">
        <v>40</v>
      </c>
      <c r="Q393" s="653"/>
      <c r="R393" s="653"/>
      <c r="S393" s="653"/>
      <c r="T393" s="653"/>
      <c r="U393" s="653"/>
      <c r="V393" s="654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62" t="s">
        <v>274</v>
      </c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648">
        <v>4607091388381</v>
      </c>
      <c r="E395" s="648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0"/>
      <c r="R395" s="650"/>
      <c r="S395" s="650"/>
      <c r="T395" s="65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648">
        <v>4607091388374</v>
      </c>
      <c r="E396" s="648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648">
        <v>4607091383102</v>
      </c>
      <c r="E397" s="648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648">
        <v>4607091388404</v>
      </c>
      <c r="E398" s="648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6"/>
      <c r="P399" s="652" t="s">
        <v>40</v>
      </c>
      <c r="Q399" s="653"/>
      <c r="R399" s="653"/>
      <c r="S399" s="653"/>
      <c r="T399" s="653"/>
      <c r="U399" s="653"/>
      <c r="V399" s="654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6"/>
      <c r="P400" s="652" t="s">
        <v>40</v>
      </c>
      <c r="Q400" s="653"/>
      <c r="R400" s="653"/>
      <c r="S400" s="653"/>
      <c r="T400" s="653"/>
      <c r="U400" s="653"/>
      <c r="V400" s="654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2" t="s">
        <v>661</v>
      </c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648">
        <v>4680115881808</v>
      </c>
      <c r="E402" s="648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648">
        <v>4680115881822</v>
      </c>
      <c r="E403" s="648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648">
        <v>4680115880016</v>
      </c>
      <c r="E404" s="64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6"/>
      <c r="P405" s="652" t="s">
        <v>40</v>
      </c>
      <c r="Q405" s="653"/>
      <c r="R405" s="653"/>
      <c r="S405" s="653"/>
      <c r="T405" s="653"/>
      <c r="U405" s="653"/>
      <c r="V405" s="654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  <c r="L406" s="655"/>
      <c r="M406" s="655"/>
      <c r="N406" s="655"/>
      <c r="O406" s="656"/>
      <c r="P406" s="652" t="s">
        <v>40</v>
      </c>
      <c r="Q406" s="653"/>
      <c r="R406" s="653"/>
      <c r="S406" s="653"/>
      <c r="T406" s="653"/>
      <c r="U406" s="653"/>
      <c r="V406" s="654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2" t="s">
        <v>670</v>
      </c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648">
        <v>4680115888678</v>
      </c>
      <c r="E408" s="648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73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0"/>
      <c r="R408" s="650"/>
      <c r="S408" s="650"/>
      <c r="T408" s="651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648">
        <v>4680115888654</v>
      </c>
      <c r="E409" s="648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73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648">
        <v>4680115888753</v>
      </c>
      <c r="E410" s="64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73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6"/>
      <c r="P411" s="652" t="s">
        <v>40</v>
      </c>
      <c r="Q411" s="653"/>
      <c r="R411" s="653"/>
      <c r="S411" s="653"/>
      <c r="T411" s="653"/>
      <c r="U411" s="653"/>
      <c r="V411" s="654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2" t="s">
        <v>40</v>
      </c>
      <c r="Q412" s="653"/>
      <c r="R412" s="653"/>
      <c r="S412" s="653"/>
      <c r="T412" s="653"/>
      <c r="U412" s="653"/>
      <c r="V412" s="654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66" t="s">
        <v>679</v>
      </c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2"/>
      <c r="AB413" s="62"/>
      <c r="AC413" s="62"/>
    </row>
    <row r="414" spans="1:68" ht="14.25" hidden="1" customHeight="1" x14ac:dyDescent="0.25">
      <c r="A414" s="662" t="s">
        <v>85</v>
      </c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648">
        <v>4680115889415</v>
      </c>
      <c r="E415" s="648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648">
        <v>4680115889422</v>
      </c>
      <c r="E416" s="648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6"/>
      <c r="P417" s="652" t="s">
        <v>40</v>
      </c>
      <c r="Q417" s="653"/>
      <c r="R417" s="653"/>
      <c r="S417" s="653"/>
      <c r="T417" s="653"/>
      <c r="U417" s="653"/>
      <c r="V417" s="654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  <c r="L418" s="655"/>
      <c r="M418" s="655"/>
      <c r="N418" s="655"/>
      <c r="O418" s="656"/>
      <c r="P418" s="652" t="s">
        <v>40</v>
      </c>
      <c r="Q418" s="653"/>
      <c r="R418" s="653"/>
      <c r="S418" s="653"/>
      <c r="T418" s="653"/>
      <c r="U418" s="653"/>
      <c r="V418" s="654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6" t="s">
        <v>686</v>
      </c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2"/>
      <c r="AB419" s="62"/>
      <c r="AC419" s="62"/>
    </row>
    <row r="420" spans="1:68" ht="14.25" hidden="1" customHeight="1" x14ac:dyDescent="0.25">
      <c r="A420" s="662" t="s">
        <v>85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648">
        <v>4607091387919</v>
      </c>
      <c r="E421" s="648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72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0"/>
      <c r="R421" s="650"/>
      <c r="S421" s="650"/>
      <c r="T421" s="651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648">
        <v>4680115883604</v>
      </c>
      <c r="E422" s="648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648">
        <v>4680115883567</v>
      </c>
      <c r="E423" s="648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6"/>
      <c r="P424" s="652" t="s">
        <v>40</v>
      </c>
      <c r="Q424" s="653"/>
      <c r="R424" s="653"/>
      <c r="S424" s="653"/>
      <c r="T424" s="653"/>
      <c r="U424" s="653"/>
      <c r="V424" s="654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6"/>
      <c r="P425" s="652" t="s">
        <v>40</v>
      </c>
      <c r="Q425" s="653"/>
      <c r="R425" s="653"/>
      <c r="S425" s="653"/>
      <c r="T425" s="653"/>
      <c r="U425" s="653"/>
      <c r="V425" s="654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677" t="s">
        <v>696</v>
      </c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77"/>
      <c r="P426" s="677"/>
      <c r="Q426" s="677"/>
      <c r="R426" s="677"/>
      <c r="S426" s="677"/>
      <c r="T426" s="677"/>
      <c r="U426" s="677"/>
      <c r="V426" s="677"/>
      <c r="W426" s="677"/>
      <c r="X426" s="677"/>
      <c r="Y426" s="677"/>
      <c r="Z426" s="677"/>
      <c r="AA426" s="52"/>
      <c r="AB426" s="52"/>
      <c r="AC426" s="52"/>
    </row>
    <row r="427" spans="1:68" ht="16.5" hidden="1" customHeight="1" x14ac:dyDescent="0.25">
      <c r="A427" s="666" t="s">
        <v>697</v>
      </c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2"/>
      <c r="AB427" s="62"/>
      <c r="AC427" s="62"/>
    </row>
    <row r="428" spans="1:68" ht="14.25" hidden="1" customHeight="1" x14ac:dyDescent="0.25">
      <c r="A428" s="662" t="s">
        <v>121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648">
        <v>4680115888401</v>
      </c>
      <c r="E429" s="64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7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0"/>
      <c r="R429" s="650"/>
      <c r="S429" s="650"/>
      <c r="T429" s="651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hidden="1" customHeight="1" x14ac:dyDescent="0.25">
      <c r="A430" s="60" t="s">
        <v>701</v>
      </c>
      <c r="B430" s="60" t="s">
        <v>702</v>
      </c>
      <c r="C430" s="34">
        <v>4301011869</v>
      </c>
      <c r="D430" s="648">
        <v>4680115884847</v>
      </c>
      <c r="E430" s="64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7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4301012083</v>
      </c>
      <c r="D431" s="648">
        <v>4680115884854</v>
      </c>
      <c r="E431" s="64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7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707</v>
      </c>
      <c r="B432" s="60" t="s">
        <v>708</v>
      </c>
      <c r="C432" s="34">
        <v>4301011867</v>
      </c>
      <c r="D432" s="648">
        <v>4680115884830</v>
      </c>
      <c r="E432" s="64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648">
        <v>4680115889231</v>
      </c>
      <c r="E433" s="64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72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0"/>
      <c r="R433" s="650"/>
      <c r="S433" s="650"/>
      <c r="T433" s="65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648">
        <v>4680115882638</v>
      </c>
      <c r="E434" s="648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0"/>
      <c r="R434" s="650"/>
      <c r="S434" s="650"/>
      <c r="T434" s="65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648">
        <v>4680115884922</v>
      </c>
      <c r="E435" s="648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0"/>
      <c r="R435" s="650"/>
      <c r="S435" s="650"/>
      <c r="T435" s="65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648">
        <v>4680115884861</v>
      </c>
      <c r="E436" s="648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0"/>
      <c r="R436" s="650"/>
      <c r="S436" s="650"/>
      <c r="T436" s="65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idden="1" x14ac:dyDescent="0.2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  <c r="L437" s="655"/>
      <c r="M437" s="655"/>
      <c r="N437" s="655"/>
      <c r="O437" s="656"/>
      <c r="P437" s="652" t="s">
        <v>40</v>
      </c>
      <c r="Q437" s="653"/>
      <c r="R437" s="653"/>
      <c r="S437" s="653"/>
      <c r="T437" s="653"/>
      <c r="U437" s="653"/>
      <c r="V437" s="654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0</v>
      </c>
      <c r="Y437" s="41">
        <f>IFERROR(Y429/H429,"0")+IFERROR(Y430/H430,"0")+IFERROR(Y431/H431,"0")+IFERROR(Y432/H432,"0")+IFERROR(Y433/H433,"0")+IFERROR(Y434/H434,"0")+IFERROR(Y435/H435,"0")+IFERROR(Y436/H436,"0")</f>
        <v>0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2" t="s">
        <v>40</v>
      </c>
      <c r="Q438" s="653"/>
      <c r="R438" s="653"/>
      <c r="S438" s="653"/>
      <c r="T438" s="653"/>
      <c r="U438" s="653"/>
      <c r="V438" s="654"/>
      <c r="W438" s="40" t="s">
        <v>0</v>
      </c>
      <c r="X438" s="41">
        <f>IFERROR(SUM(X429:X436),"0")</f>
        <v>0</v>
      </c>
      <c r="Y438" s="41">
        <f>IFERROR(SUM(Y429:Y436),"0")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62" t="s">
        <v>156</v>
      </c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3"/>
      <c r="AB439" s="63"/>
      <c r="AC439" s="63"/>
    </row>
    <row r="440" spans="1:68" ht="27" customHeight="1" x14ac:dyDescent="0.25">
      <c r="A440" s="60" t="s">
        <v>722</v>
      </c>
      <c r="B440" s="60" t="s">
        <v>723</v>
      </c>
      <c r="C440" s="34">
        <v>4301020178</v>
      </c>
      <c r="D440" s="648">
        <v>4607091383980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7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1200</v>
      </c>
      <c r="Y440" s="53">
        <f>IFERROR(IF(X440="",0,CEILING((X440/$H440),1)*$H440),"")</f>
        <v>1200</v>
      </c>
      <c r="Z440" s="39">
        <f>IFERROR(IF(Y440=0,"",ROUNDUP(Y440/H440,0)*0.02175),"")</f>
        <v>1.7399999999999998</v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1237.5999999999999</v>
      </c>
      <c r="BN440" s="75">
        <f>IFERROR(Y440*I440/H440,"0")</f>
        <v>1237.5999999999999</v>
      </c>
      <c r="BO440" s="75">
        <f>IFERROR(1/J440*(X440/H440),"0")</f>
        <v>1.6666666666666665</v>
      </c>
      <c r="BP440" s="75">
        <f>IFERROR(1/J440*(Y440/H440),"0")</f>
        <v>1.6666666666666665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648">
        <v>4680115888425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7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648">
        <v>4607091384178</v>
      </c>
      <c r="E442" s="648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  <c r="L443" s="655"/>
      <c r="M443" s="655"/>
      <c r="N443" s="655"/>
      <c r="O443" s="656"/>
      <c r="P443" s="652" t="s">
        <v>40</v>
      </c>
      <c r="Q443" s="653"/>
      <c r="R443" s="653"/>
      <c r="S443" s="653"/>
      <c r="T443" s="653"/>
      <c r="U443" s="653"/>
      <c r="V443" s="654"/>
      <c r="W443" s="40" t="s">
        <v>39</v>
      </c>
      <c r="X443" s="41">
        <f>IFERROR(X440/H440,"0")+IFERROR(X441/H441,"0")+IFERROR(X442/H442,"0")</f>
        <v>80</v>
      </c>
      <c r="Y443" s="41">
        <f>IFERROR(Y440/H440,"0")+IFERROR(Y441/H441,"0")+IFERROR(Y442/H442,"0")</f>
        <v>80</v>
      </c>
      <c r="Z443" s="41">
        <f>IFERROR(IF(Z440="",0,Z440),"0")+IFERROR(IF(Z441="",0,Z441),"0")+IFERROR(IF(Z442="",0,Z442),"0")</f>
        <v>1.7399999999999998</v>
      </c>
      <c r="AA443" s="64"/>
      <c r="AB443" s="64"/>
      <c r="AC443" s="64"/>
    </row>
    <row r="444" spans="1:68" x14ac:dyDescent="0.2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  <c r="L444" s="655"/>
      <c r="M444" s="655"/>
      <c r="N444" s="655"/>
      <c r="O444" s="656"/>
      <c r="P444" s="652" t="s">
        <v>40</v>
      </c>
      <c r="Q444" s="653"/>
      <c r="R444" s="653"/>
      <c r="S444" s="653"/>
      <c r="T444" s="653"/>
      <c r="U444" s="653"/>
      <c r="V444" s="654"/>
      <c r="W444" s="40" t="s">
        <v>0</v>
      </c>
      <c r="X444" s="41">
        <f>IFERROR(SUM(X440:X442),"0")</f>
        <v>1200</v>
      </c>
      <c r="Y444" s="41">
        <f>IFERROR(SUM(Y440:Y442),"0")</f>
        <v>1200</v>
      </c>
      <c r="Z444" s="40"/>
      <c r="AA444" s="64"/>
      <c r="AB444" s="64"/>
      <c r="AC444" s="64"/>
    </row>
    <row r="445" spans="1:68" ht="14.25" hidden="1" customHeight="1" x14ac:dyDescent="0.25">
      <c r="A445" s="662" t="s">
        <v>85</v>
      </c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648">
        <v>4607091383928</v>
      </c>
      <c r="E446" s="648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0"/>
      <c r="R446" s="650"/>
      <c r="S446" s="650"/>
      <c r="T446" s="651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648">
        <v>4607091384260</v>
      </c>
      <c r="E447" s="648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0"/>
      <c r="R447" s="650"/>
      <c r="S447" s="650"/>
      <c r="T447" s="651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648">
        <v>4680115889538</v>
      </c>
      <c r="E448" s="648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0"/>
      <c r="R448" s="650"/>
      <c r="S448" s="650"/>
      <c r="T448" s="65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  <c r="L449" s="655"/>
      <c r="M449" s="655"/>
      <c r="N449" s="655"/>
      <c r="O449" s="656"/>
      <c r="P449" s="652" t="s">
        <v>40</v>
      </c>
      <c r="Q449" s="653"/>
      <c r="R449" s="653"/>
      <c r="S449" s="653"/>
      <c r="T449" s="653"/>
      <c r="U449" s="653"/>
      <c r="V449" s="654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6"/>
      <c r="P450" s="652" t="s">
        <v>40</v>
      </c>
      <c r="Q450" s="653"/>
      <c r="R450" s="653"/>
      <c r="S450" s="653"/>
      <c r="T450" s="653"/>
      <c r="U450" s="653"/>
      <c r="V450" s="654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62" t="s">
        <v>174</v>
      </c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648">
        <v>4680115889545</v>
      </c>
      <c r="E452" s="648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71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0"/>
      <c r="R452" s="650"/>
      <c r="S452" s="650"/>
      <c r="T452" s="651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648">
        <v>4607091384673</v>
      </c>
      <c r="E453" s="648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7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0"/>
      <c r="R453" s="650"/>
      <c r="S453" s="650"/>
      <c r="T453" s="65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6"/>
      <c r="P454" s="652" t="s">
        <v>40</v>
      </c>
      <c r="Q454" s="653"/>
      <c r="R454" s="653"/>
      <c r="S454" s="653"/>
      <c r="T454" s="653"/>
      <c r="U454" s="653"/>
      <c r="V454" s="654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  <c r="L455" s="655"/>
      <c r="M455" s="655"/>
      <c r="N455" s="655"/>
      <c r="O455" s="656"/>
      <c r="P455" s="652" t="s">
        <v>40</v>
      </c>
      <c r="Q455" s="653"/>
      <c r="R455" s="653"/>
      <c r="S455" s="653"/>
      <c r="T455" s="653"/>
      <c r="U455" s="653"/>
      <c r="V455" s="654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6" t="s">
        <v>746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2"/>
      <c r="AB456" s="62"/>
      <c r="AC456" s="62"/>
    </row>
    <row r="457" spans="1:68" ht="14.25" hidden="1" customHeight="1" x14ac:dyDescent="0.25">
      <c r="A457" s="662" t="s">
        <v>121</v>
      </c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648">
        <v>4680115884885</v>
      </c>
      <c r="E458" s="648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0"/>
      <c r="R458" s="650"/>
      <c r="S458" s="650"/>
      <c r="T458" s="651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648">
        <v>4680115884908</v>
      </c>
      <c r="E459" s="648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0"/>
      <c r="R459" s="650"/>
      <c r="S459" s="650"/>
      <c r="T459" s="65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2" t="s">
        <v>40</v>
      </c>
      <c r="Q460" s="653"/>
      <c r="R460" s="653"/>
      <c r="S460" s="653"/>
      <c r="T460" s="653"/>
      <c r="U460" s="653"/>
      <c r="V460" s="654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2" t="s">
        <v>40</v>
      </c>
      <c r="Q461" s="653"/>
      <c r="R461" s="653"/>
      <c r="S461" s="653"/>
      <c r="T461" s="653"/>
      <c r="U461" s="653"/>
      <c r="V461" s="654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2" t="s">
        <v>76</v>
      </c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648">
        <v>4607091384802</v>
      </c>
      <c r="E463" s="648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0"/>
      <c r="R463" s="650"/>
      <c r="S463" s="650"/>
      <c r="T463" s="65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6"/>
      <c r="P464" s="652" t="s">
        <v>40</v>
      </c>
      <c r="Q464" s="653"/>
      <c r="R464" s="653"/>
      <c r="S464" s="653"/>
      <c r="T464" s="653"/>
      <c r="U464" s="653"/>
      <c r="V464" s="654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6"/>
      <c r="P465" s="652" t="s">
        <v>40</v>
      </c>
      <c r="Q465" s="653"/>
      <c r="R465" s="653"/>
      <c r="S465" s="653"/>
      <c r="T465" s="653"/>
      <c r="U465" s="653"/>
      <c r="V465" s="654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62" t="s">
        <v>85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648">
        <v>4607091384246</v>
      </c>
      <c r="E467" s="648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648">
        <v>4607091384253</v>
      </c>
      <c r="E468" s="648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648">
        <v>4607091384253</v>
      </c>
      <c r="E469" s="648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0"/>
      <c r="R469" s="650"/>
      <c r="S469" s="650"/>
      <c r="T469" s="65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6"/>
      <c r="P470" s="652" t="s">
        <v>40</v>
      </c>
      <c r="Q470" s="653"/>
      <c r="R470" s="653"/>
      <c r="S470" s="653"/>
      <c r="T470" s="653"/>
      <c r="U470" s="653"/>
      <c r="V470" s="654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6"/>
      <c r="P471" s="652" t="s">
        <v>40</v>
      </c>
      <c r="Q471" s="653"/>
      <c r="R471" s="653"/>
      <c r="S471" s="653"/>
      <c r="T471" s="653"/>
      <c r="U471" s="653"/>
      <c r="V471" s="654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677" t="s">
        <v>762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52"/>
      <c r="AB472" s="52"/>
      <c r="AC472" s="52"/>
    </row>
    <row r="473" spans="1:68" ht="16.5" hidden="1" customHeight="1" x14ac:dyDescent="0.25">
      <c r="A473" s="666" t="s">
        <v>763</v>
      </c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2"/>
      <c r="AB473" s="62"/>
      <c r="AC473" s="62"/>
    </row>
    <row r="474" spans="1:68" ht="14.25" hidden="1" customHeight="1" x14ac:dyDescent="0.25">
      <c r="A474" s="662" t="s">
        <v>76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648">
        <v>4680115886100</v>
      </c>
      <c r="E475" s="648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0"/>
      <c r="R475" s="650"/>
      <c r="S475" s="650"/>
      <c r="T475" s="65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648">
        <v>4680115886124</v>
      </c>
      <c r="E476" s="648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648">
        <v>4607091384338</v>
      </c>
      <c r="E477" s="64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648">
        <v>4680115883161</v>
      </c>
      <c r="E478" s="648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648">
        <v>4607091389531</v>
      </c>
      <c r="E479" s="64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0"/>
      <c r="R479" s="650"/>
      <c r="S479" s="650"/>
      <c r="T479" s="65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648">
        <v>4607091384345</v>
      </c>
      <c r="E480" s="64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0"/>
      <c r="R480" s="650"/>
      <c r="S480" s="650"/>
      <c r="T480" s="65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2" t="s">
        <v>40</v>
      </c>
      <c r="Q481" s="653"/>
      <c r="R481" s="653"/>
      <c r="S481" s="653"/>
      <c r="T481" s="653"/>
      <c r="U481" s="653"/>
      <c r="V481" s="654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2" t="s">
        <v>40</v>
      </c>
      <c r="Q482" s="653"/>
      <c r="R482" s="653"/>
      <c r="S482" s="653"/>
      <c r="T482" s="653"/>
      <c r="U482" s="653"/>
      <c r="V482" s="654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62" t="s">
        <v>85</v>
      </c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648">
        <v>4607091384352</v>
      </c>
      <c r="E484" s="648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6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648">
        <v>4607091389654</v>
      </c>
      <c r="E485" s="648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6"/>
      <c r="P486" s="652" t="s">
        <v>40</v>
      </c>
      <c r="Q486" s="653"/>
      <c r="R486" s="653"/>
      <c r="S486" s="653"/>
      <c r="T486" s="653"/>
      <c r="U486" s="653"/>
      <c r="V486" s="654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2" t="s">
        <v>40</v>
      </c>
      <c r="Q487" s="653"/>
      <c r="R487" s="653"/>
      <c r="S487" s="653"/>
      <c r="T487" s="653"/>
      <c r="U487" s="653"/>
      <c r="V487" s="654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666" t="s">
        <v>786</v>
      </c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2"/>
      <c r="AB488" s="62"/>
      <c r="AC488" s="62"/>
    </row>
    <row r="489" spans="1:68" ht="14.25" hidden="1" customHeight="1" x14ac:dyDescent="0.25">
      <c r="A489" s="662" t="s">
        <v>156</v>
      </c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648">
        <v>4680115885240</v>
      </c>
      <c r="E490" s="648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0"/>
      <c r="R490" s="650"/>
      <c r="S490" s="650"/>
      <c r="T490" s="651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6"/>
      <c r="P491" s="652" t="s">
        <v>40</v>
      </c>
      <c r="Q491" s="653"/>
      <c r="R491" s="653"/>
      <c r="S491" s="653"/>
      <c r="T491" s="653"/>
      <c r="U491" s="653"/>
      <c r="V491" s="654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6"/>
      <c r="P492" s="652" t="s">
        <v>40</v>
      </c>
      <c r="Q492" s="653"/>
      <c r="R492" s="653"/>
      <c r="S492" s="653"/>
      <c r="T492" s="653"/>
      <c r="U492" s="653"/>
      <c r="V492" s="654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662" t="s">
        <v>76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648">
        <v>4680115886094</v>
      </c>
      <c r="E494" s="648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0"/>
      <c r="R494" s="650"/>
      <c r="S494" s="650"/>
      <c r="T494" s="651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648">
        <v>4680115880771</v>
      </c>
      <c r="E495" s="648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0"/>
      <c r="R495" s="650"/>
      <c r="S495" s="650"/>
      <c r="T495" s="651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648">
        <v>4607091389500</v>
      </c>
      <c r="E496" s="648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0"/>
      <c r="R496" s="650"/>
      <c r="S496" s="650"/>
      <c r="T496" s="65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6"/>
      <c r="P497" s="652" t="s">
        <v>40</v>
      </c>
      <c r="Q497" s="653"/>
      <c r="R497" s="653"/>
      <c r="S497" s="653"/>
      <c r="T497" s="653"/>
      <c r="U497" s="653"/>
      <c r="V497" s="654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6"/>
      <c r="P498" s="652" t="s">
        <v>40</v>
      </c>
      <c r="Q498" s="653"/>
      <c r="R498" s="653"/>
      <c r="S498" s="653"/>
      <c r="T498" s="653"/>
      <c r="U498" s="653"/>
      <c r="V498" s="654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677" t="s">
        <v>798</v>
      </c>
      <c r="B499" s="677"/>
      <c r="C499" s="677"/>
      <c r="D499" s="677"/>
      <c r="E499" s="677"/>
      <c r="F499" s="677"/>
      <c r="G499" s="677"/>
      <c r="H499" s="677"/>
      <c r="I499" s="677"/>
      <c r="J499" s="677"/>
      <c r="K499" s="677"/>
      <c r="L499" s="677"/>
      <c r="M499" s="677"/>
      <c r="N499" s="677"/>
      <c r="O499" s="677"/>
      <c r="P499" s="677"/>
      <c r="Q499" s="677"/>
      <c r="R499" s="677"/>
      <c r="S499" s="677"/>
      <c r="T499" s="677"/>
      <c r="U499" s="677"/>
      <c r="V499" s="677"/>
      <c r="W499" s="677"/>
      <c r="X499" s="677"/>
      <c r="Y499" s="677"/>
      <c r="Z499" s="677"/>
      <c r="AA499" s="52"/>
      <c r="AB499" s="52"/>
      <c r="AC499" s="52"/>
    </row>
    <row r="500" spans="1:68" ht="16.5" hidden="1" customHeight="1" x14ac:dyDescent="0.25">
      <c r="A500" s="666" t="s">
        <v>798</v>
      </c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2"/>
      <c r="AB500" s="62"/>
      <c r="AC500" s="62"/>
    </row>
    <row r="501" spans="1:68" ht="14.25" hidden="1" customHeight="1" x14ac:dyDescent="0.25">
      <c r="A501" s="662" t="s">
        <v>121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648">
        <v>4607091389067</v>
      </c>
      <c r="E502" s="64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648">
        <v>4680115889576</v>
      </c>
      <c r="E503" s="64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648">
        <v>4680115885271</v>
      </c>
      <c r="E504" s="64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648">
        <v>4680115885226</v>
      </c>
      <c r="E505" s="64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0"/>
      <c r="R505" s="650"/>
      <c r="S505" s="650"/>
      <c r="T505" s="65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648">
        <v>4680115884502</v>
      </c>
      <c r="E506" s="64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0"/>
      <c r="R506" s="650"/>
      <c r="S506" s="650"/>
      <c r="T506" s="65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648">
        <v>4607091389104</v>
      </c>
      <c r="E507" s="64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0"/>
      <c r="R507" s="650"/>
      <c r="S507" s="650"/>
      <c r="T507" s="65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648">
        <v>4680115886391</v>
      </c>
      <c r="E508" s="64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6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0"/>
      <c r="R508" s="650"/>
      <c r="S508" s="650"/>
      <c r="T508" s="65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648">
        <v>4680115880603</v>
      </c>
      <c r="E509" s="648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6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0"/>
      <c r="R509" s="650"/>
      <c r="S509" s="650"/>
      <c r="T509" s="65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648">
        <v>4607091389982</v>
      </c>
      <c r="E510" s="648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2" t="s">
        <v>40</v>
      </c>
      <c r="Q511" s="653"/>
      <c r="R511" s="653"/>
      <c r="S511" s="653"/>
      <c r="T511" s="653"/>
      <c r="U511" s="653"/>
      <c r="V511" s="654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  <c r="L512" s="655"/>
      <c r="M512" s="655"/>
      <c r="N512" s="655"/>
      <c r="O512" s="656"/>
      <c r="P512" s="652" t="s">
        <v>40</v>
      </c>
      <c r="Q512" s="653"/>
      <c r="R512" s="653"/>
      <c r="S512" s="653"/>
      <c r="T512" s="653"/>
      <c r="U512" s="653"/>
      <c r="V512" s="654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2" t="s">
        <v>156</v>
      </c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648">
        <v>4607091388930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6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648">
        <v>4680115886407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648">
        <v>4680115880054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  <c r="L517" s="655"/>
      <c r="M517" s="655"/>
      <c r="N517" s="655"/>
      <c r="O517" s="656"/>
      <c r="P517" s="652" t="s">
        <v>40</v>
      </c>
      <c r="Q517" s="653"/>
      <c r="R517" s="653"/>
      <c r="S517" s="653"/>
      <c r="T517" s="653"/>
      <c r="U517" s="653"/>
      <c r="V517" s="654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6"/>
      <c r="P518" s="652" t="s">
        <v>40</v>
      </c>
      <c r="Q518" s="653"/>
      <c r="R518" s="653"/>
      <c r="S518" s="653"/>
      <c r="T518" s="653"/>
      <c r="U518" s="653"/>
      <c r="V518" s="654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62" t="s">
        <v>76</v>
      </c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648">
        <v>4680115883116</v>
      </c>
      <c r="E520" s="648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0"/>
      <c r="R520" s="650"/>
      <c r="S520" s="650"/>
      <c r="T520" s="651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648">
        <v>4680115883093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648">
        <v>4680115883109</v>
      </c>
      <c r="E522" s="64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648">
        <v>4680115882072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648">
        <v>4680115882102</v>
      </c>
      <c r="E524" s="648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0"/>
      <c r="R524" s="650"/>
      <c r="S524" s="650"/>
      <c r="T524" s="65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648">
        <v>4680115882102</v>
      </c>
      <c r="E525" s="648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0"/>
      <c r="R525" s="650"/>
      <c r="S525" s="650"/>
      <c r="T525" s="65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648">
        <v>4680115882096</v>
      </c>
      <c r="E526" s="648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0"/>
      <c r="R526" s="650"/>
      <c r="S526" s="650"/>
      <c r="T526" s="65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6"/>
      <c r="P527" s="652" t="s">
        <v>40</v>
      </c>
      <c r="Q527" s="653"/>
      <c r="R527" s="653"/>
      <c r="S527" s="653"/>
      <c r="T527" s="653"/>
      <c r="U527" s="653"/>
      <c r="V527" s="654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6"/>
      <c r="P528" s="652" t="s">
        <v>40</v>
      </c>
      <c r="Q528" s="653"/>
      <c r="R528" s="653"/>
      <c r="S528" s="653"/>
      <c r="T528" s="653"/>
      <c r="U528" s="653"/>
      <c r="V528" s="654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677" t="s">
        <v>845</v>
      </c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77"/>
      <c r="P529" s="677"/>
      <c r="Q529" s="677"/>
      <c r="R529" s="677"/>
      <c r="S529" s="677"/>
      <c r="T529" s="677"/>
      <c r="U529" s="677"/>
      <c r="V529" s="677"/>
      <c r="W529" s="677"/>
      <c r="X529" s="677"/>
      <c r="Y529" s="677"/>
      <c r="Z529" s="677"/>
      <c r="AA529" s="52"/>
      <c r="AB529" s="52"/>
      <c r="AC529" s="52"/>
    </row>
    <row r="530" spans="1:68" ht="16.5" hidden="1" customHeight="1" x14ac:dyDescent="0.25">
      <c r="A530" s="666" t="s">
        <v>845</v>
      </c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2"/>
      <c r="AB530" s="62"/>
      <c r="AC530" s="62"/>
    </row>
    <row r="531" spans="1:68" ht="14.25" hidden="1" customHeight="1" x14ac:dyDescent="0.25">
      <c r="A531" s="662" t="s">
        <v>121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648">
        <v>4640242180564</v>
      </c>
      <c r="E532" s="648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6"/>
      <c r="P533" s="652" t="s">
        <v>40</v>
      </c>
      <c r="Q533" s="653"/>
      <c r="R533" s="653"/>
      <c r="S533" s="653"/>
      <c r="T533" s="653"/>
      <c r="U533" s="653"/>
      <c r="V533" s="654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2" t="s">
        <v>40</v>
      </c>
      <c r="Q534" s="653"/>
      <c r="R534" s="653"/>
      <c r="S534" s="653"/>
      <c r="T534" s="653"/>
      <c r="U534" s="653"/>
      <c r="V534" s="654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662" t="s">
        <v>156</v>
      </c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648">
        <v>4640242180519</v>
      </c>
      <c r="E536" s="648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6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0"/>
      <c r="R536" s="650"/>
      <c r="S536" s="650"/>
      <c r="T536" s="651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6"/>
      <c r="P537" s="652" t="s">
        <v>40</v>
      </c>
      <c r="Q537" s="653"/>
      <c r="R537" s="653"/>
      <c r="S537" s="653"/>
      <c r="T537" s="653"/>
      <c r="U537" s="653"/>
      <c r="V537" s="654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2" t="s">
        <v>40</v>
      </c>
      <c r="Q538" s="653"/>
      <c r="R538" s="653"/>
      <c r="S538" s="653"/>
      <c r="T538" s="653"/>
      <c r="U538" s="653"/>
      <c r="V538" s="654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662" t="s">
        <v>76</v>
      </c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648">
        <v>4640242180595</v>
      </c>
      <c r="E540" s="648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6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0"/>
      <c r="R540" s="650"/>
      <c r="S540" s="650"/>
      <c r="T540" s="651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6"/>
      <c r="P541" s="652" t="s">
        <v>40</v>
      </c>
      <c r="Q541" s="653"/>
      <c r="R541" s="653"/>
      <c r="S541" s="653"/>
      <c r="T541" s="653"/>
      <c r="U541" s="653"/>
      <c r="V541" s="654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2" t="s">
        <v>40</v>
      </c>
      <c r="Q542" s="653"/>
      <c r="R542" s="653"/>
      <c r="S542" s="653"/>
      <c r="T542" s="653"/>
      <c r="U542" s="653"/>
      <c r="V542" s="654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662" t="s">
        <v>85</v>
      </c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648">
        <v>4640242180533</v>
      </c>
      <c r="E544" s="648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0"/>
      <c r="R544" s="650"/>
      <c r="S544" s="650"/>
      <c r="T544" s="651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6"/>
      <c r="P545" s="652" t="s">
        <v>40</v>
      </c>
      <c r="Q545" s="653"/>
      <c r="R545" s="653"/>
      <c r="S545" s="653"/>
      <c r="T545" s="653"/>
      <c r="U545" s="653"/>
      <c r="V545" s="654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6"/>
      <c r="P546" s="652" t="s">
        <v>40</v>
      </c>
      <c r="Q546" s="653"/>
      <c r="R546" s="653"/>
      <c r="S546" s="653"/>
      <c r="T546" s="653"/>
      <c r="U546" s="653"/>
      <c r="V546" s="654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662" t="s">
        <v>174</v>
      </c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648">
        <v>4640242180120</v>
      </c>
      <c r="E548" s="64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66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0"/>
      <c r="R548" s="650"/>
      <c r="S548" s="650"/>
      <c r="T548" s="65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648">
        <v>4640242180137</v>
      </c>
      <c r="E549" s="648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6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0"/>
      <c r="R549" s="650"/>
      <c r="S549" s="650"/>
      <c r="T549" s="651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6"/>
      <c r="P550" s="652" t="s">
        <v>40</v>
      </c>
      <c r="Q550" s="653"/>
      <c r="R550" s="653"/>
      <c r="S550" s="653"/>
      <c r="T550" s="653"/>
      <c r="U550" s="653"/>
      <c r="V550" s="654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  <c r="L551" s="655"/>
      <c r="M551" s="655"/>
      <c r="N551" s="655"/>
      <c r="O551" s="656"/>
      <c r="P551" s="652" t="s">
        <v>40</v>
      </c>
      <c r="Q551" s="653"/>
      <c r="R551" s="653"/>
      <c r="S551" s="653"/>
      <c r="T551" s="653"/>
      <c r="U551" s="653"/>
      <c r="V551" s="654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666" t="s">
        <v>864</v>
      </c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2"/>
      <c r="AB552" s="62"/>
      <c r="AC552" s="62"/>
    </row>
    <row r="553" spans="1:68" ht="14.25" hidden="1" customHeight="1" x14ac:dyDescent="0.25">
      <c r="A553" s="662" t="s">
        <v>156</v>
      </c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648">
        <v>4640242180090</v>
      </c>
      <c r="E554" s="648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0"/>
      <c r="R554" s="650"/>
      <c r="S554" s="650"/>
      <c r="T554" s="651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648">
        <v>4680115889798</v>
      </c>
      <c r="E555" s="648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649" t="s">
        <v>870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6"/>
      <c r="P556" s="652" t="s">
        <v>40</v>
      </c>
      <c r="Q556" s="653"/>
      <c r="R556" s="653"/>
      <c r="S556" s="653"/>
      <c r="T556" s="653"/>
      <c r="U556" s="653"/>
      <c r="V556" s="654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6"/>
      <c r="P557" s="652" t="s">
        <v>40</v>
      </c>
      <c r="Q557" s="653"/>
      <c r="R557" s="653"/>
      <c r="S557" s="653"/>
      <c r="T557" s="653"/>
      <c r="U557" s="653"/>
      <c r="V557" s="654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0"/>
      <c r="P558" s="657" t="s">
        <v>33</v>
      </c>
      <c r="Q558" s="658"/>
      <c r="R558" s="658"/>
      <c r="S558" s="658"/>
      <c r="T558" s="658"/>
      <c r="U558" s="658"/>
      <c r="V558" s="659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1200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1200</v>
      </c>
      <c r="Z558" s="40"/>
      <c r="AA558" s="64"/>
      <c r="AB558" s="64"/>
      <c r="AC558" s="64"/>
    </row>
    <row r="559" spans="1:68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60"/>
      <c r="P559" s="657" t="s">
        <v>34</v>
      </c>
      <c r="Q559" s="658"/>
      <c r="R559" s="658"/>
      <c r="S559" s="658"/>
      <c r="T559" s="658"/>
      <c r="U559" s="658"/>
      <c r="V559" s="659"/>
      <c r="W559" s="40" t="s">
        <v>0</v>
      </c>
      <c r="X559" s="41">
        <f>IFERROR(SUM(BM22:BM555),"0")</f>
        <v>1237.5999999999999</v>
      </c>
      <c r="Y559" s="41">
        <f>IFERROR(SUM(BN22:BN555),"0")</f>
        <v>1237.5999999999999</v>
      </c>
      <c r="Z559" s="40"/>
      <c r="AA559" s="64"/>
      <c r="AB559" s="64"/>
      <c r="AC559" s="6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60"/>
      <c r="P560" s="657" t="s">
        <v>35</v>
      </c>
      <c r="Q560" s="658"/>
      <c r="R560" s="658"/>
      <c r="S560" s="658"/>
      <c r="T560" s="658"/>
      <c r="U560" s="658"/>
      <c r="V560" s="659"/>
      <c r="W560" s="40" t="s">
        <v>20</v>
      </c>
      <c r="X560" s="42">
        <f>ROUNDUP(SUM(BO22:BO555),0)</f>
        <v>2</v>
      </c>
      <c r="Y560" s="42">
        <f>ROUNDUP(SUM(BP22:BP555),0)</f>
        <v>2</v>
      </c>
      <c r="Z560" s="40"/>
      <c r="AA560" s="64"/>
      <c r="AB560" s="64"/>
      <c r="AC560" s="64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60"/>
      <c r="P561" s="657" t="s">
        <v>36</v>
      </c>
      <c r="Q561" s="658"/>
      <c r="R561" s="658"/>
      <c r="S561" s="658"/>
      <c r="T561" s="658"/>
      <c r="U561" s="658"/>
      <c r="V561" s="659"/>
      <c r="W561" s="40" t="s">
        <v>0</v>
      </c>
      <c r="X561" s="41">
        <f>GrossWeightTotal+PalletQtyTotal*25</f>
        <v>1287.5999999999999</v>
      </c>
      <c r="Y561" s="41">
        <f>GrossWeightTotalR+PalletQtyTotalR*25</f>
        <v>1287.5999999999999</v>
      </c>
      <c r="Z561" s="40"/>
      <c r="AA561" s="64"/>
      <c r="AB561" s="64"/>
      <c r="AC561" s="64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660"/>
      <c r="P562" s="657" t="s">
        <v>37</v>
      </c>
      <c r="Q562" s="658"/>
      <c r="R562" s="658"/>
      <c r="S562" s="658"/>
      <c r="T562" s="658"/>
      <c r="U562" s="658"/>
      <c r="V562" s="659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80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80</v>
      </c>
      <c r="Z562" s="40"/>
      <c r="AA562" s="64"/>
      <c r="AB562" s="64"/>
      <c r="AC562" s="64"/>
    </row>
    <row r="563" spans="1:32" ht="14.25" hidden="1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60"/>
      <c r="P563" s="657" t="s">
        <v>38</v>
      </c>
      <c r="Q563" s="658"/>
      <c r="R563" s="658"/>
      <c r="S563" s="658"/>
      <c r="T563" s="658"/>
      <c r="U563" s="658"/>
      <c r="V563" s="659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1.7399999999999998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645" t="s">
        <v>119</v>
      </c>
      <c r="E565" s="645" t="s">
        <v>119</v>
      </c>
      <c r="F565" s="645" t="s">
        <v>119</v>
      </c>
      <c r="G565" s="645" t="s">
        <v>119</v>
      </c>
      <c r="H565" s="645" t="s">
        <v>119</v>
      </c>
      <c r="I565" s="645" t="s">
        <v>119</v>
      </c>
      <c r="J565" s="645" t="s">
        <v>119</v>
      </c>
      <c r="K565" s="645" t="s">
        <v>343</v>
      </c>
      <c r="L565" s="645" t="s">
        <v>343</v>
      </c>
      <c r="M565" s="645" t="s">
        <v>343</v>
      </c>
      <c r="N565" s="661"/>
      <c r="O565" s="645" t="s">
        <v>343</v>
      </c>
      <c r="P565" s="645" t="s">
        <v>343</v>
      </c>
      <c r="Q565" s="645" t="s">
        <v>343</v>
      </c>
      <c r="R565" s="645" t="s">
        <v>343</v>
      </c>
      <c r="S565" s="645" t="s">
        <v>343</v>
      </c>
      <c r="T565" s="645" t="s">
        <v>343</v>
      </c>
      <c r="U565" s="645" t="s">
        <v>343</v>
      </c>
      <c r="V565" s="645" t="s">
        <v>343</v>
      </c>
      <c r="W565" s="645" t="s">
        <v>696</v>
      </c>
      <c r="X565" s="645" t="s">
        <v>696</v>
      </c>
      <c r="Y565" s="645" t="s">
        <v>762</v>
      </c>
      <c r="Z565" s="645" t="s">
        <v>762</v>
      </c>
      <c r="AA565" s="80" t="s">
        <v>798</v>
      </c>
      <c r="AB565" s="645" t="s">
        <v>845</v>
      </c>
      <c r="AC565" s="645" t="s">
        <v>845</v>
      </c>
      <c r="AF565" s="1"/>
    </row>
    <row r="566" spans="1:32" ht="14.25" customHeight="1" thickTop="1" x14ac:dyDescent="0.2">
      <c r="A566" s="646" t="s">
        <v>10</v>
      </c>
      <c r="B566" s="645" t="s">
        <v>75</v>
      </c>
      <c r="C566" s="645" t="s">
        <v>103</v>
      </c>
      <c r="D566" s="645" t="s">
        <v>120</v>
      </c>
      <c r="E566" s="645" t="s">
        <v>136</v>
      </c>
      <c r="F566" s="645" t="s">
        <v>182</v>
      </c>
      <c r="G566" s="645" t="s">
        <v>206</v>
      </c>
      <c r="H566" s="645" t="s">
        <v>246</v>
      </c>
      <c r="I566" s="645" t="s">
        <v>259</v>
      </c>
      <c r="J566" s="645" t="s">
        <v>119</v>
      </c>
      <c r="K566" s="645" t="s">
        <v>344</v>
      </c>
      <c r="L566" s="645" t="s">
        <v>365</v>
      </c>
      <c r="M566" s="645" t="s">
        <v>439</v>
      </c>
      <c r="N566" s="1"/>
      <c r="O566" s="645" t="s">
        <v>507</v>
      </c>
      <c r="P566" s="645" t="s">
        <v>540</v>
      </c>
      <c r="Q566" s="645" t="s">
        <v>556</v>
      </c>
      <c r="R566" s="645" t="s">
        <v>565</v>
      </c>
      <c r="S566" s="645" t="s">
        <v>586</v>
      </c>
      <c r="T566" s="645" t="s">
        <v>595</v>
      </c>
      <c r="U566" s="645" t="s">
        <v>679</v>
      </c>
      <c r="V566" s="645" t="s">
        <v>686</v>
      </c>
      <c r="W566" s="645" t="s">
        <v>697</v>
      </c>
      <c r="X566" s="645" t="s">
        <v>746</v>
      </c>
      <c r="Y566" s="645" t="s">
        <v>763</v>
      </c>
      <c r="Z566" s="645" t="s">
        <v>786</v>
      </c>
      <c r="AA566" s="645" t="s">
        <v>798</v>
      </c>
      <c r="AB566" s="645" t="s">
        <v>845</v>
      </c>
      <c r="AC566" s="645" t="s">
        <v>864</v>
      </c>
      <c r="AF566" s="1"/>
    </row>
    <row r="567" spans="1:32" ht="13.5" thickBot="1" x14ac:dyDescent="0.25">
      <c r="A567" s="647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1"/>
      <c r="O567" s="645"/>
      <c r="P567" s="645"/>
      <c r="Q567" s="645"/>
      <c r="R567" s="645"/>
      <c r="S567" s="645"/>
      <c r="T567" s="645"/>
      <c r="U567" s="645"/>
      <c r="V567" s="645"/>
      <c r="W567" s="645"/>
      <c r="X567" s="645"/>
      <c r="Y567" s="645"/>
      <c r="Z567" s="645"/>
      <c r="AA567" s="645"/>
      <c r="AB567" s="645"/>
      <c r="AC567" s="645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1200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53,33"/>
        <filter val="800,00"/>
        <filter val="825,07"/>
        <filter val="875,07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2026-09-14T15:37:13Z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