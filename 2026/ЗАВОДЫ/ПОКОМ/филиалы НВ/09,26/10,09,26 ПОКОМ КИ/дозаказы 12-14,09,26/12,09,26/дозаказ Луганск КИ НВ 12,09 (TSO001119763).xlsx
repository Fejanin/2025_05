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EBE9F875-F71B-4B62-9092-2F5135082E7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Z544" i="2"/>
  <c r="Z545" i="2" s="1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Z532" i="2"/>
  <c r="Z533" i="2" s="1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N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Y517" i="2"/>
  <c r="X517" i="2"/>
  <c r="BO516" i="2"/>
  <c r="BM516" i="2"/>
  <c r="Z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Y497" i="2" s="1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P484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N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N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Z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P335" i="2"/>
  <c r="BO335" i="2"/>
  <c r="BM335" i="2"/>
  <c r="Z335" i="2"/>
  <c r="Y335" i="2"/>
  <c r="P335" i="2"/>
  <c r="X332" i="2"/>
  <c r="X331" i="2"/>
  <c r="BO330" i="2"/>
  <c r="BM330" i="2"/>
  <c r="Y330" i="2"/>
  <c r="Z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N315" i="2"/>
  <c r="BM315" i="2"/>
  <c r="Y315" i="2"/>
  <c r="Y317" i="2" s="1"/>
  <c r="P315" i="2"/>
  <c r="Y313" i="2"/>
  <c r="X313" i="2"/>
  <c r="X312" i="2"/>
  <c r="BP311" i="2"/>
  <c r="BO311" i="2"/>
  <c r="BM311" i="2"/>
  <c r="Y311" i="2"/>
  <c r="Y312" i="2" s="1"/>
  <c r="P311" i="2"/>
  <c r="X309" i="2"/>
  <c r="X308" i="2"/>
  <c r="BO307" i="2"/>
  <c r="BN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N286" i="2"/>
  <c r="BM286" i="2"/>
  <c r="Y286" i="2"/>
  <c r="Z286" i="2" s="1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P269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Y264" i="2"/>
  <c r="Y266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P248" i="2"/>
  <c r="BO248" i="2"/>
  <c r="BN248" i="2"/>
  <c r="BM248" i="2"/>
  <c r="Z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P228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Z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Y178" i="2"/>
  <c r="Z178" i="2" s="1"/>
  <c r="P178" i="2"/>
  <c r="BO177" i="2"/>
  <c r="BM177" i="2"/>
  <c r="Y177" i="2"/>
  <c r="BN177" i="2" s="1"/>
  <c r="P177" i="2"/>
  <c r="BO176" i="2"/>
  <c r="BN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Y158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X134" i="2"/>
  <c r="X133" i="2"/>
  <c r="BO132" i="2"/>
  <c r="BN132" i="2"/>
  <c r="BM132" i="2"/>
  <c r="Y132" i="2"/>
  <c r="P132" i="2"/>
  <c r="BO131" i="2"/>
  <c r="BN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P104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N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N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P49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Z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P27" i="2"/>
  <c r="BO27" i="2"/>
  <c r="BN27" i="2"/>
  <c r="BM27" i="2"/>
  <c r="Z27" i="2"/>
  <c r="Y27" i="2"/>
  <c r="P27" i="2"/>
  <c r="X25" i="2"/>
  <c r="X24" i="2"/>
  <c r="BO23" i="2"/>
  <c r="BM23" i="2"/>
  <c r="Z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BP61" i="2"/>
  <c r="Z136" i="2"/>
  <c r="Z271" i="2"/>
  <c r="BP281" i="2"/>
  <c r="BN408" i="2"/>
  <c r="BN467" i="2"/>
  <c r="Z38" i="2"/>
  <c r="Z94" i="2"/>
  <c r="BP197" i="2"/>
  <c r="BP240" i="2"/>
  <c r="BN271" i="2"/>
  <c r="BN29" i="2"/>
  <c r="BN87" i="2"/>
  <c r="G568" i="2"/>
  <c r="Z113" i="2"/>
  <c r="Z237" i="2"/>
  <c r="Z337" i="2"/>
  <c r="Z520" i="2"/>
  <c r="Y406" i="2"/>
  <c r="BP476" i="2"/>
  <c r="Y199" i="2"/>
  <c r="Z231" i="2"/>
  <c r="BN237" i="2"/>
  <c r="Z345" i="2"/>
  <c r="Y352" i="2"/>
  <c r="Z395" i="2"/>
  <c r="Z434" i="2"/>
  <c r="BN72" i="2"/>
  <c r="Z177" i="2"/>
  <c r="BN291" i="2"/>
  <c r="Z459" i="2"/>
  <c r="BN514" i="2"/>
  <c r="BN231" i="2"/>
  <c r="BN306" i="2"/>
  <c r="BN330" i="2"/>
  <c r="BN375" i="2"/>
  <c r="Y393" i="2"/>
  <c r="Z477" i="2"/>
  <c r="Y154" i="2"/>
  <c r="Y339" i="2"/>
  <c r="Y359" i="2"/>
  <c r="Z65" i="2"/>
  <c r="Y139" i="2"/>
  <c r="BP459" i="2"/>
  <c r="BN477" i="2"/>
  <c r="Y486" i="2"/>
  <c r="BP38" i="2"/>
  <c r="BN39" i="2"/>
  <c r="BN95" i="2"/>
  <c r="BN182" i="2"/>
  <c r="Z228" i="2"/>
  <c r="BN302" i="2"/>
  <c r="BN403" i="2"/>
  <c r="BN410" i="2"/>
  <c r="Z484" i="2"/>
  <c r="Z486" i="2" s="1"/>
  <c r="BN494" i="2"/>
  <c r="BP223" i="2"/>
  <c r="Y541" i="2"/>
  <c r="BN31" i="2"/>
  <c r="BN89" i="2"/>
  <c r="Z104" i="2"/>
  <c r="Z115" i="2"/>
  <c r="BN149" i="2"/>
  <c r="BN156" i="2"/>
  <c r="Z288" i="2"/>
  <c r="Q568" i="2"/>
  <c r="Z390" i="2"/>
  <c r="Z422" i="2"/>
  <c r="Z431" i="2"/>
  <c r="F568" i="2"/>
  <c r="Z239" i="2"/>
  <c r="BN243" i="2"/>
  <c r="Z384" i="2"/>
  <c r="Z436" i="2"/>
  <c r="Y470" i="2"/>
  <c r="BN319" i="2"/>
  <c r="BP111" i="2"/>
  <c r="BN239" i="2"/>
  <c r="Z281" i="2"/>
  <c r="Z343" i="2"/>
  <c r="BN384" i="2"/>
  <c r="Z485" i="2"/>
  <c r="Z61" i="2"/>
  <c r="C568" i="2"/>
  <c r="BN142" i="2"/>
  <c r="Z264" i="2"/>
  <c r="BN296" i="2"/>
  <c r="BN350" i="2"/>
  <c r="BP436" i="2"/>
  <c r="Z311" i="2"/>
  <c r="Z312" i="2" s="1"/>
  <c r="Z398" i="2"/>
  <c r="BN430" i="2"/>
  <c r="X55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Z417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Z75" i="2" s="1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38" i="2" l="1"/>
  <c r="Z454" i="2"/>
  <c r="Z69" i="2"/>
  <c r="Z91" i="2"/>
  <c r="Y562" i="2"/>
  <c r="Z62" i="2"/>
  <c r="Z210" i="2"/>
  <c r="Z481" i="2"/>
  <c r="Z322" i="2"/>
  <c r="Z190" i="2"/>
  <c r="Z497" i="2"/>
  <c r="Z437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<sst xmlns="http://schemas.openxmlformats.org/spreadsheetml/2006/main" count="4315" uniqueCount="916">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</sst>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X14" sqref="X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46277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890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6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0.5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400</v>
      </c>
      <c r="Y430" s="53">
        <f t="shared" si="68"/>
        <v>405</v>
      </c>
      <c r="Z430" s="39">
        <f>IFERROR(IF(Y430=0,"",ROUNDUP(Y430/H430,0)*0.02175),"")</f>
        <v>0.58724999999999994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412.53333333333336</v>
      </c>
      <c r="BN430" s="75">
        <f t="shared" si="70"/>
        <v>417.69</v>
      </c>
      <c r="BO430" s="75">
        <f t="shared" si="71"/>
        <v>0.55555555555555558</v>
      </c>
      <c r="BP430" s="75">
        <f t="shared" si="72"/>
        <v>0.5625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400</v>
      </c>
      <c r="Y432" s="53">
        <f t="shared" si="68"/>
        <v>405</v>
      </c>
      <c r="Z432" s="39">
        <f>IFERROR(IF(Y432=0,"",ROUNDUP(Y432/H432,0)*0.02175),"")</f>
        <v>0.58724999999999994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412.53333333333336</v>
      </c>
      <c r="BN432" s="75">
        <f t="shared" si="70"/>
        <v>417.69</v>
      </c>
      <c r="BO432" s="75">
        <f t="shared" si="71"/>
        <v>0.55555555555555558</v>
      </c>
      <c r="BP432" s="75">
        <f t="shared" si="72"/>
        <v>0.5625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53.333333333333336</v>
      </c>
      <c r="Y437" s="41">
        <f>IFERROR(Y429/H429,"0")+IFERROR(Y430/H430,"0")+IFERROR(Y431/H431,"0")+IFERROR(Y432/H432,"0")+IFERROR(Y433/H433,"0")+IFERROR(Y434/H434,"0")+IFERROR(Y435/H435,"0")+IFERROR(Y436/H436,"0")</f>
        <v>54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1.1744999999999999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800</v>
      </c>
      <c r="Y438" s="41">
        <f>IFERROR(SUM(Y429:Y436),"0")</f>
        <v>810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810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825.06666666666672</v>
      </c>
      <c r="Y559" s="41">
        <f>IFERROR(SUM(BN22:BN555),"0")</f>
        <v>835.38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875.06666666666672</v>
      </c>
      <c r="Y561" s="41">
        <f>GrossWeightTotalR+PalletQtyTotalR*25</f>
        <v>885.38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53.333333333333336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54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1.1744999999999999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810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400,00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