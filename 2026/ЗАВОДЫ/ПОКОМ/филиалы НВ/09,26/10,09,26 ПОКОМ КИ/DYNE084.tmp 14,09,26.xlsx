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0,09,26 ПОКОМ КИ\"/>
    </mc:Choice>
  </mc:AlternateContent>
  <xr:revisionPtr revIDLastSave="0" documentId="13_ncr:1_{CAE48B52-39AC-4619-9CB1-46E1716AE68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8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55" i="2" l="1"/>
  <c r="J475" i="2"/>
  <c r="J390" i="2"/>
  <c r="J316" i="2"/>
  <c r="J223" i="2"/>
  <c r="J183" i="2"/>
  <c r="J177" i="2"/>
  <c r="J136" i="2"/>
  <c r="J64" i="2"/>
  <c r="J4" i="2"/>
  <c r="J649" i="2"/>
  <c r="J389" i="2"/>
  <c r="J313" i="2"/>
  <c r="J473" i="2"/>
  <c r="J315" i="2"/>
  <c r="J134" i="2"/>
  <c r="J133" i="2"/>
</calcChain>
</file>

<file path=xl/sharedStrings.xml><?xml version="1.0" encoding="utf-8"?>
<sst xmlns="http://schemas.openxmlformats.org/spreadsheetml/2006/main" count="12630" uniqueCount="338">
  <si>
    <t>Способ поставки</t>
  </si>
  <si>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</si>
  <si>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</si>
  <si>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</si>
  <si>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</si>
  <si>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</si>
  <si>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</si>
  <si>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</si>
  <si>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</si>
  <si>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</si>
  <si>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</si>
  <si>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</si>
  <si>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</si>
  <si>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</si>
  <si>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</si>
  <si>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</si>
  <si>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</si>
  <si>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</si>
  <si>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</si>
  <si>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</si>
  <si>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</si>
  <si>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</si>
  <si>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</si>
  <si>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</si>
  <si>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</si>
  <si>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</si>
  <si>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</si>
  <si>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</si>
  <si>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</si>
  <si>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</si>
  <si>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</si>
  <si>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Вложение</t>
  </si>
  <si>
    <t>Самовывоз</t>
  </si>
  <si>
    <t>596383</t>
  </si>
  <si>
    <t>ОБЩЕСТВО С ОГРАНИЧЕННОЙ ОТВЕТСТВЕННОСТЬЮ "НОВОЕ ВРЕМЯ"</t>
  </si>
  <si>
    <t>Да</t>
  </si>
  <si>
    <t>TSO001119753</t>
  </si>
  <si>
    <t>6311080</t>
  </si>
  <si>
    <t>НВМелСемен</t>
  </si>
  <si>
    <t>596383_10</t>
  </si>
  <si>
    <t>VLDR</t>
  </si>
  <si>
    <t>ЦСК</t>
  </si>
  <si>
    <t>Нет</t>
  </si>
  <si>
    <t>SU001485</t>
  </si>
  <si>
    <t>Вареные колбасы Докторская ГОСТ Вязанка Фикс.вес 0,4 Вектор Вязанка</t>
  </si>
  <si>
    <t>SU002831</t>
  </si>
  <si>
    <t>Колбаса вареная Филейская ТМ Вязанка ТС Классическая полиамид ф/в 0,4 кг</t>
  </si>
  <si>
    <t>SU002835</t>
  </si>
  <si>
    <t>Сардельки «Филейские» Весовые н/о мгс ТМ «Вязанка»</t>
  </si>
  <si>
    <t>SU002830</t>
  </si>
  <si>
    <t>Вареные колбасы Молокуша Вязанка Вес п/а Вязанка</t>
  </si>
  <si>
    <t>SU001523</t>
  </si>
  <si>
    <t>Сосиски «Вязанка Молочные» Весовой п/а ТМ «Вязанка»</t>
  </si>
  <si>
    <t>SU001718</t>
  </si>
  <si>
    <t>Сосиски «Вязанка Молочные» Фикс.вес 0,45 п/а ТМ «Вязанка»</t>
  </si>
  <si>
    <t>SU001721</t>
  </si>
  <si>
    <t>Сосиски «Вязанка Сливочные» Весовой п/а ТМ «Вязанка»</t>
  </si>
  <si>
    <t>SU001720</t>
  </si>
  <si>
    <t>Сосиски «Вязанка Сливочные» Фикс.вес 0,45 п/а ТМ «Вязанка»</t>
  </si>
  <si>
    <t>SU002367</t>
  </si>
  <si>
    <t>Сардельки «Сливушки» Фикс.вес 0,33 п/а ТМ «Вязанка»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</si>
  <si>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</si>
  <si>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</si>
  <si>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</si>
  <si>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</si>
  <si>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SU004041</t>
  </si>
  <si>
    <t>Копченые колбасы «Балыковая» Весовой фиброуз ТМ «Вязанка»</t>
  </si>
  <si>
    <t>ОгранПроизвМощностей</t>
  </si>
  <si>
    <t>Производ</t>
  </si>
  <si>
    <t>Фощанко 11.09</t>
  </si>
  <si>
    <t>SU004047</t>
  </si>
  <si>
    <t>Копченые колбасы «Сервелат Финский» Весовой фиброуз ТМ «Вязанка»</t>
  </si>
  <si>
    <t>ЗаказРазмСОпоздГраф</t>
  </si>
  <si>
    <t>Клиент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</si>
  <si>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</si>
  <si>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</si>
  <si>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</si>
  <si>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</si>
  <si>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</si>
  <si>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</si>
  <si>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 xml:space="preserve"> ;Фощанко 11.09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</si>
  <si>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</si>
  <si>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</si>
  <si>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</si>
  <si>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</si>
  <si>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</si>
  <si>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</si>
  <si>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</si>
  <si>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</si>
  <si>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</si>
  <si>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</si>
  <si>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</si>
  <si>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</si>
  <si>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ОгранПроизвМощСпис</t>
  </si>
  <si>
    <t>SU003178</t>
  </si>
  <si>
    <t>Копченые колбасы «Сервелат Мясорубский» Фикс.вес 0,08 нарезка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</si>
  <si>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</si>
  <si>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</si>
  <si>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</si>
  <si>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</si>
  <si>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</si>
  <si>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</si>
  <si>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</si>
  <si>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</si>
  <si>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</si>
  <si>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</si>
  <si>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</si>
  <si>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</si>
  <si>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</si>
  <si>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</si>
  <si>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</si>
  <si>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</si>
  <si>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</si>
  <si>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</si>
  <si>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</si>
  <si>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</si>
  <si>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</si>
  <si>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</si>
  <si>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</si>
  <si>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</si>
  <si>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</si>
  <si>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</si>
  <si>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</si>
  <si>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</si>
  <si>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</si>
  <si>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</si>
  <si>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</si>
  <si>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</si>
  <si>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</si>
  <si>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</si>
  <si>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</si>
  <si>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</si>
  <si>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</si>
  <si>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</si>
  <si>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ВозврИзПодрезки</t>
  </si>
  <si>
    <t>SU003273</t>
  </si>
  <si>
    <t>Вареные колбасы «Молочная Стародворская с молоком»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</si>
  <si>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</si>
  <si>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</si>
  <si>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</si>
  <si>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</si>
  <si>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SU004103</t>
  </si>
  <si>
    <t>Вареные колбасы «Молочная» Весовой п/а ТМ «Стародворье»</t>
  </si>
  <si>
    <t>SU004106</t>
  </si>
  <si>
    <t>Вареные колбасы «Со шпиком»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</si>
  <si>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</si>
  <si>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</si>
  <si>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</si>
  <si>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</si>
  <si>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</si>
  <si>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</si>
  <si>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SU002840</t>
  </si>
  <si>
    <t>Паштеты «Печеночный с морковью ГОСТ» Фикс.вес 0,1 ТМ «Стародворье»</t>
  </si>
  <si>
    <t>SU002368</t>
  </si>
  <si>
    <t>Паштеты Со сливочным маслом ГОСТ Бордо фикс.вес 0,1 Стародворье</t>
  </si>
  <si>
    <t>SU004145</t>
  </si>
  <si>
    <t>Консервы «Индейка томленая в собственном соку» Фикс.вес 0,25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</si>
  <si>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</si>
  <si>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</si>
  <si>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</si>
  <si>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</si>
  <si>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</si>
  <si>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</si>
  <si>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</si>
  <si>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</si>
  <si>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</si>
  <si>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</si>
  <si>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</si>
  <si>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</si>
  <si>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SU000126</t>
  </si>
  <si>
    <t>Ветчины Нежная Особая Особая Весовые П/а Особый рецепт большой батон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</si>
  <si>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</si>
  <si>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</si>
  <si>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</si>
  <si>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</si>
  <si>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</si>
  <si>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</si>
  <si>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</si>
  <si>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</si>
  <si>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</si>
  <si>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</si>
  <si>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</si>
  <si>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</si>
  <si>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</si>
  <si>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</si>
  <si>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</si>
  <si>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</si>
  <si>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</si>
  <si>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</si>
  <si>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SU002151</t>
  </si>
  <si>
    <t>В/к колбасы «Сервелат Запеченный» Весовые Вектор ТМ «Дугушка»</t>
  </si>
  <si>
    <t>SU002918</t>
  </si>
  <si>
    <t>В/к колбасы «Сервелат Запеченный» Фикс.вес 0,6 вектор ТМ «Стародворье»</t>
  </si>
  <si>
    <t>SU002655</t>
  </si>
  <si>
    <t>Сосиски «Датские» Весовой п/а ТМ «Зареченские продукты»</t>
  </si>
  <si>
    <t>SU000722</t>
  </si>
  <si>
    <t>Вареные колбасы Докторская ГОСТ Вязанка Весовые Вектор Вязанка</t>
  </si>
  <si>
    <t>TSO001120280</t>
  </si>
  <si>
    <t>6311183</t>
  </si>
  <si>
    <t>НВЛугРабоч</t>
  </si>
  <si>
    <t>596383_9</t>
  </si>
  <si>
    <t>SU002829</t>
  </si>
  <si>
    <t>Вареные колбасы «Филейская» Весовые Вектор ТМ «Вязанка»</t>
  </si>
  <si>
    <t>SU002816</t>
  </si>
  <si>
    <t>Вареные колбасы Молокуша Вязанка Фикс.вес 0,45 п/а Вязанка</t>
  </si>
  <si>
    <t>SU002928</t>
  </si>
  <si>
    <t>Вареные колбасы «Сливушка» Вес П/а ТМ «Вязанка»</t>
  </si>
  <si>
    <t>SU002734</t>
  </si>
  <si>
    <t>Вареные колбасы «Сливушка» Фикс.вес 0,45 п/а ТМ «Вязанка»</t>
  </si>
  <si>
    <t>SU003896</t>
  </si>
  <si>
    <t>Сыровяленые колбасы «Фуэт» Фикс.вес 0,07 нарезка ТМ «Стародворье»</t>
  </si>
  <si>
    <t>Горшкова 12.09</t>
  </si>
  <si>
    <t>SU002842</t>
  </si>
  <si>
    <t>Сосиски «Сочинки Молочные»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</si>
  <si>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</si>
  <si>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</si>
  <si>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SU004104</t>
  </si>
  <si>
    <t>Вареные колбасы «Мясная» Весовой п/а ТМ «Стародворье»</t>
  </si>
  <si>
    <t>SU001051</t>
  </si>
  <si>
    <t>Сардельки «Нежные» Весовые NDX мгс ТМ «Стародворье»</t>
  </si>
  <si>
    <t>SU002158</t>
  </si>
  <si>
    <t>В/к колбасы «Салями Запеченая» Весовые ТМ «Дугушка»</t>
  </si>
  <si>
    <t>SU003665</t>
  </si>
  <si>
    <t>Сосиски «Сосиски с сыром» Фикс.вес 0,3 вискофан ТМ «Ядрена копоть»</t>
  </si>
  <si>
    <t>TSO001120281</t>
  </si>
  <si>
    <t>6311164</t>
  </si>
  <si>
    <t>TSO001120282</t>
  </si>
  <si>
    <t>6311156</t>
  </si>
  <si>
    <t>SU003642</t>
  </si>
  <si>
    <t>Вареные колбасы «Филейская со шпиком» Весовой п/а ТМ «Вязанка»</t>
  </si>
  <si>
    <t>SU002828</t>
  </si>
  <si>
    <t>Ветчины «Филейская» Весовые Вектор ТМ «Вязанка»</t>
  </si>
  <si>
    <t>SU002150</t>
  </si>
  <si>
    <t>В/к колбасы «Рубленая Запеченная» Весовые Вектор ТМ «Дугушка»</t>
  </si>
  <si>
    <t>TSO001120283</t>
  </si>
  <si>
    <t>6311153</t>
  </si>
  <si>
    <t>НВДонецЧаа</t>
  </si>
  <si>
    <t>596383_8</t>
  </si>
  <si>
    <t>SU004157</t>
  </si>
  <si>
    <t>Вареные колбасы «Мясная Классическая» Весовой п/а ТМ «Вязанка»</t>
  </si>
  <si>
    <t>SU003753</t>
  </si>
  <si>
    <t>Копченые колбасы «Балыковая » Фикс.вес 0,09 нарезка ТМ «Вязанка»</t>
  </si>
  <si>
    <t>SU003751</t>
  </si>
  <si>
    <t>Копченые колбасы «Сервелат Финский» Фикс.вес 0,09 нарезка ТМ «Вязанка»</t>
  </si>
  <si>
    <t>SU003988</t>
  </si>
  <si>
    <t>Копченые колбасы «Сервелат Ореховый» Фикс.вес 0,09 нарезка ТМ «Вязанка»</t>
  </si>
  <si>
    <t>SU001920</t>
  </si>
  <si>
    <t>С/к колбасы Княжеская Бордо Весовые б/о терм/п Стародворье</t>
  </si>
  <si>
    <t>SU002092</t>
  </si>
  <si>
    <t>С/к колбасы Баварская Бавария Фикс.вес 0,17 б/о терм/п Стародворье</t>
  </si>
  <si>
    <t>SU002841</t>
  </si>
  <si>
    <t>Паштеты «Любительский ГОСТ» Фикс.вес 0,1 ТМ «Стародворье»</t>
  </si>
  <si>
    <t>TSO001120285</t>
  </si>
  <si>
    <t>6311144</t>
  </si>
  <si>
    <t>НВТрояны</t>
  </si>
  <si>
    <t>596383_4</t>
  </si>
  <si>
    <t>SU002815</t>
  </si>
  <si>
    <t>Вареные колбасы «Филейская» Фикс.вес 0,45 Вектор ТМ «Вязанка»</t>
  </si>
  <si>
    <t>SU002983</t>
  </si>
  <si>
    <t>Колбаса вареная Мусульманская ТМ Вязанка Халяль вектор ф/в 0,4 кг Казахстан АК</t>
  </si>
  <si>
    <t>SU001869</t>
  </si>
  <si>
    <t>С/к колбасы Швейцарская Бордо Фикс.вес 0,17 Фиброуз терм/п Стародворье</t>
  </si>
  <si>
    <t>SU004146</t>
  </si>
  <si>
    <t>Консервы «Буженина в пряном маринаде» Фикс.вес 0,25 ТМ «Стародворье»</t>
  </si>
  <si>
    <t>SU004131</t>
  </si>
  <si>
    <t>Вареные колбасы «Ветчинно-рубленая» Весовой п/а ТМ «Особый рецепт»</t>
  </si>
  <si>
    <t>SU002612</t>
  </si>
  <si>
    <t>Копченые колбасы «Балыкбургская» Весовой фиброуз ТМ «Баварушка»</t>
  </si>
  <si>
    <t>TSO001121014</t>
  </si>
  <si>
    <t>6311970</t>
  </si>
  <si>
    <t>ТСРознТСЕ</t>
  </si>
  <si>
    <t>TSO001121064</t>
  </si>
  <si>
    <t>6312530</t>
  </si>
  <si>
    <t>ОгранПроизвМощАут</t>
  </si>
  <si>
    <t>Общие</t>
  </si>
  <si>
    <t>SU003686</t>
  </si>
  <si>
    <t>Ветчины «Нежная с индейкой» Весовой п/а ТМ «Особый рецепт»</t>
  </si>
  <si>
    <t>SU000246</t>
  </si>
  <si>
    <t>Сосиски «Молочные оригинальные» Весовой п/а ТМ «Особый рецепт»</t>
  </si>
  <si>
    <t>SU004016</t>
  </si>
  <si>
    <t>Сосиски «Мясные для гриля» Фикс.вес 0,3 целлофан ТМ «Ядрена копоть»</t>
  </si>
  <si>
    <t>TSO001121068</t>
  </si>
  <si>
    <t>6312526</t>
  </si>
  <si>
    <t>SU003745</t>
  </si>
  <si>
    <t>Вареные колбасы «Сливушка» Фикс.вес 0,11 нарезка ТМ «Вязанка»</t>
  </si>
  <si>
    <t>SU002833</t>
  </si>
  <si>
    <t>Ветчины «Сливушка с индейкой» Весовой п/а ТМ «Вязанка»</t>
  </si>
  <si>
    <t>SU002735</t>
  </si>
  <si>
    <t>Ветчины «Сливушка с индейкой» Фикс.вес 0,4 п/а ТМ «Вязанка»</t>
  </si>
  <si>
    <t>SU001921</t>
  </si>
  <si>
    <t>С/к колбасы Салями Охотничья Бордо Весовые б/о терм/п 180 Стародворье</t>
  </si>
  <si>
    <t>SU004144</t>
  </si>
  <si>
    <t>Консервы «Гречка по-купечески с говядиной и овощами» Фикс.вес 0,325 ТМ «Стародворье»</t>
  </si>
  <si>
    <t>TSO001121071</t>
  </si>
  <si>
    <t>6312525</t>
  </si>
  <si>
    <t>SU003392</t>
  </si>
  <si>
    <t>Вареные колбасы «Стародворская Традиционная» Весовой п/а ТМ «Стародворье»</t>
  </si>
  <si>
    <t>SU001822</t>
  </si>
  <si>
    <t>В/к колбасы Кремлевский Бордо Весовые Фиброуз в/у Стародворье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</si>
  <si>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</si>
  <si>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</si>
  <si>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</si>
  <si>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</si>
  <si>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</si>
  <si>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</si>
  <si>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TSO001121075</t>
  </si>
  <si>
    <t>6312533</t>
  </si>
  <si>
    <t>SU002986</t>
  </si>
  <si>
    <t>Вареные колбасы «Докторская ГОСТ» Фикс.вес 0,37 п/а ТМ «Вязанка»</t>
  </si>
  <si>
    <t>SU002354</t>
  </si>
  <si>
    <t>Вареные колбасы «Молокуша» Фикс.вес 0,17 нарезка ТМ «Вязанка»</t>
  </si>
  <si>
    <t>SU002356</t>
  </si>
  <si>
    <t>Ветчины «Сливушка с индейкой» Фикс.вес 0,1 нарезка ТМ «Вязанка»</t>
  </si>
  <si>
    <t>SU003272</t>
  </si>
  <si>
    <t>Вареные колбасы «Стародворская с окороком» ф/в 0,4 п/а ТМ «Стародворье»</t>
  </si>
  <si>
    <t>TSO001121201</t>
  </si>
  <si>
    <t>ЗаказРасфПоПричКлиен</t>
  </si>
  <si>
    <t>TSO001121202</t>
  </si>
  <si>
    <t>TSO001121204</t>
  </si>
  <si>
    <t>6312589</t>
  </si>
  <si>
    <t>TSO001121236</t>
  </si>
  <si>
    <t>6312588</t>
  </si>
  <si>
    <t>TSO001121237</t>
  </si>
  <si>
    <t>6312591</t>
  </si>
  <si>
    <t>TSO001121238</t>
  </si>
  <si>
    <t>6312590</t>
  </si>
  <si>
    <t>Общий итог</t>
  </si>
  <si>
    <t>(пусто)</t>
  </si>
  <si>
    <t>Сумма по полю Заказано</t>
  </si>
  <si>
    <t>Сумма по полю Согласовано</t>
  </si>
  <si>
    <t>Сумма по полю Урезание</t>
  </si>
  <si>
    <t>должкен быть отгружен</t>
  </si>
  <si>
    <t>Донецк</t>
  </si>
  <si>
    <t>дозаказ</t>
  </si>
  <si>
    <t>Луганск</t>
  </si>
  <si>
    <t>Горняк</t>
  </si>
  <si>
    <t>Мелитополь</t>
  </si>
  <si>
    <t>Бердянск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</si>
</sst>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/>
    <xf numFmtId="0" fontId="0" fillId="0" borderId="1" xfId="0" pivotButton="1" applyBorder="1"/>
    <xf numFmtId="3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3" fontId="0" fillId="2" borderId="1" xfId="0" applyNumberFormat="1" applyFill="1" applyBorder="1"/>
    <xf numFmtId="164" fontId="0" fillId="2" borderId="1" xfId="0" applyNumberFormat="1" applyFill="1" applyBorder="1"/>
    <xf numFmtId="164" fontId="0" fillId="2" borderId="0" xfId="0" applyNumberFormat="1" applyFill="1"/>
    <xf numFmtId="0" fontId="0" fillId="3" borderId="1" xfId="0" applyFill="1" applyBorder="1"/>
    <xf numFmtId="3" fontId="0" fillId="3" borderId="1" xfId="0" applyNumberFormat="1" applyFill="1" applyBorder="1"/>
    <xf numFmtId="164" fontId="0" fillId="3" borderId="1" xfId="0" applyNumberFormat="1" applyFill="1" applyBorder="1"/>
    <xf numFmtId="164" fontId="0" fillId="3" borderId="0" xfId="0" applyNumberFormat="1" applyFill="1"/>
    <xf numFmtId="0" fontId="0" fillId="4" borderId="0" xfId="0" applyFill="1"/>
  </cellXfs>
  <cellStyles count="1">
    <cellStyle name="Обычный" xfId="0" builtinId="0"/>
  </cellStyles>
  <dxfs count="782"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0_ ;[Red]\-0\ "/>
    </dxf>
    <dxf>
      <numFmt numFmtId="164" formatCode="0_ ;[Red]\-0\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адостина Марина Олеговна" refreshedDate="46279.69356388889" createdVersion="6" refreshedVersion="6" minRefreshableVersion="3" recordCount="647" xr:uid="{00000000-000A-0000-FFFF-FFFF0A000000}">
  <cacheSource type="worksheet">
    <worksheetSource name="Table"/>
  </cacheSource>
  <cacheFields count="32">
    <cacheField name="Способ поставки" numFmtId="49">
      <sharedItems/>
    </cacheField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 count="17">
        <s v="TSO001119753"/>
        <s v="TSO001120280"/>
        <s v="TSO001120281"/>
        <s v="TSO001120282"/>
        <s v="TSO001120283"/>
        <s v="TSO001120285"/>
        <s v="TSO001121014"/>
        <s v="TSO001121064"/>
        <s v="TSO001121068"/>
        <s v="TSO001121071"/>
        <s v="TSO001121075"/>
        <s v="TSO001121201"/>
        <s v="TSO001121202"/>
        <s v="TSO001121204"/>
        <s v="TSO001121236"/>
        <s v="TSO001121237"/>
        <s v="TSO001121238"/>
      </sharedItems>
    </cacheField>
    <cacheField name="Запрошенная дата отгрузки" numFmtId="14">
      <sharedItems containsSemiMixedTypes="0" containsNonDate="0" containsDate="1" containsString="0" minDate="2026-09-14T00:00:00" maxDate="2026-09-15T00:00:00" count="1">
        <d v="2026-09-14T00:00:00"/>
      </sharedItems>
    </cacheField>
    <cacheField name="Внешний номер заказа" numFmtId="49">
      <sharedItems containsBlank="1" count="16">
        <s v="6311080"/>
        <s v="6311183"/>
        <s v="6311164"/>
        <s v="6311156"/>
        <s v="6311153"/>
        <s v="6311144"/>
        <s v="6311970"/>
        <s v="6312530"/>
        <s v="6312526"/>
        <s v="6312525"/>
        <s v="6312533"/>
        <m/>
        <s v="6312589"/>
        <s v="6312588"/>
        <s v="6312591"/>
        <s v="6312590"/>
      </sharedItems>
    </cacheField>
    <cacheField name="Время отгрузки" numFmtId="19">
      <sharedItems containsSemiMixedTypes="0" containsNonDate="0" containsDate="1" containsString="0" minDate="2026-09-14T00:10:00" maxDate="2026-09-14T12:00:00"/>
    </cacheField>
    <cacheField name="Внешний код клиента" numFmtId="49">
      <sharedItems count="4">
        <s v="НВМелСемен"/>
        <s v="НВЛугРабоч"/>
        <s v="НВДонецЧаа"/>
        <s v="НВТрояны"/>
      </sharedItems>
    </cacheField>
    <cacheField name="Запрошенная дата прихода" numFmtId="14">
      <sharedItems containsSemiMixedTypes="0" containsNonDate="0" containsDate="1" containsString="0" minDate="2026-09-14T00:00:00" maxDate="2026-09-15T00:00:00"/>
    </cacheField>
    <cacheField name="Время прихода" numFmtId="19">
      <sharedItems containsSemiMixedTypes="0" containsNonDate="0" containsDate="1" containsString="0" minDate="2026-09-14T00:10:00" maxDate="2026-09-14T12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17">
        <s v="SU001485"/>
        <s v="SU002831"/>
        <s v="SU002835"/>
        <s v="SU002830"/>
        <s v="SU001523"/>
        <s v="SU001718"/>
        <s v="SU001721"/>
        <s v="SU001720"/>
        <s v="SU002367"/>
        <s v="SU002985"/>
        <s v="SU002984"/>
        <s v="SU004041"/>
        <s v="SU004047"/>
        <s v="SU004044"/>
        <s v="SU004039"/>
        <s v="SU004045"/>
        <s v="SU004042"/>
        <s v="SU002756"/>
        <s v="SU002847"/>
        <s v="SU004026"/>
        <s v="SU002660"/>
        <s v="SU003829"/>
        <s v="SU003178"/>
        <s v="SU002848"/>
        <s v="SU003893"/>
        <s v="SU003894"/>
        <s v="SU002941"/>
        <s v="SU002943"/>
        <s v="SU002945"/>
        <s v="SU002947"/>
        <s v="SU002944"/>
        <s v="SU002942"/>
        <s v="SU002948"/>
        <s v="SU002843"/>
        <s v="SU002845"/>
        <s v="SU002725"/>
        <s v="SU002618"/>
        <s v="SU002621"/>
        <s v="SU002686"/>
        <s v="SU002844"/>
        <s v="SU002759"/>
        <s v="SU002758"/>
        <s v="SU003273"/>
        <s v="SU003921"/>
        <s v="SU002801"/>
        <s v="SU004103"/>
        <s v="SU004106"/>
        <s v="SU002252"/>
        <s v="SU000227"/>
        <s v="SU001430"/>
        <s v="SU002840"/>
        <s v="SU002368"/>
        <s v="SU004145"/>
        <s v="SU003167"/>
        <s v="SU003168"/>
        <s v="SU003422"/>
        <s v="SU003423"/>
        <s v="SU003420"/>
        <s v="SU004238"/>
        <s v="SU000126"/>
        <s v="SU002287"/>
        <s v="SU002074"/>
        <s v="SU002205"/>
        <s v="SU002614"/>
        <s v="SU002011"/>
        <s v="SU002182"/>
        <s v="SU002634"/>
        <s v="SU002010"/>
        <s v="SU002035"/>
        <s v="SU002151"/>
        <s v="SU002918"/>
        <s v="SU002655"/>
        <s v="SU000722"/>
        <s v="SU002829"/>
        <s v="SU002816"/>
        <s v="SU002928"/>
        <s v="SU002734"/>
        <s v="SU003896"/>
        <s v="SU002842"/>
        <s v="SU002799"/>
        <s v="SU004104"/>
        <s v="SU001051"/>
        <s v="SU002158"/>
        <s v="SU003665"/>
        <s v="SU003642"/>
        <s v="SU002828"/>
        <s v="SU002150"/>
        <s v="SU004157"/>
        <s v="SU003753"/>
        <s v="SU003751"/>
        <s v="SU003988"/>
        <s v="SU001920"/>
        <s v="SU002092"/>
        <s v="SU002841"/>
        <s v="SU002815"/>
        <s v="SU002983"/>
        <s v="SU001869"/>
        <s v="SU004146"/>
        <s v="SU004131"/>
        <s v="SU002612"/>
        <s v="SU003686"/>
        <s v="SU000246"/>
        <s v="SU004016"/>
        <s v="SU003745"/>
        <s v="SU002833"/>
        <s v="SU002735"/>
        <s v="SU001921"/>
        <s v="SU004144"/>
        <s v="SU003392"/>
        <s v="SU001822"/>
        <s v="SU002632"/>
        <s v="SU002631"/>
        <s v="SU002643"/>
        <s v="SU002986"/>
        <s v="SU002354"/>
        <s v="SU002356"/>
        <s v="SU003272"/>
      </sharedItems>
    </cacheField>
    <cacheField name="Наименование для бланков" numFmtId="49">
      <sharedItems count="117">
        <s v="Вареные колбасы Докторская ГОСТ Вязанка Фикс.вес 0,4 Вектор Вязанка"/>
        <s v="Колбаса вареная Филейская ТМ Вязанка ТС Классическая полиамид ф/в 0,4 кг"/>
        <s v="Сардельки «Филейские» Весовые н/о мгс ТМ «Вязанка»"/>
        <s v="Вареные колбасы Молокуша Вязанка Вес п/а Вязанка"/>
        <s v="Сосиски «Вязанка Молочные» Весовой п/а ТМ «Вязанка»"/>
        <s v="Сосиски «Вязанка Молочные» Фикс.вес 0,45 п/а ТМ «Вязанка»"/>
        <s v="Сосиски «Вязанка Сливочные» Весовой п/а ТМ «Вязанка»"/>
        <s v="Сосиски «Вязанка Сливочные» Фикс.вес 0,45 п/а ТМ «Вязанка»"/>
        <s v="Сардельки «Сливушки» Фикс.вес 0,33 п/а ТМ «Вязанка»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пченые колбасы «Ассорти Мясорубская коллекция: Сервелат Делюкс, С балыком» Фикс.вес 0,08 нарезка ТМ «Стародворье»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Копченые колбасы «Сервелат Мясорубский» Фикс.вес 0,08 нарезка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» Весовой п/а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Вареные колбасы «Молочная Стародворская с молоком» Весовой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Вареные колбасы «Молочная» Весовой п/а ТМ «Стародворье»"/>
        <s v="Вареные колбасы «Со шпиком» Весовой п/а ТМ «Стародворье»"/>
        <s v="П/к колбасы Кракушка пряная с сальцем Бавария Фикс.вес 0,3 н/о в/у Стародворье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нсервы «Индейка томленая в собственном соку» Фикс.вес 0,25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ареные колбасы «Докторская Классическая» Весовой п/а ТМ «Особый рецепт»"/>
        <s v="Ветчины Нежная Особая Особая Весовые П/а Особый рецепт большой батон"/>
        <s v="Сардельки «Сочные» Весовой п/а ТМ «Особый рецепт»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Копченые колбасы «Салями Филейбургская зернистая» Весовой фиброуз ТМ «Баварушка»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етчины Дугушка Дугушка Вес б/о Дугушка"/>
        <s v="В/к колбасы «Сервелат Запеченный» Весовые Вектор ТМ «Дугушка»"/>
        <s v="В/к колбасы «Сервелат Запеченный» Фикс.вес 0,6 вектор ТМ «Стародворье»"/>
        <s v="Сосиски «Датские» Весовой п/а ТМ «Зареченские продукты»"/>
        <s v="Вареные колбасы Докторская ГОСТ Вязанка Весовые Вектор Вязанка"/>
        <s v="Вареные колбасы «Филейская» Весовые Вектор ТМ «Вязанка»"/>
        <s v="Вареные колбасы Молокуша Вязанка Фикс.вес 0,45 п/а Вязанка"/>
        <s v="Вареные колбасы «Сливушка» Вес П/а ТМ «Вязанка»"/>
        <s v="Вареные колбасы «Сливушка» Фикс.вес 0,45 п/а ТМ «Вязанка»"/>
        <s v="Сыровяленые колбасы «Фуэт» Фикс.вес 0,07 нарезка ТМ «Стародворье»"/>
        <s v="Сосиски «Сочинки Молочные» Фикс.вес 0,4 п/а мгс ТМ «Стародворье»"/>
        <s v="Сосиски Сочинки по-баварски Бавария Фикс.вес 0,4 П/а мгс Стародворье"/>
        <s v="Вареные колбасы «Мясная» Весовой п/а ТМ «Стародворье»"/>
        <s v="Сардельки «Нежные» Весовые NDX мгс ТМ «Стародворье»"/>
        <s v="В/к колбасы «Салями Запеченая» Весовые ТМ «Дугушка»"/>
        <s v="Сосиски «Сосиски с сыром» Фикс.вес 0,3 вискофан ТМ «Ядрена копоть»"/>
        <s v="Вареные колбасы «Филейская со шпиком» Весовой п/а ТМ «Вязанка»"/>
        <s v="Ветчины «Филейская» Весовые Вектор ТМ «Вязанка»"/>
        <s v="В/к колбасы «Рубленая Запеченная» Весовые Вектор ТМ «Дугушка»"/>
        <s v="Вареные колбасы «Мясная Классическая» Весовой п/а ТМ «Вязанка»"/>
        <s v="Копченые колбасы «Балыковая » Фикс.вес 0,09 нарезка ТМ «Вязанка»"/>
        <s v="Копченые колбасы «Сервелат Финский» Фикс.вес 0,09 нарезка ТМ «Вязанка»"/>
        <s v="Копченые колбасы «Сервелат Ореховый» Фикс.вес 0,09 нарезка ТМ «Вязанка»"/>
        <s v="С/к колбасы Княжеская Бордо Весовые б/о терм/п Стародворье"/>
        <s v="С/к колбасы Баварская Бавария Фикс.вес 0,17 б/о терм/п Стародворье"/>
        <s v="Паштеты «Любительский ГОСТ» Фикс.вес 0,1 ТМ «Стародворье»"/>
        <s v="Вареные колбасы «Филейская» Фикс.вес 0,45 Вектор ТМ «Вязанка»"/>
        <s v="Колбаса вареная Мусульманская ТМ Вязанка Халяль вектор ф/в 0,4 кг Казахстан АК"/>
        <s v="С/к колбасы Швейцарская Бордо Фикс.вес 0,17 Фиброуз терм/п Стародворье"/>
        <s v="Консервы «Буженина в пряном маринаде» Фикс.вес 0,25 ТМ «Стародворье»"/>
        <s v="Вареные колбасы «Ветчинно-рубленая» Весовой п/а ТМ «Особый рецепт»"/>
        <s v="Копченые колбасы «Балыкбургская» Весовой фиброуз ТМ «Баварушка»"/>
        <s v="Ветчины «Нежная с индейкой» Весовой п/а ТМ «Особый рецепт»"/>
        <s v="Сосиски «Молочные оригинальные» Весовой п/а ТМ «Особый рецепт»"/>
        <s v="Сосиски «Мясные для гриля» Фикс.вес 0,3 целлофан ТМ «Ядрена копоть»"/>
        <s v="Вареные колбасы «Сливушка» Фикс.вес 0,11 нарезка ТМ «Вязанка»"/>
        <s v="Ветчины «Сливушка с индейкой» Весовой п/а ТМ «Вязанка»"/>
        <s v="Ветчины «Сливушка с индейкой» Фикс.вес 0,4 п/а ТМ «Вязанка»"/>
        <s v="С/к колбасы Салями Охотничья Бордо Весовые б/о терм/п 180 Стародворье"/>
        <s v="Консервы «Гречка по-купечески с говядиной и овощами» Фикс.вес 0,325 ТМ «Стародворье»"/>
        <s v="Вареные колбасы «Стародворская Традиционная» Весовой п/а ТМ «Стародворье»"/>
        <s v="В/к колбасы Кремлевский Бордо Весовые Фиброуз в/у Стародворье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«Дугушка» Фикс.вес 0,6 полиамид ТМ «Дугушка»"/>
        <s v="Вареные колбасы «Докторская ГОСТ» Фикс.вес 0,37 п/а ТМ «Вязанка»"/>
        <s v="Вареные колбасы «Молокуша» Фикс.вес 0,17 нарезка ТМ «Вязанка»"/>
        <s v="Ветчины «Сливушка с индейкой» Фикс.вес 0,1 нарезка ТМ «Вязанка»"/>
        <s v="Вареные колбасы «Стародворская с окороком» ф/в 0,4 п/а ТМ «Стародворье»"/>
      </sharedItems>
    </cacheField>
    <cacheField name="Заказано" numFmtId="4">
      <sharedItems containsString="0" containsBlank="1" containsNumber="1" minValue="1" maxValue="3165" count="331">
        <n v="16"/>
        <n v="12"/>
        <n v="499.2"/>
        <n v="32.4"/>
        <n v="907.2"/>
        <m/>
        <n v="1004.4"/>
        <n v="240.3"/>
        <n v="47.52"/>
        <n v="47.6"/>
        <n v="34.32"/>
        <n v="150.5"/>
        <n v="21"/>
        <n v="101.5"/>
        <n v="40.32"/>
        <n v="42"/>
        <n v="50.4"/>
        <n v="3.2"/>
        <n v="8.4"/>
        <n v="18"/>
        <n v="9.6"/>
        <n v="60.9"/>
        <n v="3.78"/>
        <n v="2.52"/>
        <n v="97.2"/>
        <n v="64.8"/>
        <n v="102.6"/>
        <n v="81"/>
        <n v="9"/>
        <n v="16.2"/>
        <n v="153.9"/>
        <n v="364.5"/>
        <n v="34.799999999999997"/>
        <n v="141.6"/>
        <n v="81.599999999999994"/>
        <n v="60"/>
        <n v="163.19999999999999"/>
        <n v="43.2"/>
        <n v="23.2"/>
        <n v="5.4"/>
        <n v="210.6"/>
        <n v="54.6"/>
        <n v="202.8"/>
        <n v="67.2"/>
        <n v="10"/>
        <n v="40"/>
        <n v="75"/>
        <n v="14.7"/>
        <n v="4.2"/>
        <n v="2550"/>
        <n v="1575"/>
        <n v="2010"/>
        <n v="705"/>
        <n v="2670"/>
        <n v="36"/>
        <n v="702"/>
        <n v="21.12"/>
        <n v="105.6"/>
        <n v="601.91999999999996"/>
        <n v="580.79999999999995"/>
        <n v="52.8"/>
        <n v="14.4"/>
        <n v="259.2"/>
        <n v="734.4"/>
        <n v="270"/>
        <n v="15.6"/>
        <n v="63"/>
        <n v="421.2"/>
        <n v="72.900000000000006"/>
        <n v="399.6"/>
        <n v="135"/>
        <n v="429.3"/>
        <n v="113.4"/>
        <n v="176.4"/>
        <n v="75.599999999999994"/>
        <n v="251.1"/>
        <n v="105.3"/>
        <n v="26.1"/>
        <n v="74.400000000000006"/>
        <n v="600"/>
        <n v="96"/>
        <n v="120"/>
        <n v="21.6"/>
        <n v="40.799999999999997"/>
        <n v="62.4"/>
        <n v="16.8"/>
        <n v="312"/>
        <n v="27.3"/>
        <n v="300"/>
        <n v="285"/>
        <n v="465"/>
        <n v="165"/>
        <n v="1008"/>
        <n v="190.08"/>
        <n v="359.04"/>
        <n v="237.6"/>
        <n v="269.27999999999997"/>
        <n v="163.68"/>
        <n v="39.6"/>
        <n v="249.6"/>
        <n v="288"/>
        <n v="100.8"/>
        <n v="86.4"/>
        <n v="89.6"/>
        <n v="172.8"/>
        <n v="124.8"/>
        <n v="129.6"/>
        <n v="37.799999999999997"/>
        <n v="518.4"/>
        <n v="201.6"/>
        <n v="194.4"/>
        <n v="417.6"/>
        <n v="144"/>
        <n v="28.8"/>
        <n v="360"/>
        <n v="480"/>
        <n v="84.48"/>
        <n v="126.72"/>
        <n v="648"/>
        <n v="90"/>
        <n v="193.5"/>
        <n v="2073.6"/>
        <n v="583.20000000000005"/>
        <n v="28"/>
        <n v="59.5"/>
        <n v="252"/>
        <n v="24.3"/>
        <n v="99.12"/>
        <n v="19.8"/>
        <n v="15.12"/>
        <n v="22.5"/>
        <n v="13.6"/>
        <n v="5.04"/>
        <n v="59.4"/>
        <n v="151.19999999999999"/>
        <n v="3.6"/>
        <n v="7.2"/>
        <n v="56.7"/>
        <n v="400.8"/>
        <n v="240"/>
        <n v="160.80000000000001"/>
        <n v="88.8"/>
        <n v="31.2"/>
        <n v="585"/>
        <n v="507"/>
        <n v="6.08"/>
        <n v="10.199999999999999"/>
        <n v="66"/>
        <n v="35.700000000000003"/>
        <n v="405"/>
        <n v="330"/>
        <n v="1503"/>
        <n v="1620.96"/>
        <n v="1774.08"/>
        <n v="802.56"/>
        <n v="184.8"/>
        <n v="332.64"/>
        <n v="501.6"/>
        <n v="334.8"/>
        <n v="4"/>
        <n v="108"/>
        <n v="54"/>
        <n v="156"/>
        <n v="216"/>
        <n v="502.2"/>
        <n v="12.8"/>
        <n v="14"/>
        <n v="50.16"/>
        <n v="52.5"/>
        <n v="2.7"/>
        <n v="4.5"/>
        <n v="33.6"/>
        <n v="12.6"/>
        <n v="6.4"/>
        <n v="39.9"/>
        <n v="10.08"/>
        <n v="7.56"/>
        <n v="321.60000000000002"/>
        <n v="117"/>
        <n v="70.2"/>
        <n v="23.4"/>
        <n v="117.6"/>
        <n v="17.850000000000001"/>
        <n v="57"/>
        <n v="45"/>
        <n v="2415"/>
        <n v="1950"/>
        <n v="885"/>
        <n v="2205"/>
        <n v="3165"/>
        <n v="100.32"/>
        <n v="63.36"/>
        <n v="95.04"/>
        <n v="401.28"/>
        <n v="5.28"/>
        <n v="302.39999999999998"/>
        <n v="205.2"/>
        <n v="91.8"/>
        <n v="29.7"/>
        <n v="5.6"/>
        <n v="42.24"/>
        <n v="6.3"/>
        <n v="23.52"/>
        <n v="28.56"/>
        <n v="8"/>
        <n v="243"/>
        <n v="24"/>
        <n v="69.599999999999994"/>
        <n v="48"/>
        <n v="26.4"/>
        <n v="46.8"/>
        <n v="78"/>
        <n v="58.8"/>
        <n v="15.3"/>
        <n v="30"/>
        <n v="22"/>
        <n v="15"/>
        <n v="3"/>
        <n v="1125"/>
        <n v="765"/>
        <n v="1230"/>
        <n v="801"/>
        <n v="153.12"/>
        <n v="253.44"/>
        <n v="31.68"/>
        <n v="19.2"/>
        <n v="140.4"/>
        <n v="340.2"/>
        <n v="10.8"/>
        <n v="7.26"/>
        <n v="121.5"/>
        <n v="51.48"/>
        <n v="57.6"/>
        <n v="78.400000000000006"/>
        <n v="60.72"/>
        <n v="31.5"/>
        <n v="43.68"/>
        <n v="86.1"/>
        <n v="124.2"/>
        <n v="234.9"/>
        <n v="180"/>
        <n v="170.4"/>
        <n v="139.19999999999999"/>
        <n v="103.2"/>
        <n v="7.8"/>
        <n v="452.4"/>
        <n v="85.8"/>
        <n v="25.2"/>
        <n v="304.2"/>
        <n v="84"/>
        <n v="36.479999999999997"/>
        <n v="9.1199999999999992"/>
        <n v="25.5"/>
        <n v="6"/>
        <n v="35.1"/>
        <n v="177"/>
        <n v="23.1"/>
        <n v="690"/>
        <n v="375"/>
        <n v="150"/>
        <n v="27"/>
        <n v="603"/>
        <n v="162"/>
        <n v="36.96"/>
        <n v="116.16"/>
        <n v="195.36"/>
        <n v="179.52"/>
        <n v="572.4"/>
        <n v="496.8"/>
        <n v="1587.6"/>
        <n v="2.4"/>
        <n v="129.5"/>
        <n v="112"/>
        <n v="25.6"/>
        <n v="123.9"/>
        <n v="16.38"/>
        <n v="253.8"/>
        <n v="380.7"/>
        <n v="801.6"/>
        <n v="199.2"/>
        <n v="351"/>
        <n v="20.399999999999999"/>
        <n v="29.4"/>
        <n v="570"/>
        <n v="540"/>
        <n v="2565"/>
        <n v="121.44"/>
        <n v="1589.28"/>
        <n v="1027.2"/>
        <n v="654.72"/>
        <n v="4.8"/>
        <n v="454.08"/>
        <n v="644.16"/>
        <n v="61.2"/>
        <n v="1296"/>
        <n v="66.599999999999994"/>
        <n v="179.2"/>
        <n v="56"/>
        <n v="13.5"/>
        <n v="101.4"/>
        <n v="3.4"/>
        <n v="67.5"/>
        <n v="280.8"/>
        <n v="99"/>
        <n v="1"/>
        <n v="550.79999999999995"/>
        <n v="44.8"/>
        <n v="132"/>
        <n v="182"/>
        <n v="11.7"/>
        <n v="30.6"/>
        <n v="210"/>
        <n v="261.60000000000002"/>
        <n v="720"/>
        <n v="223.2"/>
        <n v="72"/>
        <n v="179.4"/>
        <n v="109.2"/>
        <n v="121.8"/>
        <n v="686.4"/>
        <n v="18.899999999999999"/>
        <n v="915"/>
        <n v="780"/>
        <n v="1095"/>
        <n v="1206"/>
        <n v="79.2"/>
        <n v="216.48"/>
        <n v="38.4"/>
        <n v="850.08"/>
        <n v="795"/>
        <n v="810"/>
      </sharedItems>
    </cacheField>
    <cacheField name="Согласовано" numFmtId="4">
      <sharedItems containsString="0" containsBlank="1" containsNumber="1" minValue="2.4" maxValue="3165" count="313">
        <n v="16"/>
        <n v="12"/>
        <n v="499.2"/>
        <n v="32.4"/>
        <n v="907.2"/>
        <m/>
        <n v="1004.4"/>
        <n v="240.3"/>
        <n v="47.52"/>
        <n v="47.6"/>
        <n v="34.32"/>
        <n v="40.32"/>
        <n v="42"/>
        <n v="50.4"/>
        <n v="3.2"/>
        <n v="8.4"/>
        <n v="9.6"/>
        <n v="60.9"/>
        <n v="3.78"/>
        <n v="2.52"/>
        <n v="97.2"/>
        <n v="153.9"/>
        <n v="364.5"/>
        <n v="34.799999999999997"/>
        <n v="141.6"/>
        <n v="81.599999999999994"/>
        <n v="60"/>
        <n v="163.19999999999999"/>
        <n v="21.6"/>
        <n v="23.2"/>
        <n v="5.4"/>
        <n v="210.6"/>
        <n v="54.6"/>
        <n v="9"/>
        <n v="202.8"/>
        <n v="67.2"/>
        <n v="10"/>
        <n v="40"/>
        <n v="75"/>
        <n v="14.7"/>
        <n v="2550"/>
        <n v="1575"/>
        <n v="2010"/>
        <n v="705"/>
        <n v="2670"/>
        <n v="36"/>
        <n v="702"/>
        <n v="16.2"/>
        <n v="21.12"/>
        <n v="105.6"/>
        <n v="601.91999999999996"/>
        <n v="580.79999999999995"/>
        <n v="52.8"/>
        <n v="14.4"/>
        <n v="259.2"/>
        <n v="734.4"/>
        <n v="270"/>
        <n v="15.6"/>
        <n v="63"/>
        <n v="421.2"/>
        <n v="72.900000000000006"/>
        <n v="399.6"/>
        <n v="135"/>
        <n v="429.3"/>
        <n v="113.4"/>
        <n v="176.4"/>
        <n v="251.1"/>
        <n v="105.3"/>
        <n v="26.1"/>
        <n v="74.400000000000006"/>
        <n v="600"/>
        <n v="96"/>
        <n v="120"/>
        <n v="40.799999999999997"/>
        <n v="16.8"/>
        <n v="312"/>
        <n v="27.3"/>
        <n v="300"/>
        <n v="285"/>
        <n v="465"/>
        <n v="165"/>
        <n v="1008"/>
        <n v="190.08"/>
        <n v="359.04"/>
        <n v="237.6"/>
        <n v="269.27999999999997"/>
        <n v="163.68"/>
        <n v="39.6"/>
        <n v="249.6"/>
        <n v="288"/>
        <n v="86.4"/>
        <n v="89.6"/>
        <n v="172.8"/>
        <n v="124.8"/>
        <n v="129.6"/>
        <n v="37.799999999999997"/>
        <n v="518.4"/>
        <n v="201.6"/>
        <n v="417.6"/>
        <n v="144"/>
        <n v="360"/>
        <n v="480"/>
        <n v="84.48"/>
        <n v="126.72"/>
        <n v="648"/>
        <n v="90"/>
        <n v="193.5"/>
        <n v="2073.6"/>
        <n v="583.20000000000005"/>
        <n v="59.5"/>
        <n v="252"/>
        <n v="24.3"/>
        <n v="99.12"/>
        <n v="19.8"/>
        <n v="15.12"/>
        <n v="22.5"/>
        <n v="13.6"/>
        <n v="5.04"/>
        <n v="56.7"/>
        <n v="400.8"/>
        <n v="240"/>
        <n v="160.80000000000001"/>
        <n v="88.8"/>
        <n v="31.2"/>
        <n v="585"/>
        <n v="507"/>
        <n v="6.08"/>
        <n v="10.199999999999999"/>
        <n v="66"/>
        <n v="35.700000000000003"/>
        <n v="405"/>
        <n v="330"/>
        <n v="1503"/>
        <n v="1620.96"/>
        <n v="1774.08"/>
        <n v="802.56"/>
        <n v="184.8"/>
        <n v="332.64"/>
        <n v="501.6"/>
        <n v="334.8"/>
        <n v="64.8"/>
        <n v="4"/>
        <n v="108"/>
        <n v="54"/>
        <n v="156"/>
        <n v="216"/>
        <n v="502.2"/>
        <n v="12.8"/>
        <n v="14"/>
        <n v="50.16"/>
        <n v="52.5"/>
        <n v="2.7"/>
        <n v="4.5"/>
        <n v="33.6"/>
        <n v="6.4"/>
        <n v="39.9"/>
        <n v="10.08"/>
        <n v="7.56"/>
        <n v="102.6"/>
        <n v="321.60000000000002"/>
        <n v="117"/>
        <n v="70.2"/>
        <n v="23.4"/>
        <n v="117.6"/>
        <n v="17.850000000000001"/>
        <n v="57"/>
        <n v="21"/>
        <n v="45"/>
        <n v="2415"/>
        <n v="1950"/>
        <n v="885"/>
        <n v="2205"/>
        <n v="3165"/>
        <n v="100.32"/>
        <n v="63.36"/>
        <n v="95.04"/>
        <n v="401.28"/>
        <n v="5.28"/>
        <n v="302.39999999999998"/>
        <n v="205.2"/>
        <n v="91.8"/>
        <n v="29.7"/>
        <n v="101.5"/>
        <n v="6.3"/>
        <n v="23.52"/>
        <n v="28.56"/>
        <n v="8"/>
        <n v="81"/>
        <n v="243"/>
        <n v="100.8"/>
        <n v="24"/>
        <n v="69.599999999999994"/>
        <n v="48"/>
        <n v="3.6"/>
        <n v="26.4"/>
        <n v="46.8"/>
        <n v="78"/>
        <n v="58.8"/>
        <n v="15.3"/>
        <n v="30"/>
        <n v="22"/>
        <n v="15"/>
        <n v="3"/>
        <n v="4.2"/>
        <n v="1125"/>
        <n v="765"/>
        <n v="1230"/>
        <n v="18"/>
        <n v="801"/>
        <n v="153.12"/>
        <n v="253.44"/>
        <n v="31.68"/>
        <n v="19.2"/>
        <n v="140.4"/>
        <n v="340.2"/>
        <n v="10.8"/>
        <n v="7.26"/>
        <n v="121.5"/>
        <n v="51.48"/>
        <n v="31.5"/>
        <n v="43.68"/>
        <n v="12.6"/>
        <n v="180"/>
        <n v="170.4"/>
        <n v="139.19999999999999"/>
        <n v="103.2"/>
        <n v="7.8"/>
        <n v="452.4"/>
        <n v="85.8"/>
        <n v="25.2"/>
        <n v="304.2"/>
        <n v="84"/>
        <n v="36.479999999999997"/>
        <n v="9.1199999999999992"/>
        <n v="25.5"/>
        <n v="6"/>
        <n v="35.1"/>
        <n v="177"/>
        <n v="23.1"/>
        <n v="690"/>
        <n v="375"/>
        <n v="150"/>
        <n v="27"/>
        <n v="603"/>
        <n v="35"/>
        <n v="36.96"/>
        <n v="116.16"/>
        <n v="195.36"/>
        <n v="179.52"/>
        <n v="43.2"/>
        <n v="572.4"/>
        <n v="75.599999999999994"/>
        <n v="496.8"/>
        <n v="1587.6"/>
        <n v="2.4"/>
        <n v="129.5"/>
        <n v="112"/>
        <n v="25.6"/>
        <n v="253.8"/>
        <n v="380.7"/>
        <n v="31"/>
        <n v="801.6"/>
        <n v="199.2"/>
        <n v="351"/>
        <n v="7.2"/>
        <n v="20.399999999999999"/>
        <n v="570"/>
        <n v="540"/>
        <n v="2565"/>
        <n v="121.44"/>
        <n v="1589.28"/>
        <n v="1027.2"/>
        <n v="654.72"/>
        <n v="4.8"/>
        <n v="454.08"/>
        <n v="644.16"/>
        <n v="61.2"/>
        <n v="1296"/>
        <n v="66.599999999999994"/>
        <n v="179.2"/>
        <n v="56"/>
        <n v="13.5"/>
        <n v="101.4"/>
        <n v="3.4"/>
        <n v="234.9"/>
        <n v="67.5"/>
        <n v="280.8"/>
        <n v="99"/>
        <n v="550.79999999999995"/>
        <n v="132"/>
        <n v="182"/>
        <n v="150.5"/>
        <n v="11.7"/>
        <n v="30.6"/>
        <n v="261.60000000000002"/>
        <n v="720"/>
        <n v="223.2"/>
        <n v="72"/>
        <n v="179.4"/>
        <n v="109.2"/>
        <n v="121.8"/>
        <n v="686.4"/>
        <n v="29.4"/>
        <n v="915"/>
        <n v="780"/>
        <n v="1095"/>
        <n v="1206"/>
        <n v="79.2"/>
        <n v="216.48"/>
        <n v="38.4"/>
        <n v="850.08"/>
        <n v="810"/>
        <n v="210"/>
      </sharedItems>
    </cacheField>
    <cacheField name="Отгружено" numFmtId="4">
      <sharedItems containsString="0" containsBlank="1" containsNumber="1" minValue="2.4" maxValue="3165"/>
    </cacheField>
    <cacheField name="Урезание" numFmtId="4">
      <sharedItems containsString="0" containsBlank="1" containsNumber="1" minValue="-795" maxValue="-1" count="73">
        <m/>
        <n v="-150.5"/>
        <n v="-21"/>
        <n v="-101.5"/>
        <n v="-42"/>
        <n v="-18"/>
        <n v="-64.8"/>
        <n v="-102.6"/>
        <n v="-81"/>
        <n v="-9"/>
        <n v="-16.2"/>
        <n v="-21.6"/>
        <n v="-4.2"/>
        <n v="-36"/>
        <n v="-75.599999999999994"/>
        <n v="-62.4"/>
        <n v="-100.8"/>
        <n v="-9.6"/>
        <n v="-129.6"/>
        <n v="-194.4"/>
        <n v="-28.8"/>
        <n v="-86.4"/>
        <n v="-28"/>
        <n v="-99.12"/>
        <n v="-5.4"/>
        <n v="-59.4"/>
        <n v="-151.19999999999999"/>
        <n v="-14.4"/>
        <n v="-3.6"/>
        <n v="-7.2"/>
        <n v="-60"/>
        <n v="-40.799999999999997"/>
        <n v="-12.6"/>
        <n v="-54"/>
        <n v="-32.4"/>
        <n v="-16.8"/>
        <n v="-108"/>
        <n v="-5.6"/>
        <n v="-42.24"/>
        <n v="-60.9"/>
        <n v="-2.52"/>
        <n v="-3.78"/>
        <n v="-37.799999999999997"/>
        <n v="-57.6"/>
        <n v="-78.400000000000006"/>
        <n v="-60.72"/>
        <n v="-63"/>
        <n v="-86.1"/>
        <n v="-5.04"/>
        <n v="-7.56"/>
        <n v="-10.08"/>
        <n v="-43.2"/>
        <n v="-124.2"/>
        <n v="-234.9"/>
        <n v="-8.4"/>
        <n v="-33.6"/>
        <n v="-127"/>
        <n v="-52.5"/>
        <n v="-123.9"/>
        <n v="-16.38"/>
        <n v="-41.9"/>
        <n v="-29.4"/>
        <n v="-81.599999999999994"/>
        <n v="-1"/>
        <n v="-25.6"/>
        <n v="-44.8"/>
        <n v="-30.6"/>
        <n v="-210"/>
        <n v="-251.1"/>
        <n v="-18.899999999999999"/>
        <n v="-27"/>
        <n v="-795"/>
        <n v="-405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  <cacheField name="Вложение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7"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0"/>
    <x v="0"/>
    <x v="0"/>
    <x v="0"/>
    <n v="1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"/>
    <x v="1"/>
    <x v="1"/>
    <x v="1"/>
    <n v="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"/>
    <x v="2"/>
    <x v="2"/>
    <x v="2"/>
    <n v="49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"/>
    <x v="3"/>
    <x v="3"/>
    <x v="3"/>
    <n v="32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"/>
    <x v="4"/>
    <x v="4"/>
    <x v="4"/>
    <n v="907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"/>
    <x v="5"/>
    <x v="5"/>
    <x v="5"/>
    <m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"/>
    <x v="6"/>
    <x v="6"/>
    <x v="6"/>
    <n v="1004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7"/>
    <x v="7"/>
    <x v="7"/>
    <x v="7"/>
    <n v="240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8"/>
    <x v="8"/>
    <x v="8"/>
    <x v="8"/>
    <n v="47.5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9"/>
    <x v="9"/>
    <x v="9"/>
    <x v="9"/>
    <n v="47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0"/>
    <x v="10"/>
    <x v="10"/>
    <x v="10"/>
    <n v="34.3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1"/>
    <x v="11"/>
    <x v="11"/>
    <x v="5"/>
    <m/>
    <x v="1"/>
    <s v="ОгранПроизвМощностей"/>
    <s v="Производ"/>
    <s v="Нет"/>
    <m/>
    <m/>
    <m/>
    <s v="Нет"/>
    <s v="Фощанко 11.09"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2"/>
    <x v="12"/>
    <x v="12"/>
    <x v="5"/>
    <m/>
    <x v="2"/>
    <s v="ЗаказРазмСОпоздГраф"/>
    <s v="Клиент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3"/>
    <x v="13"/>
    <x v="13"/>
    <x v="5"/>
    <m/>
    <x v="3"/>
    <s v="ЗаказРазмСОпоздГраф"/>
    <s v="Клиент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4"/>
    <x v="14"/>
    <x v="14"/>
    <x v="11"/>
    <n v="40.3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5"/>
    <x v="15"/>
    <x v="15"/>
    <x v="5"/>
    <m/>
    <x v="4"/>
    <s v="ОгранПроизвМощностей"/>
    <s v="Производ"/>
    <s v="Нет"/>
    <m/>
    <m/>
    <m/>
    <s v="Нет"/>
    <s v=" ;Фощанко 11.09"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6"/>
    <x v="16"/>
    <x v="15"/>
    <x v="12"/>
    <n v="4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7"/>
    <x v="17"/>
    <x v="16"/>
    <x v="13"/>
    <n v="5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8"/>
    <x v="18"/>
    <x v="16"/>
    <x v="13"/>
    <n v="5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19"/>
    <x v="19"/>
    <x v="17"/>
    <x v="14"/>
    <n v="3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0"/>
    <x v="20"/>
    <x v="18"/>
    <x v="15"/>
    <n v="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1"/>
    <x v="21"/>
    <x v="19"/>
    <x v="5"/>
    <m/>
    <x v="5"/>
    <s v="ОгранПроизвМощСпис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2"/>
    <x v="22"/>
    <x v="20"/>
    <x v="16"/>
    <n v="9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3"/>
    <x v="23"/>
    <x v="21"/>
    <x v="17"/>
    <n v="60.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4"/>
    <x v="24"/>
    <x v="22"/>
    <x v="18"/>
    <n v="3.7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5"/>
    <x v="25"/>
    <x v="23"/>
    <x v="19"/>
    <n v="2.5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6"/>
    <x v="26"/>
    <x v="24"/>
    <x v="20"/>
    <n v="97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7"/>
    <x v="27"/>
    <x v="25"/>
    <x v="5"/>
    <m/>
    <x v="6"/>
    <s v="ЗаказРазмСОпоздГраф"/>
    <s v="Клиент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8"/>
    <x v="28"/>
    <x v="26"/>
    <x v="5"/>
    <m/>
    <x v="7"/>
    <s v="ОгранПроизвМощностей"/>
    <s v="Производ"/>
    <s v="Нет"/>
    <m/>
    <m/>
    <m/>
    <s v="Нет"/>
    <s v="Фощанко 11.09"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29"/>
    <x v="29"/>
    <x v="27"/>
    <x v="5"/>
    <m/>
    <x v="8"/>
    <s v="ЗаказРазмСОпоздГраф"/>
    <s v="Клиент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0"/>
    <x v="30"/>
    <x v="28"/>
    <x v="5"/>
    <m/>
    <x v="9"/>
    <s v="ОгранПроизвМощностей"/>
    <s v="Производ"/>
    <s v="Нет"/>
    <m/>
    <m/>
    <m/>
    <s v="Нет"/>
    <s v="Фощанко 11.09"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1"/>
    <x v="31"/>
    <x v="28"/>
    <x v="5"/>
    <m/>
    <x v="9"/>
    <s v="ОгранПроизвМощностей"/>
    <s v="Производ"/>
    <s v="Нет"/>
    <m/>
    <m/>
    <m/>
    <s v="Нет"/>
    <s v="Фощанко 11.09"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2"/>
    <x v="32"/>
    <x v="29"/>
    <x v="5"/>
    <m/>
    <x v="10"/>
    <s v="ОгранПроизвМощностей"/>
    <s v="Производ"/>
    <s v="Нет"/>
    <m/>
    <m/>
    <m/>
    <s v="Нет"/>
    <s v="Фощанко 11.09"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3"/>
    <x v="33"/>
    <x v="30"/>
    <x v="21"/>
    <n v="153.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4"/>
    <x v="34"/>
    <x v="31"/>
    <x v="22"/>
    <n v="364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5"/>
    <x v="35"/>
    <x v="32"/>
    <x v="23"/>
    <n v="34.799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6"/>
    <x v="36"/>
    <x v="33"/>
    <x v="24"/>
    <n v="14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7"/>
    <x v="37"/>
    <x v="34"/>
    <x v="25"/>
    <n v="81.59999999999999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8"/>
    <x v="38"/>
    <x v="35"/>
    <x v="26"/>
    <n v="6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39"/>
    <x v="39"/>
    <x v="36"/>
    <x v="27"/>
    <n v="163.1999999999999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0"/>
    <x v="40"/>
    <x v="1"/>
    <x v="1"/>
    <n v="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1"/>
    <x v="41"/>
    <x v="37"/>
    <x v="28"/>
    <n v="43.2"/>
    <x v="11"/>
    <s v="ВозврИзПодрезки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2"/>
    <x v="42"/>
    <x v="38"/>
    <x v="29"/>
    <n v="23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4"/>
    <x v="44"/>
    <x v="20"/>
    <x v="16"/>
    <n v="9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5"/>
    <x v="45"/>
    <x v="40"/>
    <x v="31"/>
    <n v="210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6"/>
    <x v="46"/>
    <x v="41"/>
    <x v="32"/>
    <n v="54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7"/>
    <x v="47"/>
    <x v="28"/>
    <x v="33"/>
    <n v="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8"/>
    <x v="48"/>
    <x v="42"/>
    <x v="34"/>
    <n v="202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49"/>
    <x v="49"/>
    <x v="43"/>
    <x v="35"/>
    <n v="67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0"/>
    <x v="50"/>
    <x v="44"/>
    <x v="36"/>
    <n v="1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1"/>
    <x v="51"/>
    <x v="45"/>
    <x v="37"/>
    <n v="4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2"/>
    <x v="52"/>
    <x v="46"/>
    <x v="38"/>
    <n v="7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3"/>
    <x v="53"/>
    <x v="47"/>
    <x v="39"/>
    <n v="14.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4"/>
    <x v="54"/>
    <x v="48"/>
    <x v="5"/>
    <m/>
    <x v="12"/>
    <s v="ЗаказРазмСОпоздГраф"/>
    <s v="Клиент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5"/>
    <x v="55"/>
    <x v="49"/>
    <x v="40"/>
    <n v="255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6"/>
    <x v="56"/>
    <x v="50"/>
    <x v="41"/>
    <n v="157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7"/>
    <x v="57"/>
    <x v="51"/>
    <x v="42"/>
    <n v="201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8"/>
    <x v="58"/>
    <x v="52"/>
    <x v="43"/>
    <n v="70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59"/>
    <x v="59"/>
    <x v="53"/>
    <x v="44"/>
    <n v="267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0"/>
    <x v="60"/>
    <x v="54"/>
    <x v="45"/>
    <n v="3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1"/>
    <x v="61"/>
    <x v="55"/>
    <x v="46"/>
    <n v="70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2"/>
    <x v="62"/>
    <x v="20"/>
    <x v="16"/>
    <n v="9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3"/>
    <x v="63"/>
    <x v="29"/>
    <x v="47"/>
    <n v="16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4"/>
    <x v="64"/>
    <x v="56"/>
    <x v="48"/>
    <n v="21.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5"/>
    <x v="65"/>
    <x v="8"/>
    <x v="8"/>
    <n v="47.5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6"/>
    <x v="66"/>
    <x v="57"/>
    <x v="49"/>
    <n v="105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7"/>
    <x v="67"/>
    <x v="58"/>
    <x v="50"/>
    <n v="601.9199999999999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8"/>
    <x v="68"/>
    <x v="59"/>
    <x v="51"/>
    <n v="580.7999999999999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69"/>
    <x v="69"/>
    <x v="60"/>
    <x v="52"/>
    <n v="52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70"/>
    <x v="70"/>
    <x v="61"/>
    <x v="53"/>
    <n v="14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71"/>
    <x v="71"/>
    <x v="54"/>
    <x v="5"/>
    <m/>
    <x v="13"/>
    <s v="ЗаказРазмСОпоздГраф"/>
    <s v="Клиент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0"/>
    <x v="0"/>
    <x v="0"/>
    <d v="2026-09-14T00:10:00"/>
    <x v="0"/>
    <d v="2026-09-14T00:00:00"/>
    <d v="2026-09-14T00:10:00"/>
    <s v="596383_10"/>
    <s v="VLDR"/>
    <s v="ЦСК"/>
    <s v="Нет"/>
    <m/>
    <s v="Нет"/>
    <x v="72"/>
    <x v="72"/>
    <x v="62"/>
    <x v="54"/>
    <n v="25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72"/>
    <x v="72"/>
    <x v="63"/>
    <x v="55"/>
    <n v="734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73"/>
    <x v="73"/>
    <x v="64"/>
    <x v="56"/>
    <n v="27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2"/>
    <x v="2"/>
    <x v="65"/>
    <x v="57"/>
    <n v="15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3"/>
    <x v="3"/>
    <x v="62"/>
    <x v="54"/>
    <n v="25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74"/>
    <x v="74"/>
    <x v="66"/>
    <x v="58"/>
    <n v="6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4"/>
    <x v="4"/>
    <x v="67"/>
    <x v="59"/>
    <n v="421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5"/>
    <x v="5"/>
    <x v="68"/>
    <x v="60"/>
    <n v="72.90000000000000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75"/>
    <x v="75"/>
    <x v="69"/>
    <x v="61"/>
    <n v="399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76"/>
    <x v="76"/>
    <x v="70"/>
    <x v="62"/>
    <n v="13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6"/>
    <x v="6"/>
    <x v="71"/>
    <x v="63"/>
    <n v="429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7"/>
    <x v="7"/>
    <x v="72"/>
    <x v="64"/>
    <n v="113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23"/>
    <x v="23"/>
    <x v="73"/>
    <x v="65"/>
    <n v="17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77"/>
    <x v="77"/>
    <x v="22"/>
    <x v="18"/>
    <n v="3.7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29"/>
    <x v="29"/>
    <x v="74"/>
    <x v="5"/>
    <m/>
    <x v="14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33"/>
    <x v="33"/>
    <x v="75"/>
    <x v="66"/>
    <n v="251.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34"/>
    <x v="34"/>
    <x v="76"/>
    <x v="67"/>
    <n v="105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35"/>
    <x v="35"/>
    <x v="77"/>
    <x v="68"/>
    <n v="26.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78"/>
    <x v="78"/>
    <x v="78"/>
    <x v="69"/>
    <n v="74.40000000000000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36"/>
    <x v="36"/>
    <x v="79"/>
    <x v="70"/>
    <n v="60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37"/>
    <x v="37"/>
    <x v="80"/>
    <x v="71"/>
    <n v="9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38"/>
    <x v="38"/>
    <x v="81"/>
    <x v="72"/>
    <n v="12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40"/>
    <x v="40"/>
    <x v="82"/>
    <x v="28"/>
    <n v="2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44"/>
    <x v="44"/>
    <x v="83"/>
    <x v="73"/>
    <n v="40.799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79"/>
    <x v="79"/>
    <x v="84"/>
    <x v="5"/>
    <m/>
    <x v="15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45"/>
    <x v="45"/>
    <x v="42"/>
    <x v="34"/>
    <n v="202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80"/>
    <x v="80"/>
    <x v="40"/>
    <x v="31"/>
    <n v="210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81"/>
    <x v="81"/>
    <x v="85"/>
    <x v="74"/>
    <n v="16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48"/>
    <x v="48"/>
    <x v="86"/>
    <x v="75"/>
    <n v="3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53"/>
    <x v="53"/>
    <x v="87"/>
    <x v="76"/>
    <n v="27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55"/>
    <x v="55"/>
    <x v="88"/>
    <x v="77"/>
    <n v="30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56"/>
    <x v="56"/>
    <x v="89"/>
    <x v="78"/>
    <n v="28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57"/>
    <x v="57"/>
    <x v="90"/>
    <x v="79"/>
    <n v="46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58"/>
    <x v="58"/>
    <x v="91"/>
    <x v="80"/>
    <n v="16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59"/>
    <x v="59"/>
    <x v="79"/>
    <x v="70"/>
    <n v="60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61"/>
    <x v="61"/>
    <x v="92"/>
    <x v="81"/>
    <n v="10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66"/>
    <x v="66"/>
    <x v="93"/>
    <x v="82"/>
    <n v="190.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67"/>
    <x v="67"/>
    <x v="94"/>
    <x v="83"/>
    <n v="359.0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68"/>
    <x v="68"/>
    <x v="95"/>
    <x v="84"/>
    <n v="237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82"/>
    <x v="82"/>
    <x v="96"/>
    <x v="85"/>
    <n v="269.27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69"/>
    <x v="69"/>
    <x v="97"/>
    <x v="86"/>
    <n v="163.6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"/>
    <x v="0"/>
    <x v="1"/>
    <d v="2026-09-14T00:10:00"/>
    <x v="1"/>
    <d v="2026-09-14T00:00:00"/>
    <d v="2026-09-14T00:10:00"/>
    <s v="596383_9"/>
    <s v="VLDR"/>
    <s v="ЦСК"/>
    <s v="Нет"/>
    <m/>
    <s v="Нет"/>
    <x v="83"/>
    <x v="83"/>
    <x v="98"/>
    <x v="87"/>
    <n v="39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2"/>
    <x v="0"/>
    <x v="2"/>
    <d v="2026-09-14T00:10:00"/>
    <x v="1"/>
    <d v="2026-09-14T00:00:00"/>
    <d v="2026-09-14T00:10:00"/>
    <s v="596383_9"/>
    <s v="VLDR"/>
    <s v="ЦСК"/>
    <s v="Нет"/>
    <m/>
    <s v="Нет"/>
    <x v="48"/>
    <x v="48"/>
    <x v="99"/>
    <x v="88"/>
    <n v="249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2"/>
    <x v="0"/>
    <x v="2"/>
    <d v="2026-09-14T00:10:00"/>
    <x v="1"/>
    <d v="2026-09-14T00:00:00"/>
    <d v="2026-09-14T00:10:00"/>
    <s v="596383_9"/>
    <s v="VLDR"/>
    <s v="ЦСК"/>
    <s v="Нет"/>
    <m/>
    <s v="Нет"/>
    <x v="55"/>
    <x v="55"/>
    <x v="81"/>
    <x v="72"/>
    <n v="12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2"/>
    <x v="0"/>
    <x v="2"/>
    <d v="2026-09-14T00:10:00"/>
    <x v="1"/>
    <d v="2026-09-14T00:00:00"/>
    <d v="2026-09-14T00:10:00"/>
    <s v="596383_9"/>
    <s v="VLDR"/>
    <s v="ЦСК"/>
    <s v="Нет"/>
    <m/>
    <s v="Нет"/>
    <x v="57"/>
    <x v="57"/>
    <x v="81"/>
    <x v="72"/>
    <n v="12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2"/>
    <x v="0"/>
    <x v="2"/>
    <d v="2026-09-14T00:10:00"/>
    <x v="1"/>
    <d v="2026-09-14T00:00:00"/>
    <d v="2026-09-14T00:10:00"/>
    <s v="596383_9"/>
    <s v="VLDR"/>
    <s v="ЦСК"/>
    <s v="Нет"/>
    <m/>
    <s v="Нет"/>
    <x v="61"/>
    <x v="61"/>
    <x v="100"/>
    <x v="89"/>
    <n v="28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2"/>
    <x v="0"/>
    <x v="2"/>
    <d v="2026-09-14T00:10:00"/>
    <x v="1"/>
    <d v="2026-09-14T00:00:00"/>
    <d v="2026-09-14T00:10:00"/>
    <s v="596383_9"/>
    <s v="VLDR"/>
    <s v="ЦСК"/>
    <s v="Нет"/>
    <m/>
    <s v="Нет"/>
    <x v="62"/>
    <x v="62"/>
    <x v="101"/>
    <x v="5"/>
    <m/>
    <x v="16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2"/>
    <x v="0"/>
    <x v="2"/>
    <d v="2026-09-14T00:10:00"/>
    <x v="1"/>
    <d v="2026-09-14T00:00:00"/>
    <d v="2026-09-14T00:10:00"/>
    <s v="596383_9"/>
    <s v="VLDR"/>
    <s v="ЦСК"/>
    <s v="Нет"/>
    <m/>
    <s v="Нет"/>
    <x v="73"/>
    <x v="73"/>
    <x v="102"/>
    <x v="90"/>
    <n v="8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84"/>
    <x v="84"/>
    <x v="103"/>
    <x v="91"/>
    <n v="89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73"/>
    <x v="73"/>
    <x v="62"/>
    <x v="54"/>
    <n v="25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85"/>
    <x v="85"/>
    <x v="104"/>
    <x v="92"/>
    <n v="172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2"/>
    <x v="2"/>
    <x v="105"/>
    <x v="93"/>
    <n v="124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3"/>
    <x v="3"/>
    <x v="62"/>
    <x v="54"/>
    <n v="25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4"/>
    <x v="4"/>
    <x v="106"/>
    <x v="94"/>
    <n v="129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5"/>
    <x v="5"/>
    <x v="107"/>
    <x v="95"/>
    <n v="37.799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75"/>
    <x v="75"/>
    <x v="108"/>
    <x v="96"/>
    <n v="51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6"/>
    <x v="6"/>
    <x v="62"/>
    <x v="54"/>
    <n v="25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7"/>
    <x v="7"/>
    <x v="3"/>
    <x v="3"/>
    <n v="32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17"/>
    <x v="17"/>
    <x v="16"/>
    <x v="13"/>
    <n v="5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18"/>
    <x v="18"/>
    <x v="109"/>
    <x v="97"/>
    <n v="20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23"/>
    <x v="23"/>
    <x v="107"/>
    <x v="95"/>
    <n v="37.799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26"/>
    <x v="26"/>
    <x v="106"/>
    <x v="72"/>
    <n v="120"/>
    <x v="17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27"/>
    <x v="27"/>
    <x v="106"/>
    <x v="5"/>
    <m/>
    <x v="18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28"/>
    <x v="28"/>
    <x v="106"/>
    <x v="5"/>
    <m/>
    <x v="18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29"/>
    <x v="29"/>
    <x v="110"/>
    <x v="5"/>
    <m/>
    <x v="19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35"/>
    <x v="35"/>
    <x v="111"/>
    <x v="98"/>
    <n v="417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78"/>
    <x v="78"/>
    <x v="112"/>
    <x v="99"/>
    <n v="14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36"/>
    <x v="36"/>
    <x v="102"/>
    <x v="90"/>
    <n v="8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37"/>
    <x v="37"/>
    <x v="102"/>
    <x v="90"/>
    <n v="8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39"/>
    <x v="39"/>
    <x v="102"/>
    <x v="90"/>
    <n v="8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44"/>
    <x v="44"/>
    <x v="102"/>
    <x v="90"/>
    <n v="8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79"/>
    <x v="79"/>
    <x v="113"/>
    <x v="5"/>
    <m/>
    <x v="20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81"/>
    <x v="81"/>
    <x v="109"/>
    <x v="97"/>
    <n v="20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48"/>
    <x v="48"/>
    <x v="2"/>
    <x v="2"/>
    <n v="49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49"/>
    <x v="49"/>
    <x v="43"/>
    <x v="35"/>
    <n v="67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55"/>
    <x v="55"/>
    <x v="114"/>
    <x v="100"/>
    <n v="36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56"/>
    <x v="56"/>
    <x v="81"/>
    <x v="72"/>
    <n v="12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57"/>
    <x v="57"/>
    <x v="64"/>
    <x v="56"/>
    <n v="27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59"/>
    <x v="59"/>
    <x v="115"/>
    <x v="101"/>
    <n v="48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60"/>
    <x v="60"/>
    <x v="100"/>
    <x v="89"/>
    <n v="28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61"/>
    <x v="61"/>
    <x v="112"/>
    <x v="99"/>
    <n v="14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62"/>
    <x v="62"/>
    <x v="102"/>
    <x v="5"/>
    <m/>
    <x v="21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66"/>
    <x v="66"/>
    <x v="116"/>
    <x v="102"/>
    <n v="84.4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67"/>
    <x v="67"/>
    <x v="117"/>
    <x v="103"/>
    <n v="126.7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86"/>
    <x v="86"/>
    <x v="117"/>
    <x v="103"/>
    <n v="126.7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82"/>
    <x v="82"/>
    <x v="117"/>
    <x v="103"/>
    <n v="126.7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69"/>
    <x v="69"/>
    <x v="116"/>
    <x v="102"/>
    <n v="84.4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3"/>
    <x v="0"/>
    <x v="3"/>
    <d v="2026-09-14T00:10:00"/>
    <x v="1"/>
    <d v="2026-09-14T00:00:00"/>
    <d v="2026-09-14T00:10:00"/>
    <s v="596383_9"/>
    <s v="VLDR"/>
    <s v="ЦСК"/>
    <s v="Нет"/>
    <m/>
    <s v="Нет"/>
    <x v="72"/>
    <x v="72"/>
    <x v="108"/>
    <x v="96"/>
    <n v="51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73"/>
    <x v="73"/>
    <x v="108"/>
    <x v="96"/>
    <n v="51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"/>
    <x v="3"/>
    <x v="118"/>
    <x v="104"/>
    <n v="64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74"/>
    <x v="74"/>
    <x v="119"/>
    <x v="105"/>
    <n v="9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4"/>
    <x v="4"/>
    <x v="118"/>
    <x v="104"/>
    <n v="64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76"/>
    <x v="76"/>
    <x v="120"/>
    <x v="106"/>
    <n v="193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6"/>
    <x v="6"/>
    <x v="121"/>
    <x v="107"/>
    <n v="207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7"/>
    <x v="7"/>
    <x v="122"/>
    <x v="108"/>
    <n v="583.2000000000000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87"/>
    <x v="87"/>
    <x v="1"/>
    <x v="1"/>
    <n v="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11"/>
    <x v="11"/>
    <x v="123"/>
    <x v="5"/>
    <m/>
    <x v="22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12"/>
    <x v="12"/>
    <x v="124"/>
    <x v="109"/>
    <n v="59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13"/>
    <x v="13"/>
    <x v="125"/>
    <x v="110"/>
    <n v="25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88"/>
    <x v="88"/>
    <x v="126"/>
    <x v="111"/>
    <n v="24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14"/>
    <x v="14"/>
    <x v="127"/>
    <x v="112"/>
    <n v="99.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89"/>
    <x v="89"/>
    <x v="128"/>
    <x v="113"/>
    <n v="19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15"/>
    <x v="15"/>
    <x v="129"/>
    <x v="114"/>
    <n v="15.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90"/>
    <x v="90"/>
    <x v="130"/>
    <x v="115"/>
    <n v="22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16"/>
    <x v="16"/>
    <x v="127"/>
    <x v="5"/>
    <m/>
    <x v="23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21"/>
    <x v="21"/>
    <x v="39"/>
    <x v="5"/>
    <m/>
    <x v="24"/>
    <s v="ОгранПроизвМощСпис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22"/>
    <x v="22"/>
    <x v="131"/>
    <x v="116"/>
    <n v="1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23"/>
    <x v="23"/>
    <x v="41"/>
    <x v="32"/>
    <n v="54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24"/>
    <x v="24"/>
    <x v="23"/>
    <x v="19"/>
    <n v="2.5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25"/>
    <x v="25"/>
    <x v="132"/>
    <x v="117"/>
    <n v="5.0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77"/>
    <x v="77"/>
    <x v="23"/>
    <x v="19"/>
    <n v="2.5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27"/>
    <x v="27"/>
    <x v="133"/>
    <x v="5"/>
    <m/>
    <x v="25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28"/>
    <x v="28"/>
    <x v="134"/>
    <x v="5"/>
    <m/>
    <x v="26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29"/>
    <x v="29"/>
    <x v="82"/>
    <x v="5"/>
    <m/>
    <x v="11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0"/>
    <x v="30"/>
    <x v="61"/>
    <x v="5"/>
    <m/>
    <x v="27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1"/>
    <x v="31"/>
    <x v="135"/>
    <x v="5"/>
    <m/>
    <x v="28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2"/>
    <x v="32"/>
    <x v="136"/>
    <x v="5"/>
    <m/>
    <x v="29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3"/>
    <x v="33"/>
    <x v="76"/>
    <x v="67"/>
    <n v="105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4"/>
    <x v="34"/>
    <x v="137"/>
    <x v="118"/>
    <n v="56.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5"/>
    <x v="35"/>
    <x v="32"/>
    <x v="23"/>
    <n v="34.799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78"/>
    <x v="78"/>
    <x v="138"/>
    <x v="119"/>
    <n v="400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6"/>
    <x v="36"/>
    <x v="139"/>
    <x v="120"/>
    <n v="24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7"/>
    <x v="37"/>
    <x v="81"/>
    <x v="72"/>
    <n v="12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8"/>
    <x v="38"/>
    <x v="140"/>
    <x v="121"/>
    <n v="160.8000000000000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39"/>
    <x v="39"/>
    <x v="141"/>
    <x v="122"/>
    <n v="88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44"/>
    <x v="44"/>
    <x v="142"/>
    <x v="123"/>
    <n v="31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79"/>
    <x v="79"/>
    <x v="35"/>
    <x v="5"/>
    <m/>
    <x v="30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80"/>
    <x v="80"/>
    <x v="143"/>
    <x v="124"/>
    <n v="58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48"/>
    <x v="48"/>
    <x v="144"/>
    <x v="125"/>
    <n v="50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91"/>
    <x v="91"/>
    <x v="145"/>
    <x v="126"/>
    <n v="6.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92"/>
    <x v="92"/>
    <x v="146"/>
    <x v="127"/>
    <n v="10.19999999999999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93"/>
    <x v="93"/>
    <x v="147"/>
    <x v="128"/>
    <n v="6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50"/>
    <x v="50"/>
    <x v="45"/>
    <x v="37"/>
    <n v="4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51"/>
    <x v="51"/>
    <x v="45"/>
    <x v="37"/>
    <n v="4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53"/>
    <x v="53"/>
    <x v="148"/>
    <x v="129"/>
    <n v="35.70000000000000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54"/>
    <x v="54"/>
    <x v="47"/>
    <x v="39"/>
    <n v="14.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58"/>
    <x v="58"/>
    <x v="149"/>
    <x v="130"/>
    <n v="40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59"/>
    <x v="59"/>
    <x v="150"/>
    <x v="131"/>
    <n v="33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61"/>
    <x v="61"/>
    <x v="151"/>
    <x v="132"/>
    <n v="150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62"/>
    <x v="62"/>
    <x v="83"/>
    <x v="5"/>
    <m/>
    <x v="31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66"/>
    <x v="66"/>
    <x v="152"/>
    <x v="133"/>
    <n v="1620.9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67"/>
    <x v="67"/>
    <x v="153"/>
    <x v="134"/>
    <n v="1774.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68"/>
    <x v="68"/>
    <x v="154"/>
    <x v="135"/>
    <n v="802.5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86"/>
    <x v="86"/>
    <x v="155"/>
    <x v="136"/>
    <n v="184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82"/>
    <x v="82"/>
    <x v="156"/>
    <x v="137"/>
    <n v="332.6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69"/>
    <x v="69"/>
    <x v="157"/>
    <x v="138"/>
    <n v="50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4"/>
    <x v="0"/>
    <x v="4"/>
    <d v="2026-09-14T00:10:00"/>
    <x v="2"/>
    <d v="2026-09-14T00:00:00"/>
    <d v="2026-09-14T00:10:00"/>
    <s v="596383_8"/>
    <s v="VLDR"/>
    <s v="ЦСК"/>
    <s v="Нет"/>
    <m/>
    <s v="Нет"/>
    <x v="72"/>
    <x v="72"/>
    <x v="158"/>
    <x v="139"/>
    <n v="334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73"/>
    <x v="73"/>
    <x v="25"/>
    <x v="140"/>
    <n v="64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"/>
    <x v="1"/>
    <x v="159"/>
    <x v="141"/>
    <n v="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94"/>
    <x v="94"/>
    <x v="160"/>
    <x v="142"/>
    <n v="1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85"/>
    <x v="85"/>
    <x v="161"/>
    <x v="143"/>
    <n v="5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"/>
    <x v="2"/>
    <x v="162"/>
    <x v="144"/>
    <n v="15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74"/>
    <x v="74"/>
    <x v="70"/>
    <x v="62"/>
    <n v="13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"/>
    <x v="4"/>
    <x v="76"/>
    <x v="67"/>
    <n v="105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76"/>
    <x v="76"/>
    <x v="163"/>
    <x v="145"/>
    <n v="21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"/>
    <x v="6"/>
    <x v="164"/>
    <x v="146"/>
    <n v="502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7"/>
    <x v="7"/>
    <x v="70"/>
    <x v="62"/>
    <n v="13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95"/>
    <x v="95"/>
    <x v="165"/>
    <x v="147"/>
    <n v="12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9"/>
    <x v="9"/>
    <x v="166"/>
    <x v="148"/>
    <n v="1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0"/>
    <x v="10"/>
    <x v="167"/>
    <x v="149"/>
    <n v="50.1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1"/>
    <x v="11"/>
    <x v="13"/>
    <x v="5"/>
    <m/>
    <x v="3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2"/>
    <x v="12"/>
    <x v="168"/>
    <x v="150"/>
    <n v="52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3"/>
    <x v="13"/>
    <x v="168"/>
    <x v="150"/>
    <n v="52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88"/>
    <x v="88"/>
    <x v="169"/>
    <x v="151"/>
    <n v="2.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4"/>
    <x v="14"/>
    <x v="129"/>
    <x v="114"/>
    <n v="15.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5"/>
    <x v="15"/>
    <x v="15"/>
    <x v="12"/>
    <n v="4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90"/>
    <x v="90"/>
    <x v="170"/>
    <x v="152"/>
    <n v="4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6"/>
    <x v="16"/>
    <x v="15"/>
    <x v="5"/>
    <m/>
    <x v="4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7"/>
    <x v="17"/>
    <x v="171"/>
    <x v="153"/>
    <n v="3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8"/>
    <x v="18"/>
    <x v="43"/>
    <x v="35"/>
    <n v="67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19"/>
    <x v="19"/>
    <x v="17"/>
    <x v="14"/>
    <n v="3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1"/>
    <x v="21"/>
    <x v="172"/>
    <x v="5"/>
    <m/>
    <x v="32"/>
    <s v="ОгранПроизвМощСпис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2"/>
    <x v="22"/>
    <x v="173"/>
    <x v="154"/>
    <n v="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3"/>
    <x v="23"/>
    <x v="174"/>
    <x v="155"/>
    <n v="39.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4"/>
    <x v="24"/>
    <x v="132"/>
    <x v="117"/>
    <n v="5.0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5"/>
    <x v="25"/>
    <x v="175"/>
    <x v="156"/>
    <n v="10.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77"/>
    <x v="77"/>
    <x v="176"/>
    <x v="157"/>
    <n v="7.5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6"/>
    <x v="26"/>
    <x v="26"/>
    <x v="158"/>
    <n v="102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7"/>
    <x v="27"/>
    <x v="161"/>
    <x v="5"/>
    <m/>
    <x v="33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8"/>
    <x v="28"/>
    <x v="149"/>
    <x v="130"/>
    <n v="405"/>
    <x v="0"/>
    <s v="ВозврИзПодрезки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29"/>
    <x v="29"/>
    <x v="3"/>
    <x v="5"/>
    <m/>
    <x v="34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30"/>
    <x v="30"/>
    <x v="19"/>
    <x v="5"/>
    <m/>
    <x v="5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31"/>
    <x v="31"/>
    <x v="19"/>
    <x v="5"/>
    <m/>
    <x v="5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32"/>
    <x v="32"/>
    <x v="28"/>
    <x v="5"/>
    <m/>
    <x v="9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33"/>
    <x v="33"/>
    <x v="76"/>
    <x v="67"/>
    <n v="105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34"/>
    <x v="34"/>
    <x v="29"/>
    <x v="47"/>
    <n v="16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78"/>
    <x v="78"/>
    <x v="33"/>
    <x v="24"/>
    <n v="14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36"/>
    <x v="36"/>
    <x v="139"/>
    <x v="120"/>
    <n v="24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37"/>
    <x v="37"/>
    <x v="81"/>
    <x v="72"/>
    <n v="12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38"/>
    <x v="38"/>
    <x v="177"/>
    <x v="159"/>
    <n v="321.6000000000000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39"/>
    <x v="39"/>
    <x v="35"/>
    <x v="26"/>
    <n v="6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0"/>
    <x v="40"/>
    <x v="82"/>
    <x v="28"/>
    <n v="2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1"/>
    <x v="41"/>
    <x v="1"/>
    <x v="1"/>
    <n v="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4"/>
    <x v="44"/>
    <x v="60"/>
    <x v="52"/>
    <n v="52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5"/>
    <x v="45"/>
    <x v="178"/>
    <x v="160"/>
    <n v="11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80"/>
    <x v="80"/>
    <x v="179"/>
    <x v="161"/>
    <n v="70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6"/>
    <x v="46"/>
    <x v="180"/>
    <x v="162"/>
    <n v="23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7"/>
    <x v="47"/>
    <x v="29"/>
    <x v="47"/>
    <n v="16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8"/>
    <x v="48"/>
    <x v="41"/>
    <x v="32"/>
    <n v="54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49"/>
    <x v="49"/>
    <x v="181"/>
    <x v="163"/>
    <n v="117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96"/>
    <x v="96"/>
    <x v="182"/>
    <x v="164"/>
    <n v="17.85000000000000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97"/>
    <x v="97"/>
    <x v="183"/>
    <x v="165"/>
    <n v="5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52"/>
    <x v="52"/>
    <x v="12"/>
    <x v="166"/>
    <n v="2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53"/>
    <x v="53"/>
    <x v="18"/>
    <x v="15"/>
    <n v="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54"/>
    <x v="54"/>
    <x v="18"/>
    <x v="15"/>
    <n v="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98"/>
    <x v="98"/>
    <x v="184"/>
    <x v="167"/>
    <n v="4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55"/>
    <x v="55"/>
    <x v="185"/>
    <x v="168"/>
    <n v="241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56"/>
    <x v="56"/>
    <x v="186"/>
    <x v="169"/>
    <n v="195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57"/>
    <x v="57"/>
    <x v="187"/>
    <x v="170"/>
    <n v="88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58"/>
    <x v="58"/>
    <x v="188"/>
    <x v="171"/>
    <n v="220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59"/>
    <x v="59"/>
    <x v="189"/>
    <x v="172"/>
    <n v="316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0"/>
    <x v="60"/>
    <x v="161"/>
    <x v="143"/>
    <n v="5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1"/>
    <x v="61"/>
    <x v="55"/>
    <x v="46"/>
    <n v="70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2"/>
    <x v="62"/>
    <x v="85"/>
    <x v="5"/>
    <m/>
    <x v="35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3"/>
    <x v="63"/>
    <x v="26"/>
    <x v="5"/>
    <m/>
    <x v="7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99"/>
    <x v="99"/>
    <x v="82"/>
    <x v="28"/>
    <n v="2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4"/>
    <x v="64"/>
    <x v="190"/>
    <x v="173"/>
    <n v="100.3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5"/>
    <x v="65"/>
    <x v="191"/>
    <x v="174"/>
    <n v="63.3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6"/>
    <x v="66"/>
    <x v="192"/>
    <x v="175"/>
    <n v="95.0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7"/>
    <x v="67"/>
    <x v="193"/>
    <x v="176"/>
    <n v="401.2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8"/>
    <x v="68"/>
    <x v="157"/>
    <x v="138"/>
    <n v="50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86"/>
    <x v="86"/>
    <x v="194"/>
    <x v="177"/>
    <n v="5.2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82"/>
    <x v="82"/>
    <x v="155"/>
    <x v="136"/>
    <n v="184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69"/>
    <x v="69"/>
    <x v="190"/>
    <x v="173"/>
    <n v="100.3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71"/>
    <x v="71"/>
    <x v="160"/>
    <x v="5"/>
    <m/>
    <x v="36"/>
    <s v="ОгранПроизвМощностей"/>
    <s v="Производ"/>
    <s v="Нет"/>
    <m/>
    <m/>
    <m/>
    <s v="Нет"/>
    <s v="Горшкова 12.09"/>
    <s v="Нет"/>
  </r>
  <r>
    <s v="Самовывоз"/>
    <s v="596383"/>
    <s v="ОБЩЕСТВО С ОГРАНИЧЕННОЙ ОТВЕТСТВЕННОСТЬЮ &quot;НОВОЕ ВРЕМЯ&quot;"/>
    <s v="Нет"/>
    <x v="5"/>
    <x v="0"/>
    <x v="5"/>
    <d v="2026-09-14T00:10:00"/>
    <x v="3"/>
    <d v="2026-09-14T00:00:00"/>
    <d v="2026-09-14T00:10:00"/>
    <s v="596383_4"/>
    <s v="VLDR"/>
    <s v="ЦСК"/>
    <s v="Нет"/>
    <m/>
    <s v="Нет"/>
    <x v="72"/>
    <x v="72"/>
    <x v="195"/>
    <x v="178"/>
    <n v="302.3999999999999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6"/>
    <x v="0"/>
    <x v="6"/>
    <d v="2026-09-14T00:10:00"/>
    <x v="0"/>
    <d v="2026-09-14T00:00:00"/>
    <d v="2026-09-14T00:10:00"/>
    <s v="596383_10"/>
    <s v="VLDR"/>
    <s v="ТСРознТСЕ"/>
    <s v="Нет"/>
    <m/>
    <s v="Нет"/>
    <x v="5"/>
    <x v="5"/>
    <x v="196"/>
    <x v="179"/>
    <n v="205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83"/>
    <x v="83"/>
    <x v="61"/>
    <x v="53"/>
    <n v="14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72"/>
    <x v="72"/>
    <x v="161"/>
    <x v="143"/>
    <n v="5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84"/>
    <x v="84"/>
    <x v="171"/>
    <x v="153"/>
    <n v="3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"/>
    <x v="1"/>
    <x v="1"/>
    <x v="1"/>
    <n v="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94"/>
    <x v="94"/>
    <x v="170"/>
    <x v="152"/>
    <n v="4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"/>
    <x v="2"/>
    <x v="144"/>
    <x v="125"/>
    <n v="50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"/>
    <x v="3"/>
    <x v="161"/>
    <x v="143"/>
    <n v="5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"/>
    <x v="5"/>
    <x v="197"/>
    <x v="180"/>
    <n v="91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75"/>
    <x v="75"/>
    <x v="160"/>
    <x v="142"/>
    <n v="1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7"/>
    <x v="7"/>
    <x v="72"/>
    <x v="64"/>
    <n v="113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8"/>
    <x v="8"/>
    <x v="198"/>
    <x v="181"/>
    <n v="29.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95"/>
    <x v="95"/>
    <x v="173"/>
    <x v="154"/>
    <n v="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9"/>
    <x v="9"/>
    <x v="199"/>
    <x v="5"/>
    <m/>
    <x v="37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0"/>
    <x v="10"/>
    <x v="200"/>
    <x v="5"/>
    <m/>
    <x v="38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1"/>
    <x v="11"/>
    <x v="11"/>
    <x v="5"/>
    <m/>
    <x v="1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2"/>
    <x v="12"/>
    <x v="13"/>
    <x v="182"/>
    <n v="101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3"/>
    <x v="13"/>
    <x v="13"/>
    <x v="182"/>
    <n v="101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88"/>
    <x v="88"/>
    <x v="201"/>
    <x v="183"/>
    <n v="6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4"/>
    <x v="14"/>
    <x v="202"/>
    <x v="184"/>
    <n v="23.5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5"/>
    <x v="15"/>
    <x v="15"/>
    <x v="12"/>
    <n v="4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6"/>
    <x v="16"/>
    <x v="203"/>
    <x v="185"/>
    <n v="28.5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7"/>
    <x v="17"/>
    <x v="12"/>
    <x v="166"/>
    <n v="2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8"/>
    <x v="18"/>
    <x v="15"/>
    <x v="12"/>
    <n v="4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9"/>
    <x v="19"/>
    <x v="17"/>
    <x v="14"/>
    <n v="3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0"/>
    <x v="20"/>
    <x v="18"/>
    <x v="15"/>
    <n v="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1"/>
    <x v="21"/>
    <x v="19"/>
    <x v="5"/>
    <m/>
    <x v="5"/>
    <s v="ОгранПроизвМощСпис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2"/>
    <x v="22"/>
    <x v="204"/>
    <x v="186"/>
    <n v="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3"/>
    <x v="23"/>
    <x v="21"/>
    <x v="5"/>
    <m/>
    <x v="39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4"/>
    <x v="24"/>
    <x v="23"/>
    <x v="5"/>
    <m/>
    <x v="40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5"/>
    <x v="25"/>
    <x v="22"/>
    <x v="5"/>
    <m/>
    <x v="41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7"/>
    <x v="27"/>
    <x v="161"/>
    <x v="5"/>
    <m/>
    <x v="33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8"/>
    <x v="28"/>
    <x v="27"/>
    <x v="187"/>
    <n v="8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29"/>
    <x v="29"/>
    <x v="82"/>
    <x v="5"/>
    <m/>
    <x v="11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0"/>
    <x v="30"/>
    <x v="28"/>
    <x v="33"/>
    <n v="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1"/>
    <x v="31"/>
    <x v="28"/>
    <x v="5"/>
    <m/>
    <x v="9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2"/>
    <x v="32"/>
    <x v="29"/>
    <x v="47"/>
    <n v="16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3"/>
    <x v="33"/>
    <x v="126"/>
    <x v="111"/>
    <n v="24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4"/>
    <x v="34"/>
    <x v="205"/>
    <x v="188"/>
    <n v="24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5"/>
    <x v="35"/>
    <x v="77"/>
    <x v="68"/>
    <n v="26.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78"/>
    <x v="78"/>
    <x v="101"/>
    <x v="189"/>
    <n v="100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6"/>
    <x v="36"/>
    <x v="34"/>
    <x v="25"/>
    <n v="81.59999999999999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7"/>
    <x v="37"/>
    <x v="206"/>
    <x v="190"/>
    <n v="2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8"/>
    <x v="38"/>
    <x v="35"/>
    <x v="26"/>
    <n v="6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39"/>
    <x v="39"/>
    <x v="207"/>
    <x v="191"/>
    <n v="69.59999999999999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40"/>
    <x v="40"/>
    <x v="208"/>
    <x v="192"/>
    <n v="4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41"/>
    <x v="41"/>
    <x v="82"/>
    <x v="28"/>
    <n v="2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42"/>
    <x v="42"/>
    <x v="38"/>
    <x v="29"/>
    <n v="23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43"/>
    <x v="43"/>
    <x v="135"/>
    <x v="193"/>
    <n v="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44"/>
    <x v="44"/>
    <x v="208"/>
    <x v="192"/>
    <n v="4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79"/>
    <x v="79"/>
    <x v="209"/>
    <x v="194"/>
    <n v="2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45"/>
    <x v="45"/>
    <x v="210"/>
    <x v="195"/>
    <n v="46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80"/>
    <x v="80"/>
    <x v="211"/>
    <x v="196"/>
    <n v="7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46"/>
    <x v="46"/>
    <x v="210"/>
    <x v="195"/>
    <n v="46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47"/>
    <x v="47"/>
    <x v="135"/>
    <x v="193"/>
    <n v="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49"/>
    <x v="49"/>
    <x v="212"/>
    <x v="197"/>
    <n v="58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96"/>
    <x v="96"/>
    <x v="213"/>
    <x v="198"/>
    <n v="15.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93"/>
    <x v="93"/>
    <x v="214"/>
    <x v="199"/>
    <n v="3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0"/>
    <x v="50"/>
    <x v="214"/>
    <x v="199"/>
    <n v="3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1"/>
    <x v="51"/>
    <x v="215"/>
    <x v="200"/>
    <n v="2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97"/>
    <x v="97"/>
    <x v="216"/>
    <x v="201"/>
    <n v="1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2"/>
    <x v="52"/>
    <x v="217"/>
    <x v="202"/>
    <n v="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3"/>
    <x v="53"/>
    <x v="48"/>
    <x v="203"/>
    <n v="4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4"/>
    <x v="54"/>
    <x v="48"/>
    <x v="5"/>
    <m/>
    <x v="12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5"/>
    <x v="55"/>
    <x v="218"/>
    <x v="204"/>
    <n v="112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6"/>
    <x v="56"/>
    <x v="70"/>
    <x v="62"/>
    <n v="13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7"/>
    <x v="57"/>
    <x v="219"/>
    <x v="205"/>
    <n v="76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8"/>
    <x v="58"/>
    <x v="149"/>
    <x v="130"/>
    <n v="40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59"/>
    <x v="59"/>
    <x v="220"/>
    <x v="206"/>
    <n v="123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00"/>
    <x v="100"/>
    <x v="216"/>
    <x v="201"/>
    <n v="1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01"/>
    <x v="101"/>
    <x v="19"/>
    <x v="207"/>
    <n v="1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61"/>
    <x v="61"/>
    <x v="221"/>
    <x v="208"/>
    <n v="80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62"/>
    <x v="62"/>
    <x v="20"/>
    <x v="5"/>
    <m/>
    <x v="17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63"/>
    <x v="63"/>
    <x v="107"/>
    <x v="5"/>
    <m/>
    <x v="42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99"/>
    <x v="99"/>
    <x v="102"/>
    <x v="90"/>
    <n v="8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64"/>
    <x v="64"/>
    <x v="60"/>
    <x v="52"/>
    <n v="52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66"/>
    <x v="66"/>
    <x v="191"/>
    <x v="174"/>
    <n v="63.3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67"/>
    <x v="67"/>
    <x v="192"/>
    <x v="175"/>
    <n v="95.0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68"/>
    <x v="68"/>
    <x v="222"/>
    <x v="209"/>
    <n v="153.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82"/>
    <x v="82"/>
    <x v="223"/>
    <x v="210"/>
    <n v="253.4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69"/>
    <x v="69"/>
    <x v="224"/>
    <x v="211"/>
    <n v="31.6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70"/>
    <x v="70"/>
    <x v="225"/>
    <x v="212"/>
    <n v="1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71"/>
    <x v="71"/>
    <x v="54"/>
    <x v="5"/>
    <m/>
    <x v="13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7"/>
    <x v="0"/>
    <x v="7"/>
    <d v="2026-09-14T10:00:00"/>
    <x v="0"/>
    <d v="2026-09-14T00:00:00"/>
    <d v="2026-09-14T10:00:00"/>
    <s v="596383_10"/>
    <s v="VLDR"/>
    <s v="ЦСК"/>
    <s v="Нет"/>
    <m/>
    <s v="Нет"/>
    <x v="102"/>
    <x v="102"/>
    <x v="61"/>
    <x v="53"/>
    <n v="14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72"/>
    <x v="72"/>
    <x v="226"/>
    <x v="213"/>
    <n v="14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84"/>
    <x v="84"/>
    <x v="171"/>
    <x v="153"/>
    <n v="3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73"/>
    <x v="73"/>
    <x v="102"/>
    <x v="90"/>
    <n v="8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"/>
    <x v="1"/>
    <x v="159"/>
    <x v="141"/>
    <n v="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94"/>
    <x v="94"/>
    <x v="119"/>
    <x v="105"/>
    <n v="9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"/>
    <x v="2"/>
    <x v="162"/>
    <x v="144"/>
    <n v="15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"/>
    <x v="3"/>
    <x v="62"/>
    <x v="54"/>
    <n v="25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"/>
    <x v="4"/>
    <x v="205"/>
    <x v="188"/>
    <n v="24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5"/>
    <x v="5"/>
    <x v="227"/>
    <x v="214"/>
    <n v="340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75"/>
    <x v="75"/>
    <x v="228"/>
    <x v="215"/>
    <n v="10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03"/>
    <x v="103"/>
    <x v="229"/>
    <x v="216"/>
    <n v="7.2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76"/>
    <x v="76"/>
    <x v="230"/>
    <x v="217"/>
    <n v="121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04"/>
    <x v="104"/>
    <x v="161"/>
    <x v="143"/>
    <n v="5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05"/>
    <x v="105"/>
    <x v="171"/>
    <x v="153"/>
    <n v="3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8"/>
    <x v="8"/>
    <x v="231"/>
    <x v="218"/>
    <n v="51.4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95"/>
    <x v="95"/>
    <x v="232"/>
    <x v="5"/>
    <m/>
    <x v="43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9"/>
    <x v="9"/>
    <x v="233"/>
    <x v="5"/>
    <m/>
    <x v="44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0"/>
    <x v="10"/>
    <x v="234"/>
    <x v="5"/>
    <m/>
    <x v="45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87"/>
    <x v="87"/>
    <x v="206"/>
    <x v="190"/>
    <n v="2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1"/>
    <x v="11"/>
    <x v="66"/>
    <x v="5"/>
    <m/>
    <x v="46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2"/>
    <x v="12"/>
    <x v="235"/>
    <x v="219"/>
    <n v="31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3"/>
    <x v="13"/>
    <x v="13"/>
    <x v="182"/>
    <n v="101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4"/>
    <x v="14"/>
    <x v="15"/>
    <x v="12"/>
    <n v="4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89"/>
    <x v="89"/>
    <x v="135"/>
    <x v="193"/>
    <n v="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5"/>
    <x v="15"/>
    <x v="236"/>
    <x v="220"/>
    <n v="43.6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6"/>
    <x v="16"/>
    <x v="15"/>
    <x v="12"/>
    <n v="4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7"/>
    <x v="17"/>
    <x v="12"/>
    <x v="166"/>
    <n v="2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8"/>
    <x v="18"/>
    <x v="16"/>
    <x v="13"/>
    <n v="5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9"/>
    <x v="19"/>
    <x v="204"/>
    <x v="186"/>
    <n v="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0"/>
    <x v="20"/>
    <x v="18"/>
    <x v="15"/>
    <n v="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1"/>
    <x v="21"/>
    <x v="172"/>
    <x v="5"/>
    <m/>
    <x v="32"/>
    <s v="ОгранПроизвМощСпис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2"/>
    <x v="22"/>
    <x v="17"/>
    <x v="14"/>
    <n v="3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3"/>
    <x v="23"/>
    <x v="237"/>
    <x v="5"/>
    <m/>
    <x v="47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4"/>
    <x v="24"/>
    <x v="132"/>
    <x v="5"/>
    <m/>
    <x v="48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5"/>
    <x v="25"/>
    <x v="176"/>
    <x v="5"/>
    <m/>
    <x v="49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77"/>
    <x v="77"/>
    <x v="175"/>
    <x v="5"/>
    <m/>
    <x v="50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6"/>
    <x v="26"/>
    <x v="37"/>
    <x v="5"/>
    <m/>
    <x v="51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7"/>
    <x v="27"/>
    <x v="26"/>
    <x v="5"/>
    <m/>
    <x v="7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8"/>
    <x v="28"/>
    <x v="195"/>
    <x v="178"/>
    <n v="302.3999999999999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29"/>
    <x v="29"/>
    <x v="238"/>
    <x v="5"/>
    <m/>
    <x v="52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0"/>
    <x v="30"/>
    <x v="19"/>
    <x v="207"/>
    <n v="1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1"/>
    <x v="31"/>
    <x v="19"/>
    <x v="5"/>
    <m/>
    <x v="5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2"/>
    <x v="32"/>
    <x v="172"/>
    <x v="221"/>
    <n v="12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3"/>
    <x v="33"/>
    <x v="30"/>
    <x v="21"/>
    <n v="153.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4"/>
    <x v="34"/>
    <x v="239"/>
    <x v="5"/>
    <m/>
    <x v="53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5"/>
    <x v="35"/>
    <x v="77"/>
    <x v="68"/>
    <n v="26.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78"/>
    <x v="78"/>
    <x v="240"/>
    <x v="222"/>
    <n v="18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6"/>
    <x v="36"/>
    <x v="138"/>
    <x v="119"/>
    <n v="400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7"/>
    <x v="37"/>
    <x v="241"/>
    <x v="223"/>
    <n v="17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8"/>
    <x v="38"/>
    <x v="101"/>
    <x v="189"/>
    <n v="100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39"/>
    <x v="39"/>
    <x v="242"/>
    <x v="224"/>
    <n v="139.1999999999999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0"/>
    <x v="40"/>
    <x v="85"/>
    <x v="74"/>
    <n v="16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1"/>
    <x v="41"/>
    <x v="1"/>
    <x v="1"/>
    <n v="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3"/>
    <x v="43"/>
    <x v="135"/>
    <x v="193"/>
    <n v="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4"/>
    <x v="44"/>
    <x v="83"/>
    <x v="73"/>
    <n v="40.799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79"/>
    <x v="79"/>
    <x v="243"/>
    <x v="225"/>
    <n v="103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5"/>
    <x v="45"/>
    <x v="244"/>
    <x v="226"/>
    <n v="7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80"/>
    <x v="80"/>
    <x v="245"/>
    <x v="227"/>
    <n v="452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6"/>
    <x v="46"/>
    <x v="246"/>
    <x v="228"/>
    <n v="85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7"/>
    <x v="47"/>
    <x v="247"/>
    <x v="229"/>
    <n v="25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81"/>
    <x v="81"/>
    <x v="247"/>
    <x v="229"/>
    <n v="25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8"/>
    <x v="48"/>
    <x v="248"/>
    <x v="230"/>
    <n v="304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49"/>
    <x v="49"/>
    <x v="249"/>
    <x v="231"/>
    <n v="8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06"/>
    <x v="106"/>
    <x v="250"/>
    <x v="232"/>
    <n v="36.479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91"/>
    <x v="91"/>
    <x v="251"/>
    <x v="233"/>
    <n v="9.119999999999999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96"/>
    <x v="96"/>
    <x v="252"/>
    <x v="234"/>
    <n v="25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93"/>
    <x v="93"/>
    <x v="204"/>
    <x v="186"/>
    <n v="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51"/>
    <x v="51"/>
    <x v="253"/>
    <x v="235"/>
    <n v="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97"/>
    <x v="97"/>
    <x v="178"/>
    <x v="160"/>
    <n v="11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07"/>
    <x v="107"/>
    <x v="254"/>
    <x v="236"/>
    <n v="35.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52"/>
    <x v="52"/>
    <x v="255"/>
    <x v="237"/>
    <n v="17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53"/>
    <x v="53"/>
    <x v="256"/>
    <x v="238"/>
    <n v="23.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54"/>
    <x v="54"/>
    <x v="18"/>
    <x v="5"/>
    <m/>
    <x v="54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98"/>
    <x v="98"/>
    <x v="46"/>
    <x v="38"/>
    <n v="7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55"/>
    <x v="55"/>
    <x v="257"/>
    <x v="239"/>
    <n v="69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56"/>
    <x v="56"/>
    <x v="89"/>
    <x v="78"/>
    <n v="28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57"/>
    <x v="57"/>
    <x v="258"/>
    <x v="240"/>
    <n v="37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59"/>
    <x v="59"/>
    <x v="35"/>
    <x v="26"/>
    <n v="6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00"/>
    <x v="100"/>
    <x v="259"/>
    <x v="241"/>
    <n v="15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01"/>
    <x v="101"/>
    <x v="260"/>
    <x v="242"/>
    <n v="2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61"/>
    <x v="61"/>
    <x v="261"/>
    <x v="243"/>
    <n v="603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62"/>
    <x v="62"/>
    <x v="171"/>
    <x v="5"/>
    <m/>
    <x v="55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63"/>
    <x v="63"/>
    <x v="133"/>
    <x v="5"/>
    <m/>
    <x v="25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99"/>
    <x v="99"/>
    <x v="262"/>
    <x v="244"/>
    <n v="35"/>
    <x v="56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64"/>
    <x v="64"/>
    <x v="209"/>
    <x v="194"/>
    <n v="2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65"/>
    <x v="65"/>
    <x v="263"/>
    <x v="245"/>
    <n v="36.9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66"/>
    <x v="66"/>
    <x v="264"/>
    <x v="246"/>
    <n v="116.1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67"/>
    <x v="67"/>
    <x v="265"/>
    <x v="247"/>
    <n v="195.3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68"/>
    <x v="68"/>
    <x v="190"/>
    <x v="173"/>
    <n v="100.3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86"/>
    <x v="86"/>
    <x v="266"/>
    <x v="248"/>
    <n v="179.5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82"/>
    <x v="82"/>
    <x v="190"/>
    <x v="173"/>
    <n v="100.3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69"/>
    <x v="69"/>
    <x v="190"/>
    <x v="173"/>
    <n v="100.3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71"/>
    <x v="71"/>
    <x v="27"/>
    <x v="5"/>
    <m/>
    <x v="8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8"/>
    <x v="0"/>
    <x v="8"/>
    <d v="2026-09-14T10:00:00"/>
    <x v="3"/>
    <d v="2026-09-14T00:00:00"/>
    <d v="2026-09-14T10:00:00"/>
    <s v="596383_4"/>
    <s v="VLDR"/>
    <s v="ЦСК"/>
    <s v="Нет"/>
    <m/>
    <s v="Нет"/>
    <x v="102"/>
    <x v="102"/>
    <x v="37"/>
    <x v="249"/>
    <n v="43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72"/>
    <x v="72"/>
    <x v="55"/>
    <x v="46"/>
    <n v="70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0"/>
    <x v="0"/>
    <x v="159"/>
    <x v="141"/>
    <n v="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84"/>
    <x v="84"/>
    <x v="171"/>
    <x v="153"/>
    <n v="3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73"/>
    <x v="73"/>
    <x v="267"/>
    <x v="250"/>
    <n v="572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85"/>
    <x v="85"/>
    <x v="74"/>
    <x v="251"/>
    <n v="75.59999999999999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"/>
    <x v="3"/>
    <x v="268"/>
    <x v="252"/>
    <n v="496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74"/>
    <x v="74"/>
    <x v="160"/>
    <x v="142"/>
    <n v="1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5"/>
    <x v="5"/>
    <x v="269"/>
    <x v="253"/>
    <n v="1587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75"/>
    <x v="75"/>
    <x v="158"/>
    <x v="139"/>
    <n v="334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05"/>
    <x v="105"/>
    <x v="270"/>
    <x v="254"/>
    <n v="2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9"/>
    <x v="9"/>
    <x v="85"/>
    <x v="5"/>
    <m/>
    <x v="35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87"/>
    <x v="87"/>
    <x v="19"/>
    <x v="207"/>
    <n v="1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1"/>
    <x v="11"/>
    <x v="168"/>
    <x v="5"/>
    <m/>
    <x v="57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2"/>
    <x v="12"/>
    <x v="271"/>
    <x v="255"/>
    <n v="129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3"/>
    <x v="13"/>
    <x v="272"/>
    <x v="256"/>
    <n v="1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4"/>
    <x v="14"/>
    <x v="203"/>
    <x v="185"/>
    <n v="28.5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89"/>
    <x v="89"/>
    <x v="180"/>
    <x v="162"/>
    <n v="23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5"/>
    <x v="15"/>
    <x v="18"/>
    <x v="15"/>
    <n v="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6"/>
    <x v="16"/>
    <x v="249"/>
    <x v="231"/>
    <n v="8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8"/>
    <x v="18"/>
    <x v="18"/>
    <x v="15"/>
    <n v="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9"/>
    <x v="19"/>
    <x v="273"/>
    <x v="257"/>
    <n v="25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21"/>
    <x v="21"/>
    <x v="136"/>
    <x v="5"/>
    <m/>
    <x v="29"/>
    <s v="ОгранПроизвМощСпис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22"/>
    <x v="22"/>
    <x v="225"/>
    <x v="212"/>
    <n v="1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23"/>
    <x v="23"/>
    <x v="274"/>
    <x v="5"/>
    <m/>
    <x v="58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25"/>
    <x v="25"/>
    <x v="275"/>
    <x v="5"/>
    <m/>
    <x v="59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77"/>
    <x v="77"/>
    <x v="132"/>
    <x v="5"/>
    <m/>
    <x v="48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27"/>
    <x v="27"/>
    <x v="134"/>
    <x v="5"/>
    <m/>
    <x v="26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28"/>
    <x v="28"/>
    <x v="276"/>
    <x v="258"/>
    <n v="253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29"/>
    <x v="29"/>
    <x v="25"/>
    <x v="5"/>
    <m/>
    <x v="6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0"/>
    <x v="30"/>
    <x v="16"/>
    <x v="13"/>
    <n v="5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1"/>
    <x v="31"/>
    <x v="28"/>
    <x v="5"/>
    <m/>
    <x v="9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2"/>
    <x v="32"/>
    <x v="29"/>
    <x v="47"/>
    <n v="16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3"/>
    <x v="33"/>
    <x v="277"/>
    <x v="259"/>
    <n v="380.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4"/>
    <x v="34"/>
    <x v="68"/>
    <x v="260"/>
    <n v="31"/>
    <x v="60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5"/>
    <x v="35"/>
    <x v="32"/>
    <x v="23"/>
    <n v="34.799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78"/>
    <x v="78"/>
    <x v="35"/>
    <x v="26"/>
    <n v="6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6"/>
    <x v="36"/>
    <x v="278"/>
    <x v="261"/>
    <n v="80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7"/>
    <x v="37"/>
    <x v="279"/>
    <x v="262"/>
    <n v="19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38"/>
    <x v="38"/>
    <x v="142"/>
    <x v="123"/>
    <n v="31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44"/>
    <x v="44"/>
    <x v="35"/>
    <x v="26"/>
    <n v="6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79"/>
    <x v="79"/>
    <x v="81"/>
    <x v="72"/>
    <n v="12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45"/>
    <x v="45"/>
    <x v="180"/>
    <x v="162"/>
    <n v="23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80"/>
    <x v="80"/>
    <x v="280"/>
    <x v="263"/>
    <n v="35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46"/>
    <x v="46"/>
    <x v="179"/>
    <x v="161"/>
    <n v="70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08"/>
    <x v="108"/>
    <x v="82"/>
    <x v="28"/>
    <n v="2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09"/>
    <x v="109"/>
    <x v="12"/>
    <x v="166"/>
    <n v="2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47"/>
    <x v="47"/>
    <x v="136"/>
    <x v="264"/>
    <n v="7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91"/>
    <x v="91"/>
    <x v="145"/>
    <x v="126"/>
    <n v="6.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96"/>
    <x v="96"/>
    <x v="281"/>
    <x v="265"/>
    <n v="20.39999999999999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53"/>
    <x v="53"/>
    <x v="41"/>
    <x v="32"/>
    <n v="54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54"/>
    <x v="54"/>
    <x v="282"/>
    <x v="5"/>
    <m/>
    <x v="61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98"/>
    <x v="98"/>
    <x v="214"/>
    <x v="199"/>
    <n v="3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56"/>
    <x v="56"/>
    <x v="283"/>
    <x v="266"/>
    <n v="57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57"/>
    <x v="57"/>
    <x v="90"/>
    <x v="79"/>
    <n v="46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58"/>
    <x v="58"/>
    <x v="284"/>
    <x v="267"/>
    <n v="54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59"/>
    <x v="59"/>
    <x v="285"/>
    <x v="268"/>
    <n v="256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61"/>
    <x v="61"/>
    <x v="92"/>
    <x v="81"/>
    <n v="10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62"/>
    <x v="62"/>
    <x v="34"/>
    <x v="5"/>
    <m/>
    <x v="62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66"/>
    <x v="66"/>
    <x v="286"/>
    <x v="269"/>
    <n v="121.4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67"/>
    <x v="67"/>
    <x v="287"/>
    <x v="270"/>
    <n v="1589.2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10"/>
    <x v="110"/>
    <x v="288"/>
    <x v="271"/>
    <n v="1027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11"/>
    <x v="111"/>
    <x v="43"/>
    <x v="35"/>
    <n v="67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68"/>
    <x v="68"/>
    <x v="289"/>
    <x v="272"/>
    <n v="654.7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112"/>
    <x v="112"/>
    <x v="290"/>
    <x v="273"/>
    <n v="4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86"/>
    <x v="86"/>
    <x v="291"/>
    <x v="274"/>
    <n v="454.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82"/>
    <x v="82"/>
    <x v="223"/>
    <x v="210"/>
    <n v="253.4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69"/>
    <x v="69"/>
    <x v="292"/>
    <x v="275"/>
    <n v="644.1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9"/>
    <x v="0"/>
    <x v="9"/>
    <d v="2026-09-14T11:00:00"/>
    <x v="2"/>
    <d v="2026-09-14T00:00:00"/>
    <d v="2026-09-14T11:00:00"/>
    <s v="596383_8"/>
    <s v="VLDR"/>
    <s v="ЦСК"/>
    <s v="Нет"/>
    <m/>
    <s v="Нет"/>
    <x v="83"/>
    <x v="83"/>
    <x v="39"/>
    <x v="30"/>
    <n v="5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3"/>
    <x v="83"/>
    <x v="293"/>
    <x v="276"/>
    <n v="61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2"/>
    <x v="72"/>
    <x v="294"/>
    <x v="277"/>
    <n v="129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13"/>
    <x v="113"/>
    <x v="295"/>
    <x v="278"/>
    <n v="66.59999999999999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4"/>
    <x v="84"/>
    <x v="296"/>
    <x v="279"/>
    <n v="17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3"/>
    <x v="73"/>
    <x v="95"/>
    <x v="84"/>
    <n v="237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"/>
    <x v="1"/>
    <x v="297"/>
    <x v="280"/>
    <n v="5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94"/>
    <x v="94"/>
    <x v="298"/>
    <x v="281"/>
    <n v="13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5"/>
    <x v="85"/>
    <x v="226"/>
    <x v="213"/>
    <n v="14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2"/>
    <x v="2"/>
    <x v="299"/>
    <x v="282"/>
    <n v="101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"/>
    <x v="3"/>
    <x v="95"/>
    <x v="84"/>
    <n v="237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14"/>
    <x v="114"/>
    <x v="300"/>
    <x v="283"/>
    <n v="3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4"/>
    <x v="74"/>
    <x v="161"/>
    <x v="143"/>
    <n v="5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4"/>
    <x v="4"/>
    <x v="239"/>
    <x v="284"/>
    <n v="234.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"/>
    <x v="5"/>
    <x v="301"/>
    <x v="285"/>
    <n v="67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5"/>
    <x v="75"/>
    <x v="302"/>
    <x v="286"/>
    <n v="280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6"/>
    <x v="76"/>
    <x v="303"/>
    <x v="287"/>
    <n v="9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15"/>
    <x v="115"/>
    <x v="304"/>
    <x v="5"/>
    <m/>
    <x v="63"/>
    <s v="ОгранПроизвМощСпис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05"/>
    <x v="105"/>
    <x v="206"/>
    <x v="190"/>
    <n v="2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"/>
    <x v="6"/>
    <x v="305"/>
    <x v="288"/>
    <n v="550.7999999999999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"/>
    <x v="7"/>
    <x v="226"/>
    <x v="213"/>
    <n v="14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95"/>
    <x v="95"/>
    <x v="273"/>
    <x v="5"/>
    <m/>
    <x v="64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9"/>
    <x v="9"/>
    <x v="306"/>
    <x v="5"/>
    <m/>
    <x v="65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7"/>
    <x v="87"/>
    <x v="307"/>
    <x v="289"/>
    <n v="13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1"/>
    <x v="11"/>
    <x v="11"/>
    <x v="5"/>
    <m/>
    <x v="1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2"/>
    <x v="12"/>
    <x v="308"/>
    <x v="290"/>
    <n v="18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3"/>
    <x v="13"/>
    <x v="11"/>
    <x v="291"/>
    <n v="150.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8"/>
    <x v="88"/>
    <x v="135"/>
    <x v="193"/>
    <n v="3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9"/>
    <x v="89"/>
    <x v="309"/>
    <x v="292"/>
    <n v="11.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6"/>
    <x v="16"/>
    <x v="203"/>
    <x v="185"/>
    <n v="28.5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7"/>
    <x v="17"/>
    <x v="12"/>
    <x v="166"/>
    <n v="2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9"/>
    <x v="19"/>
    <x v="1"/>
    <x v="1"/>
    <n v="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21"/>
    <x v="21"/>
    <x v="310"/>
    <x v="5"/>
    <m/>
    <x v="66"/>
    <s v="ОгранПроизвМощСпис"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22"/>
    <x v="22"/>
    <x v="1"/>
    <x v="1"/>
    <n v="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23"/>
    <x v="23"/>
    <x v="311"/>
    <x v="5"/>
    <m/>
    <x v="67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7"/>
    <x v="77"/>
    <x v="132"/>
    <x v="5"/>
    <m/>
    <x v="48"/>
    <s v="ОгранПроизвМощАут"/>
    <s v="Общие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26"/>
    <x v="26"/>
    <x v="161"/>
    <x v="5"/>
    <m/>
    <x v="33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27"/>
    <x v="27"/>
    <x v="134"/>
    <x v="5"/>
    <m/>
    <x v="26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28"/>
    <x v="28"/>
    <x v="195"/>
    <x v="178"/>
    <n v="302.3999999999999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29"/>
    <x v="29"/>
    <x v="134"/>
    <x v="5"/>
    <m/>
    <x v="26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0"/>
    <x v="30"/>
    <x v="310"/>
    <x v="293"/>
    <n v="30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1"/>
    <x v="31"/>
    <x v="172"/>
    <x v="5"/>
    <m/>
    <x v="32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2"/>
    <x v="32"/>
    <x v="172"/>
    <x v="221"/>
    <n v="12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3"/>
    <x v="33"/>
    <x v="149"/>
    <x v="130"/>
    <n v="40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4"/>
    <x v="34"/>
    <x v="75"/>
    <x v="5"/>
    <m/>
    <x v="68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5"/>
    <x v="35"/>
    <x v="77"/>
    <x v="68"/>
    <n v="26.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8"/>
    <x v="78"/>
    <x v="312"/>
    <x v="294"/>
    <n v="261.6000000000000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6"/>
    <x v="36"/>
    <x v="313"/>
    <x v="295"/>
    <n v="72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7"/>
    <x v="37"/>
    <x v="314"/>
    <x v="296"/>
    <n v="223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8"/>
    <x v="38"/>
    <x v="140"/>
    <x v="121"/>
    <n v="160.8000000000000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39"/>
    <x v="39"/>
    <x v="315"/>
    <x v="297"/>
    <n v="7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41"/>
    <x v="41"/>
    <x v="82"/>
    <x v="28"/>
    <n v="2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16"/>
    <x v="116"/>
    <x v="204"/>
    <x v="186"/>
    <n v="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43"/>
    <x v="43"/>
    <x v="39"/>
    <x v="30"/>
    <n v="5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44"/>
    <x v="44"/>
    <x v="101"/>
    <x v="189"/>
    <n v="100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9"/>
    <x v="79"/>
    <x v="83"/>
    <x v="73"/>
    <n v="40.799999999999997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45"/>
    <x v="45"/>
    <x v="226"/>
    <x v="213"/>
    <n v="140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0"/>
    <x v="80"/>
    <x v="316"/>
    <x v="298"/>
    <n v="179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46"/>
    <x v="46"/>
    <x v="317"/>
    <x v="299"/>
    <n v="10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09"/>
    <x v="109"/>
    <x v="318"/>
    <x v="300"/>
    <n v="121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47"/>
    <x v="47"/>
    <x v="310"/>
    <x v="293"/>
    <n v="30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1"/>
    <x v="81"/>
    <x v="101"/>
    <x v="189"/>
    <n v="100.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48"/>
    <x v="48"/>
    <x v="319"/>
    <x v="301"/>
    <n v="686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49"/>
    <x v="49"/>
    <x v="317"/>
    <x v="299"/>
    <n v="10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92"/>
    <x v="92"/>
    <x v="182"/>
    <x v="164"/>
    <n v="17.850000000000001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96"/>
    <x v="96"/>
    <x v="146"/>
    <x v="127"/>
    <n v="10.199999999999999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93"/>
    <x v="93"/>
    <x v="0"/>
    <x v="0"/>
    <n v="1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0"/>
    <x v="50"/>
    <x v="0"/>
    <x v="0"/>
    <n v="1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1"/>
    <x v="51"/>
    <x v="1"/>
    <x v="1"/>
    <n v="1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3"/>
    <x v="53"/>
    <x v="282"/>
    <x v="302"/>
    <n v="29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4"/>
    <x v="54"/>
    <x v="320"/>
    <x v="5"/>
    <m/>
    <x v="69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5"/>
    <x v="55"/>
    <x v="321"/>
    <x v="303"/>
    <n v="91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6"/>
    <x v="56"/>
    <x v="321"/>
    <x v="303"/>
    <n v="91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7"/>
    <x v="57"/>
    <x v="322"/>
    <x v="304"/>
    <n v="78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8"/>
    <x v="58"/>
    <x v="283"/>
    <x v="266"/>
    <n v="57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59"/>
    <x v="59"/>
    <x v="323"/>
    <x v="305"/>
    <n v="109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0"/>
    <x v="60"/>
    <x v="160"/>
    <x v="142"/>
    <n v="1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1"/>
    <x v="61"/>
    <x v="324"/>
    <x v="306"/>
    <n v="120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2"/>
    <x v="62"/>
    <x v="20"/>
    <x v="5"/>
    <m/>
    <x v="17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4"/>
    <x v="64"/>
    <x v="325"/>
    <x v="307"/>
    <n v="79.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5"/>
    <x v="65"/>
    <x v="116"/>
    <x v="102"/>
    <n v="84.4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6"/>
    <x v="66"/>
    <x v="326"/>
    <x v="308"/>
    <n v="216.4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7"/>
    <x v="67"/>
    <x v="156"/>
    <x v="137"/>
    <n v="332.6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10"/>
    <x v="110"/>
    <x v="327"/>
    <x v="309"/>
    <n v="38.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8"/>
    <x v="68"/>
    <x v="328"/>
    <x v="310"/>
    <n v="850.0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12"/>
    <x v="112"/>
    <x v="315"/>
    <x v="297"/>
    <n v="72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6"/>
    <x v="86"/>
    <x v="286"/>
    <x v="269"/>
    <n v="121.44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82"/>
    <x v="82"/>
    <x v="193"/>
    <x v="176"/>
    <n v="401.2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69"/>
    <x v="69"/>
    <x v="157"/>
    <x v="138"/>
    <n v="501.6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71"/>
    <x v="71"/>
    <x v="260"/>
    <x v="5"/>
    <m/>
    <x v="70"/>
    <s v="ОгранПроизвМощностей"/>
    <s v="Производ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0"/>
    <x v="0"/>
    <x v="10"/>
    <d v="2026-09-14T12:00:00"/>
    <x v="1"/>
    <d v="2026-09-14T00:00:00"/>
    <d v="2026-09-14T12:00:00"/>
    <s v="596383_9"/>
    <s v="VLDR"/>
    <s v="ЦСК"/>
    <s v="Нет"/>
    <m/>
    <s v="Нет"/>
    <x v="102"/>
    <x v="102"/>
    <x v="19"/>
    <x v="207"/>
    <n v="18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1"/>
    <x v="0"/>
    <x v="11"/>
    <d v="2026-09-14T10:00:00"/>
    <x v="2"/>
    <d v="2026-09-14T00:00:00"/>
    <d v="2026-09-14T10:00:00"/>
    <s v="596383_8"/>
    <s v="VLDR"/>
    <s v="ЦСК"/>
    <s v="Нет"/>
    <m/>
    <s v="Нет"/>
    <x v="59"/>
    <x v="59"/>
    <x v="329"/>
    <x v="5"/>
    <m/>
    <x v="71"/>
    <s v="ЗаказРасфПоПричКлиен"/>
    <s v="Клиент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2"/>
    <x v="0"/>
    <x v="11"/>
    <d v="2026-09-14T10:00:00"/>
    <x v="1"/>
    <d v="2026-09-14T00:00:00"/>
    <d v="2026-09-14T10:00:00"/>
    <s v="596383_9"/>
    <s v="VLDR"/>
    <s v="ЦСК"/>
    <s v="Нет"/>
    <m/>
    <s v="Нет"/>
    <x v="57"/>
    <x v="57"/>
    <x v="149"/>
    <x v="5"/>
    <m/>
    <x v="72"/>
    <s v="ЗаказРасфПоПричКлиен"/>
    <s v="Клиент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Нет"/>
    <x v="12"/>
    <x v="0"/>
    <x v="11"/>
    <d v="2026-09-14T10:00:00"/>
    <x v="1"/>
    <d v="2026-09-14T00:00:00"/>
    <d v="2026-09-14T10:00:00"/>
    <s v="596383_9"/>
    <s v="VLDR"/>
    <s v="ЦСК"/>
    <s v="Нет"/>
    <m/>
    <s v="Нет"/>
    <x v="55"/>
    <x v="55"/>
    <x v="149"/>
    <x v="5"/>
    <m/>
    <x v="72"/>
    <s v="ЗаказРасфПоПричКлиен"/>
    <s v="Клиент"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13"/>
    <x v="0"/>
    <x v="12"/>
    <d v="2026-09-14T09:00:00"/>
    <x v="0"/>
    <d v="2026-09-14T00:00:00"/>
    <d v="2026-09-14T09:00:00"/>
    <s v="596383_10"/>
    <s v="VLDR"/>
    <s v="ЦСК"/>
    <s v="Нет"/>
    <m/>
    <s v="Нет"/>
    <x v="57"/>
    <x v="57"/>
    <x v="64"/>
    <x v="56"/>
    <n v="27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13"/>
    <x v="0"/>
    <x v="12"/>
    <d v="2026-09-14T09:00:00"/>
    <x v="0"/>
    <d v="2026-09-14T00:00:00"/>
    <d v="2026-09-14T09:00:00"/>
    <s v="596383_10"/>
    <s v="VLDR"/>
    <s v="ЦСК"/>
    <s v="Нет"/>
    <m/>
    <s v="Нет"/>
    <x v="55"/>
    <x v="55"/>
    <x v="149"/>
    <x v="130"/>
    <n v="405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14"/>
    <x v="0"/>
    <x v="13"/>
    <d v="2026-09-14T09:00:00"/>
    <x v="1"/>
    <d v="2026-09-14T00:00:00"/>
    <d v="2026-09-14T09:00:00"/>
    <s v="596383_9"/>
    <s v="VLDR"/>
    <s v="ЦСК"/>
    <s v="Нет"/>
    <m/>
    <s v="Нет"/>
    <x v="59"/>
    <x v="59"/>
    <x v="330"/>
    <x v="311"/>
    <n v="81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15"/>
    <x v="0"/>
    <x v="14"/>
    <d v="2026-09-14T09:00:00"/>
    <x v="2"/>
    <d v="2026-09-14T00:00:00"/>
    <d v="2026-09-14T09:00:00"/>
    <s v="596383_8"/>
    <s v="VLDR"/>
    <s v="ЦСК"/>
    <s v="Нет"/>
    <m/>
    <s v="Нет"/>
    <x v="57"/>
    <x v="57"/>
    <x v="88"/>
    <x v="77"/>
    <n v="30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15"/>
    <x v="0"/>
    <x v="14"/>
    <d v="2026-09-14T09:00:00"/>
    <x v="2"/>
    <d v="2026-09-14T00:00:00"/>
    <d v="2026-09-14T09:00:00"/>
    <s v="596383_8"/>
    <s v="VLDR"/>
    <s v="ЦСК"/>
    <s v="Нет"/>
    <m/>
    <s v="Нет"/>
    <x v="56"/>
    <x v="56"/>
    <x v="88"/>
    <x v="77"/>
    <n v="30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16"/>
    <x v="0"/>
    <x v="15"/>
    <d v="2026-09-14T09:00:00"/>
    <x v="3"/>
    <d v="2026-09-14T00:00:00"/>
    <d v="2026-09-14T09:00:00"/>
    <s v="596383_4"/>
    <s v="VLDR"/>
    <s v="ЦСК"/>
    <s v="Нет"/>
    <m/>
    <s v="Нет"/>
    <x v="57"/>
    <x v="57"/>
    <x v="311"/>
    <x v="312"/>
    <n v="210"/>
    <x v="0"/>
    <m/>
    <m/>
    <s v="Нет"/>
    <m/>
    <m/>
    <m/>
    <s v="Нет"/>
    <m/>
    <s v="Нет"/>
  </r>
  <r>
    <s v="Самовывоз"/>
    <s v="596383"/>
    <s v="ОБЩЕСТВО С ОГРАНИЧЕННОЙ ОТВЕТСТВЕННОСТЬЮ &quot;НОВОЕ ВРЕМЯ&quot;"/>
    <s v="Да"/>
    <x v="16"/>
    <x v="0"/>
    <x v="15"/>
    <d v="2026-09-14T09:00:00"/>
    <x v="3"/>
    <d v="2026-09-14T00:00:00"/>
    <d v="2026-09-14T09:00:00"/>
    <s v="596383_4"/>
    <s v="VLDR"/>
    <s v="ЦСК"/>
    <s v="Нет"/>
    <m/>
    <s v="Нет"/>
    <x v="55"/>
    <x v="55"/>
    <x v="88"/>
    <x v="77"/>
    <n v="300"/>
    <x v="0"/>
    <m/>
    <m/>
    <s v="Нет"/>
    <m/>
    <m/>
    <m/>
    <s v="Нет"/>
    <m/>
    <s v="Нет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I651" firstHeaderRow="0" firstDataRow="1" firstDataCol="6"/>
  <pivotFields count="3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compact="0" numFmtId="14" outline="0" showAll="0" defaultSubtotal="0">
      <items count="1">
        <item x="0"/>
      </items>
    </pivotField>
    <pivotField axis="axisRow" compact="0" outline="0" showAll="0" defaultSubtotal="0">
      <items count="16">
        <item x="0"/>
        <item x="5"/>
        <item x="4"/>
        <item x="3"/>
        <item x="2"/>
        <item x="1"/>
        <item x="6"/>
        <item x="9"/>
        <item x="8"/>
        <item x="7"/>
        <item x="10"/>
        <item x="13"/>
        <item x="12"/>
        <item x="15"/>
        <item x="14"/>
        <item x="11"/>
      </items>
    </pivotField>
    <pivotField compact="0" numFmtId="19" outline="0" showAll="0" defaultSubtotal="0"/>
    <pivotField axis="axisRow" compact="0" outline="0" showAll="0" defaultSubtotal="0">
      <items count="4">
        <item x="2"/>
        <item x="1"/>
        <item x="0"/>
        <item x="3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7">
        <item x="59"/>
        <item x="48"/>
        <item x="101"/>
        <item x="72"/>
        <item x="81"/>
        <item x="49"/>
        <item x="0"/>
        <item x="4"/>
        <item x="5"/>
        <item x="7"/>
        <item x="6"/>
        <item x="109"/>
        <item x="96"/>
        <item x="91"/>
        <item x="106"/>
        <item x="67"/>
        <item x="64"/>
        <item x="68"/>
        <item x="61"/>
        <item x="92"/>
        <item x="86"/>
        <item x="69"/>
        <item x="82"/>
        <item x="65"/>
        <item x="62"/>
        <item x="47"/>
        <item x="60"/>
        <item x="114"/>
        <item x="115"/>
        <item x="8"/>
        <item x="51"/>
        <item x="99"/>
        <item x="63"/>
        <item x="36"/>
        <item x="37"/>
        <item x="111"/>
        <item x="110"/>
        <item x="66"/>
        <item x="112"/>
        <item x="71"/>
        <item x="20"/>
        <item x="38"/>
        <item x="35"/>
        <item x="76"/>
        <item x="105"/>
        <item x="17"/>
        <item x="41"/>
        <item x="40"/>
        <item x="79"/>
        <item x="44"/>
        <item x="94"/>
        <item x="74"/>
        <item x="85"/>
        <item x="73"/>
        <item x="3"/>
        <item x="1"/>
        <item x="104"/>
        <item x="2"/>
        <item x="50"/>
        <item x="93"/>
        <item x="78"/>
        <item x="33"/>
        <item x="39"/>
        <item x="34"/>
        <item x="18"/>
        <item x="23"/>
        <item x="70"/>
        <item x="75"/>
        <item x="26"/>
        <item x="31"/>
        <item x="27"/>
        <item x="30"/>
        <item x="28"/>
        <item x="29"/>
        <item x="32"/>
        <item x="95"/>
        <item x="10"/>
        <item x="9"/>
        <item x="113"/>
        <item x="53"/>
        <item x="54"/>
        <item x="22"/>
        <item x="116"/>
        <item x="42"/>
        <item x="108"/>
        <item x="57"/>
        <item x="55"/>
        <item x="56"/>
        <item x="84"/>
        <item x="83"/>
        <item x="100"/>
        <item x="103"/>
        <item x="89"/>
        <item x="88"/>
        <item x="21"/>
        <item x="24"/>
        <item x="25"/>
        <item x="77"/>
        <item x="43"/>
        <item x="90"/>
        <item x="102"/>
        <item x="19"/>
        <item x="14"/>
        <item x="11"/>
        <item x="16"/>
        <item x="13"/>
        <item x="15"/>
        <item x="12"/>
        <item x="45"/>
        <item x="80"/>
        <item x="46"/>
        <item x="98"/>
        <item x="107"/>
        <item x="52"/>
        <item x="97"/>
        <item x="87"/>
        <item x="58"/>
      </items>
    </pivotField>
    <pivotField axis="axisRow" compact="0" outline="0" showAll="0" defaultSubtotal="0">
      <items count="117">
        <item x="86"/>
        <item x="82"/>
        <item x="69"/>
        <item x="70"/>
        <item x="26"/>
        <item x="30"/>
        <item x="27"/>
        <item x="31"/>
        <item x="109"/>
        <item x="18"/>
        <item x="23"/>
        <item x="98"/>
        <item x="113"/>
        <item x="110"/>
        <item x="58"/>
        <item x="65"/>
        <item x="66"/>
        <item x="114"/>
        <item x="67"/>
        <item x="111"/>
        <item x="42"/>
        <item x="55"/>
        <item x="45"/>
        <item x="87"/>
        <item x="80"/>
        <item x="75"/>
        <item x="103"/>
        <item x="76"/>
        <item x="56"/>
        <item x="46"/>
        <item x="116"/>
        <item x="108"/>
        <item x="57"/>
        <item x="84"/>
        <item x="73"/>
        <item x="94"/>
        <item x="72"/>
        <item x="0"/>
        <item x="64"/>
        <item x="3"/>
        <item x="74"/>
        <item x="112"/>
        <item x="100"/>
        <item x="104"/>
        <item x="115"/>
        <item x="105"/>
        <item x="85"/>
        <item x="68"/>
        <item x="59"/>
        <item x="43"/>
        <item x="95"/>
        <item x="1"/>
        <item x="17"/>
        <item x="20"/>
        <item x="97"/>
        <item x="107"/>
        <item x="52"/>
        <item x="19"/>
        <item x="99"/>
        <item x="88"/>
        <item x="11"/>
        <item x="14"/>
        <item x="63"/>
        <item x="21"/>
        <item x="22"/>
        <item x="13"/>
        <item x="90"/>
        <item x="16"/>
        <item x="12"/>
        <item x="89"/>
        <item x="15"/>
        <item x="9"/>
        <item x="28"/>
        <item x="29"/>
        <item x="32"/>
        <item x="47"/>
        <item x="93"/>
        <item x="50"/>
        <item x="51"/>
        <item x="92"/>
        <item x="91"/>
        <item x="106"/>
        <item x="96"/>
        <item x="81"/>
        <item x="8"/>
        <item x="40"/>
        <item x="41"/>
        <item x="60"/>
        <item x="48"/>
        <item x="2"/>
        <item x="49"/>
        <item x="54"/>
        <item x="53"/>
        <item x="4"/>
        <item x="5"/>
        <item x="6"/>
        <item x="7"/>
        <item x="71"/>
        <item x="61"/>
        <item x="62"/>
        <item x="101"/>
        <item x="102"/>
        <item x="83"/>
        <item x="33"/>
        <item x="78"/>
        <item x="44"/>
        <item x="36"/>
        <item x="37"/>
        <item x="34"/>
        <item x="39"/>
        <item x="35"/>
        <item x="10"/>
        <item x="79"/>
        <item x="38"/>
        <item x="77"/>
        <item x="24"/>
        <item x="25"/>
      </items>
    </pivotField>
    <pivotField dataField="1" compact="0" outline="0" showAll="0" defaultSubtotal="0">
      <items count="331">
        <item x="304"/>
        <item x="270"/>
        <item x="23"/>
        <item x="169"/>
        <item x="217"/>
        <item x="17"/>
        <item x="300"/>
        <item x="135"/>
        <item x="22"/>
        <item x="159"/>
        <item x="48"/>
        <item x="170"/>
        <item x="290"/>
        <item x="132"/>
        <item x="194"/>
        <item x="39"/>
        <item x="199"/>
        <item x="253"/>
        <item x="145"/>
        <item x="201"/>
        <item x="173"/>
        <item x="136"/>
        <item x="229"/>
        <item x="176"/>
        <item x="244"/>
        <item x="204"/>
        <item x="18"/>
        <item x="28"/>
        <item x="251"/>
        <item x="20"/>
        <item x="44"/>
        <item x="175"/>
        <item x="146"/>
        <item x="228"/>
        <item x="309"/>
        <item x="1"/>
        <item x="172"/>
        <item x="165"/>
        <item x="298"/>
        <item x="131"/>
        <item x="166"/>
        <item x="61"/>
        <item x="47"/>
        <item x="216"/>
        <item x="129"/>
        <item x="213"/>
        <item x="65"/>
        <item x="0"/>
        <item x="29"/>
        <item x="275"/>
        <item x="85"/>
        <item x="182"/>
        <item x="19"/>
        <item x="320"/>
        <item x="225"/>
        <item x="128"/>
        <item x="281"/>
        <item x="12"/>
        <item x="56"/>
        <item x="82"/>
        <item x="215"/>
        <item x="130"/>
        <item x="256"/>
        <item x="38"/>
        <item x="180"/>
        <item x="202"/>
        <item x="206"/>
        <item x="126"/>
        <item x="247"/>
        <item x="252"/>
        <item x="273"/>
        <item x="77"/>
        <item x="209"/>
        <item x="260"/>
        <item x="87"/>
        <item x="123"/>
        <item x="203"/>
        <item x="113"/>
        <item x="282"/>
        <item x="198"/>
        <item x="214"/>
        <item x="310"/>
        <item x="142"/>
        <item x="235"/>
        <item x="224"/>
        <item x="3"/>
        <item x="171"/>
        <item x="10"/>
        <item x="32"/>
        <item x="254"/>
        <item x="148"/>
        <item x="54"/>
        <item x="250"/>
        <item x="263"/>
        <item x="107"/>
        <item x="327"/>
        <item x="98"/>
        <item x="174"/>
        <item x="45"/>
        <item x="14"/>
        <item x="83"/>
        <item x="15"/>
        <item x="200"/>
        <item x="37"/>
        <item x="236"/>
        <item x="306"/>
        <item x="184"/>
        <item x="210"/>
        <item x="8"/>
        <item x="9"/>
        <item x="208"/>
        <item x="167"/>
        <item x="16"/>
        <item x="231"/>
        <item x="168"/>
        <item x="60"/>
        <item x="161"/>
        <item x="41"/>
        <item x="297"/>
        <item x="137"/>
        <item x="183"/>
        <item x="232"/>
        <item x="212"/>
        <item x="133"/>
        <item x="124"/>
        <item x="35"/>
        <item x="234"/>
        <item x="21"/>
        <item x="293"/>
        <item x="84"/>
        <item x="66"/>
        <item x="191"/>
        <item x="25"/>
        <item x="147"/>
        <item x="295"/>
        <item x="43"/>
        <item x="301"/>
        <item x="207"/>
        <item x="179"/>
        <item x="315"/>
        <item x="68"/>
        <item x="78"/>
        <item x="46"/>
        <item x="74"/>
        <item x="211"/>
        <item x="233"/>
        <item x="325"/>
        <item x="27"/>
        <item x="34"/>
        <item x="249"/>
        <item x="116"/>
        <item x="246"/>
        <item x="237"/>
        <item x="102"/>
        <item x="141"/>
        <item x="103"/>
        <item x="119"/>
        <item x="197"/>
        <item x="192"/>
        <item x="80"/>
        <item x="24"/>
        <item x="303"/>
        <item x="127"/>
        <item x="190"/>
        <item x="101"/>
        <item x="299"/>
        <item x="13"/>
        <item x="26"/>
        <item x="243"/>
        <item x="76"/>
        <item x="57"/>
        <item x="160"/>
        <item x="317"/>
        <item x="272"/>
        <item x="72"/>
        <item x="264"/>
        <item x="178"/>
        <item x="181"/>
        <item x="81"/>
        <item x="286"/>
        <item x="230"/>
        <item x="318"/>
        <item x="274"/>
        <item x="238"/>
        <item x="105"/>
        <item x="117"/>
        <item x="271"/>
        <item x="106"/>
        <item x="307"/>
        <item x="70"/>
        <item x="242"/>
        <item x="226"/>
        <item x="33"/>
        <item x="112"/>
        <item x="259"/>
        <item x="11"/>
        <item x="134"/>
        <item x="222"/>
        <item x="30"/>
        <item x="162"/>
        <item x="140"/>
        <item x="262"/>
        <item x="36"/>
        <item x="97"/>
        <item x="91"/>
        <item x="241"/>
        <item x="104"/>
        <item x="73"/>
        <item x="255"/>
        <item x="296"/>
        <item x="316"/>
        <item x="266"/>
        <item x="240"/>
        <item x="308"/>
        <item x="155"/>
        <item x="93"/>
        <item x="120"/>
        <item x="110"/>
        <item x="265"/>
        <item x="279"/>
        <item x="109"/>
        <item x="42"/>
        <item x="196"/>
        <item x="311"/>
        <item x="40"/>
        <item x="163"/>
        <item x="326"/>
        <item x="314"/>
        <item x="239"/>
        <item x="95"/>
        <item x="139"/>
        <item x="7"/>
        <item x="205"/>
        <item x="99"/>
        <item x="75"/>
        <item x="125"/>
        <item x="223"/>
        <item x="276"/>
        <item x="62"/>
        <item x="312"/>
        <item x="96"/>
        <item x="64"/>
        <item x="302"/>
        <item x="89"/>
        <item x="100"/>
        <item x="88"/>
        <item x="195"/>
        <item x="248"/>
        <item x="86"/>
        <item x="177"/>
        <item x="150"/>
        <item x="156"/>
        <item x="158"/>
        <item x="227"/>
        <item x="280"/>
        <item x="94"/>
        <item x="114"/>
        <item x="31"/>
        <item x="258"/>
        <item x="277"/>
        <item x="69"/>
        <item x="138"/>
        <item x="193"/>
        <item x="149"/>
        <item x="111"/>
        <item x="67"/>
        <item x="71"/>
        <item x="245"/>
        <item x="291"/>
        <item x="90"/>
        <item x="115"/>
        <item x="268"/>
        <item x="2"/>
        <item x="157"/>
        <item x="164"/>
        <item x="144"/>
        <item x="108"/>
        <item x="284"/>
        <item x="305"/>
        <item x="283"/>
        <item x="267"/>
        <item x="59"/>
        <item x="122"/>
        <item x="143"/>
        <item x="79"/>
        <item x="58"/>
        <item x="261"/>
        <item x="292"/>
        <item x="118"/>
        <item x="289"/>
        <item x="319"/>
        <item x="257"/>
        <item x="55"/>
        <item x="52"/>
        <item x="313"/>
        <item x="63"/>
        <item x="219"/>
        <item x="322"/>
        <item x="329"/>
        <item x="221"/>
        <item x="278"/>
        <item x="154"/>
        <item x="330"/>
        <item x="328"/>
        <item x="187"/>
        <item x="4"/>
        <item x="321"/>
        <item x="6"/>
        <item x="92"/>
        <item x="288"/>
        <item x="323"/>
        <item x="218"/>
        <item x="324"/>
        <item x="220"/>
        <item x="294"/>
        <item x="151"/>
        <item x="50"/>
        <item x="269"/>
        <item x="287"/>
        <item x="152"/>
        <item x="153"/>
        <item x="186"/>
        <item x="51"/>
        <item x="121"/>
        <item x="188"/>
        <item x="185"/>
        <item x="49"/>
        <item x="285"/>
        <item x="53"/>
        <item x="189"/>
        <item x="5"/>
      </items>
    </pivotField>
    <pivotField dataField="1" compact="0" outline="0" showAll="0" defaultSubtotal="0">
      <items count="313">
        <item x="254"/>
        <item x="19"/>
        <item x="151"/>
        <item x="202"/>
        <item x="14"/>
        <item x="283"/>
        <item x="193"/>
        <item x="18"/>
        <item x="141"/>
        <item x="203"/>
        <item x="152"/>
        <item x="273"/>
        <item x="117"/>
        <item x="177"/>
        <item x="30"/>
        <item x="235"/>
        <item x="126"/>
        <item x="183"/>
        <item x="154"/>
        <item x="264"/>
        <item x="216"/>
        <item x="157"/>
        <item x="226"/>
        <item x="186"/>
        <item x="15"/>
        <item x="33"/>
        <item x="233"/>
        <item x="16"/>
        <item x="36"/>
        <item x="156"/>
        <item x="127"/>
        <item x="215"/>
        <item x="292"/>
        <item x="1"/>
        <item x="221"/>
        <item x="147"/>
        <item x="281"/>
        <item x="116"/>
        <item x="148"/>
        <item x="53"/>
        <item x="39"/>
        <item x="201"/>
        <item x="114"/>
        <item x="198"/>
        <item x="57"/>
        <item x="0"/>
        <item x="47"/>
        <item x="74"/>
        <item x="164"/>
        <item x="207"/>
        <item x="212"/>
        <item x="113"/>
        <item x="265"/>
        <item x="166"/>
        <item x="48"/>
        <item x="28"/>
        <item x="200"/>
        <item x="115"/>
        <item x="238"/>
        <item x="29"/>
        <item x="162"/>
        <item x="184"/>
        <item x="190"/>
        <item x="111"/>
        <item x="229"/>
        <item x="234"/>
        <item x="257"/>
        <item x="68"/>
        <item x="194"/>
        <item x="242"/>
        <item x="76"/>
        <item x="185"/>
        <item x="302"/>
        <item x="181"/>
        <item x="199"/>
        <item x="293"/>
        <item x="260"/>
        <item x="123"/>
        <item x="219"/>
        <item x="211"/>
        <item x="3"/>
        <item x="153"/>
        <item x="10"/>
        <item x="23"/>
        <item x="244"/>
        <item x="236"/>
        <item x="129"/>
        <item x="45"/>
        <item x="232"/>
        <item x="245"/>
        <item x="95"/>
        <item x="309"/>
        <item x="87"/>
        <item x="155"/>
        <item x="37"/>
        <item x="11"/>
        <item x="73"/>
        <item x="12"/>
        <item x="249"/>
        <item x="220"/>
        <item x="167"/>
        <item x="195"/>
        <item x="8"/>
        <item x="9"/>
        <item x="192"/>
        <item x="149"/>
        <item x="13"/>
        <item x="218"/>
        <item x="150"/>
        <item x="52"/>
        <item x="143"/>
        <item x="32"/>
        <item x="280"/>
        <item x="118"/>
        <item x="165"/>
        <item x="197"/>
        <item x="109"/>
        <item x="26"/>
        <item x="17"/>
        <item x="276"/>
        <item x="58"/>
        <item x="174"/>
        <item x="140"/>
        <item x="128"/>
        <item x="278"/>
        <item x="35"/>
        <item x="285"/>
        <item x="191"/>
        <item x="161"/>
        <item x="297"/>
        <item x="60"/>
        <item x="69"/>
        <item x="38"/>
        <item x="251"/>
        <item x="196"/>
        <item x="307"/>
        <item x="187"/>
        <item x="25"/>
        <item x="231"/>
        <item x="102"/>
        <item x="228"/>
        <item x="90"/>
        <item x="122"/>
        <item x="91"/>
        <item x="105"/>
        <item x="180"/>
        <item x="175"/>
        <item x="71"/>
        <item x="20"/>
        <item x="287"/>
        <item x="112"/>
        <item x="173"/>
        <item x="189"/>
        <item x="282"/>
        <item x="182"/>
        <item x="158"/>
        <item x="225"/>
        <item x="67"/>
        <item x="49"/>
        <item x="142"/>
        <item x="299"/>
        <item x="256"/>
        <item x="64"/>
        <item x="246"/>
        <item x="160"/>
        <item x="163"/>
        <item x="72"/>
        <item x="269"/>
        <item x="217"/>
        <item x="300"/>
        <item x="93"/>
        <item x="103"/>
        <item x="255"/>
        <item x="94"/>
        <item x="289"/>
        <item x="62"/>
        <item x="224"/>
        <item x="213"/>
        <item x="24"/>
        <item x="99"/>
        <item x="241"/>
        <item x="291"/>
        <item x="209"/>
        <item x="21"/>
        <item x="144"/>
        <item x="121"/>
        <item x="27"/>
        <item x="86"/>
        <item x="80"/>
        <item x="223"/>
        <item x="92"/>
        <item x="65"/>
        <item x="237"/>
        <item x="279"/>
        <item x="298"/>
        <item x="248"/>
        <item x="222"/>
        <item x="290"/>
        <item x="136"/>
        <item x="82"/>
        <item x="106"/>
        <item x="247"/>
        <item x="262"/>
        <item x="97"/>
        <item x="34"/>
        <item x="179"/>
        <item x="312"/>
        <item x="31"/>
        <item x="145"/>
        <item x="308"/>
        <item x="296"/>
        <item x="284"/>
        <item x="84"/>
        <item x="120"/>
        <item x="7"/>
        <item x="188"/>
        <item x="88"/>
        <item x="66"/>
        <item x="110"/>
        <item x="210"/>
        <item x="258"/>
        <item x="54"/>
        <item x="294"/>
        <item x="85"/>
        <item x="56"/>
        <item x="286"/>
        <item x="78"/>
        <item x="89"/>
        <item x="77"/>
        <item x="178"/>
        <item x="230"/>
        <item x="75"/>
        <item x="159"/>
        <item x="131"/>
        <item x="137"/>
        <item x="139"/>
        <item x="214"/>
        <item x="263"/>
        <item x="83"/>
        <item x="100"/>
        <item x="22"/>
        <item x="240"/>
        <item x="259"/>
        <item x="61"/>
        <item x="119"/>
        <item x="176"/>
        <item x="130"/>
        <item x="98"/>
        <item x="59"/>
        <item x="63"/>
        <item x="227"/>
        <item x="274"/>
        <item x="79"/>
        <item x="101"/>
        <item x="252"/>
        <item x="2"/>
        <item x="138"/>
        <item x="146"/>
        <item x="125"/>
        <item x="96"/>
        <item x="267"/>
        <item x="288"/>
        <item x="266"/>
        <item x="250"/>
        <item x="51"/>
        <item x="108"/>
        <item x="124"/>
        <item x="70"/>
        <item x="50"/>
        <item x="243"/>
        <item x="275"/>
        <item x="104"/>
        <item x="272"/>
        <item x="301"/>
        <item x="239"/>
        <item x="46"/>
        <item x="43"/>
        <item x="295"/>
        <item x="55"/>
        <item x="205"/>
        <item x="304"/>
        <item x="208"/>
        <item x="261"/>
        <item x="135"/>
        <item x="311"/>
        <item x="310"/>
        <item x="170"/>
        <item x="4"/>
        <item x="303"/>
        <item x="6"/>
        <item x="81"/>
        <item x="271"/>
        <item x="305"/>
        <item x="204"/>
        <item x="306"/>
        <item x="206"/>
        <item x="277"/>
        <item x="132"/>
        <item x="41"/>
        <item x="253"/>
        <item x="270"/>
        <item x="133"/>
        <item x="134"/>
        <item x="169"/>
        <item x="42"/>
        <item x="107"/>
        <item x="171"/>
        <item x="168"/>
        <item x="40"/>
        <item x="268"/>
        <item x="44"/>
        <item x="172"/>
        <item x="5"/>
      </items>
    </pivotField>
    <pivotField compact="0" outline="0" showAll="0" defaultSubtotal="0"/>
    <pivotField dataField="1" compact="0" outline="0" showAll="0" defaultSubtotal="0">
      <items count="73">
        <item x="71"/>
        <item x="72"/>
        <item x="68"/>
        <item x="53"/>
        <item x="67"/>
        <item x="19"/>
        <item x="26"/>
        <item x="1"/>
        <item x="18"/>
        <item x="56"/>
        <item x="52"/>
        <item x="58"/>
        <item x="36"/>
        <item x="7"/>
        <item x="3"/>
        <item x="16"/>
        <item x="23"/>
        <item x="21"/>
        <item x="47"/>
        <item x="62"/>
        <item x="8"/>
        <item x="44"/>
        <item x="14"/>
        <item x="6"/>
        <item x="46"/>
        <item x="15"/>
        <item x="39"/>
        <item x="45"/>
        <item x="30"/>
        <item x="25"/>
        <item x="43"/>
        <item x="33"/>
        <item x="57"/>
        <item x="65"/>
        <item x="51"/>
        <item x="38"/>
        <item x="4"/>
        <item x="60"/>
        <item x="31"/>
        <item x="42"/>
        <item x="13"/>
        <item x="55"/>
        <item x="34"/>
        <item x="66"/>
        <item x="61"/>
        <item x="20"/>
        <item x="22"/>
        <item x="70"/>
        <item x="64"/>
        <item x="11"/>
        <item x="2"/>
        <item x="69"/>
        <item x="5"/>
        <item x="35"/>
        <item x="59"/>
        <item x="10"/>
        <item x="27"/>
        <item x="32"/>
        <item x="50"/>
        <item x="17"/>
        <item x="9"/>
        <item x="54"/>
        <item x="49"/>
        <item x="29"/>
        <item x="37"/>
        <item x="24"/>
        <item x="48"/>
        <item x="12"/>
        <item x="41"/>
        <item x="28"/>
        <item x="40"/>
        <item x="6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6">
    <field x="5"/>
    <field x="8"/>
    <field x="4"/>
    <field x="6"/>
    <field x="17"/>
    <field x="18"/>
  </rowFields>
  <rowItems count="648">
    <i>
      <x/>
      <x/>
      <x v="4"/>
      <x v="2"/>
      <x/>
      <x v="48"/>
    </i>
    <i r="4">
      <x v="1"/>
      <x v="88"/>
    </i>
    <i r="4">
      <x v="3"/>
      <x v="36"/>
    </i>
    <i r="4">
      <x v="7"/>
      <x v="93"/>
    </i>
    <i r="4">
      <x v="9"/>
      <x v="96"/>
    </i>
    <i r="4">
      <x v="10"/>
      <x v="95"/>
    </i>
    <i r="4">
      <x v="13"/>
      <x v="80"/>
    </i>
    <i r="4">
      <x v="15"/>
      <x v="18"/>
    </i>
    <i r="4">
      <x v="17"/>
      <x v="47"/>
    </i>
    <i r="4">
      <x v="18"/>
      <x v="98"/>
    </i>
    <i r="4">
      <x v="19"/>
      <x v="79"/>
    </i>
    <i r="4">
      <x v="20"/>
      <x/>
    </i>
    <i r="4">
      <x v="21"/>
      <x v="2"/>
    </i>
    <i r="4">
      <x v="22"/>
      <x v="1"/>
    </i>
    <i r="4">
      <x v="24"/>
      <x v="99"/>
    </i>
    <i r="4">
      <x v="30"/>
      <x v="78"/>
    </i>
    <i r="4">
      <x v="33"/>
      <x v="106"/>
    </i>
    <i r="4">
      <x v="34"/>
      <x v="107"/>
    </i>
    <i r="4">
      <x v="37"/>
      <x v="16"/>
    </i>
    <i r="4">
      <x v="41"/>
      <x v="113"/>
    </i>
    <i r="4">
      <x v="42"/>
      <x v="110"/>
    </i>
    <i r="4">
      <x v="43"/>
      <x v="27"/>
    </i>
    <i r="4">
      <x v="48"/>
      <x v="112"/>
    </i>
    <i r="4">
      <x v="49"/>
      <x v="105"/>
    </i>
    <i r="4">
      <x v="51"/>
      <x v="40"/>
    </i>
    <i r="4">
      <x v="53"/>
      <x v="34"/>
    </i>
    <i r="4">
      <x v="54"/>
      <x v="39"/>
    </i>
    <i r="4">
      <x v="58"/>
      <x v="77"/>
    </i>
    <i r="4">
      <x v="59"/>
      <x v="76"/>
    </i>
    <i r="4">
      <x v="60"/>
      <x v="104"/>
    </i>
    <i r="4">
      <x v="61"/>
      <x v="103"/>
    </i>
    <i r="4">
      <x v="62"/>
      <x v="109"/>
    </i>
    <i r="4">
      <x v="63"/>
      <x v="108"/>
    </i>
    <i r="4">
      <x v="65"/>
      <x v="10"/>
    </i>
    <i r="4">
      <x v="69"/>
      <x v="7"/>
    </i>
    <i r="4">
      <x v="70"/>
      <x v="6"/>
    </i>
    <i r="4">
      <x v="71"/>
      <x v="5"/>
    </i>
    <i r="4">
      <x v="72"/>
      <x v="72"/>
    </i>
    <i r="4">
      <x v="73"/>
      <x v="73"/>
    </i>
    <i r="4">
      <x v="74"/>
      <x v="74"/>
    </i>
    <i r="4">
      <x v="79"/>
      <x v="92"/>
    </i>
    <i r="4">
      <x v="80"/>
      <x v="91"/>
    </i>
    <i r="4">
      <x v="81"/>
      <x v="64"/>
    </i>
    <i r="4">
      <x v="92"/>
      <x v="69"/>
    </i>
    <i r="4">
      <x v="93"/>
      <x v="59"/>
    </i>
    <i r="4">
      <x v="94"/>
      <x v="63"/>
    </i>
    <i r="4">
      <x v="95"/>
      <x v="115"/>
    </i>
    <i r="4">
      <x v="96"/>
      <x v="116"/>
    </i>
    <i r="4">
      <x v="97"/>
      <x v="114"/>
    </i>
    <i r="4">
      <x v="98"/>
      <x v="49"/>
    </i>
    <i r="4">
      <x v="99"/>
      <x v="66"/>
    </i>
    <i r="4">
      <x v="102"/>
      <x v="61"/>
    </i>
    <i r="4">
      <x v="103"/>
      <x v="60"/>
    </i>
    <i r="4">
      <x v="104"/>
      <x v="67"/>
    </i>
    <i r="4">
      <x v="105"/>
      <x v="65"/>
    </i>
    <i r="4">
      <x v="106"/>
      <x v="70"/>
    </i>
    <i r="4">
      <x v="107"/>
      <x v="68"/>
    </i>
    <i r="4">
      <x v="109"/>
      <x v="24"/>
    </i>
    <i r="4">
      <x v="115"/>
      <x v="23"/>
    </i>
    <i r="4">
      <x v="116"/>
      <x v="14"/>
    </i>
    <i r="2">
      <x v="9"/>
      <x v="7"/>
      <x/>
      <x v="48"/>
    </i>
    <i r="4">
      <x v="3"/>
      <x v="36"/>
    </i>
    <i r="4">
      <x v="6"/>
      <x v="37"/>
    </i>
    <i r="4">
      <x v="8"/>
      <x v="94"/>
    </i>
    <i r="4">
      <x v="11"/>
      <x v="8"/>
    </i>
    <i r="4">
      <x v="12"/>
      <x v="82"/>
    </i>
    <i r="4">
      <x v="13"/>
      <x v="80"/>
    </i>
    <i r="4">
      <x v="15"/>
      <x v="18"/>
    </i>
    <i r="4">
      <x v="17"/>
      <x v="47"/>
    </i>
    <i r="4">
      <x v="18"/>
      <x v="98"/>
    </i>
    <i r="4">
      <x v="20"/>
      <x/>
    </i>
    <i r="4">
      <x v="21"/>
      <x v="2"/>
    </i>
    <i r="4">
      <x v="22"/>
      <x v="1"/>
    </i>
    <i r="4">
      <x v="24"/>
      <x v="99"/>
    </i>
    <i r="4">
      <x v="25"/>
      <x v="75"/>
    </i>
    <i r="4">
      <x v="33"/>
      <x v="106"/>
    </i>
    <i r="4">
      <x v="34"/>
      <x v="107"/>
    </i>
    <i r="4">
      <x v="35"/>
      <x v="19"/>
    </i>
    <i r="4">
      <x v="36"/>
      <x v="13"/>
    </i>
    <i r="4">
      <x v="37"/>
      <x v="16"/>
    </i>
    <i r="4">
      <x v="38"/>
      <x v="41"/>
    </i>
    <i r="4">
      <x v="41"/>
      <x v="113"/>
    </i>
    <i r="4">
      <x v="42"/>
      <x v="110"/>
    </i>
    <i r="4">
      <x v="44"/>
      <x v="45"/>
    </i>
    <i r="4">
      <x v="48"/>
      <x v="112"/>
    </i>
    <i r="4">
      <x v="49"/>
      <x v="105"/>
    </i>
    <i r="4">
      <x v="51"/>
      <x v="40"/>
    </i>
    <i r="4">
      <x v="52"/>
      <x v="46"/>
    </i>
    <i r="4">
      <x v="53"/>
      <x v="34"/>
    </i>
    <i r="4">
      <x v="54"/>
      <x v="39"/>
    </i>
    <i r="4">
      <x v="60"/>
      <x v="104"/>
    </i>
    <i r="4">
      <x v="61"/>
      <x v="103"/>
    </i>
    <i r="4">
      <x v="63"/>
      <x v="108"/>
    </i>
    <i r="4">
      <x v="64"/>
      <x v="9"/>
    </i>
    <i r="4">
      <x v="65"/>
      <x v="10"/>
    </i>
    <i r="4">
      <x v="67"/>
      <x v="25"/>
    </i>
    <i r="4">
      <x v="69"/>
      <x v="7"/>
    </i>
    <i r="4">
      <x v="70"/>
      <x v="6"/>
    </i>
    <i r="4">
      <x v="71"/>
      <x v="5"/>
    </i>
    <i r="4">
      <x v="72"/>
      <x v="72"/>
    </i>
    <i r="4">
      <x v="73"/>
      <x v="73"/>
    </i>
    <i r="4">
      <x v="74"/>
      <x v="74"/>
    </i>
    <i r="4">
      <x v="77"/>
      <x v="71"/>
    </i>
    <i r="4">
      <x v="79"/>
      <x v="92"/>
    </i>
    <i r="4">
      <x v="80"/>
      <x v="91"/>
    </i>
    <i r="4">
      <x v="81"/>
      <x v="64"/>
    </i>
    <i r="4">
      <x v="84"/>
      <x v="31"/>
    </i>
    <i r="4">
      <x v="85"/>
      <x v="32"/>
    </i>
    <i r="4">
      <x v="87"/>
      <x v="28"/>
    </i>
    <i r="4">
      <x v="88"/>
      <x v="33"/>
    </i>
    <i r="4">
      <x v="89"/>
      <x v="102"/>
    </i>
    <i r="4">
      <x v="92"/>
      <x v="69"/>
    </i>
    <i r="4">
      <x v="94"/>
      <x v="63"/>
    </i>
    <i r="4">
      <x v="96"/>
      <x v="116"/>
    </i>
    <i r="4">
      <x v="97"/>
      <x v="114"/>
    </i>
    <i r="4">
      <x v="98"/>
      <x v="49"/>
    </i>
    <i r="4">
      <x v="101"/>
      <x v="57"/>
    </i>
    <i r="4">
      <x v="102"/>
      <x v="61"/>
    </i>
    <i r="4">
      <x v="103"/>
      <x v="60"/>
    </i>
    <i r="4">
      <x v="104"/>
      <x v="67"/>
    </i>
    <i r="4">
      <x v="105"/>
      <x v="65"/>
    </i>
    <i r="4">
      <x v="106"/>
      <x v="70"/>
    </i>
    <i r="4">
      <x v="107"/>
      <x v="68"/>
    </i>
    <i r="4">
      <x v="108"/>
      <x v="22"/>
    </i>
    <i r="4">
      <x v="109"/>
      <x v="24"/>
    </i>
    <i r="4">
      <x v="110"/>
      <x v="29"/>
    </i>
    <i r="4">
      <x v="111"/>
      <x v="11"/>
    </i>
    <i r="4">
      <x v="115"/>
      <x v="23"/>
    </i>
    <i r="4">
      <x v="116"/>
      <x v="14"/>
    </i>
    <i r="2">
      <x v="11"/>
      <x v="15"/>
      <x/>
      <x v="48"/>
    </i>
    <i r="2">
      <x v="15"/>
      <x v="14"/>
      <x v="85"/>
      <x v="32"/>
    </i>
    <i r="4">
      <x v="87"/>
      <x v="28"/>
    </i>
    <i r="1">
      <x v="1"/>
      <x v="1"/>
      <x v="5"/>
      <x/>
      <x v="48"/>
    </i>
    <i r="4">
      <x v="1"/>
      <x v="88"/>
    </i>
    <i r="4">
      <x v="3"/>
      <x v="36"/>
    </i>
    <i r="4">
      <x v="4"/>
      <x v="83"/>
    </i>
    <i r="4">
      <x v="7"/>
      <x v="93"/>
    </i>
    <i r="4">
      <x v="8"/>
      <x v="94"/>
    </i>
    <i r="4">
      <x v="9"/>
      <x v="96"/>
    </i>
    <i r="4">
      <x v="10"/>
      <x v="95"/>
    </i>
    <i r="4">
      <x v="15"/>
      <x v="18"/>
    </i>
    <i r="4">
      <x v="17"/>
      <x v="47"/>
    </i>
    <i r="4">
      <x v="18"/>
      <x v="98"/>
    </i>
    <i r="4">
      <x v="21"/>
      <x v="2"/>
    </i>
    <i r="4">
      <x v="22"/>
      <x v="1"/>
    </i>
    <i r="4">
      <x v="33"/>
      <x v="106"/>
    </i>
    <i r="4">
      <x v="34"/>
      <x v="107"/>
    </i>
    <i r="4">
      <x v="37"/>
      <x v="16"/>
    </i>
    <i r="4">
      <x v="41"/>
      <x v="113"/>
    </i>
    <i r="4">
      <x v="42"/>
      <x v="110"/>
    </i>
    <i r="4">
      <x v="43"/>
      <x v="27"/>
    </i>
    <i r="4">
      <x v="47"/>
      <x v="85"/>
    </i>
    <i r="4">
      <x v="48"/>
      <x v="112"/>
    </i>
    <i r="4">
      <x v="49"/>
      <x v="105"/>
    </i>
    <i r="4">
      <x v="51"/>
      <x v="40"/>
    </i>
    <i r="4">
      <x v="53"/>
      <x v="34"/>
    </i>
    <i r="4">
      <x v="54"/>
      <x v="39"/>
    </i>
    <i r="4">
      <x v="57"/>
      <x v="89"/>
    </i>
    <i r="4">
      <x v="60"/>
      <x v="104"/>
    </i>
    <i r="4">
      <x v="61"/>
      <x v="103"/>
    </i>
    <i r="4">
      <x v="63"/>
      <x v="108"/>
    </i>
    <i r="4">
      <x v="65"/>
      <x v="10"/>
    </i>
    <i r="4">
      <x v="67"/>
      <x v="25"/>
    </i>
    <i r="4">
      <x v="73"/>
      <x v="73"/>
    </i>
    <i r="4">
      <x v="79"/>
      <x v="92"/>
    </i>
    <i r="4">
      <x v="85"/>
      <x v="32"/>
    </i>
    <i r="4">
      <x v="86"/>
      <x v="21"/>
    </i>
    <i r="4">
      <x v="87"/>
      <x v="28"/>
    </i>
    <i r="4">
      <x v="89"/>
      <x v="102"/>
    </i>
    <i r="4">
      <x v="97"/>
      <x v="114"/>
    </i>
    <i r="4">
      <x v="108"/>
      <x v="22"/>
    </i>
    <i r="4">
      <x v="109"/>
      <x v="24"/>
    </i>
    <i r="4">
      <x v="116"/>
      <x v="14"/>
    </i>
    <i r="2">
      <x v="2"/>
      <x v="4"/>
      <x v="1"/>
      <x v="88"/>
    </i>
    <i r="4">
      <x v="18"/>
      <x v="98"/>
    </i>
    <i r="4">
      <x v="24"/>
      <x v="99"/>
    </i>
    <i r="4">
      <x v="53"/>
      <x v="34"/>
    </i>
    <i r="4">
      <x v="85"/>
      <x v="32"/>
    </i>
    <i r="4">
      <x v="86"/>
      <x v="21"/>
    </i>
    <i r="2">
      <x v="3"/>
      <x v="3"/>
      <x/>
      <x v="48"/>
    </i>
    <i r="4">
      <x v="1"/>
      <x v="88"/>
    </i>
    <i r="4">
      <x v="3"/>
      <x v="36"/>
    </i>
    <i r="4">
      <x v="4"/>
      <x v="83"/>
    </i>
    <i r="4">
      <x v="5"/>
      <x v="90"/>
    </i>
    <i r="4">
      <x v="7"/>
      <x v="93"/>
    </i>
    <i r="4">
      <x v="8"/>
      <x v="94"/>
    </i>
    <i r="4">
      <x v="9"/>
      <x v="96"/>
    </i>
    <i r="4">
      <x v="10"/>
      <x v="95"/>
    </i>
    <i r="4">
      <x v="15"/>
      <x v="18"/>
    </i>
    <i r="4">
      <x v="18"/>
      <x v="98"/>
    </i>
    <i r="4">
      <x v="20"/>
      <x/>
    </i>
    <i r="4">
      <x v="21"/>
      <x v="2"/>
    </i>
    <i r="4">
      <x v="22"/>
      <x v="1"/>
    </i>
    <i r="4">
      <x v="24"/>
      <x v="99"/>
    </i>
    <i r="4">
      <x v="26"/>
      <x v="87"/>
    </i>
    <i r="4">
      <x v="33"/>
      <x v="106"/>
    </i>
    <i r="4">
      <x v="34"/>
      <x v="107"/>
    </i>
    <i r="4">
      <x v="37"/>
      <x v="16"/>
    </i>
    <i r="4">
      <x v="42"/>
      <x v="110"/>
    </i>
    <i r="4">
      <x v="45"/>
      <x v="52"/>
    </i>
    <i r="4">
      <x v="48"/>
      <x v="112"/>
    </i>
    <i r="4">
      <x v="49"/>
      <x v="105"/>
    </i>
    <i r="4">
      <x v="52"/>
      <x v="46"/>
    </i>
    <i r="4">
      <x v="53"/>
      <x v="34"/>
    </i>
    <i r="4">
      <x v="54"/>
      <x v="39"/>
    </i>
    <i r="4">
      <x v="57"/>
      <x v="89"/>
    </i>
    <i r="4">
      <x v="60"/>
      <x v="104"/>
    </i>
    <i r="4">
      <x v="62"/>
      <x v="109"/>
    </i>
    <i r="4">
      <x v="64"/>
      <x v="9"/>
    </i>
    <i r="4">
      <x v="65"/>
      <x v="10"/>
    </i>
    <i r="4">
      <x v="67"/>
      <x v="25"/>
    </i>
    <i r="4">
      <x v="68"/>
      <x v="4"/>
    </i>
    <i r="4">
      <x v="70"/>
      <x v="6"/>
    </i>
    <i r="4">
      <x v="72"/>
      <x v="72"/>
    </i>
    <i r="4">
      <x v="73"/>
      <x v="73"/>
    </i>
    <i r="4">
      <x v="85"/>
      <x v="32"/>
    </i>
    <i r="4">
      <x v="86"/>
      <x v="21"/>
    </i>
    <i r="4">
      <x v="87"/>
      <x v="28"/>
    </i>
    <i r="4">
      <x v="88"/>
      <x v="33"/>
    </i>
    <i r="2">
      <x v="10"/>
      <x v="10"/>
      <x/>
      <x v="48"/>
    </i>
    <i r="4">
      <x v="1"/>
      <x v="88"/>
    </i>
    <i r="4">
      <x v="3"/>
      <x v="36"/>
    </i>
    <i r="4">
      <x v="4"/>
      <x v="83"/>
    </i>
    <i r="4">
      <x v="5"/>
      <x v="90"/>
    </i>
    <i r="4">
      <x v="7"/>
      <x v="93"/>
    </i>
    <i r="4">
      <x v="8"/>
      <x v="94"/>
    </i>
    <i r="4">
      <x v="9"/>
      <x v="96"/>
    </i>
    <i r="4">
      <x v="10"/>
      <x v="95"/>
    </i>
    <i r="4">
      <x v="11"/>
      <x v="8"/>
    </i>
    <i r="4">
      <x v="12"/>
      <x v="82"/>
    </i>
    <i r="4">
      <x v="15"/>
      <x v="18"/>
    </i>
    <i r="4">
      <x v="16"/>
      <x v="38"/>
    </i>
    <i r="4">
      <x v="17"/>
      <x v="47"/>
    </i>
    <i r="4">
      <x v="18"/>
      <x v="98"/>
    </i>
    <i r="4">
      <x v="19"/>
      <x v="79"/>
    </i>
    <i r="4">
      <x v="20"/>
      <x/>
    </i>
    <i r="4">
      <x v="21"/>
      <x v="2"/>
    </i>
    <i r="4">
      <x v="22"/>
      <x v="1"/>
    </i>
    <i r="4">
      <x v="23"/>
      <x v="15"/>
    </i>
    <i r="4">
      <x v="24"/>
      <x v="99"/>
    </i>
    <i r="4">
      <x v="25"/>
      <x v="75"/>
    </i>
    <i r="4">
      <x v="26"/>
      <x v="87"/>
    </i>
    <i r="4">
      <x v="27"/>
      <x v="17"/>
    </i>
    <i r="4">
      <x v="28"/>
      <x v="44"/>
    </i>
    <i r="4">
      <x v="30"/>
      <x v="78"/>
    </i>
    <i r="4">
      <x v="33"/>
      <x v="106"/>
    </i>
    <i r="4">
      <x v="34"/>
      <x v="107"/>
    </i>
    <i r="4">
      <x v="36"/>
      <x v="13"/>
    </i>
    <i r="4">
      <x v="37"/>
      <x v="16"/>
    </i>
    <i r="4">
      <x v="38"/>
      <x v="41"/>
    </i>
    <i r="4">
      <x v="39"/>
      <x v="97"/>
    </i>
    <i r="4">
      <x v="41"/>
      <x v="113"/>
    </i>
    <i r="4">
      <x v="42"/>
      <x v="110"/>
    </i>
    <i r="4">
      <x v="43"/>
      <x v="27"/>
    </i>
    <i r="4">
      <x v="44"/>
      <x v="45"/>
    </i>
    <i r="4">
      <x v="45"/>
      <x v="52"/>
    </i>
    <i r="4">
      <x v="46"/>
      <x v="86"/>
    </i>
    <i r="4">
      <x v="48"/>
      <x v="112"/>
    </i>
    <i r="4">
      <x v="49"/>
      <x v="105"/>
    </i>
    <i r="4">
      <x v="50"/>
      <x v="35"/>
    </i>
    <i r="4">
      <x v="51"/>
      <x v="40"/>
    </i>
    <i r="4">
      <x v="52"/>
      <x v="46"/>
    </i>
    <i r="4">
      <x v="53"/>
      <x v="34"/>
    </i>
    <i r="4">
      <x v="54"/>
      <x v="39"/>
    </i>
    <i r="4">
      <x v="55"/>
      <x v="51"/>
    </i>
    <i r="4">
      <x v="57"/>
      <x v="89"/>
    </i>
    <i r="4">
      <x v="58"/>
      <x v="77"/>
    </i>
    <i r="4">
      <x v="59"/>
      <x v="76"/>
    </i>
    <i r="4">
      <x v="60"/>
      <x v="104"/>
    </i>
    <i r="4">
      <x v="61"/>
      <x v="103"/>
    </i>
    <i r="4">
      <x v="62"/>
      <x v="109"/>
    </i>
    <i r="4">
      <x v="63"/>
      <x v="108"/>
    </i>
    <i r="4">
      <x v="65"/>
      <x v="10"/>
    </i>
    <i r="4">
      <x v="67"/>
      <x v="25"/>
    </i>
    <i r="4">
      <x v="68"/>
      <x v="4"/>
    </i>
    <i r="4">
      <x v="69"/>
      <x v="7"/>
    </i>
    <i r="4">
      <x v="70"/>
      <x v="6"/>
    </i>
    <i r="4">
      <x v="71"/>
      <x v="5"/>
    </i>
    <i r="4">
      <x v="72"/>
      <x v="72"/>
    </i>
    <i r="4">
      <x v="73"/>
      <x v="73"/>
    </i>
    <i r="4">
      <x v="74"/>
      <x v="74"/>
    </i>
    <i r="4">
      <x v="75"/>
      <x v="50"/>
    </i>
    <i r="4">
      <x v="77"/>
      <x v="71"/>
    </i>
    <i r="4">
      <x v="78"/>
      <x v="12"/>
    </i>
    <i r="4">
      <x v="79"/>
      <x v="92"/>
    </i>
    <i r="4">
      <x v="80"/>
      <x v="91"/>
    </i>
    <i r="4">
      <x v="81"/>
      <x v="64"/>
    </i>
    <i r="4">
      <x v="82"/>
      <x v="30"/>
    </i>
    <i r="4">
      <x v="85"/>
      <x v="32"/>
    </i>
    <i r="4">
      <x v="86"/>
      <x v="21"/>
    </i>
    <i r="4">
      <x v="87"/>
      <x v="28"/>
    </i>
    <i r="4">
      <x v="88"/>
      <x v="33"/>
    </i>
    <i r="4">
      <x v="89"/>
      <x v="102"/>
    </i>
    <i r="4">
      <x v="92"/>
      <x v="69"/>
    </i>
    <i r="4">
      <x v="93"/>
      <x v="59"/>
    </i>
    <i r="4">
      <x v="94"/>
      <x v="63"/>
    </i>
    <i r="4">
      <x v="97"/>
      <x v="114"/>
    </i>
    <i r="4">
      <x v="98"/>
      <x v="49"/>
    </i>
    <i r="4">
      <x v="100"/>
      <x v="101"/>
    </i>
    <i r="4">
      <x v="101"/>
      <x v="57"/>
    </i>
    <i r="4">
      <x v="103"/>
      <x v="60"/>
    </i>
    <i r="4">
      <x v="104"/>
      <x v="67"/>
    </i>
    <i r="4">
      <x v="105"/>
      <x v="65"/>
    </i>
    <i r="4">
      <x v="107"/>
      <x v="68"/>
    </i>
    <i r="4">
      <x v="108"/>
      <x v="22"/>
    </i>
    <i r="4">
      <x v="109"/>
      <x v="24"/>
    </i>
    <i r="4">
      <x v="110"/>
      <x v="29"/>
    </i>
    <i r="4">
      <x v="115"/>
      <x v="23"/>
    </i>
    <i r="4">
      <x v="116"/>
      <x v="14"/>
    </i>
    <i r="2">
      <x v="12"/>
      <x v="15"/>
      <x v="85"/>
      <x v="32"/>
    </i>
    <i r="4">
      <x v="86"/>
      <x v="21"/>
    </i>
    <i r="2">
      <x v="14"/>
      <x v="11"/>
      <x/>
      <x v="48"/>
    </i>
    <i r="1">
      <x v="2"/>
      <x/>
      <x/>
      <x/>
      <x v="48"/>
    </i>
    <i r="4">
      <x v="1"/>
      <x v="88"/>
    </i>
    <i r="4">
      <x v="3"/>
      <x v="36"/>
    </i>
    <i r="4">
      <x v="5"/>
      <x v="90"/>
    </i>
    <i r="4">
      <x v="6"/>
      <x v="37"/>
    </i>
    <i r="4">
      <x v="7"/>
      <x v="93"/>
    </i>
    <i r="4">
      <x v="8"/>
      <x v="94"/>
    </i>
    <i r="4">
      <x v="9"/>
      <x v="96"/>
    </i>
    <i r="4">
      <x v="10"/>
      <x v="95"/>
    </i>
    <i r="4">
      <x v="15"/>
      <x v="18"/>
    </i>
    <i r="4">
      <x v="16"/>
      <x v="38"/>
    </i>
    <i r="4">
      <x v="17"/>
      <x v="47"/>
    </i>
    <i r="4">
      <x v="18"/>
      <x v="98"/>
    </i>
    <i r="4">
      <x v="21"/>
      <x v="2"/>
    </i>
    <i r="4">
      <x v="23"/>
      <x v="15"/>
    </i>
    <i r="4">
      <x v="24"/>
      <x v="99"/>
    </i>
    <i r="4">
      <x v="25"/>
      <x v="75"/>
    </i>
    <i r="4">
      <x v="26"/>
      <x v="87"/>
    </i>
    <i r="4">
      <x v="29"/>
      <x v="84"/>
    </i>
    <i r="4">
      <x v="30"/>
      <x v="78"/>
    </i>
    <i r="4">
      <x v="32"/>
      <x v="62"/>
    </i>
    <i r="4">
      <x v="33"/>
      <x v="106"/>
    </i>
    <i r="4">
      <x v="34"/>
      <x v="107"/>
    </i>
    <i r="4">
      <x v="37"/>
      <x v="16"/>
    </i>
    <i r="4">
      <x v="39"/>
      <x v="97"/>
    </i>
    <i r="4">
      <x v="40"/>
      <x v="53"/>
    </i>
    <i r="4">
      <x v="41"/>
      <x v="113"/>
    </i>
    <i r="4">
      <x v="42"/>
      <x v="110"/>
    </i>
    <i r="4">
      <x v="45"/>
      <x v="52"/>
    </i>
    <i r="4">
      <x v="46"/>
      <x v="86"/>
    </i>
    <i r="4">
      <x v="47"/>
      <x v="85"/>
    </i>
    <i r="4">
      <x v="49"/>
      <x v="105"/>
    </i>
    <i r="4">
      <x v="54"/>
      <x v="39"/>
    </i>
    <i r="4">
      <x v="55"/>
      <x v="51"/>
    </i>
    <i r="4">
      <x v="57"/>
      <x v="89"/>
    </i>
    <i r="4">
      <x v="58"/>
      <x v="77"/>
    </i>
    <i r="4">
      <x v="61"/>
      <x v="103"/>
    </i>
    <i r="4">
      <x v="62"/>
      <x v="109"/>
    </i>
    <i r="4">
      <x v="63"/>
      <x v="108"/>
    </i>
    <i r="4">
      <x v="64"/>
      <x v="9"/>
    </i>
    <i r="4">
      <x v="65"/>
      <x v="10"/>
    </i>
    <i r="4">
      <x v="66"/>
      <x v="3"/>
    </i>
    <i r="4">
      <x v="68"/>
      <x v="4"/>
    </i>
    <i r="4">
      <x v="69"/>
      <x v="7"/>
    </i>
    <i r="4">
      <x v="70"/>
      <x v="6"/>
    </i>
    <i r="4">
      <x v="71"/>
      <x v="5"/>
    </i>
    <i r="4">
      <x v="72"/>
      <x v="72"/>
    </i>
    <i r="4">
      <x v="73"/>
      <x v="73"/>
    </i>
    <i r="4">
      <x v="74"/>
      <x v="74"/>
    </i>
    <i r="4">
      <x v="76"/>
      <x v="111"/>
    </i>
    <i r="4">
      <x v="77"/>
      <x v="71"/>
    </i>
    <i r="4">
      <x v="79"/>
      <x v="92"/>
    </i>
    <i r="4">
      <x v="80"/>
      <x v="91"/>
    </i>
    <i r="4">
      <x v="81"/>
      <x v="64"/>
    </i>
    <i r="4">
      <x v="83"/>
      <x v="20"/>
    </i>
    <i r="4">
      <x v="85"/>
      <x v="32"/>
    </i>
    <i r="4">
      <x v="86"/>
      <x v="21"/>
    </i>
    <i r="4">
      <x v="87"/>
      <x v="28"/>
    </i>
    <i r="4">
      <x v="94"/>
      <x v="63"/>
    </i>
    <i r="4">
      <x v="95"/>
      <x v="115"/>
    </i>
    <i r="4">
      <x v="96"/>
      <x v="116"/>
    </i>
    <i r="4">
      <x v="98"/>
      <x v="49"/>
    </i>
    <i r="4">
      <x v="101"/>
      <x v="57"/>
    </i>
    <i r="4">
      <x v="102"/>
      <x v="61"/>
    </i>
    <i r="4">
      <x v="103"/>
      <x v="60"/>
    </i>
    <i r="4">
      <x v="104"/>
      <x v="67"/>
    </i>
    <i r="4">
      <x v="105"/>
      <x v="65"/>
    </i>
    <i r="4">
      <x v="106"/>
      <x v="70"/>
    </i>
    <i r="4">
      <x v="107"/>
      <x v="68"/>
    </i>
    <i r="4">
      <x v="108"/>
      <x v="22"/>
    </i>
    <i r="4">
      <x v="110"/>
      <x v="29"/>
    </i>
    <i r="4">
      <x v="113"/>
      <x v="56"/>
    </i>
    <i r="4">
      <x v="116"/>
      <x v="14"/>
    </i>
    <i r="2">
      <x v="6"/>
      <x v="6"/>
      <x v="8"/>
      <x v="94"/>
    </i>
    <i r="2">
      <x v="7"/>
      <x v="9"/>
      <x/>
      <x v="48"/>
    </i>
    <i r="4">
      <x v="2"/>
      <x v="100"/>
    </i>
    <i r="4">
      <x v="3"/>
      <x v="36"/>
    </i>
    <i r="4">
      <x v="5"/>
      <x v="90"/>
    </i>
    <i r="4">
      <x v="8"/>
      <x v="94"/>
    </i>
    <i r="4">
      <x v="9"/>
      <x v="96"/>
    </i>
    <i r="4">
      <x v="12"/>
      <x v="82"/>
    </i>
    <i r="4">
      <x v="15"/>
      <x v="18"/>
    </i>
    <i r="4">
      <x v="16"/>
      <x v="38"/>
    </i>
    <i r="4">
      <x v="17"/>
      <x v="47"/>
    </i>
    <i r="4">
      <x v="18"/>
      <x v="98"/>
    </i>
    <i r="4">
      <x v="21"/>
      <x v="2"/>
    </i>
    <i r="4">
      <x v="22"/>
      <x v="1"/>
    </i>
    <i r="4">
      <x v="24"/>
      <x v="99"/>
    </i>
    <i r="4">
      <x v="25"/>
      <x v="75"/>
    </i>
    <i r="4">
      <x v="29"/>
      <x v="84"/>
    </i>
    <i r="4">
      <x v="30"/>
      <x v="78"/>
    </i>
    <i r="4">
      <x v="31"/>
      <x v="58"/>
    </i>
    <i r="4">
      <x v="32"/>
      <x v="62"/>
    </i>
    <i r="4">
      <x v="33"/>
      <x v="106"/>
    </i>
    <i r="4">
      <x v="34"/>
      <x v="107"/>
    </i>
    <i r="4">
      <x v="37"/>
      <x v="16"/>
    </i>
    <i r="4">
      <x v="39"/>
      <x v="97"/>
    </i>
    <i r="4">
      <x v="40"/>
      <x v="53"/>
    </i>
    <i r="4">
      <x v="41"/>
      <x v="113"/>
    </i>
    <i r="4">
      <x v="42"/>
      <x v="110"/>
    </i>
    <i r="4">
      <x v="45"/>
      <x v="52"/>
    </i>
    <i r="4">
      <x v="46"/>
      <x v="86"/>
    </i>
    <i r="4">
      <x v="47"/>
      <x v="85"/>
    </i>
    <i r="4">
      <x v="48"/>
      <x v="112"/>
    </i>
    <i r="4">
      <x v="49"/>
      <x v="105"/>
    </i>
    <i r="4">
      <x v="50"/>
      <x v="35"/>
    </i>
    <i r="4">
      <x v="54"/>
      <x v="39"/>
    </i>
    <i r="4">
      <x v="55"/>
      <x v="51"/>
    </i>
    <i r="4">
      <x v="57"/>
      <x v="89"/>
    </i>
    <i r="4">
      <x v="58"/>
      <x v="77"/>
    </i>
    <i r="4">
      <x v="59"/>
      <x v="76"/>
    </i>
    <i r="4">
      <x v="60"/>
      <x v="104"/>
    </i>
    <i r="4">
      <x v="61"/>
      <x v="103"/>
    </i>
    <i r="4">
      <x v="62"/>
      <x v="109"/>
    </i>
    <i r="4">
      <x v="63"/>
      <x v="108"/>
    </i>
    <i r="4">
      <x v="64"/>
      <x v="9"/>
    </i>
    <i r="4">
      <x v="65"/>
      <x v="10"/>
    </i>
    <i r="4">
      <x v="66"/>
      <x v="3"/>
    </i>
    <i r="4">
      <x v="67"/>
      <x v="25"/>
    </i>
    <i r="4">
      <x v="69"/>
      <x v="7"/>
    </i>
    <i r="4">
      <x v="70"/>
      <x v="6"/>
    </i>
    <i r="4">
      <x v="71"/>
      <x v="5"/>
    </i>
    <i r="4">
      <x v="72"/>
      <x v="72"/>
    </i>
    <i r="4">
      <x v="73"/>
      <x v="73"/>
    </i>
    <i r="4">
      <x v="74"/>
      <x v="74"/>
    </i>
    <i r="4">
      <x v="75"/>
      <x v="50"/>
    </i>
    <i r="4">
      <x v="76"/>
      <x v="111"/>
    </i>
    <i r="4">
      <x v="77"/>
      <x v="71"/>
    </i>
    <i r="4">
      <x v="79"/>
      <x v="92"/>
    </i>
    <i r="4">
      <x v="80"/>
      <x v="91"/>
    </i>
    <i r="4">
      <x v="81"/>
      <x v="64"/>
    </i>
    <i r="4">
      <x v="83"/>
      <x v="20"/>
    </i>
    <i r="4">
      <x v="85"/>
      <x v="32"/>
    </i>
    <i r="4">
      <x v="86"/>
      <x v="21"/>
    </i>
    <i r="4">
      <x v="87"/>
      <x v="28"/>
    </i>
    <i r="4">
      <x v="88"/>
      <x v="33"/>
    </i>
    <i r="4">
      <x v="89"/>
      <x v="102"/>
    </i>
    <i r="4">
      <x v="90"/>
      <x v="42"/>
    </i>
    <i r="4">
      <x v="93"/>
      <x v="59"/>
    </i>
    <i r="4">
      <x v="94"/>
      <x v="63"/>
    </i>
    <i r="4">
      <x v="95"/>
      <x v="115"/>
    </i>
    <i r="4">
      <x v="96"/>
      <x v="116"/>
    </i>
    <i r="4">
      <x v="98"/>
      <x v="49"/>
    </i>
    <i r="4">
      <x v="100"/>
      <x v="101"/>
    </i>
    <i r="4">
      <x v="101"/>
      <x v="57"/>
    </i>
    <i r="4">
      <x v="102"/>
      <x v="61"/>
    </i>
    <i r="4">
      <x v="103"/>
      <x v="60"/>
    </i>
    <i r="4">
      <x v="104"/>
      <x v="67"/>
    </i>
    <i r="4">
      <x v="105"/>
      <x v="65"/>
    </i>
    <i r="4">
      <x v="106"/>
      <x v="70"/>
    </i>
    <i r="4">
      <x v="107"/>
      <x v="68"/>
    </i>
    <i r="4">
      <x v="108"/>
      <x v="22"/>
    </i>
    <i r="4">
      <x v="109"/>
      <x v="24"/>
    </i>
    <i r="4">
      <x v="110"/>
      <x v="29"/>
    </i>
    <i r="4">
      <x v="113"/>
      <x v="56"/>
    </i>
    <i r="4">
      <x v="114"/>
      <x v="54"/>
    </i>
    <i r="4">
      <x v="116"/>
      <x v="14"/>
    </i>
    <i r="2">
      <x v="13"/>
      <x v="12"/>
      <x v="85"/>
      <x v="32"/>
    </i>
    <i r="4">
      <x v="86"/>
      <x v="21"/>
    </i>
    <i r="1">
      <x v="3"/>
      <x v="5"/>
      <x v="1"/>
      <x/>
      <x v="48"/>
    </i>
    <i r="4">
      <x v="1"/>
      <x v="88"/>
    </i>
    <i r="4">
      <x v="3"/>
      <x v="36"/>
    </i>
    <i r="4">
      <x v="5"/>
      <x v="90"/>
    </i>
    <i r="4">
      <x v="7"/>
      <x v="93"/>
    </i>
    <i r="4">
      <x v="9"/>
      <x v="96"/>
    </i>
    <i r="4">
      <x v="10"/>
      <x v="95"/>
    </i>
    <i r="4">
      <x v="12"/>
      <x v="82"/>
    </i>
    <i r="4">
      <x v="15"/>
      <x v="18"/>
    </i>
    <i r="4">
      <x v="16"/>
      <x v="38"/>
    </i>
    <i r="4">
      <x v="17"/>
      <x v="47"/>
    </i>
    <i r="4">
      <x v="18"/>
      <x v="98"/>
    </i>
    <i r="4">
      <x v="20"/>
      <x/>
    </i>
    <i r="4">
      <x v="21"/>
      <x v="2"/>
    </i>
    <i r="4">
      <x v="22"/>
      <x v="1"/>
    </i>
    <i r="4">
      <x v="23"/>
      <x v="15"/>
    </i>
    <i r="4">
      <x v="24"/>
      <x v="99"/>
    </i>
    <i r="4">
      <x v="25"/>
      <x v="75"/>
    </i>
    <i r="4">
      <x v="26"/>
      <x v="87"/>
    </i>
    <i r="4">
      <x v="31"/>
      <x v="58"/>
    </i>
    <i r="4">
      <x v="32"/>
      <x v="62"/>
    </i>
    <i r="4">
      <x v="33"/>
      <x v="106"/>
    </i>
    <i r="4">
      <x v="34"/>
      <x v="107"/>
    </i>
    <i r="4">
      <x v="37"/>
      <x v="16"/>
    </i>
    <i r="4">
      <x v="39"/>
      <x v="97"/>
    </i>
    <i r="4">
      <x v="41"/>
      <x v="113"/>
    </i>
    <i r="4">
      <x v="43"/>
      <x v="27"/>
    </i>
    <i r="4">
      <x v="45"/>
      <x v="52"/>
    </i>
    <i r="4">
      <x v="46"/>
      <x v="86"/>
    </i>
    <i r="4">
      <x v="47"/>
      <x v="85"/>
    </i>
    <i r="4">
      <x v="49"/>
      <x v="105"/>
    </i>
    <i r="4">
      <x v="50"/>
      <x v="35"/>
    </i>
    <i r="4">
      <x v="51"/>
      <x v="40"/>
    </i>
    <i r="4">
      <x v="52"/>
      <x v="46"/>
    </i>
    <i r="4">
      <x v="53"/>
      <x v="34"/>
    </i>
    <i r="4">
      <x v="55"/>
      <x v="51"/>
    </i>
    <i r="4">
      <x v="57"/>
      <x v="89"/>
    </i>
    <i r="4">
      <x v="60"/>
      <x v="104"/>
    </i>
    <i r="4">
      <x v="61"/>
      <x v="103"/>
    </i>
    <i r="4">
      <x v="62"/>
      <x v="109"/>
    </i>
    <i r="4">
      <x v="63"/>
      <x v="108"/>
    </i>
    <i r="4">
      <x v="64"/>
      <x v="9"/>
    </i>
    <i r="4">
      <x v="65"/>
      <x v="10"/>
    </i>
    <i r="4">
      <x v="68"/>
      <x v="4"/>
    </i>
    <i r="4">
      <x v="69"/>
      <x v="7"/>
    </i>
    <i r="4">
      <x v="70"/>
      <x v="6"/>
    </i>
    <i r="4">
      <x v="71"/>
      <x v="5"/>
    </i>
    <i r="4">
      <x v="72"/>
      <x v="72"/>
    </i>
    <i r="4">
      <x v="73"/>
      <x v="73"/>
    </i>
    <i r="4">
      <x v="74"/>
      <x v="74"/>
    </i>
    <i r="4">
      <x v="75"/>
      <x v="50"/>
    </i>
    <i r="4">
      <x v="76"/>
      <x v="111"/>
    </i>
    <i r="4">
      <x v="77"/>
      <x v="71"/>
    </i>
    <i r="4">
      <x v="79"/>
      <x v="92"/>
    </i>
    <i r="4">
      <x v="80"/>
      <x v="91"/>
    </i>
    <i r="4">
      <x v="81"/>
      <x v="64"/>
    </i>
    <i r="4">
      <x v="85"/>
      <x v="32"/>
    </i>
    <i r="4">
      <x v="86"/>
      <x v="21"/>
    </i>
    <i r="4">
      <x v="87"/>
      <x v="28"/>
    </i>
    <i r="4">
      <x v="93"/>
      <x v="59"/>
    </i>
    <i r="4">
      <x v="94"/>
      <x v="63"/>
    </i>
    <i r="4">
      <x v="95"/>
      <x v="115"/>
    </i>
    <i r="4">
      <x v="96"/>
      <x v="116"/>
    </i>
    <i r="4">
      <x v="97"/>
      <x v="114"/>
    </i>
    <i r="4">
      <x v="98"/>
      <x v="49"/>
    </i>
    <i r="4">
      <x v="99"/>
      <x v="66"/>
    </i>
    <i r="4">
      <x v="101"/>
      <x v="57"/>
    </i>
    <i r="4">
      <x v="102"/>
      <x v="61"/>
    </i>
    <i r="4">
      <x v="103"/>
      <x v="60"/>
    </i>
    <i r="4">
      <x v="104"/>
      <x v="67"/>
    </i>
    <i r="4">
      <x v="105"/>
      <x v="65"/>
    </i>
    <i r="4">
      <x v="106"/>
      <x v="70"/>
    </i>
    <i r="4">
      <x v="107"/>
      <x v="68"/>
    </i>
    <i r="4">
      <x v="108"/>
      <x v="22"/>
    </i>
    <i r="4">
      <x v="109"/>
      <x v="24"/>
    </i>
    <i r="4">
      <x v="110"/>
      <x v="29"/>
    </i>
    <i r="4">
      <x v="111"/>
      <x v="11"/>
    </i>
    <i r="4">
      <x v="113"/>
      <x v="56"/>
    </i>
    <i r="4">
      <x v="114"/>
      <x v="54"/>
    </i>
    <i r="4">
      <x v="116"/>
      <x v="14"/>
    </i>
    <i r="2">
      <x v="8"/>
      <x v="8"/>
      <x/>
      <x v="48"/>
    </i>
    <i r="4">
      <x v="1"/>
      <x v="88"/>
    </i>
    <i r="4">
      <x v="2"/>
      <x v="100"/>
    </i>
    <i r="4">
      <x v="3"/>
      <x v="36"/>
    </i>
    <i r="4">
      <x v="4"/>
      <x v="83"/>
    </i>
    <i r="4">
      <x v="5"/>
      <x v="90"/>
    </i>
    <i r="4">
      <x v="7"/>
      <x v="93"/>
    </i>
    <i r="4">
      <x v="8"/>
      <x v="94"/>
    </i>
    <i r="4">
      <x v="12"/>
      <x v="82"/>
    </i>
    <i r="4">
      <x v="13"/>
      <x v="80"/>
    </i>
    <i r="4">
      <x v="14"/>
      <x v="81"/>
    </i>
    <i r="4">
      <x v="15"/>
      <x v="18"/>
    </i>
    <i r="4">
      <x v="16"/>
      <x v="38"/>
    </i>
    <i r="4">
      <x v="17"/>
      <x v="47"/>
    </i>
    <i r="4">
      <x v="18"/>
      <x v="98"/>
    </i>
    <i r="4">
      <x v="20"/>
      <x/>
    </i>
    <i r="4">
      <x v="21"/>
      <x v="2"/>
    </i>
    <i r="4">
      <x v="22"/>
      <x v="1"/>
    </i>
    <i r="4">
      <x v="23"/>
      <x v="15"/>
    </i>
    <i r="4">
      <x v="24"/>
      <x v="99"/>
    </i>
    <i r="4">
      <x v="25"/>
      <x v="75"/>
    </i>
    <i r="4">
      <x v="29"/>
      <x v="84"/>
    </i>
    <i r="4">
      <x v="30"/>
      <x v="78"/>
    </i>
    <i r="4">
      <x v="31"/>
      <x v="58"/>
    </i>
    <i r="4">
      <x v="32"/>
      <x v="62"/>
    </i>
    <i r="4">
      <x v="33"/>
      <x v="106"/>
    </i>
    <i r="4">
      <x v="34"/>
      <x v="107"/>
    </i>
    <i r="4">
      <x v="37"/>
      <x v="16"/>
    </i>
    <i r="4">
      <x v="39"/>
      <x v="97"/>
    </i>
    <i r="4">
      <x v="40"/>
      <x v="53"/>
    </i>
    <i r="4">
      <x v="41"/>
      <x v="113"/>
    </i>
    <i r="4">
      <x v="42"/>
      <x v="110"/>
    </i>
    <i r="4">
      <x v="43"/>
      <x v="27"/>
    </i>
    <i r="4">
      <x v="44"/>
      <x v="45"/>
    </i>
    <i r="4">
      <x v="45"/>
      <x v="52"/>
    </i>
    <i r="4">
      <x v="46"/>
      <x v="86"/>
    </i>
    <i r="4">
      <x v="47"/>
      <x v="85"/>
    </i>
    <i r="4">
      <x v="48"/>
      <x v="112"/>
    </i>
    <i r="4">
      <x v="49"/>
      <x v="105"/>
    </i>
    <i r="4">
      <x v="50"/>
      <x v="35"/>
    </i>
    <i r="4">
      <x v="53"/>
      <x v="34"/>
    </i>
    <i r="4">
      <x v="54"/>
      <x v="39"/>
    </i>
    <i r="4">
      <x v="55"/>
      <x v="51"/>
    </i>
    <i r="4">
      <x v="56"/>
      <x v="43"/>
    </i>
    <i r="4">
      <x v="57"/>
      <x v="89"/>
    </i>
    <i r="4">
      <x v="59"/>
      <x v="76"/>
    </i>
    <i r="4">
      <x v="60"/>
      <x v="104"/>
    </i>
    <i r="4">
      <x v="61"/>
      <x v="103"/>
    </i>
    <i r="4">
      <x v="62"/>
      <x v="109"/>
    </i>
    <i r="4">
      <x v="63"/>
      <x v="108"/>
    </i>
    <i r="4">
      <x v="64"/>
      <x v="9"/>
    </i>
    <i r="4">
      <x v="65"/>
      <x v="10"/>
    </i>
    <i r="4">
      <x v="67"/>
      <x v="25"/>
    </i>
    <i r="4">
      <x v="68"/>
      <x v="4"/>
    </i>
    <i r="4">
      <x v="69"/>
      <x v="7"/>
    </i>
    <i r="4">
      <x v="70"/>
      <x v="6"/>
    </i>
    <i r="4">
      <x v="71"/>
      <x v="5"/>
    </i>
    <i r="4">
      <x v="72"/>
      <x v="72"/>
    </i>
    <i r="4">
      <x v="73"/>
      <x v="73"/>
    </i>
    <i r="4">
      <x v="74"/>
      <x v="74"/>
    </i>
    <i r="4">
      <x v="75"/>
      <x v="50"/>
    </i>
    <i r="4">
      <x v="76"/>
      <x v="111"/>
    </i>
    <i r="4">
      <x v="77"/>
      <x v="71"/>
    </i>
    <i r="4">
      <x v="79"/>
      <x v="92"/>
    </i>
    <i r="4">
      <x v="80"/>
      <x v="91"/>
    </i>
    <i r="4">
      <x v="81"/>
      <x v="64"/>
    </i>
    <i r="4">
      <x v="85"/>
      <x v="32"/>
    </i>
    <i r="4">
      <x v="86"/>
      <x v="21"/>
    </i>
    <i r="4">
      <x v="87"/>
      <x v="28"/>
    </i>
    <i r="4">
      <x v="88"/>
      <x v="33"/>
    </i>
    <i r="4">
      <x v="90"/>
      <x v="42"/>
    </i>
    <i r="4">
      <x v="91"/>
      <x v="26"/>
    </i>
    <i r="4">
      <x v="92"/>
      <x v="69"/>
    </i>
    <i r="4">
      <x v="94"/>
      <x v="63"/>
    </i>
    <i r="4">
      <x v="95"/>
      <x v="115"/>
    </i>
    <i r="4">
      <x v="96"/>
      <x v="116"/>
    </i>
    <i r="4">
      <x v="97"/>
      <x v="114"/>
    </i>
    <i r="4">
      <x v="98"/>
      <x v="49"/>
    </i>
    <i r="4">
      <x v="100"/>
      <x v="101"/>
    </i>
    <i r="4">
      <x v="101"/>
      <x v="57"/>
    </i>
    <i r="4">
      <x v="102"/>
      <x v="61"/>
    </i>
    <i r="4">
      <x v="103"/>
      <x v="60"/>
    </i>
    <i r="4">
      <x v="104"/>
      <x v="67"/>
    </i>
    <i r="4">
      <x v="105"/>
      <x v="65"/>
    </i>
    <i r="4">
      <x v="106"/>
      <x v="70"/>
    </i>
    <i r="4">
      <x v="107"/>
      <x v="68"/>
    </i>
    <i r="4">
      <x v="108"/>
      <x v="22"/>
    </i>
    <i r="4">
      <x v="109"/>
      <x v="24"/>
    </i>
    <i r="4">
      <x v="110"/>
      <x v="29"/>
    </i>
    <i r="4">
      <x v="111"/>
      <x v="11"/>
    </i>
    <i r="4">
      <x v="112"/>
      <x v="55"/>
    </i>
    <i r="4">
      <x v="113"/>
      <x v="56"/>
    </i>
    <i r="4">
      <x v="114"/>
      <x v="54"/>
    </i>
    <i r="4">
      <x v="115"/>
      <x v="23"/>
    </i>
    <i r="2">
      <x v="16"/>
      <x v="13"/>
      <x v="85"/>
      <x v="32"/>
    </i>
    <i r="4">
      <x v="86"/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9" baseField="18" baseItem="48"/>
    <dataField name="Сумма по полю Согласовано" fld="20" baseField="18" baseItem="48"/>
    <dataField name="Сумма по полю Урезание" fld="22" baseField="18" baseItem="48" numFmtId="164"/>
  </dataFields>
  <formats count="782">
    <format dxfId="781">
      <pivotArea outline="0" collapsedLevelsAreSubtotals="1" fieldPosition="0"/>
    </format>
    <format dxfId="7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79">
      <pivotArea type="all" dataOnly="0" outline="0" fieldPosition="0"/>
    </format>
    <format dxfId="778">
      <pivotArea outline="0" collapsedLevelsAreSubtotals="1" fieldPosition="0"/>
    </format>
    <format dxfId="777">
      <pivotArea field="5" type="button" dataOnly="0" labelOnly="1" outline="0" axis="axisRow" fieldPosition="0"/>
    </format>
    <format dxfId="776">
      <pivotArea field="8" type="button" dataOnly="0" labelOnly="1" outline="0" axis="axisRow" fieldPosition="1"/>
    </format>
    <format dxfId="775">
      <pivotArea field="4" type="button" dataOnly="0" labelOnly="1" outline="0" axis="axisRow" fieldPosition="2"/>
    </format>
    <format dxfId="774">
      <pivotArea field="6" type="button" dataOnly="0" labelOnly="1" outline="0" axis="axisRow" fieldPosition="3"/>
    </format>
    <format dxfId="773">
      <pivotArea field="17" type="button" dataOnly="0" labelOnly="1" outline="0" axis="axisRow" fieldPosition="4"/>
    </format>
    <format dxfId="772">
      <pivotArea field="18" type="button" dataOnly="0" labelOnly="1" outline="0" axis="axisRow" fieldPosition="5"/>
    </format>
    <format dxfId="771">
      <pivotArea dataOnly="0" labelOnly="1" outline="0" fieldPosition="0">
        <references count="1">
          <reference field="5" count="0"/>
        </references>
      </pivotArea>
    </format>
    <format dxfId="770">
      <pivotArea dataOnly="0" labelOnly="1" grandRow="1" outline="0" fieldPosition="0"/>
    </format>
    <format dxfId="769">
      <pivotArea dataOnly="0" labelOnly="1" outline="0" fieldPosition="0">
        <references count="2">
          <reference field="5" count="0" selected="0"/>
          <reference field="8" count="0"/>
        </references>
      </pivotArea>
    </format>
    <format dxfId="768">
      <pivotArea dataOnly="0" labelOnly="1" outline="0" fieldPosition="0">
        <references count="3">
          <reference field="4" count="4">
            <x v="4"/>
            <x v="9"/>
            <x v="11"/>
            <x v="15"/>
          </reference>
          <reference field="5" count="0" selected="0"/>
          <reference field="8" count="1" selected="0">
            <x v="0"/>
          </reference>
        </references>
      </pivotArea>
    </format>
    <format dxfId="767">
      <pivotArea dataOnly="0" labelOnly="1" outline="0" fieldPosition="0">
        <references count="3">
          <reference field="4" count="6">
            <x v="1"/>
            <x v="2"/>
            <x v="3"/>
            <x v="10"/>
            <x v="12"/>
            <x v="14"/>
          </reference>
          <reference field="5" count="0" selected="0"/>
          <reference field="8" count="1" selected="0">
            <x v="1"/>
          </reference>
        </references>
      </pivotArea>
    </format>
    <format dxfId="766">
      <pivotArea dataOnly="0" labelOnly="1" outline="0" fieldPosition="0">
        <references count="3">
          <reference field="4" count="4">
            <x v="0"/>
            <x v="6"/>
            <x v="7"/>
            <x v="13"/>
          </reference>
          <reference field="5" count="0" selected="0"/>
          <reference field="8" count="1" selected="0">
            <x v="2"/>
          </reference>
        </references>
      </pivotArea>
    </format>
    <format dxfId="765">
      <pivotArea dataOnly="0" labelOnly="1" outline="0" fieldPosition="0">
        <references count="3">
          <reference field="4" count="3">
            <x v="5"/>
            <x v="8"/>
            <x v="16"/>
          </reference>
          <reference field="5" count="0" selected="0"/>
          <reference field="8" count="1" selected="0">
            <x v="3"/>
          </reference>
        </references>
      </pivotArea>
    </format>
    <format dxfId="764">
      <pivotArea dataOnly="0" labelOnly="1" outline="0" fieldPosition="0">
        <references count="4">
          <reference field="4" count="1" selected="0">
            <x v="4"/>
          </reference>
          <reference field="5" count="0" selected="0"/>
          <reference field="6" count="1">
            <x v="2"/>
          </reference>
          <reference field="8" count="1" selected="0">
            <x v="0"/>
          </reference>
        </references>
      </pivotArea>
    </format>
    <format dxfId="763">
      <pivotArea dataOnly="0" labelOnly="1" outline="0" fieldPosition="0">
        <references count="4">
          <reference field="4" count="1" selected="0">
            <x v="9"/>
          </reference>
          <reference field="5" count="0" selected="0"/>
          <reference field="6" count="1">
            <x v="7"/>
          </reference>
          <reference field="8" count="1" selected="0">
            <x v="0"/>
          </reference>
        </references>
      </pivotArea>
    </format>
    <format dxfId="762">
      <pivotArea dataOnly="0" labelOnly="1" outline="0" fieldPosition="0">
        <references count="4">
          <reference field="4" count="1" selected="0">
            <x v="11"/>
          </reference>
          <reference field="5" count="0" selected="0"/>
          <reference field="6" count="1">
            <x v="15"/>
          </reference>
          <reference field="8" count="1" selected="0">
            <x v="0"/>
          </reference>
        </references>
      </pivotArea>
    </format>
    <format dxfId="761">
      <pivotArea dataOnly="0" labelOnly="1" outline="0" fieldPosition="0">
        <references count="4">
          <reference field="4" count="1" selected="0">
            <x v="15"/>
          </reference>
          <reference field="5" count="0" selected="0"/>
          <reference field="6" count="1">
            <x v="14"/>
          </reference>
          <reference field="8" count="1" selected="0">
            <x v="0"/>
          </reference>
        </references>
      </pivotArea>
    </format>
    <format dxfId="760">
      <pivotArea dataOnly="0" labelOnly="1" outline="0" fieldPosition="0">
        <references count="4">
          <reference field="4" count="1" selected="0">
            <x v="1"/>
          </reference>
          <reference field="5" count="0" selected="0"/>
          <reference field="6" count="1">
            <x v="5"/>
          </reference>
          <reference field="8" count="1" selected="0">
            <x v="1"/>
          </reference>
        </references>
      </pivotArea>
    </format>
    <format dxfId="759">
      <pivotArea dataOnly="0" labelOnly="1" outline="0" fieldPosition="0">
        <references count="4">
          <reference field="4" count="1" selected="0">
            <x v="2"/>
          </reference>
          <reference field="5" count="0" selected="0"/>
          <reference field="6" count="1">
            <x v="4"/>
          </reference>
          <reference field="8" count="1" selected="0">
            <x v="1"/>
          </reference>
        </references>
      </pivotArea>
    </format>
    <format dxfId="758">
      <pivotArea dataOnly="0" labelOnly="1" outline="0" fieldPosition="0">
        <references count="4">
          <reference field="4" count="1" selected="0">
            <x v="3"/>
          </reference>
          <reference field="5" count="0" selected="0"/>
          <reference field="6" count="1">
            <x v="3"/>
          </reference>
          <reference field="8" count="1" selected="0">
            <x v="1"/>
          </reference>
        </references>
      </pivotArea>
    </format>
    <format dxfId="757">
      <pivotArea dataOnly="0" labelOnly="1" outline="0" fieldPosition="0">
        <references count="4">
          <reference field="4" count="1" selected="0">
            <x v="10"/>
          </reference>
          <reference field="5" count="0" selected="0"/>
          <reference field="6" count="1">
            <x v="10"/>
          </reference>
          <reference field="8" count="1" selected="0">
            <x v="1"/>
          </reference>
        </references>
      </pivotArea>
    </format>
    <format dxfId="756">
      <pivotArea dataOnly="0" labelOnly="1" outline="0" fieldPosition="0">
        <references count="4">
          <reference field="4" count="1" selected="0">
            <x v="12"/>
          </reference>
          <reference field="5" count="0" selected="0"/>
          <reference field="6" count="1">
            <x v="15"/>
          </reference>
          <reference field="8" count="1" selected="0">
            <x v="1"/>
          </reference>
        </references>
      </pivotArea>
    </format>
    <format dxfId="755">
      <pivotArea dataOnly="0" labelOnly="1" outline="0" fieldPosition="0">
        <references count="4">
          <reference field="4" count="1" selected="0">
            <x v="14"/>
          </reference>
          <reference field="5" count="0" selected="0"/>
          <reference field="6" count="1">
            <x v="11"/>
          </reference>
          <reference field="8" count="1" selected="0">
            <x v="1"/>
          </reference>
        </references>
      </pivotArea>
    </format>
    <format dxfId="754">
      <pivotArea dataOnly="0" labelOnly="1" outline="0" fieldPosition="0">
        <references count="4">
          <reference field="4" count="1" selected="0">
            <x v="0"/>
          </reference>
          <reference field="5" count="0" selected="0"/>
          <reference field="6" count="1">
            <x v="0"/>
          </reference>
          <reference field="8" count="1" selected="0">
            <x v="2"/>
          </reference>
        </references>
      </pivotArea>
    </format>
    <format dxfId="753">
      <pivotArea dataOnly="0" labelOnly="1" outline="0" fieldPosition="0">
        <references count="4">
          <reference field="4" count="1" selected="0">
            <x v="6"/>
          </reference>
          <reference field="5" count="0" selected="0"/>
          <reference field="6" count="1">
            <x v="6"/>
          </reference>
          <reference field="8" count="1" selected="0">
            <x v="2"/>
          </reference>
        </references>
      </pivotArea>
    </format>
    <format dxfId="752">
      <pivotArea dataOnly="0" labelOnly="1" outline="0" fieldPosition="0">
        <references count="4">
          <reference field="4" count="1" selected="0">
            <x v="7"/>
          </reference>
          <reference field="5" count="0" selected="0"/>
          <reference field="6" count="1">
            <x v="9"/>
          </reference>
          <reference field="8" count="1" selected="0">
            <x v="2"/>
          </reference>
        </references>
      </pivotArea>
    </format>
    <format dxfId="751">
      <pivotArea dataOnly="0" labelOnly="1" outline="0" fieldPosition="0">
        <references count="4">
          <reference field="4" count="1" selected="0">
            <x v="13"/>
          </reference>
          <reference field="5" count="0" selected="0"/>
          <reference field="6" count="1">
            <x v="12"/>
          </reference>
          <reference field="8" count="1" selected="0">
            <x v="2"/>
          </reference>
        </references>
      </pivotArea>
    </format>
    <format dxfId="750">
      <pivotArea dataOnly="0" labelOnly="1" outline="0" fieldPosition="0">
        <references count="4">
          <reference field="4" count="1" selected="0">
            <x v="5"/>
          </reference>
          <reference field="5" count="0" selected="0"/>
          <reference field="6" count="1">
            <x v="1"/>
          </reference>
          <reference field="8" count="1" selected="0">
            <x v="3"/>
          </reference>
        </references>
      </pivotArea>
    </format>
    <format dxfId="749">
      <pivotArea dataOnly="0" labelOnly="1" outline="0" fieldPosition="0">
        <references count="4">
          <reference field="4" count="1" selected="0">
            <x v="8"/>
          </reference>
          <reference field="5" count="0" selected="0"/>
          <reference field="6" count="1">
            <x v="8"/>
          </reference>
          <reference field="8" count="1" selected="0">
            <x v="3"/>
          </reference>
        </references>
      </pivotArea>
    </format>
    <format dxfId="748">
      <pivotArea dataOnly="0" labelOnly="1" outline="0" fieldPosition="0">
        <references count="4">
          <reference field="4" count="1" selected="0">
            <x v="16"/>
          </reference>
          <reference field="5" count="0" selected="0"/>
          <reference field="6" count="1">
            <x v="13"/>
          </reference>
          <reference field="8" count="1" selected="0">
            <x v="3"/>
          </reference>
        </references>
      </pivotArea>
    </format>
    <format dxfId="747">
      <pivotArea dataOnly="0" labelOnly="1" outline="0" fieldPosition="0">
        <references count="5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50">
            <x v="0"/>
            <x v="1"/>
            <x v="3"/>
            <x v="7"/>
            <x v="9"/>
            <x v="10"/>
            <x v="13"/>
            <x v="15"/>
            <x v="17"/>
            <x v="18"/>
            <x v="19"/>
            <x v="20"/>
            <x v="21"/>
            <x v="22"/>
            <x v="24"/>
            <x v="30"/>
            <x v="33"/>
            <x v="34"/>
            <x v="37"/>
            <x v="41"/>
            <x v="42"/>
            <x v="43"/>
            <x v="48"/>
            <x v="49"/>
            <x v="51"/>
            <x v="53"/>
            <x v="54"/>
            <x v="58"/>
            <x v="59"/>
            <x v="60"/>
            <x v="61"/>
            <x v="62"/>
            <x v="63"/>
            <x v="65"/>
            <x v="69"/>
            <x v="70"/>
            <x v="71"/>
            <x v="72"/>
            <x v="73"/>
            <x v="74"/>
            <x v="79"/>
            <x v="80"/>
            <x v="81"/>
            <x v="92"/>
            <x v="93"/>
            <x v="94"/>
            <x v="95"/>
            <x v="96"/>
            <x v="97"/>
            <x v="98"/>
          </reference>
        </references>
      </pivotArea>
    </format>
    <format dxfId="746">
      <pivotArea dataOnly="0" labelOnly="1" outline="0" fieldPosition="0">
        <references count="5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0">
            <x v="99"/>
            <x v="102"/>
            <x v="103"/>
            <x v="104"/>
            <x v="105"/>
            <x v="106"/>
            <x v="107"/>
            <x v="109"/>
            <x v="115"/>
            <x v="116"/>
          </reference>
        </references>
      </pivotArea>
    </format>
    <format dxfId="745">
      <pivotArea dataOnly="0" labelOnly="1" outline="0" fieldPosition="0">
        <references count="5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50">
            <x v="0"/>
            <x v="3"/>
            <x v="6"/>
            <x v="8"/>
            <x v="11"/>
            <x v="12"/>
            <x v="13"/>
            <x v="15"/>
            <x v="17"/>
            <x v="18"/>
            <x v="20"/>
            <x v="21"/>
            <x v="22"/>
            <x v="24"/>
            <x v="25"/>
            <x v="33"/>
            <x v="34"/>
            <x v="35"/>
            <x v="36"/>
            <x v="37"/>
            <x v="38"/>
            <x v="41"/>
            <x v="42"/>
            <x v="44"/>
            <x v="48"/>
            <x v="49"/>
            <x v="51"/>
            <x v="52"/>
            <x v="53"/>
            <x v="54"/>
            <x v="60"/>
            <x v="61"/>
            <x v="63"/>
            <x v="64"/>
            <x v="65"/>
            <x v="67"/>
            <x v="69"/>
            <x v="70"/>
            <x v="71"/>
            <x v="72"/>
            <x v="73"/>
            <x v="74"/>
            <x v="77"/>
            <x v="79"/>
            <x v="80"/>
            <x v="81"/>
            <x v="84"/>
            <x v="85"/>
            <x v="87"/>
            <x v="88"/>
          </reference>
        </references>
      </pivotArea>
    </format>
    <format dxfId="744">
      <pivotArea dataOnly="0" labelOnly="1" outline="0" fieldPosition="0">
        <references count="5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9">
            <x v="89"/>
            <x v="92"/>
            <x v="94"/>
            <x v="96"/>
            <x v="97"/>
            <x v="98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5"/>
            <x v="116"/>
          </reference>
        </references>
      </pivotArea>
    </format>
    <format dxfId="743">
      <pivotArea dataOnly="0" labelOnly="1" outline="0" fieldPosition="0">
        <references count="5">
          <reference field="4" count="1" selected="0">
            <x v="11"/>
          </reference>
          <reference field="5" count="0" selected="0"/>
          <reference field="6" count="1" selected="0">
            <x v="15"/>
          </reference>
          <reference field="8" count="1" selected="0">
            <x v="0"/>
          </reference>
          <reference field="17" count="1">
            <x v="0"/>
          </reference>
        </references>
      </pivotArea>
    </format>
    <format dxfId="742">
      <pivotArea dataOnly="0" labelOnly="1" outline="0" fieldPosition="0">
        <references count="5">
          <reference field="4" count="1" selected="0">
            <x v="15"/>
          </reference>
          <reference field="5" count="0" selected="0"/>
          <reference field="6" count="1" selected="0">
            <x v="14"/>
          </reference>
          <reference field="8" count="1" selected="0">
            <x v="0"/>
          </reference>
          <reference field="17" count="2">
            <x v="85"/>
            <x v="87"/>
          </reference>
        </references>
      </pivotArea>
    </format>
    <format dxfId="741">
      <pivotArea dataOnly="0" labelOnly="1" outline="0" fieldPosition="0">
        <references count="5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41">
            <x v="0"/>
            <x v="1"/>
            <x v="3"/>
            <x v="4"/>
            <x v="7"/>
            <x v="8"/>
            <x v="9"/>
            <x v="10"/>
            <x v="15"/>
            <x v="17"/>
            <x v="18"/>
            <x v="21"/>
            <x v="22"/>
            <x v="33"/>
            <x v="34"/>
            <x v="37"/>
            <x v="41"/>
            <x v="42"/>
            <x v="43"/>
            <x v="47"/>
            <x v="48"/>
            <x v="49"/>
            <x v="51"/>
            <x v="53"/>
            <x v="54"/>
            <x v="57"/>
            <x v="60"/>
            <x v="61"/>
            <x v="63"/>
            <x v="65"/>
            <x v="67"/>
            <x v="73"/>
            <x v="79"/>
            <x v="85"/>
            <x v="86"/>
            <x v="87"/>
            <x v="89"/>
            <x v="97"/>
            <x v="108"/>
            <x v="109"/>
            <x v="116"/>
          </reference>
        </references>
      </pivotArea>
    </format>
    <format dxfId="740">
      <pivotArea dataOnly="0" labelOnly="1" outline="0" fieldPosition="0">
        <references count="5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6">
            <x v="1"/>
            <x v="18"/>
            <x v="24"/>
            <x v="53"/>
            <x v="85"/>
            <x v="86"/>
          </reference>
        </references>
      </pivotArea>
    </format>
    <format dxfId="739">
      <pivotArea dataOnly="0" labelOnly="1" outline="0" fieldPosition="0">
        <references count="5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40">
            <x v="0"/>
            <x v="1"/>
            <x v="3"/>
            <x v="4"/>
            <x v="5"/>
            <x v="7"/>
            <x v="8"/>
            <x v="9"/>
            <x v="10"/>
            <x v="15"/>
            <x v="18"/>
            <x v="20"/>
            <x v="21"/>
            <x v="22"/>
            <x v="24"/>
            <x v="26"/>
            <x v="33"/>
            <x v="34"/>
            <x v="37"/>
            <x v="42"/>
            <x v="45"/>
            <x v="48"/>
            <x v="49"/>
            <x v="52"/>
            <x v="53"/>
            <x v="54"/>
            <x v="57"/>
            <x v="60"/>
            <x v="62"/>
            <x v="64"/>
            <x v="65"/>
            <x v="67"/>
            <x v="68"/>
            <x v="70"/>
            <x v="72"/>
            <x v="73"/>
            <x v="85"/>
            <x v="86"/>
            <x v="87"/>
            <x v="88"/>
          </reference>
        </references>
      </pivotArea>
    </format>
    <format dxfId="738">
      <pivotArea dataOnly="0" labelOnly="1" outline="0" fieldPosition="0">
        <references count="5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50">
            <x v="0"/>
            <x v="1"/>
            <x v="3"/>
            <x v="4"/>
            <x v="5"/>
            <x v="7"/>
            <x v="8"/>
            <x v="9"/>
            <x v="10"/>
            <x v="11"/>
            <x v="12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30"/>
            <x v="33"/>
            <x v="34"/>
            <x v="36"/>
            <x v="37"/>
            <x v="38"/>
            <x v="39"/>
            <x v="41"/>
            <x v="42"/>
            <x v="43"/>
            <x v="44"/>
            <x v="45"/>
            <x v="46"/>
            <x v="48"/>
            <x v="49"/>
            <x v="50"/>
            <x v="51"/>
            <x v="52"/>
            <x v="53"/>
            <x v="54"/>
            <x v="55"/>
            <x v="57"/>
            <x v="58"/>
            <x v="59"/>
            <x v="60"/>
          </reference>
        </references>
      </pivotArea>
    </format>
    <format dxfId="737">
      <pivotArea dataOnly="0" labelOnly="1" outline="0" fieldPosition="0">
        <references count="5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40">
            <x v="61"/>
            <x v="62"/>
            <x v="63"/>
            <x v="65"/>
            <x v="67"/>
            <x v="68"/>
            <x v="69"/>
            <x v="70"/>
            <x v="71"/>
            <x v="72"/>
            <x v="73"/>
            <x v="74"/>
            <x v="75"/>
            <x v="77"/>
            <x v="78"/>
            <x v="79"/>
            <x v="80"/>
            <x v="81"/>
            <x v="82"/>
            <x v="85"/>
            <x v="86"/>
            <x v="87"/>
            <x v="88"/>
            <x v="89"/>
            <x v="92"/>
            <x v="93"/>
            <x v="94"/>
            <x v="97"/>
            <x v="98"/>
            <x v="100"/>
            <x v="101"/>
            <x v="103"/>
            <x v="104"/>
            <x v="105"/>
            <x v="107"/>
            <x v="108"/>
            <x v="109"/>
            <x v="110"/>
            <x v="115"/>
            <x v="116"/>
          </reference>
        </references>
      </pivotArea>
    </format>
    <format dxfId="736">
      <pivotArea dataOnly="0" labelOnly="1" outline="0" fieldPosition="0">
        <references count="5">
          <reference field="4" count="1" selected="0">
            <x v="12"/>
          </reference>
          <reference field="5" count="0" selected="0"/>
          <reference field="6" count="1" selected="0">
            <x v="15"/>
          </reference>
          <reference field="8" count="1" selected="0">
            <x v="1"/>
          </reference>
          <reference field="17" count="2">
            <x v="85"/>
            <x v="86"/>
          </reference>
        </references>
      </pivotArea>
    </format>
    <format dxfId="735">
      <pivotArea dataOnly="0" labelOnly="1" outline="0" fieldPosition="0">
        <references count="5">
          <reference field="4" count="1" selected="0">
            <x v="14"/>
          </reference>
          <reference field="5" count="0" selected="0"/>
          <reference field="6" count="1" selected="0">
            <x v="11"/>
          </reference>
          <reference field="8" count="1" selected="0">
            <x v="1"/>
          </reference>
          <reference field="17" count="1">
            <x v="0"/>
          </reference>
        </references>
      </pivotArea>
    </format>
    <format dxfId="734">
      <pivotArea dataOnly="0" labelOnly="1" outline="0" fieldPosition="0">
        <references count="5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50">
            <x v="1"/>
            <x v="3"/>
            <x v="5"/>
            <x v="6"/>
            <x v="7"/>
            <x v="8"/>
            <x v="9"/>
            <x v="10"/>
            <x v="15"/>
            <x v="16"/>
            <x v="17"/>
            <x v="18"/>
            <x v="21"/>
            <x v="23"/>
            <x v="24"/>
            <x v="25"/>
            <x v="26"/>
            <x v="29"/>
            <x v="30"/>
            <x v="32"/>
            <x v="33"/>
            <x v="34"/>
            <x v="37"/>
            <x v="39"/>
            <x v="40"/>
            <x v="41"/>
            <x v="42"/>
            <x v="45"/>
            <x v="46"/>
            <x v="47"/>
            <x v="49"/>
            <x v="54"/>
            <x v="55"/>
            <x v="57"/>
            <x v="58"/>
            <x v="61"/>
            <x v="62"/>
            <x v="63"/>
            <x v="64"/>
            <x v="65"/>
            <x v="66"/>
            <x v="68"/>
            <x v="69"/>
            <x v="70"/>
            <x v="71"/>
            <x v="72"/>
            <x v="73"/>
            <x v="74"/>
            <x v="76"/>
            <x v="77"/>
          </reference>
        </references>
      </pivotArea>
    </format>
    <format dxfId="733">
      <pivotArea dataOnly="0" labelOnly="1" outline="0" fieldPosition="0">
        <references count="5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22">
            <x v="79"/>
            <x v="80"/>
            <x v="81"/>
            <x v="83"/>
            <x v="85"/>
            <x v="86"/>
            <x v="87"/>
            <x v="94"/>
            <x v="95"/>
            <x v="96"/>
            <x v="98"/>
            <x v="101"/>
            <x v="102"/>
            <x v="103"/>
            <x v="104"/>
            <x v="105"/>
            <x v="106"/>
            <x v="107"/>
            <x v="108"/>
            <x v="110"/>
            <x v="113"/>
            <x v="116"/>
          </reference>
        </references>
      </pivotArea>
    </format>
    <format dxfId="732">
      <pivotArea dataOnly="0" labelOnly="1" outline="0" fieldPosition="0">
        <references count="5">
          <reference field="4" count="1" selected="0">
            <x v="6"/>
          </reference>
          <reference field="5" count="0" selected="0"/>
          <reference field="6" count="1" selected="0">
            <x v="6"/>
          </reference>
          <reference field="8" count="1" selected="0">
            <x v="2"/>
          </reference>
          <reference field="17" count="1">
            <x v="8"/>
          </reference>
        </references>
      </pivotArea>
    </format>
    <format dxfId="731">
      <pivotArea dataOnly="0" labelOnly="1" outline="0" fieldPosition="0">
        <references count="5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50">
            <x v="0"/>
            <x v="2"/>
            <x v="3"/>
            <x v="5"/>
            <x v="8"/>
            <x v="9"/>
            <x v="12"/>
            <x v="15"/>
            <x v="16"/>
            <x v="17"/>
            <x v="18"/>
            <x v="21"/>
            <x v="22"/>
            <x v="24"/>
            <x v="25"/>
            <x v="29"/>
            <x v="30"/>
            <x v="31"/>
            <x v="32"/>
            <x v="33"/>
            <x v="34"/>
            <x v="37"/>
            <x v="39"/>
            <x v="40"/>
            <x v="41"/>
            <x v="42"/>
            <x v="45"/>
            <x v="46"/>
            <x v="47"/>
            <x v="48"/>
            <x v="49"/>
            <x v="50"/>
            <x v="54"/>
            <x v="55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9"/>
            <x v="70"/>
            <x v="71"/>
            <x v="72"/>
            <x v="73"/>
          </reference>
        </references>
      </pivotArea>
    </format>
    <format dxfId="730">
      <pivotArea dataOnly="0" labelOnly="1" outline="0" fieldPosition="0">
        <references count="5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33">
            <x v="74"/>
            <x v="75"/>
            <x v="76"/>
            <x v="77"/>
            <x v="79"/>
            <x v="80"/>
            <x v="81"/>
            <x v="83"/>
            <x v="85"/>
            <x v="86"/>
            <x v="87"/>
            <x v="88"/>
            <x v="89"/>
            <x v="90"/>
            <x v="93"/>
            <x v="94"/>
            <x v="95"/>
            <x v="96"/>
            <x v="98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3"/>
            <x v="114"/>
            <x v="116"/>
          </reference>
        </references>
      </pivotArea>
    </format>
    <format dxfId="729">
      <pivotArea dataOnly="0" labelOnly="1" outline="0" fieldPosition="0">
        <references count="5">
          <reference field="4" count="1" selected="0">
            <x v="13"/>
          </reference>
          <reference field="5" count="0" selected="0"/>
          <reference field="6" count="1" selected="0">
            <x v="12"/>
          </reference>
          <reference field="8" count="1" selected="0">
            <x v="2"/>
          </reference>
          <reference field="17" count="2">
            <x v="85"/>
            <x v="86"/>
          </reference>
        </references>
      </pivotArea>
    </format>
    <format dxfId="728">
      <pivotArea dataOnly="0" labelOnly="1" outline="0" fieldPosition="0">
        <references count="5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50">
            <x v="0"/>
            <x v="1"/>
            <x v="3"/>
            <x v="5"/>
            <x v="7"/>
            <x v="9"/>
            <x v="10"/>
            <x v="12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31"/>
            <x v="32"/>
            <x v="33"/>
            <x v="34"/>
            <x v="37"/>
            <x v="39"/>
            <x v="41"/>
            <x v="43"/>
            <x v="45"/>
            <x v="46"/>
            <x v="47"/>
            <x v="49"/>
            <x v="50"/>
            <x v="51"/>
            <x v="52"/>
            <x v="53"/>
            <x v="55"/>
            <x v="57"/>
            <x v="60"/>
            <x v="61"/>
            <x v="62"/>
            <x v="63"/>
            <x v="64"/>
            <x v="65"/>
            <x v="68"/>
            <x v="69"/>
            <x v="70"/>
            <x v="71"/>
            <x v="72"/>
            <x v="73"/>
            <x v="74"/>
          </reference>
        </references>
      </pivotArea>
    </format>
    <format dxfId="727">
      <pivotArea dataOnly="0" labelOnly="1" outline="0" fieldPosition="0">
        <references count="5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30">
            <x v="75"/>
            <x v="76"/>
            <x v="77"/>
            <x v="79"/>
            <x v="80"/>
            <x v="81"/>
            <x v="85"/>
            <x v="86"/>
            <x v="87"/>
            <x v="93"/>
            <x v="94"/>
            <x v="95"/>
            <x v="96"/>
            <x v="97"/>
            <x v="98"/>
            <x v="99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3"/>
            <x v="114"/>
            <x v="116"/>
          </reference>
        </references>
      </pivotArea>
    </format>
    <format dxfId="726">
      <pivotArea dataOnly="0" labelOnly="1" outline="0" fieldPosition="0">
        <references count="5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50">
            <x v="0"/>
            <x v="1"/>
            <x v="2"/>
            <x v="3"/>
            <x v="4"/>
            <x v="5"/>
            <x v="7"/>
            <x v="8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4"/>
            <x v="25"/>
            <x v="29"/>
            <x v="30"/>
            <x v="31"/>
            <x v="32"/>
            <x v="33"/>
            <x v="34"/>
            <x v="37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3"/>
            <x v="54"/>
            <x v="55"/>
            <x v="56"/>
            <x v="57"/>
            <x v="59"/>
            <x v="60"/>
            <x v="61"/>
            <x v="62"/>
            <x v="63"/>
          </reference>
        </references>
      </pivotArea>
    </format>
    <format dxfId="725">
      <pivotArea dataOnly="0" labelOnly="1" outline="0" fieldPosition="0">
        <references count="5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44">
            <x v="64"/>
            <x v="65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9"/>
            <x v="80"/>
            <x v="81"/>
            <x v="85"/>
            <x v="86"/>
            <x v="87"/>
            <x v="88"/>
            <x v="90"/>
            <x v="91"/>
            <x v="92"/>
            <x v="94"/>
            <x v="95"/>
            <x v="96"/>
            <x v="97"/>
            <x v="98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</reference>
        </references>
      </pivotArea>
    </format>
    <format dxfId="724">
      <pivotArea dataOnly="0" labelOnly="1" outline="0" fieldPosition="0">
        <references count="5">
          <reference field="4" count="1" selected="0">
            <x v="16"/>
          </reference>
          <reference field="5" count="0" selected="0"/>
          <reference field="6" count="1" selected="0">
            <x v="13"/>
          </reference>
          <reference field="8" count="1" selected="0">
            <x v="3"/>
          </reference>
          <reference field="17" count="2">
            <x v="85"/>
            <x v="86"/>
          </reference>
        </references>
      </pivotArea>
    </format>
    <format dxfId="723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722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"/>
          </reference>
          <reference field="18" count="1">
            <x v="88"/>
          </reference>
        </references>
      </pivotArea>
    </format>
    <format dxfId="721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3"/>
          </reference>
          <reference field="18" count="1">
            <x v="36"/>
          </reference>
        </references>
      </pivotArea>
    </format>
    <format dxfId="720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7"/>
          </reference>
          <reference field="18" count="1">
            <x v="93"/>
          </reference>
        </references>
      </pivotArea>
    </format>
    <format dxfId="719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9"/>
          </reference>
          <reference field="18" count="1">
            <x v="96"/>
          </reference>
        </references>
      </pivotArea>
    </format>
    <format dxfId="718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0"/>
          </reference>
          <reference field="18" count="1">
            <x v="95"/>
          </reference>
        </references>
      </pivotArea>
    </format>
    <format dxfId="717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3"/>
          </reference>
          <reference field="18" count="1">
            <x v="80"/>
          </reference>
        </references>
      </pivotArea>
    </format>
    <format dxfId="716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5"/>
          </reference>
          <reference field="18" count="1">
            <x v="18"/>
          </reference>
        </references>
      </pivotArea>
    </format>
    <format dxfId="715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7"/>
          </reference>
          <reference field="18" count="1">
            <x v="47"/>
          </reference>
        </references>
      </pivotArea>
    </format>
    <format dxfId="714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713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9"/>
          </reference>
          <reference field="18" count="1">
            <x v="79"/>
          </reference>
        </references>
      </pivotArea>
    </format>
    <format dxfId="712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20"/>
          </reference>
          <reference field="18" count="1">
            <x v="0"/>
          </reference>
        </references>
      </pivotArea>
    </format>
    <format dxfId="711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21"/>
          </reference>
          <reference field="18" count="1">
            <x v="2"/>
          </reference>
        </references>
      </pivotArea>
    </format>
    <format dxfId="710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22"/>
          </reference>
          <reference field="18" count="1">
            <x v="1"/>
          </reference>
        </references>
      </pivotArea>
    </format>
    <format dxfId="709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24"/>
          </reference>
          <reference field="18" count="1">
            <x v="99"/>
          </reference>
        </references>
      </pivotArea>
    </format>
    <format dxfId="708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30"/>
          </reference>
          <reference field="18" count="1">
            <x v="78"/>
          </reference>
        </references>
      </pivotArea>
    </format>
    <format dxfId="707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33"/>
          </reference>
          <reference field="18" count="1">
            <x v="106"/>
          </reference>
        </references>
      </pivotArea>
    </format>
    <format dxfId="706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34"/>
          </reference>
          <reference field="18" count="1">
            <x v="107"/>
          </reference>
        </references>
      </pivotArea>
    </format>
    <format dxfId="705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37"/>
          </reference>
          <reference field="18" count="1">
            <x v="16"/>
          </reference>
        </references>
      </pivotArea>
    </format>
    <format dxfId="704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41"/>
          </reference>
          <reference field="18" count="1">
            <x v="113"/>
          </reference>
        </references>
      </pivotArea>
    </format>
    <format dxfId="703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42"/>
          </reference>
          <reference field="18" count="1">
            <x v="110"/>
          </reference>
        </references>
      </pivotArea>
    </format>
    <format dxfId="702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43"/>
          </reference>
          <reference field="18" count="1">
            <x v="27"/>
          </reference>
        </references>
      </pivotArea>
    </format>
    <format dxfId="701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48"/>
          </reference>
          <reference field="18" count="1">
            <x v="112"/>
          </reference>
        </references>
      </pivotArea>
    </format>
    <format dxfId="700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49"/>
          </reference>
          <reference field="18" count="1">
            <x v="105"/>
          </reference>
        </references>
      </pivotArea>
    </format>
    <format dxfId="699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51"/>
          </reference>
          <reference field="18" count="1">
            <x v="40"/>
          </reference>
        </references>
      </pivotArea>
    </format>
    <format dxfId="698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53"/>
          </reference>
          <reference field="18" count="1">
            <x v="34"/>
          </reference>
        </references>
      </pivotArea>
    </format>
    <format dxfId="697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54"/>
          </reference>
          <reference field="18" count="1">
            <x v="39"/>
          </reference>
        </references>
      </pivotArea>
    </format>
    <format dxfId="696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58"/>
          </reference>
          <reference field="18" count="1">
            <x v="77"/>
          </reference>
        </references>
      </pivotArea>
    </format>
    <format dxfId="695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59"/>
          </reference>
          <reference field="18" count="1">
            <x v="76"/>
          </reference>
        </references>
      </pivotArea>
    </format>
    <format dxfId="694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60"/>
          </reference>
          <reference field="18" count="1">
            <x v="104"/>
          </reference>
        </references>
      </pivotArea>
    </format>
    <format dxfId="693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61"/>
          </reference>
          <reference field="18" count="1">
            <x v="103"/>
          </reference>
        </references>
      </pivotArea>
    </format>
    <format dxfId="692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62"/>
          </reference>
          <reference field="18" count="1">
            <x v="109"/>
          </reference>
        </references>
      </pivotArea>
    </format>
    <format dxfId="691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63"/>
          </reference>
          <reference field="18" count="1">
            <x v="108"/>
          </reference>
        </references>
      </pivotArea>
    </format>
    <format dxfId="690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65"/>
          </reference>
          <reference field="18" count="1">
            <x v="10"/>
          </reference>
        </references>
      </pivotArea>
    </format>
    <format dxfId="689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69"/>
          </reference>
          <reference field="18" count="1">
            <x v="7"/>
          </reference>
        </references>
      </pivotArea>
    </format>
    <format dxfId="688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70"/>
          </reference>
          <reference field="18" count="1">
            <x v="6"/>
          </reference>
        </references>
      </pivotArea>
    </format>
    <format dxfId="687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71"/>
          </reference>
          <reference field="18" count="1">
            <x v="5"/>
          </reference>
        </references>
      </pivotArea>
    </format>
    <format dxfId="686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72"/>
          </reference>
          <reference field="18" count="1">
            <x v="72"/>
          </reference>
        </references>
      </pivotArea>
    </format>
    <format dxfId="685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73"/>
          </reference>
          <reference field="18" count="1">
            <x v="73"/>
          </reference>
        </references>
      </pivotArea>
    </format>
    <format dxfId="684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74"/>
          </reference>
          <reference field="18" count="1">
            <x v="74"/>
          </reference>
        </references>
      </pivotArea>
    </format>
    <format dxfId="683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79"/>
          </reference>
          <reference field="18" count="1">
            <x v="92"/>
          </reference>
        </references>
      </pivotArea>
    </format>
    <format dxfId="682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80"/>
          </reference>
          <reference field="18" count="1">
            <x v="91"/>
          </reference>
        </references>
      </pivotArea>
    </format>
    <format dxfId="681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81"/>
          </reference>
          <reference field="18" count="1">
            <x v="64"/>
          </reference>
        </references>
      </pivotArea>
    </format>
    <format dxfId="680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92"/>
          </reference>
          <reference field="18" count="1">
            <x v="69"/>
          </reference>
        </references>
      </pivotArea>
    </format>
    <format dxfId="679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93"/>
          </reference>
          <reference field="18" count="1">
            <x v="59"/>
          </reference>
        </references>
      </pivotArea>
    </format>
    <format dxfId="678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94"/>
          </reference>
          <reference field="18" count="1">
            <x v="63"/>
          </reference>
        </references>
      </pivotArea>
    </format>
    <format dxfId="677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95"/>
          </reference>
          <reference field="18" count="1">
            <x v="115"/>
          </reference>
        </references>
      </pivotArea>
    </format>
    <format dxfId="676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96"/>
          </reference>
          <reference field="18" count="1">
            <x v="116"/>
          </reference>
        </references>
      </pivotArea>
    </format>
    <format dxfId="675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97"/>
          </reference>
          <reference field="18" count="1">
            <x v="114"/>
          </reference>
        </references>
      </pivotArea>
    </format>
    <format dxfId="674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98"/>
          </reference>
          <reference field="18" count="1">
            <x v="49"/>
          </reference>
        </references>
      </pivotArea>
    </format>
    <format dxfId="673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99"/>
          </reference>
          <reference field="18" count="1">
            <x v="66"/>
          </reference>
        </references>
      </pivotArea>
    </format>
    <format dxfId="672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02"/>
          </reference>
          <reference field="18" count="1">
            <x v="61"/>
          </reference>
        </references>
      </pivotArea>
    </format>
    <format dxfId="671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03"/>
          </reference>
          <reference field="18" count="1">
            <x v="60"/>
          </reference>
        </references>
      </pivotArea>
    </format>
    <format dxfId="670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04"/>
          </reference>
          <reference field="18" count="1">
            <x v="67"/>
          </reference>
        </references>
      </pivotArea>
    </format>
    <format dxfId="669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05"/>
          </reference>
          <reference field="18" count="1">
            <x v="65"/>
          </reference>
        </references>
      </pivotArea>
    </format>
    <format dxfId="668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06"/>
          </reference>
          <reference field="18" count="1">
            <x v="70"/>
          </reference>
        </references>
      </pivotArea>
    </format>
    <format dxfId="667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07"/>
          </reference>
          <reference field="18" count="1">
            <x v="68"/>
          </reference>
        </references>
      </pivotArea>
    </format>
    <format dxfId="666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09"/>
          </reference>
          <reference field="18" count="1">
            <x v="24"/>
          </reference>
        </references>
      </pivotArea>
    </format>
    <format dxfId="665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15"/>
          </reference>
          <reference field="18" count="1">
            <x v="23"/>
          </reference>
        </references>
      </pivotArea>
    </format>
    <format dxfId="664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116"/>
          </reference>
          <reference field="18" count="1">
            <x v="14"/>
          </reference>
        </references>
      </pivotArea>
    </format>
    <format dxfId="663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662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3"/>
          </reference>
          <reference field="18" count="1">
            <x v="36"/>
          </reference>
        </references>
      </pivotArea>
    </format>
    <format dxfId="661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6"/>
          </reference>
          <reference field="18" count="1">
            <x v="37"/>
          </reference>
        </references>
      </pivotArea>
    </format>
    <format dxfId="660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8"/>
          </reference>
          <reference field="18" count="1">
            <x v="94"/>
          </reference>
        </references>
      </pivotArea>
    </format>
    <format dxfId="659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1"/>
          </reference>
          <reference field="18" count="1">
            <x v="8"/>
          </reference>
        </references>
      </pivotArea>
    </format>
    <format dxfId="658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2"/>
          </reference>
          <reference field="18" count="1">
            <x v="82"/>
          </reference>
        </references>
      </pivotArea>
    </format>
    <format dxfId="657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3"/>
          </reference>
          <reference field="18" count="1">
            <x v="80"/>
          </reference>
        </references>
      </pivotArea>
    </format>
    <format dxfId="656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5"/>
          </reference>
          <reference field="18" count="1">
            <x v="18"/>
          </reference>
        </references>
      </pivotArea>
    </format>
    <format dxfId="655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7"/>
          </reference>
          <reference field="18" count="1">
            <x v="47"/>
          </reference>
        </references>
      </pivotArea>
    </format>
    <format dxfId="654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653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20"/>
          </reference>
          <reference field="18" count="1">
            <x v="0"/>
          </reference>
        </references>
      </pivotArea>
    </format>
    <format dxfId="652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21"/>
          </reference>
          <reference field="18" count="1">
            <x v="2"/>
          </reference>
        </references>
      </pivotArea>
    </format>
    <format dxfId="651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22"/>
          </reference>
          <reference field="18" count="1">
            <x v="1"/>
          </reference>
        </references>
      </pivotArea>
    </format>
    <format dxfId="650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24"/>
          </reference>
          <reference field="18" count="1">
            <x v="99"/>
          </reference>
        </references>
      </pivotArea>
    </format>
    <format dxfId="649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25"/>
          </reference>
          <reference field="18" count="1">
            <x v="75"/>
          </reference>
        </references>
      </pivotArea>
    </format>
    <format dxfId="648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33"/>
          </reference>
          <reference field="18" count="1">
            <x v="106"/>
          </reference>
        </references>
      </pivotArea>
    </format>
    <format dxfId="647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34"/>
          </reference>
          <reference field="18" count="1">
            <x v="107"/>
          </reference>
        </references>
      </pivotArea>
    </format>
    <format dxfId="646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35"/>
          </reference>
          <reference field="18" count="1">
            <x v="19"/>
          </reference>
        </references>
      </pivotArea>
    </format>
    <format dxfId="645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36"/>
          </reference>
          <reference field="18" count="1">
            <x v="13"/>
          </reference>
        </references>
      </pivotArea>
    </format>
    <format dxfId="644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37"/>
          </reference>
          <reference field="18" count="1">
            <x v="16"/>
          </reference>
        </references>
      </pivotArea>
    </format>
    <format dxfId="643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38"/>
          </reference>
          <reference field="18" count="1">
            <x v="41"/>
          </reference>
        </references>
      </pivotArea>
    </format>
    <format dxfId="642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41"/>
          </reference>
          <reference field="18" count="1">
            <x v="113"/>
          </reference>
        </references>
      </pivotArea>
    </format>
    <format dxfId="641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42"/>
          </reference>
          <reference field="18" count="1">
            <x v="110"/>
          </reference>
        </references>
      </pivotArea>
    </format>
    <format dxfId="640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44"/>
          </reference>
          <reference field="18" count="1">
            <x v="45"/>
          </reference>
        </references>
      </pivotArea>
    </format>
    <format dxfId="639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48"/>
          </reference>
          <reference field="18" count="1">
            <x v="112"/>
          </reference>
        </references>
      </pivotArea>
    </format>
    <format dxfId="638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49"/>
          </reference>
          <reference field="18" count="1">
            <x v="105"/>
          </reference>
        </references>
      </pivotArea>
    </format>
    <format dxfId="637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51"/>
          </reference>
          <reference field="18" count="1">
            <x v="40"/>
          </reference>
        </references>
      </pivotArea>
    </format>
    <format dxfId="636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52"/>
          </reference>
          <reference field="18" count="1">
            <x v="46"/>
          </reference>
        </references>
      </pivotArea>
    </format>
    <format dxfId="635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53"/>
          </reference>
          <reference field="18" count="1">
            <x v="34"/>
          </reference>
        </references>
      </pivotArea>
    </format>
    <format dxfId="634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54"/>
          </reference>
          <reference field="18" count="1">
            <x v="39"/>
          </reference>
        </references>
      </pivotArea>
    </format>
    <format dxfId="633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60"/>
          </reference>
          <reference field="18" count="1">
            <x v="104"/>
          </reference>
        </references>
      </pivotArea>
    </format>
    <format dxfId="632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61"/>
          </reference>
          <reference field="18" count="1">
            <x v="103"/>
          </reference>
        </references>
      </pivotArea>
    </format>
    <format dxfId="631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63"/>
          </reference>
          <reference field="18" count="1">
            <x v="108"/>
          </reference>
        </references>
      </pivotArea>
    </format>
    <format dxfId="630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64"/>
          </reference>
          <reference field="18" count="1">
            <x v="9"/>
          </reference>
        </references>
      </pivotArea>
    </format>
    <format dxfId="629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65"/>
          </reference>
          <reference field="18" count="1">
            <x v="10"/>
          </reference>
        </references>
      </pivotArea>
    </format>
    <format dxfId="628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67"/>
          </reference>
          <reference field="18" count="1">
            <x v="25"/>
          </reference>
        </references>
      </pivotArea>
    </format>
    <format dxfId="627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69"/>
          </reference>
          <reference field="18" count="1">
            <x v="7"/>
          </reference>
        </references>
      </pivotArea>
    </format>
    <format dxfId="626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70"/>
          </reference>
          <reference field="18" count="1">
            <x v="6"/>
          </reference>
        </references>
      </pivotArea>
    </format>
    <format dxfId="625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71"/>
          </reference>
          <reference field="18" count="1">
            <x v="5"/>
          </reference>
        </references>
      </pivotArea>
    </format>
    <format dxfId="624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72"/>
          </reference>
          <reference field="18" count="1">
            <x v="72"/>
          </reference>
        </references>
      </pivotArea>
    </format>
    <format dxfId="623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73"/>
          </reference>
          <reference field="18" count="1">
            <x v="73"/>
          </reference>
        </references>
      </pivotArea>
    </format>
    <format dxfId="622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74"/>
          </reference>
          <reference field="18" count="1">
            <x v="74"/>
          </reference>
        </references>
      </pivotArea>
    </format>
    <format dxfId="621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77"/>
          </reference>
          <reference field="18" count="1">
            <x v="71"/>
          </reference>
        </references>
      </pivotArea>
    </format>
    <format dxfId="620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79"/>
          </reference>
          <reference field="18" count="1">
            <x v="92"/>
          </reference>
        </references>
      </pivotArea>
    </format>
    <format dxfId="619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80"/>
          </reference>
          <reference field="18" count="1">
            <x v="91"/>
          </reference>
        </references>
      </pivotArea>
    </format>
    <format dxfId="618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81"/>
          </reference>
          <reference field="18" count="1">
            <x v="64"/>
          </reference>
        </references>
      </pivotArea>
    </format>
    <format dxfId="617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84"/>
          </reference>
          <reference field="18" count="1">
            <x v="31"/>
          </reference>
        </references>
      </pivotArea>
    </format>
    <format dxfId="616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615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87"/>
          </reference>
          <reference field="18" count="1">
            <x v="28"/>
          </reference>
        </references>
      </pivotArea>
    </format>
    <format dxfId="614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88"/>
          </reference>
          <reference field="18" count="1">
            <x v="33"/>
          </reference>
        </references>
      </pivotArea>
    </format>
    <format dxfId="613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89"/>
          </reference>
          <reference field="18" count="1">
            <x v="102"/>
          </reference>
        </references>
      </pivotArea>
    </format>
    <format dxfId="612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92"/>
          </reference>
          <reference field="18" count="1">
            <x v="69"/>
          </reference>
        </references>
      </pivotArea>
    </format>
    <format dxfId="611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94"/>
          </reference>
          <reference field="18" count="1">
            <x v="63"/>
          </reference>
        </references>
      </pivotArea>
    </format>
    <format dxfId="610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96"/>
          </reference>
          <reference field="18" count="1">
            <x v="116"/>
          </reference>
        </references>
      </pivotArea>
    </format>
    <format dxfId="609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97"/>
          </reference>
          <reference field="18" count="1">
            <x v="114"/>
          </reference>
        </references>
      </pivotArea>
    </format>
    <format dxfId="608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98"/>
          </reference>
          <reference field="18" count="1">
            <x v="49"/>
          </reference>
        </references>
      </pivotArea>
    </format>
    <format dxfId="607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01"/>
          </reference>
          <reference field="18" count="1">
            <x v="57"/>
          </reference>
        </references>
      </pivotArea>
    </format>
    <format dxfId="606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02"/>
          </reference>
          <reference field="18" count="1">
            <x v="61"/>
          </reference>
        </references>
      </pivotArea>
    </format>
    <format dxfId="605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03"/>
          </reference>
          <reference field="18" count="1">
            <x v="60"/>
          </reference>
        </references>
      </pivotArea>
    </format>
    <format dxfId="604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04"/>
          </reference>
          <reference field="18" count="1">
            <x v="67"/>
          </reference>
        </references>
      </pivotArea>
    </format>
    <format dxfId="603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05"/>
          </reference>
          <reference field="18" count="1">
            <x v="65"/>
          </reference>
        </references>
      </pivotArea>
    </format>
    <format dxfId="602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06"/>
          </reference>
          <reference field="18" count="1">
            <x v="70"/>
          </reference>
        </references>
      </pivotArea>
    </format>
    <format dxfId="601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07"/>
          </reference>
          <reference field="18" count="1">
            <x v="68"/>
          </reference>
        </references>
      </pivotArea>
    </format>
    <format dxfId="600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08"/>
          </reference>
          <reference field="18" count="1">
            <x v="22"/>
          </reference>
        </references>
      </pivotArea>
    </format>
    <format dxfId="599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09"/>
          </reference>
          <reference field="18" count="1">
            <x v="24"/>
          </reference>
        </references>
      </pivotArea>
    </format>
    <format dxfId="598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10"/>
          </reference>
          <reference field="18" count="1">
            <x v="29"/>
          </reference>
        </references>
      </pivotArea>
    </format>
    <format dxfId="597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11"/>
          </reference>
          <reference field="18" count="1">
            <x v="11"/>
          </reference>
        </references>
      </pivotArea>
    </format>
    <format dxfId="596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15"/>
          </reference>
          <reference field="18" count="1">
            <x v="23"/>
          </reference>
        </references>
      </pivotArea>
    </format>
    <format dxfId="595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116"/>
          </reference>
          <reference field="18" count="1">
            <x v="14"/>
          </reference>
        </references>
      </pivotArea>
    </format>
    <format dxfId="594">
      <pivotArea dataOnly="0" labelOnly="1" outline="0" fieldPosition="0">
        <references count="6">
          <reference field="4" count="1" selected="0">
            <x v="11"/>
          </reference>
          <reference field="5" count="0" selected="0"/>
          <reference field="6" count="1" selected="0">
            <x v="15"/>
          </reference>
          <reference field="8" count="1" selected="0">
            <x v="0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593">
      <pivotArea dataOnly="0" labelOnly="1" outline="0" fieldPosition="0">
        <references count="6">
          <reference field="4" count="1" selected="0">
            <x v="15"/>
          </reference>
          <reference field="5" count="0" selected="0"/>
          <reference field="6" count="1" selected="0">
            <x v="14"/>
          </reference>
          <reference field="8" count="1" selected="0">
            <x v="0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592">
      <pivotArea dataOnly="0" labelOnly="1" outline="0" fieldPosition="0">
        <references count="6">
          <reference field="4" count="1" selected="0">
            <x v="15"/>
          </reference>
          <reference field="5" count="0" selected="0"/>
          <reference field="6" count="1" selected="0">
            <x v="14"/>
          </reference>
          <reference field="8" count="1" selected="0">
            <x v="0"/>
          </reference>
          <reference field="17" count="1" selected="0">
            <x v="87"/>
          </reference>
          <reference field="18" count="1">
            <x v="28"/>
          </reference>
        </references>
      </pivotArea>
    </format>
    <format dxfId="591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590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1"/>
          </reference>
          <reference field="18" count="1">
            <x v="88"/>
          </reference>
        </references>
      </pivotArea>
    </format>
    <format dxfId="589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3"/>
          </reference>
          <reference field="18" count="1">
            <x v="36"/>
          </reference>
        </references>
      </pivotArea>
    </format>
    <format dxfId="588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4"/>
          </reference>
          <reference field="18" count="1">
            <x v="83"/>
          </reference>
        </references>
      </pivotArea>
    </format>
    <format dxfId="587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7"/>
          </reference>
          <reference field="18" count="1">
            <x v="93"/>
          </reference>
        </references>
      </pivotArea>
    </format>
    <format dxfId="586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8"/>
          </reference>
          <reference field="18" count="1">
            <x v="94"/>
          </reference>
        </references>
      </pivotArea>
    </format>
    <format dxfId="585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9"/>
          </reference>
          <reference field="18" count="1">
            <x v="96"/>
          </reference>
        </references>
      </pivotArea>
    </format>
    <format dxfId="584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10"/>
          </reference>
          <reference field="18" count="1">
            <x v="95"/>
          </reference>
        </references>
      </pivotArea>
    </format>
    <format dxfId="583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15"/>
          </reference>
          <reference field="18" count="1">
            <x v="18"/>
          </reference>
        </references>
      </pivotArea>
    </format>
    <format dxfId="582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17"/>
          </reference>
          <reference field="18" count="1">
            <x v="47"/>
          </reference>
        </references>
      </pivotArea>
    </format>
    <format dxfId="581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580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21"/>
          </reference>
          <reference field="18" count="1">
            <x v="2"/>
          </reference>
        </references>
      </pivotArea>
    </format>
    <format dxfId="579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22"/>
          </reference>
          <reference field="18" count="1">
            <x v="1"/>
          </reference>
        </references>
      </pivotArea>
    </format>
    <format dxfId="578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33"/>
          </reference>
          <reference field="18" count="1">
            <x v="106"/>
          </reference>
        </references>
      </pivotArea>
    </format>
    <format dxfId="577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34"/>
          </reference>
          <reference field="18" count="1">
            <x v="107"/>
          </reference>
        </references>
      </pivotArea>
    </format>
    <format dxfId="576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37"/>
          </reference>
          <reference field="18" count="1">
            <x v="16"/>
          </reference>
        </references>
      </pivotArea>
    </format>
    <format dxfId="575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41"/>
          </reference>
          <reference field="18" count="1">
            <x v="113"/>
          </reference>
        </references>
      </pivotArea>
    </format>
    <format dxfId="574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42"/>
          </reference>
          <reference field="18" count="1">
            <x v="110"/>
          </reference>
        </references>
      </pivotArea>
    </format>
    <format dxfId="573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43"/>
          </reference>
          <reference field="18" count="1">
            <x v="27"/>
          </reference>
        </references>
      </pivotArea>
    </format>
    <format dxfId="572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47"/>
          </reference>
          <reference field="18" count="1">
            <x v="85"/>
          </reference>
        </references>
      </pivotArea>
    </format>
    <format dxfId="571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48"/>
          </reference>
          <reference field="18" count="1">
            <x v="112"/>
          </reference>
        </references>
      </pivotArea>
    </format>
    <format dxfId="570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49"/>
          </reference>
          <reference field="18" count="1">
            <x v="105"/>
          </reference>
        </references>
      </pivotArea>
    </format>
    <format dxfId="569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51"/>
          </reference>
          <reference field="18" count="1">
            <x v="40"/>
          </reference>
        </references>
      </pivotArea>
    </format>
    <format dxfId="568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53"/>
          </reference>
          <reference field="18" count="1">
            <x v="34"/>
          </reference>
        </references>
      </pivotArea>
    </format>
    <format dxfId="567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54"/>
          </reference>
          <reference field="18" count="1">
            <x v="39"/>
          </reference>
        </references>
      </pivotArea>
    </format>
    <format dxfId="566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57"/>
          </reference>
          <reference field="18" count="1">
            <x v="89"/>
          </reference>
        </references>
      </pivotArea>
    </format>
    <format dxfId="565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60"/>
          </reference>
          <reference field="18" count="1">
            <x v="104"/>
          </reference>
        </references>
      </pivotArea>
    </format>
    <format dxfId="564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61"/>
          </reference>
          <reference field="18" count="1">
            <x v="103"/>
          </reference>
        </references>
      </pivotArea>
    </format>
    <format dxfId="563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63"/>
          </reference>
          <reference field="18" count="1">
            <x v="108"/>
          </reference>
        </references>
      </pivotArea>
    </format>
    <format dxfId="562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65"/>
          </reference>
          <reference field="18" count="1">
            <x v="10"/>
          </reference>
        </references>
      </pivotArea>
    </format>
    <format dxfId="561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67"/>
          </reference>
          <reference field="18" count="1">
            <x v="25"/>
          </reference>
        </references>
      </pivotArea>
    </format>
    <format dxfId="560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73"/>
          </reference>
          <reference field="18" count="1">
            <x v="73"/>
          </reference>
        </references>
      </pivotArea>
    </format>
    <format dxfId="559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79"/>
          </reference>
          <reference field="18" count="1">
            <x v="92"/>
          </reference>
        </references>
      </pivotArea>
    </format>
    <format dxfId="558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557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556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87"/>
          </reference>
          <reference field="18" count="1">
            <x v="28"/>
          </reference>
        </references>
      </pivotArea>
    </format>
    <format dxfId="555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89"/>
          </reference>
          <reference field="18" count="1">
            <x v="102"/>
          </reference>
        </references>
      </pivotArea>
    </format>
    <format dxfId="554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97"/>
          </reference>
          <reference field="18" count="1">
            <x v="114"/>
          </reference>
        </references>
      </pivotArea>
    </format>
    <format dxfId="553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108"/>
          </reference>
          <reference field="18" count="1">
            <x v="22"/>
          </reference>
        </references>
      </pivotArea>
    </format>
    <format dxfId="552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109"/>
          </reference>
          <reference field="18" count="1">
            <x v="24"/>
          </reference>
        </references>
      </pivotArea>
    </format>
    <format dxfId="551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116"/>
          </reference>
          <reference field="18" count="1">
            <x v="14"/>
          </reference>
        </references>
      </pivotArea>
    </format>
    <format dxfId="550">
      <pivotArea dataOnly="0" labelOnly="1" outline="0" fieldPosition="0">
        <references count="6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1" selected="0">
            <x v="1"/>
          </reference>
          <reference field="18" count="1">
            <x v="88"/>
          </reference>
        </references>
      </pivotArea>
    </format>
    <format dxfId="549">
      <pivotArea dataOnly="0" labelOnly="1" outline="0" fieldPosition="0">
        <references count="6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548">
      <pivotArea dataOnly="0" labelOnly="1" outline="0" fieldPosition="0">
        <references count="6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1" selected="0">
            <x v="24"/>
          </reference>
          <reference field="18" count="1">
            <x v="99"/>
          </reference>
        </references>
      </pivotArea>
    </format>
    <format dxfId="547">
      <pivotArea dataOnly="0" labelOnly="1" outline="0" fieldPosition="0">
        <references count="6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1" selected="0">
            <x v="53"/>
          </reference>
          <reference field="18" count="1">
            <x v="34"/>
          </reference>
        </references>
      </pivotArea>
    </format>
    <format dxfId="546">
      <pivotArea dataOnly="0" labelOnly="1" outline="0" fieldPosition="0">
        <references count="6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545">
      <pivotArea dataOnly="0" labelOnly="1" outline="0" fieldPosition="0">
        <references count="6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544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543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1"/>
          </reference>
          <reference field="18" count="1">
            <x v="88"/>
          </reference>
        </references>
      </pivotArea>
    </format>
    <format dxfId="542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3"/>
          </reference>
          <reference field="18" count="1">
            <x v="36"/>
          </reference>
        </references>
      </pivotArea>
    </format>
    <format dxfId="541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4"/>
          </reference>
          <reference field="18" count="1">
            <x v="83"/>
          </reference>
        </references>
      </pivotArea>
    </format>
    <format dxfId="540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5"/>
          </reference>
          <reference field="18" count="1">
            <x v="90"/>
          </reference>
        </references>
      </pivotArea>
    </format>
    <format dxfId="539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7"/>
          </reference>
          <reference field="18" count="1">
            <x v="93"/>
          </reference>
        </references>
      </pivotArea>
    </format>
    <format dxfId="538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8"/>
          </reference>
          <reference field="18" count="1">
            <x v="94"/>
          </reference>
        </references>
      </pivotArea>
    </format>
    <format dxfId="537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9"/>
          </reference>
          <reference field="18" count="1">
            <x v="96"/>
          </reference>
        </references>
      </pivotArea>
    </format>
    <format dxfId="536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10"/>
          </reference>
          <reference field="18" count="1">
            <x v="95"/>
          </reference>
        </references>
      </pivotArea>
    </format>
    <format dxfId="535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15"/>
          </reference>
          <reference field="18" count="1">
            <x v="18"/>
          </reference>
        </references>
      </pivotArea>
    </format>
    <format dxfId="534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533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20"/>
          </reference>
          <reference field="18" count="1">
            <x v="0"/>
          </reference>
        </references>
      </pivotArea>
    </format>
    <format dxfId="532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21"/>
          </reference>
          <reference field="18" count="1">
            <x v="2"/>
          </reference>
        </references>
      </pivotArea>
    </format>
    <format dxfId="531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22"/>
          </reference>
          <reference field="18" count="1">
            <x v="1"/>
          </reference>
        </references>
      </pivotArea>
    </format>
    <format dxfId="530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24"/>
          </reference>
          <reference field="18" count="1">
            <x v="99"/>
          </reference>
        </references>
      </pivotArea>
    </format>
    <format dxfId="529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26"/>
          </reference>
          <reference field="18" count="1">
            <x v="87"/>
          </reference>
        </references>
      </pivotArea>
    </format>
    <format dxfId="528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33"/>
          </reference>
          <reference field="18" count="1">
            <x v="106"/>
          </reference>
        </references>
      </pivotArea>
    </format>
    <format dxfId="527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34"/>
          </reference>
          <reference field="18" count="1">
            <x v="107"/>
          </reference>
        </references>
      </pivotArea>
    </format>
    <format dxfId="526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37"/>
          </reference>
          <reference field="18" count="1">
            <x v="16"/>
          </reference>
        </references>
      </pivotArea>
    </format>
    <format dxfId="525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42"/>
          </reference>
          <reference field="18" count="1">
            <x v="110"/>
          </reference>
        </references>
      </pivotArea>
    </format>
    <format dxfId="524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45"/>
          </reference>
          <reference field="18" count="1">
            <x v="52"/>
          </reference>
        </references>
      </pivotArea>
    </format>
    <format dxfId="523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48"/>
          </reference>
          <reference field="18" count="1">
            <x v="112"/>
          </reference>
        </references>
      </pivotArea>
    </format>
    <format dxfId="522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49"/>
          </reference>
          <reference field="18" count="1">
            <x v="105"/>
          </reference>
        </references>
      </pivotArea>
    </format>
    <format dxfId="521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52"/>
          </reference>
          <reference field="18" count="1">
            <x v="46"/>
          </reference>
        </references>
      </pivotArea>
    </format>
    <format dxfId="520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53"/>
          </reference>
          <reference field="18" count="1">
            <x v="34"/>
          </reference>
        </references>
      </pivotArea>
    </format>
    <format dxfId="519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54"/>
          </reference>
          <reference field="18" count="1">
            <x v="39"/>
          </reference>
        </references>
      </pivotArea>
    </format>
    <format dxfId="518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57"/>
          </reference>
          <reference field="18" count="1">
            <x v="89"/>
          </reference>
        </references>
      </pivotArea>
    </format>
    <format dxfId="517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60"/>
          </reference>
          <reference field="18" count="1">
            <x v="104"/>
          </reference>
        </references>
      </pivotArea>
    </format>
    <format dxfId="516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62"/>
          </reference>
          <reference field="18" count="1">
            <x v="109"/>
          </reference>
        </references>
      </pivotArea>
    </format>
    <format dxfId="515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64"/>
          </reference>
          <reference field="18" count="1">
            <x v="9"/>
          </reference>
        </references>
      </pivotArea>
    </format>
    <format dxfId="514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65"/>
          </reference>
          <reference field="18" count="1">
            <x v="10"/>
          </reference>
        </references>
      </pivotArea>
    </format>
    <format dxfId="513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67"/>
          </reference>
          <reference field="18" count="1">
            <x v="25"/>
          </reference>
        </references>
      </pivotArea>
    </format>
    <format dxfId="512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68"/>
          </reference>
          <reference field="18" count="1">
            <x v="4"/>
          </reference>
        </references>
      </pivotArea>
    </format>
    <format dxfId="511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70"/>
          </reference>
          <reference field="18" count="1">
            <x v="6"/>
          </reference>
        </references>
      </pivotArea>
    </format>
    <format dxfId="510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72"/>
          </reference>
          <reference field="18" count="1">
            <x v="72"/>
          </reference>
        </references>
      </pivotArea>
    </format>
    <format dxfId="509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73"/>
          </reference>
          <reference field="18" count="1">
            <x v="73"/>
          </reference>
        </references>
      </pivotArea>
    </format>
    <format dxfId="508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507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506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87"/>
          </reference>
          <reference field="18" count="1">
            <x v="28"/>
          </reference>
        </references>
      </pivotArea>
    </format>
    <format dxfId="505">
      <pivotArea dataOnly="0" labelOnly="1" outline="0" fieldPosition="0">
        <references count="6">
          <reference field="4" count="1" selected="0">
            <x v="3"/>
          </reference>
          <reference field="5" count="0" selected="0"/>
          <reference field="6" count="1" selected="0">
            <x v="3"/>
          </reference>
          <reference field="8" count="1" selected="0">
            <x v="1"/>
          </reference>
          <reference field="17" count="1" selected="0">
            <x v="88"/>
          </reference>
          <reference field="18" count="1">
            <x v="33"/>
          </reference>
        </references>
      </pivotArea>
    </format>
    <format dxfId="504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503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"/>
          </reference>
          <reference field="18" count="1">
            <x v="88"/>
          </reference>
        </references>
      </pivotArea>
    </format>
    <format dxfId="502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3"/>
          </reference>
          <reference field="18" count="1">
            <x v="36"/>
          </reference>
        </references>
      </pivotArea>
    </format>
    <format dxfId="501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4"/>
          </reference>
          <reference field="18" count="1">
            <x v="83"/>
          </reference>
        </references>
      </pivotArea>
    </format>
    <format dxfId="500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"/>
          </reference>
          <reference field="18" count="1">
            <x v="90"/>
          </reference>
        </references>
      </pivotArea>
    </format>
    <format dxfId="499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"/>
          </reference>
          <reference field="18" count="1">
            <x v="93"/>
          </reference>
        </references>
      </pivotArea>
    </format>
    <format dxfId="498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8"/>
          </reference>
          <reference field="18" count="1">
            <x v="94"/>
          </reference>
        </references>
      </pivotArea>
    </format>
    <format dxfId="497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9"/>
          </reference>
          <reference field="18" count="1">
            <x v="96"/>
          </reference>
        </references>
      </pivotArea>
    </format>
    <format dxfId="496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0"/>
          </reference>
          <reference field="18" count="1">
            <x v="95"/>
          </reference>
        </references>
      </pivotArea>
    </format>
    <format dxfId="495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1"/>
          </reference>
          <reference field="18" count="1">
            <x v="8"/>
          </reference>
        </references>
      </pivotArea>
    </format>
    <format dxfId="494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2"/>
          </reference>
          <reference field="18" count="1">
            <x v="82"/>
          </reference>
        </references>
      </pivotArea>
    </format>
    <format dxfId="493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5"/>
          </reference>
          <reference field="18" count="1">
            <x v="18"/>
          </reference>
        </references>
      </pivotArea>
    </format>
    <format dxfId="492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6"/>
          </reference>
          <reference field="18" count="1">
            <x v="38"/>
          </reference>
        </references>
      </pivotArea>
    </format>
    <format dxfId="491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7"/>
          </reference>
          <reference field="18" count="1">
            <x v="47"/>
          </reference>
        </references>
      </pivotArea>
    </format>
    <format dxfId="490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489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9"/>
          </reference>
          <reference field="18" count="1">
            <x v="79"/>
          </reference>
        </references>
      </pivotArea>
    </format>
    <format dxfId="488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20"/>
          </reference>
          <reference field="18" count="1">
            <x v="0"/>
          </reference>
        </references>
      </pivotArea>
    </format>
    <format dxfId="487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21"/>
          </reference>
          <reference field="18" count="1">
            <x v="2"/>
          </reference>
        </references>
      </pivotArea>
    </format>
    <format dxfId="486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22"/>
          </reference>
          <reference field="18" count="1">
            <x v="1"/>
          </reference>
        </references>
      </pivotArea>
    </format>
    <format dxfId="485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23"/>
          </reference>
          <reference field="18" count="1">
            <x v="15"/>
          </reference>
        </references>
      </pivotArea>
    </format>
    <format dxfId="484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24"/>
          </reference>
          <reference field="18" count="1">
            <x v="99"/>
          </reference>
        </references>
      </pivotArea>
    </format>
    <format dxfId="483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25"/>
          </reference>
          <reference field="18" count="1">
            <x v="75"/>
          </reference>
        </references>
      </pivotArea>
    </format>
    <format dxfId="482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26"/>
          </reference>
          <reference field="18" count="1">
            <x v="87"/>
          </reference>
        </references>
      </pivotArea>
    </format>
    <format dxfId="481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27"/>
          </reference>
          <reference field="18" count="1">
            <x v="17"/>
          </reference>
        </references>
      </pivotArea>
    </format>
    <format dxfId="480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28"/>
          </reference>
          <reference field="18" count="1">
            <x v="44"/>
          </reference>
        </references>
      </pivotArea>
    </format>
    <format dxfId="479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30"/>
          </reference>
          <reference field="18" count="1">
            <x v="78"/>
          </reference>
        </references>
      </pivotArea>
    </format>
    <format dxfId="478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33"/>
          </reference>
          <reference field="18" count="1">
            <x v="106"/>
          </reference>
        </references>
      </pivotArea>
    </format>
    <format dxfId="477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34"/>
          </reference>
          <reference field="18" count="1">
            <x v="107"/>
          </reference>
        </references>
      </pivotArea>
    </format>
    <format dxfId="476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36"/>
          </reference>
          <reference field="18" count="1">
            <x v="13"/>
          </reference>
        </references>
      </pivotArea>
    </format>
    <format dxfId="475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37"/>
          </reference>
          <reference field="18" count="1">
            <x v="16"/>
          </reference>
        </references>
      </pivotArea>
    </format>
    <format dxfId="474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38"/>
          </reference>
          <reference field="18" count="1">
            <x v="41"/>
          </reference>
        </references>
      </pivotArea>
    </format>
    <format dxfId="473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39"/>
          </reference>
          <reference field="18" count="1">
            <x v="97"/>
          </reference>
        </references>
      </pivotArea>
    </format>
    <format dxfId="472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41"/>
          </reference>
          <reference field="18" count="1">
            <x v="113"/>
          </reference>
        </references>
      </pivotArea>
    </format>
    <format dxfId="471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42"/>
          </reference>
          <reference field="18" count="1">
            <x v="110"/>
          </reference>
        </references>
      </pivotArea>
    </format>
    <format dxfId="470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43"/>
          </reference>
          <reference field="18" count="1">
            <x v="27"/>
          </reference>
        </references>
      </pivotArea>
    </format>
    <format dxfId="469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44"/>
          </reference>
          <reference field="18" count="1">
            <x v="45"/>
          </reference>
        </references>
      </pivotArea>
    </format>
    <format dxfId="468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45"/>
          </reference>
          <reference field="18" count="1">
            <x v="52"/>
          </reference>
        </references>
      </pivotArea>
    </format>
    <format dxfId="467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46"/>
          </reference>
          <reference field="18" count="1">
            <x v="86"/>
          </reference>
        </references>
      </pivotArea>
    </format>
    <format dxfId="466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48"/>
          </reference>
          <reference field="18" count="1">
            <x v="112"/>
          </reference>
        </references>
      </pivotArea>
    </format>
    <format dxfId="465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49"/>
          </reference>
          <reference field="18" count="1">
            <x v="105"/>
          </reference>
        </references>
      </pivotArea>
    </format>
    <format dxfId="464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0"/>
          </reference>
          <reference field="18" count="1">
            <x v="35"/>
          </reference>
        </references>
      </pivotArea>
    </format>
    <format dxfId="463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1"/>
          </reference>
          <reference field="18" count="1">
            <x v="40"/>
          </reference>
        </references>
      </pivotArea>
    </format>
    <format dxfId="462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2"/>
          </reference>
          <reference field="18" count="1">
            <x v="46"/>
          </reference>
        </references>
      </pivotArea>
    </format>
    <format dxfId="461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3"/>
          </reference>
          <reference field="18" count="1">
            <x v="34"/>
          </reference>
        </references>
      </pivotArea>
    </format>
    <format dxfId="460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4"/>
          </reference>
          <reference field="18" count="1">
            <x v="39"/>
          </reference>
        </references>
      </pivotArea>
    </format>
    <format dxfId="459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5"/>
          </reference>
          <reference field="18" count="1">
            <x v="51"/>
          </reference>
        </references>
      </pivotArea>
    </format>
    <format dxfId="458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7"/>
          </reference>
          <reference field="18" count="1">
            <x v="89"/>
          </reference>
        </references>
      </pivotArea>
    </format>
    <format dxfId="457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8"/>
          </reference>
          <reference field="18" count="1">
            <x v="77"/>
          </reference>
        </references>
      </pivotArea>
    </format>
    <format dxfId="456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59"/>
          </reference>
          <reference field="18" count="1">
            <x v="76"/>
          </reference>
        </references>
      </pivotArea>
    </format>
    <format dxfId="455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60"/>
          </reference>
          <reference field="18" count="1">
            <x v="104"/>
          </reference>
        </references>
      </pivotArea>
    </format>
    <format dxfId="454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61"/>
          </reference>
          <reference field="18" count="1">
            <x v="103"/>
          </reference>
        </references>
      </pivotArea>
    </format>
    <format dxfId="453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62"/>
          </reference>
          <reference field="18" count="1">
            <x v="109"/>
          </reference>
        </references>
      </pivotArea>
    </format>
    <format dxfId="452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63"/>
          </reference>
          <reference field="18" count="1">
            <x v="108"/>
          </reference>
        </references>
      </pivotArea>
    </format>
    <format dxfId="451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65"/>
          </reference>
          <reference field="18" count="1">
            <x v="10"/>
          </reference>
        </references>
      </pivotArea>
    </format>
    <format dxfId="450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67"/>
          </reference>
          <reference field="18" count="1">
            <x v="25"/>
          </reference>
        </references>
      </pivotArea>
    </format>
    <format dxfId="449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68"/>
          </reference>
          <reference field="18" count="1">
            <x v="4"/>
          </reference>
        </references>
      </pivotArea>
    </format>
    <format dxfId="448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69"/>
          </reference>
          <reference field="18" count="1">
            <x v="7"/>
          </reference>
        </references>
      </pivotArea>
    </format>
    <format dxfId="447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0"/>
          </reference>
          <reference field="18" count="1">
            <x v="6"/>
          </reference>
        </references>
      </pivotArea>
    </format>
    <format dxfId="446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1"/>
          </reference>
          <reference field="18" count="1">
            <x v="5"/>
          </reference>
        </references>
      </pivotArea>
    </format>
    <format dxfId="445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2"/>
          </reference>
          <reference field="18" count="1">
            <x v="72"/>
          </reference>
        </references>
      </pivotArea>
    </format>
    <format dxfId="444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3"/>
          </reference>
          <reference field="18" count="1">
            <x v="73"/>
          </reference>
        </references>
      </pivotArea>
    </format>
    <format dxfId="443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4"/>
          </reference>
          <reference field="18" count="1">
            <x v="74"/>
          </reference>
        </references>
      </pivotArea>
    </format>
    <format dxfId="442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5"/>
          </reference>
          <reference field="18" count="1">
            <x v="50"/>
          </reference>
        </references>
      </pivotArea>
    </format>
    <format dxfId="441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7"/>
          </reference>
          <reference field="18" count="1">
            <x v="71"/>
          </reference>
        </references>
      </pivotArea>
    </format>
    <format dxfId="440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8"/>
          </reference>
          <reference field="18" count="1">
            <x v="12"/>
          </reference>
        </references>
      </pivotArea>
    </format>
    <format dxfId="439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79"/>
          </reference>
          <reference field="18" count="1">
            <x v="92"/>
          </reference>
        </references>
      </pivotArea>
    </format>
    <format dxfId="438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80"/>
          </reference>
          <reference field="18" count="1">
            <x v="91"/>
          </reference>
        </references>
      </pivotArea>
    </format>
    <format dxfId="437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81"/>
          </reference>
          <reference field="18" count="1">
            <x v="64"/>
          </reference>
        </references>
      </pivotArea>
    </format>
    <format dxfId="436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82"/>
          </reference>
          <reference field="18" count="1">
            <x v="30"/>
          </reference>
        </references>
      </pivotArea>
    </format>
    <format dxfId="435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434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433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87"/>
          </reference>
          <reference field="18" count="1">
            <x v="28"/>
          </reference>
        </references>
      </pivotArea>
    </format>
    <format dxfId="432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88"/>
          </reference>
          <reference field="18" count="1">
            <x v="33"/>
          </reference>
        </references>
      </pivotArea>
    </format>
    <format dxfId="431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89"/>
          </reference>
          <reference field="18" count="1">
            <x v="102"/>
          </reference>
        </references>
      </pivotArea>
    </format>
    <format dxfId="430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92"/>
          </reference>
          <reference field="18" count="1">
            <x v="69"/>
          </reference>
        </references>
      </pivotArea>
    </format>
    <format dxfId="429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93"/>
          </reference>
          <reference field="18" count="1">
            <x v="59"/>
          </reference>
        </references>
      </pivotArea>
    </format>
    <format dxfId="428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94"/>
          </reference>
          <reference field="18" count="1">
            <x v="63"/>
          </reference>
        </references>
      </pivotArea>
    </format>
    <format dxfId="427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97"/>
          </reference>
          <reference field="18" count="1">
            <x v="114"/>
          </reference>
        </references>
      </pivotArea>
    </format>
    <format dxfId="426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98"/>
          </reference>
          <reference field="18" count="1">
            <x v="49"/>
          </reference>
        </references>
      </pivotArea>
    </format>
    <format dxfId="425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00"/>
          </reference>
          <reference field="18" count="1">
            <x v="101"/>
          </reference>
        </references>
      </pivotArea>
    </format>
    <format dxfId="424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01"/>
          </reference>
          <reference field="18" count="1">
            <x v="57"/>
          </reference>
        </references>
      </pivotArea>
    </format>
    <format dxfId="423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03"/>
          </reference>
          <reference field="18" count="1">
            <x v="60"/>
          </reference>
        </references>
      </pivotArea>
    </format>
    <format dxfId="422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04"/>
          </reference>
          <reference field="18" count="1">
            <x v="67"/>
          </reference>
        </references>
      </pivotArea>
    </format>
    <format dxfId="421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05"/>
          </reference>
          <reference field="18" count="1">
            <x v="65"/>
          </reference>
        </references>
      </pivotArea>
    </format>
    <format dxfId="420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07"/>
          </reference>
          <reference field="18" count="1">
            <x v="68"/>
          </reference>
        </references>
      </pivotArea>
    </format>
    <format dxfId="419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08"/>
          </reference>
          <reference field="18" count="1">
            <x v="22"/>
          </reference>
        </references>
      </pivotArea>
    </format>
    <format dxfId="418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09"/>
          </reference>
          <reference field="18" count="1">
            <x v="24"/>
          </reference>
        </references>
      </pivotArea>
    </format>
    <format dxfId="417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10"/>
          </reference>
          <reference field="18" count="1">
            <x v="29"/>
          </reference>
        </references>
      </pivotArea>
    </format>
    <format dxfId="416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15"/>
          </reference>
          <reference field="18" count="1">
            <x v="23"/>
          </reference>
        </references>
      </pivotArea>
    </format>
    <format dxfId="415">
      <pivotArea dataOnly="0" labelOnly="1" outline="0" fieldPosition="0">
        <references count="6">
          <reference field="4" count="1" selected="0">
            <x v="10"/>
          </reference>
          <reference field="5" count="0" selected="0"/>
          <reference field="6" count="1" selected="0">
            <x v="10"/>
          </reference>
          <reference field="8" count="1" selected="0">
            <x v="1"/>
          </reference>
          <reference field="17" count="1" selected="0">
            <x v="116"/>
          </reference>
          <reference field="18" count="1">
            <x v="14"/>
          </reference>
        </references>
      </pivotArea>
    </format>
    <format dxfId="414">
      <pivotArea dataOnly="0" labelOnly="1" outline="0" fieldPosition="0">
        <references count="6">
          <reference field="4" count="1" selected="0">
            <x v="12"/>
          </reference>
          <reference field="5" count="0" selected="0"/>
          <reference field="6" count="1" selected="0">
            <x v="15"/>
          </reference>
          <reference field="8" count="1" selected="0">
            <x v="1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413">
      <pivotArea dataOnly="0" labelOnly="1" outline="0" fieldPosition="0">
        <references count="6">
          <reference field="4" count="1" selected="0">
            <x v="12"/>
          </reference>
          <reference field="5" count="0" selected="0"/>
          <reference field="6" count="1" selected="0">
            <x v="15"/>
          </reference>
          <reference field="8" count="1" selected="0">
            <x v="1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412">
      <pivotArea dataOnly="0" labelOnly="1" outline="0" fieldPosition="0">
        <references count="6">
          <reference field="4" count="1" selected="0">
            <x v="14"/>
          </reference>
          <reference field="5" count="0" selected="0"/>
          <reference field="6" count="1" selected="0">
            <x v="11"/>
          </reference>
          <reference field="8" count="1" selected="0">
            <x v="1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411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410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"/>
          </reference>
          <reference field="18" count="1">
            <x v="88"/>
          </reference>
        </references>
      </pivotArea>
    </format>
    <format dxfId="409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3"/>
          </reference>
          <reference field="18" count="1">
            <x v="36"/>
          </reference>
        </references>
      </pivotArea>
    </format>
    <format dxfId="408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5"/>
          </reference>
          <reference field="18" count="1">
            <x v="90"/>
          </reference>
        </references>
      </pivotArea>
    </format>
    <format dxfId="407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6"/>
          </reference>
          <reference field="18" count="1">
            <x v="37"/>
          </reference>
        </references>
      </pivotArea>
    </format>
    <format dxfId="406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7"/>
          </reference>
          <reference field="18" count="1">
            <x v="93"/>
          </reference>
        </references>
      </pivotArea>
    </format>
    <format dxfId="405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8"/>
          </reference>
          <reference field="18" count="1">
            <x v="94"/>
          </reference>
        </references>
      </pivotArea>
    </format>
    <format dxfId="404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9"/>
          </reference>
          <reference field="18" count="1">
            <x v="96"/>
          </reference>
        </references>
      </pivotArea>
    </format>
    <format dxfId="403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0"/>
          </reference>
          <reference field="18" count="1">
            <x v="95"/>
          </reference>
        </references>
      </pivotArea>
    </format>
    <format dxfId="402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5"/>
          </reference>
          <reference field="18" count="1">
            <x v="18"/>
          </reference>
        </references>
      </pivotArea>
    </format>
    <format dxfId="401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6"/>
          </reference>
          <reference field="18" count="1">
            <x v="38"/>
          </reference>
        </references>
      </pivotArea>
    </format>
    <format dxfId="400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7"/>
          </reference>
          <reference field="18" count="1">
            <x v="47"/>
          </reference>
        </references>
      </pivotArea>
    </format>
    <format dxfId="399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398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21"/>
          </reference>
          <reference field="18" count="1">
            <x v="2"/>
          </reference>
        </references>
      </pivotArea>
    </format>
    <format dxfId="397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23"/>
          </reference>
          <reference field="18" count="1">
            <x v="15"/>
          </reference>
        </references>
      </pivotArea>
    </format>
    <format dxfId="396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24"/>
          </reference>
          <reference field="18" count="1">
            <x v="99"/>
          </reference>
        </references>
      </pivotArea>
    </format>
    <format dxfId="395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25"/>
          </reference>
          <reference field="18" count="1">
            <x v="75"/>
          </reference>
        </references>
      </pivotArea>
    </format>
    <format dxfId="394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26"/>
          </reference>
          <reference field="18" count="1">
            <x v="87"/>
          </reference>
        </references>
      </pivotArea>
    </format>
    <format dxfId="393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29"/>
          </reference>
          <reference field="18" count="1">
            <x v="84"/>
          </reference>
        </references>
      </pivotArea>
    </format>
    <format dxfId="392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30"/>
          </reference>
          <reference field="18" count="1">
            <x v="78"/>
          </reference>
        </references>
      </pivotArea>
    </format>
    <format dxfId="391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32"/>
          </reference>
          <reference field="18" count="1">
            <x v="62"/>
          </reference>
        </references>
      </pivotArea>
    </format>
    <format dxfId="390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33"/>
          </reference>
          <reference field="18" count="1">
            <x v="106"/>
          </reference>
        </references>
      </pivotArea>
    </format>
    <format dxfId="389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34"/>
          </reference>
          <reference field="18" count="1">
            <x v="107"/>
          </reference>
        </references>
      </pivotArea>
    </format>
    <format dxfId="388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37"/>
          </reference>
          <reference field="18" count="1">
            <x v="16"/>
          </reference>
        </references>
      </pivotArea>
    </format>
    <format dxfId="387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39"/>
          </reference>
          <reference field="18" count="1">
            <x v="97"/>
          </reference>
        </references>
      </pivotArea>
    </format>
    <format dxfId="386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40"/>
          </reference>
          <reference field="18" count="1">
            <x v="53"/>
          </reference>
        </references>
      </pivotArea>
    </format>
    <format dxfId="385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41"/>
          </reference>
          <reference field="18" count="1">
            <x v="113"/>
          </reference>
        </references>
      </pivotArea>
    </format>
    <format dxfId="384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42"/>
          </reference>
          <reference field="18" count="1">
            <x v="110"/>
          </reference>
        </references>
      </pivotArea>
    </format>
    <format dxfId="383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45"/>
          </reference>
          <reference field="18" count="1">
            <x v="52"/>
          </reference>
        </references>
      </pivotArea>
    </format>
    <format dxfId="382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46"/>
          </reference>
          <reference field="18" count="1">
            <x v="86"/>
          </reference>
        </references>
      </pivotArea>
    </format>
    <format dxfId="381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47"/>
          </reference>
          <reference field="18" count="1">
            <x v="85"/>
          </reference>
        </references>
      </pivotArea>
    </format>
    <format dxfId="380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49"/>
          </reference>
          <reference field="18" count="1">
            <x v="105"/>
          </reference>
        </references>
      </pivotArea>
    </format>
    <format dxfId="379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54"/>
          </reference>
          <reference field="18" count="1">
            <x v="39"/>
          </reference>
        </references>
      </pivotArea>
    </format>
    <format dxfId="378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55"/>
          </reference>
          <reference field="18" count="1">
            <x v="51"/>
          </reference>
        </references>
      </pivotArea>
    </format>
    <format dxfId="377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57"/>
          </reference>
          <reference field="18" count="1">
            <x v="89"/>
          </reference>
        </references>
      </pivotArea>
    </format>
    <format dxfId="376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58"/>
          </reference>
          <reference field="18" count="1">
            <x v="77"/>
          </reference>
        </references>
      </pivotArea>
    </format>
    <format dxfId="375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61"/>
          </reference>
          <reference field="18" count="1">
            <x v="103"/>
          </reference>
        </references>
      </pivotArea>
    </format>
    <format dxfId="374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62"/>
          </reference>
          <reference field="18" count="1">
            <x v="109"/>
          </reference>
        </references>
      </pivotArea>
    </format>
    <format dxfId="373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63"/>
          </reference>
          <reference field="18" count="1">
            <x v="108"/>
          </reference>
        </references>
      </pivotArea>
    </format>
    <format dxfId="372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64"/>
          </reference>
          <reference field="18" count="1">
            <x v="9"/>
          </reference>
        </references>
      </pivotArea>
    </format>
    <format dxfId="371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65"/>
          </reference>
          <reference field="18" count="1">
            <x v="10"/>
          </reference>
        </references>
      </pivotArea>
    </format>
    <format dxfId="370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66"/>
          </reference>
          <reference field="18" count="1">
            <x v="3"/>
          </reference>
        </references>
      </pivotArea>
    </format>
    <format dxfId="369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68"/>
          </reference>
          <reference field="18" count="1">
            <x v="4"/>
          </reference>
        </references>
      </pivotArea>
    </format>
    <format dxfId="368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69"/>
          </reference>
          <reference field="18" count="1">
            <x v="7"/>
          </reference>
        </references>
      </pivotArea>
    </format>
    <format dxfId="367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70"/>
          </reference>
          <reference field="18" count="1">
            <x v="6"/>
          </reference>
        </references>
      </pivotArea>
    </format>
    <format dxfId="366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71"/>
          </reference>
          <reference field="18" count="1">
            <x v="5"/>
          </reference>
        </references>
      </pivotArea>
    </format>
    <format dxfId="365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72"/>
          </reference>
          <reference field="18" count="1">
            <x v="72"/>
          </reference>
        </references>
      </pivotArea>
    </format>
    <format dxfId="364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73"/>
          </reference>
          <reference field="18" count="1">
            <x v="73"/>
          </reference>
        </references>
      </pivotArea>
    </format>
    <format dxfId="363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74"/>
          </reference>
          <reference field="18" count="1">
            <x v="74"/>
          </reference>
        </references>
      </pivotArea>
    </format>
    <format dxfId="362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76"/>
          </reference>
          <reference field="18" count="1">
            <x v="111"/>
          </reference>
        </references>
      </pivotArea>
    </format>
    <format dxfId="361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77"/>
          </reference>
          <reference field="18" count="1">
            <x v="71"/>
          </reference>
        </references>
      </pivotArea>
    </format>
    <format dxfId="360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79"/>
          </reference>
          <reference field="18" count="1">
            <x v="92"/>
          </reference>
        </references>
      </pivotArea>
    </format>
    <format dxfId="359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80"/>
          </reference>
          <reference field="18" count="1">
            <x v="91"/>
          </reference>
        </references>
      </pivotArea>
    </format>
    <format dxfId="358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81"/>
          </reference>
          <reference field="18" count="1">
            <x v="64"/>
          </reference>
        </references>
      </pivotArea>
    </format>
    <format dxfId="357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83"/>
          </reference>
          <reference field="18" count="1">
            <x v="20"/>
          </reference>
        </references>
      </pivotArea>
    </format>
    <format dxfId="356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355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354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87"/>
          </reference>
          <reference field="18" count="1">
            <x v="28"/>
          </reference>
        </references>
      </pivotArea>
    </format>
    <format dxfId="353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94"/>
          </reference>
          <reference field="18" count="1">
            <x v="63"/>
          </reference>
        </references>
      </pivotArea>
    </format>
    <format dxfId="352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95"/>
          </reference>
          <reference field="18" count="1">
            <x v="115"/>
          </reference>
        </references>
      </pivotArea>
    </format>
    <format dxfId="351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96"/>
          </reference>
          <reference field="18" count="1">
            <x v="116"/>
          </reference>
        </references>
      </pivotArea>
    </format>
    <format dxfId="350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98"/>
          </reference>
          <reference field="18" count="1">
            <x v="49"/>
          </reference>
        </references>
      </pivotArea>
    </format>
    <format dxfId="349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01"/>
          </reference>
          <reference field="18" count="1">
            <x v="57"/>
          </reference>
        </references>
      </pivotArea>
    </format>
    <format dxfId="348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02"/>
          </reference>
          <reference field="18" count="1">
            <x v="61"/>
          </reference>
        </references>
      </pivotArea>
    </format>
    <format dxfId="347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03"/>
          </reference>
          <reference field="18" count="1">
            <x v="60"/>
          </reference>
        </references>
      </pivotArea>
    </format>
    <format dxfId="346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04"/>
          </reference>
          <reference field="18" count="1">
            <x v="67"/>
          </reference>
        </references>
      </pivotArea>
    </format>
    <format dxfId="345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05"/>
          </reference>
          <reference field="18" count="1">
            <x v="65"/>
          </reference>
        </references>
      </pivotArea>
    </format>
    <format dxfId="344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06"/>
          </reference>
          <reference field="18" count="1">
            <x v="70"/>
          </reference>
        </references>
      </pivotArea>
    </format>
    <format dxfId="343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07"/>
          </reference>
          <reference field="18" count="1">
            <x v="68"/>
          </reference>
        </references>
      </pivotArea>
    </format>
    <format dxfId="342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08"/>
          </reference>
          <reference field="18" count="1">
            <x v="22"/>
          </reference>
        </references>
      </pivotArea>
    </format>
    <format dxfId="341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10"/>
          </reference>
          <reference field="18" count="1">
            <x v="29"/>
          </reference>
        </references>
      </pivotArea>
    </format>
    <format dxfId="340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13"/>
          </reference>
          <reference field="18" count="1">
            <x v="56"/>
          </reference>
        </references>
      </pivotArea>
    </format>
    <format dxfId="339">
      <pivotArea dataOnly="0" labelOnly="1" outline="0" fieldPosition="0">
        <references count="6">
          <reference field="4" count="1" selected="0">
            <x v="0"/>
          </reference>
          <reference field="5" count="0" selected="0"/>
          <reference field="6" count="1" selected="0">
            <x v="0"/>
          </reference>
          <reference field="8" count="1" selected="0">
            <x v="2"/>
          </reference>
          <reference field="17" count="1" selected="0">
            <x v="116"/>
          </reference>
          <reference field="18" count="1">
            <x v="14"/>
          </reference>
        </references>
      </pivotArea>
    </format>
    <format dxfId="338">
      <pivotArea dataOnly="0" labelOnly="1" outline="0" fieldPosition="0">
        <references count="6">
          <reference field="4" count="1" selected="0">
            <x v="6"/>
          </reference>
          <reference field="5" count="0" selected="0"/>
          <reference field="6" count="1" selected="0">
            <x v="6"/>
          </reference>
          <reference field="8" count="1" selected="0">
            <x v="2"/>
          </reference>
          <reference field="17" count="1" selected="0">
            <x v="8"/>
          </reference>
          <reference field="18" count="1">
            <x v="94"/>
          </reference>
        </references>
      </pivotArea>
    </format>
    <format dxfId="337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33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2"/>
          </reference>
          <reference field="18" count="1">
            <x v="100"/>
          </reference>
        </references>
      </pivotArea>
    </format>
    <format dxfId="335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3"/>
          </reference>
          <reference field="18" count="1">
            <x v="36"/>
          </reference>
        </references>
      </pivotArea>
    </format>
    <format dxfId="334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5"/>
          </reference>
          <reference field="18" count="1">
            <x v="90"/>
          </reference>
        </references>
      </pivotArea>
    </format>
    <format dxfId="333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8"/>
          </reference>
          <reference field="18" count="1">
            <x v="94"/>
          </reference>
        </references>
      </pivotArea>
    </format>
    <format dxfId="332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9"/>
          </reference>
          <reference field="18" count="1">
            <x v="96"/>
          </reference>
        </references>
      </pivotArea>
    </format>
    <format dxfId="331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2"/>
          </reference>
          <reference field="18" count="1">
            <x v="82"/>
          </reference>
        </references>
      </pivotArea>
    </format>
    <format dxfId="330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5"/>
          </reference>
          <reference field="18" count="1">
            <x v="18"/>
          </reference>
        </references>
      </pivotArea>
    </format>
    <format dxfId="329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6"/>
          </reference>
          <reference field="18" count="1">
            <x v="38"/>
          </reference>
        </references>
      </pivotArea>
    </format>
    <format dxfId="328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7"/>
          </reference>
          <reference field="18" count="1">
            <x v="47"/>
          </reference>
        </references>
      </pivotArea>
    </format>
    <format dxfId="327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32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21"/>
          </reference>
          <reference field="18" count="1">
            <x v="2"/>
          </reference>
        </references>
      </pivotArea>
    </format>
    <format dxfId="325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22"/>
          </reference>
          <reference field="18" count="1">
            <x v="1"/>
          </reference>
        </references>
      </pivotArea>
    </format>
    <format dxfId="324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24"/>
          </reference>
          <reference field="18" count="1">
            <x v="99"/>
          </reference>
        </references>
      </pivotArea>
    </format>
    <format dxfId="323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25"/>
          </reference>
          <reference field="18" count="1">
            <x v="75"/>
          </reference>
        </references>
      </pivotArea>
    </format>
    <format dxfId="322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29"/>
          </reference>
          <reference field="18" count="1">
            <x v="84"/>
          </reference>
        </references>
      </pivotArea>
    </format>
    <format dxfId="321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30"/>
          </reference>
          <reference field="18" count="1">
            <x v="78"/>
          </reference>
        </references>
      </pivotArea>
    </format>
    <format dxfId="320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31"/>
          </reference>
          <reference field="18" count="1">
            <x v="58"/>
          </reference>
        </references>
      </pivotArea>
    </format>
    <format dxfId="319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32"/>
          </reference>
          <reference field="18" count="1">
            <x v="62"/>
          </reference>
        </references>
      </pivotArea>
    </format>
    <format dxfId="318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33"/>
          </reference>
          <reference field="18" count="1">
            <x v="106"/>
          </reference>
        </references>
      </pivotArea>
    </format>
    <format dxfId="317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34"/>
          </reference>
          <reference field="18" count="1">
            <x v="107"/>
          </reference>
        </references>
      </pivotArea>
    </format>
    <format dxfId="31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37"/>
          </reference>
          <reference field="18" count="1">
            <x v="16"/>
          </reference>
        </references>
      </pivotArea>
    </format>
    <format dxfId="315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39"/>
          </reference>
          <reference field="18" count="1">
            <x v="97"/>
          </reference>
        </references>
      </pivotArea>
    </format>
    <format dxfId="314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40"/>
          </reference>
          <reference field="18" count="1">
            <x v="53"/>
          </reference>
        </references>
      </pivotArea>
    </format>
    <format dxfId="313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41"/>
          </reference>
          <reference field="18" count="1">
            <x v="113"/>
          </reference>
        </references>
      </pivotArea>
    </format>
    <format dxfId="312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42"/>
          </reference>
          <reference field="18" count="1">
            <x v="110"/>
          </reference>
        </references>
      </pivotArea>
    </format>
    <format dxfId="311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45"/>
          </reference>
          <reference field="18" count="1">
            <x v="52"/>
          </reference>
        </references>
      </pivotArea>
    </format>
    <format dxfId="310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46"/>
          </reference>
          <reference field="18" count="1">
            <x v="86"/>
          </reference>
        </references>
      </pivotArea>
    </format>
    <format dxfId="309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47"/>
          </reference>
          <reference field="18" count="1">
            <x v="85"/>
          </reference>
        </references>
      </pivotArea>
    </format>
    <format dxfId="308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48"/>
          </reference>
          <reference field="18" count="1">
            <x v="112"/>
          </reference>
        </references>
      </pivotArea>
    </format>
    <format dxfId="307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49"/>
          </reference>
          <reference field="18" count="1">
            <x v="105"/>
          </reference>
        </references>
      </pivotArea>
    </format>
    <format dxfId="30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50"/>
          </reference>
          <reference field="18" count="1">
            <x v="35"/>
          </reference>
        </references>
      </pivotArea>
    </format>
    <format dxfId="305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54"/>
          </reference>
          <reference field="18" count="1">
            <x v="39"/>
          </reference>
        </references>
      </pivotArea>
    </format>
    <format dxfId="304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55"/>
          </reference>
          <reference field="18" count="1">
            <x v="51"/>
          </reference>
        </references>
      </pivotArea>
    </format>
    <format dxfId="303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57"/>
          </reference>
          <reference field="18" count="1">
            <x v="89"/>
          </reference>
        </references>
      </pivotArea>
    </format>
    <format dxfId="302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58"/>
          </reference>
          <reference field="18" count="1">
            <x v="77"/>
          </reference>
        </references>
      </pivotArea>
    </format>
    <format dxfId="301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59"/>
          </reference>
          <reference field="18" count="1">
            <x v="76"/>
          </reference>
        </references>
      </pivotArea>
    </format>
    <format dxfId="300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60"/>
          </reference>
          <reference field="18" count="1">
            <x v="104"/>
          </reference>
        </references>
      </pivotArea>
    </format>
    <format dxfId="299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61"/>
          </reference>
          <reference field="18" count="1">
            <x v="103"/>
          </reference>
        </references>
      </pivotArea>
    </format>
    <format dxfId="298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62"/>
          </reference>
          <reference field="18" count="1">
            <x v="109"/>
          </reference>
        </references>
      </pivotArea>
    </format>
    <format dxfId="297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63"/>
          </reference>
          <reference field="18" count="1">
            <x v="108"/>
          </reference>
        </references>
      </pivotArea>
    </format>
    <format dxfId="29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64"/>
          </reference>
          <reference field="18" count="1">
            <x v="9"/>
          </reference>
        </references>
      </pivotArea>
    </format>
    <format dxfId="295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65"/>
          </reference>
          <reference field="18" count="1">
            <x v="10"/>
          </reference>
        </references>
      </pivotArea>
    </format>
    <format dxfId="294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66"/>
          </reference>
          <reference field="18" count="1">
            <x v="3"/>
          </reference>
        </references>
      </pivotArea>
    </format>
    <format dxfId="293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67"/>
          </reference>
          <reference field="18" count="1">
            <x v="25"/>
          </reference>
        </references>
      </pivotArea>
    </format>
    <format dxfId="292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69"/>
          </reference>
          <reference field="18" count="1">
            <x v="7"/>
          </reference>
        </references>
      </pivotArea>
    </format>
    <format dxfId="291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70"/>
          </reference>
          <reference field="18" count="1">
            <x v="6"/>
          </reference>
        </references>
      </pivotArea>
    </format>
    <format dxfId="290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71"/>
          </reference>
          <reference field="18" count="1">
            <x v="5"/>
          </reference>
        </references>
      </pivotArea>
    </format>
    <format dxfId="289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72"/>
          </reference>
          <reference field="18" count="1">
            <x v="72"/>
          </reference>
        </references>
      </pivotArea>
    </format>
    <format dxfId="288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73"/>
          </reference>
          <reference field="18" count="1">
            <x v="73"/>
          </reference>
        </references>
      </pivotArea>
    </format>
    <format dxfId="287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74"/>
          </reference>
          <reference field="18" count="1">
            <x v="74"/>
          </reference>
        </references>
      </pivotArea>
    </format>
    <format dxfId="28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75"/>
          </reference>
          <reference field="18" count="1">
            <x v="50"/>
          </reference>
        </references>
      </pivotArea>
    </format>
    <format dxfId="285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76"/>
          </reference>
          <reference field="18" count="1">
            <x v="111"/>
          </reference>
        </references>
      </pivotArea>
    </format>
    <format dxfId="284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77"/>
          </reference>
          <reference field="18" count="1">
            <x v="71"/>
          </reference>
        </references>
      </pivotArea>
    </format>
    <format dxfId="283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79"/>
          </reference>
          <reference field="18" count="1">
            <x v="92"/>
          </reference>
        </references>
      </pivotArea>
    </format>
    <format dxfId="282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80"/>
          </reference>
          <reference field="18" count="1">
            <x v="91"/>
          </reference>
        </references>
      </pivotArea>
    </format>
    <format dxfId="281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81"/>
          </reference>
          <reference field="18" count="1">
            <x v="64"/>
          </reference>
        </references>
      </pivotArea>
    </format>
    <format dxfId="280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83"/>
          </reference>
          <reference field="18" count="1">
            <x v="20"/>
          </reference>
        </references>
      </pivotArea>
    </format>
    <format dxfId="279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278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277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87"/>
          </reference>
          <reference field="18" count="1">
            <x v="28"/>
          </reference>
        </references>
      </pivotArea>
    </format>
    <format dxfId="27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88"/>
          </reference>
          <reference field="18" count="1">
            <x v="33"/>
          </reference>
        </references>
      </pivotArea>
    </format>
    <format dxfId="275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89"/>
          </reference>
          <reference field="18" count="1">
            <x v="102"/>
          </reference>
        </references>
      </pivotArea>
    </format>
    <format dxfId="274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90"/>
          </reference>
          <reference field="18" count="1">
            <x v="42"/>
          </reference>
        </references>
      </pivotArea>
    </format>
    <format dxfId="273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93"/>
          </reference>
          <reference field="18" count="1">
            <x v="59"/>
          </reference>
        </references>
      </pivotArea>
    </format>
    <format dxfId="272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94"/>
          </reference>
          <reference field="18" count="1">
            <x v="63"/>
          </reference>
        </references>
      </pivotArea>
    </format>
    <format dxfId="271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95"/>
          </reference>
          <reference field="18" count="1">
            <x v="115"/>
          </reference>
        </references>
      </pivotArea>
    </format>
    <format dxfId="270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96"/>
          </reference>
          <reference field="18" count="1">
            <x v="116"/>
          </reference>
        </references>
      </pivotArea>
    </format>
    <format dxfId="269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98"/>
          </reference>
          <reference field="18" count="1">
            <x v="49"/>
          </reference>
        </references>
      </pivotArea>
    </format>
    <format dxfId="268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0"/>
          </reference>
          <reference field="18" count="1">
            <x v="101"/>
          </reference>
        </references>
      </pivotArea>
    </format>
    <format dxfId="267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1"/>
          </reference>
          <reference field="18" count="1">
            <x v="57"/>
          </reference>
        </references>
      </pivotArea>
    </format>
    <format dxfId="26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2"/>
          </reference>
          <reference field="18" count="1">
            <x v="61"/>
          </reference>
        </references>
      </pivotArea>
    </format>
    <format dxfId="265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3"/>
          </reference>
          <reference field="18" count="1">
            <x v="60"/>
          </reference>
        </references>
      </pivotArea>
    </format>
    <format dxfId="264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4"/>
          </reference>
          <reference field="18" count="1">
            <x v="67"/>
          </reference>
        </references>
      </pivotArea>
    </format>
    <format dxfId="263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5"/>
          </reference>
          <reference field="18" count="1">
            <x v="65"/>
          </reference>
        </references>
      </pivotArea>
    </format>
    <format dxfId="262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6"/>
          </reference>
          <reference field="18" count="1">
            <x v="70"/>
          </reference>
        </references>
      </pivotArea>
    </format>
    <format dxfId="261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7"/>
          </reference>
          <reference field="18" count="1">
            <x v="68"/>
          </reference>
        </references>
      </pivotArea>
    </format>
    <format dxfId="260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8"/>
          </reference>
          <reference field="18" count="1">
            <x v="22"/>
          </reference>
        </references>
      </pivotArea>
    </format>
    <format dxfId="259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09"/>
          </reference>
          <reference field="18" count="1">
            <x v="24"/>
          </reference>
        </references>
      </pivotArea>
    </format>
    <format dxfId="258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10"/>
          </reference>
          <reference field="18" count="1">
            <x v="29"/>
          </reference>
        </references>
      </pivotArea>
    </format>
    <format dxfId="257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13"/>
          </reference>
          <reference field="18" count="1">
            <x v="56"/>
          </reference>
        </references>
      </pivotArea>
    </format>
    <format dxfId="25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14"/>
          </reference>
          <reference field="18" count="1">
            <x v="54"/>
          </reference>
        </references>
      </pivotArea>
    </format>
    <format dxfId="255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116"/>
          </reference>
          <reference field="18" count="1">
            <x v="14"/>
          </reference>
        </references>
      </pivotArea>
    </format>
    <format dxfId="254">
      <pivotArea dataOnly="0" labelOnly="1" outline="0" fieldPosition="0">
        <references count="6">
          <reference field="4" count="1" selected="0">
            <x v="13"/>
          </reference>
          <reference field="5" count="0" selected="0"/>
          <reference field="6" count="1" selected="0">
            <x v="12"/>
          </reference>
          <reference field="8" count="1" selected="0">
            <x v="2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253">
      <pivotArea dataOnly="0" labelOnly="1" outline="0" fieldPosition="0">
        <references count="6">
          <reference field="4" count="1" selected="0">
            <x v="13"/>
          </reference>
          <reference field="5" count="0" selected="0"/>
          <reference field="6" count="1" selected="0">
            <x v="12"/>
          </reference>
          <reference field="8" count="1" selected="0">
            <x v="2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252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251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"/>
          </reference>
          <reference field="18" count="1">
            <x v="88"/>
          </reference>
        </references>
      </pivotArea>
    </format>
    <format dxfId="250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3"/>
          </reference>
          <reference field="18" count="1">
            <x v="36"/>
          </reference>
        </references>
      </pivotArea>
    </format>
    <format dxfId="249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5"/>
          </reference>
          <reference field="18" count="1">
            <x v="90"/>
          </reference>
        </references>
      </pivotArea>
    </format>
    <format dxfId="248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"/>
          </reference>
          <reference field="18" count="1">
            <x v="93"/>
          </reference>
        </references>
      </pivotArea>
    </format>
    <format dxfId="247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9"/>
          </reference>
          <reference field="18" count="1">
            <x v="96"/>
          </reference>
        </references>
      </pivotArea>
    </format>
    <format dxfId="246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"/>
          </reference>
          <reference field="18" count="1">
            <x v="95"/>
          </reference>
        </references>
      </pivotArea>
    </format>
    <format dxfId="245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2"/>
          </reference>
          <reference field="18" count="1">
            <x v="82"/>
          </reference>
        </references>
      </pivotArea>
    </format>
    <format dxfId="244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5"/>
          </reference>
          <reference field="18" count="1">
            <x v="18"/>
          </reference>
        </references>
      </pivotArea>
    </format>
    <format dxfId="243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6"/>
          </reference>
          <reference field="18" count="1">
            <x v="38"/>
          </reference>
        </references>
      </pivotArea>
    </format>
    <format dxfId="242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7"/>
          </reference>
          <reference field="18" count="1">
            <x v="47"/>
          </reference>
        </references>
      </pivotArea>
    </format>
    <format dxfId="241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240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20"/>
          </reference>
          <reference field="18" count="1">
            <x v="0"/>
          </reference>
        </references>
      </pivotArea>
    </format>
    <format dxfId="239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21"/>
          </reference>
          <reference field="18" count="1">
            <x v="2"/>
          </reference>
        </references>
      </pivotArea>
    </format>
    <format dxfId="238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22"/>
          </reference>
          <reference field="18" count="1">
            <x v="1"/>
          </reference>
        </references>
      </pivotArea>
    </format>
    <format dxfId="237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23"/>
          </reference>
          <reference field="18" count="1">
            <x v="15"/>
          </reference>
        </references>
      </pivotArea>
    </format>
    <format dxfId="236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24"/>
          </reference>
          <reference field="18" count="1">
            <x v="99"/>
          </reference>
        </references>
      </pivotArea>
    </format>
    <format dxfId="235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25"/>
          </reference>
          <reference field="18" count="1">
            <x v="75"/>
          </reference>
        </references>
      </pivotArea>
    </format>
    <format dxfId="234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26"/>
          </reference>
          <reference field="18" count="1">
            <x v="87"/>
          </reference>
        </references>
      </pivotArea>
    </format>
    <format dxfId="233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31"/>
          </reference>
          <reference field="18" count="1">
            <x v="58"/>
          </reference>
        </references>
      </pivotArea>
    </format>
    <format dxfId="232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32"/>
          </reference>
          <reference field="18" count="1">
            <x v="62"/>
          </reference>
        </references>
      </pivotArea>
    </format>
    <format dxfId="231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33"/>
          </reference>
          <reference field="18" count="1">
            <x v="106"/>
          </reference>
        </references>
      </pivotArea>
    </format>
    <format dxfId="230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34"/>
          </reference>
          <reference field="18" count="1">
            <x v="107"/>
          </reference>
        </references>
      </pivotArea>
    </format>
    <format dxfId="229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37"/>
          </reference>
          <reference field="18" count="1">
            <x v="16"/>
          </reference>
        </references>
      </pivotArea>
    </format>
    <format dxfId="228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39"/>
          </reference>
          <reference field="18" count="1">
            <x v="97"/>
          </reference>
        </references>
      </pivotArea>
    </format>
    <format dxfId="227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41"/>
          </reference>
          <reference field="18" count="1">
            <x v="113"/>
          </reference>
        </references>
      </pivotArea>
    </format>
    <format dxfId="226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43"/>
          </reference>
          <reference field="18" count="1">
            <x v="27"/>
          </reference>
        </references>
      </pivotArea>
    </format>
    <format dxfId="225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45"/>
          </reference>
          <reference field="18" count="1">
            <x v="52"/>
          </reference>
        </references>
      </pivotArea>
    </format>
    <format dxfId="224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46"/>
          </reference>
          <reference field="18" count="1">
            <x v="86"/>
          </reference>
        </references>
      </pivotArea>
    </format>
    <format dxfId="223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47"/>
          </reference>
          <reference field="18" count="1">
            <x v="85"/>
          </reference>
        </references>
      </pivotArea>
    </format>
    <format dxfId="222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49"/>
          </reference>
          <reference field="18" count="1">
            <x v="105"/>
          </reference>
        </references>
      </pivotArea>
    </format>
    <format dxfId="221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50"/>
          </reference>
          <reference field="18" count="1">
            <x v="35"/>
          </reference>
        </references>
      </pivotArea>
    </format>
    <format dxfId="220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51"/>
          </reference>
          <reference field="18" count="1">
            <x v="40"/>
          </reference>
        </references>
      </pivotArea>
    </format>
    <format dxfId="219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52"/>
          </reference>
          <reference field="18" count="1">
            <x v="46"/>
          </reference>
        </references>
      </pivotArea>
    </format>
    <format dxfId="218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53"/>
          </reference>
          <reference field="18" count="1">
            <x v="34"/>
          </reference>
        </references>
      </pivotArea>
    </format>
    <format dxfId="217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55"/>
          </reference>
          <reference field="18" count="1">
            <x v="51"/>
          </reference>
        </references>
      </pivotArea>
    </format>
    <format dxfId="216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57"/>
          </reference>
          <reference field="18" count="1">
            <x v="89"/>
          </reference>
        </references>
      </pivotArea>
    </format>
    <format dxfId="215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60"/>
          </reference>
          <reference field="18" count="1">
            <x v="104"/>
          </reference>
        </references>
      </pivotArea>
    </format>
    <format dxfId="214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61"/>
          </reference>
          <reference field="18" count="1">
            <x v="103"/>
          </reference>
        </references>
      </pivotArea>
    </format>
    <format dxfId="213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62"/>
          </reference>
          <reference field="18" count="1">
            <x v="109"/>
          </reference>
        </references>
      </pivotArea>
    </format>
    <format dxfId="212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63"/>
          </reference>
          <reference field="18" count="1">
            <x v="108"/>
          </reference>
        </references>
      </pivotArea>
    </format>
    <format dxfId="211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64"/>
          </reference>
          <reference field="18" count="1">
            <x v="9"/>
          </reference>
        </references>
      </pivotArea>
    </format>
    <format dxfId="210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65"/>
          </reference>
          <reference field="18" count="1">
            <x v="10"/>
          </reference>
        </references>
      </pivotArea>
    </format>
    <format dxfId="209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68"/>
          </reference>
          <reference field="18" count="1">
            <x v="4"/>
          </reference>
        </references>
      </pivotArea>
    </format>
    <format dxfId="208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69"/>
          </reference>
          <reference field="18" count="1">
            <x v="7"/>
          </reference>
        </references>
      </pivotArea>
    </format>
    <format dxfId="207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0"/>
          </reference>
          <reference field="18" count="1">
            <x v="6"/>
          </reference>
        </references>
      </pivotArea>
    </format>
    <format dxfId="206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1"/>
          </reference>
          <reference field="18" count="1">
            <x v="5"/>
          </reference>
        </references>
      </pivotArea>
    </format>
    <format dxfId="205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2"/>
          </reference>
          <reference field="18" count="1">
            <x v="72"/>
          </reference>
        </references>
      </pivotArea>
    </format>
    <format dxfId="204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3"/>
          </reference>
          <reference field="18" count="1">
            <x v="73"/>
          </reference>
        </references>
      </pivotArea>
    </format>
    <format dxfId="203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4"/>
          </reference>
          <reference field="18" count="1">
            <x v="74"/>
          </reference>
        </references>
      </pivotArea>
    </format>
    <format dxfId="202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5"/>
          </reference>
          <reference field="18" count="1">
            <x v="50"/>
          </reference>
        </references>
      </pivotArea>
    </format>
    <format dxfId="201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6"/>
          </reference>
          <reference field="18" count="1">
            <x v="111"/>
          </reference>
        </references>
      </pivotArea>
    </format>
    <format dxfId="200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7"/>
          </reference>
          <reference field="18" count="1">
            <x v="71"/>
          </reference>
        </references>
      </pivotArea>
    </format>
    <format dxfId="199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79"/>
          </reference>
          <reference field="18" count="1">
            <x v="92"/>
          </reference>
        </references>
      </pivotArea>
    </format>
    <format dxfId="198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80"/>
          </reference>
          <reference field="18" count="1">
            <x v="91"/>
          </reference>
        </references>
      </pivotArea>
    </format>
    <format dxfId="197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81"/>
          </reference>
          <reference field="18" count="1">
            <x v="64"/>
          </reference>
        </references>
      </pivotArea>
    </format>
    <format dxfId="196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195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194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87"/>
          </reference>
          <reference field="18" count="1">
            <x v="28"/>
          </reference>
        </references>
      </pivotArea>
    </format>
    <format dxfId="193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93"/>
          </reference>
          <reference field="18" count="1">
            <x v="59"/>
          </reference>
        </references>
      </pivotArea>
    </format>
    <format dxfId="192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94"/>
          </reference>
          <reference field="18" count="1">
            <x v="63"/>
          </reference>
        </references>
      </pivotArea>
    </format>
    <format dxfId="191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95"/>
          </reference>
          <reference field="18" count="1">
            <x v="115"/>
          </reference>
        </references>
      </pivotArea>
    </format>
    <format dxfId="190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96"/>
          </reference>
          <reference field="18" count="1">
            <x v="116"/>
          </reference>
        </references>
      </pivotArea>
    </format>
    <format dxfId="189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97"/>
          </reference>
          <reference field="18" count="1">
            <x v="114"/>
          </reference>
        </references>
      </pivotArea>
    </format>
    <format dxfId="188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98"/>
          </reference>
          <reference field="18" count="1">
            <x v="49"/>
          </reference>
        </references>
      </pivotArea>
    </format>
    <format dxfId="187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99"/>
          </reference>
          <reference field="18" count="1">
            <x v="66"/>
          </reference>
        </references>
      </pivotArea>
    </format>
    <format dxfId="186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1"/>
          </reference>
          <reference field="18" count="1">
            <x v="57"/>
          </reference>
        </references>
      </pivotArea>
    </format>
    <format dxfId="185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2"/>
          </reference>
          <reference field="18" count="1">
            <x v="61"/>
          </reference>
        </references>
      </pivotArea>
    </format>
    <format dxfId="184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3"/>
          </reference>
          <reference field="18" count="1">
            <x v="60"/>
          </reference>
        </references>
      </pivotArea>
    </format>
    <format dxfId="183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4"/>
          </reference>
          <reference field="18" count="1">
            <x v="67"/>
          </reference>
        </references>
      </pivotArea>
    </format>
    <format dxfId="182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5"/>
          </reference>
          <reference field="18" count="1">
            <x v="65"/>
          </reference>
        </references>
      </pivotArea>
    </format>
    <format dxfId="181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6"/>
          </reference>
          <reference field="18" count="1">
            <x v="70"/>
          </reference>
        </references>
      </pivotArea>
    </format>
    <format dxfId="180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7"/>
          </reference>
          <reference field="18" count="1">
            <x v="68"/>
          </reference>
        </references>
      </pivotArea>
    </format>
    <format dxfId="179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8"/>
          </reference>
          <reference field="18" count="1">
            <x v="22"/>
          </reference>
        </references>
      </pivotArea>
    </format>
    <format dxfId="178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09"/>
          </reference>
          <reference field="18" count="1">
            <x v="24"/>
          </reference>
        </references>
      </pivotArea>
    </format>
    <format dxfId="177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10"/>
          </reference>
          <reference field="18" count="1">
            <x v="29"/>
          </reference>
        </references>
      </pivotArea>
    </format>
    <format dxfId="176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11"/>
          </reference>
          <reference field="18" count="1">
            <x v="11"/>
          </reference>
        </references>
      </pivotArea>
    </format>
    <format dxfId="175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13"/>
          </reference>
          <reference field="18" count="1">
            <x v="56"/>
          </reference>
        </references>
      </pivotArea>
    </format>
    <format dxfId="174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14"/>
          </reference>
          <reference field="18" count="1">
            <x v="54"/>
          </reference>
        </references>
      </pivotArea>
    </format>
    <format dxfId="173">
      <pivotArea dataOnly="0" labelOnly="1" outline="0" fieldPosition="0">
        <references count="6">
          <reference field="4" count="1" selected="0">
            <x v="5"/>
          </reference>
          <reference field="5" count="0" selected="0"/>
          <reference field="6" count="1" selected="0">
            <x v="1"/>
          </reference>
          <reference field="8" count="1" selected="0">
            <x v="3"/>
          </reference>
          <reference field="17" count="1" selected="0">
            <x v="116"/>
          </reference>
          <reference field="18" count="1">
            <x v="14"/>
          </reference>
        </references>
      </pivotArea>
    </format>
    <format dxfId="17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17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"/>
          </reference>
          <reference field="18" count="1">
            <x v="88"/>
          </reference>
        </references>
      </pivotArea>
    </format>
    <format dxfId="17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2"/>
          </reference>
          <reference field="18" count="1">
            <x v="100"/>
          </reference>
        </references>
      </pivotArea>
    </format>
    <format dxfId="16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3"/>
          </reference>
          <reference field="18" count="1">
            <x v="36"/>
          </reference>
        </references>
      </pivotArea>
    </format>
    <format dxfId="168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"/>
          </reference>
          <reference field="18" count="1">
            <x v="83"/>
          </reference>
        </references>
      </pivotArea>
    </format>
    <format dxfId="167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5"/>
          </reference>
          <reference field="18" count="1">
            <x v="90"/>
          </reference>
        </references>
      </pivotArea>
    </format>
    <format dxfId="166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"/>
          </reference>
          <reference field="18" count="1">
            <x v="93"/>
          </reference>
        </references>
      </pivotArea>
    </format>
    <format dxfId="165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8"/>
          </reference>
          <reference field="18" count="1">
            <x v="94"/>
          </reference>
        </references>
      </pivotArea>
    </format>
    <format dxfId="16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2"/>
          </reference>
          <reference field="18" count="1">
            <x v="82"/>
          </reference>
        </references>
      </pivotArea>
    </format>
    <format dxfId="163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3"/>
          </reference>
          <reference field="18" count="1">
            <x v="80"/>
          </reference>
        </references>
      </pivotArea>
    </format>
    <format dxfId="16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4"/>
          </reference>
          <reference field="18" count="1">
            <x v="81"/>
          </reference>
        </references>
      </pivotArea>
    </format>
    <format dxfId="16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5"/>
          </reference>
          <reference field="18" count="1">
            <x v="18"/>
          </reference>
        </references>
      </pivotArea>
    </format>
    <format dxfId="16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6"/>
          </reference>
          <reference field="18" count="1">
            <x v="38"/>
          </reference>
        </references>
      </pivotArea>
    </format>
    <format dxfId="15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7"/>
          </reference>
          <reference field="18" count="1">
            <x v="47"/>
          </reference>
        </references>
      </pivotArea>
    </format>
    <format dxfId="158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8"/>
          </reference>
          <reference field="18" count="1">
            <x v="98"/>
          </reference>
        </references>
      </pivotArea>
    </format>
    <format dxfId="157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20"/>
          </reference>
          <reference field="18" count="1">
            <x v="0"/>
          </reference>
        </references>
      </pivotArea>
    </format>
    <format dxfId="156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21"/>
          </reference>
          <reference field="18" count="1">
            <x v="2"/>
          </reference>
        </references>
      </pivotArea>
    </format>
    <format dxfId="155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22"/>
          </reference>
          <reference field="18" count="1">
            <x v="1"/>
          </reference>
        </references>
      </pivotArea>
    </format>
    <format dxfId="15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23"/>
          </reference>
          <reference field="18" count="1">
            <x v="15"/>
          </reference>
        </references>
      </pivotArea>
    </format>
    <format dxfId="153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24"/>
          </reference>
          <reference field="18" count="1">
            <x v="99"/>
          </reference>
        </references>
      </pivotArea>
    </format>
    <format dxfId="15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25"/>
          </reference>
          <reference field="18" count="1">
            <x v="75"/>
          </reference>
        </references>
      </pivotArea>
    </format>
    <format dxfId="15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29"/>
          </reference>
          <reference field="18" count="1">
            <x v="84"/>
          </reference>
        </references>
      </pivotArea>
    </format>
    <format dxfId="15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30"/>
          </reference>
          <reference field="18" count="1">
            <x v="78"/>
          </reference>
        </references>
      </pivotArea>
    </format>
    <format dxfId="14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31"/>
          </reference>
          <reference field="18" count="1">
            <x v="58"/>
          </reference>
        </references>
      </pivotArea>
    </format>
    <format dxfId="148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32"/>
          </reference>
          <reference field="18" count="1">
            <x v="62"/>
          </reference>
        </references>
      </pivotArea>
    </format>
    <format dxfId="147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33"/>
          </reference>
          <reference field="18" count="1">
            <x v="106"/>
          </reference>
        </references>
      </pivotArea>
    </format>
    <format dxfId="146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34"/>
          </reference>
          <reference field="18" count="1">
            <x v="107"/>
          </reference>
        </references>
      </pivotArea>
    </format>
    <format dxfId="145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37"/>
          </reference>
          <reference field="18" count="1">
            <x v="16"/>
          </reference>
        </references>
      </pivotArea>
    </format>
    <format dxfId="14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39"/>
          </reference>
          <reference field="18" count="1">
            <x v="97"/>
          </reference>
        </references>
      </pivotArea>
    </format>
    <format dxfId="143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0"/>
          </reference>
          <reference field="18" count="1">
            <x v="53"/>
          </reference>
        </references>
      </pivotArea>
    </format>
    <format dxfId="14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1"/>
          </reference>
          <reference field="18" count="1">
            <x v="113"/>
          </reference>
        </references>
      </pivotArea>
    </format>
    <format dxfId="14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2"/>
          </reference>
          <reference field="18" count="1">
            <x v="110"/>
          </reference>
        </references>
      </pivotArea>
    </format>
    <format dxfId="14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3"/>
          </reference>
          <reference field="18" count="1">
            <x v="27"/>
          </reference>
        </references>
      </pivotArea>
    </format>
    <format dxfId="13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4"/>
          </reference>
          <reference field="18" count="1">
            <x v="45"/>
          </reference>
        </references>
      </pivotArea>
    </format>
    <format dxfId="138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5"/>
          </reference>
          <reference field="18" count="1">
            <x v="52"/>
          </reference>
        </references>
      </pivotArea>
    </format>
    <format dxfId="137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6"/>
          </reference>
          <reference field="18" count="1">
            <x v="86"/>
          </reference>
        </references>
      </pivotArea>
    </format>
    <format dxfId="136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7"/>
          </reference>
          <reference field="18" count="1">
            <x v="85"/>
          </reference>
        </references>
      </pivotArea>
    </format>
    <format dxfId="135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8"/>
          </reference>
          <reference field="18" count="1">
            <x v="112"/>
          </reference>
        </references>
      </pivotArea>
    </format>
    <format dxfId="13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49"/>
          </reference>
          <reference field="18" count="1">
            <x v="105"/>
          </reference>
        </references>
      </pivotArea>
    </format>
    <format dxfId="133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50"/>
          </reference>
          <reference field="18" count="1">
            <x v="35"/>
          </reference>
        </references>
      </pivotArea>
    </format>
    <format dxfId="13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53"/>
          </reference>
          <reference field="18" count="1">
            <x v="34"/>
          </reference>
        </references>
      </pivotArea>
    </format>
    <format dxfId="13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54"/>
          </reference>
          <reference field="18" count="1">
            <x v="39"/>
          </reference>
        </references>
      </pivotArea>
    </format>
    <format dxfId="13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55"/>
          </reference>
          <reference field="18" count="1">
            <x v="51"/>
          </reference>
        </references>
      </pivotArea>
    </format>
    <format dxfId="12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56"/>
          </reference>
          <reference field="18" count="1">
            <x v="43"/>
          </reference>
        </references>
      </pivotArea>
    </format>
    <format dxfId="128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57"/>
          </reference>
          <reference field="18" count="1">
            <x v="89"/>
          </reference>
        </references>
      </pivotArea>
    </format>
    <format dxfId="127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59"/>
          </reference>
          <reference field="18" count="1">
            <x v="76"/>
          </reference>
        </references>
      </pivotArea>
    </format>
    <format dxfId="126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60"/>
          </reference>
          <reference field="18" count="1">
            <x v="104"/>
          </reference>
        </references>
      </pivotArea>
    </format>
    <format dxfId="125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61"/>
          </reference>
          <reference field="18" count="1">
            <x v="103"/>
          </reference>
        </references>
      </pivotArea>
    </format>
    <format dxfId="12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62"/>
          </reference>
          <reference field="18" count="1">
            <x v="109"/>
          </reference>
        </references>
      </pivotArea>
    </format>
    <format dxfId="123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63"/>
          </reference>
          <reference field="18" count="1">
            <x v="108"/>
          </reference>
        </references>
      </pivotArea>
    </format>
    <format dxfId="12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64"/>
          </reference>
          <reference field="18" count="1">
            <x v="9"/>
          </reference>
        </references>
      </pivotArea>
    </format>
    <format dxfId="12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65"/>
          </reference>
          <reference field="18" count="1">
            <x v="10"/>
          </reference>
        </references>
      </pivotArea>
    </format>
    <format dxfId="12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67"/>
          </reference>
          <reference field="18" count="1">
            <x v="25"/>
          </reference>
        </references>
      </pivotArea>
    </format>
    <format dxfId="11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68"/>
          </reference>
          <reference field="18" count="1">
            <x v="4"/>
          </reference>
        </references>
      </pivotArea>
    </format>
    <format dxfId="118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69"/>
          </reference>
          <reference field="18" count="1">
            <x v="7"/>
          </reference>
        </references>
      </pivotArea>
    </format>
    <format dxfId="117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0"/>
          </reference>
          <reference field="18" count="1">
            <x v="6"/>
          </reference>
        </references>
      </pivotArea>
    </format>
    <format dxfId="116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1"/>
          </reference>
          <reference field="18" count="1">
            <x v="5"/>
          </reference>
        </references>
      </pivotArea>
    </format>
    <format dxfId="115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2"/>
          </reference>
          <reference field="18" count="1">
            <x v="72"/>
          </reference>
        </references>
      </pivotArea>
    </format>
    <format dxfId="11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3"/>
          </reference>
          <reference field="18" count="1">
            <x v="73"/>
          </reference>
        </references>
      </pivotArea>
    </format>
    <format dxfId="113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4"/>
          </reference>
          <reference field="18" count="1">
            <x v="74"/>
          </reference>
        </references>
      </pivotArea>
    </format>
    <format dxfId="11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5"/>
          </reference>
          <reference field="18" count="1">
            <x v="50"/>
          </reference>
        </references>
      </pivotArea>
    </format>
    <format dxfId="11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6"/>
          </reference>
          <reference field="18" count="1">
            <x v="111"/>
          </reference>
        </references>
      </pivotArea>
    </format>
    <format dxfId="11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7"/>
          </reference>
          <reference field="18" count="1">
            <x v="71"/>
          </reference>
        </references>
      </pivotArea>
    </format>
    <format dxfId="10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79"/>
          </reference>
          <reference field="18" count="1">
            <x v="92"/>
          </reference>
        </references>
      </pivotArea>
    </format>
    <format dxfId="108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80"/>
          </reference>
          <reference field="18" count="1">
            <x v="91"/>
          </reference>
        </references>
      </pivotArea>
    </format>
    <format dxfId="107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81"/>
          </reference>
          <reference field="18" count="1">
            <x v="64"/>
          </reference>
        </references>
      </pivotArea>
    </format>
    <format dxfId="106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105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10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87"/>
          </reference>
          <reference field="18" count="1">
            <x v="28"/>
          </reference>
        </references>
      </pivotArea>
    </format>
    <format dxfId="103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88"/>
          </reference>
          <reference field="18" count="1">
            <x v="33"/>
          </reference>
        </references>
      </pivotArea>
    </format>
    <format dxfId="10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90"/>
          </reference>
          <reference field="18" count="1">
            <x v="42"/>
          </reference>
        </references>
      </pivotArea>
    </format>
    <format dxfId="10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91"/>
          </reference>
          <reference field="18" count="1">
            <x v="26"/>
          </reference>
        </references>
      </pivotArea>
    </format>
    <format dxfId="10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92"/>
          </reference>
          <reference field="18" count="1">
            <x v="69"/>
          </reference>
        </references>
      </pivotArea>
    </format>
    <format dxfId="9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94"/>
          </reference>
          <reference field="18" count="1">
            <x v="63"/>
          </reference>
        </references>
      </pivotArea>
    </format>
    <format dxfId="98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95"/>
          </reference>
          <reference field="18" count="1">
            <x v="115"/>
          </reference>
        </references>
      </pivotArea>
    </format>
    <format dxfId="97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96"/>
          </reference>
          <reference field="18" count="1">
            <x v="116"/>
          </reference>
        </references>
      </pivotArea>
    </format>
    <format dxfId="96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97"/>
          </reference>
          <reference field="18" count="1">
            <x v="114"/>
          </reference>
        </references>
      </pivotArea>
    </format>
    <format dxfId="95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98"/>
          </reference>
          <reference field="18" count="1">
            <x v="49"/>
          </reference>
        </references>
      </pivotArea>
    </format>
    <format dxfId="9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0"/>
          </reference>
          <reference field="18" count="1">
            <x v="101"/>
          </reference>
        </references>
      </pivotArea>
    </format>
    <format dxfId="93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1"/>
          </reference>
          <reference field="18" count="1">
            <x v="57"/>
          </reference>
        </references>
      </pivotArea>
    </format>
    <format dxfId="9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2"/>
          </reference>
          <reference field="18" count="1">
            <x v="61"/>
          </reference>
        </references>
      </pivotArea>
    </format>
    <format dxfId="9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3"/>
          </reference>
          <reference field="18" count="1">
            <x v="60"/>
          </reference>
        </references>
      </pivotArea>
    </format>
    <format dxfId="9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4"/>
          </reference>
          <reference field="18" count="1">
            <x v="67"/>
          </reference>
        </references>
      </pivotArea>
    </format>
    <format dxfId="8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5"/>
          </reference>
          <reference field="18" count="1">
            <x v="65"/>
          </reference>
        </references>
      </pivotArea>
    </format>
    <format dxfId="88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6"/>
          </reference>
          <reference field="18" count="1">
            <x v="70"/>
          </reference>
        </references>
      </pivotArea>
    </format>
    <format dxfId="87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7"/>
          </reference>
          <reference field="18" count="1">
            <x v="68"/>
          </reference>
        </references>
      </pivotArea>
    </format>
    <format dxfId="86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8"/>
          </reference>
          <reference field="18" count="1">
            <x v="22"/>
          </reference>
        </references>
      </pivotArea>
    </format>
    <format dxfId="85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09"/>
          </reference>
          <reference field="18" count="1">
            <x v="24"/>
          </reference>
        </references>
      </pivotArea>
    </format>
    <format dxfId="8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10"/>
          </reference>
          <reference field="18" count="1">
            <x v="29"/>
          </reference>
        </references>
      </pivotArea>
    </format>
    <format dxfId="83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11"/>
          </reference>
          <reference field="18" count="1">
            <x v="11"/>
          </reference>
        </references>
      </pivotArea>
    </format>
    <format dxfId="82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12"/>
          </reference>
          <reference field="18" count="1">
            <x v="55"/>
          </reference>
        </references>
      </pivotArea>
    </format>
    <format dxfId="81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13"/>
          </reference>
          <reference field="18" count="1">
            <x v="56"/>
          </reference>
        </references>
      </pivotArea>
    </format>
    <format dxfId="80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14"/>
          </reference>
          <reference field="18" count="1">
            <x v="54"/>
          </reference>
        </references>
      </pivotArea>
    </format>
    <format dxfId="79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115"/>
          </reference>
          <reference field="18" count="1">
            <x v="23"/>
          </reference>
        </references>
      </pivotArea>
    </format>
    <format dxfId="78">
      <pivotArea dataOnly="0" labelOnly="1" outline="0" fieldPosition="0">
        <references count="6">
          <reference field="4" count="1" selected="0">
            <x v="16"/>
          </reference>
          <reference field="5" count="0" selected="0"/>
          <reference field="6" count="1" selected="0">
            <x v="13"/>
          </reference>
          <reference field="8" count="1" selected="0">
            <x v="3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77">
      <pivotArea dataOnly="0" labelOnly="1" outline="0" fieldPosition="0">
        <references count="6">
          <reference field="4" count="1" selected="0">
            <x v="16"/>
          </reference>
          <reference field="5" count="0" selected="0"/>
          <reference field="6" count="1" selected="0">
            <x v="13"/>
          </reference>
          <reference field="8" count="1" selected="0">
            <x v="3"/>
          </reference>
          <reference field="17" count="1" selected="0">
            <x v="86"/>
          </reference>
          <reference field="18" count="1">
            <x v="21"/>
          </reference>
        </references>
      </pivotArea>
    </format>
    <format dxfId="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5">
      <pivotArea outline="0" fieldPosition="0">
        <references count="1">
          <reference field="4294967294" count="1" selected="0">
            <x v="2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3">
      <pivotArea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0"/>
          </reference>
          <reference field="18" count="1" selected="0">
            <x v="48"/>
          </reference>
        </references>
      </pivotArea>
    </format>
    <format dxfId="72">
      <pivotArea dataOnly="0" labelOnly="1" outline="0" offset="IV1" fieldPosition="0">
        <references count="2">
          <reference field="5" count="0" selected="0"/>
          <reference field="8" count="1">
            <x v="0"/>
          </reference>
        </references>
      </pivotArea>
    </format>
    <format dxfId="71">
      <pivotArea dataOnly="0" labelOnly="1" outline="0" offset="IV1" fieldPosition="0">
        <references count="3">
          <reference field="4" count="1">
            <x v="4"/>
          </reference>
          <reference field="5" count="0" selected="0"/>
          <reference field="8" count="1" selected="0">
            <x v="0"/>
          </reference>
        </references>
      </pivotArea>
    </format>
    <format dxfId="70">
      <pivotArea dataOnly="0" labelOnly="1" outline="0" offset="IV1" fieldPosition="0">
        <references count="4">
          <reference field="4" count="1" selected="0">
            <x v="4"/>
          </reference>
          <reference field="5" count="0" selected="0"/>
          <reference field="6" count="1">
            <x v="2"/>
          </reference>
          <reference field="8" count="1" selected="0">
            <x v="0"/>
          </reference>
        </references>
      </pivotArea>
    </format>
    <format dxfId="69">
      <pivotArea dataOnly="0" labelOnly="1" outline="0" fieldPosition="0">
        <references count="5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>
            <x v="0"/>
          </reference>
        </references>
      </pivotArea>
    </format>
    <format dxfId="68">
      <pivotArea dataOnly="0" labelOnly="1" outline="0" fieldPosition="0">
        <references count="6">
          <reference field="4" count="1" selected="0">
            <x v="4"/>
          </reference>
          <reference field="5" count="0" selected="0"/>
          <reference field="6" count="1" selected="0">
            <x v="2"/>
          </reference>
          <reference field="8" count="1" selected="0">
            <x v="0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67">
      <pivotArea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0"/>
          </reference>
          <reference field="18" count="1" selected="0">
            <x v="48"/>
          </reference>
        </references>
      </pivotArea>
    </format>
    <format dxfId="66">
      <pivotArea dataOnly="0" labelOnly="1" outline="0" offset="IV1" fieldPosition="0">
        <references count="3">
          <reference field="4" count="1">
            <x v="9"/>
          </reference>
          <reference field="5" count="0" selected="0"/>
          <reference field="8" count="1" selected="0">
            <x v="0"/>
          </reference>
        </references>
      </pivotArea>
    </format>
    <format dxfId="65">
      <pivotArea dataOnly="0" labelOnly="1" outline="0" offset="IV1" fieldPosition="0">
        <references count="4">
          <reference field="4" count="1" selected="0">
            <x v="9"/>
          </reference>
          <reference field="5" count="0" selected="0"/>
          <reference field="6" count="1">
            <x v="7"/>
          </reference>
          <reference field="8" count="1" selected="0">
            <x v="0"/>
          </reference>
        </references>
      </pivotArea>
    </format>
    <format dxfId="64">
      <pivotArea dataOnly="0" labelOnly="1" outline="0" fieldPosition="0">
        <references count="5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>
            <x v="0"/>
          </reference>
        </references>
      </pivotArea>
    </format>
    <format dxfId="63">
      <pivotArea dataOnly="0" labelOnly="1" outline="0" fieldPosition="0">
        <references count="6">
          <reference field="4" count="1" selected="0">
            <x v="9"/>
          </reference>
          <reference field="5" count="0" selected="0"/>
          <reference field="6" count="1" selected="0">
            <x v="7"/>
          </reference>
          <reference field="8" count="1" selected="0">
            <x v="0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62">
      <pivotArea outline="0" fieldPosition="0">
        <references count="6">
          <reference field="4" count="1" selected="0">
            <x v="11"/>
          </reference>
          <reference field="5" count="0" selected="0"/>
          <reference field="6" count="1" selected="0">
            <x v="15"/>
          </reference>
          <reference field="8" count="1" selected="0">
            <x v="0"/>
          </reference>
          <reference field="17" count="1" selected="0">
            <x v="0"/>
          </reference>
          <reference field="18" count="1" selected="0">
            <x v="48"/>
          </reference>
        </references>
      </pivotArea>
    </format>
    <format dxfId="61">
      <pivotArea outline="0" fieldPosition="0">
        <references count="6">
          <reference field="4" count="1" selected="0">
            <x v="15"/>
          </reference>
          <reference field="5" count="0" selected="0"/>
          <reference field="6" count="1" selected="0">
            <x v="14"/>
          </reference>
          <reference field="8" count="1" selected="0">
            <x v="0"/>
          </reference>
          <reference field="17" count="1" selected="0">
            <x v="85"/>
          </reference>
          <reference field="18" count="1" selected="0">
            <x v="32"/>
          </reference>
        </references>
      </pivotArea>
    </format>
    <format dxfId="60">
      <pivotArea dataOnly="0" labelOnly="1" outline="0" fieldPosition="0">
        <references count="3">
          <reference field="4" count="1">
            <x v="11"/>
          </reference>
          <reference field="5" count="0" selected="0"/>
          <reference field="8" count="1" selected="0">
            <x v="0"/>
          </reference>
        </references>
      </pivotArea>
    </format>
    <format dxfId="59">
      <pivotArea dataOnly="0" labelOnly="1" outline="0" offset="IV1" fieldPosition="0">
        <references count="3">
          <reference field="4" count="1">
            <x v="15"/>
          </reference>
          <reference field="5" count="0" selected="0"/>
          <reference field="8" count="1" selected="0">
            <x v="0"/>
          </reference>
        </references>
      </pivotArea>
    </format>
    <format dxfId="58">
      <pivotArea dataOnly="0" labelOnly="1" outline="0" fieldPosition="0">
        <references count="4">
          <reference field="4" count="1" selected="0">
            <x v="11"/>
          </reference>
          <reference field="5" count="0" selected="0"/>
          <reference field="6" count="1">
            <x v="15"/>
          </reference>
          <reference field="8" count="1" selected="0">
            <x v="0"/>
          </reference>
        </references>
      </pivotArea>
    </format>
    <format dxfId="57">
      <pivotArea dataOnly="0" labelOnly="1" outline="0" offset="IV1" fieldPosition="0">
        <references count="4">
          <reference field="4" count="1" selected="0">
            <x v="15"/>
          </reference>
          <reference field="5" count="0" selected="0"/>
          <reference field="6" count="1">
            <x v="14"/>
          </reference>
          <reference field="8" count="1" selected="0">
            <x v="0"/>
          </reference>
        </references>
      </pivotArea>
    </format>
    <format dxfId="56">
      <pivotArea dataOnly="0" labelOnly="1" outline="0" fieldPosition="0">
        <references count="5">
          <reference field="4" count="1" selected="0">
            <x v="11"/>
          </reference>
          <reference field="5" count="0" selected="0"/>
          <reference field="6" count="1" selected="0">
            <x v="15"/>
          </reference>
          <reference field="8" count="1" selected="0">
            <x v="0"/>
          </reference>
          <reference field="17" count="1">
            <x v="0"/>
          </reference>
        </references>
      </pivotArea>
    </format>
    <format dxfId="55">
      <pivotArea dataOnly="0" labelOnly="1" outline="0" fieldPosition="0">
        <references count="5">
          <reference field="4" count="1" selected="0">
            <x v="15"/>
          </reference>
          <reference field="5" count="0" selected="0"/>
          <reference field="6" count="1" selected="0">
            <x v="14"/>
          </reference>
          <reference field="8" count="1" selected="0">
            <x v="0"/>
          </reference>
          <reference field="17" count="1">
            <x v="85"/>
          </reference>
        </references>
      </pivotArea>
    </format>
    <format dxfId="54">
      <pivotArea dataOnly="0" labelOnly="1" outline="0" fieldPosition="0">
        <references count="6">
          <reference field="4" count="1" selected="0">
            <x v="11"/>
          </reference>
          <reference field="5" count="0" selected="0"/>
          <reference field="6" count="1" selected="0">
            <x v="15"/>
          </reference>
          <reference field="8" count="1" selected="0">
            <x v="0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53">
      <pivotArea dataOnly="0" labelOnly="1" outline="0" fieldPosition="0">
        <references count="6">
          <reference field="4" count="1" selected="0">
            <x v="15"/>
          </reference>
          <reference field="5" count="0" selected="0"/>
          <reference field="6" count="1" selected="0">
            <x v="14"/>
          </reference>
          <reference field="8" count="1" selected="0">
            <x v="0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52">
      <pivotArea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0"/>
          </reference>
          <reference field="18" count="1" selected="0">
            <x v="48"/>
          </reference>
        </references>
      </pivotArea>
    </format>
    <format dxfId="51">
      <pivotArea dataOnly="0" labelOnly="1" outline="0" offset="IV1" fieldPosition="0">
        <references count="2">
          <reference field="5" count="0" selected="0"/>
          <reference field="8" count="1">
            <x v="1"/>
          </reference>
        </references>
      </pivotArea>
    </format>
    <format dxfId="50">
      <pivotArea dataOnly="0" labelOnly="1" outline="0" offset="IV1" fieldPosition="0">
        <references count="3">
          <reference field="4" count="1">
            <x v="1"/>
          </reference>
          <reference field="5" count="0" selected="0"/>
          <reference field="8" count="1" selected="0">
            <x v="1"/>
          </reference>
        </references>
      </pivotArea>
    </format>
    <format dxfId="49">
      <pivotArea dataOnly="0" labelOnly="1" outline="0" offset="IV1" fieldPosition="0">
        <references count="4">
          <reference field="4" count="1" selected="0">
            <x v="1"/>
          </reference>
          <reference field="5" count="0" selected="0"/>
          <reference field="6" count="1">
            <x v="5"/>
          </reference>
          <reference field="8" count="1" selected="0">
            <x v="1"/>
          </reference>
        </references>
      </pivotArea>
    </format>
    <format dxfId="48">
      <pivotArea dataOnly="0" labelOnly="1" outline="0" fieldPosition="0">
        <references count="5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>
            <x v="0"/>
          </reference>
        </references>
      </pivotArea>
    </format>
    <format dxfId="47">
      <pivotArea dataOnly="0" labelOnly="1" outline="0" fieldPosition="0">
        <references count="6">
          <reference field="4" count="1" selected="0">
            <x v="1"/>
          </reference>
          <reference field="5" count="0" selected="0"/>
          <reference field="6" count="1" selected="0">
            <x v="5"/>
          </reference>
          <reference field="8" count="1" selected="0">
            <x v="1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46">
      <pivotArea outline="0" fieldPosition="0">
        <references count="6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1" selected="0">
            <x v="1"/>
          </reference>
          <reference field="18" count="1" selected="0">
            <x v="88"/>
          </reference>
        </references>
      </pivotArea>
    </format>
    <format dxfId="45">
      <pivotArea dataOnly="0" labelOnly="1" outline="0" offset="IV1" fieldPosition="0">
        <references count="3">
          <reference field="4" count="1">
            <x v="2"/>
          </reference>
          <reference field="5" count="0" selected="0"/>
          <reference field="8" count="1" selected="0">
            <x v="1"/>
          </reference>
        </references>
      </pivotArea>
    </format>
    <format dxfId="44">
      <pivotArea dataOnly="0" labelOnly="1" outline="0" offset="IV1" fieldPosition="0">
        <references count="4">
          <reference field="4" count="1" selected="0">
            <x v="2"/>
          </reference>
          <reference field="5" count="0" selected="0"/>
          <reference field="6" count="1">
            <x v="4"/>
          </reference>
          <reference field="8" count="1" selected="0">
            <x v="1"/>
          </reference>
        </references>
      </pivotArea>
    </format>
    <format dxfId="43">
      <pivotArea dataOnly="0" labelOnly="1" outline="0" fieldPosition="0">
        <references count="5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1">
            <x v="1"/>
          </reference>
        </references>
      </pivotArea>
    </format>
    <format dxfId="42">
      <pivotArea dataOnly="0" labelOnly="1" outline="0" fieldPosition="0">
        <references count="6">
          <reference field="4" count="1" selected="0">
            <x v="2"/>
          </reference>
          <reference field="5" count="0" selected="0"/>
          <reference field="6" count="1" selected="0">
            <x v="4"/>
          </reference>
          <reference field="8" count="1" selected="0">
            <x v="1"/>
          </reference>
          <reference field="17" count="1" selected="0">
            <x v="1"/>
          </reference>
          <reference field="18" count="1">
            <x v="88"/>
          </reference>
        </references>
      </pivotArea>
    </format>
    <format dxfId="41">
      <pivotArea dataOnly="0" labelOnly="1" outline="0" offset="IV1" fieldPosition="0">
        <references count="3">
          <reference field="4" count="1">
            <x v="3"/>
          </reference>
          <reference field="5" count="0" selected="0"/>
          <reference field="8" count="1" selected="0">
            <x v="1"/>
          </reference>
        </references>
      </pivotArea>
    </format>
    <format dxfId="40">
      <pivotArea dataOnly="0" labelOnly="1" outline="0" offset="IV1" fieldPosition="0">
        <references count="3">
          <reference field="4" count="1">
            <x v="10"/>
          </reference>
          <reference field="5" count="0" selected="0"/>
          <reference field="8" count="1" selected="0">
            <x v="1"/>
          </reference>
        </references>
      </pivotArea>
    </format>
    <format dxfId="39">
      <pivotArea dataOnly="0" labelOnly="1" outline="0" offset="IV1" fieldPosition="0">
        <references count="3">
          <reference field="4" count="1">
            <x v="12"/>
          </reference>
          <reference field="5" count="0" selected="0"/>
          <reference field="8" count="1" selected="0">
            <x v="1"/>
          </reference>
        </references>
      </pivotArea>
    </format>
    <format dxfId="38">
      <pivotArea dataOnly="0" labelOnly="1" outline="0" fieldPosition="0">
        <references count="3">
          <reference field="4" count="1">
            <x v="14"/>
          </reference>
          <reference field="5" count="0" selected="0"/>
          <reference field="8" count="1" selected="0">
            <x v="1"/>
          </reference>
        </references>
      </pivotArea>
    </format>
    <format dxfId="37">
      <pivotArea dataOnly="0" labelOnly="1" outline="0" offset="IV1" fieldPosition="0">
        <references count="3">
          <reference field="4" count="1">
            <x v="0"/>
          </reference>
          <reference field="5" count="0" selected="0"/>
          <reference field="8" count="1" selected="0">
            <x v="2"/>
          </reference>
        </references>
      </pivotArea>
    </format>
    <format dxfId="36">
      <pivotArea dataOnly="0" labelOnly="1" outline="0" offset="IV1" fieldPosition="0">
        <references count="2">
          <reference field="5" count="0" selected="0"/>
          <reference field="8" count="1">
            <x v="2"/>
          </reference>
        </references>
      </pivotArea>
    </format>
    <format dxfId="35">
      <pivotArea outline="0" fieldPosition="0">
        <references count="6">
          <reference field="4" count="1" selected="0">
            <x v="6"/>
          </reference>
          <reference field="5" count="0" selected="0"/>
          <reference field="6" count="1" selected="0">
            <x v="6"/>
          </reference>
          <reference field="8" count="1" selected="0">
            <x v="2"/>
          </reference>
          <reference field="17" count="1" selected="0">
            <x v="8"/>
          </reference>
          <reference field="18" count="1" selected="0">
            <x v="94"/>
          </reference>
        </references>
      </pivotArea>
    </format>
    <format dxfId="34">
      <pivotArea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0"/>
          </reference>
          <reference field="18" count="1" selected="0">
            <x v="48"/>
          </reference>
        </references>
      </pivotArea>
    </format>
    <format dxfId="33">
      <pivotArea dataOnly="0" labelOnly="1" outline="0" fieldPosition="0">
        <references count="3">
          <reference field="4" count="1">
            <x v="6"/>
          </reference>
          <reference field="5" count="0" selected="0"/>
          <reference field="8" count="1" selected="0">
            <x v="2"/>
          </reference>
        </references>
      </pivotArea>
    </format>
    <format dxfId="32">
      <pivotArea dataOnly="0" labelOnly="1" outline="0" offset="IV1" fieldPosition="0">
        <references count="3">
          <reference field="4" count="1">
            <x v="7"/>
          </reference>
          <reference field="5" count="0" selected="0"/>
          <reference field="8" count="1" selected="0">
            <x v="2"/>
          </reference>
        </references>
      </pivotArea>
    </format>
    <format dxfId="31">
      <pivotArea dataOnly="0" labelOnly="1" outline="0" fieldPosition="0">
        <references count="4">
          <reference field="4" count="1" selected="0">
            <x v="6"/>
          </reference>
          <reference field="5" count="0" selected="0"/>
          <reference field="6" count="1">
            <x v="6"/>
          </reference>
          <reference field="8" count="1" selected="0">
            <x v="2"/>
          </reference>
        </references>
      </pivotArea>
    </format>
    <format dxfId="30">
      <pivotArea dataOnly="0" labelOnly="1" outline="0" offset="IV1" fieldPosition="0">
        <references count="4">
          <reference field="4" count="1" selected="0">
            <x v="7"/>
          </reference>
          <reference field="5" count="0" selected="0"/>
          <reference field="6" count="1">
            <x v="9"/>
          </reference>
          <reference field="8" count="1" selected="0">
            <x v="2"/>
          </reference>
        </references>
      </pivotArea>
    </format>
    <format dxfId="29">
      <pivotArea dataOnly="0" labelOnly="1" outline="0" fieldPosition="0">
        <references count="5">
          <reference field="4" count="1" selected="0">
            <x v="6"/>
          </reference>
          <reference field="5" count="0" selected="0"/>
          <reference field="6" count="1" selected="0">
            <x v="6"/>
          </reference>
          <reference field="8" count="1" selected="0">
            <x v="2"/>
          </reference>
          <reference field="17" count="1">
            <x v="8"/>
          </reference>
        </references>
      </pivotArea>
    </format>
    <format dxfId="28">
      <pivotArea dataOnly="0" labelOnly="1" outline="0" fieldPosition="0">
        <references count="5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>
            <x v="0"/>
          </reference>
        </references>
      </pivotArea>
    </format>
    <format dxfId="27">
      <pivotArea dataOnly="0" labelOnly="1" outline="0" fieldPosition="0">
        <references count="6">
          <reference field="4" count="1" selected="0">
            <x v="6"/>
          </reference>
          <reference field="5" count="0" selected="0"/>
          <reference field="6" count="1" selected="0">
            <x v="6"/>
          </reference>
          <reference field="8" count="1" selected="0">
            <x v="2"/>
          </reference>
          <reference field="17" count="1" selected="0">
            <x v="8"/>
          </reference>
          <reference field="18" count="1">
            <x v="94"/>
          </reference>
        </references>
      </pivotArea>
    </format>
    <format dxfId="26">
      <pivotArea dataOnly="0" labelOnly="1" outline="0" fieldPosition="0">
        <references count="6">
          <reference field="4" count="1" selected="0">
            <x v="7"/>
          </reference>
          <reference field="5" count="0" selected="0"/>
          <reference field="6" count="1" selected="0">
            <x v="9"/>
          </reference>
          <reference field="8" count="1" selected="0">
            <x v="2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25">
      <pivotArea outline="0" fieldPosition="0">
        <references count="6">
          <reference field="4" count="1" selected="0">
            <x v="13"/>
          </reference>
          <reference field="5" count="0" selected="0"/>
          <reference field="6" count="1" selected="0">
            <x v="12"/>
          </reference>
          <reference field="8" count="1" selected="0">
            <x v="2"/>
          </reference>
          <reference field="17" count="1" selected="0">
            <x v="85"/>
          </reference>
          <reference field="18" count="1" selected="0">
            <x v="32"/>
          </reference>
        </references>
      </pivotArea>
    </format>
    <format dxfId="24">
      <pivotArea dataOnly="0" labelOnly="1" outline="0" offset="IV1" fieldPosition="0">
        <references count="3">
          <reference field="4" count="1">
            <x v="13"/>
          </reference>
          <reference field="5" count="0" selected="0"/>
          <reference field="8" count="1" selected="0">
            <x v="2"/>
          </reference>
        </references>
      </pivotArea>
    </format>
    <format dxfId="23">
      <pivotArea dataOnly="0" labelOnly="1" outline="0" offset="IV1" fieldPosition="0">
        <references count="4">
          <reference field="4" count="1" selected="0">
            <x v="13"/>
          </reference>
          <reference field="5" count="0" selected="0"/>
          <reference field="6" count="1">
            <x v="12"/>
          </reference>
          <reference field="8" count="1" selected="0">
            <x v="2"/>
          </reference>
        </references>
      </pivotArea>
    </format>
    <format dxfId="22">
      <pivotArea dataOnly="0" labelOnly="1" outline="0" fieldPosition="0">
        <references count="5">
          <reference field="4" count="1" selected="0">
            <x v="13"/>
          </reference>
          <reference field="5" count="0" selected="0"/>
          <reference field="6" count="1" selected="0">
            <x v="12"/>
          </reference>
          <reference field="8" count="1" selected="0">
            <x v="2"/>
          </reference>
          <reference field="17" count="1">
            <x v="85"/>
          </reference>
        </references>
      </pivotArea>
    </format>
    <format dxfId="21">
      <pivotArea dataOnly="0" labelOnly="1" outline="0" fieldPosition="0">
        <references count="6">
          <reference field="4" count="1" selected="0">
            <x v="13"/>
          </reference>
          <reference field="5" count="0" selected="0"/>
          <reference field="6" count="1" selected="0">
            <x v="12"/>
          </reference>
          <reference field="8" count="1" selected="0">
            <x v="2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20">
      <pivotArea dataOnly="0" labelOnly="1" outline="0" offset="IV1" fieldPosition="0">
        <references count="3">
          <reference field="4" count="1">
            <x v="5"/>
          </reference>
          <reference field="5" count="0" selected="0"/>
          <reference field="8" count="1" selected="0">
            <x v="3"/>
          </reference>
        </references>
      </pivotArea>
    </format>
    <format dxfId="19">
      <pivotArea dataOnly="0" labelOnly="1" outline="0" offset="IV1" fieldPosition="0">
        <references count="2">
          <reference field="5" count="0" selected="0"/>
          <reference field="8" count="1">
            <x v="3"/>
          </reference>
        </references>
      </pivotArea>
    </format>
    <format dxfId="18">
      <pivotArea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0"/>
          </reference>
          <reference field="18" count="1" selected="0">
            <x v="48"/>
          </reference>
        </references>
      </pivotArea>
    </format>
    <format dxfId="17">
      <pivotArea dataOnly="0" labelOnly="1" outline="0" offset="IV1" fieldPosition="0">
        <references count="3">
          <reference field="4" count="1">
            <x v="8"/>
          </reference>
          <reference field="5" count="0" selected="0"/>
          <reference field="8" count="1" selected="0">
            <x v="3"/>
          </reference>
        </references>
      </pivotArea>
    </format>
    <format dxfId="16">
      <pivotArea dataOnly="0" labelOnly="1" outline="0" offset="IV1" fieldPosition="0">
        <references count="4">
          <reference field="4" count="1" selected="0">
            <x v="8"/>
          </reference>
          <reference field="5" count="0" selected="0"/>
          <reference field="6" count="1">
            <x v="8"/>
          </reference>
          <reference field="8" count="1" selected="0">
            <x v="3"/>
          </reference>
        </references>
      </pivotArea>
    </format>
    <format dxfId="15">
      <pivotArea dataOnly="0" labelOnly="1" outline="0" fieldPosition="0">
        <references count="5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>
            <x v="0"/>
          </reference>
        </references>
      </pivotArea>
    </format>
    <format dxfId="14">
      <pivotArea dataOnly="0" labelOnly="1" outline="0" fieldPosition="0">
        <references count="6">
          <reference field="4" count="1" selected="0">
            <x v="8"/>
          </reference>
          <reference field="5" count="0" selected="0"/>
          <reference field="6" count="1" selected="0">
            <x v="8"/>
          </reference>
          <reference field="8" count="1" selected="0">
            <x v="3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13">
      <pivotArea dataOnly="0" labelOnly="1" outline="0" offset="IV1" fieldPosition="0">
        <references count="3">
          <reference field="4" count="1">
            <x v="16"/>
          </reference>
          <reference field="5" count="0" selected="0"/>
          <reference field="8" count="1" selected="0">
            <x v="3"/>
          </reference>
        </references>
      </pivotArea>
    </format>
    <format dxfId="12">
      <pivotArea outline="0" fieldPosition="0">
        <references count="6">
          <reference field="4" count="1" selected="0">
            <x v="11"/>
          </reference>
          <reference field="5" count="0" selected="0"/>
          <reference field="6" count="1" selected="0">
            <x v="15"/>
          </reference>
          <reference field="8" count="1" selected="0">
            <x v="0"/>
          </reference>
          <reference field="17" count="1" selected="0">
            <x v="0"/>
          </reference>
          <reference field="18" count="1" selected="0">
            <x v="48"/>
          </reference>
        </references>
      </pivotArea>
    </format>
    <format dxfId="11">
      <pivotArea dataOnly="0" labelOnly="1" outline="0" fieldPosition="0">
        <references count="3">
          <reference field="4" count="1">
            <x v="11"/>
          </reference>
          <reference field="5" count="0" selected="0"/>
          <reference field="8" count="1" selected="0">
            <x v="0"/>
          </reference>
        </references>
      </pivotArea>
    </format>
    <format dxfId="10">
      <pivotArea dataOnly="0" labelOnly="1" outline="0" fieldPosition="0">
        <references count="4">
          <reference field="4" count="1" selected="0">
            <x v="11"/>
          </reference>
          <reference field="5" count="0" selected="0"/>
          <reference field="6" count="1">
            <x v="15"/>
          </reference>
          <reference field="8" count="1" selected="0">
            <x v="0"/>
          </reference>
        </references>
      </pivotArea>
    </format>
    <format dxfId="9">
      <pivotArea dataOnly="0" labelOnly="1" outline="0" fieldPosition="0">
        <references count="5">
          <reference field="4" count="1" selected="0">
            <x v="11"/>
          </reference>
          <reference field="5" count="0" selected="0"/>
          <reference field="6" count="1" selected="0">
            <x v="15"/>
          </reference>
          <reference field="8" count="1" selected="0">
            <x v="0"/>
          </reference>
          <reference field="17" count="1">
            <x v="0"/>
          </reference>
        </references>
      </pivotArea>
    </format>
    <format dxfId="8">
      <pivotArea dataOnly="0" labelOnly="1" outline="0" fieldPosition="0">
        <references count="6">
          <reference field="4" count="1" selected="0">
            <x v="11"/>
          </reference>
          <reference field="5" count="0" selected="0"/>
          <reference field="6" count="1" selected="0">
            <x v="15"/>
          </reference>
          <reference field="8" count="1" selected="0">
            <x v="0"/>
          </reference>
          <reference field="17" count="1" selected="0">
            <x v="0"/>
          </reference>
          <reference field="18" count="1">
            <x v="48"/>
          </reference>
        </references>
      </pivotArea>
    </format>
    <format dxfId="7">
      <pivotArea outline="0" fieldPosition="0">
        <references count="6">
          <reference field="4" count="1" selected="0">
            <x v="12"/>
          </reference>
          <reference field="5" count="0" selected="0"/>
          <reference field="6" count="1" selected="0">
            <x v="15"/>
          </reference>
          <reference field="8" count="1" selected="0">
            <x v="1"/>
          </reference>
          <reference field="17" count="1" selected="0">
            <x v="85"/>
          </reference>
          <reference field="18" count="1" selected="0">
            <x v="32"/>
          </reference>
        </references>
      </pivotArea>
    </format>
    <format dxfId="6">
      <pivotArea dataOnly="0" labelOnly="1" outline="0" offset="IV1" fieldPosition="0">
        <references count="3">
          <reference field="4" count="1">
            <x v="12"/>
          </reference>
          <reference field="5" count="0" selected="0"/>
          <reference field="8" count="1" selected="0">
            <x v="1"/>
          </reference>
        </references>
      </pivotArea>
    </format>
    <format dxfId="5">
      <pivotArea dataOnly="0" labelOnly="1" outline="0" offset="IV1" fieldPosition="0">
        <references count="4">
          <reference field="4" count="1" selected="0">
            <x v="12"/>
          </reference>
          <reference field="5" count="0" selected="0"/>
          <reference field="6" count="1">
            <x v="15"/>
          </reference>
          <reference field="8" count="1" selected="0">
            <x v="1"/>
          </reference>
        </references>
      </pivotArea>
    </format>
    <format dxfId="4">
      <pivotArea dataOnly="0" labelOnly="1" outline="0" fieldPosition="0">
        <references count="5">
          <reference field="4" count="1" selected="0">
            <x v="12"/>
          </reference>
          <reference field="5" count="0" selected="0"/>
          <reference field="6" count="1" selected="0">
            <x v="15"/>
          </reference>
          <reference field="8" count="1" selected="0">
            <x v="1"/>
          </reference>
          <reference field="17" count="1">
            <x v="85"/>
          </reference>
        </references>
      </pivotArea>
    </format>
    <format dxfId="3">
      <pivotArea dataOnly="0" labelOnly="1" outline="0" fieldPosition="0">
        <references count="6">
          <reference field="4" count="1" selected="0">
            <x v="12"/>
          </reference>
          <reference field="5" count="0" selected="0"/>
          <reference field="6" count="1" selected="0">
            <x v="15"/>
          </reference>
          <reference field="8" count="1" selected="0">
            <x v="1"/>
          </reference>
          <reference field="17" count="1" selected="0">
            <x v="85"/>
          </reference>
          <reference field="18" count="1">
            <x v="32"/>
          </reference>
        </references>
      </pivotArea>
    </format>
    <format dxfId="2">
      <pivotArea outline="0" fieldPosition="0">
        <references count="6">
          <reference field="4" count="1" selected="0">
            <x v="12"/>
          </reference>
          <reference field="5" count="0" selected="0"/>
          <reference field="6" count="1" selected="0">
            <x v="15"/>
          </reference>
          <reference field="8" count="1" selected="0">
            <x v="1"/>
          </reference>
          <reference field="17" count="1" selected="0">
            <x v="86"/>
          </reference>
          <reference field="18" count="1" selected="0">
            <x v="21"/>
          </reference>
        </references>
      </pivotArea>
    </format>
    <format dxfId="1">
      <pivotArea dataOnly="0" labelOnly="1" outline="0" fieldPosition="0">
        <references count="5">
          <reference field="4" count="1" selected="0">
            <x v="12"/>
          </reference>
          <reference field="5" count="0" selected="0"/>
          <reference field="6" count="1" selected="0">
            <x v="15"/>
          </reference>
          <reference field="8" count="1" selected="0">
            <x v="1"/>
          </reference>
          <reference field="17" count="1">
            <x v="86"/>
          </reference>
        </references>
      </pivotArea>
    </format>
    <format dxfId="0">
      <pivotArea dataOnly="0" labelOnly="1" outline="0" fieldPosition="0">
        <references count="6">
          <reference field="4" count="1" selected="0">
            <x v="12"/>
          </reference>
          <reference field="5" count="0" selected="0"/>
          <reference field="6" count="1" selected="0">
            <x v="15"/>
          </reference>
          <reference field="8" count="1" selected="0">
            <x v="1"/>
          </reference>
          <reference field="17" count="1" selected="0">
            <x v="86"/>
          </reference>
          <reference field="18" count="1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F648" totalsRowShown="0">
  <autoFilter ref="A1:AF648" xr:uid="{00000000-0009-0000-0100-000001000000}"/>
  <tableColumns count="32">
    <tableColumn id="1" xr3:uid="{00000000-0010-0000-0000-000001000000}" name="Способ поставки"/>
    <tableColumn id="2" xr3:uid="{00000000-0010-0000-0000-000002000000}" name="Счет клиента"/>
    <tableColumn id="3" xr3:uid="{00000000-0010-0000-0000-000003000000}" name="Наименование"/>
    <tableColumn id="4" xr3:uid="{00000000-0010-0000-0000-000004000000}" name="Поздний заказ"/>
    <tableColumn id="5" xr3:uid="{00000000-0010-0000-0000-000005000000}" name="Заказ на продажу"/>
    <tableColumn id="6" xr3:uid="{00000000-0010-0000-0000-000006000000}" name="Запрошенная дата отгрузки"/>
    <tableColumn id="7" xr3:uid="{00000000-0010-0000-0000-000007000000}" name="Внешний номер заказа"/>
    <tableColumn id="8" xr3:uid="{00000000-0010-0000-0000-000008000000}" name="Время отгрузки"/>
    <tableColumn id="9" xr3:uid="{00000000-0010-0000-0000-000009000000}" name="Внешний код клиента"/>
    <tableColumn id="10" xr3:uid="{00000000-0010-0000-0000-00000A000000}" name="Запрошенная дата прихода"/>
    <tableColumn id="11" xr3:uid="{00000000-0010-0000-0000-00000B000000}" name="Время прихода"/>
    <tableColumn id="12" xr3:uid="{00000000-0010-0000-0000-00000C000000}" name="Код адреса поставки"/>
    <tableColumn id="13" xr3:uid="{00000000-0010-0000-0000-00000D000000}" name="Сайт"/>
    <tableColumn id="14" xr3:uid="{00000000-0010-0000-0000-00000E000000}" name="Склад"/>
    <tableColumn id="15" xr3:uid="{00000000-0010-0000-0000-00000F000000}" name="ИОСГ"/>
    <tableColumn id="16" xr3:uid="{00000000-0010-0000-0000-000010000000}" name="Внешний код"/>
    <tableColumn id="17" xr3:uid="{00000000-0010-0000-0000-000011000000}" name="Окончательная"/>
    <tableColumn id="18" xr3:uid="{00000000-0010-0000-0000-000012000000}" name="Код единицы продаж"/>
    <tableColumn id="19" xr3:uid="{00000000-0010-0000-0000-000013000000}" name="Наименование для бланков"/>
    <tableColumn id="20" xr3:uid="{00000000-0010-0000-0000-000014000000}" name="Заказано"/>
    <tableColumn id="21" xr3:uid="{00000000-0010-0000-0000-000015000000}" name="Согласовано"/>
    <tableColumn id="22" xr3:uid="{00000000-0010-0000-0000-000016000000}" name="Отгружено"/>
    <tableColumn id="23" xr3:uid="{00000000-0010-0000-0000-000017000000}" name="Урезание"/>
    <tableColumn id="24" xr3:uid="{00000000-0010-0000-0000-000018000000}" name="ПСУС (урезание/пусто)"/>
    <tableColumn id="25" xr3:uid="{00000000-0010-0000-0000-000019000000}" name="Зона ответственности (урезание/пусто)"/>
    <tableColumn id="26" xr3:uid="{00000000-0010-0000-0000-00001A000000}" name="Окончательная (урезание/пусто)"/>
    <tableColumn id="27" xr3:uid="{00000000-0010-0000-0000-00001B000000}" name="Недогруз"/>
    <tableColumn id="28" xr3:uid="{00000000-0010-0000-0000-00001C000000}" name="ПСУС (недогруз)"/>
    <tableColumn id="29" xr3:uid="{00000000-0010-0000-0000-00001D000000}" name="Зона ответственности (недогруз)"/>
    <tableColumn id="30" xr3:uid="{00000000-0010-0000-0000-00001E000000}" name="Окончательная (недогруз)"/>
    <tableColumn id="31" xr3:uid="{00000000-0010-0000-0000-00001F000000}" name="Комментарий"/>
    <tableColumn id="32" xr3:uid="{00000000-0010-0000-0000-000020000000}" name="Влож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651"/>
  <sheetViews>
    <sheetView tabSelected="1" workbookViewId="0">
      <selection activeCell="I662" sqref="I662"/>
    </sheetView>
  </sheetViews>
  <sheetFormatPr defaultRowHeight="15" x14ac:dyDescent="0.25"/>
  <cols>
    <col min="1" max="1" width="13.7109375" customWidth="1"/>
    <col min="2" max="2" width="15.140625" customWidth="1"/>
    <col min="3" max="3" width="19.85546875" customWidth="1"/>
    <col min="4" max="4" width="13.7109375" customWidth="1"/>
    <col min="5" max="5" width="18.7109375" customWidth="1"/>
    <col min="6" max="6" width="87" customWidth="1"/>
    <col min="7" max="7" width="17.7109375" style="5" customWidth="1"/>
    <col min="8" max="8" width="13.7109375" style="5" customWidth="1"/>
    <col min="9" max="9" width="19" style="11" customWidth="1"/>
    <col min="10" max="10" width="9.140625" style="11"/>
    <col min="11" max="11" width="13.7109375" customWidth="1"/>
  </cols>
  <sheetData>
    <row r="3" spans="1:12" x14ac:dyDescent="0.25">
      <c r="A3" s="6" t="s">
        <v>5</v>
      </c>
      <c r="B3" s="6" t="s">
        <v>8</v>
      </c>
      <c r="C3" s="6" t="s">
        <v>4</v>
      </c>
      <c r="D3" s="6" t="s">
        <v>6</v>
      </c>
      <c r="E3" s="6" t="s">
        <v>17</v>
      </c>
      <c r="F3" s="6" t="s">
        <v>18</v>
      </c>
      <c r="G3" s="7" t="s">
        <v>328</v>
      </c>
      <c r="H3" s="7" t="s">
        <v>329</v>
      </c>
      <c r="I3" s="10" t="s">
        <v>330</v>
      </c>
    </row>
    <row r="4" spans="1:12" x14ac:dyDescent="0.25">
      <c r="A4" s="8">
        <v>46279</v>
      </c>
      <c r="B4" s="12" t="s">
        <v>236</v>
      </c>
      <c r="C4" s="12" t="s">
        <v>234</v>
      </c>
      <c r="D4" s="12" t="s">
        <v>235</v>
      </c>
      <c r="E4" s="12" t="s">
        <v>169</v>
      </c>
      <c r="F4" s="12" t="s">
        <v>170</v>
      </c>
      <c r="G4" s="13">
        <v>330</v>
      </c>
      <c r="H4" s="13">
        <v>330</v>
      </c>
      <c r="I4" s="14"/>
      <c r="J4" s="15">
        <f>SUM(I4:I63)</f>
        <v>-490.71999999999997</v>
      </c>
      <c r="K4" s="20" t="s">
        <v>332</v>
      </c>
      <c r="L4" s="20">
        <v>13.09</v>
      </c>
    </row>
    <row r="5" spans="1:12" hidden="1" x14ac:dyDescent="0.25">
      <c r="A5" s="9"/>
      <c r="B5" s="9"/>
      <c r="C5" s="9"/>
      <c r="D5" s="9"/>
      <c r="E5" s="9" t="s">
        <v>147</v>
      </c>
      <c r="F5" s="9" t="s">
        <v>148</v>
      </c>
      <c r="G5" s="7">
        <v>507</v>
      </c>
      <c r="H5" s="7">
        <v>507</v>
      </c>
      <c r="I5" s="10"/>
    </row>
    <row r="6" spans="1:12" hidden="1" x14ac:dyDescent="0.25">
      <c r="A6" s="9"/>
      <c r="B6" s="9"/>
      <c r="C6" s="9"/>
      <c r="D6" s="9"/>
      <c r="E6" s="9" t="s">
        <v>195</v>
      </c>
      <c r="F6" s="9" t="s">
        <v>196</v>
      </c>
      <c r="G6" s="7">
        <v>334.8</v>
      </c>
      <c r="H6" s="7">
        <v>334.8</v>
      </c>
      <c r="I6" s="10"/>
    </row>
    <row r="7" spans="1:12" hidden="1" x14ac:dyDescent="0.25">
      <c r="A7" s="9"/>
      <c r="B7" s="9"/>
      <c r="C7" s="9"/>
      <c r="D7" s="9"/>
      <c r="E7" s="9" t="s">
        <v>51</v>
      </c>
      <c r="F7" s="9" t="s">
        <v>52</v>
      </c>
      <c r="G7" s="7">
        <v>648</v>
      </c>
      <c r="H7" s="7">
        <v>648</v>
      </c>
      <c r="I7" s="10"/>
    </row>
    <row r="8" spans="1:12" hidden="1" x14ac:dyDescent="0.25">
      <c r="A8" s="9"/>
      <c r="B8" s="9"/>
      <c r="C8" s="9"/>
      <c r="D8" s="9"/>
      <c r="E8" s="9" t="s">
        <v>57</v>
      </c>
      <c r="F8" s="9" t="s">
        <v>58</v>
      </c>
      <c r="G8" s="7">
        <v>583.20000000000005</v>
      </c>
      <c r="H8" s="7">
        <v>583.20000000000005</v>
      </c>
      <c r="I8" s="10"/>
    </row>
    <row r="9" spans="1:12" hidden="1" x14ac:dyDescent="0.25">
      <c r="A9" s="9"/>
      <c r="B9" s="9"/>
      <c r="C9" s="9"/>
      <c r="D9" s="9"/>
      <c r="E9" s="9" t="s">
        <v>55</v>
      </c>
      <c r="F9" s="9" t="s">
        <v>56</v>
      </c>
      <c r="G9" s="7">
        <v>2073.6</v>
      </c>
      <c r="H9" s="7">
        <v>2073.6</v>
      </c>
      <c r="I9" s="10"/>
    </row>
    <row r="10" spans="1:12" hidden="1" x14ac:dyDescent="0.25">
      <c r="A10" s="9"/>
      <c r="B10" s="9"/>
      <c r="C10" s="9"/>
      <c r="D10" s="9"/>
      <c r="E10" s="9" t="s">
        <v>246</v>
      </c>
      <c r="F10" s="9" t="s">
        <v>247</v>
      </c>
      <c r="G10" s="7">
        <v>6.08</v>
      </c>
      <c r="H10" s="7">
        <v>6.08</v>
      </c>
      <c r="I10" s="10"/>
    </row>
    <row r="11" spans="1:12" hidden="1" x14ac:dyDescent="0.25">
      <c r="A11" s="9"/>
      <c r="B11" s="9"/>
      <c r="C11" s="9"/>
      <c r="D11" s="9"/>
      <c r="E11" s="9" t="s">
        <v>185</v>
      </c>
      <c r="F11" s="9" t="s">
        <v>186</v>
      </c>
      <c r="G11" s="7">
        <v>1774.08</v>
      </c>
      <c r="H11" s="7">
        <v>1774.08</v>
      </c>
      <c r="I11" s="10"/>
    </row>
    <row r="12" spans="1:12" hidden="1" x14ac:dyDescent="0.25">
      <c r="A12" s="9"/>
      <c r="B12" s="9"/>
      <c r="C12" s="9"/>
      <c r="D12" s="9"/>
      <c r="E12" s="9" t="s">
        <v>187</v>
      </c>
      <c r="F12" s="9" t="s">
        <v>188</v>
      </c>
      <c r="G12" s="7">
        <v>802.56</v>
      </c>
      <c r="H12" s="7">
        <v>802.56</v>
      </c>
      <c r="I12" s="10"/>
    </row>
    <row r="13" spans="1:12" hidden="1" x14ac:dyDescent="0.25">
      <c r="A13" s="9"/>
      <c r="B13" s="9"/>
      <c r="C13" s="9"/>
      <c r="D13" s="9"/>
      <c r="E13" s="9" t="s">
        <v>173</v>
      </c>
      <c r="F13" s="9" t="s">
        <v>174</v>
      </c>
      <c r="G13" s="7">
        <v>1503</v>
      </c>
      <c r="H13" s="7">
        <v>1503</v>
      </c>
      <c r="I13" s="10"/>
    </row>
    <row r="14" spans="1:12" hidden="1" x14ac:dyDescent="0.25">
      <c r="A14" s="9"/>
      <c r="B14" s="9"/>
      <c r="C14" s="9"/>
      <c r="D14" s="9"/>
      <c r="E14" s="9" t="s">
        <v>248</v>
      </c>
      <c r="F14" s="9" t="s">
        <v>249</v>
      </c>
      <c r="G14" s="7">
        <v>10.199999999999999</v>
      </c>
      <c r="H14" s="7">
        <v>10.199999999999999</v>
      </c>
      <c r="I14" s="10"/>
    </row>
    <row r="15" spans="1:12" hidden="1" x14ac:dyDescent="0.25">
      <c r="A15" s="9"/>
      <c r="B15" s="9"/>
      <c r="C15" s="9"/>
      <c r="D15" s="9"/>
      <c r="E15" s="9" t="s">
        <v>232</v>
      </c>
      <c r="F15" s="9" t="s">
        <v>233</v>
      </c>
      <c r="G15" s="7">
        <v>184.8</v>
      </c>
      <c r="H15" s="7">
        <v>184.8</v>
      </c>
      <c r="I15" s="10"/>
    </row>
    <row r="16" spans="1:12" hidden="1" x14ac:dyDescent="0.25">
      <c r="A16" s="9"/>
      <c r="B16" s="9"/>
      <c r="C16" s="9"/>
      <c r="D16" s="9"/>
      <c r="E16" s="9" t="s">
        <v>189</v>
      </c>
      <c r="F16" s="9" t="s">
        <v>190</v>
      </c>
      <c r="G16" s="7">
        <v>501.6</v>
      </c>
      <c r="H16" s="7">
        <v>501.6</v>
      </c>
      <c r="I16" s="10"/>
    </row>
    <row r="17" spans="1:9" hidden="1" x14ac:dyDescent="0.25">
      <c r="A17" s="9"/>
      <c r="B17" s="9"/>
      <c r="C17" s="9"/>
      <c r="D17" s="9"/>
      <c r="E17" s="9" t="s">
        <v>220</v>
      </c>
      <c r="F17" s="9" t="s">
        <v>221</v>
      </c>
      <c r="G17" s="7">
        <v>332.64</v>
      </c>
      <c r="H17" s="7">
        <v>332.64</v>
      </c>
      <c r="I17" s="10"/>
    </row>
    <row r="18" spans="1:9" hidden="1" x14ac:dyDescent="0.25">
      <c r="A18" s="9"/>
      <c r="B18" s="9"/>
      <c r="C18" s="9"/>
      <c r="D18" s="9"/>
      <c r="E18" s="9" t="s">
        <v>175</v>
      </c>
      <c r="F18" s="9" t="s">
        <v>176</v>
      </c>
      <c r="G18" s="7">
        <v>40.799999999999997</v>
      </c>
      <c r="H18" s="7"/>
      <c r="I18" s="10">
        <v>-40.799999999999997</v>
      </c>
    </row>
    <row r="19" spans="1:9" hidden="1" x14ac:dyDescent="0.25">
      <c r="A19" s="9"/>
      <c r="B19" s="9"/>
      <c r="C19" s="9"/>
      <c r="D19" s="9"/>
      <c r="E19" s="9" t="s">
        <v>153</v>
      </c>
      <c r="F19" s="9" t="s">
        <v>154</v>
      </c>
      <c r="G19" s="7">
        <v>40</v>
      </c>
      <c r="H19" s="7">
        <v>40</v>
      </c>
      <c r="I19" s="10"/>
    </row>
    <row r="20" spans="1:9" hidden="1" x14ac:dyDescent="0.25">
      <c r="A20" s="9"/>
      <c r="B20" s="9"/>
      <c r="C20" s="9"/>
      <c r="D20" s="9"/>
      <c r="E20" s="9" t="s">
        <v>122</v>
      </c>
      <c r="F20" s="9" t="s">
        <v>123</v>
      </c>
      <c r="G20" s="7">
        <v>240</v>
      </c>
      <c r="H20" s="7">
        <v>240</v>
      </c>
      <c r="I20" s="10"/>
    </row>
    <row r="21" spans="1:9" hidden="1" x14ac:dyDescent="0.25">
      <c r="A21" s="9"/>
      <c r="B21" s="9"/>
      <c r="C21" s="9"/>
      <c r="D21" s="9"/>
      <c r="E21" s="9" t="s">
        <v>124</v>
      </c>
      <c r="F21" s="9" t="s">
        <v>125</v>
      </c>
      <c r="G21" s="7">
        <v>120</v>
      </c>
      <c r="H21" s="7">
        <v>120</v>
      </c>
      <c r="I21" s="10"/>
    </row>
    <row r="22" spans="1:9" hidden="1" x14ac:dyDescent="0.25">
      <c r="A22" s="9"/>
      <c r="B22" s="9"/>
      <c r="C22" s="9"/>
      <c r="D22" s="9"/>
      <c r="E22" s="9" t="s">
        <v>183</v>
      </c>
      <c r="F22" s="9" t="s">
        <v>184</v>
      </c>
      <c r="G22" s="7">
        <v>1620.96</v>
      </c>
      <c r="H22" s="7">
        <v>1620.96</v>
      </c>
      <c r="I22" s="10"/>
    </row>
    <row r="23" spans="1:9" hidden="1" x14ac:dyDescent="0.25">
      <c r="A23" s="9"/>
      <c r="B23" s="9"/>
      <c r="C23" s="9"/>
      <c r="D23" s="9"/>
      <c r="E23" s="9" t="s">
        <v>126</v>
      </c>
      <c r="F23" s="9" t="s">
        <v>127</v>
      </c>
      <c r="G23" s="7">
        <v>160.80000000000001</v>
      </c>
      <c r="H23" s="7">
        <v>160.80000000000001</v>
      </c>
      <c r="I23" s="10"/>
    </row>
    <row r="24" spans="1:9" hidden="1" x14ac:dyDescent="0.25">
      <c r="A24" s="9"/>
      <c r="B24" s="9"/>
      <c r="C24" s="9"/>
      <c r="D24" s="9"/>
      <c r="E24" s="9" t="s">
        <v>120</v>
      </c>
      <c r="F24" s="9" t="s">
        <v>121</v>
      </c>
      <c r="G24" s="7">
        <v>34.799999999999997</v>
      </c>
      <c r="H24" s="7">
        <v>34.799999999999997</v>
      </c>
      <c r="I24" s="10"/>
    </row>
    <row r="25" spans="1:9" hidden="1" x14ac:dyDescent="0.25">
      <c r="A25" s="9"/>
      <c r="B25" s="9"/>
      <c r="C25" s="9"/>
      <c r="D25" s="9"/>
      <c r="E25" s="9" t="s">
        <v>207</v>
      </c>
      <c r="F25" s="9" t="s">
        <v>208</v>
      </c>
      <c r="G25" s="7">
        <v>193.5</v>
      </c>
      <c r="H25" s="7">
        <v>193.5</v>
      </c>
      <c r="I25" s="10"/>
    </row>
    <row r="26" spans="1:9" hidden="1" x14ac:dyDescent="0.25">
      <c r="A26" s="9"/>
      <c r="B26" s="9"/>
      <c r="C26" s="9"/>
      <c r="D26" s="9"/>
      <c r="E26" s="9" t="s">
        <v>214</v>
      </c>
      <c r="F26" s="9" t="s">
        <v>215</v>
      </c>
      <c r="G26" s="7">
        <v>60</v>
      </c>
      <c r="H26" s="7"/>
      <c r="I26" s="10">
        <v>-60</v>
      </c>
    </row>
    <row r="27" spans="1:9" hidden="1" x14ac:dyDescent="0.25">
      <c r="A27" s="9"/>
      <c r="B27" s="9"/>
      <c r="C27" s="9"/>
      <c r="D27" s="9"/>
      <c r="E27" s="9" t="s">
        <v>139</v>
      </c>
      <c r="F27" s="9" t="s">
        <v>140</v>
      </c>
      <c r="G27" s="7">
        <v>31.2</v>
      </c>
      <c r="H27" s="7">
        <v>31.2</v>
      </c>
      <c r="I27" s="10"/>
    </row>
    <row r="28" spans="1:9" hidden="1" x14ac:dyDescent="0.25">
      <c r="A28" s="9"/>
      <c r="B28" s="9"/>
      <c r="C28" s="9"/>
      <c r="D28" s="9"/>
      <c r="E28" s="9" t="s">
        <v>203</v>
      </c>
      <c r="F28" s="9" t="s">
        <v>204</v>
      </c>
      <c r="G28" s="7">
        <v>90</v>
      </c>
      <c r="H28" s="7">
        <v>90</v>
      </c>
      <c r="I28" s="10"/>
    </row>
    <row r="29" spans="1:9" hidden="1" x14ac:dyDescent="0.25">
      <c r="A29" s="9"/>
      <c r="B29" s="9"/>
      <c r="C29" s="9"/>
      <c r="D29" s="9"/>
      <c r="E29" s="9" t="s">
        <v>201</v>
      </c>
      <c r="F29" s="9" t="s">
        <v>202</v>
      </c>
      <c r="G29" s="7">
        <v>518.4</v>
      </c>
      <c r="H29" s="7">
        <v>518.4</v>
      </c>
      <c r="I29" s="10"/>
    </row>
    <row r="30" spans="1:9" hidden="1" x14ac:dyDescent="0.25">
      <c r="A30" s="9"/>
      <c r="B30" s="9"/>
      <c r="C30" s="9"/>
      <c r="D30" s="9"/>
      <c r="E30" s="9" t="s">
        <v>49</v>
      </c>
      <c r="F30" s="9" t="s">
        <v>50</v>
      </c>
      <c r="G30" s="7">
        <v>648</v>
      </c>
      <c r="H30" s="7">
        <v>648</v>
      </c>
      <c r="I30" s="10"/>
    </row>
    <row r="31" spans="1:9" hidden="1" x14ac:dyDescent="0.25">
      <c r="A31" s="9"/>
      <c r="B31" s="9"/>
      <c r="C31" s="9"/>
      <c r="D31" s="9"/>
      <c r="E31" s="9" t="s">
        <v>151</v>
      </c>
      <c r="F31" s="9" t="s">
        <v>152</v>
      </c>
      <c r="G31" s="7">
        <v>40</v>
      </c>
      <c r="H31" s="7">
        <v>40</v>
      </c>
      <c r="I31" s="10"/>
    </row>
    <row r="32" spans="1:9" hidden="1" x14ac:dyDescent="0.25">
      <c r="A32" s="9"/>
      <c r="B32" s="9"/>
      <c r="C32" s="9"/>
      <c r="D32" s="9"/>
      <c r="E32" s="9" t="s">
        <v>250</v>
      </c>
      <c r="F32" s="9" t="s">
        <v>251</v>
      </c>
      <c r="G32" s="7">
        <v>66</v>
      </c>
      <c r="H32" s="7">
        <v>66</v>
      </c>
      <c r="I32" s="10"/>
    </row>
    <row r="33" spans="1:9" hidden="1" x14ac:dyDescent="0.25">
      <c r="A33" s="9"/>
      <c r="B33" s="9"/>
      <c r="C33" s="9"/>
      <c r="D33" s="9"/>
      <c r="E33" s="9" t="s">
        <v>212</v>
      </c>
      <c r="F33" s="9" t="s">
        <v>213</v>
      </c>
      <c r="G33" s="7">
        <v>400.8</v>
      </c>
      <c r="H33" s="7">
        <v>400.8</v>
      </c>
      <c r="I33" s="10"/>
    </row>
    <row r="34" spans="1:9" hidden="1" x14ac:dyDescent="0.25">
      <c r="A34" s="9"/>
      <c r="B34" s="9"/>
      <c r="C34" s="9"/>
      <c r="D34" s="9"/>
      <c r="E34" s="9" t="s">
        <v>116</v>
      </c>
      <c r="F34" s="9" t="s">
        <v>117</v>
      </c>
      <c r="G34" s="7">
        <v>105.3</v>
      </c>
      <c r="H34" s="7">
        <v>105.3</v>
      </c>
      <c r="I34" s="10"/>
    </row>
    <row r="35" spans="1:9" hidden="1" x14ac:dyDescent="0.25">
      <c r="A35" s="9"/>
      <c r="B35" s="9"/>
      <c r="C35" s="9"/>
      <c r="D35" s="9"/>
      <c r="E35" s="9" t="s">
        <v>128</v>
      </c>
      <c r="F35" s="9" t="s">
        <v>129</v>
      </c>
      <c r="G35" s="7">
        <v>88.8</v>
      </c>
      <c r="H35" s="7">
        <v>88.8</v>
      </c>
      <c r="I35" s="10"/>
    </row>
    <row r="36" spans="1:9" hidden="1" x14ac:dyDescent="0.25">
      <c r="A36" s="9"/>
      <c r="B36" s="9"/>
      <c r="C36" s="9"/>
      <c r="D36" s="9"/>
      <c r="E36" s="9" t="s">
        <v>118</v>
      </c>
      <c r="F36" s="9" t="s">
        <v>119</v>
      </c>
      <c r="G36" s="7">
        <v>56.7</v>
      </c>
      <c r="H36" s="7">
        <v>56.7</v>
      </c>
      <c r="I36" s="10"/>
    </row>
    <row r="37" spans="1:9" hidden="1" x14ac:dyDescent="0.25">
      <c r="A37" s="9"/>
      <c r="B37" s="9"/>
      <c r="C37" s="9"/>
      <c r="D37" s="9"/>
      <c r="E37" s="9" t="s">
        <v>96</v>
      </c>
      <c r="F37" s="9" t="s">
        <v>97</v>
      </c>
      <c r="G37" s="7">
        <v>54.6</v>
      </c>
      <c r="H37" s="7">
        <v>54.6</v>
      </c>
      <c r="I37" s="10"/>
    </row>
    <row r="38" spans="1:9" hidden="1" x14ac:dyDescent="0.25">
      <c r="A38" s="9"/>
      <c r="B38" s="9"/>
      <c r="C38" s="9"/>
      <c r="D38" s="9"/>
      <c r="E38" s="9" t="s">
        <v>112</v>
      </c>
      <c r="F38" s="9" t="s">
        <v>113</v>
      </c>
      <c r="G38" s="7">
        <v>3.6</v>
      </c>
      <c r="H38" s="7"/>
      <c r="I38" s="10">
        <v>-3.6</v>
      </c>
    </row>
    <row r="39" spans="1:9" hidden="1" x14ac:dyDescent="0.25">
      <c r="A39" s="9"/>
      <c r="B39" s="9"/>
      <c r="C39" s="9"/>
      <c r="D39" s="9"/>
      <c r="E39" s="9" t="s">
        <v>104</v>
      </c>
      <c r="F39" s="9" t="s">
        <v>105</v>
      </c>
      <c r="G39" s="7">
        <v>59.4</v>
      </c>
      <c r="H39" s="7"/>
      <c r="I39" s="10">
        <v>-59.4</v>
      </c>
    </row>
    <row r="40" spans="1:9" hidden="1" x14ac:dyDescent="0.25">
      <c r="A40" s="9"/>
      <c r="B40" s="9"/>
      <c r="C40" s="9"/>
      <c r="D40" s="9"/>
      <c r="E40" s="9" t="s">
        <v>110</v>
      </c>
      <c r="F40" s="9" t="s">
        <v>111</v>
      </c>
      <c r="G40" s="7">
        <v>14.4</v>
      </c>
      <c r="H40" s="7"/>
      <c r="I40" s="10">
        <v>-14.4</v>
      </c>
    </row>
    <row r="41" spans="1:9" hidden="1" x14ac:dyDescent="0.25">
      <c r="A41" s="9"/>
      <c r="B41" s="9"/>
      <c r="C41" s="9"/>
      <c r="D41" s="9"/>
      <c r="E41" s="9" t="s">
        <v>106</v>
      </c>
      <c r="F41" s="9" t="s">
        <v>107</v>
      </c>
      <c r="G41" s="7">
        <v>151.19999999999999</v>
      </c>
      <c r="H41" s="7"/>
      <c r="I41" s="10">
        <v>-151.19999999999999</v>
      </c>
    </row>
    <row r="42" spans="1:9" hidden="1" x14ac:dyDescent="0.25">
      <c r="A42" s="9"/>
      <c r="B42" s="9"/>
      <c r="C42" s="9"/>
      <c r="D42" s="9"/>
      <c r="E42" s="9" t="s">
        <v>108</v>
      </c>
      <c r="F42" s="9" t="s">
        <v>109</v>
      </c>
      <c r="G42" s="7">
        <v>21.6</v>
      </c>
      <c r="H42" s="7"/>
      <c r="I42" s="10">
        <v>-21.6</v>
      </c>
    </row>
    <row r="43" spans="1:9" hidden="1" x14ac:dyDescent="0.25">
      <c r="A43" s="9"/>
      <c r="B43" s="9"/>
      <c r="C43" s="9"/>
      <c r="D43" s="9"/>
      <c r="E43" s="9" t="s">
        <v>114</v>
      </c>
      <c r="F43" s="9" t="s">
        <v>115</v>
      </c>
      <c r="G43" s="7">
        <v>7.2</v>
      </c>
      <c r="H43" s="7"/>
      <c r="I43" s="10">
        <v>-7.2</v>
      </c>
    </row>
    <row r="44" spans="1:9" hidden="1" x14ac:dyDescent="0.25">
      <c r="A44" s="9"/>
      <c r="B44" s="9"/>
      <c r="C44" s="9"/>
      <c r="D44" s="9"/>
      <c r="E44" s="9" t="s">
        <v>157</v>
      </c>
      <c r="F44" s="9" t="s">
        <v>158</v>
      </c>
      <c r="G44" s="7">
        <v>35.700000000000003</v>
      </c>
      <c r="H44" s="7">
        <v>35.700000000000003</v>
      </c>
      <c r="I44" s="10"/>
    </row>
    <row r="45" spans="1:9" hidden="1" x14ac:dyDescent="0.25">
      <c r="A45" s="9"/>
      <c r="B45" s="9"/>
      <c r="C45" s="9"/>
      <c r="D45" s="9"/>
      <c r="E45" s="9" t="s">
        <v>159</v>
      </c>
      <c r="F45" s="9" t="s">
        <v>160</v>
      </c>
      <c r="G45" s="7">
        <v>14.7</v>
      </c>
      <c r="H45" s="7">
        <v>14.7</v>
      </c>
      <c r="I45" s="10"/>
    </row>
    <row r="46" spans="1:9" hidden="1" x14ac:dyDescent="0.25">
      <c r="A46" s="9"/>
      <c r="B46" s="9"/>
      <c r="C46" s="9"/>
      <c r="D46" s="9"/>
      <c r="E46" s="9" t="s">
        <v>94</v>
      </c>
      <c r="F46" s="9" t="s">
        <v>95</v>
      </c>
      <c r="G46" s="7">
        <v>13.6</v>
      </c>
      <c r="H46" s="7">
        <v>13.6</v>
      </c>
      <c r="I46" s="10"/>
    </row>
    <row r="47" spans="1:9" hidden="1" x14ac:dyDescent="0.25">
      <c r="A47" s="9"/>
      <c r="B47" s="9"/>
      <c r="C47" s="9"/>
      <c r="D47" s="9"/>
      <c r="E47" s="9" t="s">
        <v>242</v>
      </c>
      <c r="F47" s="9" t="s">
        <v>243</v>
      </c>
      <c r="G47" s="7">
        <v>19.8</v>
      </c>
      <c r="H47" s="7">
        <v>19.8</v>
      </c>
      <c r="I47" s="10"/>
    </row>
    <row r="48" spans="1:9" hidden="1" x14ac:dyDescent="0.25">
      <c r="A48" s="9"/>
      <c r="B48" s="9"/>
      <c r="C48" s="9"/>
      <c r="D48" s="9"/>
      <c r="E48" s="9" t="s">
        <v>240</v>
      </c>
      <c r="F48" s="9" t="s">
        <v>241</v>
      </c>
      <c r="G48" s="7">
        <v>24.3</v>
      </c>
      <c r="H48" s="7">
        <v>24.3</v>
      </c>
      <c r="I48" s="10"/>
    </row>
    <row r="49" spans="1:12" hidden="1" x14ac:dyDescent="0.25">
      <c r="A49" s="9"/>
      <c r="B49" s="9"/>
      <c r="C49" s="9"/>
      <c r="D49" s="9"/>
      <c r="E49" s="9" t="s">
        <v>91</v>
      </c>
      <c r="F49" s="9" t="s">
        <v>92</v>
      </c>
      <c r="G49" s="7">
        <v>5.4</v>
      </c>
      <c r="H49" s="7"/>
      <c r="I49" s="10">
        <v>-5.4</v>
      </c>
    </row>
    <row r="50" spans="1:12" hidden="1" x14ac:dyDescent="0.25">
      <c r="A50" s="9"/>
      <c r="B50" s="9"/>
      <c r="C50" s="9"/>
      <c r="D50" s="9"/>
      <c r="E50" s="9" t="s">
        <v>98</v>
      </c>
      <c r="F50" s="9" t="s">
        <v>99</v>
      </c>
      <c r="G50" s="7">
        <v>2.52</v>
      </c>
      <c r="H50" s="7">
        <v>2.52</v>
      </c>
      <c r="I50" s="10"/>
    </row>
    <row r="51" spans="1:12" hidden="1" x14ac:dyDescent="0.25">
      <c r="A51" s="9"/>
      <c r="B51" s="9"/>
      <c r="C51" s="9"/>
      <c r="D51" s="9"/>
      <c r="E51" s="9" t="s">
        <v>100</v>
      </c>
      <c r="F51" s="9" t="s">
        <v>101</v>
      </c>
      <c r="G51" s="7">
        <v>5.04</v>
      </c>
      <c r="H51" s="7">
        <v>5.04</v>
      </c>
      <c r="I51" s="10"/>
    </row>
    <row r="52" spans="1:12" hidden="1" x14ac:dyDescent="0.25">
      <c r="A52" s="9"/>
      <c r="B52" s="9"/>
      <c r="C52" s="9"/>
      <c r="D52" s="9"/>
      <c r="E52" s="9" t="s">
        <v>209</v>
      </c>
      <c r="F52" s="9" t="s">
        <v>210</v>
      </c>
      <c r="G52" s="7">
        <v>2.52</v>
      </c>
      <c r="H52" s="7">
        <v>2.52</v>
      </c>
      <c r="I52" s="10"/>
    </row>
    <row r="53" spans="1:12" hidden="1" x14ac:dyDescent="0.25">
      <c r="A53" s="9"/>
      <c r="B53" s="9"/>
      <c r="C53" s="9"/>
      <c r="D53" s="9"/>
      <c r="E53" s="9" t="s">
        <v>137</v>
      </c>
      <c r="F53" s="9" t="s">
        <v>138</v>
      </c>
      <c r="G53" s="7">
        <v>5.4</v>
      </c>
      <c r="H53" s="7">
        <v>5.4</v>
      </c>
      <c r="I53" s="10"/>
    </row>
    <row r="54" spans="1:12" hidden="1" x14ac:dyDescent="0.25">
      <c r="A54" s="9"/>
      <c r="B54" s="9"/>
      <c r="C54" s="9"/>
      <c r="D54" s="9"/>
      <c r="E54" s="9" t="s">
        <v>244</v>
      </c>
      <c r="F54" s="9" t="s">
        <v>245</v>
      </c>
      <c r="G54" s="7">
        <v>22.5</v>
      </c>
      <c r="H54" s="7">
        <v>22.5</v>
      </c>
      <c r="I54" s="10"/>
    </row>
    <row r="55" spans="1:12" hidden="1" x14ac:dyDescent="0.25">
      <c r="A55" s="9"/>
      <c r="B55" s="9"/>
      <c r="C55" s="9"/>
      <c r="D55" s="9"/>
      <c r="E55" s="9" t="s">
        <v>76</v>
      </c>
      <c r="F55" s="9" t="s">
        <v>77</v>
      </c>
      <c r="G55" s="7">
        <v>99.12</v>
      </c>
      <c r="H55" s="7">
        <v>99.12</v>
      </c>
      <c r="I55" s="10"/>
    </row>
    <row r="56" spans="1:12" hidden="1" x14ac:dyDescent="0.25">
      <c r="A56" s="9"/>
      <c r="B56" s="9"/>
      <c r="C56" s="9"/>
      <c r="D56" s="9"/>
      <c r="E56" s="9" t="s">
        <v>65</v>
      </c>
      <c r="F56" s="9" t="s">
        <v>66</v>
      </c>
      <c r="G56" s="7">
        <v>28</v>
      </c>
      <c r="H56" s="7"/>
      <c r="I56" s="10">
        <v>-28</v>
      </c>
    </row>
    <row r="57" spans="1:12" hidden="1" x14ac:dyDescent="0.25">
      <c r="A57" s="9"/>
      <c r="B57" s="9"/>
      <c r="C57" s="9"/>
      <c r="D57" s="9"/>
      <c r="E57" s="9" t="s">
        <v>81</v>
      </c>
      <c r="F57" s="9" t="s">
        <v>82</v>
      </c>
      <c r="G57" s="7">
        <v>99.12</v>
      </c>
      <c r="H57" s="7"/>
      <c r="I57" s="10">
        <v>-99.12</v>
      </c>
    </row>
    <row r="58" spans="1:12" hidden="1" x14ac:dyDescent="0.25">
      <c r="A58" s="9"/>
      <c r="B58" s="9"/>
      <c r="C58" s="9"/>
      <c r="D58" s="9"/>
      <c r="E58" s="9" t="s">
        <v>74</v>
      </c>
      <c r="F58" s="9" t="s">
        <v>75</v>
      </c>
      <c r="G58" s="7">
        <v>252</v>
      </c>
      <c r="H58" s="7">
        <v>252</v>
      </c>
      <c r="I58" s="10"/>
    </row>
    <row r="59" spans="1:12" hidden="1" x14ac:dyDescent="0.25">
      <c r="A59" s="9"/>
      <c r="B59" s="9"/>
      <c r="C59" s="9"/>
      <c r="D59" s="9"/>
      <c r="E59" s="9" t="s">
        <v>78</v>
      </c>
      <c r="F59" s="9" t="s">
        <v>79</v>
      </c>
      <c r="G59" s="7">
        <v>15.12</v>
      </c>
      <c r="H59" s="7">
        <v>15.12</v>
      </c>
      <c r="I59" s="10"/>
    </row>
    <row r="60" spans="1:12" hidden="1" x14ac:dyDescent="0.25">
      <c r="A60" s="9"/>
      <c r="B60" s="9"/>
      <c r="C60" s="9"/>
      <c r="D60" s="9"/>
      <c r="E60" s="9" t="s">
        <v>70</v>
      </c>
      <c r="F60" s="9" t="s">
        <v>71</v>
      </c>
      <c r="G60" s="7">
        <v>59.5</v>
      </c>
      <c r="H60" s="7">
        <v>59.5</v>
      </c>
      <c r="I60" s="10"/>
    </row>
    <row r="61" spans="1:12" hidden="1" x14ac:dyDescent="0.25">
      <c r="A61" s="9"/>
      <c r="B61" s="9"/>
      <c r="C61" s="9"/>
      <c r="D61" s="9"/>
      <c r="E61" s="9" t="s">
        <v>216</v>
      </c>
      <c r="F61" s="9" t="s">
        <v>217</v>
      </c>
      <c r="G61" s="7">
        <v>585</v>
      </c>
      <c r="H61" s="7">
        <v>585</v>
      </c>
      <c r="I61" s="10"/>
    </row>
    <row r="62" spans="1:12" hidden="1" x14ac:dyDescent="0.25">
      <c r="A62" s="9"/>
      <c r="B62" s="9"/>
      <c r="C62" s="9"/>
      <c r="D62" s="9"/>
      <c r="E62" s="9" t="s">
        <v>238</v>
      </c>
      <c r="F62" s="9" t="s">
        <v>239</v>
      </c>
      <c r="G62" s="7">
        <v>12</v>
      </c>
      <c r="H62" s="7">
        <v>12</v>
      </c>
      <c r="I62" s="10"/>
    </row>
    <row r="63" spans="1:12" hidden="1" x14ac:dyDescent="0.25">
      <c r="A63" s="9"/>
      <c r="B63" s="9"/>
      <c r="C63" s="9"/>
      <c r="D63" s="9"/>
      <c r="E63" s="9" t="s">
        <v>167</v>
      </c>
      <c r="F63" s="9" t="s">
        <v>168</v>
      </c>
      <c r="G63" s="7">
        <v>405</v>
      </c>
      <c r="H63" s="7">
        <v>405</v>
      </c>
      <c r="I63" s="10"/>
    </row>
    <row r="64" spans="1:12" x14ac:dyDescent="0.25">
      <c r="A64" s="9"/>
      <c r="B64" s="9"/>
      <c r="C64" s="12" t="s">
        <v>293</v>
      </c>
      <c r="D64" s="12" t="s">
        <v>294</v>
      </c>
      <c r="E64" s="12" t="s">
        <v>169</v>
      </c>
      <c r="F64" s="12" t="s">
        <v>170</v>
      </c>
      <c r="G64" s="13">
        <v>2565</v>
      </c>
      <c r="H64" s="13">
        <v>2565</v>
      </c>
      <c r="I64" s="14"/>
      <c r="J64" s="15">
        <f>SUM(I64:I132)</f>
        <v>-599.72</v>
      </c>
      <c r="K64" s="20" t="s">
        <v>332</v>
      </c>
      <c r="L64" s="20">
        <v>14.09</v>
      </c>
    </row>
    <row r="65" spans="1:9" hidden="1" x14ac:dyDescent="0.25">
      <c r="A65" s="9"/>
      <c r="B65" s="9"/>
      <c r="C65" s="9"/>
      <c r="D65" s="9"/>
      <c r="E65" s="9" t="s">
        <v>195</v>
      </c>
      <c r="F65" s="9" t="s">
        <v>196</v>
      </c>
      <c r="G65" s="7">
        <v>702</v>
      </c>
      <c r="H65" s="7">
        <v>702</v>
      </c>
      <c r="I65" s="10"/>
    </row>
    <row r="66" spans="1:9" hidden="1" x14ac:dyDescent="0.25">
      <c r="A66" s="9"/>
      <c r="B66" s="9"/>
      <c r="C66" s="9"/>
      <c r="D66" s="9"/>
      <c r="E66" s="9" t="s">
        <v>43</v>
      </c>
      <c r="F66" s="9" t="s">
        <v>44</v>
      </c>
      <c r="G66" s="7">
        <v>4</v>
      </c>
      <c r="H66" s="7">
        <v>4</v>
      </c>
      <c r="I66" s="10"/>
    </row>
    <row r="67" spans="1:9" hidden="1" x14ac:dyDescent="0.25">
      <c r="A67" s="9"/>
      <c r="B67" s="9"/>
      <c r="C67" s="9"/>
      <c r="D67" s="9"/>
      <c r="E67" s="9" t="s">
        <v>53</v>
      </c>
      <c r="F67" s="9" t="s">
        <v>54</v>
      </c>
      <c r="G67" s="7">
        <v>1587.6</v>
      </c>
      <c r="H67" s="7">
        <v>1587.6</v>
      </c>
      <c r="I67" s="10"/>
    </row>
    <row r="68" spans="1:9" hidden="1" x14ac:dyDescent="0.25">
      <c r="A68" s="9"/>
      <c r="B68" s="9"/>
      <c r="C68" s="9"/>
      <c r="D68" s="9"/>
      <c r="E68" s="9" t="s">
        <v>297</v>
      </c>
      <c r="F68" s="9" t="s">
        <v>298</v>
      </c>
      <c r="G68" s="7">
        <v>21</v>
      </c>
      <c r="H68" s="7">
        <v>21</v>
      </c>
      <c r="I68" s="10"/>
    </row>
    <row r="69" spans="1:9" hidden="1" x14ac:dyDescent="0.25">
      <c r="A69" s="9"/>
      <c r="B69" s="9"/>
      <c r="C69" s="9"/>
      <c r="D69" s="9"/>
      <c r="E69" s="9" t="s">
        <v>260</v>
      </c>
      <c r="F69" s="9" t="s">
        <v>261</v>
      </c>
      <c r="G69" s="7">
        <v>20.399999999999999</v>
      </c>
      <c r="H69" s="7">
        <v>20.399999999999999</v>
      </c>
      <c r="I69" s="10"/>
    </row>
    <row r="70" spans="1:9" hidden="1" x14ac:dyDescent="0.25">
      <c r="A70" s="9"/>
      <c r="B70" s="9"/>
      <c r="C70" s="9"/>
      <c r="D70" s="9"/>
      <c r="E70" s="9" t="s">
        <v>246</v>
      </c>
      <c r="F70" s="9" t="s">
        <v>247</v>
      </c>
      <c r="G70" s="7">
        <v>6.08</v>
      </c>
      <c r="H70" s="7">
        <v>6.08</v>
      </c>
      <c r="I70" s="10"/>
    </row>
    <row r="71" spans="1:9" hidden="1" x14ac:dyDescent="0.25">
      <c r="A71" s="9"/>
      <c r="B71" s="9"/>
      <c r="C71" s="9"/>
      <c r="D71" s="9"/>
      <c r="E71" s="9" t="s">
        <v>185</v>
      </c>
      <c r="F71" s="9" t="s">
        <v>186</v>
      </c>
      <c r="G71" s="7">
        <v>1589.28</v>
      </c>
      <c r="H71" s="7">
        <v>1589.28</v>
      </c>
      <c r="I71" s="10"/>
    </row>
    <row r="72" spans="1:9" hidden="1" x14ac:dyDescent="0.25">
      <c r="A72" s="9"/>
      <c r="B72" s="9"/>
      <c r="C72" s="9"/>
      <c r="D72" s="9"/>
      <c r="E72" s="9" t="s">
        <v>187</v>
      </c>
      <c r="F72" s="9" t="s">
        <v>188</v>
      </c>
      <c r="G72" s="7">
        <v>654.72</v>
      </c>
      <c r="H72" s="7">
        <v>654.72</v>
      </c>
      <c r="I72" s="10"/>
    </row>
    <row r="73" spans="1:9" hidden="1" x14ac:dyDescent="0.25">
      <c r="A73" s="9"/>
      <c r="B73" s="9"/>
      <c r="C73" s="9"/>
      <c r="D73" s="9"/>
      <c r="E73" s="9" t="s">
        <v>173</v>
      </c>
      <c r="F73" s="9" t="s">
        <v>174</v>
      </c>
      <c r="G73" s="7">
        <v>1008</v>
      </c>
      <c r="H73" s="7">
        <v>1008</v>
      </c>
      <c r="I73" s="10"/>
    </row>
    <row r="74" spans="1:9" hidden="1" x14ac:dyDescent="0.25">
      <c r="A74" s="9"/>
      <c r="B74" s="9"/>
      <c r="C74" s="9"/>
      <c r="D74" s="9"/>
      <c r="E74" s="9" t="s">
        <v>232</v>
      </c>
      <c r="F74" s="9" t="s">
        <v>233</v>
      </c>
      <c r="G74" s="7">
        <v>454.08</v>
      </c>
      <c r="H74" s="7">
        <v>454.08</v>
      </c>
      <c r="I74" s="10"/>
    </row>
    <row r="75" spans="1:9" hidden="1" x14ac:dyDescent="0.25">
      <c r="A75" s="9"/>
      <c r="B75" s="9"/>
      <c r="C75" s="9"/>
      <c r="D75" s="9"/>
      <c r="E75" s="9" t="s">
        <v>189</v>
      </c>
      <c r="F75" s="9" t="s">
        <v>190</v>
      </c>
      <c r="G75" s="7">
        <v>644.16</v>
      </c>
      <c r="H75" s="7">
        <v>644.16</v>
      </c>
      <c r="I75" s="10"/>
    </row>
    <row r="76" spans="1:9" hidden="1" x14ac:dyDescent="0.25">
      <c r="A76" s="9"/>
      <c r="B76" s="9"/>
      <c r="C76" s="9"/>
      <c r="D76" s="9"/>
      <c r="E76" s="9" t="s">
        <v>220</v>
      </c>
      <c r="F76" s="9" t="s">
        <v>221</v>
      </c>
      <c r="G76" s="7">
        <v>253.44</v>
      </c>
      <c r="H76" s="7">
        <v>253.44</v>
      </c>
      <c r="I76" s="10"/>
    </row>
    <row r="77" spans="1:9" hidden="1" x14ac:dyDescent="0.25">
      <c r="A77" s="9"/>
      <c r="B77" s="9"/>
      <c r="C77" s="9"/>
      <c r="D77" s="9"/>
      <c r="E77" s="9" t="s">
        <v>175</v>
      </c>
      <c r="F77" s="9" t="s">
        <v>176</v>
      </c>
      <c r="G77" s="7">
        <v>81.599999999999994</v>
      </c>
      <c r="H77" s="7"/>
      <c r="I77" s="10">
        <v>-81.599999999999994</v>
      </c>
    </row>
    <row r="78" spans="1:9" hidden="1" x14ac:dyDescent="0.25">
      <c r="A78" s="9"/>
      <c r="B78" s="9"/>
      <c r="C78" s="9"/>
      <c r="D78" s="9"/>
      <c r="E78" s="9" t="s">
        <v>145</v>
      </c>
      <c r="F78" s="9" t="s">
        <v>146</v>
      </c>
      <c r="G78" s="7">
        <v>7.2</v>
      </c>
      <c r="H78" s="7">
        <v>7.2</v>
      </c>
      <c r="I78" s="10"/>
    </row>
    <row r="79" spans="1:9" hidden="1" x14ac:dyDescent="0.25">
      <c r="A79" s="9"/>
      <c r="B79" s="9"/>
      <c r="C79" s="9"/>
      <c r="D79" s="9"/>
      <c r="E79" s="9" t="s">
        <v>122</v>
      </c>
      <c r="F79" s="9" t="s">
        <v>123</v>
      </c>
      <c r="G79" s="7">
        <v>801.6</v>
      </c>
      <c r="H79" s="7">
        <v>801.6</v>
      </c>
      <c r="I79" s="10"/>
    </row>
    <row r="80" spans="1:9" hidden="1" x14ac:dyDescent="0.25">
      <c r="A80" s="9"/>
      <c r="B80" s="9"/>
      <c r="C80" s="9"/>
      <c r="D80" s="9"/>
      <c r="E80" s="9" t="s">
        <v>124</v>
      </c>
      <c r="F80" s="9" t="s">
        <v>125</v>
      </c>
      <c r="G80" s="7">
        <v>199.2</v>
      </c>
      <c r="H80" s="7">
        <v>199.2</v>
      </c>
      <c r="I80" s="10"/>
    </row>
    <row r="81" spans="1:9" hidden="1" x14ac:dyDescent="0.25">
      <c r="A81" s="9"/>
      <c r="B81" s="9"/>
      <c r="C81" s="9"/>
      <c r="D81" s="9"/>
      <c r="E81" s="9" t="s">
        <v>301</v>
      </c>
      <c r="F81" s="9" t="s">
        <v>302</v>
      </c>
      <c r="G81" s="7">
        <v>67.2</v>
      </c>
      <c r="H81" s="7">
        <v>67.2</v>
      </c>
      <c r="I81" s="10"/>
    </row>
    <row r="82" spans="1:9" hidden="1" x14ac:dyDescent="0.25">
      <c r="A82" s="9"/>
      <c r="B82" s="9"/>
      <c r="C82" s="9"/>
      <c r="D82" s="9"/>
      <c r="E82" s="9" t="s">
        <v>299</v>
      </c>
      <c r="F82" s="9" t="s">
        <v>300</v>
      </c>
      <c r="G82" s="7">
        <v>1027.2</v>
      </c>
      <c r="H82" s="7">
        <v>1027.2</v>
      </c>
      <c r="I82" s="10"/>
    </row>
    <row r="83" spans="1:9" hidden="1" x14ac:dyDescent="0.25">
      <c r="A83" s="9"/>
      <c r="B83" s="9"/>
      <c r="C83" s="9"/>
      <c r="D83" s="9"/>
      <c r="E83" s="9" t="s">
        <v>183</v>
      </c>
      <c r="F83" s="9" t="s">
        <v>184</v>
      </c>
      <c r="G83" s="7">
        <v>121.44</v>
      </c>
      <c r="H83" s="7">
        <v>121.44</v>
      </c>
      <c r="I83" s="10"/>
    </row>
    <row r="84" spans="1:9" hidden="1" x14ac:dyDescent="0.25">
      <c r="A84" s="9"/>
      <c r="B84" s="9"/>
      <c r="C84" s="9"/>
      <c r="D84" s="9"/>
      <c r="E84" s="9" t="s">
        <v>303</v>
      </c>
      <c r="F84" s="9" t="s">
        <v>304</v>
      </c>
      <c r="G84" s="7">
        <v>4.8</v>
      </c>
      <c r="H84" s="7">
        <v>4.8</v>
      </c>
      <c r="I84" s="10"/>
    </row>
    <row r="85" spans="1:9" hidden="1" x14ac:dyDescent="0.25">
      <c r="A85" s="9"/>
      <c r="B85" s="9"/>
      <c r="C85" s="9"/>
      <c r="D85" s="9"/>
      <c r="E85" s="9" t="s">
        <v>126</v>
      </c>
      <c r="F85" s="9" t="s">
        <v>127</v>
      </c>
      <c r="G85" s="7">
        <v>31.2</v>
      </c>
      <c r="H85" s="7">
        <v>31.2</v>
      </c>
      <c r="I85" s="10"/>
    </row>
    <row r="86" spans="1:9" hidden="1" x14ac:dyDescent="0.25">
      <c r="A86" s="9"/>
      <c r="B86" s="9"/>
      <c r="C86" s="9"/>
      <c r="D86" s="9"/>
      <c r="E86" s="9" t="s">
        <v>120</v>
      </c>
      <c r="F86" s="9" t="s">
        <v>121</v>
      </c>
      <c r="G86" s="7">
        <v>34.799999999999997</v>
      </c>
      <c r="H86" s="7">
        <v>34.799999999999997</v>
      </c>
      <c r="I86" s="10"/>
    </row>
    <row r="87" spans="1:9" hidden="1" x14ac:dyDescent="0.25">
      <c r="A87" s="9"/>
      <c r="B87" s="9"/>
      <c r="C87" s="9"/>
      <c r="D87" s="9"/>
      <c r="E87" s="9" t="s">
        <v>287</v>
      </c>
      <c r="F87" s="9" t="s">
        <v>288</v>
      </c>
      <c r="G87" s="7">
        <v>2.4</v>
      </c>
      <c r="H87" s="7">
        <v>2.4</v>
      </c>
      <c r="I87" s="10"/>
    </row>
    <row r="88" spans="1:9" hidden="1" x14ac:dyDescent="0.25">
      <c r="A88" s="9"/>
      <c r="B88" s="9"/>
      <c r="C88" s="9"/>
      <c r="D88" s="9"/>
      <c r="E88" s="9" t="s">
        <v>214</v>
      </c>
      <c r="F88" s="9" t="s">
        <v>215</v>
      </c>
      <c r="G88" s="7">
        <v>120</v>
      </c>
      <c r="H88" s="7">
        <v>120</v>
      </c>
      <c r="I88" s="10"/>
    </row>
    <row r="89" spans="1:9" hidden="1" x14ac:dyDescent="0.25">
      <c r="A89" s="9"/>
      <c r="B89" s="9"/>
      <c r="C89" s="9"/>
      <c r="D89" s="9"/>
      <c r="E89" s="9" t="s">
        <v>139</v>
      </c>
      <c r="F89" s="9" t="s">
        <v>140</v>
      </c>
      <c r="G89" s="7">
        <v>60</v>
      </c>
      <c r="H89" s="7">
        <v>60</v>
      </c>
      <c r="I89" s="10"/>
    </row>
    <row r="90" spans="1:9" hidden="1" x14ac:dyDescent="0.25">
      <c r="A90" s="9"/>
      <c r="B90" s="9"/>
      <c r="C90" s="9"/>
      <c r="D90" s="9"/>
      <c r="E90" s="9" t="s">
        <v>203</v>
      </c>
      <c r="F90" s="9" t="s">
        <v>204</v>
      </c>
      <c r="G90" s="7">
        <v>108</v>
      </c>
      <c r="H90" s="7">
        <v>108</v>
      </c>
      <c r="I90" s="10"/>
    </row>
    <row r="91" spans="1:9" hidden="1" x14ac:dyDescent="0.25">
      <c r="A91" s="9"/>
      <c r="B91" s="9"/>
      <c r="C91" s="9"/>
      <c r="D91" s="9"/>
      <c r="E91" s="9" t="s">
        <v>230</v>
      </c>
      <c r="F91" s="9" t="s">
        <v>231</v>
      </c>
      <c r="G91" s="7">
        <v>75.599999999999994</v>
      </c>
      <c r="H91" s="7">
        <v>75.599999999999994</v>
      </c>
      <c r="I91" s="10"/>
    </row>
    <row r="92" spans="1:9" hidden="1" x14ac:dyDescent="0.25">
      <c r="A92" s="9"/>
      <c r="B92" s="9"/>
      <c r="C92" s="9"/>
      <c r="D92" s="9"/>
      <c r="E92" s="9" t="s">
        <v>201</v>
      </c>
      <c r="F92" s="9" t="s">
        <v>202</v>
      </c>
      <c r="G92" s="7">
        <v>572.4</v>
      </c>
      <c r="H92" s="7">
        <v>572.4</v>
      </c>
      <c r="I92" s="10"/>
    </row>
    <row r="93" spans="1:9" hidden="1" x14ac:dyDescent="0.25">
      <c r="A93" s="9"/>
      <c r="B93" s="9"/>
      <c r="C93" s="9"/>
      <c r="D93" s="9"/>
      <c r="E93" s="9" t="s">
        <v>49</v>
      </c>
      <c r="F93" s="9" t="s">
        <v>50</v>
      </c>
      <c r="G93" s="7">
        <v>496.8</v>
      </c>
      <c r="H93" s="7">
        <v>496.8</v>
      </c>
      <c r="I93" s="10"/>
    </row>
    <row r="94" spans="1:9" hidden="1" x14ac:dyDescent="0.25">
      <c r="A94" s="9"/>
      <c r="B94" s="9"/>
      <c r="C94" s="9"/>
      <c r="D94" s="9"/>
      <c r="E94" s="9" t="s">
        <v>212</v>
      </c>
      <c r="F94" s="9" t="s">
        <v>213</v>
      </c>
      <c r="G94" s="7">
        <v>60</v>
      </c>
      <c r="H94" s="7">
        <v>60</v>
      </c>
      <c r="I94" s="10"/>
    </row>
    <row r="95" spans="1:9" hidden="1" x14ac:dyDescent="0.25">
      <c r="A95" s="9"/>
      <c r="B95" s="9"/>
      <c r="C95" s="9"/>
      <c r="D95" s="9"/>
      <c r="E95" s="9" t="s">
        <v>116</v>
      </c>
      <c r="F95" s="9" t="s">
        <v>117</v>
      </c>
      <c r="G95" s="7">
        <v>380.7</v>
      </c>
      <c r="H95" s="7">
        <v>380.7</v>
      </c>
      <c r="I95" s="10"/>
    </row>
    <row r="96" spans="1:9" hidden="1" x14ac:dyDescent="0.25">
      <c r="A96" s="9"/>
      <c r="B96" s="9"/>
      <c r="C96" s="9"/>
      <c r="D96" s="9"/>
      <c r="E96" s="9" t="s">
        <v>118</v>
      </c>
      <c r="F96" s="9" t="s">
        <v>119</v>
      </c>
      <c r="G96" s="7">
        <v>72.900000000000006</v>
      </c>
      <c r="H96" s="7">
        <v>31</v>
      </c>
      <c r="I96" s="10">
        <v>-41.9</v>
      </c>
    </row>
    <row r="97" spans="1:9" hidden="1" x14ac:dyDescent="0.25">
      <c r="A97" s="9"/>
      <c r="B97" s="9"/>
      <c r="C97" s="9"/>
      <c r="D97" s="9"/>
      <c r="E97" s="9" t="s">
        <v>85</v>
      </c>
      <c r="F97" s="9" t="s">
        <v>86</v>
      </c>
      <c r="G97" s="7">
        <v>8.4</v>
      </c>
      <c r="H97" s="7">
        <v>8.4</v>
      </c>
      <c r="I97" s="10"/>
    </row>
    <row r="98" spans="1:9" hidden="1" x14ac:dyDescent="0.25">
      <c r="A98" s="9"/>
      <c r="B98" s="9"/>
      <c r="C98" s="9"/>
      <c r="D98" s="9"/>
      <c r="E98" s="9" t="s">
        <v>96</v>
      </c>
      <c r="F98" s="9" t="s">
        <v>97</v>
      </c>
      <c r="G98" s="7">
        <v>123.9</v>
      </c>
      <c r="H98" s="7"/>
      <c r="I98" s="10">
        <v>-123.9</v>
      </c>
    </row>
    <row r="99" spans="1:9" hidden="1" x14ac:dyDescent="0.25">
      <c r="A99" s="9"/>
      <c r="B99" s="9"/>
      <c r="C99" s="9"/>
      <c r="D99" s="9"/>
      <c r="E99" s="9" t="s">
        <v>205</v>
      </c>
      <c r="F99" s="9" t="s">
        <v>206</v>
      </c>
      <c r="G99" s="7">
        <v>334.8</v>
      </c>
      <c r="H99" s="7">
        <v>334.8</v>
      </c>
      <c r="I99" s="10"/>
    </row>
    <row r="100" spans="1:9" hidden="1" x14ac:dyDescent="0.25">
      <c r="A100" s="9"/>
      <c r="B100" s="9"/>
      <c r="C100" s="9"/>
      <c r="D100" s="9"/>
      <c r="E100" s="9" t="s">
        <v>112</v>
      </c>
      <c r="F100" s="9" t="s">
        <v>113</v>
      </c>
      <c r="G100" s="7">
        <v>9</v>
      </c>
      <c r="H100" s="7"/>
      <c r="I100" s="10">
        <v>-9</v>
      </c>
    </row>
    <row r="101" spans="1:9" hidden="1" x14ac:dyDescent="0.25">
      <c r="A101" s="9"/>
      <c r="B101" s="9"/>
      <c r="C101" s="9"/>
      <c r="D101" s="9"/>
      <c r="E101" s="9" t="s">
        <v>104</v>
      </c>
      <c r="F101" s="9" t="s">
        <v>105</v>
      </c>
      <c r="G101" s="7">
        <v>151.19999999999999</v>
      </c>
      <c r="H101" s="7"/>
      <c r="I101" s="10">
        <v>-151.19999999999999</v>
      </c>
    </row>
    <row r="102" spans="1:9" hidden="1" x14ac:dyDescent="0.25">
      <c r="A102" s="9"/>
      <c r="B102" s="9"/>
      <c r="C102" s="9"/>
      <c r="D102" s="9"/>
      <c r="E102" s="9" t="s">
        <v>110</v>
      </c>
      <c r="F102" s="9" t="s">
        <v>111</v>
      </c>
      <c r="G102" s="7">
        <v>50.4</v>
      </c>
      <c r="H102" s="7">
        <v>50.4</v>
      </c>
      <c r="I102" s="10"/>
    </row>
    <row r="103" spans="1:9" hidden="1" x14ac:dyDescent="0.25">
      <c r="A103" s="9"/>
      <c r="B103" s="9"/>
      <c r="C103" s="9"/>
      <c r="D103" s="9"/>
      <c r="E103" s="9" t="s">
        <v>106</v>
      </c>
      <c r="F103" s="9" t="s">
        <v>107</v>
      </c>
      <c r="G103" s="7">
        <v>253.8</v>
      </c>
      <c r="H103" s="7">
        <v>253.8</v>
      </c>
      <c r="I103" s="10"/>
    </row>
    <row r="104" spans="1:9" hidden="1" x14ac:dyDescent="0.25">
      <c r="A104" s="9"/>
      <c r="B104" s="9"/>
      <c r="C104" s="9"/>
      <c r="D104" s="9"/>
      <c r="E104" s="9" t="s">
        <v>108</v>
      </c>
      <c r="F104" s="9" t="s">
        <v>109</v>
      </c>
      <c r="G104" s="7">
        <v>64.8</v>
      </c>
      <c r="H104" s="7"/>
      <c r="I104" s="10">
        <v>-64.8</v>
      </c>
    </row>
    <row r="105" spans="1:9" hidden="1" x14ac:dyDescent="0.25">
      <c r="A105" s="9"/>
      <c r="B105" s="9"/>
      <c r="C105" s="9"/>
      <c r="D105" s="9"/>
      <c r="E105" s="9" t="s">
        <v>114</v>
      </c>
      <c r="F105" s="9" t="s">
        <v>115</v>
      </c>
      <c r="G105" s="7">
        <v>16.2</v>
      </c>
      <c r="H105" s="7">
        <v>16.2</v>
      </c>
      <c r="I105" s="10"/>
    </row>
    <row r="106" spans="1:9" hidden="1" x14ac:dyDescent="0.25">
      <c r="A106" s="9"/>
      <c r="B106" s="9"/>
      <c r="C106" s="9"/>
      <c r="D106" s="9"/>
      <c r="E106" s="9" t="s">
        <v>61</v>
      </c>
      <c r="F106" s="9" t="s">
        <v>62</v>
      </c>
      <c r="G106" s="7">
        <v>16.8</v>
      </c>
      <c r="H106" s="7"/>
      <c r="I106" s="10">
        <v>-16.8</v>
      </c>
    </row>
    <row r="107" spans="1:9" hidden="1" x14ac:dyDescent="0.25">
      <c r="A107" s="9"/>
      <c r="B107" s="9"/>
      <c r="C107" s="9"/>
      <c r="D107" s="9"/>
      <c r="E107" s="9" t="s">
        <v>157</v>
      </c>
      <c r="F107" s="9" t="s">
        <v>158</v>
      </c>
      <c r="G107" s="7">
        <v>54.6</v>
      </c>
      <c r="H107" s="7">
        <v>54.6</v>
      </c>
      <c r="I107" s="10"/>
    </row>
    <row r="108" spans="1:9" hidden="1" x14ac:dyDescent="0.25">
      <c r="A108" s="9"/>
      <c r="B108" s="9"/>
      <c r="C108" s="9"/>
      <c r="D108" s="9"/>
      <c r="E108" s="9" t="s">
        <v>159</v>
      </c>
      <c r="F108" s="9" t="s">
        <v>160</v>
      </c>
      <c r="G108" s="7">
        <v>29.4</v>
      </c>
      <c r="H108" s="7"/>
      <c r="I108" s="10">
        <v>-29.4</v>
      </c>
    </row>
    <row r="109" spans="1:9" hidden="1" x14ac:dyDescent="0.25">
      <c r="A109" s="9"/>
      <c r="B109" s="9"/>
      <c r="C109" s="9"/>
      <c r="D109" s="9"/>
      <c r="E109" s="9" t="s">
        <v>94</v>
      </c>
      <c r="F109" s="9" t="s">
        <v>95</v>
      </c>
      <c r="G109" s="7">
        <v>19.2</v>
      </c>
      <c r="H109" s="7">
        <v>19.2</v>
      </c>
      <c r="I109" s="10"/>
    </row>
    <row r="110" spans="1:9" hidden="1" x14ac:dyDescent="0.25">
      <c r="A110" s="9"/>
      <c r="B110" s="9"/>
      <c r="C110" s="9"/>
      <c r="D110" s="9"/>
      <c r="E110" s="9" t="s">
        <v>295</v>
      </c>
      <c r="F110" s="9" t="s">
        <v>296</v>
      </c>
      <c r="G110" s="7">
        <v>21.6</v>
      </c>
      <c r="H110" s="7">
        <v>21.6</v>
      </c>
      <c r="I110" s="10"/>
    </row>
    <row r="111" spans="1:9" hidden="1" x14ac:dyDescent="0.25">
      <c r="A111" s="9"/>
      <c r="B111" s="9"/>
      <c r="C111" s="9"/>
      <c r="D111" s="9"/>
      <c r="E111" s="9" t="s">
        <v>165</v>
      </c>
      <c r="F111" s="9" t="s">
        <v>166</v>
      </c>
      <c r="G111" s="7">
        <v>465</v>
      </c>
      <c r="H111" s="7">
        <v>465</v>
      </c>
      <c r="I111" s="10"/>
    </row>
    <row r="112" spans="1:9" hidden="1" x14ac:dyDescent="0.25">
      <c r="A112" s="9"/>
      <c r="B112" s="9"/>
      <c r="C112" s="9"/>
      <c r="D112" s="9"/>
      <c r="E112" s="9" t="s">
        <v>163</v>
      </c>
      <c r="F112" s="9" t="s">
        <v>164</v>
      </c>
      <c r="G112" s="7">
        <v>570</v>
      </c>
      <c r="H112" s="7">
        <v>570</v>
      </c>
      <c r="I112" s="10"/>
    </row>
    <row r="113" spans="1:9" hidden="1" x14ac:dyDescent="0.25">
      <c r="A113" s="9"/>
      <c r="B113" s="9"/>
      <c r="C113" s="9"/>
      <c r="D113" s="9"/>
      <c r="E113" s="9" t="s">
        <v>228</v>
      </c>
      <c r="F113" s="9" t="s">
        <v>229</v>
      </c>
      <c r="G113" s="7">
        <v>33.6</v>
      </c>
      <c r="H113" s="7">
        <v>33.6</v>
      </c>
      <c r="I113" s="10"/>
    </row>
    <row r="114" spans="1:9" hidden="1" x14ac:dyDescent="0.25">
      <c r="A114" s="9"/>
      <c r="B114" s="9"/>
      <c r="C114" s="9"/>
      <c r="D114" s="9"/>
      <c r="E114" s="9" t="s">
        <v>222</v>
      </c>
      <c r="F114" s="9" t="s">
        <v>223</v>
      </c>
      <c r="G114" s="7">
        <v>5.4</v>
      </c>
      <c r="H114" s="7">
        <v>5.4</v>
      </c>
      <c r="I114" s="10"/>
    </row>
    <row r="115" spans="1:9" hidden="1" x14ac:dyDescent="0.25">
      <c r="A115" s="9"/>
      <c r="B115" s="9"/>
      <c r="C115" s="9"/>
      <c r="D115" s="9"/>
      <c r="E115" s="9" t="s">
        <v>242</v>
      </c>
      <c r="F115" s="9" t="s">
        <v>243</v>
      </c>
      <c r="G115" s="7">
        <v>23.4</v>
      </c>
      <c r="H115" s="7">
        <v>23.4</v>
      </c>
      <c r="I115" s="10"/>
    </row>
    <row r="116" spans="1:9" hidden="1" x14ac:dyDescent="0.25">
      <c r="A116" s="9"/>
      <c r="B116" s="9"/>
      <c r="C116" s="9"/>
      <c r="D116" s="9"/>
      <c r="E116" s="9" t="s">
        <v>91</v>
      </c>
      <c r="F116" s="9" t="s">
        <v>92</v>
      </c>
      <c r="G116" s="7">
        <v>7.2</v>
      </c>
      <c r="H116" s="7"/>
      <c r="I116" s="10">
        <v>-7.2</v>
      </c>
    </row>
    <row r="117" spans="1:9" hidden="1" x14ac:dyDescent="0.25">
      <c r="A117" s="9"/>
      <c r="B117" s="9"/>
      <c r="C117" s="9"/>
      <c r="D117" s="9"/>
      <c r="E117" s="9" t="s">
        <v>100</v>
      </c>
      <c r="F117" s="9" t="s">
        <v>101</v>
      </c>
      <c r="G117" s="7">
        <v>16.38</v>
      </c>
      <c r="H117" s="7"/>
      <c r="I117" s="10">
        <v>-16.38</v>
      </c>
    </row>
    <row r="118" spans="1:9" hidden="1" x14ac:dyDescent="0.25">
      <c r="A118" s="9"/>
      <c r="B118" s="9"/>
      <c r="C118" s="9"/>
      <c r="D118" s="9"/>
      <c r="E118" s="9" t="s">
        <v>209</v>
      </c>
      <c r="F118" s="9" t="s">
        <v>210</v>
      </c>
      <c r="G118" s="7">
        <v>5.04</v>
      </c>
      <c r="H118" s="7"/>
      <c r="I118" s="10">
        <v>-5.04</v>
      </c>
    </row>
    <row r="119" spans="1:9" hidden="1" x14ac:dyDescent="0.25">
      <c r="A119" s="9"/>
      <c r="B119" s="9"/>
      <c r="C119" s="9"/>
      <c r="D119" s="9"/>
      <c r="E119" s="9" t="s">
        <v>137</v>
      </c>
      <c r="F119" s="9" t="s">
        <v>138</v>
      </c>
      <c r="G119" s="7">
        <v>5.4</v>
      </c>
      <c r="H119" s="7">
        <v>5.4</v>
      </c>
      <c r="I119" s="10"/>
    </row>
    <row r="120" spans="1:9" hidden="1" x14ac:dyDescent="0.25">
      <c r="A120" s="9"/>
      <c r="B120" s="9"/>
      <c r="C120" s="9"/>
      <c r="D120" s="9"/>
      <c r="E120" s="9" t="s">
        <v>87</v>
      </c>
      <c r="F120" s="9" t="s">
        <v>88</v>
      </c>
      <c r="G120" s="7">
        <v>25.6</v>
      </c>
      <c r="H120" s="7">
        <v>25.6</v>
      </c>
      <c r="I120" s="10"/>
    </row>
    <row r="121" spans="1:9" hidden="1" x14ac:dyDescent="0.25">
      <c r="A121" s="9"/>
      <c r="B121" s="9"/>
      <c r="C121" s="9"/>
      <c r="D121" s="9"/>
      <c r="E121" s="9" t="s">
        <v>76</v>
      </c>
      <c r="F121" s="9" t="s">
        <v>77</v>
      </c>
      <c r="G121" s="7">
        <v>28.56</v>
      </c>
      <c r="H121" s="7">
        <v>28.56</v>
      </c>
      <c r="I121" s="10"/>
    </row>
    <row r="122" spans="1:9" hidden="1" x14ac:dyDescent="0.25">
      <c r="A122" s="9"/>
      <c r="B122" s="9"/>
      <c r="C122" s="9"/>
      <c r="D122" s="9"/>
      <c r="E122" s="9" t="s">
        <v>65</v>
      </c>
      <c r="F122" s="9" t="s">
        <v>66</v>
      </c>
      <c r="G122" s="7">
        <v>52.5</v>
      </c>
      <c r="H122" s="7"/>
      <c r="I122" s="10">
        <v>-52.5</v>
      </c>
    </row>
    <row r="123" spans="1:9" hidden="1" x14ac:dyDescent="0.25">
      <c r="A123" s="9"/>
      <c r="B123" s="9"/>
      <c r="C123" s="9"/>
      <c r="D123" s="9"/>
      <c r="E123" s="9" t="s">
        <v>81</v>
      </c>
      <c r="F123" s="9" t="s">
        <v>82</v>
      </c>
      <c r="G123" s="7">
        <v>84</v>
      </c>
      <c r="H123" s="7">
        <v>84</v>
      </c>
      <c r="I123" s="10"/>
    </row>
    <row r="124" spans="1:9" hidden="1" x14ac:dyDescent="0.25">
      <c r="A124" s="9"/>
      <c r="B124" s="9"/>
      <c r="C124" s="9"/>
      <c r="D124" s="9"/>
      <c r="E124" s="9" t="s">
        <v>74</v>
      </c>
      <c r="F124" s="9" t="s">
        <v>75</v>
      </c>
      <c r="G124" s="7">
        <v>112</v>
      </c>
      <c r="H124" s="7">
        <v>112</v>
      </c>
      <c r="I124" s="10"/>
    </row>
    <row r="125" spans="1:9" hidden="1" x14ac:dyDescent="0.25">
      <c r="A125" s="9"/>
      <c r="B125" s="9"/>
      <c r="C125" s="9"/>
      <c r="D125" s="9"/>
      <c r="E125" s="9" t="s">
        <v>78</v>
      </c>
      <c r="F125" s="9" t="s">
        <v>79</v>
      </c>
      <c r="G125" s="7">
        <v>8.4</v>
      </c>
      <c r="H125" s="7">
        <v>8.4</v>
      </c>
      <c r="I125" s="10"/>
    </row>
    <row r="126" spans="1:9" hidden="1" x14ac:dyDescent="0.25">
      <c r="A126" s="9"/>
      <c r="B126" s="9"/>
      <c r="C126" s="9"/>
      <c r="D126" s="9"/>
      <c r="E126" s="9" t="s">
        <v>70</v>
      </c>
      <c r="F126" s="9" t="s">
        <v>71</v>
      </c>
      <c r="G126" s="7">
        <v>129.5</v>
      </c>
      <c r="H126" s="7">
        <v>129.5</v>
      </c>
      <c r="I126" s="10"/>
    </row>
    <row r="127" spans="1:9" hidden="1" x14ac:dyDescent="0.25">
      <c r="A127" s="9"/>
      <c r="B127" s="9"/>
      <c r="C127" s="9"/>
      <c r="D127" s="9"/>
      <c r="E127" s="9" t="s">
        <v>141</v>
      </c>
      <c r="F127" s="9" t="s">
        <v>142</v>
      </c>
      <c r="G127" s="7">
        <v>23.4</v>
      </c>
      <c r="H127" s="7">
        <v>23.4</v>
      </c>
      <c r="I127" s="10"/>
    </row>
    <row r="128" spans="1:9" hidden="1" x14ac:dyDescent="0.25">
      <c r="A128" s="9"/>
      <c r="B128" s="9"/>
      <c r="C128" s="9"/>
      <c r="D128" s="9"/>
      <c r="E128" s="9" t="s">
        <v>216</v>
      </c>
      <c r="F128" s="9" t="s">
        <v>217</v>
      </c>
      <c r="G128" s="7">
        <v>351</v>
      </c>
      <c r="H128" s="7">
        <v>351</v>
      </c>
      <c r="I128" s="10"/>
    </row>
    <row r="129" spans="1:13" hidden="1" x14ac:dyDescent="0.25">
      <c r="A129" s="9"/>
      <c r="B129" s="9"/>
      <c r="C129" s="9"/>
      <c r="D129" s="9"/>
      <c r="E129" s="9" t="s">
        <v>143</v>
      </c>
      <c r="F129" s="9" t="s">
        <v>144</v>
      </c>
      <c r="G129" s="7">
        <v>70.2</v>
      </c>
      <c r="H129" s="7">
        <v>70.2</v>
      </c>
      <c r="I129" s="10"/>
    </row>
    <row r="130" spans="1:13" hidden="1" x14ac:dyDescent="0.25">
      <c r="A130" s="9"/>
      <c r="B130" s="9"/>
      <c r="C130" s="9"/>
      <c r="D130" s="9"/>
      <c r="E130" s="9" t="s">
        <v>264</v>
      </c>
      <c r="F130" s="9" t="s">
        <v>265</v>
      </c>
      <c r="G130" s="7">
        <v>30</v>
      </c>
      <c r="H130" s="7">
        <v>30</v>
      </c>
      <c r="I130" s="10"/>
    </row>
    <row r="131" spans="1:13" hidden="1" x14ac:dyDescent="0.25">
      <c r="A131" s="9"/>
      <c r="B131" s="9"/>
      <c r="C131" s="9"/>
      <c r="D131" s="9"/>
      <c r="E131" s="9" t="s">
        <v>238</v>
      </c>
      <c r="F131" s="9" t="s">
        <v>239</v>
      </c>
      <c r="G131" s="7">
        <v>18</v>
      </c>
      <c r="H131" s="7">
        <v>18</v>
      </c>
      <c r="I131" s="10"/>
    </row>
    <row r="132" spans="1:13" hidden="1" x14ac:dyDescent="0.25">
      <c r="A132" s="9"/>
      <c r="B132" s="9"/>
      <c r="C132" s="9"/>
      <c r="D132" s="9"/>
      <c r="E132" s="9" t="s">
        <v>167</v>
      </c>
      <c r="F132" s="9" t="s">
        <v>168</v>
      </c>
      <c r="G132" s="7">
        <v>540</v>
      </c>
      <c r="H132" s="7">
        <v>540</v>
      </c>
      <c r="I132" s="10"/>
    </row>
    <row r="133" spans="1:13" x14ac:dyDescent="0.25">
      <c r="A133" s="9"/>
      <c r="B133" s="9"/>
      <c r="C133" s="16" t="s">
        <v>315</v>
      </c>
      <c r="D133" s="16" t="s">
        <v>327</v>
      </c>
      <c r="E133" s="16" t="s">
        <v>169</v>
      </c>
      <c r="F133" s="16" t="s">
        <v>170</v>
      </c>
      <c r="G133" s="17">
        <v>795</v>
      </c>
      <c r="H133" s="17"/>
      <c r="I133" s="18">
        <v>-795</v>
      </c>
      <c r="J133" s="19">
        <f>GETPIVOTDATA("Сумма по полю Урезание",$A$3,"Заказ на продажу","TSO001121201","Запрошенная дата отгрузки",DATE(2026,9,14),"Внешний номер заказа",,"Внешний код клиента","НВДонецЧаа","Код единицы продаж","SU000126","Наименование для бланков","Ветчины Нежная Особая Особая Весовые П/а Особый рецепт большой батон")</f>
        <v>-795</v>
      </c>
      <c r="K133" t="s">
        <v>331</v>
      </c>
    </row>
    <row r="134" spans="1:13" x14ac:dyDescent="0.25">
      <c r="A134" s="9"/>
      <c r="B134" s="9"/>
      <c r="C134" s="12" t="s">
        <v>322</v>
      </c>
      <c r="D134" s="12" t="s">
        <v>323</v>
      </c>
      <c r="E134" s="12" t="s">
        <v>165</v>
      </c>
      <c r="F134" s="12" t="s">
        <v>166</v>
      </c>
      <c r="G134" s="13">
        <v>300</v>
      </c>
      <c r="H134" s="13">
        <v>300</v>
      </c>
      <c r="I134" s="14"/>
      <c r="J134" s="15">
        <f>GETPIVOTDATA("Сумма по полю Урезание",$A$3,"Заказ на продажу","TSO001121237","Запрошенная дата отгрузки",DATE(2026,9,14),"Внешний номер заказа","6312591","Внешний код клиента","НВДонецЧаа","Код единицы продаж","SU003420","Наименование для бланков","Вареные колбасы «Филейная» Весовой п/а ТМ «Особый рецепт» большой батон")+GETPIVOTDATA("Сумма по полю Урезание",$A$3,"Заказ на продажу","TSO001121237","Запрошенная дата отгрузки",DATE(2026,9,14),"Внешний номер заказа","6312591","Внешний код клиента","НВДонецЧаа","Код единицы продаж","SU003423","Наименование для бланков","Вареные колбасы «Со шпиком» Весовой п/а ТМ «Особый рецепт» большой батон")</f>
        <v>0</v>
      </c>
      <c r="K134" s="20" t="s">
        <v>332</v>
      </c>
      <c r="L134" s="20">
        <v>13.09</v>
      </c>
      <c r="M134" s="20" t="s">
        <v>333</v>
      </c>
    </row>
    <row r="135" spans="1:13" hidden="1" x14ac:dyDescent="0.25">
      <c r="A135" s="9"/>
      <c r="B135" s="9"/>
      <c r="C135" s="9"/>
      <c r="D135" s="9"/>
      <c r="E135" s="9" t="s">
        <v>163</v>
      </c>
      <c r="F135" s="9" t="s">
        <v>164</v>
      </c>
      <c r="G135" s="7">
        <v>300</v>
      </c>
      <c r="H135" s="7">
        <v>300</v>
      </c>
      <c r="I135" s="10"/>
    </row>
    <row r="136" spans="1:13" x14ac:dyDescent="0.25">
      <c r="A136" s="9"/>
      <c r="B136" s="12" t="s">
        <v>199</v>
      </c>
      <c r="C136" s="12" t="s">
        <v>197</v>
      </c>
      <c r="D136" s="12" t="s">
        <v>198</v>
      </c>
      <c r="E136" s="12" t="s">
        <v>169</v>
      </c>
      <c r="F136" s="12" t="s">
        <v>170</v>
      </c>
      <c r="G136" s="13">
        <v>600</v>
      </c>
      <c r="H136" s="13">
        <v>600</v>
      </c>
      <c r="I136" s="14"/>
      <c r="J136" s="15">
        <f>SUM(I136:I176)</f>
        <v>-138</v>
      </c>
      <c r="K136" s="20" t="s">
        <v>334</v>
      </c>
      <c r="L136" s="20">
        <v>13.09</v>
      </c>
    </row>
    <row r="137" spans="1:13" hidden="1" x14ac:dyDescent="0.25">
      <c r="A137" s="9"/>
      <c r="B137" s="9"/>
      <c r="C137" s="9"/>
      <c r="D137" s="9"/>
      <c r="E137" s="9" t="s">
        <v>147</v>
      </c>
      <c r="F137" s="9" t="s">
        <v>148</v>
      </c>
      <c r="G137" s="7">
        <v>312</v>
      </c>
      <c r="H137" s="7">
        <v>312</v>
      </c>
      <c r="I137" s="10"/>
    </row>
    <row r="138" spans="1:13" hidden="1" x14ac:dyDescent="0.25">
      <c r="A138" s="9"/>
      <c r="B138" s="9"/>
      <c r="C138" s="9"/>
      <c r="D138" s="9"/>
      <c r="E138" s="9" t="s">
        <v>195</v>
      </c>
      <c r="F138" s="9" t="s">
        <v>196</v>
      </c>
      <c r="G138" s="7">
        <v>734.4</v>
      </c>
      <c r="H138" s="7">
        <v>734.4</v>
      </c>
      <c r="I138" s="10"/>
    </row>
    <row r="139" spans="1:13" hidden="1" x14ac:dyDescent="0.25">
      <c r="A139" s="9"/>
      <c r="B139" s="9"/>
      <c r="C139" s="9"/>
      <c r="D139" s="9"/>
      <c r="E139" s="9" t="s">
        <v>218</v>
      </c>
      <c r="F139" s="9" t="s">
        <v>219</v>
      </c>
      <c r="G139" s="7">
        <v>16.8</v>
      </c>
      <c r="H139" s="7">
        <v>16.8</v>
      </c>
      <c r="I139" s="10"/>
    </row>
    <row r="140" spans="1:13" hidden="1" x14ac:dyDescent="0.25">
      <c r="A140" s="9"/>
      <c r="B140" s="9"/>
      <c r="C140" s="9"/>
      <c r="D140" s="9"/>
      <c r="E140" s="9" t="s">
        <v>51</v>
      </c>
      <c r="F140" s="9" t="s">
        <v>52</v>
      </c>
      <c r="G140" s="7">
        <v>421.2</v>
      </c>
      <c r="H140" s="7">
        <v>421.2</v>
      </c>
      <c r="I140" s="10"/>
    </row>
    <row r="141" spans="1:13" hidden="1" x14ac:dyDescent="0.25">
      <c r="A141" s="9"/>
      <c r="B141" s="9"/>
      <c r="C141" s="9"/>
      <c r="D141" s="9"/>
      <c r="E141" s="9" t="s">
        <v>53</v>
      </c>
      <c r="F141" s="9" t="s">
        <v>54</v>
      </c>
      <c r="G141" s="7">
        <v>72.900000000000006</v>
      </c>
      <c r="H141" s="7">
        <v>72.900000000000006</v>
      </c>
      <c r="I141" s="10"/>
    </row>
    <row r="142" spans="1:13" hidden="1" x14ac:dyDescent="0.25">
      <c r="A142" s="9"/>
      <c r="B142" s="9"/>
      <c r="C142" s="9"/>
      <c r="D142" s="9"/>
      <c r="E142" s="9" t="s">
        <v>57</v>
      </c>
      <c r="F142" s="9" t="s">
        <v>58</v>
      </c>
      <c r="G142" s="7">
        <v>113.4</v>
      </c>
      <c r="H142" s="7">
        <v>113.4</v>
      </c>
      <c r="I142" s="10"/>
    </row>
    <row r="143" spans="1:13" hidden="1" x14ac:dyDescent="0.25">
      <c r="A143" s="9"/>
      <c r="B143" s="9"/>
      <c r="C143" s="9"/>
      <c r="D143" s="9"/>
      <c r="E143" s="9" t="s">
        <v>55</v>
      </c>
      <c r="F143" s="9" t="s">
        <v>56</v>
      </c>
      <c r="G143" s="7">
        <v>429.3</v>
      </c>
      <c r="H143" s="7">
        <v>429.3</v>
      </c>
      <c r="I143" s="10"/>
    </row>
    <row r="144" spans="1:13" hidden="1" x14ac:dyDescent="0.25">
      <c r="A144" s="9"/>
      <c r="B144" s="9"/>
      <c r="C144" s="9"/>
      <c r="D144" s="9"/>
      <c r="E144" s="9" t="s">
        <v>185</v>
      </c>
      <c r="F144" s="9" t="s">
        <v>186</v>
      </c>
      <c r="G144" s="7">
        <v>359.04</v>
      </c>
      <c r="H144" s="7">
        <v>359.04</v>
      </c>
      <c r="I144" s="10"/>
    </row>
    <row r="145" spans="1:9" hidden="1" x14ac:dyDescent="0.25">
      <c r="A145" s="9"/>
      <c r="B145" s="9"/>
      <c r="C145" s="9"/>
      <c r="D145" s="9"/>
      <c r="E145" s="9" t="s">
        <v>187</v>
      </c>
      <c r="F145" s="9" t="s">
        <v>188</v>
      </c>
      <c r="G145" s="7">
        <v>237.6</v>
      </c>
      <c r="H145" s="7">
        <v>237.6</v>
      </c>
      <c r="I145" s="10"/>
    </row>
    <row r="146" spans="1:9" hidden="1" x14ac:dyDescent="0.25">
      <c r="A146" s="9"/>
      <c r="B146" s="9"/>
      <c r="C146" s="9"/>
      <c r="D146" s="9"/>
      <c r="E146" s="9" t="s">
        <v>173</v>
      </c>
      <c r="F146" s="9" t="s">
        <v>174</v>
      </c>
      <c r="G146" s="7">
        <v>1008</v>
      </c>
      <c r="H146" s="7">
        <v>1008</v>
      </c>
      <c r="I146" s="10"/>
    </row>
    <row r="147" spans="1:9" hidden="1" x14ac:dyDescent="0.25">
      <c r="A147" s="9"/>
      <c r="B147" s="9"/>
      <c r="C147" s="9"/>
      <c r="D147" s="9"/>
      <c r="E147" s="9" t="s">
        <v>189</v>
      </c>
      <c r="F147" s="9" t="s">
        <v>190</v>
      </c>
      <c r="G147" s="7">
        <v>163.68</v>
      </c>
      <c r="H147" s="7">
        <v>163.68</v>
      </c>
      <c r="I147" s="10"/>
    </row>
    <row r="148" spans="1:9" hidden="1" x14ac:dyDescent="0.25">
      <c r="A148" s="9"/>
      <c r="B148" s="9"/>
      <c r="C148" s="9"/>
      <c r="D148" s="9"/>
      <c r="E148" s="9" t="s">
        <v>220</v>
      </c>
      <c r="F148" s="9" t="s">
        <v>221</v>
      </c>
      <c r="G148" s="7">
        <v>269.27999999999997</v>
      </c>
      <c r="H148" s="7">
        <v>269.27999999999997</v>
      </c>
      <c r="I148" s="10"/>
    </row>
    <row r="149" spans="1:9" hidden="1" x14ac:dyDescent="0.25">
      <c r="A149" s="9"/>
      <c r="B149" s="9"/>
      <c r="C149" s="9"/>
      <c r="D149" s="9"/>
      <c r="E149" s="9" t="s">
        <v>122</v>
      </c>
      <c r="F149" s="9" t="s">
        <v>123</v>
      </c>
      <c r="G149" s="7">
        <v>600</v>
      </c>
      <c r="H149" s="7">
        <v>600</v>
      </c>
      <c r="I149" s="10"/>
    </row>
    <row r="150" spans="1:9" hidden="1" x14ac:dyDescent="0.25">
      <c r="A150" s="9"/>
      <c r="B150" s="9"/>
      <c r="C150" s="9"/>
      <c r="D150" s="9"/>
      <c r="E150" s="9" t="s">
        <v>124</v>
      </c>
      <c r="F150" s="9" t="s">
        <v>125</v>
      </c>
      <c r="G150" s="7">
        <v>96</v>
      </c>
      <c r="H150" s="7">
        <v>96</v>
      </c>
      <c r="I150" s="10"/>
    </row>
    <row r="151" spans="1:9" hidden="1" x14ac:dyDescent="0.25">
      <c r="A151" s="9"/>
      <c r="B151" s="9"/>
      <c r="C151" s="9"/>
      <c r="D151" s="9"/>
      <c r="E151" s="9" t="s">
        <v>183</v>
      </c>
      <c r="F151" s="9" t="s">
        <v>184</v>
      </c>
      <c r="G151" s="7">
        <v>190.08</v>
      </c>
      <c r="H151" s="7">
        <v>190.08</v>
      </c>
      <c r="I151" s="10"/>
    </row>
    <row r="152" spans="1:9" hidden="1" x14ac:dyDescent="0.25">
      <c r="A152" s="9"/>
      <c r="B152" s="9"/>
      <c r="C152" s="9"/>
      <c r="D152" s="9"/>
      <c r="E152" s="9" t="s">
        <v>126</v>
      </c>
      <c r="F152" s="9" t="s">
        <v>127</v>
      </c>
      <c r="G152" s="7">
        <v>120</v>
      </c>
      <c r="H152" s="7">
        <v>120</v>
      </c>
      <c r="I152" s="10"/>
    </row>
    <row r="153" spans="1:9" hidden="1" x14ac:dyDescent="0.25">
      <c r="A153" s="9"/>
      <c r="B153" s="9"/>
      <c r="C153" s="9"/>
      <c r="D153" s="9"/>
      <c r="E153" s="9" t="s">
        <v>120</v>
      </c>
      <c r="F153" s="9" t="s">
        <v>121</v>
      </c>
      <c r="G153" s="7">
        <v>26.1</v>
      </c>
      <c r="H153" s="7">
        <v>26.1</v>
      </c>
      <c r="I153" s="10"/>
    </row>
    <row r="154" spans="1:9" hidden="1" x14ac:dyDescent="0.25">
      <c r="A154" s="9"/>
      <c r="B154" s="9"/>
      <c r="C154" s="9"/>
      <c r="D154" s="9"/>
      <c r="E154" s="9" t="s">
        <v>207</v>
      </c>
      <c r="F154" s="9" t="s">
        <v>208</v>
      </c>
      <c r="G154" s="7">
        <v>135</v>
      </c>
      <c r="H154" s="7">
        <v>135</v>
      </c>
      <c r="I154" s="10"/>
    </row>
    <row r="155" spans="1:9" hidden="1" x14ac:dyDescent="0.25">
      <c r="A155" s="9"/>
      <c r="B155" s="9"/>
      <c r="C155" s="9"/>
      <c r="D155" s="9"/>
      <c r="E155" s="9" t="s">
        <v>130</v>
      </c>
      <c r="F155" s="9" t="s">
        <v>131</v>
      </c>
      <c r="G155" s="7">
        <v>21.6</v>
      </c>
      <c r="H155" s="7">
        <v>21.6</v>
      </c>
      <c r="I155" s="10"/>
    </row>
    <row r="156" spans="1:9" hidden="1" x14ac:dyDescent="0.25">
      <c r="A156" s="9"/>
      <c r="B156" s="9"/>
      <c r="C156" s="9"/>
      <c r="D156" s="9"/>
      <c r="E156" s="9" t="s">
        <v>214</v>
      </c>
      <c r="F156" s="9" t="s">
        <v>215</v>
      </c>
      <c r="G156" s="7">
        <v>62.4</v>
      </c>
      <c r="H156" s="7"/>
      <c r="I156" s="10">
        <v>-62.4</v>
      </c>
    </row>
    <row r="157" spans="1:9" hidden="1" x14ac:dyDescent="0.25">
      <c r="A157" s="9"/>
      <c r="B157" s="9"/>
      <c r="C157" s="9"/>
      <c r="D157" s="9"/>
      <c r="E157" s="9" t="s">
        <v>139</v>
      </c>
      <c r="F157" s="9" t="s">
        <v>140</v>
      </c>
      <c r="G157" s="7">
        <v>40.799999999999997</v>
      </c>
      <c r="H157" s="7">
        <v>40.799999999999997</v>
      </c>
      <c r="I157" s="10"/>
    </row>
    <row r="158" spans="1:9" hidden="1" x14ac:dyDescent="0.25">
      <c r="A158" s="9"/>
      <c r="B158" s="9"/>
      <c r="C158" s="9"/>
      <c r="D158" s="9"/>
      <c r="E158" s="9" t="s">
        <v>203</v>
      </c>
      <c r="F158" s="9" t="s">
        <v>204</v>
      </c>
      <c r="G158" s="7">
        <v>63</v>
      </c>
      <c r="H158" s="7">
        <v>63</v>
      </c>
      <c r="I158" s="10"/>
    </row>
    <row r="159" spans="1:9" hidden="1" x14ac:dyDescent="0.25">
      <c r="A159" s="9"/>
      <c r="B159" s="9"/>
      <c r="C159" s="9"/>
      <c r="D159" s="9"/>
      <c r="E159" s="9" t="s">
        <v>201</v>
      </c>
      <c r="F159" s="9" t="s">
        <v>202</v>
      </c>
      <c r="G159" s="7">
        <v>270</v>
      </c>
      <c r="H159" s="7">
        <v>270</v>
      </c>
      <c r="I159" s="10"/>
    </row>
    <row r="160" spans="1:9" hidden="1" x14ac:dyDescent="0.25">
      <c r="A160" s="9"/>
      <c r="B160" s="9"/>
      <c r="C160" s="9"/>
      <c r="D160" s="9"/>
      <c r="E160" s="9" t="s">
        <v>49</v>
      </c>
      <c r="F160" s="9" t="s">
        <v>50</v>
      </c>
      <c r="G160" s="7">
        <v>259.2</v>
      </c>
      <c r="H160" s="7">
        <v>259.2</v>
      </c>
      <c r="I160" s="10"/>
    </row>
    <row r="161" spans="1:9" hidden="1" x14ac:dyDescent="0.25">
      <c r="A161" s="9"/>
      <c r="B161" s="9"/>
      <c r="C161" s="9"/>
      <c r="D161" s="9"/>
      <c r="E161" s="9" t="s">
        <v>47</v>
      </c>
      <c r="F161" s="9" t="s">
        <v>48</v>
      </c>
      <c r="G161" s="7">
        <v>15.6</v>
      </c>
      <c r="H161" s="7">
        <v>15.6</v>
      </c>
      <c r="I161" s="10"/>
    </row>
    <row r="162" spans="1:9" hidden="1" x14ac:dyDescent="0.25">
      <c r="A162" s="9"/>
      <c r="B162" s="9"/>
      <c r="C162" s="9"/>
      <c r="D162" s="9"/>
      <c r="E162" s="9" t="s">
        <v>212</v>
      </c>
      <c r="F162" s="9" t="s">
        <v>213</v>
      </c>
      <c r="G162" s="7">
        <v>74.400000000000006</v>
      </c>
      <c r="H162" s="7">
        <v>74.400000000000006</v>
      </c>
      <c r="I162" s="10"/>
    </row>
    <row r="163" spans="1:9" hidden="1" x14ac:dyDescent="0.25">
      <c r="A163" s="9"/>
      <c r="B163" s="9"/>
      <c r="C163" s="9"/>
      <c r="D163" s="9"/>
      <c r="E163" s="9" t="s">
        <v>116</v>
      </c>
      <c r="F163" s="9" t="s">
        <v>117</v>
      </c>
      <c r="G163" s="7">
        <v>251.1</v>
      </c>
      <c r="H163" s="7">
        <v>251.1</v>
      </c>
      <c r="I163" s="10"/>
    </row>
    <row r="164" spans="1:9" hidden="1" x14ac:dyDescent="0.25">
      <c r="A164" s="9"/>
      <c r="B164" s="9"/>
      <c r="C164" s="9"/>
      <c r="D164" s="9"/>
      <c r="E164" s="9" t="s">
        <v>118</v>
      </c>
      <c r="F164" s="9" t="s">
        <v>119</v>
      </c>
      <c r="G164" s="7">
        <v>105.3</v>
      </c>
      <c r="H164" s="7">
        <v>105.3</v>
      </c>
      <c r="I164" s="10"/>
    </row>
    <row r="165" spans="1:9" hidden="1" x14ac:dyDescent="0.25">
      <c r="A165" s="9"/>
      <c r="B165" s="9"/>
      <c r="C165" s="9"/>
      <c r="D165" s="9"/>
      <c r="E165" s="9" t="s">
        <v>96</v>
      </c>
      <c r="F165" s="9" t="s">
        <v>97</v>
      </c>
      <c r="G165" s="7">
        <v>176.4</v>
      </c>
      <c r="H165" s="7">
        <v>176.4</v>
      </c>
      <c r="I165" s="10"/>
    </row>
    <row r="166" spans="1:9" hidden="1" x14ac:dyDescent="0.25">
      <c r="A166" s="9"/>
      <c r="B166" s="9"/>
      <c r="C166" s="9"/>
      <c r="D166" s="9"/>
      <c r="E166" s="9" t="s">
        <v>205</v>
      </c>
      <c r="F166" s="9" t="s">
        <v>206</v>
      </c>
      <c r="G166" s="7">
        <v>399.6</v>
      </c>
      <c r="H166" s="7">
        <v>399.6</v>
      </c>
      <c r="I166" s="10"/>
    </row>
    <row r="167" spans="1:9" hidden="1" x14ac:dyDescent="0.25">
      <c r="A167" s="9"/>
      <c r="B167" s="9"/>
      <c r="C167" s="9"/>
      <c r="D167" s="9"/>
      <c r="E167" s="9" t="s">
        <v>108</v>
      </c>
      <c r="F167" s="9" t="s">
        <v>109</v>
      </c>
      <c r="G167" s="7">
        <v>75.599999999999994</v>
      </c>
      <c r="H167" s="7"/>
      <c r="I167" s="10">
        <v>-75.599999999999994</v>
      </c>
    </row>
    <row r="168" spans="1:9" hidden="1" x14ac:dyDescent="0.25">
      <c r="A168" s="9"/>
      <c r="B168" s="9"/>
      <c r="C168" s="9"/>
      <c r="D168" s="9"/>
      <c r="E168" s="9" t="s">
        <v>157</v>
      </c>
      <c r="F168" s="9" t="s">
        <v>158</v>
      </c>
      <c r="G168" s="7">
        <v>27.3</v>
      </c>
      <c r="H168" s="7">
        <v>27.3</v>
      </c>
      <c r="I168" s="10"/>
    </row>
    <row r="169" spans="1:9" hidden="1" x14ac:dyDescent="0.25">
      <c r="A169" s="9"/>
      <c r="B169" s="9"/>
      <c r="C169" s="9"/>
      <c r="D169" s="9"/>
      <c r="E169" s="9" t="s">
        <v>165</v>
      </c>
      <c r="F169" s="9" t="s">
        <v>166</v>
      </c>
      <c r="G169" s="7">
        <v>465</v>
      </c>
      <c r="H169" s="7">
        <v>465</v>
      </c>
      <c r="I169" s="10"/>
    </row>
    <row r="170" spans="1:9" hidden="1" x14ac:dyDescent="0.25">
      <c r="A170" s="9"/>
      <c r="B170" s="9"/>
      <c r="C170" s="9"/>
      <c r="D170" s="9"/>
      <c r="E170" s="9" t="s">
        <v>161</v>
      </c>
      <c r="F170" s="9" t="s">
        <v>162</v>
      </c>
      <c r="G170" s="7">
        <v>300</v>
      </c>
      <c r="H170" s="7">
        <v>300</v>
      </c>
      <c r="I170" s="10"/>
    </row>
    <row r="171" spans="1:9" hidden="1" x14ac:dyDescent="0.25">
      <c r="A171" s="9"/>
      <c r="B171" s="9"/>
      <c r="C171" s="9"/>
      <c r="D171" s="9"/>
      <c r="E171" s="9" t="s">
        <v>163</v>
      </c>
      <c r="F171" s="9" t="s">
        <v>164</v>
      </c>
      <c r="G171" s="7">
        <v>285</v>
      </c>
      <c r="H171" s="7">
        <v>285</v>
      </c>
      <c r="I171" s="10"/>
    </row>
    <row r="172" spans="1:9" hidden="1" x14ac:dyDescent="0.25">
      <c r="A172" s="9"/>
      <c r="B172" s="9"/>
      <c r="C172" s="9"/>
      <c r="D172" s="9"/>
      <c r="E172" s="9" t="s">
        <v>222</v>
      </c>
      <c r="F172" s="9" t="s">
        <v>223</v>
      </c>
      <c r="G172" s="7">
        <v>39.6</v>
      </c>
      <c r="H172" s="7">
        <v>39.6</v>
      </c>
      <c r="I172" s="10"/>
    </row>
    <row r="173" spans="1:9" hidden="1" x14ac:dyDescent="0.25">
      <c r="A173" s="9"/>
      <c r="B173" s="9"/>
      <c r="C173" s="9"/>
      <c r="D173" s="9"/>
      <c r="E173" s="9" t="s">
        <v>209</v>
      </c>
      <c r="F173" s="9" t="s">
        <v>210</v>
      </c>
      <c r="G173" s="7">
        <v>3.78</v>
      </c>
      <c r="H173" s="7">
        <v>3.78</v>
      </c>
      <c r="I173" s="10"/>
    </row>
    <row r="174" spans="1:9" hidden="1" x14ac:dyDescent="0.25">
      <c r="A174" s="9"/>
      <c r="B174" s="9"/>
      <c r="C174" s="9"/>
      <c r="D174" s="9"/>
      <c r="E174" s="9" t="s">
        <v>141</v>
      </c>
      <c r="F174" s="9" t="s">
        <v>142</v>
      </c>
      <c r="G174" s="7">
        <v>202.8</v>
      </c>
      <c r="H174" s="7">
        <v>202.8</v>
      </c>
      <c r="I174" s="10"/>
    </row>
    <row r="175" spans="1:9" hidden="1" x14ac:dyDescent="0.25">
      <c r="A175" s="9"/>
      <c r="B175" s="9"/>
      <c r="C175" s="9"/>
      <c r="D175" s="9"/>
      <c r="E175" s="9" t="s">
        <v>216</v>
      </c>
      <c r="F175" s="9" t="s">
        <v>217</v>
      </c>
      <c r="G175" s="7">
        <v>210.6</v>
      </c>
      <c r="H175" s="7">
        <v>210.6</v>
      </c>
      <c r="I175" s="10"/>
    </row>
    <row r="176" spans="1:9" hidden="1" x14ac:dyDescent="0.25">
      <c r="A176" s="9"/>
      <c r="B176" s="9"/>
      <c r="C176" s="9"/>
      <c r="D176" s="9"/>
      <c r="E176" s="9" t="s">
        <v>167</v>
      </c>
      <c r="F176" s="9" t="s">
        <v>168</v>
      </c>
      <c r="G176" s="7">
        <v>165</v>
      </c>
      <c r="H176" s="7">
        <v>165</v>
      </c>
      <c r="I176" s="10"/>
    </row>
    <row r="177" spans="1:11" x14ac:dyDescent="0.25">
      <c r="A177" s="9"/>
      <c r="B177" s="9"/>
      <c r="C177" s="12" t="s">
        <v>224</v>
      </c>
      <c r="D177" s="12" t="s">
        <v>225</v>
      </c>
      <c r="E177" s="12" t="s">
        <v>147</v>
      </c>
      <c r="F177" s="12" t="s">
        <v>148</v>
      </c>
      <c r="G177" s="13">
        <v>249.6</v>
      </c>
      <c r="H177" s="13">
        <v>249.6</v>
      </c>
      <c r="I177" s="14"/>
      <c r="J177" s="15">
        <f>SUM(I177:I182)</f>
        <v>-100.8</v>
      </c>
      <c r="K177" t="s">
        <v>335</v>
      </c>
    </row>
    <row r="178" spans="1:11" hidden="1" x14ac:dyDescent="0.25">
      <c r="A178" s="9"/>
      <c r="B178" s="9"/>
      <c r="C178" s="9"/>
      <c r="D178" s="9"/>
      <c r="E178" s="9" t="s">
        <v>173</v>
      </c>
      <c r="F178" s="9" t="s">
        <v>174</v>
      </c>
      <c r="G178" s="7">
        <v>288</v>
      </c>
      <c r="H178" s="7">
        <v>288</v>
      </c>
      <c r="I178" s="10"/>
    </row>
    <row r="179" spans="1:11" hidden="1" x14ac:dyDescent="0.25">
      <c r="A179" s="9"/>
      <c r="B179" s="9"/>
      <c r="C179" s="9"/>
      <c r="D179" s="9"/>
      <c r="E179" s="9" t="s">
        <v>175</v>
      </c>
      <c r="F179" s="9" t="s">
        <v>176</v>
      </c>
      <c r="G179" s="7">
        <v>100.8</v>
      </c>
      <c r="H179" s="7"/>
      <c r="I179" s="10">
        <v>-100.8</v>
      </c>
    </row>
    <row r="180" spans="1:11" hidden="1" x14ac:dyDescent="0.25">
      <c r="A180" s="9"/>
      <c r="B180" s="9"/>
      <c r="C180" s="9"/>
      <c r="D180" s="9"/>
      <c r="E180" s="9" t="s">
        <v>201</v>
      </c>
      <c r="F180" s="9" t="s">
        <v>202</v>
      </c>
      <c r="G180" s="7">
        <v>86.4</v>
      </c>
      <c r="H180" s="7">
        <v>86.4</v>
      </c>
      <c r="I180" s="10"/>
    </row>
    <row r="181" spans="1:11" hidden="1" x14ac:dyDescent="0.25">
      <c r="A181" s="9"/>
      <c r="B181" s="9"/>
      <c r="C181" s="9"/>
      <c r="D181" s="9"/>
      <c r="E181" s="9" t="s">
        <v>165</v>
      </c>
      <c r="F181" s="9" t="s">
        <v>166</v>
      </c>
      <c r="G181" s="7">
        <v>120</v>
      </c>
      <c r="H181" s="7">
        <v>120</v>
      </c>
      <c r="I181" s="10"/>
    </row>
    <row r="182" spans="1:11" hidden="1" x14ac:dyDescent="0.25">
      <c r="A182" s="9"/>
      <c r="B182" s="9"/>
      <c r="C182" s="9"/>
      <c r="D182" s="9"/>
      <c r="E182" s="9" t="s">
        <v>161</v>
      </c>
      <c r="F182" s="9" t="s">
        <v>162</v>
      </c>
      <c r="G182" s="7">
        <v>120</v>
      </c>
      <c r="H182" s="7">
        <v>120</v>
      </c>
      <c r="I182" s="10"/>
    </row>
    <row r="183" spans="1:11" x14ac:dyDescent="0.25">
      <c r="A183" s="9"/>
      <c r="B183" s="9"/>
      <c r="C183" s="12" t="s">
        <v>226</v>
      </c>
      <c r="D183" s="12" t="s">
        <v>227</v>
      </c>
      <c r="E183" s="12" t="s">
        <v>169</v>
      </c>
      <c r="F183" s="12" t="s">
        <v>170</v>
      </c>
      <c r="G183" s="13">
        <v>480</v>
      </c>
      <c r="H183" s="13">
        <v>480</v>
      </c>
      <c r="I183" s="14"/>
      <c r="J183" s="15">
        <f>SUM(I183:I222)</f>
        <v>-578.4</v>
      </c>
      <c r="K183" t="s">
        <v>335</v>
      </c>
    </row>
    <row r="184" spans="1:11" hidden="1" x14ac:dyDescent="0.25">
      <c r="A184" s="9"/>
      <c r="B184" s="9"/>
      <c r="C184" s="9"/>
      <c r="D184" s="9"/>
      <c r="E184" s="9" t="s">
        <v>147</v>
      </c>
      <c r="F184" s="9" t="s">
        <v>148</v>
      </c>
      <c r="G184" s="7">
        <v>499.2</v>
      </c>
      <c r="H184" s="7">
        <v>499.2</v>
      </c>
      <c r="I184" s="10"/>
    </row>
    <row r="185" spans="1:11" hidden="1" x14ac:dyDescent="0.25">
      <c r="A185" s="9"/>
      <c r="B185" s="9"/>
      <c r="C185" s="9"/>
      <c r="D185" s="9"/>
      <c r="E185" s="9" t="s">
        <v>195</v>
      </c>
      <c r="F185" s="9" t="s">
        <v>196</v>
      </c>
      <c r="G185" s="7">
        <v>518.4</v>
      </c>
      <c r="H185" s="7">
        <v>518.4</v>
      </c>
      <c r="I185" s="10"/>
    </row>
    <row r="186" spans="1:11" hidden="1" x14ac:dyDescent="0.25">
      <c r="A186" s="9"/>
      <c r="B186" s="9"/>
      <c r="C186" s="9"/>
      <c r="D186" s="9"/>
      <c r="E186" s="9" t="s">
        <v>218</v>
      </c>
      <c r="F186" s="9" t="s">
        <v>219</v>
      </c>
      <c r="G186" s="7">
        <v>201.6</v>
      </c>
      <c r="H186" s="7">
        <v>201.6</v>
      </c>
      <c r="I186" s="10"/>
    </row>
    <row r="187" spans="1:11" hidden="1" x14ac:dyDescent="0.25">
      <c r="A187" s="9"/>
      <c r="B187" s="9"/>
      <c r="C187" s="9"/>
      <c r="D187" s="9"/>
      <c r="E187" s="9" t="s">
        <v>149</v>
      </c>
      <c r="F187" s="9" t="s">
        <v>150</v>
      </c>
      <c r="G187" s="7">
        <v>67.2</v>
      </c>
      <c r="H187" s="7">
        <v>67.2</v>
      </c>
      <c r="I187" s="10"/>
    </row>
    <row r="188" spans="1:11" hidden="1" x14ac:dyDescent="0.25">
      <c r="A188" s="9"/>
      <c r="B188" s="9"/>
      <c r="C188" s="9"/>
      <c r="D188" s="9"/>
      <c r="E188" s="9" t="s">
        <v>51</v>
      </c>
      <c r="F188" s="9" t="s">
        <v>52</v>
      </c>
      <c r="G188" s="7">
        <v>129.6</v>
      </c>
      <c r="H188" s="7">
        <v>129.6</v>
      </c>
      <c r="I188" s="10"/>
    </row>
    <row r="189" spans="1:11" hidden="1" x14ac:dyDescent="0.25">
      <c r="A189" s="9"/>
      <c r="B189" s="9"/>
      <c r="C189" s="9"/>
      <c r="D189" s="9"/>
      <c r="E189" s="9" t="s">
        <v>53</v>
      </c>
      <c r="F189" s="9" t="s">
        <v>54</v>
      </c>
      <c r="G189" s="7">
        <v>37.799999999999997</v>
      </c>
      <c r="H189" s="7">
        <v>37.799999999999997</v>
      </c>
      <c r="I189" s="10"/>
    </row>
    <row r="190" spans="1:11" hidden="1" x14ac:dyDescent="0.25">
      <c r="A190" s="9"/>
      <c r="B190" s="9"/>
      <c r="C190" s="9"/>
      <c r="D190" s="9"/>
      <c r="E190" s="9" t="s">
        <v>57</v>
      </c>
      <c r="F190" s="9" t="s">
        <v>58</v>
      </c>
      <c r="G190" s="7">
        <v>32.4</v>
      </c>
      <c r="H190" s="7">
        <v>32.4</v>
      </c>
      <c r="I190" s="10"/>
    </row>
    <row r="191" spans="1:11" hidden="1" x14ac:dyDescent="0.25">
      <c r="A191" s="9"/>
      <c r="B191" s="9"/>
      <c r="C191" s="9"/>
      <c r="D191" s="9"/>
      <c r="E191" s="9" t="s">
        <v>55</v>
      </c>
      <c r="F191" s="9" t="s">
        <v>56</v>
      </c>
      <c r="G191" s="7">
        <v>259.2</v>
      </c>
      <c r="H191" s="7">
        <v>259.2</v>
      </c>
      <c r="I191" s="10"/>
    </row>
    <row r="192" spans="1:11" hidden="1" x14ac:dyDescent="0.25">
      <c r="A192" s="9"/>
      <c r="B192" s="9"/>
      <c r="C192" s="9"/>
      <c r="D192" s="9"/>
      <c r="E192" s="9" t="s">
        <v>185</v>
      </c>
      <c r="F192" s="9" t="s">
        <v>186</v>
      </c>
      <c r="G192" s="7">
        <v>126.72</v>
      </c>
      <c r="H192" s="7">
        <v>126.72</v>
      </c>
      <c r="I192" s="10"/>
    </row>
    <row r="193" spans="1:9" hidden="1" x14ac:dyDescent="0.25">
      <c r="A193" s="9"/>
      <c r="B193" s="9"/>
      <c r="C193" s="9"/>
      <c r="D193" s="9"/>
      <c r="E193" s="9" t="s">
        <v>173</v>
      </c>
      <c r="F193" s="9" t="s">
        <v>174</v>
      </c>
      <c r="G193" s="7">
        <v>144</v>
      </c>
      <c r="H193" s="7">
        <v>144</v>
      </c>
      <c r="I193" s="10"/>
    </row>
    <row r="194" spans="1:9" hidden="1" x14ac:dyDescent="0.25">
      <c r="A194" s="9"/>
      <c r="B194" s="9"/>
      <c r="C194" s="9"/>
      <c r="D194" s="9"/>
      <c r="E194" s="9" t="s">
        <v>232</v>
      </c>
      <c r="F194" s="9" t="s">
        <v>233</v>
      </c>
      <c r="G194" s="7">
        <v>126.72</v>
      </c>
      <c r="H194" s="7">
        <v>126.72</v>
      </c>
      <c r="I194" s="10"/>
    </row>
    <row r="195" spans="1:9" hidden="1" x14ac:dyDescent="0.25">
      <c r="A195" s="9"/>
      <c r="B195" s="9"/>
      <c r="C195" s="9"/>
      <c r="D195" s="9"/>
      <c r="E195" s="9" t="s">
        <v>189</v>
      </c>
      <c r="F195" s="9" t="s">
        <v>190</v>
      </c>
      <c r="G195" s="7">
        <v>84.48</v>
      </c>
      <c r="H195" s="7">
        <v>84.48</v>
      </c>
      <c r="I195" s="10"/>
    </row>
    <row r="196" spans="1:9" hidden="1" x14ac:dyDescent="0.25">
      <c r="A196" s="9"/>
      <c r="B196" s="9"/>
      <c r="C196" s="9"/>
      <c r="D196" s="9"/>
      <c r="E196" s="9" t="s">
        <v>220</v>
      </c>
      <c r="F196" s="9" t="s">
        <v>221</v>
      </c>
      <c r="G196" s="7">
        <v>126.72</v>
      </c>
      <c r="H196" s="7">
        <v>126.72</v>
      </c>
      <c r="I196" s="10"/>
    </row>
    <row r="197" spans="1:9" hidden="1" x14ac:dyDescent="0.25">
      <c r="A197" s="9"/>
      <c r="B197" s="9"/>
      <c r="C197" s="9"/>
      <c r="D197" s="9"/>
      <c r="E197" s="9" t="s">
        <v>175</v>
      </c>
      <c r="F197" s="9" t="s">
        <v>176</v>
      </c>
      <c r="G197" s="7">
        <v>86.4</v>
      </c>
      <c r="H197" s="7"/>
      <c r="I197" s="10">
        <v>-86.4</v>
      </c>
    </row>
    <row r="198" spans="1:9" hidden="1" x14ac:dyDescent="0.25">
      <c r="A198" s="9"/>
      <c r="B198" s="9"/>
      <c r="C198" s="9"/>
      <c r="D198" s="9"/>
      <c r="E198" s="9" t="s">
        <v>171</v>
      </c>
      <c r="F198" s="9" t="s">
        <v>172</v>
      </c>
      <c r="G198" s="7">
        <v>288</v>
      </c>
      <c r="H198" s="7">
        <v>288</v>
      </c>
      <c r="I198" s="10"/>
    </row>
    <row r="199" spans="1:9" hidden="1" x14ac:dyDescent="0.25">
      <c r="A199" s="9"/>
      <c r="B199" s="9"/>
      <c r="C199" s="9"/>
      <c r="D199" s="9"/>
      <c r="E199" s="9" t="s">
        <v>122</v>
      </c>
      <c r="F199" s="9" t="s">
        <v>123</v>
      </c>
      <c r="G199" s="7">
        <v>86.4</v>
      </c>
      <c r="H199" s="7">
        <v>86.4</v>
      </c>
      <c r="I199" s="10"/>
    </row>
    <row r="200" spans="1:9" hidden="1" x14ac:dyDescent="0.25">
      <c r="A200" s="9"/>
      <c r="B200" s="9"/>
      <c r="C200" s="9"/>
      <c r="D200" s="9"/>
      <c r="E200" s="9" t="s">
        <v>124</v>
      </c>
      <c r="F200" s="9" t="s">
        <v>125</v>
      </c>
      <c r="G200" s="7">
        <v>86.4</v>
      </c>
      <c r="H200" s="7">
        <v>86.4</v>
      </c>
      <c r="I200" s="10"/>
    </row>
    <row r="201" spans="1:9" hidden="1" x14ac:dyDescent="0.25">
      <c r="A201" s="9"/>
      <c r="B201" s="9"/>
      <c r="C201" s="9"/>
      <c r="D201" s="9"/>
      <c r="E201" s="9" t="s">
        <v>183</v>
      </c>
      <c r="F201" s="9" t="s">
        <v>184</v>
      </c>
      <c r="G201" s="7">
        <v>84.48</v>
      </c>
      <c r="H201" s="7">
        <v>84.48</v>
      </c>
      <c r="I201" s="10"/>
    </row>
    <row r="202" spans="1:9" hidden="1" x14ac:dyDescent="0.25">
      <c r="A202" s="9"/>
      <c r="B202" s="9"/>
      <c r="C202" s="9"/>
      <c r="D202" s="9"/>
      <c r="E202" s="9" t="s">
        <v>120</v>
      </c>
      <c r="F202" s="9" t="s">
        <v>121</v>
      </c>
      <c r="G202" s="7">
        <v>417.6</v>
      </c>
      <c r="H202" s="7">
        <v>417.6</v>
      </c>
      <c r="I202" s="10"/>
    </row>
    <row r="203" spans="1:9" hidden="1" x14ac:dyDescent="0.25">
      <c r="A203" s="9"/>
      <c r="B203" s="9"/>
      <c r="C203" s="9"/>
      <c r="D203" s="9"/>
      <c r="E203" s="9" t="s">
        <v>83</v>
      </c>
      <c r="F203" s="9" t="s">
        <v>84</v>
      </c>
      <c r="G203" s="7">
        <v>50.4</v>
      </c>
      <c r="H203" s="7">
        <v>50.4</v>
      </c>
      <c r="I203" s="10"/>
    </row>
    <row r="204" spans="1:9" hidden="1" x14ac:dyDescent="0.25">
      <c r="A204" s="9"/>
      <c r="B204" s="9"/>
      <c r="C204" s="9"/>
      <c r="D204" s="9"/>
      <c r="E204" s="9" t="s">
        <v>214</v>
      </c>
      <c r="F204" s="9" t="s">
        <v>215</v>
      </c>
      <c r="G204" s="7">
        <v>28.8</v>
      </c>
      <c r="H204" s="7"/>
      <c r="I204" s="10">
        <v>-28.8</v>
      </c>
    </row>
    <row r="205" spans="1:9" hidden="1" x14ac:dyDescent="0.25">
      <c r="A205" s="9"/>
      <c r="B205" s="9"/>
      <c r="C205" s="9"/>
      <c r="D205" s="9"/>
      <c r="E205" s="9" t="s">
        <v>139</v>
      </c>
      <c r="F205" s="9" t="s">
        <v>140</v>
      </c>
      <c r="G205" s="7">
        <v>86.4</v>
      </c>
      <c r="H205" s="7">
        <v>86.4</v>
      </c>
      <c r="I205" s="10"/>
    </row>
    <row r="206" spans="1:9" hidden="1" x14ac:dyDescent="0.25">
      <c r="A206" s="9"/>
      <c r="B206" s="9"/>
      <c r="C206" s="9"/>
      <c r="D206" s="9"/>
      <c r="E206" s="9" t="s">
        <v>230</v>
      </c>
      <c r="F206" s="9" t="s">
        <v>231</v>
      </c>
      <c r="G206" s="7">
        <v>172.8</v>
      </c>
      <c r="H206" s="7">
        <v>172.8</v>
      </c>
      <c r="I206" s="10"/>
    </row>
    <row r="207" spans="1:9" hidden="1" x14ac:dyDescent="0.25">
      <c r="A207" s="9"/>
      <c r="B207" s="9"/>
      <c r="C207" s="9"/>
      <c r="D207" s="9"/>
      <c r="E207" s="9" t="s">
        <v>201</v>
      </c>
      <c r="F207" s="9" t="s">
        <v>202</v>
      </c>
      <c r="G207" s="7">
        <v>259.2</v>
      </c>
      <c r="H207" s="7">
        <v>259.2</v>
      </c>
      <c r="I207" s="10"/>
    </row>
    <row r="208" spans="1:9" hidden="1" x14ac:dyDescent="0.25">
      <c r="A208" s="9"/>
      <c r="B208" s="9"/>
      <c r="C208" s="9"/>
      <c r="D208" s="9"/>
      <c r="E208" s="9" t="s">
        <v>49</v>
      </c>
      <c r="F208" s="9" t="s">
        <v>50</v>
      </c>
      <c r="G208" s="7">
        <v>259.2</v>
      </c>
      <c r="H208" s="7">
        <v>259.2</v>
      </c>
      <c r="I208" s="10"/>
    </row>
    <row r="209" spans="1:12" hidden="1" x14ac:dyDescent="0.25">
      <c r="A209" s="9"/>
      <c r="B209" s="9"/>
      <c r="C209" s="9"/>
      <c r="D209" s="9"/>
      <c r="E209" s="9" t="s">
        <v>47</v>
      </c>
      <c r="F209" s="9" t="s">
        <v>48</v>
      </c>
      <c r="G209" s="7">
        <v>124.8</v>
      </c>
      <c r="H209" s="7">
        <v>124.8</v>
      </c>
      <c r="I209" s="10"/>
    </row>
    <row r="210" spans="1:12" hidden="1" x14ac:dyDescent="0.25">
      <c r="A210" s="9"/>
      <c r="B210" s="9"/>
      <c r="C210" s="9"/>
      <c r="D210" s="9"/>
      <c r="E210" s="9" t="s">
        <v>212</v>
      </c>
      <c r="F210" s="9" t="s">
        <v>213</v>
      </c>
      <c r="G210" s="7">
        <v>144</v>
      </c>
      <c r="H210" s="7">
        <v>144</v>
      </c>
      <c r="I210" s="10"/>
    </row>
    <row r="211" spans="1:12" hidden="1" x14ac:dyDescent="0.25">
      <c r="A211" s="9"/>
      <c r="B211" s="9"/>
      <c r="C211" s="9"/>
      <c r="D211" s="9"/>
      <c r="E211" s="9" t="s">
        <v>128</v>
      </c>
      <c r="F211" s="9" t="s">
        <v>129</v>
      </c>
      <c r="G211" s="7">
        <v>86.4</v>
      </c>
      <c r="H211" s="7">
        <v>86.4</v>
      </c>
      <c r="I211" s="10"/>
    </row>
    <row r="212" spans="1:12" hidden="1" x14ac:dyDescent="0.25">
      <c r="A212" s="9"/>
      <c r="B212" s="9"/>
      <c r="C212" s="9"/>
      <c r="D212" s="9"/>
      <c r="E212" s="9" t="s">
        <v>85</v>
      </c>
      <c r="F212" s="9" t="s">
        <v>86</v>
      </c>
      <c r="G212" s="7">
        <v>201.6</v>
      </c>
      <c r="H212" s="7">
        <v>201.6</v>
      </c>
      <c r="I212" s="10"/>
    </row>
    <row r="213" spans="1:12" hidden="1" x14ac:dyDescent="0.25">
      <c r="A213" s="9"/>
      <c r="B213" s="9"/>
      <c r="C213" s="9"/>
      <c r="D213" s="9"/>
      <c r="E213" s="9" t="s">
        <v>96</v>
      </c>
      <c r="F213" s="9" t="s">
        <v>97</v>
      </c>
      <c r="G213" s="7">
        <v>37.799999999999997</v>
      </c>
      <c r="H213" s="7">
        <v>37.799999999999997</v>
      </c>
      <c r="I213" s="10"/>
    </row>
    <row r="214" spans="1:12" hidden="1" x14ac:dyDescent="0.25">
      <c r="A214" s="9"/>
      <c r="B214" s="9"/>
      <c r="C214" s="9"/>
      <c r="D214" s="9"/>
      <c r="E214" s="9" t="s">
        <v>205</v>
      </c>
      <c r="F214" s="9" t="s">
        <v>206</v>
      </c>
      <c r="G214" s="7">
        <v>518.4</v>
      </c>
      <c r="H214" s="7">
        <v>518.4</v>
      </c>
      <c r="I214" s="10"/>
    </row>
    <row r="215" spans="1:12" hidden="1" x14ac:dyDescent="0.25">
      <c r="A215" s="9"/>
      <c r="B215" s="9"/>
      <c r="C215" s="9"/>
      <c r="D215" s="9"/>
      <c r="E215" s="9" t="s">
        <v>102</v>
      </c>
      <c r="F215" s="9" t="s">
        <v>103</v>
      </c>
      <c r="G215" s="7">
        <v>129.6</v>
      </c>
      <c r="H215" s="7">
        <v>120</v>
      </c>
      <c r="I215" s="10">
        <v>-9.6</v>
      </c>
    </row>
    <row r="216" spans="1:12" hidden="1" x14ac:dyDescent="0.25">
      <c r="A216" s="9"/>
      <c r="B216" s="9"/>
      <c r="C216" s="9"/>
      <c r="D216" s="9"/>
      <c r="E216" s="9" t="s">
        <v>104</v>
      </c>
      <c r="F216" s="9" t="s">
        <v>105</v>
      </c>
      <c r="G216" s="7">
        <v>129.6</v>
      </c>
      <c r="H216" s="7"/>
      <c r="I216" s="10">
        <v>-129.6</v>
      </c>
    </row>
    <row r="217" spans="1:12" hidden="1" x14ac:dyDescent="0.25">
      <c r="A217" s="9"/>
      <c r="B217" s="9"/>
      <c r="C217" s="9"/>
      <c r="D217" s="9"/>
      <c r="E217" s="9" t="s">
        <v>106</v>
      </c>
      <c r="F217" s="9" t="s">
        <v>107</v>
      </c>
      <c r="G217" s="7">
        <v>129.6</v>
      </c>
      <c r="H217" s="7"/>
      <c r="I217" s="10">
        <v>-129.6</v>
      </c>
    </row>
    <row r="218" spans="1:12" hidden="1" x14ac:dyDescent="0.25">
      <c r="A218" s="9"/>
      <c r="B218" s="9"/>
      <c r="C218" s="9"/>
      <c r="D218" s="9"/>
      <c r="E218" s="9" t="s">
        <v>108</v>
      </c>
      <c r="F218" s="9" t="s">
        <v>109</v>
      </c>
      <c r="G218" s="7">
        <v>194.4</v>
      </c>
      <c r="H218" s="7"/>
      <c r="I218" s="10">
        <v>-194.4</v>
      </c>
    </row>
    <row r="219" spans="1:12" hidden="1" x14ac:dyDescent="0.25">
      <c r="A219" s="9"/>
      <c r="B219" s="9"/>
      <c r="C219" s="9"/>
      <c r="D219" s="9"/>
      <c r="E219" s="9" t="s">
        <v>165</v>
      </c>
      <c r="F219" s="9" t="s">
        <v>166</v>
      </c>
      <c r="G219" s="7">
        <v>270</v>
      </c>
      <c r="H219" s="7">
        <v>270</v>
      </c>
      <c r="I219" s="10"/>
    </row>
    <row r="220" spans="1:12" hidden="1" x14ac:dyDescent="0.25">
      <c r="A220" s="9"/>
      <c r="B220" s="9"/>
      <c r="C220" s="9"/>
      <c r="D220" s="9"/>
      <c r="E220" s="9" t="s">
        <v>161</v>
      </c>
      <c r="F220" s="9" t="s">
        <v>162</v>
      </c>
      <c r="G220" s="7">
        <v>360</v>
      </c>
      <c r="H220" s="7">
        <v>360</v>
      </c>
      <c r="I220" s="10"/>
    </row>
    <row r="221" spans="1:12" hidden="1" x14ac:dyDescent="0.25">
      <c r="A221" s="9"/>
      <c r="B221" s="9"/>
      <c r="C221" s="9"/>
      <c r="D221" s="9"/>
      <c r="E221" s="9" t="s">
        <v>163</v>
      </c>
      <c r="F221" s="9" t="s">
        <v>164</v>
      </c>
      <c r="G221" s="7">
        <v>120</v>
      </c>
      <c r="H221" s="7">
        <v>120</v>
      </c>
      <c r="I221" s="10"/>
    </row>
    <row r="222" spans="1:12" hidden="1" x14ac:dyDescent="0.25">
      <c r="A222" s="9"/>
      <c r="B222" s="9"/>
      <c r="C222" s="9"/>
      <c r="D222" s="9"/>
      <c r="E222" s="9" t="s">
        <v>228</v>
      </c>
      <c r="F222" s="9" t="s">
        <v>229</v>
      </c>
      <c r="G222" s="7">
        <v>89.6</v>
      </c>
      <c r="H222" s="7">
        <v>89.6</v>
      </c>
      <c r="I222" s="10"/>
    </row>
    <row r="223" spans="1:12" x14ac:dyDescent="0.25">
      <c r="A223" s="9"/>
      <c r="B223" s="9"/>
      <c r="C223" s="12" t="s">
        <v>305</v>
      </c>
      <c r="D223" s="12" t="s">
        <v>306</v>
      </c>
      <c r="E223" s="12" t="s">
        <v>169</v>
      </c>
      <c r="F223" s="12" t="s">
        <v>170</v>
      </c>
      <c r="G223" s="13">
        <v>1095</v>
      </c>
      <c r="H223" s="13">
        <v>1095</v>
      </c>
      <c r="I223" s="14"/>
      <c r="J223" s="15">
        <f>SUM(I223:I312)</f>
        <v>-1143.1399999999999</v>
      </c>
      <c r="K223" s="20" t="s">
        <v>334</v>
      </c>
      <c r="L223" s="20">
        <v>14.09</v>
      </c>
    </row>
    <row r="224" spans="1:12" hidden="1" x14ac:dyDescent="0.25">
      <c r="A224" s="9"/>
      <c r="B224" s="9"/>
      <c r="C224" s="9"/>
      <c r="D224" s="9"/>
      <c r="E224" s="9" t="s">
        <v>147</v>
      </c>
      <c r="F224" s="9" t="s">
        <v>148</v>
      </c>
      <c r="G224" s="7">
        <v>686.4</v>
      </c>
      <c r="H224" s="7">
        <v>686.4</v>
      </c>
      <c r="I224" s="10"/>
    </row>
    <row r="225" spans="1:9" hidden="1" x14ac:dyDescent="0.25">
      <c r="A225" s="9"/>
      <c r="B225" s="9"/>
      <c r="C225" s="9"/>
      <c r="D225" s="9"/>
      <c r="E225" s="9" t="s">
        <v>195</v>
      </c>
      <c r="F225" s="9" t="s">
        <v>196</v>
      </c>
      <c r="G225" s="7">
        <v>1296</v>
      </c>
      <c r="H225" s="7">
        <v>1296</v>
      </c>
      <c r="I225" s="10"/>
    </row>
    <row r="226" spans="1:9" hidden="1" x14ac:dyDescent="0.25">
      <c r="A226" s="9"/>
      <c r="B226" s="9"/>
      <c r="C226" s="9"/>
      <c r="D226" s="9"/>
      <c r="E226" s="9" t="s">
        <v>218</v>
      </c>
      <c r="F226" s="9" t="s">
        <v>219</v>
      </c>
      <c r="G226" s="7">
        <v>100.8</v>
      </c>
      <c r="H226" s="7">
        <v>100.8</v>
      </c>
      <c r="I226" s="10"/>
    </row>
    <row r="227" spans="1:9" hidden="1" x14ac:dyDescent="0.25">
      <c r="A227" s="9"/>
      <c r="B227" s="9"/>
      <c r="C227" s="9"/>
      <c r="D227" s="9"/>
      <c r="E227" s="9" t="s">
        <v>149</v>
      </c>
      <c r="F227" s="9" t="s">
        <v>150</v>
      </c>
      <c r="G227" s="7">
        <v>109.2</v>
      </c>
      <c r="H227" s="7">
        <v>109.2</v>
      </c>
      <c r="I227" s="10"/>
    </row>
    <row r="228" spans="1:9" hidden="1" x14ac:dyDescent="0.25">
      <c r="A228" s="9"/>
      <c r="B228" s="9"/>
      <c r="C228" s="9"/>
      <c r="D228" s="9"/>
      <c r="E228" s="9" t="s">
        <v>51</v>
      </c>
      <c r="F228" s="9" t="s">
        <v>52</v>
      </c>
      <c r="G228" s="7">
        <v>234.9</v>
      </c>
      <c r="H228" s="7">
        <v>234.9</v>
      </c>
      <c r="I228" s="10"/>
    </row>
    <row r="229" spans="1:9" hidden="1" x14ac:dyDescent="0.25">
      <c r="A229" s="9"/>
      <c r="B229" s="9"/>
      <c r="C229" s="9"/>
      <c r="D229" s="9"/>
      <c r="E229" s="9" t="s">
        <v>53</v>
      </c>
      <c r="F229" s="9" t="s">
        <v>54</v>
      </c>
      <c r="G229" s="7">
        <v>67.5</v>
      </c>
      <c r="H229" s="7">
        <v>67.5</v>
      </c>
      <c r="I229" s="10"/>
    </row>
    <row r="230" spans="1:9" hidden="1" x14ac:dyDescent="0.25">
      <c r="A230" s="9"/>
      <c r="B230" s="9"/>
      <c r="C230" s="9"/>
      <c r="D230" s="9"/>
      <c r="E230" s="9" t="s">
        <v>57</v>
      </c>
      <c r="F230" s="9" t="s">
        <v>58</v>
      </c>
      <c r="G230" s="7">
        <v>140.4</v>
      </c>
      <c r="H230" s="7">
        <v>140.4</v>
      </c>
      <c r="I230" s="10"/>
    </row>
    <row r="231" spans="1:9" hidden="1" x14ac:dyDescent="0.25">
      <c r="A231" s="9"/>
      <c r="B231" s="9"/>
      <c r="C231" s="9"/>
      <c r="D231" s="9"/>
      <c r="E231" s="9" t="s">
        <v>55</v>
      </c>
      <c r="F231" s="9" t="s">
        <v>56</v>
      </c>
      <c r="G231" s="7">
        <v>550.79999999999995</v>
      </c>
      <c r="H231" s="7">
        <v>550.79999999999995</v>
      </c>
      <c r="I231" s="10"/>
    </row>
    <row r="232" spans="1:9" hidden="1" x14ac:dyDescent="0.25">
      <c r="A232" s="9"/>
      <c r="B232" s="9"/>
      <c r="C232" s="9"/>
      <c r="D232" s="9"/>
      <c r="E232" s="9" t="s">
        <v>297</v>
      </c>
      <c r="F232" s="9" t="s">
        <v>298</v>
      </c>
      <c r="G232" s="7">
        <v>121.8</v>
      </c>
      <c r="H232" s="7">
        <v>121.8</v>
      </c>
      <c r="I232" s="10"/>
    </row>
    <row r="233" spans="1:9" hidden="1" x14ac:dyDescent="0.25">
      <c r="A233" s="9"/>
      <c r="B233" s="9"/>
      <c r="C233" s="9"/>
      <c r="D233" s="9"/>
      <c r="E233" s="9" t="s">
        <v>260</v>
      </c>
      <c r="F233" s="9" t="s">
        <v>261</v>
      </c>
      <c r="G233" s="7">
        <v>10.199999999999999</v>
      </c>
      <c r="H233" s="7">
        <v>10.199999999999999</v>
      </c>
      <c r="I233" s="10"/>
    </row>
    <row r="234" spans="1:9" hidden="1" x14ac:dyDescent="0.25">
      <c r="A234" s="9"/>
      <c r="B234" s="9"/>
      <c r="C234" s="9"/>
      <c r="D234" s="9"/>
      <c r="E234" s="9" t="s">
        <v>185</v>
      </c>
      <c r="F234" s="9" t="s">
        <v>186</v>
      </c>
      <c r="G234" s="7">
        <v>332.64</v>
      </c>
      <c r="H234" s="7">
        <v>332.64</v>
      </c>
      <c r="I234" s="10"/>
    </row>
    <row r="235" spans="1:9" hidden="1" x14ac:dyDescent="0.25">
      <c r="A235" s="9"/>
      <c r="B235" s="9"/>
      <c r="C235" s="9"/>
      <c r="D235" s="9"/>
      <c r="E235" s="9" t="s">
        <v>179</v>
      </c>
      <c r="F235" s="9" t="s">
        <v>180</v>
      </c>
      <c r="G235" s="7">
        <v>79.2</v>
      </c>
      <c r="H235" s="7">
        <v>79.2</v>
      </c>
      <c r="I235" s="10"/>
    </row>
    <row r="236" spans="1:9" hidden="1" x14ac:dyDescent="0.25">
      <c r="A236" s="9"/>
      <c r="B236" s="9"/>
      <c r="C236" s="9"/>
      <c r="D236" s="9"/>
      <c r="E236" s="9" t="s">
        <v>187</v>
      </c>
      <c r="F236" s="9" t="s">
        <v>188</v>
      </c>
      <c r="G236" s="7">
        <v>850.08</v>
      </c>
      <c r="H236" s="7">
        <v>850.08</v>
      </c>
      <c r="I236" s="10"/>
    </row>
    <row r="237" spans="1:9" hidden="1" x14ac:dyDescent="0.25">
      <c r="A237" s="9"/>
      <c r="B237" s="9"/>
      <c r="C237" s="9"/>
      <c r="D237" s="9"/>
      <c r="E237" s="9" t="s">
        <v>173</v>
      </c>
      <c r="F237" s="9" t="s">
        <v>174</v>
      </c>
      <c r="G237" s="7">
        <v>1206</v>
      </c>
      <c r="H237" s="7">
        <v>1206</v>
      </c>
      <c r="I237" s="10"/>
    </row>
    <row r="238" spans="1:9" hidden="1" x14ac:dyDescent="0.25">
      <c r="A238" s="9"/>
      <c r="B238" s="9"/>
      <c r="C238" s="9"/>
      <c r="D238" s="9"/>
      <c r="E238" s="9" t="s">
        <v>248</v>
      </c>
      <c r="F238" s="9" t="s">
        <v>249</v>
      </c>
      <c r="G238" s="7">
        <v>17.850000000000001</v>
      </c>
      <c r="H238" s="7">
        <v>17.850000000000001</v>
      </c>
      <c r="I238" s="10"/>
    </row>
    <row r="239" spans="1:9" hidden="1" x14ac:dyDescent="0.25">
      <c r="A239" s="9"/>
      <c r="B239" s="9"/>
      <c r="C239" s="9"/>
      <c r="D239" s="9"/>
      <c r="E239" s="9" t="s">
        <v>232</v>
      </c>
      <c r="F239" s="9" t="s">
        <v>233</v>
      </c>
      <c r="G239" s="7">
        <v>121.44</v>
      </c>
      <c r="H239" s="7">
        <v>121.44</v>
      </c>
      <c r="I239" s="10"/>
    </row>
    <row r="240" spans="1:9" hidden="1" x14ac:dyDescent="0.25">
      <c r="A240" s="9"/>
      <c r="B240" s="9"/>
      <c r="C240" s="9"/>
      <c r="D240" s="9"/>
      <c r="E240" s="9" t="s">
        <v>189</v>
      </c>
      <c r="F240" s="9" t="s">
        <v>190</v>
      </c>
      <c r="G240" s="7">
        <v>501.6</v>
      </c>
      <c r="H240" s="7">
        <v>501.6</v>
      </c>
      <c r="I240" s="10"/>
    </row>
    <row r="241" spans="1:9" hidden="1" x14ac:dyDescent="0.25">
      <c r="A241" s="9"/>
      <c r="B241" s="9"/>
      <c r="C241" s="9"/>
      <c r="D241" s="9"/>
      <c r="E241" s="9" t="s">
        <v>220</v>
      </c>
      <c r="F241" s="9" t="s">
        <v>221</v>
      </c>
      <c r="G241" s="7">
        <v>401.28</v>
      </c>
      <c r="H241" s="7">
        <v>401.28</v>
      </c>
      <c r="I241" s="10"/>
    </row>
    <row r="242" spans="1:9" hidden="1" x14ac:dyDescent="0.25">
      <c r="A242" s="9"/>
      <c r="B242" s="9"/>
      <c r="C242" s="9"/>
      <c r="D242" s="9"/>
      <c r="E242" s="9" t="s">
        <v>181</v>
      </c>
      <c r="F242" s="9" t="s">
        <v>182</v>
      </c>
      <c r="G242" s="7">
        <v>84.48</v>
      </c>
      <c r="H242" s="7">
        <v>84.48</v>
      </c>
      <c r="I242" s="10"/>
    </row>
    <row r="243" spans="1:9" hidden="1" x14ac:dyDescent="0.25">
      <c r="A243" s="9"/>
      <c r="B243" s="9"/>
      <c r="C243" s="9"/>
      <c r="D243" s="9"/>
      <c r="E243" s="9" t="s">
        <v>175</v>
      </c>
      <c r="F243" s="9" t="s">
        <v>176</v>
      </c>
      <c r="G243" s="7">
        <v>9.6</v>
      </c>
      <c r="H243" s="7"/>
      <c r="I243" s="10">
        <v>-9.6</v>
      </c>
    </row>
    <row r="244" spans="1:9" hidden="1" x14ac:dyDescent="0.25">
      <c r="A244" s="9"/>
      <c r="B244" s="9"/>
      <c r="C244" s="9"/>
      <c r="D244" s="9"/>
      <c r="E244" s="9" t="s">
        <v>145</v>
      </c>
      <c r="F244" s="9" t="s">
        <v>146</v>
      </c>
      <c r="G244" s="7">
        <v>30.6</v>
      </c>
      <c r="H244" s="7">
        <v>30.6</v>
      </c>
      <c r="I244" s="10"/>
    </row>
    <row r="245" spans="1:9" hidden="1" x14ac:dyDescent="0.25">
      <c r="A245" s="9"/>
      <c r="B245" s="9"/>
      <c r="C245" s="9"/>
      <c r="D245" s="9"/>
      <c r="E245" s="9" t="s">
        <v>171</v>
      </c>
      <c r="F245" s="9" t="s">
        <v>172</v>
      </c>
      <c r="G245" s="7">
        <v>108</v>
      </c>
      <c r="H245" s="7">
        <v>108</v>
      </c>
      <c r="I245" s="10"/>
    </row>
    <row r="246" spans="1:9" hidden="1" x14ac:dyDescent="0.25">
      <c r="A246" s="9"/>
      <c r="B246" s="9"/>
      <c r="C246" s="9"/>
      <c r="D246" s="9"/>
      <c r="E246" s="9" t="s">
        <v>309</v>
      </c>
      <c r="F246" s="9" t="s">
        <v>310</v>
      </c>
      <c r="G246" s="7">
        <v>3.4</v>
      </c>
      <c r="H246" s="7">
        <v>3.4</v>
      </c>
      <c r="I246" s="10"/>
    </row>
    <row r="247" spans="1:9" hidden="1" x14ac:dyDescent="0.25">
      <c r="A247" s="9"/>
      <c r="B247" s="9"/>
      <c r="C247" s="9"/>
      <c r="D247" s="9"/>
      <c r="E247" s="9" t="s">
        <v>311</v>
      </c>
      <c r="F247" s="9" t="s">
        <v>312</v>
      </c>
      <c r="G247" s="7">
        <v>1</v>
      </c>
      <c r="H247" s="7"/>
      <c r="I247" s="10">
        <v>-1</v>
      </c>
    </row>
    <row r="248" spans="1:9" hidden="1" x14ac:dyDescent="0.25">
      <c r="A248" s="9"/>
      <c r="B248" s="9"/>
      <c r="C248" s="9"/>
      <c r="D248" s="9"/>
      <c r="E248" s="9" t="s">
        <v>153</v>
      </c>
      <c r="F248" s="9" t="s">
        <v>154</v>
      </c>
      <c r="G248" s="7">
        <v>12</v>
      </c>
      <c r="H248" s="7">
        <v>12</v>
      </c>
      <c r="I248" s="10"/>
    </row>
    <row r="249" spans="1:9" hidden="1" x14ac:dyDescent="0.25">
      <c r="A249" s="9"/>
      <c r="B249" s="9"/>
      <c r="C249" s="9"/>
      <c r="D249" s="9"/>
      <c r="E249" s="9" t="s">
        <v>122</v>
      </c>
      <c r="F249" s="9" t="s">
        <v>123</v>
      </c>
      <c r="G249" s="7">
        <v>720</v>
      </c>
      <c r="H249" s="7">
        <v>720</v>
      </c>
      <c r="I249" s="10"/>
    </row>
    <row r="250" spans="1:9" hidden="1" x14ac:dyDescent="0.25">
      <c r="A250" s="9"/>
      <c r="B250" s="9"/>
      <c r="C250" s="9"/>
      <c r="D250" s="9"/>
      <c r="E250" s="9" t="s">
        <v>124</v>
      </c>
      <c r="F250" s="9" t="s">
        <v>125</v>
      </c>
      <c r="G250" s="7">
        <v>223.2</v>
      </c>
      <c r="H250" s="7">
        <v>223.2</v>
      </c>
      <c r="I250" s="10"/>
    </row>
    <row r="251" spans="1:9" hidden="1" x14ac:dyDescent="0.25">
      <c r="A251" s="9"/>
      <c r="B251" s="9"/>
      <c r="C251" s="9"/>
      <c r="D251" s="9"/>
      <c r="E251" s="9" t="s">
        <v>299</v>
      </c>
      <c r="F251" s="9" t="s">
        <v>300</v>
      </c>
      <c r="G251" s="7">
        <v>38.4</v>
      </c>
      <c r="H251" s="7">
        <v>38.4</v>
      </c>
      <c r="I251" s="10"/>
    </row>
    <row r="252" spans="1:9" hidden="1" x14ac:dyDescent="0.25">
      <c r="A252" s="9"/>
      <c r="B252" s="9"/>
      <c r="C252" s="9"/>
      <c r="D252" s="9"/>
      <c r="E252" s="9" t="s">
        <v>183</v>
      </c>
      <c r="F252" s="9" t="s">
        <v>184</v>
      </c>
      <c r="G252" s="7">
        <v>216.48</v>
      </c>
      <c r="H252" s="7">
        <v>216.48</v>
      </c>
      <c r="I252" s="10"/>
    </row>
    <row r="253" spans="1:9" hidden="1" x14ac:dyDescent="0.25">
      <c r="A253" s="9"/>
      <c r="B253" s="9"/>
      <c r="C253" s="9"/>
      <c r="D253" s="9"/>
      <c r="E253" s="9" t="s">
        <v>303</v>
      </c>
      <c r="F253" s="9" t="s">
        <v>304</v>
      </c>
      <c r="G253" s="7">
        <v>72</v>
      </c>
      <c r="H253" s="7">
        <v>72</v>
      </c>
      <c r="I253" s="10"/>
    </row>
    <row r="254" spans="1:9" hidden="1" x14ac:dyDescent="0.25">
      <c r="A254" s="9"/>
      <c r="B254" s="9"/>
      <c r="C254" s="9"/>
      <c r="D254" s="9"/>
      <c r="E254" s="9" t="s">
        <v>193</v>
      </c>
      <c r="F254" s="9" t="s">
        <v>194</v>
      </c>
      <c r="G254" s="7">
        <v>27</v>
      </c>
      <c r="H254" s="7"/>
      <c r="I254" s="10">
        <v>-27</v>
      </c>
    </row>
    <row r="255" spans="1:9" hidden="1" x14ac:dyDescent="0.25">
      <c r="A255" s="9"/>
      <c r="B255" s="9"/>
      <c r="C255" s="9"/>
      <c r="D255" s="9"/>
      <c r="E255" s="9" t="s">
        <v>126</v>
      </c>
      <c r="F255" s="9" t="s">
        <v>127</v>
      </c>
      <c r="G255" s="7">
        <v>160.80000000000001</v>
      </c>
      <c r="H255" s="7">
        <v>160.80000000000001</v>
      </c>
      <c r="I255" s="10"/>
    </row>
    <row r="256" spans="1:9" hidden="1" x14ac:dyDescent="0.25">
      <c r="A256" s="9"/>
      <c r="B256" s="9"/>
      <c r="C256" s="9"/>
      <c r="D256" s="9"/>
      <c r="E256" s="9" t="s">
        <v>120</v>
      </c>
      <c r="F256" s="9" t="s">
        <v>121</v>
      </c>
      <c r="G256" s="7">
        <v>26.1</v>
      </c>
      <c r="H256" s="7">
        <v>26.1</v>
      </c>
      <c r="I256" s="10"/>
    </row>
    <row r="257" spans="1:9" hidden="1" x14ac:dyDescent="0.25">
      <c r="A257" s="9"/>
      <c r="B257" s="9"/>
      <c r="C257" s="9"/>
      <c r="D257" s="9"/>
      <c r="E257" s="9" t="s">
        <v>207</v>
      </c>
      <c r="F257" s="9" t="s">
        <v>208</v>
      </c>
      <c r="G257" s="7">
        <v>99</v>
      </c>
      <c r="H257" s="7">
        <v>99</v>
      </c>
      <c r="I257" s="10"/>
    </row>
    <row r="258" spans="1:9" hidden="1" x14ac:dyDescent="0.25">
      <c r="A258" s="9"/>
      <c r="B258" s="9"/>
      <c r="C258" s="9"/>
      <c r="D258" s="9"/>
      <c r="E258" s="9" t="s">
        <v>287</v>
      </c>
      <c r="F258" s="9" t="s">
        <v>288</v>
      </c>
      <c r="G258" s="7">
        <v>24</v>
      </c>
      <c r="H258" s="7">
        <v>24</v>
      </c>
      <c r="I258" s="10"/>
    </row>
    <row r="259" spans="1:9" hidden="1" x14ac:dyDescent="0.25">
      <c r="A259" s="9"/>
      <c r="B259" s="9"/>
      <c r="C259" s="9"/>
      <c r="D259" s="9"/>
      <c r="E259" s="9" t="s">
        <v>83</v>
      </c>
      <c r="F259" s="9" t="s">
        <v>84</v>
      </c>
      <c r="G259" s="7">
        <v>21</v>
      </c>
      <c r="H259" s="7">
        <v>21</v>
      </c>
      <c r="I259" s="10"/>
    </row>
    <row r="260" spans="1:9" hidden="1" x14ac:dyDescent="0.25">
      <c r="A260" s="9"/>
      <c r="B260" s="9"/>
      <c r="C260" s="9"/>
      <c r="D260" s="9"/>
      <c r="E260" s="9" t="s">
        <v>132</v>
      </c>
      <c r="F260" s="9" t="s">
        <v>133</v>
      </c>
      <c r="G260" s="7">
        <v>21.6</v>
      </c>
      <c r="H260" s="7">
        <v>21.6</v>
      </c>
      <c r="I260" s="10"/>
    </row>
    <row r="261" spans="1:9" hidden="1" x14ac:dyDescent="0.25">
      <c r="A261" s="9"/>
      <c r="B261" s="9"/>
      <c r="C261" s="9"/>
      <c r="D261" s="9"/>
      <c r="E261" s="9" t="s">
        <v>214</v>
      </c>
      <c r="F261" s="9" t="s">
        <v>215</v>
      </c>
      <c r="G261" s="7">
        <v>40.799999999999997</v>
      </c>
      <c r="H261" s="7">
        <v>40.799999999999997</v>
      </c>
      <c r="I261" s="10"/>
    </row>
    <row r="262" spans="1:9" hidden="1" x14ac:dyDescent="0.25">
      <c r="A262" s="9"/>
      <c r="B262" s="9"/>
      <c r="C262" s="9"/>
      <c r="D262" s="9"/>
      <c r="E262" s="9" t="s">
        <v>139</v>
      </c>
      <c r="F262" s="9" t="s">
        <v>140</v>
      </c>
      <c r="G262" s="7">
        <v>100.8</v>
      </c>
      <c r="H262" s="7">
        <v>100.8</v>
      </c>
      <c r="I262" s="10"/>
    </row>
    <row r="263" spans="1:9" hidden="1" x14ac:dyDescent="0.25">
      <c r="A263" s="9"/>
      <c r="B263" s="9"/>
      <c r="C263" s="9"/>
      <c r="D263" s="9"/>
      <c r="E263" s="9" t="s">
        <v>256</v>
      </c>
      <c r="F263" s="9" t="s">
        <v>257</v>
      </c>
      <c r="G263" s="7">
        <v>13.5</v>
      </c>
      <c r="H263" s="7">
        <v>13.5</v>
      </c>
      <c r="I263" s="10"/>
    </row>
    <row r="264" spans="1:9" hidden="1" x14ac:dyDescent="0.25">
      <c r="A264" s="9"/>
      <c r="B264" s="9"/>
      <c r="C264" s="9"/>
      <c r="D264" s="9"/>
      <c r="E264" s="9" t="s">
        <v>203</v>
      </c>
      <c r="F264" s="9" t="s">
        <v>204</v>
      </c>
      <c r="G264" s="7">
        <v>54</v>
      </c>
      <c r="H264" s="7">
        <v>54</v>
      </c>
      <c r="I264" s="10"/>
    </row>
    <row r="265" spans="1:9" hidden="1" x14ac:dyDescent="0.25">
      <c r="A265" s="9"/>
      <c r="B265" s="9"/>
      <c r="C265" s="9"/>
      <c r="D265" s="9"/>
      <c r="E265" s="9" t="s">
        <v>230</v>
      </c>
      <c r="F265" s="9" t="s">
        <v>231</v>
      </c>
      <c r="G265" s="7">
        <v>140.4</v>
      </c>
      <c r="H265" s="7">
        <v>140.4</v>
      </c>
      <c r="I265" s="10"/>
    </row>
    <row r="266" spans="1:9" hidden="1" x14ac:dyDescent="0.25">
      <c r="A266" s="9"/>
      <c r="B266" s="9"/>
      <c r="C266" s="9"/>
      <c r="D266" s="9"/>
      <c r="E266" s="9" t="s">
        <v>201</v>
      </c>
      <c r="F266" s="9" t="s">
        <v>202</v>
      </c>
      <c r="G266" s="7">
        <v>237.6</v>
      </c>
      <c r="H266" s="7">
        <v>237.6</v>
      </c>
      <c r="I266" s="10"/>
    </row>
    <row r="267" spans="1:9" hidden="1" x14ac:dyDescent="0.25">
      <c r="A267" s="9"/>
      <c r="B267" s="9"/>
      <c r="C267" s="9"/>
      <c r="D267" s="9"/>
      <c r="E267" s="9" t="s">
        <v>49</v>
      </c>
      <c r="F267" s="9" t="s">
        <v>50</v>
      </c>
      <c r="G267" s="7">
        <v>237.6</v>
      </c>
      <c r="H267" s="7">
        <v>237.6</v>
      </c>
      <c r="I267" s="10"/>
    </row>
    <row r="268" spans="1:9" hidden="1" x14ac:dyDescent="0.25">
      <c r="A268" s="9"/>
      <c r="B268" s="9"/>
      <c r="C268" s="9"/>
      <c r="D268" s="9"/>
      <c r="E268" s="9" t="s">
        <v>45</v>
      </c>
      <c r="F268" s="9" t="s">
        <v>46</v>
      </c>
      <c r="G268" s="7">
        <v>56</v>
      </c>
      <c r="H268" s="7">
        <v>56</v>
      </c>
      <c r="I268" s="10"/>
    </row>
    <row r="269" spans="1:9" hidden="1" x14ac:dyDescent="0.25">
      <c r="A269" s="9"/>
      <c r="B269" s="9"/>
      <c r="C269" s="9"/>
      <c r="D269" s="9"/>
      <c r="E269" s="9" t="s">
        <v>47</v>
      </c>
      <c r="F269" s="9" t="s">
        <v>48</v>
      </c>
      <c r="G269" s="7">
        <v>101.4</v>
      </c>
      <c r="H269" s="7">
        <v>101.4</v>
      </c>
      <c r="I269" s="10"/>
    </row>
    <row r="270" spans="1:9" hidden="1" x14ac:dyDescent="0.25">
      <c r="A270" s="9"/>
      <c r="B270" s="9"/>
      <c r="C270" s="9"/>
      <c r="D270" s="9"/>
      <c r="E270" s="9" t="s">
        <v>151</v>
      </c>
      <c r="F270" s="9" t="s">
        <v>152</v>
      </c>
      <c r="G270" s="7">
        <v>16</v>
      </c>
      <c r="H270" s="7">
        <v>16</v>
      </c>
      <c r="I270" s="10"/>
    </row>
    <row r="271" spans="1:9" hidden="1" x14ac:dyDescent="0.25">
      <c r="A271" s="9"/>
      <c r="B271" s="9"/>
      <c r="C271" s="9"/>
      <c r="D271" s="9"/>
      <c r="E271" s="9" t="s">
        <v>250</v>
      </c>
      <c r="F271" s="9" t="s">
        <v>251</v>
      </c>
      <c r="G271" s="7">
        <v>16</v>
      </c>
      <c r="H271" s="7">
        <v>16</v>
      </c>
      <c r="I271" s="10"/>
    </row>
    <row r="272" spans="1:9" hidden="1" x14ac:dyDescent="0.25">
      <c r="A272" s="9"/>
      <c r="B272" s="9"/>
      <c r="C272" s="9"/>
      <c r="D272" s="9"/>
      <c r="E272" s="9" t="s">
        <v>212</v>
      </c>
      <c r="F272" s="9" t="s">
        <v>213</v>
      </c>
      <c r="G272" s="7">
        <v>261.60000000000002</v>
      </c>
      <c r="H272" s="7">
        <v>261.60000000000002</v>
      </c>
      <c r="I272" s="10"/>
    </row>
    <row r="273" spans="1:9" hidden="1" x14ac:dyDescent="0.25">
      <c r="A273" s="9"/>
      <c r="B273" s="9"/>
      <c r="C273" s="9"/>
      <c r="D273" s="9"/>
      <c r="E273" s="9" t="s">
        <v>116</v>
      </c>
      <c r="F273" s="9" t="s">
        <v>117</v>
      </c>
      <c r="G273" s="7">
        <v>405</v>
      </c>
      <c r="H273" s="7">
        <v>405</v>
      </c>
      <c r="I273" s="10"/>
    </row>
    <row r="274" spans="1:9" hidden="1" x14ac:dyDescent="0.25">
      <c r="A274" s="9"/>
      <c r="B274" s="9"/>
      <c r="C274" s="9"/>
      <c r="D274" s="9"/>
      <c r="E274" s="9" t="s">
        <v>128</v>
      </c>
      <c r="F274" s="9" t="s">
        <v>129</v>
      </c>
      <c r="G274" s="7">
        <v>72</v>
      </c>
      <c r="H274" s="7">
        <v>72</v>
      </c>
      <c r="I274" s="10"/>
    </row>
    <row r="275" spans="1:9" hidden="1" x14ac:dyDescent="0.25">
      <c r="A275" s="9"/>
      <c r="B275" s="9"/>
      <c r="C275" s="9"/>
      <c r="D275" s="9"/>
      <c r="E275" s="9" t="s">
        <v>118</v>
      </c>
      <c r="F275" s="9" t="s">
        <v>119</v>
      </c>
      <c r="G275" s="7">
        <v>251.1</v>
      </c>
      <c r="H275" s="7"/>
      <c r="I275" s="10">
        <v>-251.1</v>
      </c>
    </row>
    <row r="276" spans="1:9" hidden="1" x14ac:dyDescent="0.25">
      <c r="A276" s="9"/>
      <c r="B276" s="9"/>
      <c r="C276" s="9"/>
      <c r="D276" s="9"/>
      <c r="E276" s="9" t="s">
        <v>96</v>
      </c>
      <c r="F276" s="9" t="s">
        <v>97</v>
      </c>
      <c r="G276" s="7">
        <v>210</v>
      </c>
      <c r="H276" s="7"/>
      <c r="I276" s="10">
        <v>-210</v>
      </c>
    </row>
    <row r="277" spans="1:9" hidden="1" x14ac:dyDescent="0.25">
      <c r="A277" s="9"/>
      <c r="B277" s="9"/>
      <c r="C277" s="9"/>
      <c r="D277" s="9"/>
      <c r="E277" s="9" t="s">
        <v>205</v>
      </c>
      <c r="F277" s="9" t="s">
        <v>206</v>
      </c>
      <c r="G277" s="7">
        <v>280.8</v>
      </c>
      <c r="H277" s="7">
        <v>280.8</v>
      </c>
      <c r="I277" s="10"/>
    </row>
    <row r="278" spans="1:9" hidden="1" x14ac:dyDescent="0.25">
      <c r="A278" s="9"/>
      <c r="B278" s="9"/>
      <c r="C278" s="9"/>
      <c r="D278" s="9"/>
      <c r="E278" s="9" t="s">
        <v>102</v>
      </c>
      <c r="F278" s="9" t="s">
        <v>103</v>
      </c>
      <c r="G278" s="7">
        <v>54</v>
      </c>
      <c r="H278" s="7"/>
      <c r="I278" s="10">
        <v>-54</v>
      </c>
    </row>
    <row r="279" spans="1:9" hidden="1" x14ac:dyDescent="0.25">
      <c r="A279" s="9"/>
      <c r="B279" s="9"/>
      <c r="C279" s="9"/>
      <c r="D279" s="9"/>
      <c r="E279" s="9" t="s">
        <v>112</v>
      </c>
      <c r="F279" s="9" t="s">
        <v>113</v>
      </c>
      <c r="G279" s="7">
        <v>12.6</v>
      </c>
      <c r="H279" s="7"/>
      <c r="I279" s="10">
        <v>-12.6</v>
      </c>
    </row>
    <row r="280" spans="1:9" hidden="1" x14ac:dyDescent="0.25">
      <c r="A280" s="9"/>
      <c r="B280" s="9"/>
      <c r="C280" s="9"/>
      <c r="D280" s="9"/>
      <c r="E280" s="9" t="s">
        <v>104</v>
      </c>
      <c r="F280" s="9" t="s">
        <v>105</v>
      </c>
      <c r="G280" s="7">
        <v>151.19999999999999</v>
      </c>
      <c r="H280" s="7"/>
      <c r="I280" s="10">
        <v>-151.19999999999999</v>
      </c>
    </row>
    <row r="281" spans="1:9" hidden="1" x14ac:dyDescent="0.25">
      <c r="A281" s="9"/>
      <c r="B281" s="9"/>
      <c r="C281" s="9"/>
      <c r="D281" s="9"/>
      <c r="E281" s="9" t="s">
        <v>110</v>
      </c>
      <c r="F281" s="9" t="s">
        <v>111</v>
      </c>
      <c r="G281" s="7">
        <v>30.6</v>
      </c>
      <c r="H281" s="7">
        <v>30.6</v>
      </c>
      <c r="I281" s="10"/>
    </row>
    <row r="282" spans="1:9" hidden="1" x14ac:dyDescent="0.25">
      <c r="A282" s="9"/>
      <c r="B282" s="9"/>
      <c r="C282" s="9"/>
      <c r="D282" s="9"/>
      <c r="E282" s="9" t="s">
        <v>106</v>
      </c>
      <c r="F282" s="9" t="s">
        <v>107</v>
      </c>
      <c r="G282" s="7">
        <v>302.39999999999998</v>
      </c>
      <c r="H282" s="7">
        <v>302.39999999999998</v>
      </c>
      <c r="I282" s="10"/>
    </row>
    <row r="283" spans="1:9" hidden="1" x14ac:dyDescent="0.25">
      <c r="A283" s="9"/>
      <c r="B283" s="9"/>
      <c r="C283" s="9"/>
      <c r="D283" s="9"/>
      <c r="E283" s="9" t="s">
        <v>108</v>
      </c>
      <c r="F283" s="9" t="s">
        <v>109</v>
      </c>
      <c r="G283" s="7">
        <v>151.19999999999999</v>
      </c>
      <c r="H283" s="7"/>
      <c r="I283" s="10">
        <v>-151.19999999999999</v>
      </c>
    </row>
    <row r="284" spans="1:9" hidden="1" x14ac:dyDescent="0.25">
      <c r="A284" s="9"/>
      <c r="B284" s="9"/>
      <c r="C284" s="9"/>
      <c r="D284" s="9"/>
      <c r="E284" s="9" t="s">
        <v>114</v>
      </c>
      <c r="F284" s="9" t="s">
        <v>115</v>
      </c>
      <c r="G284" s="7">
        <v>12.6</v>
      </c>
      <c r="H284" s="7">
        <v>12.6</v>
      </c>
      <c r="I284" s="10"/>
    </row>
    <row r="285" spans="1:9" hidden="1" x14ac:dyDescent="0.25">
      <c r="A285" s="9"/>
      <c r="B285" s="9"/>
      <c r="C285" s="9"/>
      <c r="D285" s="9"/>
      <c r="E285" s="9" t="s">
        <v>258</v>
      </c>
      <c r="F285" s="9" t="s">
        <v>259</v>
      </c>
      <c r="G285" s="7">
        <v>25.6</v>
      </c>
      <c r="H285" s="7"/>
      <c r="I285" s="10">
        <v>-25.6</v>
      </c>
    </row>
    <row r="286" spans="1:9" hidden="1" x14ac:dyDescent="0.25">
      <c r="A286" s="9"/>
      <c r="B286" s="9"/>
      <c r="C286" s="9"/>
      <c r="D286" s="9"/>
      <c r="E286" s="9" t="s">
        <v>61</v>
      </c>
      <c r="F286" s="9" t="s">
        <v>62</v>
      </c>
      <c r="G286" s="7">
        <v>44.8</v>
      </c>
      <c r="H286" s="7"/>
      <c r="I286" s="10">
        <v>-44.8</v>
      </c>
    </row>
    <row r="287" spans="1:9" hidden="1" x14ac:dyDescent="0.25">
      <c r="A287" s="9"/>
      <c r="B287" s="9"/>
      <c r="C287" s="9"/>
      <c r="D287" s="9"/>
      <c r="E287" s="9" t="s">
        <v>307</v>
      </c>
      <c r="F287" s="9" t="s">
        <v>308</v>
      </c>
      <c r="G287" s="7">
        <v>66.599999999999994</v>
      </c>
      <c r="H287" s="7">
        <v>66.599999999999994</v>
      </c>
      <c r="I287" s="10"/>
    </row>
    <row r="288" spans="1:9" hidden="1" x14ac:dyDescent="0.25">
      <c r="A288" s="9"/>
      <c r="B288" s="9"/>
      <c r="C288" s="9"/>
      <c r="D288" s="9"/>
      <c r="E288" s="9" t="s">
        <v>157</v>
      </c>
      <c r="F288" s="9" t="s">
        <v>158</v>
      </c>
      <c r="G288" s="7">
        <v>29.4</v>
      </c>
      <c r="H288" s="7">
        <v>29.4</v>
      </c>
      <c r="I288" s="10"/>
    </row>
    <row r="289" spans="1:9" hidden="1" x14ac:dyDescent="0.25">
      <c r="A289" s="9"/>
      <c r="B289" s="9"/>
      <c r="C289" s="9"/>
      <c r="D289" s="9"/>
      <c r="E289" s="9" t="s">
        <v>159</v>
      </c>
      <c r="F289" s="9" t="s">
        <v>160</v>
      </c>
      <c r="G289" s="7">
        <v>18.899999999999999</v>
      </c>
      <c r="H289" s="7"/>
      <c r="I289" s="10">
        <v>-18.899999999999999</v>
      </c>
    </row>
    <row r="290" spans="1:9" hidden="1" x14ac:dyDescent="0.25">
      <c r="A290" s="9"/>
      <c r="B290" s="9"/>
      <c r="C290" s="9"/>
      <c r="D290" s="9"/>
      <c r="E290" s="9" t="s">
        <v>94</v>
      </c>
      <c r="F290" s="9" t="s">
        <v>95</v>
      </c>
      <c r="G290" s="7">
        <v>12</v>
      </c>
      <c r="H290" s="7">
        <v>12</v>
      </c>
      <c r="I290" s="10"/>
    </row>
    <row r="291" spans="1:9" hidden="1" x14ac:dyDescent="0.25">
      <c r="A291" s="9"/>
      <c r="B291" s="9"/>
      <c r="C291" s="9"/>
      <c r="D291" s="9"/>
      <c r="E291" s="9" t="s">
        <v>313</v>
      </c>
      <c r="F291" s="9" t="s">
        <v>314</v>
      </c>
      <c r="G291" s="7">
        <v>8</v>
      </c>
      <c r="H291" s="7">
        <v>8</v>
      </c>
      <c r="I291" s="10"/>
    </row>
    <row r="292" spans="1:9" hidden="1" x14ac:dyDescent="0.25">
      <c r="A292" s="9"/>
      <c r="B292" s="9"/>
      <c r="C292" s="9"/>
      <c r="D292" s="9"/>
      <c r="E292" s="9" t="s">
        <v>165</v>
      </c>
      <c r="F292" s="9" t="s">
        <v>166</v>
      </c>
      <c r="G292" s="7">
        <v>780</v>
      </c>
      <c r="H292" s="7">
        <v>780</v>
      </c>
      <c r="I292" s="10"/>
    </row>
    <row r="293" spans="1:9" hidden="1" x14ac:dyDescent="0.25">
      <c r="A293" s="9"/>
      <c r="B293" s="9"/>
      <c r="C293" s="9"/>
      <c r="D293" s="9"/>
      <c r="E293" s="9" t="s">
        <v>161</v>
      </c>
      <c r="F293" s="9" t="s">
        <v>162</v>
      </c>
      <c r="G293" s="7">
        <v>915</v>
      </c>
      <c r="H293" s="7">
        <v>915</v>
      </c>
      <c r="I293" s="10"/>
    </row>
    <row r="294" spans="1:9" hidden="1" x14ac:dyDescent="0.25">
      <c r="A294" s="9"/>
      <c r="B294" s="9"/>
      <c r="C294" s="9"/>
      <c r="D294" s="9"/>
      <c r="E294" s="9" t="s">
        <v>163</v>
      </c>
      <c r="F294" s="9" t="s">
        <v>164</v>
      </c>
      <c r="G294" s="7">
        <v>915</v>
      </c>
      <c r="H294" s="7">
        <v>915</v>
      </c>
      <c r="I294" s="10"/>
    </row>
    <row r="295" spans="1:9" hidden="1" x14ac:dyDescent="0.25">
      <c r="A295" s="9"/>
      <c r="B295" s="9"/>
      <c r="C295" s="9"/>
      <c r="D295" s="9"/>
      <c r="E295" s="9" t="s">
        <v>228</v>
      </c>
      <c r="F295" s="9" t="s">
        <v>229</v>
      </c>
      <c r="G295" s="7">
        <v>179.2</v>
      </c>
      <c r="H295" s="7">
        <v>179.2</v>
      </c>
      <c r="I295" s="10"/>
    </row>
    <row r="296" spans="1:9" hidden="1" x14ac:dyDescent="0.25">
      <c r="A296" s="9"/>
      <c r="B296" s="9"/>
      <c r="C296" s="9"/>
      <c r="D296" s="9"/>
      <c r="E296" s="9" t="s">
        <v>222</v>
      </c>
      <c r="F296" s="9" t="s">
        <v>223</v>
      </c>
      <c r="G296" s="7">
        <v>61.2</v>
      </c>
      <c r="H296" s="7">
        <v>61.2</v>
      </c>
      <c r="I296" s="10"/>
    </row>
    <row r="297" spans="1:9" hidden="1" x14ac:dyDescent="0.25">
      <c r="A297" s="9"/>
      <c r="B297" s="9"/>
      <c r="C297" s="9"/>
      <c r="D297" s="9"/>
      <c r="E297" s="9" t="s">
        <v>242</v>
      </c>
      <c r="F297" s="9" t="s">
        <v>243</v>
      </c>
      <c r="G297" s="7">
        <v>11.7</v>
      </c>
      <c r="H297" s="7">
        <v>11.7</v>
      </c>
      <c r="I297" s="10"/>
    </row>
    <row r="298" spans="1:9" hidden="1" x14ac:dyDescent="0.25">
      <c r="A298" s="9"/>
      <c r="B298" s="9"/>
      <c r="C298" s="9"/>
      <c r="D298" s="9"/>
      <c r="E298" s="9" t="s">
        <v>240</v>
      </c>
      <c r="F298" s="9" t="s">
        <v>241</v>
      </c>
      <c r="G298" s="7">
        <v>3.6</v>
      </c>
      <c r="H298" s="7">
        <v>3.6</v>
      </c>
      <c r="I298" s="10"/>
    </row>
    <row r="299" spans="1:9" hidden="1" x14ac:dyDescent="0.25">
      <c r="A299" s="9"/>
      <c r="B299" s="9"/>
      <c r="C299" s="9"/>
      <c r="D299" s="9"/>
      <c r="E299" s="9" t="s">
        <v>91</v>
      </c>
      <c r="F299" s="9" t="s">
        <v>92</v>
      </c>
      <c r="G299" s="7">
        <v>30.6</v>
      </c>
      <c r="H299" s="7"/>
      <c r="I299" s="10">
        <v>-30.6</v>
      </c>
    </row>
    <row r="300" spans="1:9" hidden="1" x14ac:dyDescent="0.25">
      <c r="A300" s="9"/>
      <c r="B300" s="9"/>
      <c r="C300" s="9"/>
      <c r="D300" s="9"/>
      <c r="E300" s="9" t="s">
        <v>209</v>
      </c>
      <c r="F300" s="9" t="s">
        <v>210</v>
      </c>
      <c r="G300" s="7">
        <v>5.04</v>
      </c>
      <c r="H300" s="7"/>
      <c r="I300" s="10">
        <v>-5.04</v>
      </c>
    </row>
    <row r="301" spans="1:9" hidden="1" x14ac:dyDescent="0.25">
      <c r="A301" s="9"/>
      <c r="B301" s="9"/>
      <c r="C301" s="9"/>
      <c r="D301" s="9"/>
      <c r="E301" s="9" t="s">
        <v>137</v>
      </c>
      <c r="F301" s="9" t="s">
        <v>138</v>
      </c>
      <c r="G301" s="7">
        <v>5.4</v>
      </c>
      <c r="H301" s="7">
        <v>5.4</v>
      </c>
      <c r="I301" s="10"/>
    </row>
    <row r="302" spans="1:9" hidden="1" x14ac:dyDescent="0.25">
      <c r="A302" s="9"/>
      <c r="B302" s="9"/>
      <c r="C302" s="9"/>
      <c r="D302" s="9"/>
      <c r="E302" s="9" t="s">
        <v>279</v>
      </c>
      <c r="F302" s="9" t="s">
        <v>280</v>
      </c>
      <c r="G302" s="7">
        <v>18</v>
      </c>
      <c r="H302" s="7">
        <v>18</v>
      </c>
      <c r="I302" s="10"/>
    </row>
    <row r="303" spans="1:9" hidden="1" x14ac:dyDescent="0.25">
      <c r="A303" s="9"/>
      <c r="B303" s="9"/>
      <c r="C303" s="9"/>
      <c r="D303" s="9"/>
      <c r="E303" s="9" t="s">
        <v>87</v>
      </c>
      <c r="F303" s="9" t="s">
        <v>88</v>
      </c>
      <c r="G303" s="7">
        <v>12</v>
      </c>
      <c r="H303" s="7">
        <v>12</v>
      </c>
      <c r="I303" s="10"/>
    </row>
    <row r="304" spans="1:9" hidden="1" x14ac:dyDescent="0.25">
      <c r="A304" s="9"/>
      <c r="B304" s="9"/>
      <c r="C304" s="9"/>
      <c r="D304" s="9"/>
      <c r="E304" s="9" t="s">
        <v>65</v>
      </c>
      <c r="F304" s="9" t="s">
        <v>66</v>
      </c>
      <c r="G304" s="7">
        <v>150.5</v>
      </c>
      <c r="H304" s="7"/>
      <c r="I304" s="10">
        <v>-150.5</v>
      </c>
    </row>
    <row r="305" spans="1:13" hidden="1" x14ac:dyDescent="0.25">
      <c r="A305" s="9"/>
      <c r="B305" s="9"/>
      <c r="C305" s="9"/>
      <c r="D305" s="9"/>
      <c r="E305" s="9" t="s">
        <v>81</v>
      </c>
      <c r="F305" s="9" t="s">
        <v>82</v>
      </c>
      <c r="G305" s="7">
        <v>28.56</v>
      </c>
      <c r="H305" s="7">
        <v>28.56</v>
      </c>
      <c r="I305" s="10"/>
    </row>
    <row r="306" spans="1:13" hidden="1" x14ac:dyDescent="0.25">
      <c r="A306" s="9"/>
      <c r="B306" s="9"/>
      <c r="C306" s="9"/>
      <c r="D306" s="9"/>
      <c r="E306" s="9" t="s">
        <v>74</v>
      </c>
      <c r="F306" s="9" t="s">
        <v>75</v>
      </c>
      <c r="G306" s="7">
        <v>150.5</v>
      </c>
      <c r="H306" s="7">
        <v>150.5</v>
      </c>
      <c r="I306" s="10"/>
    </row>
    <row r="307" spans="1:13" hidden="1" x14ac:dyDescent="0.25">
      <c r="A307" s="9"/>
      <c r="B307" s="9"/>
      <c r="C307" s="9"/>
      <c r="D307" s="9"/>
      <c r="E307" s="9" t="s">
        <v>70</v>
      </c>
      <c r="F307" s="9" t="s">
        <v>71</v>
      </c>
      <c r="G307" s="7">
        <v>182</v>
      </c>
      <c r="H307" s="7">
        <v>182</v>
      </c>
      <c r="I307" s="10"/>
    </row>
    <row r="308" spans="1:13" hidden="1" x14ac:dyDescent="0.25">
      <c r="A308" s="9"/>
      <c r="B308" s="9"/>
      <c r="C308" s="9"/>
      <c r="D308" s="9"/>
      <c r="E308" s="9" t="s">
        <v>141</v>
      </c>
      <c r="F308" s="9" t="s">
        <v>142</v>
      </c>
      <c r="G308" s="7">
        <v>140.4</v>
      </c>
      <c r="H308" s="7">
        <v>140.4</v>
      </c>
      <c r="I308" s="10"/>
    </row>
    <row r="309" spans="1:13" hidden="1" x14ac:dyDescent="0.25">
      <c r="A309" s="9"/>
      <c r="B309" s="9"/>
      <c r="C309" s="9"/>
      <c r="D309" s="9"/>
      <c r="E309" s="9" t="s">
        <v>216</v>
      </c>
      <c r="F309" s="9" t="s">
        <v>217</v>
      </c>
      <c r="G309" s="7">
        <v>179.4</v>
      </c>
      <c r="H309" s="7">
        <v>179.4</v>
      </c>
      <c r="I309" s="10"/>
    </row>
    <row r="310" spans="1:13" hidden="1" x14ac:dyDescent="0.25">
      <c r="A310" s="9"/>
      <c r="B310" s="9"/>
      <c r="C310" s="9"/>
      <c r="D310" s="9"/>
      <c r="E310" s="9" t="s">
        <v>143</v>
      </c>
      <c r="F310" s="9" t="s">
        <v>144</v>
      </c>
      <c r="G310" s="7">
        <v>109.2</v>
      </c>
      <c r="H310" s="7">
        <v>109.2</v>
      </c>
      <c r="I310" s="10"/>
    </row>
    <row r="311" spans="1:13" hidden="1" x14ac:dyDescent="0.25">
      <c r="A311" s="9"/>
      <c r="B311" s="9"/>
      <c r="C311" s="9"/>
      <c r="D311" s="9"/>
      <c r="E311" s="9" t="s">
        <v>238</v>
      </c>
      <c r="F311" s="9" t="s">
        <v>239</v>
      </c>
      <c r="G311" s="7">
        <v>132</v>
      </c>
      <c r="H311" s="7">
        <v>132</v>
      </c>
      <c r="I311" s="10"/>
    </row>
    <row r="312" spans="1:13" hidden="1" x14ac:dyDescent="0.25">
      <c r="A312" s="9"/>
      <c r="B312" s="9"/>
      <c r="C312" s="9"/>
      <c r="D312" s="9"/>
      <c r="E312" s="9" t="s">
        <v>167</v>
      </c>
      <c r="F312" s="9" t="s">
        <v>168</v>
      </c>
      <c r="G312" s="7">
        <v>570</v>
      </c>
      <c r="H312" s="7">
        <v>570</v>
      </c>
      <c r="I312" s="10"/>
    </row>
    <row r="313" spans="1:13" x14ac:dyDescent="0.25">
      <c r="A313" s="9"/>
      <c r="B313" s="9"/>
      <c r="C313" s="16" t="s">
        <v>317</v>
      </c>
      <c r="D313" s="16" t="s">
        <v>327</v>
      </c>
      <c r="E313" s="16" t="s">
        <v>165</v>
      </c>
      <c r="F313" s="16" t="s">
        <v>166</v>
      </c>
      <c r="G313" s="17">
        <v>405</v>
      </c>
      <c r="H313" s="17"/>
      <c r="I313" s="18">
        <v>-405</v>
      </c>
      <c r="J313" s="19">
        <f>GETPIVOTDATA("Сумма по полю Урезание",$A$3,"Заказ на продажу","TSO001121202","Запрошенная дата отгрузки",DATE(2026,9,14),"Внешний номер заказа",,"Внешний код клиента","НВЛугРабоч","Код единицы продаж","SU003420","Наименование для бланков","Вареные колбасы «Филейная» Весовой п/а ТМ «Особый рецепт» большой батон")+GETPIVOTDATA("Сумма по полю Урезание",$A$3,"Заказ на продажу","TSO001121202","Запрошенная дата отгрузки",DATE(2026,9,14),"Внешний номер заказа",,"Внешний код клиента","НВЛугРабоч","Код единицы продаж","SU003422","Наименование для бланков","Вареные колбасы «Молочная» Весовой п/а ТМ «Особый рецепт»")</f>
        <v>-810</v>
      </c>
      <c r="K313" t="s">
        <v>331</v>
      </c>
    </row>
    <row r="314" spans="1:13" x14ac:dyDescent="0.25">
      <c r="A314" s="9"/>
      <c r="B314" s="9"/>
      <c r="C314" s="9"/>
      <c r="D314" s="9"/>
      <c r="E314" s="16" t="s">
        <v>161</v>
      </c>
      <c r="F314" s="16" t="s">
        <v>162</v>
      </c>
      <c r="G314" s="17">
        <v>405</v>
      </c>
      <c r="H314" s="17"/>
      <c r="I314" s="18">
        <v>-405</v>
      </c>
    </row>
    <row r="315" spans="1:13" x14ac:dyDescent="0.25">
      <c r="A315" s="9"/>
      <c r="B315" s="9"/>
      <c r="C315" s="12" t="s">
        <v>320</v>
      </c>
      <c r="D315" s="12" t="s">
        <v>321</v>
      </c>
      <c r="E315" s="12" t="s">
        <v>169</v>
      </c>
      <c r="F315" s="12" t="s">
        <v>170</v>
      </c>
      <c r="G315" s="13">
        <v>810</v>
      </c>
      <c r="H315" s="13">
        <v>810</v>
      </c>
      <c r="I315" s="14"/>
      <c r="J315" s="15">
        <f>GETPIVOTDATA("Сумма по полю Урезание",$A$3,"Заказ на продажу","TSO001121236","Запрошенная дата отгрузки",DATE(2026,9,14),"Внешний номер заказа","6312588","Внешний код клиента","НВЛугРабоч","Код единицы продаж","SU000126","Наименование для бланков","Ветчины Нежная Особая Особая Весовые П/а Особый рецепт большой батон")</f>
        <v>0</v>
      </c>
      <c r="K315" s="20" t="s">
        <v>334</v>
      </c>
      <c r="L315" s="20">
        <v>13.09</v>
      </c>
      <c r="M315" s="20" t="s">
        <v>333</v>
      </c>
    </row>
    <row r="316" spans="1:13" x14ac:dyDescent="0.25">
      <c r="A316" s="9"/>
      <c r="B316" s="12" t="s">
        <v>38</v>
      </c>
      <c r="C316" s="12" t="s">
        <v>36</v>
      </c>
      <c r="D316" s="12" t="s">
        <v>37</v>
      </c>
      <c r="E316" s="12" t="s">
        <v>169</v>
      </c>
      <c r="F316" s="12" t="s">
        <v>170</v>
      </c>
      <c r="G316" s="13">
        <v>2670</v>
      </c>
      <c r="H316" s="13">
        <v>2670</v>
      </c>
      <c r="I316" s="14"/>
      <c r="J316" s="15">
        <f>SUM(I316:I388)</f>
        <v>-677.4</v>
      </c>
      <c r="K316" s="20" t="s">
        <v>336</v>
      </c>
      <c r="L316" s="20">
        <v>12.09</v>
      </c>
    </row>
    <row r="317" spans="1:13" hidden="1" x14ac:dyDescent="0.25">
      <c r="A317" s="9"/>
      <c r="B317" s="9"/>
      <c r="C317" s="9"/>
      <c r="D317" s="9"/>
      <c r="E317" s="9" t="s">
        <v>147</v>
      </c>
      <c r="F317" s="9" t="s">
        <v>148</v>
      </c>
      <c r="G317" s="7">
        <v>202.8</v>
      </c>
      <c r="H317" s="7">
        <v>202.8</v>
      </c>
      <c r="I317" s="10"/>
      <c r="K317" s="20"/>
      <c r="L317" s="20"/>
    </row>
    <row r="318" spans="1:13" hidden="1" x14ac:dyDescent="0.25">
      <c r="A318" s="9"/>
      <c r="B318" s="9"/>
      <c r="C318" s="9"/>
      <c r="D318" s="9"/>
      <c r="E318" s="9" t="s">
        <v>195</v>
      </c>
      <c r="F318" s="9" t="s">
        <v>196</v>
      </c>
      <c r="G318" s="7">
        <v>259.2</v>
      </c>
      <c r="H318" s="7">
        <v>259.2</v>
      </c>
      <c r="I318" s="10"/>
      <c r="K318" s="20"/>
      <c r="L318" s="20"/>
    </row>
    <row r="319" spans="1:13" hidden="1" x14ac:dyDescent="0.25">
      <c r="A319" s="9"/>
      <c r="B319" s="9"/>
      <c r="C319" s="9"/>
      <c r="D319" s="9"/>
      <c r="E319" s="9" t="s">
        <v>149</v>
      </c>
      <c r="F319" s="9" t="s">
        <v>150</v>
      </c>
      <c r="G319" s="7">
        <v>67.2</v>
      </c>
      <c r="H319" s="7">
        <v>67.2</v>
      </c>
      <c r="I319" s="10"/>
      <c r="K319" s="20"/>
      <c r="L319" s="20"/>
    </row>
    <row r="320" spans="1:13" hidden="1" x14ac:dyDescent="0.25">
      <c r="A320" s="9"/>
      <c r="B320" s="9"/>
      <c r="C320" s="9"/>
      <c r="D320" s="9"/>
      <c r="E320" s="9" t="s">
        <v>43</v>
      </c>
      <c r="F320" s="9" t="s">
        <v>44</v>
      </c>
      <c r="G320" s="7">
        <v>16</v>
      </c>
      <c r="H320" s="7">
        <v>16</v>
      </c>
      <c r="I320" s="10"/>
      <c r="K320" s="20"/>
      <c r="L320" s="20"/>
    </row>
    <row r="321" spans="1:12" hidden="1" x14ac:dyDescent="0.25">
      <c r="A321" s="9"/>
      <c r="B321" s="9"/>
      <c r="C321" s="9"/>
      <c r="D321" s="9"/>
      <c r="E321" s="9" t="s">
        <v>51</v>
      </c>
      <c r="F321" s="9" t="s">
        <v>52</v>
      </c>
      <c r="G321" s="7">
        <v>907.2</v>
      </c>
      <c r="H321" s="7">
        <v>907.2</v>
      </c>
      <c r="I321" s="10"/>
      <c r="K321" s="20"/>
      <c r="L321" s="20"/>
    </row>
    <row r="322" spans="1:12" hidden="1" x14ac:dyDescent="0.25">
      <c r="A322" s="9"/>
      <c r="B322" s="9"/>
      <c r="C322" s="9"/>
      <c r="D322" s="9"/>
      <c r="E322" s="9" t="s">
        <v>53</v>
      </c>
      <c r="F322" s="9" t="s">
        <v>54</v>
      </c>
      <c r="G322" s="7"/>
      <c r="H322" s="7"/>
      <c r="I322" s="10"/>
      <c r="K322" s="20"/>
      <c r="L322" s="20"/>
    </row>
    <row r="323" spans="1:12" hidden="1" x14ac:dyDescent="0.25">
      <c r="A323" s="9"/>
      <c r="B323" s="9"/>
      <c r="C323" s="9"/>
      <c r="D323" s="9"/>
      <c r="E323" s="9" t="s">
        <v>57</v>
      </c>
      <c r="F323" s="9" t="s">
        <v>58</v>
      </c>
      <c r="G323" s="7">
        <v>240.3</v>
      </c>
      <c r="H323" s="7">
        <v>240.3</v>
      </c>
      <c r="I323" s="10"/>
      <c r="K323" s="20"/>
      <c r="L323" s="20"/>
    </row>
    <row r="324" spans="1:12" hidden="1" x14ac:dyDescent="0.25">
      <c r="A324" s="9"/>
      <c r="B324" s="9"/>
      <c r="C324" s="9"/>
      <c r="D324" s="9"/>
      <c r="E324" s="9" t="s">
        <v>55</v>
      </c>
      <c r="F324" s="9" t="s">
        <v>56</v>
      </c>
      <c r="G324" s="7">
        <v>1004.4</v>
      </c>
      <c r="H324" s="7">
        <v>1004.4</v>
      </c>
      <c r="I324" s="10"/>
      <c r="K324" s="20"/>
      <c r="L324" s="20"/>
    </row>
    <row r="325" spans="1:12" hidden="1" x14ac:dyDescent="0.25">
      <c r="A325" s="9"/>
      <c r="B325" s="9"/>
      <c r="C325" s="9"/>
      <c r="D325" s="9"/>
      <c r="E325" s="9" t="s">
        <v>185</v>
      </c>
      <c r="F325" s="9" t="s">
        <v>186</v>
      </c>
      <c r="G325" s="7">
        <v>601.91999999999996</v>
      </c>
      <c r="H325" s="7">
        <v>601.91999999999996</v>
      </c>
      <c r="I325" s="10"/>
      <c r="K325" s="20"/>
      <c r="L325" s="20"/>
    </row>
    <row r="326" spans="1:12" hidden="1" x14ac:dyDescent="0.25">
      <c r="A326" s="9"/>
      <c r="B326" s="9"/>
      <c r="C326" s="9"/>
      <c r="D326" s="9"/>
      <c r="E326" s="9" t="s">
        <v>179</v>
      </c>
      <c r="F326" s="9" t="s">
        <v>180</v>
      </c>
      <c r="G326" s="7">
        <v>21.12</v>
      </c>
      <c r="H326" s="7">
        <v>21.12</v>
      </c>
      <c r="I326" s="10"/>
      <c r="K326" s="20"/>
      <c r="L326" s="20"/>
    </row>
    <row r="327" spans="1:12" hidden="1" x14ac:dyDescent="0.25">
      <c r="A327" s="9"/>
      <c r="B327" s="9"/>
      <c r="C327" s="9"/>
      <c r="D327" s="9"/>
      <c r="E327" s="9" t="s">
        <v>187</v>
      </c>
      <c r="F327" s="9" t="s">
        <v>188</v>
      </c>
      <c r="G327" s="7">
        <v>580.79999999999995</v>
      </c>
      <c r="H327" s="7">
        <v>580.79999999999995</v>
      </c>
      <c r="I327" s="10"/>
      <c r="K327" s="20"/>
      <c r="L327" s="20"/>
    </row>
    <row r="328" spans="1:12" hidden="1" x14ac:dyDescent="0.25">
      <c r="A328" s="9"/>
      <c r="B328" s="9"/>
      <c r="C328" s="9"/>
      <c r="D328" s="9"/>
      <c r="E328" s="9" t="s">
        <v>173</v>
      </c>
      <c r="F328" s="9" t="s">
        <v>174</v>
      </c>
      <c r="G328" s="7">
        <v>702</v>
      </c>
      <c r="H328" s="7">
        <v>702</v>
      </c>
      <c r="I328" s="10"/>
      <c r="K328" s="20"/>
      <c r="L328" s="20"/>
    </row>
    <row r="329" spans="1:12" hidden="1" x14ac:dyDescent="0.25">
      <c r="A329" s="9"/>
      <c r="B329" s="9"/>
      <c r="C329" s="9"/>
      <c r="D329" s="9"/>
      <c r="E329" s="9" t="s">
        <v>189</v>
      </c>
      <c r="F329" s="9" t="s">
        <v>190</v>
      </c>
      <c r="G329" s="7">
        <v>52.8</v>
      </c>
      <c r="H329" s="7">
        <v>52.8</v>
      </c>
      <c r="I329" s="10"/>
      <c r="K329" s="20"/>
      <c r="L329" s="20"/>
    </row>
    <row r="330" spans="1:12" hidden="1" x14ac:dyDescent="0.25">
      <c r="A330" s="9"/>
      <c r="B330" s="9"/>
      <c r="C330" s="9"/>
      <c r="D330" s="9"/>
      <c r="E330" s="9" t="s">
        <v>181</v>
      </c>
      <c r="F330" s="9" t="s">
        <v>182</v>
      </c>
      <c r="G330" s="7">
        <v>47.52</v>
      </c>
      <c r="H330" s="7">
        <v>47.52</v>
      </c>
      <c r="I330" s="10"/>
      <c r="K330" s="20"/>
      <c r="L330" s="20"/>
    </row>
    <row r="331" spans="1:12" hidden="1" x14ac:dyDescent="0.25">
      <c r="A331" s="9"/>
      <c r="B331" s="9"/>
      <c r="C331" s="9"/>
      <c r="D331" s="9"/>
      <c r="E331" s="9" t="s">
        <v>175</v>
      </c>
      <c r="F331" s="9" t="s">
        <v>176</v>
      </c>
      <c r="G331" s="7">
        <v>9.6</v>
      </c>
      <c r="H331" s="7">
        <v>9.6</v>
      </c>
      <c r="I331" s="10"/>
      <c r="K331" s="20"/>
      <c r="L331" s="20"/>
    </row>
    <row r="332" spans="1:12" hidden="1" x14ac:dyDescent="0.25">
      <c r="A332" s="9"/>
      <c r="B332" s="9"/>
      <c r="C332" s="9"/>
      <c r="D332" s="9"/>
      <c r="E332" s="9" t="s">
        <v>145</v>
      </c>
      <c r="F332" s="9" t="s">
        <v>146</v>
      </c>
      <c r="G332" s="7">
        <v>9</v>
      </c>
      <c r="H332" s="7">
        <v>9</v>
      </c>
      <c r="I332" s="10"/>
      <c r="K332" s="20"/>
      <c r="L332" s="20"/>
    </row>
    <row r="333" spans="1:12" hidden="1" x14ac:dyDescent="0.25">
      <c r="A333" s="9"/>
      <c r="B333" s="9"/>
      <c r="C333" s="9"/>
      <c r="D333" s="9"/>
      <c r="E333" s="9" t="s">
        <v>171</v>
      </c>
      <c r="F333" s="9" t="s">
        <v>172</v>
      </c>
      <c r="G333" s="7">
        <v>36</v>
      </c>
      <c r="H333" s="7">
        <v>36</v>
      </c>
      <c r="I333" s="10"/>
      <c r="K333" s="20"/>
      <c r="L333" s="20"/>
    </row>
    <row r="334" spans="1:12" hidden="1" x14ac:dyDescent="0.25">
      <c r="A334" s="9"/>
      <c r="B334" s="9"/>
      <c r="C334" s="9"/>
      <c r="D334" s="9"/>
      <c r="E334" s="9" t="s">
        <v>59</v>
      </c>
      <c r="F334" s="9" t="s">
        <v>60</v>
      </c>
      <c r="G334" s="7">
        <v>47.52</v>
      </c>
      <c r="H334" s="7">
        <v>47.52</v>
      </c>
      <c r="I334" s="10"/>
      <c r="K334" s="20"/>
      <c r="L334" s="20"/>
    </row>
    <row r="335" spans="1:12" hidden="1" x14ac:dyDescent="0.25">
      <c r="A335" s="9"/>
      <c r="B335" s="9"/>
      <c r="C335" s="9"/>
      <c r="D335" s="9"/>
      <c r="E335" s="9" t="s">
        <v>153</v>
      </c>
      <c r="F335" s="9" t="s">
        <v>154</v>
      </c>
      <c r="G335" s="7">
        <v>40</v>
      </c>
      <c r="H335" s="7">
        <v>40</v>
      </c>
      <c r="I335" s="10"/>
      <c r="K335" s="20"/>
      <c r="L335" s="20"/>
    </row>
    <row r="336" spans="1:12" hidden="1" x14ac:dyDescent="0.25">
      <c r="A336" s="9"/>
      <c r="B336" s="9"/>
      <c r="C336" s="9"/>
      <c r="D336" s="9"/>
      <c r="E336" s="9" t="s">
        <v>177</v>
      </c>
      <c r="F336" s="9" t="s">
        <v>178</v>
      </c>
      <c r="G336" s="7">
        <v>16.2</v>
      </c>
      <c r="H336" s="7">
        <v>16.2</v>
      </c>
      <c r="I336" s="10"/>
      <c r="K336" s="20"/>
      <c r="L336" s="20"/>
    </row>
    <row r="337" spans="1:12" hidden="1" x14ac:dyDescent="0.25">
      <c r="A337" s="9"/>
      <c r="B337" s="9"/>
      <c r="C337" s="9"/>
      <c r="D337" s="9"/>
      <c r="E337" s="9" t="s">
        <v>122</v>
      </c>
      <c r="F337" s="9" t="s">
        <v>123</v>
      </c>
      <c r="G337" s="7">
        <v>141.6</v>
      </c>
      <c r="H337" s="7">
        <v>141.6</v>
      </c>
      <c r="I337" s="10"/>
      <c r="K337" s="20"/>
      <c r="L337" s="20"/>
    </row>
    <row r="338" spans="1:12" hidden="1" x14ac:dyDescent="0.25">
      <c r="A338" s="9"/>
      <c r="B338" s="9"/>
      <c r="C338" s="9"/>
      <c r="D338" s="9"/>
      <c r="E338" s="9" t="s">
        <v>124</v>
      </c>
      <c r="F338" s="9" t="s">
        <v>125</v>
      </c>
      <c r="G338" s="7">
        <v>81.599999999999994</v>
      </c>
      <c r="H338" s="7">
        <v>81.599999999999994</v>
      </c>
      <c r="I338" s="10"/>
      <c r="K338" s="20"/>
      <c r="L338" s="20"/>
    </row>
    <row r="339" spans="1:12" hidden="1" x14ac:dyDescent="0.25">
      <c r="A339" s="9"/>
      <c r="B339" s="9"/>
      <c r="C339" s="9"/>
      <c r="D339" s="9"/>
      <c r="E339" s="9" t="s">
        <v>183</v>
      </c>
      <c r="F339" s="9" t="s">
        <v>184</v>
      </c>
      <c r="G339" s="7">
        <v>105.6</v>
      </c>
      <c r="H339" s="7">
        <v>105.6</v>
      </c>
      <c r="I339" s="10"/>
      <c r="K339" s="20"/>
      <c r="L339" s="20"/>
    </row>
    <row r="340" spans="1:12" hidden="1" x14ac:dyDescent="0.25">
      <c r="A340" s="9"/>
      <c r="B340" s="9"/>
      <c r="C340" s="9"/>
      <c r="D340" s="9"/>
      <c r="E340" s="9" t="s">
        <v>193</v>
      </c>
      <c r="F340" s="9" t="s">
        <v>194</v>
      </c>
      <c r="G340" s="7">
        <v>36</v>
      </c>
      <c r="H340" s="7"/>
      <c r="I340" s="10">
        <v>-36</v>
      </c>
      <c r="K340" s="20"/>
      <c r="L340" s="20"/>
    </row>
    <row r="341" spans="1:12" hidden="1" x14ac:dyDescent="0.25">
      <c r="A341" s="9"/>
      <c r="B341" s="9"/>
      <c r="C341" s="9"/>
      <c r="D341" s="9"/>
      <c r="E341" s="9" t="s">
        <v>89</v>
      </c>
      <c r="F341" s="9" t="s">
        <v>90</v>
      </c>
      <c r="G341" s="7">
        <v>8.4</v>
      </c>
      <c r="H341" s="7">
        <v>8.4</v>
      </c>
      <c r="I341" s="10"/>
      <c r="K341" s="20"/>
      <c r="L341" s="20"/>
    </row>
    <row r="342" spans="1:12" hidden="1" x14ac:dyDescent="0.25">
      <c r="A342" s="9"/>
      <c r="B342" s="9"/>
      <c r="C342" s="9"/>
      <c r="D342" s="9"/>
      <c r="E342" s="9" t="s">
        <v>126</v>
      </c>
      <c r="F342" s="9" t="s">
        <v>127</v>
      </c>
      <c r="G342" s="7">
        <v>60</v>
      </c>
      <c r="H342" s="7">
        <v>60</v>
      </c>
      <c r="I342" s="10"/>
      <c r="K342" s="20"/>
      <c r="L342" s="20"/>
    </row>
    <row r="343" spans="1:12" hidden="1" x14ac:dyDescent="0.25">
      <c r="A343" s="9"/>
      <c r="B343" s="9"/>
      <c r="C343" s="9"/>
      <c r="D343" s="9"/>
      <c r="E343" s="9" t="s">
        <v>120</v>
      </c>
      <c r="F343" s="9" t="s">
        <v>121</v>
      </c>
      <c r="G343" s="7">
        <v>34.799999999999997</v>
      </c>
      <c r="H343" s="7">
        <v>34.799999999999997</v>
      </c>
      <c r="I343" s="10"/>
      <c r="K343" s="20"/>
      <c r="L343" s="20"/>
    </row>
    <row r="344" spans="1:12" hidden="1" x14ac:dyDescent="0.25">
      <c r="A344" s="9"/>
      <c r="B344" s="9"/>
      <c r="C344" s="9"/>
      <c r="D344" s="9"/>
      <c r="E344" s="9" t="s">
        <v>83</v>
      </c>
      <c r="F344" s="9" t="s">
        <v>84</v>
      </c>
      <c r="G344" s="7">
        <v>50.4</v>
      </c>
      <c r="H344" s="7">
        <v>50.4</v>
      </c>
      <c r="I344" s="10"/>
      <c r="K344" s="20"/>
      <c r="L344" s="20"/>
    </row>
    <row r="345" spans="1:12" hidden="1" x14ac:dyDescent="0.25">
      <c r="A345" s="9"/>
      <c r="B345" s="9"/>
      <c r="C345" s="9"/>
      <c r="D345" s="9"/>
      <c r="E345" s="9" t="s">
        <v>132</v>
      </c>
      <c r="F345" s="9" t="s">
        <v>133</v>
      </c>
      <c r="G345" s="7">
        <v>43.2</v>
      </c>
      <c r="H345" s="7">
        <v>21.6</v>
      </c>
      <c r="I345" s="10">
        <v>-21.6</v>
      </c>
      <c r="K345" s="20"/>
      <c r="L345" s="20"/>
    </row>
    <row r="346" spans="1:12" hidden="1" x14ac:dyDescent="0.25">
      <c r="A346" s="9"/>
      <c r="B346" s="9"/>
      <c r="C346" s="9"/>
      <c r="D346" s="9"/>
      <c r="E346" s="9" t="s">
        <v>130</v>
      </c>
      <c r="F346" s="9" t="s">
        <v>131</v>
      </c>
      <c r="G346" s="7">
        <v>12</v>
      </c>
      <c r="H346" s="7">
        <v>12</v>
      </c>
      <c r="I346" s="10"/>
      <c r="K346" s="20"/>
      <c r="L346" s="20"/>
    </row>
    <row r="347" spans="1:12" hidden="1" x14ac:dyDescent="0.25">
      <c r="A347" s="9"/>
      <c r="B347" s="9"/>
      <c r="C347" s="9"/>
      <c r="D347" s="9"/>
      <c r="E347" s="9" t="s">
        <v>139</v>
      </c>
      <c r="F347" s="9" t="s">
        <v>140</v>
      </c>
      <c r="G347" s="7">
        <v>9.6</v>
      </c>
      <c r="H347" s="7">
        <v>9.6</v>
      </c>
      <c r="I347" s="10"/>
      <c r="K347" s="20"/>
      <c r="L347" s="20"/>
    </row>
    <row r="348" spans="1:12" hidden="1" x14ac:dyDescent="0.25">
      <c r="A348" s="9"/>
      <c r="B348" s="9"/>
      <c r="C348" s="9"/>
      <c r="D348" s="9"/>
      <c r="E348" s="9" t="s">
        <v>49</v>
      </c>
      <c r="F348" s="9" t="s">
        <v>50</v>
      </c>
      <c r="G348" s="7">
        <v>32.4</v>
      </c>
      <c r="H348" s="7">
        <v>32.4</v>
      </c>
      <c r="I348" s="10"/>
      <c r="K348" s="20"/>
      <c r="L348" s="20"/>
    </row>
    <row r="349" spans="1:12" hidden="1" x14ac:dyDescent="0.25">
      <c r="A349" s="9"/>
      <c r="B349" s="9"/>
      <c r="C349" s="9"/>
      <c r="D349" s="9"/>
      <c r="E349" s="9" t="s">
        <v>45</v>
      </c>
      <c r="F349" s="9" t="s">
        <v>46</v>
      </c>
      <c r="G349" s="7">
        <v>12</v>
      </c>
      <c r="H349" s="7">
        <v>12</v>
      </c>
      <c r="I349" s="10"/>
      <c r="K349" s="20"/>
      <c r="L349" s="20"/>
    </row>
    <row r="350" spans="1:12" hidden="1" x14ac:dyDescent="0.25">
      <c r="A350" s="9"/>
      <c r="B350" s="9"/>
      <c r="C350" s="9"/>
      <c r="D350" s="9"/>
      <c r="E350" s="9" t="s">
        <v>47</v>
      </c>
      <c r="F350" s="9" t="s">
        <v>48</v>
      </c>
      <c r="G350" s="7">
        <v>499.2</v>
      </c>
      <c r="H350" s="7">
        <v>499.2</v>
      </c>
      <c r="I350" s="10"/>
      <c r="K350" s="20"/>
      <c r="L350" s="20"/>
    </row>
    <row r="351" spans="1:12" hidden="1" x14ac:dyDescent="0.25">
      <c r="A351" s="9"/>
      <c r="B351" s="9"/>
      <c r="C351" s="9"/>
      <c r="D351" s="9"/>
      <c r="E351" s="9" t="s">
        <v>151</v>
      </c>
      <c r="F351" s="9" t="s">
        <v>152</v>
      </c>
      <c r="G351" s="7">
        <v>10</v>
      </c>
      <c r="H351" s="7">
        <v>10</v>
      </c>
      <c r="I351" s="10"/>
      <c r="K351" s="20"/>
      <c r="L351" s="20"/>
    </row>
    <row r="352" spans="1:12" hidden="1" x14ac:dyDescent="0.25">
      <c r="A352" s="9"/>
      <c r="B352" s="9"/>
      <c r="C352" s="9"/>
      <c r="D352" s="9"/>
      <c r="E352" s="9" t="s">
        <v>116</v>
      </c>
      <c r="F352" s="9" t="s">
        <v>117</v>
      </c>
      <c r="G352" s="7">
        <v>153.9</v>
      </c>
      <c r="H352" s="7">
        <v>153.9</v>
      </c>
      <c r="I352" s="10"/>
      <c r="K352" s="20"/>
      <c r="L352" s="20"/>
    </row>
    <row r="353" spans="1:12" hidden="1" x14ac:dyDescent="0.25">
      <c r="A353" s="9"/>
      <c r="B353" s="9"/>
      <c r="C353" s="9"/>
      <c r="D353" s="9"/>
      <c r="E353" s="9" t="s">
        <v>128</v>
      </c>
      <c r="F353" s="9" t="s">
        <v>129</v>
      </c>
      <c r="G353" s="7">
        <v>163.19999999999999</v>
      </c>
      <c r="H353" s="7">
        <v>163.19999999999999</v>
      </c>
      <c r="I353" s="10"/>
      <c r="K353" s="20"/>
      <c r="L353" s="20"/>
    </row>
    <row r="354" spans="1:12" hidden="1" x14ac:dyDescent="0.25">
      <c r="A354" s="9"/>
      <c r="B354" s="9"/>
      <c r="C354" s="9"/>
      <c r="D354" s="9"/>
      <c r="E354" s="9" t="s">
        <v>118</v>
      </c>
      <c r="F354" s="9" t="s">
        <v>119</v>
      </c>
      <c r="G354" s="7">
        <v>364.5</v>
      </c>
      <c r="H354" s="7">
        <v>364.5</v>
      </c>
      <c r="I354" s="10"/>
      <c r="K354" s="20"/>
      <c r="L354" s="20"/>
    </row>
    <row r="355" spans="1:12" hidden="1" x14ac:dyDescent="0.25">
      <c r="A355" s="9"/>
      <c r="B355" s="9"/>
      <c r="C355" s="9"/>
      <c r="D355" s="9"/>
      <c r="E355" s="9" t="s">
        <v>85</v>
      </c>
      <c r="F355" s="9" t="s">
        <v>86</v>
      </c>
      <c r="G355" s="7">
        <v>50.4</v>
      </c>
      <c r="H355" s="7">
        <v>50.4</v>
      </c>
      <c r="I355" s="10"/>
      <c r="K355" s="20"/>
      <c r="L355" s="20"/>
    </row>
    <row r="356" spans="1:12" hidden="1" x14ac:dyDescent="0.25">
      <c r="A356" s="9"/>
      <c r="B356" s="9"/>
      <c r="C356" s="9"/>
      <c r="D356" s="9"/>
      <c r="E356" s="9" t="s">
        <v>96</v>
      </c>
      <c r="F356" s="9" t="s">
        <v>97</v>
      </c>
      <c r="G356" s="7">
        <v>60.9</v>
      </c>
      <c r="H356" s="7">
        <v>60.9</v>
      </c>
      <c r="I356" s="10"/>
      <c r="K356" s="20"/>
      <c r="L356" s="20"/>
    </row>
    <row r="357" spans="1:12" hidden="1" x14ac:dyDescent="0.25">
      <c r="A357" s="9"/>
      <c r="B357" s="9"/>
      <c r="C357" s="9"/>
      <c r="D357" s="9"/>
      <c r="E357" s="9" t="s">
        <v>191</v>
      </c>
      <c r="F357" s="9" t="s">
        <v>192</v>
      </c>
      <c r="G357" s="7">
        <v>14.4</v>
      </c>
      <c r="H357" s="7">
        <v>14.4</v>
      </c>
      <c r="I357" s="10"/>
      <c r="K357" s="20"/>
      <c r="L357" s="20"/>
    </row>
    <row r="358" spans="1:12" hidden="1" x14ac:dyDescent="0.25">
      <c r="A358" s="9"/>
      <c r="B358" s="9"/>
      <c r="C358" s="9"/>
      <c r="D358" s="9"/>
      <c r="E358" s="9" t="s">
        <v>102</v>
      </c>
      <c r="F358" s="9" t="s">
        <v>103</v>
      </c>
      <c r="G358" s="7">
        <v>97.2</v>
      </c>
      <c r="H358" s="7">
        <v>97.2</v>
      </c>
      <c r="I358" s="10"/>
      <c r="K358" s="20"/>
      <c r="L358" s="20"/>
    </row>
    <row r="359" spans="1:12" hidden="1" x14ac:dyDescent="0.25">
      <c r="A359" s="9"/>
      <c r="B359" s="9"/>
      <c r="C359" s="9"/>
      <c r="D359" s="9"/>
      <c r="E359" s="9" t="s">
        <v>112</v>
      </c>
      <c r="F359" s="9" t="s">
        <v>113</v>
      </c>
      <c r="G359" s="7">
        <v>9</v>
      </c>
      <c r="H359" s="7"/>
      <c r="I359" s="10">
        <v>-9</v>
      </c>
      <c r="K359" s="20"/>
      <c r="L359" s="20"/>
    </row>
    <row r="360" spans="1:12" hidden="1" x14ac:dyDescent="0.25">
      <c r="A360" s="9"/>
      <c r="B360" s="9"/>
      <c r="C360" s="9"/>
      <c r="D360" s="9"/>
      <c r="E360" s="9" t="s">
        <v>104</v>
      </c>
      <c r="F360" s="9" t="s">
        <v>105</v>
      </c>
      <c r="G360" s="7">
        <v>64.8</v>
      </c>
      <c r="H360" s="7"/>
      <c r="I360" s="10">
        <v>-64.8</v>
      </c>
      <c r="K360" s="20"/>
      <c r="L360" s="20"/>
    </row>
    <row r="361" spans="1:12" hidden="1" x14ac:dyDescent="0.25">
      <c r="A361" s="9"/>
      <c r="B361" s="9"/>
      <c r="C361" s="9"/>
      <c r="D361" s="9"/>
      <c r="E361" s="9" t="s">
        <v>110</v>
      </c>
      <c r="F361" s="9" t="s">
        <v>111</v>
      </c>
      <c r="G361" s="7">
        <v>9</v>
      </c>
      <c r="H361" s="7"/>
      <c r="I361" s="10">
        <v>-9</v>
      </c>
      <c r="K361" s="20"/>
      <c r="L361" s="20"/>
    </row>
    <row r="362" spans="1:12" hidden="1" x14ac:dyDescent="0.25">
      <c r="A362" s="9"/>
      <c r="B362" s="9"/>
      <c r="C362" s="9"/>
      <c r="D362" s="9"/>
      <c r="E362" s="9" t="s">
        <v>106</v>
      </c>
      <c r="F362" s="9" t="s">
        <v>107</v>
      </c>
      <c r="G362" s="7">
        <v>102.6</v>
      </c>
      <c r="H362" s="7"/>
      <c r="I362" s="10">
        <v>-102.6</v>
      </c>
      <c r="K362" s="20"/>
      <c r="L362" s="20"/>
    </row>
    <row r="363" spans="1:12" hidden="1" x14ac:dyDescent="0.25">
      <c r="A363" s="9"/>
      <c r="B363" s="9"/>
      <c r="C363" s="9"/>
      <c r="D363" s="9"/>
      <c r="E363" s="9" t="s">
        <v>108</v>
      </c>
      <c r="F363" s="9" t="s">
        <v>109</v>
      </c>
      <c r="G363" s="7">
        <v>81</v>
      </c>
      <c r="H363" s="7"/>
      <c r="I363" s="10">
        <v>-81</v>
      </c>
      <c r="K363" s="20"/>
      <c r="L363" s="20"/>
    </row>
    <row r="364" spans="1:12" hidden="1" x14ac:dyDescent="0.25">
      <c r="A364" s="9"/>
      <c r="B364" s="9"/>
      <c r="C364" s="9"/>
      <c r="D364" s="9"/>
      <c r="E364" s="9" t="s">
        <v>114</v>
      </c>
      <c r="F364" s="9" t="s">
        <v>115</v>
      </c>
      <c r="G364" s="7">
        <v>16.2</v>
      </c>
      <c r="H364" s="7"/>
      <c r="I364" s="10">
        <v>-16.2</v>
      </c>
      <c r="K364" s="20"/>
      <c r="L364" s="20"/>
    </row>
    <row r="365" spans="1:12" hidden="1" x14ac:dyDescent="0.25">
      <c r="A365" s="9"/>
      <c r="B365" s="9"/>
      <c r="C365" s="9"/>
      <c r="D365" s="9"/>
      <c r="E365" s="9" t="s">
        <v>63</v>
      </c>
      <c r="F365" s="9" t="s">
        <v>64</v>
      </c>
      <c r="G365" s="7">
        <v>34.32</v>
      </c>
      <c r="H365" s="7">
        <v>34.32</v>
      </c>
      <c r="I365" s="10"/>
      <c r="K365" s="20"/>
      <c r="L365" s="20"/>
    </row>
    <row r="366" spans="1:12" hidden="1" x14ac:dyDescent="0.25">
      <c r="A366" s="9"/>
      <c r="B366" s="9"/>
      <c r="C366" s="9"/>
      <c r="D366" s="9"/>
      <c r="E366" s="9" t="s">
        <v>61</v>
      </c>
      <c r="F366" s="9" t="s">
        <v>62</v>
      </c>
      <c r="G366" s="7">
        <v>47.6</v>
      </c>
      <c r="H366" s="7">
        <v>47.6</v>
      </c>
      <c r="I366" s="10"/>
      <c r="K366" s="20"/>
      <c r="L366" s="20"/>
    </row>
    <row r="367" spans="1:12" hidden="1" x14ac:dyDescent="0.25">
      <c r="A367" s="9"/>
      <c r="B367" s="9"/>
      <c r="C367" s="9"/>
      <c r="D367" s="9"/>
      <c r="E367" s="9" t="s">
        <v>157</v>
      </c>
      <c r="F367" s="9" t="s">
        <v>158</v>
      </c>
      <c r="G367" s="7">
        <v>14.7</v>
      </c>
      <c r="H367" s="7">
        <v>14.7</v>
      </c>
      <c r="I367" s="10"/>
      <c r="K367" s="20"/>
      <c r="L367" s="20"/>
    </row>
    <row r="368" spans="1:12" hidden="1" x14ac:dyDescent="0.25">
      <c r="A368" s="9"/>
      <c r="B368" s="9"/>
      <c r="C368" s="9"/>
      <c r="D368" s="9"/>
      <c r="E368" s="9" t="s">
        <v>159</v>
      </c>
      <c r="F368" s="9" t="s">
        <v>160</v>
      </c>
      <c r="G368" s="7">
        <v>4.2</v>
      </c>
      <c r="H368" s="7"/>
      <c r="I368" s="10">
        <v>-4.2</v>
      </c>
      <c r="K368" s="20"/>
      <c r="L368" s="20"/>
    </row>
    <row r="369" spans="1:12" hidden="1" x14ac:dyDescent="0.25">
      <c r="A369" s="9"/>
      <c r="B369" s="9"/>
      <c r="C369" s="9"/>
      <c r="D369" s="9"/>
      <c r="E369" s="9" t="s">
        <v>94</v>
      </c>
      <c r="F369" s="9" t="s">
        <v>95</v>
      </c>
      <c r="G369" s="7">
        <v>9.6</v>
      </c>
      <c r="H369" s="7">
        <v>9.6</v>
      </c>
      <c r="I369" s="10"/>
      <c r="K369" s="20"/>
      <c r="L369" s="20"/>
    </row>
    <row r="370" spans="1:12" hidden="1" x14ac:dyDescent="0.25">
      <c r="A370" s="9"/>
      <c r="B370" s="9"/>
      <c r="C370" s="9"/>
      <c r="D370" s="9"/>
      <c r="E370" s="9" t="s">
        <v>135</v>
      </c>
      <c r="F370" s="9" t="s">
        <v>136</v>
      </c>
      <c r="G370" s="7">
        <v>23.2</v>
      </c>
      <c r="H370" s="7">
        <v>23.2</v>
      </c>
      <c r="I370" s="10"/>
      <c r="K370" s="20"/>
      <c r="L370" s="20"/>
    </row>
    <row r="371" spans="1:12" hidden="1" x14ac:dyDescent="0.25">
      <c r="A371" s="9"/>
      <c r="B371" s="9"/>
      <c r="C371" s="9"/>
      <c r="D371" s="9"/>
      <c r="E371" s="9" t="s">
        <v>165</v>
      </c>
      <c r="F371" s="9" t="s">
        <v>166</v>
      </c>
      <c r="G371" s="7">
        <v>2010</v>
      </c>
      <c r="H371" s="7">
        <v>2010</v>
      </c>
      <c r="I371" s="10"/>
      <c r="K371" s="20"/>
      <c r="L371" s="20"/>
    </row>
    <row r="372" spans="1:12" hidden="1" x14ac:dyDescent="0.25">
      <c r="A372" s="9"/>
      <c r="B372" s="9"/>
      <c r="C372" s="9"/>
      <c r="D372" s="9"/>
      <c r="E372" s="9" t="s">
        <v>161</v>
      </c>
      <c r="F372" s="9" t="s">
        <v>162</v>
      </c>
      <c r="G372" s="7">
        <v>2550</v>
      </c>
      <c r="H372" s="7">
        <v>2550</v>
      </c>
      <c r="I372" s="10"/>
      <c r="K372" s="20"/>
      <c r="L372" s="20"/>
    </row>
    <row r="373" spans="1:12" hidden="1" x14ac:dyDescent="0.25">
      <c r="A373" s="9"/>
      <c r="B373" s="9"/>
      <c r="C373" s="9"/>
      <c r="D373" s="9"/>
      <c r="E373" s="9" t="s">
        <v>163</v>
      </c>
      <c r="F373" s="9" t="s">
        <v>164</v>
      </c>
      <c r="G373" s="7">
        <v>1575</v>
      </c>
      <c r="H373" s="7">
        <v>1575</v>
      </c>
      <c r="I373" s="10"/>
      <c r="K373" s="20"/>
      <c r="L373" s="20"/>
    </row>
    <row r="374" spans="1:12" hidden="1" x14ac:dyDescent="0.25">
      <c r="A374" s="9"/>
      <c r="B374" s="9"/>
      <c r="C374" s="9"/>
      <c r="D374" s="9"/>
      <c r="E374" s="9" t="s">
        <v>91</v>
      </c>
      <c r="F374" s="9" t="s">
        <v>92</v>
      </c>
      <c r="G374" s="7">
        <v>18</v>
      </c>
      <c r="H374" s="7"/>
      <c r="I374" s="10">
        <v>-18</v>
      </c>
      <c r="K374" s="20"/>
      <c r="L374" s="20"/>
    </row>
    <row r="375" spans="1:12" hidden="1" x14ac:dyDescent="0.25">
      <c r="A375" s="9"/>
      <c r="B375" s="9"/>
      <c r="C375" s="9"/>
      <c r="D375" s="9"/>
      <c r="E375" s="9" t="s">
        <v>98</v>
      </c>
      <c r="F375" s="9" t="s">
        <v>99</v>
      </c>
      <c r="G375" s="7">
        <v>3.78</v>
      </c>
      <c r="H375" s="7">
        <v>3.78</v>
      </c>
      <c r="I375" s="10"/>
      <c r="K375" s="20"/>
      <c r="L375" s="20"/>
    </row>
    <row r="376" spans="1:12" hidden="1" x14ac:dyDescent="0.25">
      <c r="A376" s="9"/>
      <c r="B376" s="9"/>
      <c r="C376" s="9"/>
      <c r="D376" s="9"/>
      <c r="E376" s="9" t="s">
        <v>100</v>
      </c>
      <c r="F376" s="9" t="s">
        <v>101</v>
      </c>
      <c r="G376" s="7">
        <v>2.52</v>
      </c>
      <c r="H376" s="7">
        <v>2.52</v>
      </c>
      <c r="I376" s="10"/>
      <c r="K376" s="20"/>
      <c r="L376" s="20"/>
    </row>
    <row r="377" spans="1:12" hidden="1" x14ac:dyDescent="0.25">
      <c r="A377" s="9"/>
      <c r="B377" s="9"/>
      <c r="C377" s="9"/>
      <c r="D377" s="9"/>
      <c r="E377" s="9" t="s">
        <v>137</v>
      </c>
      <c r="F377" s="9" t="s">
        <v>138</v>
      </c>
      <c r="G377" s="7">
        <v>5.4</v>
      </c>
      <c r="H377" s="7">
        <v>5.4</v>
      </c>
      <c r="I377" s="10"/>
      <c r="K377" s="20"/>
      <c r="L377" s="20"/>
    </row>
    <row r="378" spans="1:12" hidden="1" x14ac:dyDescent="0.25">
      <c r="A378" s="9"/>
      <c r="B378" s="9"/>
      <c r="C378" s="9"/>
      <c r="D378" s="9"/>
      <c r="E378" s="9" t="s">
        <v>87</v>
      </c>
      <c r="F378" s="9" t="s">
        <v>88</v>
      </c>
      <c r="G378" s="7">
        <v>3.2</v>
      </c>
      <c r="H378" s="7">
        <v>3.2</v>
      </c>
      <c r="I378" s="10"/>
      <c r="K378" s="20"/>
      <c r="L378" s="20"/>
    </row>
    <row r="379" spans="1:12" hidden="1" x14ac:dyDescent="0.25">
      <c r="A379" s="9"/>
      <c r="B379" s="9"/>
      <c r="C379" s="9"/>
      <c r="D379" s="9"/>
      <c r="E379" s="9" t="s">
        <v>76</v>
      </c>
      <c r="F379" s="9" t="s">
        <v>77</v>
      </c>
      <c r="G379" s="7">
        <v>40.32</v>
      </c>
      <c r="H379" s="7">
        <v>40.32</v>
      </c>
      <c r="I379" s="10"/>
      <c r="K379" s="20"/>
      <c r="L379" s="20"/>
    </row>
    <row r="380" spans="1:12" hidden="1" x14ac:dyDescent="0.25">
      <c r="A380" s="9"/>
      <c r="B380" s="9"/>
      <c r="C380" s="9"/>
      <c r="D380" s="9"/>
      <c r="E380" s="9" t="s">
        <v>65</v>
      </c>
      <c r="F380" s="9" t="s">
        <v>66</v>
      </c>
      <c r="G380" s="7">
        <v>150.5</v>
      </c>
      <c r="H380" s="7"/>
      <c r="I380" s="10">
        <v>-150.5</v>
      </c>
      <c r="K380" s="20"/>
      <c r="L380" s="20"/>
    </row>
    <row r="381" spans="1:12" hidden="1" x14ac:dyDescent="0.25">
      <c r="A381" s="9"/>
      <c r="B381" s="9"/>
      <c r="C381" s="9"/>
      <c r="D381" s="9"/>
      <c r="E381" s="9" t="s">
        <v>81</v>
      </c>
      <c r="F381" s="9" t="s">
        <v>82</v>
      </c>
      <c r="G381" s="7">
        <v>42</v>
      </c>
      <c r="H381" s="7">
        <v>42</v>
      </c>
      <c r="I381" s="10"/>
      <c r="K381" s="20"/>
      <c r="L381" s="20"/>
    </row>
    <row r="382" spans="1:12" hidden="1" x14ac:dyDescent="0.25">
      <c r="A382" s="9"/>
      <c r="B382" s="9"/>
      <c r="C382" s="9"/>
      <c r="D382" s="9"/>
      <c r="E382" s="9" t="s">
        <v>74</v>
      </c>
      <c r="F382" s="9" t="s">
        <v>75</v>
      </c>
      <c r="G382" s="7">
        <v>101.5</v>
      </c>
      <c r="H382" s="7"/>
      <c r="I382" s="10">
        <v>-101.5</v>
      </c>
      <c r="K382" s="20"/>
      <c r="L382" s="20"/>
    </row>
    <row r="383" spans="1:12" hidden="1" x14ac:dyDescent="0.25">
      <c r="A383" s="9"/>
      <c r="B383" s="9"/>
      <c r="C383" s="9"/>
      <c r="D383" s="9"/>
      <c r="E383" s="9" t="s">
        <v>78</v>
      </c>
      <c r="F383" s="9" t="s">
        <v>79</v>
      </c>
      <c r="G383" s="7">
        <v>42</v>
      </c>
      <c r="H383" s="7"/>
      <c r="I383" s="10">
        <v>-42</v>
      </c>
      <c r="K383" s="20"/>
      <c r="L383" s="20"/>
    </row>
    <row r="384" spans="1:12" hidden="1" x14ac:dyDescent="0.25">
      <c r="A384" s="9"/>
      <c r="B384" s="9"/>
      <c r="C384" s="9"/>
      <c r="D384" s="9"/>
      <c r="E384" s="9" t="s">
        <v>70</v>
      </c>
      <c r="F384" s="9" t="s">
        <v>71</v>
      </c>
      <c r="G384" s="7">
        <v>21</v>
      </c>
      <c r="H384" s="7"/>
      <c r="I384" s="10">
        <v>-21</v>
      </c>
      <c r="K384" s="20"/>
      <c r="L384" s="20"/>
    </row>
    <row r="385" spans="1:12" hidden="1" x14ac:dyDescent="0.25">
      <c r="A385" s="9"/>
      <c r="B385" s="9"/>
      <c r="C385" s="9"/>
      <c r="D385" s="9"/>
      <c r="E385" s="9" t="s">
        <v>141</v>
      </c>
      <c r="F385" s="9" t="s">
        <v>142</v>
      </c>
      <c r="G385" s="7">
        <v>210.6</v>
      </c>
      <c r="H385" s="7">
        <v>210.6</v>
      </c>
      <c r="I385" s="10"/>
      <c r="K385" s="20"/>
      <c r="L385" s="20"/>
    </row>
    <row r="386" spans="1:12" hidden="1" x14ac:dyDescent="0.25">
      <c r="A386" s="9"/>
      <c r="B386" s="9"/>
      <c r="C386" s="9"/>
      <c r="D386" s="9"/>
      <c r="E386" s="9" t="s">
        <v>143</v>
      </c>
      <c r="F386" s="9" t="s">
        <v>144</v>
      </c>
      <c r="G386" s="7">
        <v>54.6</v>
      </c>
      <c r="H386" s="7">
        <v>54.6</v>
      </c>
      <c r="I386" s="10"/>
      <c r="K386" s="20"/>
      <c r="L386" s="20"/>
    </row>
    <row r="387" spans="1:12" hidden="1" x14ac:dyDescent="0.25">
      <c r="A387" s="9"/>
      <c r="B387" s="9"/>
      <c r="C387" s="9"/>
      <c r="D387" s="9"/>
      <c r="E387" s="9" t="s">
        <v>155</v>
      </c>
      <c r="F387" s="9" t="s">
        <v>156</v>
      </c>
      <c r="G387" s="7">
        <v>75</v>
      </c>
      <c r="H387" s="7">
        <v>75</v>
      </c>
      <c r="I387" s="10"/>
      <c r="K387" s="20"/>
      <c r="L387" s="20"/>
    </row>
    <row r="388" spans="1:12" hidden="1" x14ac:dyDescent="0.25">
      <c r="A388" s="9"/>
      <c r="B388" s="9"/>
      <c r="C388" s="9"/>
      <c r="D388" s="9"/>
      <c r="E388" s="9" t="s">
        <v>167</v>
      </c>
      <c r="F388" s="9" t="s">
        <v>168</v>
      </c>
      <c r="G388" s="7">
        <v>705</v>
      </c>
      <c r="H388" s="7">
        <v>705</v>
      </c>
      <c r="I388" s="10"/>
      <c r="K388" s="20"/>
      <c r="L388" s="20"/>
    </row>
    <row r="389" spans="1:12" x14ac:dyDescent="0.25">
      <c r="A389" s="9"/>
      <c r="B389" s="9"/>
      <c r="C389" s="12" t="s">
        <v>268</v>
      </c>
      <c r="D389" s="12" t="s">
        <v>269</v>
      </c>
      <c r="E389" s="12" t="s">
        <v>53</v>
      </c>
      <c r="F389" s="12" t="s">
        <v>54</v>
      </c>
      <c r="G389" s="13">
        <v>205.2</v>
      </c>
      <c r="H389" s="13">
        <v>205.2</v>
      </c>
      <c r="I389" s="14"/>
      <c r="J389" s="15">
        <f>GETPIVOTDATA("Сумма по полю Урезание",$A$3,"Заказ на продажу","TSO001121014","Запрошенная дата отгрузки",DATE(2026,9,14),"Внешний номер заказа","6311970","Внешний код клиента","НВМелСемен","Код единицы продаж","SU001718","Наименование для бланков","Сосиски «Вязанка Молочные» Фикс.вес 0,45 п/а ТМ «Вязанка»")</f>
        <v>0</v>
      </c>
      <c r="K389" s="20" t="s">
        <v>336</v>
      </c>
      <c r="L389" s="20">
        <v>12.09</v>
      </c>
    </row>
    <row r="390" spans="1:12" x14ac:dyDescent="0.25">
      <c r="A390" s="9"/>
      <c r="B390" s="9"/>
      <c r="C390" s="12" t="s">
        <v>271</v>
      </c>
      <c r="D390" s="12" t="s">
        <v>272</v>
      </c>
      <c r="E390" s="12" t="s">
        <v>169</v>
      </c>
      <c r="F390" s="12" t="s">
        <v>170</v>
      </c>
      <c r="G390" s="13">
        <v>1230</v>
      </c>
      <c r="H390" s="13">
        <v>1230</v>
      </c>
      <c r="I390" s="14"/>
      <c r="J390" s="15">
        <f>SUM(I390:I472)</f>
        <v>-455.73999999999995</v>
      </c>
      <c r="K390" s="20" t="s">
        <v>336</v>
      </c>
      <c r="L390" s="20">
        <v>14.09</v>
      </c>
    </row>
    <row r="391" spans="1:12" hidden="1" x14ac:dyDescent="0.25">
      <c r="A391" s="9"/>
      <c r="B391" s="9"/>
      <c r="C391" s="9"/>
      <c r="D391" s="9"/>
      <c r="E391" s="9" t="s">
        <v>277</v>
      </c>
      <c r="F391" s="9" t="s">
        <v>278</v>
      </c>
      <c r="G391" s="7">
        <v>18</v>
      </c>
      <c r="H391" s="7">
        <v>18</v>
      </c>
      <c r="I391" s="10"/>
    </row>
    <row r="392" spans="1:12" hidden="1" x14ac:dyDescent="0.25">
      <c r="A392" s="9"/>
      <c r="B392" s="9"/>
      <c r="C392" s="9"/>
      <c r="D392" s="9"/>
      <c r="E392" s="9" t="s">
        <v>195</v>
      </c>
      <c r="F392" s="9" t="s">
        <v>196</v>
      </c>
      <c r="G392" s="7">
        <v>54</v>
      </c>
      <c r="H392" s="7">
        <v>54</v>
      </c>
      <c r="I392" s="10"/>
    </row>
    <row r="393" spans="1:12" hidden="1" x14ac:dyDescent="0.25">
      <c r="A393" s="9"/>
      <c r="B393" s="9"/>
      <c r="C393" s="9"/>
      <c r="D393" s="9"/>
      <c r="E393" s="9" t="s">
        <v>149</v>
      </c>
      <c r="F393" s="9" t="s">
        <v>150</v>
      </c>
      <c r="G393" s="7">
        <v>58.8</v>
      </c>
      <c r="H393" s="7">
        <v>58.8</v>
      </c>
      <c r="I393" s="10"/>
    </row>
    <row r="394" spans="1:12" hidden="1" x14ac:dyDescent="0.25">
      <c r="A394" s="9"/>
      <c r="B394" s="9"/>
      <c r="C394" s="9"/>
      <c r="D394" s="9"/>
      <c r="E394" s="9" t="s">
        <v>53</v>
      </c>
      <c r="F394" s="9" t="s">
        <v>54</v>
      </c>
      <c r="G394" s="7">
        <v>91.8</v>
      </c>
      <c r="H394" s="7">
        <v>91.8</v>
      </c>
      <c r="I394" s="10"/>
    </row>
    <row r="395" spans="1:12" hidden="1" x14ac:dyDescent="0.25">
      <c r="A395" s="9"/>
      <c r="B395" s="9"/>
      <c r="C395" s="9"/>
      <c r="D395" s="9"/>
      <c r="E395" s="9" t="s">
        <v>57</v>
      </c>
      <c r="F395" s="9" t="s">
        <v>58</v>
      </c>
      <c r="G395" s="7">
        <v>113.4</v>
      </c>
      <c r="H395" s="7">
        <v>113.4</v>
      </c>
      <c r="I395" s="10"/>
    </row>
    <row r="396" spans="1:12" hidden="1" x14ac:dyDescent="0.25">
      <c r="A396" s="9"/>
      <c r="B396" s="9"/>
      <c r="C396" s="9"/>
      <c r="D396" s="9"/>
      <c r="E396" s="9" t="s">
        <v>260</v>
      </c>
      <c r="F396" s="9" t="s">
        <v>261</v>
      </c>
      <c r="G396" s="7">
        <v>15.3</v>
      </c>
      <c r="H396" s="7">
        <v>15.3</v>
      </c>
      <c r="I396" s="10"/>
    </row>
    <row r="397" spans="1:12" hidden="1" x14ac:dyDescent="0.25">
      <c r="A397" s="9"/>
      <c r="B397" s="9"/>
      <c r="C397" s="9"/>
      <c r="D397" s="9"/>
      <c r="E397" s="9" t="s">
        <v>185</v>
      </c>
      <c r="F397" s="9" t="s">
        <v>186</v>
      </c>
      <c r="G397" s="7">
        <v>95.04</v>
      </c>
      <c r="H397" s="7">
        <v>95.04</v>
      </c>
      <c r="I397" s="10"/>
    </row>
    <row r="398" spans="1:12" hidden="1" x14ac:dyDescent="0.25">
      <c r="A398" s="9"/>
      <c r="B398" s="9"/>
      <c r="C398" s="9"/>
      <c r="D398" s="9"/>
      <c r="E398" s="9" t="s">
        <v>179</v>
      </c>
      <c r="F398" s="9" t="s">
        <v>180</v>
      </c>
      <c r="G398" s="7">
        <v>52.8</v>
      </c>
      <c r="H398" s="7">
        <v>52.8</v>
      </c>
      <c r="I398" s="10"/>
    </row>
    <row r="399" spans="1:12" hidden="1" x14ac:dyDescent="0.25">
      <c r="A399" s="9"/>
      <c r="B399" s="9"/>
      <c r="C399" s="9"/>
      <c r="D399" s="9"/>
      <c r="E399" s="9" t="s">
        <v>187</v>
      </c>
      <c r="F399" s="9" t="s">
        <v>188</v>
      </c>
      <c r="G399" s="7">
        <v>153.12</v>
      </c>
      <c r="H399" s="7">
        <v>153.12</v>
      </c>
      <c r="I399" s="10"/>
    </row>
    <row r="400" spans="1:12" hidden="1" x14ac:dyDescent="0.25">
      <c r="A400" s="9"/>
      <c r="B400" s="9"/>
      <c r="C400" s="9"/>
      <c r="D400" s="9"/>
      <c r="E400" s="9" t="s">
        <v>173</v>
      </c>
      <c r="F400" s="9" t="s">
        <v>174</v>
      </c>
      <c r="G400" s="7">
        <v>801</v>
      </c>
      <c r="H400" s="7">
        <v>801</v>
      </c>
      <c r="I400" s="10"/>
    </row>
    <row r="401" spans="1:9" hidden="1" x14ac:dyDescent="0.25">
      <c r="A401" s="9"/>
      <c r="B401" s="9"/>
      <c r="C401" s="9"/>
      <c r="D401" s="9"/>
      <c r="E401" s="9" t="s">
        <v>189</v>
      </c>
      <c r="F401" s="9" t="s">
        <v>190</v>
      </c>
      <c r="G401" s="7">
        <v>31.68</v>
      </c>
      <c r="H401" s="7">
        <v>31.68</v>
      </c>
      <c r="I401" s="10"/>
    </row>
    <row r="402" spans="1:9" hidden="1" x14ac:dyDescent="0.25">
      <c r="A402" s="9"/>
      <c r="B402" s="9"/>
      <c r="C402" s="9"/>
      <c r="D402" s="9"/>
      <c r="E402" s="9" t="s">
        <v>220</v>
      </c>
      <c r="F402" s="9" t="s">
        <v>221</v>
      </c>
      <c r="G402" s="7">
        <v>253.44</v>
      </c>
      <c r="H402" s="7">
        <v>253.44</v>
      </c>
      <c r="I402" s="10"/>
    </row>
    <row r="403" spans="1:9" hidden="1" x14ac:dyDescent="0.25">
      <c r="A403" s="9"/>
      <c r="B403" s="9"/>
      <c r="C403" s="9"/>
      <c r="D403" s="9"/>
      <c r="E403" s="9" t="s">
        <v>175</v>
      </c>
      <c r="F403" s="9" t="s">
        <v>176</v>
      </c>
      <c r="G403" s="7">
        <v>9.6</v>
      </c>
      <c r="H403" s="7"/>
      <c r="I403" s="10">
        <v>-9.6</v>
      </c>
    </row>
    <row r="404" spans="1:9" hidden="1" x14ac:dyDescent="0.25">
      <c r="A404" s="9"/>
      <c r="B404" s="9"/>
      <c r="C404" s="9"/>
      <c r="D404" s="9"/>
      <c r="E404" s="9" t="s">
        <v>145</v>
      </c>
      <c r="F404" s="9" t="s">
        <v>146</v>
      </c>
      <c r="G404" s="7">
        <v>3.6</v>
      </c>
      <c r="H404" s="7">
        <v>3.6</v>
      </c>
      <c r="I404" s="10"/>
    </row>
    <row r="405" spans="1:9" hidden="1" x14ac:dyDescent="0.25">
      <c r="A405" s="9"/>
      <c r="B405" s="9"/>
      <c r="C405" s="9"/>
      <c r="D405" s="9"/>
      <c r="E405" s="9" t="s">
        <v>59</v>
      </c>
      <c r="F405" s="9" t="s">
        <v>60</v>
      </c>
      <c r="G405" s="7">
        <v>29.7</v>
      </c>
      <c r="H405" s="7">
        <v>29.7</v>
      </c>
      <c r="I405" s="10"/>
    </row>
    <row r="406" spans="1:9" hidden="1" x14ac:dyDescent="0.25">
      <c r="A406" s="9"/>
      <c r="B406" s="9"/>
      <c r="C406" s="9"/>
      <c r="D406" s="9"/>
      <c r="E406" s="9" t="s">
        <v>153</v>
      </c>
      <c r="F406" s="9" t="s">
        <v>154</v>
      </c>
      <c r="G406" s="7">
        <v>22</v>
      </c>
      <c r="H406" s="7">
        <v>22</v>
      </c>
      <c r="I406" s="10"/>
    </row>
    <row r="407" spans="1:9" hidden="1" x14ac:dyDescent="0.25">
      <c r="A407" s="9"/>
      <c r="B407" s="9"/>
      <c r="C407" s="9"/>
      <c r="D407" s="9"/>
      <c r="E407" s="9" t="s">
        <v>266</v>
      </c>
      <c r="F407" s="9" t="s">
        <v>267</v>
      </c>
      <c r="G407" s="7">
        <v>86.4</v>
      </c>
      <c r="H407" s="7">
        <v>86.4</v>
      </c>
      <c r="I407" s="10"/>
    </row>
    <row r="408" spans="1:9" hidden="1" x14ac:dyDescent="0.25">
      <c r="A408" s="9"/>
      <c r="B408" s="9"/>
      <c r="C408" s="9"/>
      <c r="D408" s="9"/>
      <c r="E408" s="9" t="s">
        <v>177</v>
      </c>
      <c r="F408" s="9" t="s">
        <v>178</v>
      </c>
      <c r="G408" s="7">
        <v>37.799999999999997</v>
      </c>
      <c r="H408" s="7"/>
      <c r="I408" s="10">
        <v>-37.799999999999997</v>
      </c>
    </row>
    <row r="409" spans="1:9" hidden="1" x14ac:dyDescent="0.25">
      <c r="A409" s="9"/>
      <c r="B409" s="9"/>
      <c r="C409" s="9"/>
      <c r="D409" s="9"/>
      <c r="E409" s="9" t="s">
        <v>122</v>
      </c>
      <c r="F409" s="9" t="s">
        <v>123</v>
      </c>
      <c r="G409" s="7">
        <v>81.599999999999994</v>
      </c>
      <c r="H409" s="7">
        <v>81.599999999999994</v>
      </c>
      <c r="I409" s="10"/>
    </row>
    <row r="410" spans="1:9" hidden="1" x14ac:dyDescent="0.25">
      <c r="A410" s="9"/>
      <c r="B410" s="9"/>
      <c r="C410" s="9"/>
      <c r="D410" s="9"/>
      <c r="E410" s="9" t="s">
        <v>124</v>
      </c>
      <c r="F410" s="9" t="s">
        <v>125</v>
      </c>
      <c r="G410" s="7">
        <v>24</v>
      </c>
      <c r="H410" s="7">
        <v>24</v>
      </c>
      <c r="I410" s="10"/>
    </row>
    <row r="411" spans="1:9" hidden="1" x14ac:dyDescent="0.25">
      <c r="A411" s="9"/>
      <c r="B411" s="9"/>
      <c r="C411" s="9"/>
      <c r="D411" s="9"/>
      <c r="E411" s="9" t="s">
        <v>183</v>
      </c>
      <c r="F411" s="9" t="s">
        <v>184</v>
      </c>
      <c r="G411" s="7">
        <v>63.36</v>
      </c>
      <c r="H411" s="7">
        <v>63.36</v>
      </c>
      <c r="I411" s="10"/>
    </row>
    <row r="412" spans="1:9" hidden="1" x14ac:dyDescent="0.25">
      <c r="A412" s="9"/>
      <c r="B412" s="9"/>
      <c r="C412" s="9"/>
      <c r="D412" s="9"/>
      <c r="E412" s="9" t="s">
        <v>193</v>
      </c>
      <c r="F412" s="9" t="s">
        <v>194</v>
      </c>
      <c r="G412" s="7">
        <v>36</v>
      </c>
      <c r="H412" s="7"/>
      <c r="I412" s="10">
        <v>-36</v>
      </c>
    </row>
    <row r="413" spans="1:9" hidden="1" x14ac:dyDescent="0.25">
      <c r="A413" s="9"/>
      <c r="B413" s="9"/>
      <c r="C413" s="9"/>
      <c r="D413" s="9"/>
      <c r="E413" s="9" t="s">
        <v>89</v>
      </c>
      <c r="F413" s="9" t="s">
        <v>90</v>
      </c>
      <c r="G413" s="7">
        <v>8.4</v>
      </c>
      <c r="H413" s="7">
        <v>8.4</v>
      </c>
      <c r="I413" s="10"/>
    </row>
    <row r="414" spans="1:9" hidden="1" x14ac:dyDescent="0.25">
      <c r="A414" s="9"/>
      <c r="B414" s="9"/>
      <c r="C414" s="9"/>
      <c r="D414" s="9"/>
      <c r="E414" s="9" t="s">
        <v>126</v>
      </c>
      <c r="F414" s="9" t="s">
        <v>127</v>
      </c>
      <c r="G414" s="7">
        <v>60</v>
      </c>
      <c r="H414" s="7">
        <v>60</v>
      </c>
      <c r="I414" s="10"/>
    </row>
    <row r="415" spans="1:9" hidden="1" x14ac:dyDescent="0.25">
      <c r="A415" s="9"/>
      <c r="B415" s="9"/>
      <c r="C415" s="9"/>
      <c r="D415" s="9"/>
      <c r="E415" s="9" t="s">
        <v>120</v>
      </c>
      <c r="F415" s="9" t="s">
        <v>121</v>
      </c>
      <c r="G415" s="7">
        <v>26.1</v>
      </c>
      <c r="H415" s="7">
        <v>26.1</v>
      </c>
      <c r="I415" s="10"/>
    </row>
    <row r="416" spans="1:9" hidden="1" x14ac:dyDescent="0.25">
      <c r="A416" s="9"/>
      <c r="B416" s="9"/>
      <c r="C416" s="9"/>
      <c r="D416" s="9"/>
      <c r="E416" s="9" t="s">
        <v>83</v>
      </c>
      <c r="F416" s="9" t="s">
        <v>84</v>
      </c>
      <c r="G416" s="7">
        <v>21</v>
      </c>
      <c r="H416" s="7">
        <v>21</v>
      </c>
      <c r="I416" s="10"/>
    </row>
    <row r="417" spans="1:9" hidden="1" x14ac:dyDescent="0.25">
      <c r="A417" s="9"/>
      <c r="B417" s="9"/>
      <c r="C417" s="9"/>
      <c r="D417" s="9"/>
      <c r="E417" s="9" t="s">
        <v>132</v>
      </c>
      <c r="F417" s="9" t="s">
        <v>133</v>
      </c>
      <c r="G417" s="7">
        <v>21.6</v>
      </c>
      <c r="H417" s="7">
        <v>21.6</v>
      </c>
      <c r="I417" s="10"/>
    </row>
    <row r="418" spans="1:9" hidden="1" x14ac:dyDescent="0.25">
      <c r="A418" s="9"/>
      <c r="B418" s="9"/>
      <c r="C418" s="9"/>
      <c r="D418" s="9"/>
      <c r="E418" s="9" t="s">
        <v>130</v>
      </c>
      <c r="F418" s="9" t="s">
        <v>131</v>
      </c>
      <c r="G418" s="7">
        <v>48</v>
      </c>
      <c r="H418" s="7">
        <v>48</v>
      </c>
      <c r="I418" s="10"/>
    </row>
    <row r="419" spans="1:9" hidden="1" x14ac:dyDescent="0.25">
      <c r="A419" s="9"/>
      <c r="B419" s="9"/>
      <c r="C419" s="9"/>
      <c r="D419" s="9"/>
      <c r="E419" s="9" t="s">
        <v>214</v>
      </c>
      <c r="F419" s="9" t="s">
        <v>215</v>
      </c>
      <c r="G419" s="7">
        <v>26.4</v>
      </c>
      <c r="H419" s="7">
        <v>26.4</v>
      </c>
      <c r="I419" s="10"/>
    </row>
    <row r="420" spans="1:9" hidden="1" x14ac:dyDescent="0.25">
      <c r="A420" s="9"/>
      <c r="B420" s="9"/>
      <c r="C420" s="9"/>
      <c r="D420" s="9"/>
      <c r="E420" s="9" t="s">
        <v>139</v>
      </c>
      <c r="F420" s="9" t="s">
        <v>140</v>
      </c>
      <c r="G420" s="7">
        <v>48</v>
      </c>
      <c r="H420" s="7">
        <v>48</v>
      </c>
      <c r="I420" s="10"/>
    </row>
    <row r="421" spans="1:9" hidden="1" x14ac:dyDescent="0.25">
      <c r="A421" s="9"/>
      <c r="B421" s="9"/>
      <c r="C421" s="9"/>
      <c r="D421" s="9"/>
      <c r="E421" s="9" t="s">
        <v>256</v>
      </c>
      <c r="F421" s="9" t="s">
        <v>257</v>
      </c>
      <c r="G421" s="7">
        <v>4.5</v>
      </c>
      <c r="H421" s="7">
        <v>4.5</v>
      </c>
      <c r="I421" s="10"/>
    </row>
    <row r="422" spans="1:9" hidden="1" x14ac:dyDescent="0.25">
      <c r="A422" s="9"/>
      <c r="B422" s="9"/>
      <c r="C422" s="9"/>
      <c r="D422" s="9"/>
      <c r="E422" s="9" t="s">
        <v>49</v>
      </c>
      <c r="F422" s="9" t="s">
        <v>50</v>
      </c>
      <c r="G422" s="7">
        <v>54</v>
      </c>
      <c r="H422" s="7">
        <v>54</v>
      </c>
      <c r="I422" s="10"/>
    </row>
    <row r="423" spans="1:9" hidden="1" x14ac:dyDescent="0.25">
      <c r="A423" s="9"/>
      <c r="B423" s="9"/>
      <c r="C423" s="9"/>
      <c r="D423" s="9"/>
      <c r="E423" s="9" t="s">
        <v>45</v>
      </c>
      <c r="F423" s="9" t="s">
        <v>46</v>
      </c>
      <c r="G423" s="7">
        <v>12</v>
      </c>
      <c r="H423" s="7">
        <v>12</v>
      </c>
      <c r="I423" s="10"/>
    </row>
    <row r="424" spans="1:9" hidden="1" x14ac:dyDescent="0.25">
      <c r="A424" s="9"/>
      <c r="B424" s="9"/>
      <c r="C424" s="9"/>
      <c r="D424" s="9"/>
      <c r="E424" s="9" t="s">
        <v>47</v>
      </c>
      <c r="F424" s="9" t="s">
        <v>48</v>
      </c>
      <c r="G424" s="7">
        <v>507</v>
      </c>
      <c r="H424" s="7">
        <v>507</v>
      </c>
      <c r="I424" s="10"/>
    </row>
    <row r="425" spans="1:9" hidden="1" x14ac:dyDescent="0.25">
      <c r="A425" s="9"/>
      <c r="B425" s="9"/>
      <c r="C425" s="9"/>
      <c r="D425" s="9"/>
      <c r="E425" s="9" t="s">
        <v>151</v>
      </c>
      <c r="F425" s="9" t="s">
        <v>152</v>
      </c>
      <c r="G425" s="7">
        <v>30</v>
      </c>
      <c r="H425" s="7">
        <v>30</v>
      </c>
      <c r="I425" s="10"/>
    </row>
    <row r="426" spans="1:9" hidden="1" x14ac:dyDescent="0.25">
      <c r="A426" s="9"/>
      <c r="B426" s="9"/>
      <c r="C426" s="9"/>
      <c r="D426" s="9"/>
      <c r="E426" s="9" t="s">
        <v>250</v>
      </c>
      <c r="F426" s="9" t="s">
        <v>251</v>
      </c>
      <c r="G426" s="7">
        <v>30</v>
      </c>
      <c r="H426" s="7">
        <v>30</v>
      </c>
      <c r="I426" s="10"/>
    </row>
    <row r="427" spans="1:9" hidden="1" x14ac:dyDescent="0.25">
      <c r="A427" s="9"/>
      <c r="B427" s="9"/>
      <c r="C427" s="9"/>
      <c r="D427" s="9"/>
      <c r="E427" s="9" t="s">
        <v>212</v>
      </c>
      <c r="F427" s="9" t="s">
        <v>213</v>
      </c>
      <c r="G427" s="7">
        <v>100.8</v>
      </c>
      <c r="H427" s="7">
        <v>100.8</v>
      </c>
      <c r="I427" s="10"/>
    </row>
    <row r="428" spans="1:9" hidden="1" x14ac:dyDescent="0.25">
      <c r="A428" s="9"/>
      <c r="B428" s="9"/>
      <c r="C428" s="9"/>
      <c r="D428" s="9"/>
      <c r="E428" s="9" t="s">
        <v>116</v>
      </c>
      <c r="F428" s="9" t="s">
        <v>117</v>
      </c>
      <c r="G428" s="7">
        <v>24.3</v>
      </c>
      <c r="H428" s="7">
        <v>24.3</v>
      </c>
      <c r="I428" s="10"/>
    </row>
    <row r="429" spans="1:9" hidden="1" x14ac:dyDescent="0.25">
      <c r="A429" s="9"/>
      <c r="B429" s="9"/>
      <c r="C429" s="9"/>
      <c r="D429" s="9"/>
      <c r="E429" s="9" t="s">
        <v>128</v>
      </c>
      <c r="F429" s="9" t="s">
        <v>129</v>
      </c>
      <c r="G429" s="7">
        <v>69.599999999999994</v>
      </c>
      <c r="H429" s="7">
        <v>69.599999999999994</v>
      </c>
      <c r="I429" s="10"/>
    </row>
    <row r="430" spans="1:9" hidden="1" x14ac:dyDescent="0.25">
      <c r="A430" s="9"/>
      <c r="B430" s="9"/>
      <c r="C430" s="9"/>
      <c r="D430" s="9"/>
      <c r="E430" s="9" t="s">
        <v>118</v>
      </c>
      <c r="F430" s="9" t="s">
        <v>119</v>
      </c>
      <c r="G430" s="7">
        <v>243</v>
      </c>
      <c r="H430" s="7">
        <v>243</v>
      </c>
      <c r="I430" s="10"/>
    </row>
    <row r="431" spans="1:9" hidden="1" x14ac:dyDescent="0.25">
      <c r="A431" s="9"/>
      <c r="B431" s="9"/>
      <c r="C431" s="9"/>
      <c r="D431" s="9"/>
      <c r="E431" s="9" t="s">
        <v>85</v>
      </c>
      <c r="F431" s="9" t="s">
        <v>86</v>
      </c>
      <c r="G431" s="7">
        <v>42</v>
      </c>
      <c r="H431" s="7">
        <v>42</v>
      </c>
      <c r="I431" s="10"/>
    </row>
    <row r="432" spans="1:9" hidden="1" x14ac:dyDescent="0.25">
      <c r="A432" s="9"/>
      <c r="B432" s="9"/>
      <c r="C432" s="9"/>
      <c r="D432" s="9"/>
      <c r="E432" s="9" t="s">
        <v>96</v>
      </c>
      <c r="F432" s="9" t="s">
        <v>97</v>
      </c>
      <c r="G432" s="7">
        <v>60.9</v>
      </c>
      <c r="H432" s="7"/>
      <c r="I432" s="10">
        <v>-60.9</v>
      </c>
    </row>
    <row r="433" spans="1:9" hidden="1" x14ac:dyDescent="0.25">
      <c r="A433" s="9"/>
      <c r="B433" s="9"/>
      <c r="C433" s="9"/>
      <c r="D433" s="9"/>
      <c r="E433" s="9" t="s">
        <v>191</v>
      </c>
      <c r="F433" s="9" t="s">
        <v>192</v>
      </c>
      <c r="G433" s="7">
        <v>19.2</v>
      </c>
      <c r="H433" s="7">
        <v>19.2</v>
      </c>
      <c r="I433" s="10"/>
    </row>
    <row r="434" spans="1:9" hidden="1" x14ac:dyDescent="0.25">
      <c r="A434" s="9"/>
      <c r="B434" s="9"/>
      <c r="C434" s="9"/>
      <c r="D434" s="9"/>
      <c r="E434" s="9" t="s">
        <v>205</v>
      </c>
      <c r="F434" s="9" t="s">
        <v>206</v>
      </c>
      <c r="G434" s="7">
        <v>108</v>
      </c>
      <c r="H434" s="7">
        <v>108</v>
      </c>
      <c r="I434" s="10"/>
    </row>
    <row r="435" spans="1:9" hidden="1" x14ac:dyDescent="0.25">
      <c r="A435" s="9"/>
      <c r="B435" s="9"/>
      <c r="C435" s="9"/>
      <c r="D435" s="9"/>
      <c r="E435" s="9" t="s">
        <v>112</v>
      </c>
      <c r="F435" s="9" t="s">
        <v>113</v>
      </c>
      <c r="G435" s="7">
        <v>9</v>
      </c>
      <c r="H435" s="7"/>
      <c r="I435" s="10">
        <v>-9</v>
      </c>
    </row>
    <row r="436" spans="1:9" hidden="1" x14ac:dyDescent="0.25">
      <c r="A436" s="9"/>
      <c r="B436" s="9"/>
      <c r="C436" s="9"/>
      <c r="D436" s="9"/>
      <c r="E436" s="9" t="s">
        <v>104</v>
      </c>
      <c r="F436" s="9" t="s">
        <v>105</v>
      </c>
      <c r="G436" s="7">
        <v>54</v>
      </c>
      <c r="H436" s="7"/>
      <c r="I436" s="10">
        <v>-54</v>
      </c>
    </row>
    <row r="437" spans="1:9" hidden="1" x14ac:dyDescent="0.25">
      <c r="A437" s="9"/>
      <c r="B437" s="9"/>
      <c r="C437" s="9"/>
      <c r="D437" s="9"/>
      <c r="E437" s="9" t="s">
        <v>110</v>
      </c>
      <c r="F437" s="9" t="s">
        <v>111</v>
      </c>
      <c r="G437" s="7">
        <v>9</v>
      </c>
      <c r="H437" s="7">
        <v>9</v>
      </c>
      <c r="I437" s="10"/>
    </row>
    <row r="438" spans="1:9" hidden="1" x14ac:dyDescent="0.25">
      <c r="A438" s="9"/>
      <c r="B438" s="9"/>
      <c r="C438" s="9"/>
      <c r="D438" s="9"/>
      <c r="E438" s="9" t="s">
        <v>106</v>
      </c>
      <c r="F438" s="9" t="s">
        <v>107</v>
      </c>
      <c r="G438" s="7">
        <v>81</v>
      </c>
      <c r="H438" s="7">
        <v>81</v>
      </c>
      <c r="I438" s="10"/>
    </row>
    <row r="439" spans="1:9" hidden="1" x14ac:dyDescent="0.25">
      <c r="A439" s="9"/>
      <c r="B439" s="9"/>
      <c r="C439" s="9"/>
      <c r="D439" s="9"/>
      <c r="E439" s="9" t="s">
        <v>108</v>
      </c>
      <c r="F439" s="9" t="s">
        <v>109</v>
      </c>
      <c r="G439" s="7">
        <v>21.6</v>
      </c>
      <c r="H439" s="7"/>
      <c r="I439" s="10">
        <v>-21.6</v>
      </c>
    </row>
    <row r="440" spans="1:9" hidden="1" x14ac:dyDescent="0.25">
      <c r="A440" s="9"/>
      <c r="B440" s="9"/>
      <c r="C440" s="9"/>
      <c r="D440" s="9"/>
      <c r="E440" s="9" t="s">
        <v>114</v>
      </c>
      <c r="F440" s="9" t="s">
        <v>115</v>
      </c>
      <c r="G440" s="7">
        <v>16.2</v>
      </c>
      <c r="H440" s="7">
        <v>16.2</v>
      </c>
      <c r="I440" s="10"/>
    </row>
    <row r="441" spans="1:9" hidden="1" x14ac:dyDescent="0.25">
      <c r="A441" s="9"/>
      <c r="B441" s="9"/>
      <c r="C441" s="9"/>
      <c r="D441" s="9"/>
      <c r="E441" s="9" t="s">
        <v>258</v>
      </c>
      <c r="F441" s="9" t="s">
        <v>259</v>
      </c>
      <c r="G441" s="7">
        <v>6.4</v>
      </c>
      <c r="H441" s="7">
        <v>6.4</v>
      </c>
      <c r="I441" s="10"/>
    </row>
    <row r="442" spans="1:9" hidden="1" x14ac:dyDescent="0.25">
      <c r="A442" s="9"/>
      <c r="B442" s="9"/>
      <c r="C442" s="9"/>
      <c r="D442" s="9"/>
      <c r="E442" s="9" t="s">
        <v>63</v>
      </c>
      <c r="F442" s="9" t="s">
        <v>64</v>
      </c>
      <c r="G442" s="7">
        <v>42.24</v>
      </c>
      <c r="H442" s="7"/>
      <c r="I442" s="10">
        <v>-42.24</v>
      </c>
    </row>
    <row r="443" spans="1:9" hidden="1" x14ac:dyDescent="0.25">
      <c r="A443" s="9"/>
      <c r="B443" s="9"/>
      <c r="C443" s="9"/>
      <c r="D443" s="9"/>
      <c r="E443" s="9" t="s">
        <v>61</v>
      </c>
      <c r="F443" s="9" t="s">
        <v>62</v>
      </c>
      <c r="G443" s="7">
        <v>5.6</v>
      </c>
      <c r="H443" s="7"/>
      <c r="I443" s="10">
        <v>-5.6</v>
      </c>
    </row>
    <row r="444" spans="1:9" hidden="1" x14ac:dyDescent="0.25">
      <c r="A444" s="9"/>
      <c r="B444" s="9"/>
      <c r="C444" s="9"/>
      <c r="D444" s="9"/>
      <c r="E444" s="9" t="s">
        <v>157</v>
      </c>
      <c r="F444" s="9" t="s">
        <v>158</v>
      </c>
      <c r="G444" s="7">
        <v>4.2</v>
      </c>
      <c r="H444" s="7">
        <v>4.2</v>
      </c>
      <c r="I444" s="10"/>
    </row>
    <row r="445" spans="1:9" hidden="1" x14ac:dyDescent="0.25">
      <c r="A445" s="9"/>
      <c r="B445" s="9"/>
      <c r="C445" s="9"/>
      <c r="D445" s="9"/>
      <c r="E445" s="9" t="s">
        <v>159</v>
      </c>
      <c r="F445" s="9" t="s">
        <v>160</v>
      </c>
      <c r="G445" s="7">
        <v>4.2</v>
      </c>
      <c r="H445" s="7"/>
      <c r="I445" s="10">
        <v>-4.2</v>
      </c>
    </row>
    <row r="446" spans="1:9" hidden="1" x14ac:dyDescent="0.25">
      <c r="A446" s="9"/>
      <c r="B446" s="9"/>
      <c r="C446" s="9"/>
      <c r="D446" s="9"/>
      <c r="E446" s="9" t="s">
        <v>94</v>
      </c>
      <c r="F446" s="9" t="s">
        <v>95</v>
      </c>
      <c r="G446" s="7">
        <v>8</v>
      </c>
      <c r="H446" s="7">
        <v>8</v>
      </c>
      <c r="I446" s="10"/>
    </row>
    <row r="447" spans="1:9" hidden="1" x14ac:dyDescent="0.25">
      <c r="A447" s="9"/>
      <c r="B447" s="9"/>
      <c r="C447" s="9"/>
      <c r="D447" s="9"/>
      <c r="E447" s="9" t="s">
        <v>135</v>
      </c>
      <c r="F447" s="9" t="s">
        <v>136</v>
      </c>
      <c r="G447" s="7">
        <v>23.2</v>
      </c>
      <c r="H447" s="7">
        <v>23.2</v>
      </c>
      <c r="I447" s="10"/>
    </row>
    <row r="448" spans="1:9" hidden="1" x14ac:dyDescent="0.25">
      <c r="A448" s="9"/>
      <c r="B448" s="9"/>
      <c r="C448" s="9"/>
      <c r="D448" s="9"/>
      <c r="E448" s="9" t="s">
        <v>165</v>
      </c>
      <c r="F448" s="9" t="s">
        <v>166</v>
      </c>
      <c r="G448" s="7">
        <v>765</v>
      </c>
      <c r="H448" s="7">
        <v>765</v>
      </c>
      <c r="I448" s="10"/>
    </row>
    <row r="449" spans="1:9" hidden="1" x14ac:dyDescent="0.25">
      <c r="A449" s="9"/>
      <c r="B449" s="9"/>
      <c r="C449" s="9"/>
      <c r="D449" s="9"/>
      <c r="E449" s="9" t="s">
        <v>161</v>
      </c>
      <c r="F449" s="9" t="s">
        <v>162</v>
      </c>
      <c r="G449" s="7">
        <v>1125</v>
      </c>
      <c r="H449" s="7">
        <v>1125</v>
      </c>
      <c r="I449" s="10"/>
    </row>
    <row r="450" spans="1:9" hidden="1" x14ac:dyDescent="0.25">
      <c r="A450" s="9"/>
      <c r="B450" s="9"/>
      <c r="C450" s="9"/>
      <c r="D450" s="9"/>
      <c r="E450" s="9" t="s">
        <v>163</v>
      </c>
      <c r="F450" s="9" t="s">
        <v>164</v>
      </c>
      <c r="G450" s="7">
        <v>135</v>
      </c>
      <c r="H450" s="7">
        <v>135</v>
      </c>
      <c r="I450" s="10"/>
    </row>
    <row r="451" spans="1:9" hidden="1" x14ac:dyDescent="0.25">
      <c r="A451" s="9"/>
      <c r="B451" s="9"/>
      <c r="C451" s="9"/>
      <c r="D451" s="9"/>
      <c r="E451" s="9" t="s">
        <v>228</v>
      </c>
      <c r="F451" s="9" t="s">
        <v>229</v>
      </c>
      <c r="G451" s="7">
        <v>33.6</v>
      </c>
      <c r="H451" s="7">
        <v>33.6</v>
      </c>
      <c r="I451" s="10"/>
    </row>
    <row r="452" spans="1:9" hidden="1" x14ac:dyDescent="0.25">
      <c r="A452" s="9"/>
      <c r="B452" s="9"/>
      <c r="C452" s="9"/>
      <c r="D452" s="9"/>
      <c r="E452" s="9" t="s">
        <v>222</v>
      </c>
      <c r="F452" s="9" t="s">
        <v>223</v>
      </c>
      <c r="G452" s="7">
        <v>14.4</v>
      </c>
      <c r="H452" s="7">
        <v>14.4</v>
      </c>
      <c r="I452" s="10"/>
    </row>
    <row r="453" spans="1:9" hidden="1" x14ac:dyDescent="0.25">
      <c r="A453" s="9"/>
      <c r="B453" s="9"/>
      <c r="C453" s="9"/>
      <c r="D453" s="9"/>
      <c r="E453" s="9" t="s">
        <v>275</v>
      </c>
      <c r="F453" s="9" t="s">
        <v>276</v>
      </c>
      <c r="G453" s="7">
        <v>15</v>
      </c>
      <c r="H453" s="7">
        <v>15</v>
      </c>
      <c r="I453" s="10"/>
    </row>
    <row r="454" spans="1:9" hidden="1" x14ac:dyDescent="0.25">
      <c r="A454" s="9"/>
      <c r="B454" s="9"/>
      <c r="C454" s="9"/>
      <c r="D454" s="9"/>
      <c r="E454" s="9" t="s">
        <v>240</v>
      </c>
      <c r="F454" s="9" t="s">
        <v>241</v>
      </c>
      <c r="G454" s="7">
        <v>6.3</v>
      </c>
      <c r="H454" s="7">
        <v>6.3</v>
      </c>
      <c r="I454" s="10"/>
    </row>
    <row r="455" spans="1:9" hidden="1" x14ac:dyDescent="0.25">
      <c r="A455" s="9"/>
      <c r="B455" s="9"/>
      <c r="C455" s="9"/>
      <c r="D455" s="9"/>
      <c r="E455" s="9" t="s">
        <v>91</v>
      </c>
      <c r="F455" s="9" t="s">
        <v>92</v>
      </c>
      <c r="G455" s="7">
        <v>18</v>
      </c>
      <c r="H455" s="7"/>
      <c r="I455" s="10">
        <v>-18</v>
      </c>
    </row>
    <row r="456" spans="1:9" hidden="1" x14ac:dyDescent="0.25">
      <c r="A456" s="9"/>
      <c r="B456" s="9"/>
      <c r="C456" s="9"/>
      <c r="D456" s="9"/>
      <c r="E456" s="9" t="s">
        <v>98</v>
      </c>
      <c r="F456" s="9" t="s">
        <v>99</v>
      </c>
      <c r="G456" s="7">
        <v>2.52</v>
      </c>
      <c r="H456" s="7"/>
      <c r="I456" s="10">
        <v>-2.52</v>
      </c>
    </row>
    <row r="457" spans="1:9" hidden="1" x14ac:dyDescent="0.25">
      <c r="A457" s="9"/>
      <c r="B457" s="9"/>
      <c r="C457" s="9"/>
      <c r="D457" s="9"/>
      <c r="E457" s="9" t="s">
        <v>100</v>
      </c>
      <c r="F457" s="9" t="s">
        <v>101</v>
      </c>
      <c r="G457" s="7">
        <v>3.78</v>
      </c>
      <c r="H457" s="7"/>
      <c r="I457" s="10">
        <v>-3.78</v>
      </c>
    </row>
    <row r="458" spans="1:9" hidden="1" x14ac:dyDescent="0.25">
      <c r="A458" s="9"/>
      <c r="B458" s="9"/>
      <c r="C458" s="9"/>
      <c r="D458" s="9"/>
      <c r="E458" s="9" t="s">
        <v>137</v>
      </c>
      <c r="F458" s="9" t="s">
        <v>138</v>
      </c>
      <c r="G458" s="7">
        <v>3.6</v>
      </c>
      <c r="H458" s="7">
        <v>3.6</v>
      </c>
      <c r="I458" s="10"/>
    </row>
    <row r="459" spans="1:9" hidden="1" x14ac:dyDescent="0.25">
      <c r="A459" s="9"/>
      <c r="B459" s="9"/>
      <c r="C459" s="9"/>
      <c r="D459" s="9"/>
      <c r="E459" s="9" t="s">
        <v>279</v>
      </c>
      <c r="F459" s="9" t="s">
        <v>280</v>
      </c>
      <c r="G459" s="7">
        <v>14.4</v>
      </c>
      <c r="H459" s="7">
        <v>14.4</v>
      </c>
      <c r="I459" s="10"/>
    </row>
    <row r="460" spans="1:9" hidden="1" x14ac:dyDescent="0.25">
      <c r="A460" s="9"/>
      <c r="B460" s="9"/>
      <c r="C460" s="9"/>
      <c r="D460" s="9"/>
      <c r="E460" s="9" t="s">
        <v>87</v>
      </c>
      <c r="F460" s="9" t="s">
        <v>88</v>
      </c>
      <c r="G460" s="7">
        <v>3.2</v>
      </c>
      <c r="H460" s="7">
        <v>3.2</v>
      </c>
      <c r="I460" s="10"/>
    </row>
    <row r="461" spans="1:9" hidden="1" x14ac:dyDescent="0.25">
      <c r="A461" s="9"/>
      <c r="B461" s="9"/>
      <c r="C461" s="9"/>
      <c r="D461" s="9"/>
      <c r="E461" s="9" t="s">
        <v>76</v>
      </c>
      <c r="F461" s="9" t="s">
        <v>77</v>
      </c>
      <c r="G461" s="7">
        <v>23.52</v>
      </c>
      <c r="H461" s="7">
        <v>23.52</v>
      </c>
      <c r="I461" s="10"/>
    </row>
    <row r="462" spans="1:9" hidden="1" x14ac:dyDescent="0.25">
      <c r="A462" s="9"/>
      <c r="B462" s="9"/>
      <c r="C462" s="9"/>
      <c r="D462" s="9"/>
      <c r="E462" s="9" t="s">
        <v>65</v>
      </c>
      <c r="F462" s="9" t="s">
        <v>66</v>
      </c>
      <c r="G462" s="7">
        <v>150.5</v>
      </c>
      <c r="H462" s="7"/>
      <c r="I462" s="10">
        <v>-150.5</v>
      </c>
    </row>
    <row r="463" spans="1:9" hidden="1" x14ac:dyDescent="0.25">
      <c r="A463" s="9"/>
      <c r="B463" s="9"/>
      <c r="C463" s="9"/>
      <c r="D463" s="9"/>
      <c r="E463" s="9" t="s">
        <v>81</v>
      </c>
      <c r="F463" s="9" t="s">
        <v>82</v>
      </c>
      <c r="G463" s="7">
        <v>28.56</v>
      </c>
      <c r="H463" s="7">
        <v>28.56</v>
      </c>
      <c r="I463" s="10"/>
    </row>
    <row r="464" spans="1:9" hidden="1" x14ac:dyDescent="0.25">
      <c r="A464" s="9"/>
      <c r="B464" s="9"/>
      <c r="C464" s="9"/>
      <c r="D464" s="9"/>
      <c r="E464" s="9" t="s">
        <v>74</v>
      </c>
      <c r="F464" s="9" t="s">
        <v>75</v>
      </c>
      <c r="G464" s="7">
        <v>101.5</v>
      </c>
      <c r="H464" s="7">
        <v>101.5</v>
      </c>
      <c r="I464" s="10"/>
    </row>
    <row r="465" spans="1:13" hidden="1" x14ac:dyDescent="0.25">
      <c r="A465" s="9"/>
      <c r="B465" s="9"/>
      <c r="C465" s="9"/>
      <c r="D465" s="9"/>
      <c r="E465" s="9" t="s">
        <v>78</v>
      </c>
      <c r="F465" s="9" t="s">
        <v>79</v>
      </c>
      <c r="G465" s="7">
        <v>42</v>
      </c>
      <c r="H465" s="7">
        <v>42</v>
      </c>
      <c r="I465" s="10"/>
    </row>
    <row r="466" spans="1:13" hidden="1" x14ac:dyDescent="0.25">
      <c r="A466" s="9"/>
      <c r="B466" s="9"/>
      <c r="C466" s="9"/>
      <c r="D466" s="9"/>
      <c r="E466" s="9" t="s">
        <v>70</v>
      </c>
      <c r="F466" s="9" t="s">
        <v>71</v>
      </c>
      <c r="G466" s="7">
        <v>101.5</v>
      </c>
      <c r="H466" s="7">
        <v>101.5</v>
      </c>
      <c r="I466" s="10"/>
    </row>
    <row r="467" spans="1:13" hidden="1" x14ac:dyDescent="0.25">
      <c r="A467" s="9"/>
      <c r="B467" s="9"/>
      <c r="C467" s="9"/>
      <c r="D467" s="9"/>
      <c r="E467" s="9" t="s">
        <v>141</v>
      </c>
      <c r="F467" s="9" t="s">
        <v>142</v>
      </c>
      <c r="G467" s="7">
        <v>46.8</v>
      </c>
      <c r="H467" s="7">
        <v>46.8</v>
      </c>
      <c r="I467" s="10"/>
    </row>
    <row r="468" spans="1:13" hidden="1" x14ac:dyDescent="0.25">
      <c r="A468" s="9"/>
      <c r="B468" s="9"/>
      <c r="C468" s="9"/>
      <c r="D468" s="9"/>
      <c r="E468" s="9" t="s">
        <v>216</v>
      </c>
      <c r="F468" s="9" t="s">
        <v>217</v>
      </c>
      <c r="G468" s="7">
        <v>78</v>
      </c>
      <c r="H468" s="7">
        <v>78</v>
      </c>
      <c r="I468" s="10"/>
    </row>
    <row r="469" spans="1:13" hidden="1" x14ac:dyDescent="0.25">
      <c r="A469" s="9"/>
      <c r="B469" s="9"/>
      <c r="C469" s="9"/>
      <c r="D469" s="9"/>
      <c r="E469" s="9" t="s">
        <v>143</v>
      </c>
      <c r="F469" s="9" t="s">
        <v>144</v>
      </c>
      <c r="G469" s="7">
        <v>46.8</v>
      </c>
      <c r="H469" s="7">
        <v>46.8</v>
      </c>
      <c r="I469" s="10"/>
    </row>
    <row r="470" spans="1:13" hidden="1" x14ac:dyDescent="0.25">
      <c r="A470" s="9"/>
      <c r="B470" s="9"/>
      <c r="C470" s="9"/>
      <c r="D470" s="9"/>
      <c r="E470" s="9" t="s">
        <v>155</v>
      </c>
      <c r="F470" s="9" t="s">
        <v>156</v>
      </c>
      <c r="G470" s="7">
        <v>3</v>
      </c>
      <c r="H470" s="7">
        <v>3</v>
      </c>
      <c r="I470" s="10"/>
    </row>
    <row r="471" spans="1:13" hidden="1" x14ac:dyDescent="0.25">
      <c r="A471" s="9"/>
      <c r="B471" s="9"/>
      <c r="C471" s="9"/>
      <c r="D471" s="9"/>
      <c r="E471" s="9" t="s">
        <v>262</v>
      </c>
      <c r="F471" s="9" t="s">
        <v>263</v>
      </c>
      <c r="G471" s="7">
        <v>15</v>
      </c>
      <c r="H471" s="7">
        <v>15</v>
      </c>
      <c r="I471" s="10"/>
    </row>
    <row r="472" spans="1:13" hidden="1" x14ac:dyDescent="0.25">
      <c r="A472" s="9"/>
      <c r="B472" s="9"/>
      <c r="C472" s="9"/>
      <c r="D472" s="9"/>
      <c r="E472" s="9" t="s">
        <v>167</v>
      </c>
      <c r="F472" s="9" t="s">
        <v>168</v>
      </c>
      <c r="G472" s="7">
        <v>405</v>
      </c>
      <c r="H472" s="7">
        <v>405</v>
      </c>
      <c r="I472" s="10"/>
    </row>
    <row r="473" spans="1:13" x14ac:dyDescent="0.25">
      <c r="A473" s="9"/>
      <c r="B473" s="9"/>
      <c r="C473" s="12" t="s">
        <v>318</v>
      </c>
      <c r="D473" s="12" t="s">
        <v>319</v>
      </c>
      <c r="E473" s="12" t="s">
        <v>165</v>
      </c>
      <c r="F473" s="12" t="s">
        <v>166</v>
      </c>
      <c r="G473" s="13">
        <v>270</v>
      </c>
      <c r="H473" s="13">
        <v>270</v>
      </c>
      <c r="I473" s="14"/>
      <c r="J473" s="15">
        <f>GETPIVOTDATA("Сумма по полю Урезание",$A$3,"Заказ на продажу","TSO001121204","Запрошенная дата отгрузки",DATE(2026,9,14),"Внешний номер заказа","6312589","Внешний код клиента","НВМелСемен","Код единицы продаж","SU003420","Наименование для бланков","Вареные колбасы «Филейная» Весовой п/а ТМ «Особый рецепт» большой батон")</f>
        <v>0</v>
      </c>
      <c r="K473" s="20" t="s">
        <v>336</v>
      </c>
      <c r="L473" s="20">
        <v>12.09</v>
      </c>
      <c r="M473" s="20" t="s">
        <v>333</v>
      </c>
    </row>
    <row r="474" spans="1:13" hidden="1" x14ac:dyDescent="0.25">
      <c r="A474" s="9"/>
      <c r="B474" s="9"/>
      <c r="C474" s="9"/>
      <c r="D474" s="9"/>
      <c r="E474" s="9" t="s">
        <v>161</v>
      </c>
      <c r="F474" s="9" t="s">
        <v>162</v>
      </c>
      <c r="G474" s="7">
        <v>405</v>
      </c>
      <c r="H474" s="7">
        <v>405</v>
      </c>
      <c r="I474" s="10"/>
    </row>
    <row r="475" spans="1:13" x14ac:dyDescent="0.25">
      <c r="A475" s="9"/>
      <c r="B475" s="12" t="s">
        <v>254</v>
      </c>
      <c r="C475" s="12" t="s">
        <v>252</v>
      </c>
      <c r="D475" s="12" t="s">
        <v>253</v>
      </c>
      <c r="E475" s="12" t="s">
        <v>169</v>
      </c>
      <c r="F475" s="12" t="s">
        <v>170</v>
      </c>
      <c r="G475" s="13">
        <v>3165</v>
      </c>
      <c r="H475" s="13">
        <v>3165</v>
      </c>
      <c r="I475" s="14"/>
      <c r="J475" s="15">
        <f>SUM(I475:I554)</f>
        <v>-514.9</v>
      </c>
      <c r="K475" s="20" t="s">
        <v>337</v>
      </c>
      <c r="L475" s="20">
        <v>13.09</v>
      </c>
    </row>
    <row r="476" spans="1:13" hidden="1" x14ac:dyDescent="0.25">
      <c r="A476" s="9"/>
      <c r="B476" s="9"/>
      <c r="C476" s="9"/>
      <c r="D476" s="9"/>
      <c r="E476" s="9" t="s">
        <v>147</v>
      </c>
      <c r="F476" s="9" t="s">
        <v>148</v>
      </c>
      <c r="G476" s="7">
        <v>54.6</v>
      </c>
      <c r="H476" s="7">
        <v>54.6</v>
      </c>
      <c r="I476" s="10"/>
    </row>
    <row r="477" spans="1:13" hidden="1" x14ac:dyDescent="0.25">
      <c r="A477" s="9"/>
      <c r="B477" s="9"/>
      <c r="C477" s="9"/>
      <c r="D477" s="9"/>
      <c r="E477" s="9" t="s">
        <v>195</v>
      </c>
      <c r="F477" s="9" t="s">
        <v>196</v>
      </c>
      <c r="G477" s="7">
        <v>302.39999999999998</v>
      </c>
      <c r="H477" s="7">
        <v>302.39999999999998</v>
      </c>
      <c r="I477" s="10"/>
    </row>
    <row r="478" spans="1:13" hidden="1" x14ac:dyDescent="0.25">
      <c r="A478" s="9"/>
      <c r="B478" s="9"/>
      <c r="C478" s="9"/>
      <c r="D478" s="9"/>
      <c r="E478" s="9" t="s">
        <v>149</v>
      </c>
      <c r="F478" s="9" t="s">
        <v>150</v>
      </c>
      <c r="G478" s="7">
        <v>117.6</v>
      </c>
      <c r="H478" s="7">
        <v>117.6</v>
      </c>
      <c r="I478" s="10"/>
    </row>
    <row r="479" spans="1:13" hidden="1" x14ac:dyDescent="0.25">
      <c r="A479" s="9"/>
      <c r="B479" s="9"/>
      <c r="C479" s="9"/>
      <c r="D479" s="9"/>
      <c r="E479" s="9" t="s">
        <v>51</v>
      </c>
      <c r="F479" s="9" t="s">
        <v>52</v>
      </c>
      <c r="G479" s="7">
        <v>105.3</v>
      </c>
      <c r="H479" s="7">
        <v>105.3</v>
      </c>
      <c r="I479" s="10"/>
    </row>
    <row r="480" spans="1:13" hidden="1" x14ac:dyDescent="0.25">
      <c r="A480" s="9"/>
      <c r="B480" s="9"/>
      <c r="C480" s="9"/>
      <c r="D480" s="9"/>
      <c r="E480" s="9" t="s">
        <v>57</v>
      </c>
      <c r="F480" s="9" t="s">
        <v>58</v>
      </c>
      <c r="G480" s="7">
        <v>135</v>
      </c>
      <c r="H480" s="7">
        <v>135</v>
      </c>
      <c r="I480" s="10"/>
    </row>
    <row r="481" spans="1:9" hidden="1" x14ac:dyDescent="0.25">
      <c r="A481" s="9"/>
      <c r="B481" s="9"/>
      <c r="C481" s="9"/>
      <c r="D481" s="9"/>
      <c r="E481" s="9" t="s">
        <v>55</v>
      </c>
      <c r="F481" s="9" t="s">
        <v>56</v>
      </c>
      <c r="G481" s="7">
        <v>502.2</v>
      </c>
      <c r="H481" s="7">
        <v>502.2</v>
      </c>
      <c r="I481" s="10"/>
    </row>
    <row r="482" spans="1:9" hidden="1" x14ac:dyDescent="0.25">
      <c r="A482" s="9"/>
      <c r="B482" s="9"/>
      <c r="C482" s="9"/>
      <c r="D482" s="9"/>
      <c r="E482" s="9" t="s">
        <v>260</v>
      </c>
      <c r="F482" s="9" t="s">
        <v>261</v>
      </c>
      <c r="G482" s="7">
        <v>17.850000000000001</v>
      </c>
      <c r="H482" s="7">
        <v>17.850000000000001</v>
      </c>
      <c r="I482" s="10"/>
    </row>
    <row r="483" spans="1:9" hidden="1" x14ac:dyDescent="0.25">
      <c r="A483" s="9"/>
      <c r="B483" s="9"/>
      <c r="C483" s="9"/>
      <c r="D483" s="9"/>
      <c r="E483" s="9" t="s">
        <v>185</v>
      </c>
      <c r="F483" s="9" t="s">
        <v>186</v>
      </c>
      <c r="G483" s="7">
        <v>401.28</v>
      </c>
      <c r="H483" s="7">
        <v>401.28</v>
      </c>
      <c r="I483" s="10"/>
    </row>
    <row r="484" spans="1:9" hidden="1" x14ac:dyDescent="0.25">
      <c r="A484" s="9"/>
      <c r="B484" s="9"/>
      <c r="C484" s="9"/>
      <c r="D484" s="9"/>
      <c r="E484" s="9" t="s">
        <v>179</v>
      </c>
      <c r="F484" s="9" t="s">
        <v>180</v>
      </c>
      <c r="G484" s="7">
        <v>100.32</v>
      </c>
      <c r="H484" s="7">
        <v>100.32</v>
      </c>
      <c r="I484" s="10"/>
    </row>
    <row r="485" spans="1:9" hidden="1" x14ac:dyDescent="0.25">
      <c r="A485" s="9"/>
      <c r="B485" s="9"/>
      <c r="C485" s="9"/>
      <c r="D485" s="9"/>
      <c r="E485" s="9" t="s">
        <v>187</v>
      </c>
      <c r="F485" s="9" t="s">
        <v>188</v>
      </c>
      <c r="G485" s="7">
        <v>501.6</v>
      </c>
      <c r="H485" s="7">
        <v>501.6</v>
      </c>
      <c r="I485" s="10"/>
    </row>
    <row r="486" spans="1:9" hidden="1" x14ac:dyDescent="0.25">
      <c r="A486" s="9"/>
      <c r="B486" s="9"/>
      <c r="C486" s="9"/>
      <c r="D486" s="9"/>
      <c r="E486" s="9" t="s">
        <v>173</v>
      </c>
      <c r="F486" s="9" t="s">
        <v>174</v>
      </c>
      <c r="G486" s="7">
        <v>702</v>
      </c>
      <c r="H486" s="7">
        <v>702</v>
      </c>
      <c r="I486" s="10"/>
    </row>
    <row r="487" spans="1:9" hidden="1" x14ac:dyDescent="0.25">
      <c r="A487" s="9"/>
      <c r="B487" s="9"/>
      <c r="C487" s="9"/>
      <c r="D487" s="9"/>
      <c r="E487" s="9" t="s">
        <v>232</v>
      </c>
      <c r="F487" s="9" t="s">
        <v>233</v>
      </c>
      <c r="G487" s="7">
        <v>5.28</v>
      </c>
      <c r="H487" s="7">
        <v>5.28</v>
      </c>
      <c r="I487" s="10"/>
    </row>
    <row r="488" spans="1:9" hidden="1" x14ac:dyDescent="0.25">
      <c r="A488" s="9"/>
      <c r="B488" s="9"/>
      <c r="C488" s="9"/>
      <c r="D488" s="9"/>
      <c r="E488" s="9" t="s">
        <v>189</v>
      </c>
      <c r="F488" s="9" t="s">
        <v>190</v>
      </c>
      <c r="G488" s="7">
        <v>100.32</v>
      </c>
      <c r="H488" s="7">
        <v>100.32</v>
      </c>
      <c r="I488" s="10"/>
    </row>
    <row r="489" spans="1:9" hidden="1" x14ac:dyDescent="0.25">
      <c r="A489" s="9"/>
      <c r="B489" s="9"/>
      <c r="C489" s="9"/>
      <c r="D489" s="9"/>
      <c r="E489" s="9" t="s">
        <v>220</v>
      </c>
      <c r="F489" s="9" t="s">
        <v>221</v>
      </c>
      <c r="G489" s="7">
        <v>184.8</v>
      </c>
      <c r="H489" s="7">
        <v>184.8</v>
      </c>
      <c r="I489" s="10"/>
    </row>
    <row r="490" spans="1:9" hidden="1" x14ac:dyDescent="0.25">
      <c r="A490" s="9"/>
      <c r="B490" s="9"/>
      <c r="C490" s="9"/>
      <c r="D490" s="9"/>
      <c r="E490" s="9" t="s">
        <v>181</v>
      </c>
      <c r="F490" s="9" t="s">
        <v>182</v>
      </c>
      <c r="G490" s="7">
        <v>63.36</v>
      </c>
      <c r="H490" s="7">
        <v>63.36</v>
      </c>
      <c r="I490" s="10"/>
    </row>
    <row r="491" spans="1:9" hidden="1" x14ac:dyDescent="0.25">
      <c r="A491" s="9"/>
      <c r="B491" s="9"/>
      <c r="C491" s="9"/>
      <c r="D491" s="9"/>
      <c r="E491" s="9" t="s">
        <v>175</v>
      </c>
      <c r="F491" s="9" t="s">
        <v>176</v>
      </c>
      <c r="G491" s="7">
        <v>16.8</v>
      </c>
      <c r="H491" s="7"/>
      <c r="I491" s="10">
        <v>-16.8</v>
      </c>
    </row>
    <row r="492" spans="1:9" hidden="1" x14ac:dyDescent="0.25">
      <c r="A492" s="9"/>
      <c r="B492" s="9"/>
      <c r="C492" s="9"/>
      <c r="D492" s="9"/>
      <c r="E492" s="9" t="s">
        <v>145</v>
      </c>
      <c r="F492" s="9" t="s">
        <v>146</v>
      </c>
      <c r="G492" s="7">
        <v>16.2</v>
      </c>
      <c r="H492" s="7">
        <v>16.2</v>
      </c>
      <c r="I492" s="10"/>
    </row>
    <row r="493" spans="1:9" hidden="1" x14ac:dyDescent="0.25">
      <c r="A493" s="9"/>
      <c r="B493" s="9"/>
      <c r="C493" s="9"/>
      <c r="D493" s="9"/>
      <c r="E493" s="9" t="s">
        <v>171</v>
      </c>
      <c r="F493" s="9" t="s">
        <v>172</v>
      </c>
      <c r="G493" s="7">
        <v>54</v>
      </c>
      <c r="H493" s="7">
        <v>54</v>
      </c>
      <c r="I493" s="10"/>
    </row>
    <row r="494" spans="1:9" hidden="1" x14ac:dyDescent="0.25">
      <c r="A494" s="9"/>
      <c r="B494" s="9"/>
      <c r="C494" s="9"/>
      <c r="D494" s="9"/>
      <c r="E494" s="9" t="s">
        <v>266</v>
      </c>
      <c r="F494" s="9" t="s">
        <v>267</v>
      </c>
      <c r="G494" s="7">
        <v>21.6</v>
      </c>
      <c r="H494" s="7">
        <v>21.6</v>
      </c>
      <c r="I494" s="10"/>
    </row>
    <row r="495" spans="1:9" hidden="1" x14ac:dyDescent="0.25">
      <c r="A495" s="9"/>
      <c r="B495" s="9"/>
      <c r="C495" s="9"/>
      <c r="D495" s="9"/>
      <c r="E495" s="9" t="s">
        <v>177</v>
      </c>
      <c r="F495" s="9" t="s">
        <v>178</v>
      </c>
      <c r="G495" s="7">
        <v>102.6</v>
      </c>
      <c r="H495" s="7"/>
      <c r="I495" s="10">
        <v>-102.6</v>
      </c>
    </row>
    <row r="496" spans="1:9" hidden="1" x14ac:dyDescent="0.25">
      <c r="A496" s="9"/>
      <c r="B496" s="9"/>
      <c r="C496" s="9"/>
      <c r="D496" s="9"/>
      <c r="E496" s="9" t="s">
        <v>122</v>
      </c>
      <c r="F496" s="9" t="s">
        <v>123</v>
      </c>
      <c r="G496" s="7">
        <v>240</v>
      </c>
      <c r="H496" s="7">
        <v>240</v>
      </c>
      <c r="I496" s="10"/>
    </row>
    <row r="497" spans="1:9" hidden="1" x14ac:dyDescent="0.25">
      <c r="A497" s="9"/>
      <c r="B497" s="9"/>
      <c r="C497" s="9"/>
      <c r="D497" s="9"/>
      <c r="E497" s="9" t="s">
        <v>124</v>
      </c>
      <c r="F497" s="9" t="s">
        <v>125</v>
      </c>
      <c r="G497" s="7">
        <v>120</v>
      </c>
      <c r="H497" s="7">
        <v>120</v>
      </c>
      <c r="I497" s="10"/>
    </row>
    <row r="498" spans="1:9" hidden="1" x14ac:dyDescent="0.25">
      <c r="A498" s="9"/>
      <c r="B498" s="9"/>
      <c r="C498" s="9"/>
      <c r="D498" s="9"/>
      <c r="E498" s="9" t="s">
        <v>183</v>
      </c>
      <c r="F498" s="9" t="s">
        <v>184</v>
      </c>
      <c r="G498" s="7">
        <v>95.04</v>
      </c>
      <c r="H498" s="7">
        <v>95.04</v>
      </c>
      <c r="I498" s="10"/>
    </row>
    <row r="499" spans="1:9" hidden="1" x14ac:dyDescent="0.25">
      <c r="A499" s="9"/>
      <c r="B499" s="9"/>
      <c r="C499" s="9"/>
      <c r="D499" s="9"/>
      <c r="E499" s="9" t="s">
        <v>193</v>
      </c>
      <c r="F499" s="9" t="s">
        <v>194</v>
      </c>
      <c r="G499" s="7">
        <v>108</v>
      </c>
      <c r="H499" s="7"/>
      <c r="I499" s="10">
        <v>-108</v>
      </c>
    </row>
    <row r="500" spans="1:9" hidden="1" x14ac:dyDescent="0.25">
      <c r="A500" s="9"/>
      <c r="B500" s="9"/>
      <c r="C500" s="9"/>
      <c r="D500" s="9"/>
      <c r="E500" s="9" t="s">
        <v>126</v>
      </c>
      <c r="F500" s="9" t="s">
        <v>127</v>
      </c>
      <c r="G500" s="7">
        <v>321.60000000000002</v>
      </c>
      <c r="H500" s="7">
        <v>321.60000000000002</v>
      </c>
      <c r="I500" s="10"/>
    </row>
    <row r="501" spans="1:9" hidden="1" x14ac:dyDescent="0.25">
      <c r="A501" s="9"/>
      <c r="B501" s="9"/>
      <c r="C501" s="9"/>
      <c r="D501" s="9"/>
      <c r="E501" s="9" t="s">
        <v>207</v>
      </c>
      <c r="F501" s="9" t="s">
        <v>208</v>
      </c>
      <c r="G501" s="7">
        <v>216</v>
      </c>
      <c r="H501" s="7">
        <v>216</v>
      </c>
      <c r="I501" s="10"/>
    </row>
    <row r="502" spans="1:9" hidden="1" x14ac:dyDescent="0.25">
      <c r="A502" s="9"/>
      <c r="B502" s="9"/>
      <c r="C502" s="9"/>
      <c r="D502" s="9"/>
      <c r="E502" s="9" t="s">
        <v>83</v>
      </c>
      <c r="F502" s="9" t="s">
        <v>84</v>
      </c>
      <c r="G502" s="7">
        <v>33.6</v>
      </c>
      <c r="H502" s="7">
        <v>33.6</v>
      </c>
      <c r="I502" s="10"/>
    </row>
    <row r="503" spans="1:9" hidden="1" x14ac:dyDescent="0.25">
      <c r="A503" s="9"/>
      <c r="B503" s="9"/>
      <c r="C503" s="9"/>
      <c r="D503" s="9"/>
      <c r="E503" s="9" t="s">
        <v>132</v>
      </c>
      <c r="F503" s="9" t="s">
        <v>133</v>
      </c>
      <c r="G503" s="7">
        <v>12</v>
      </c>
      <c r="H503" s="7">
        <v>12</v>
      </c>
      <c r="I503" s="10"/>
    </row>
    <row r="504" spans="1:9" hidden="1" x14ac:dyDescent="0.25">
      <c r="A504" s="9"/>
      <c r="B504" s="9"/>
      <c r="C504" s="9"/>
      <c r="D504" s="9"/>
      <c r="E504" s="9" t="s">
        <v>130</v>
      </c>
      <c r="F504" s="9" t="s">
        <v>131</v>
      </c>
      <c r="G504" s="7">
        <v>21.6</v>
      </c>
      <c r="H504" s="7">
        <v>21.6</v>
      </c>
      <c r="I504" s="10"/>
    </row>
    <row r="505" spans="1:9" hidden="1" x14ac:dyDescent="0.25">
      <c r="A505" s="9"/>
      <c r="B505" s="9"/>
      <c r="C505" s="9"/>
      <c r="D505" s="9"/>
      <c r="E505" s="9" t="s">
        <v>139</v>
      </c>
      <c r="F505" s="9" t="s">
        <v>140</v>
      </c>
      <c r="G505" s="7">
        <v>52.8</v>
      </c>
      <c r="H505" s="7">
        <v>52.8</v>
      </c>
      <c r="I505" s="10"/>
    </row>
    <row r="506" spans="1:9" hidden="1" x14ac:dyDescent="0.25">
      <c r="A506" s="9"/>
      <c r="B506" s="9"/>
      <c r="C506" s="9"/>
      <c r="D506" s="9"/>
      <c r="E506" s="9" t="s">
        <v>256</v>
      </c>
      <c r="F506" s="9" t="s">
        <v>257</v>
      </c>
      <c r="G506" s="7">
        <v>108</v>
      </c>
      <c r="H506" s="7">
        <v>108</v>
      </c>
      <c r="I506" s="10"/>
    </row>
    <row r="507" spans="1:9" hidden="1" x14ac:dyDescent="0.25">
      <c r="A507" s="9"/>
      <c r="B507" s="9"/>
      <c r="C507" s="9"/>
      <c r="D507" s="9"/>
      <c r="E507" s="9" t="s">
        <v>203</v>
      </c>
      <c r="F507" s="9" t="s">
        <v>204</v>
      </c>
      <c r="G507" s="7">
        <v>135</v>
      </c>
      <c r="H507" s="7">
        <v>135</v>
      </c>
      <c r="I507" s="10"/>
    </row>
    <row r="508" spans="1:9" hidden="1" x14ac:dyDescent="0.25">
      <c r="A508" s="9"/>
      <c r="B508" s="9"/>
      <c r="C508" s="9"/>
      <c r="D508" s="9"/>
      <c r="E508" s="9" t="s">
        <v>230</v>
      </c>
      <c r="F508" s="9" t="s">
        <v>231</v>
      </c>
      <c r="G508" s="7">
        <v>54</v>
      </c>
      <c r="H508" s="7">
        <v>54</v>
      </c>
      <c r="I508" s="10"/>
    </row>
    <row r="509" spans="1:9" hidden="1" x14ac:dyDescent="0.25">
      <c r="A509" s="9"/>
      <c r="B509" s="9"/>
      <c r="C509" s="9"/>
      <c r="D509" s="9"/>
      <c r="E509" s="9" t="s">
        <v>201</v>
      </c>
      <c r="F509" s="9" t="s">
        <v>202</v>
      </c>
      <c r="G509" s="7">
        <v>64.8</v>
      </c>
      <c r="H509" s="7">
        <v>64.8</v>
      </c>
      <c r="I509" s="10"/>
    </row>
    <row r="510" spans="1:9" hidden="1" x14ac:dyDescent="0.25">
      <c r="A510" s="9"/>
      <c r="B510" s="9"/>
      <c r="C510" s="9"/>
      <c r="D510" s="9"/>
      <c r="E510" s="9" t="s">
        <v>45</v>
      </c>
      <c r="F510" s="9" t="s">
        <v>46</v>
      </c>
      <c r="G510" s="7">
        <v>4</v>
      </c>
      <c r="H510" s="7">
        <v>4</v>
      </c>
      <c r="I510" s="10"/>
    </row>
    <row r="511" spans="1:9" hidden="1" x14ac:dyDescent="0.25">
      <c r="A511" s="9"/>
      <c r="B511" s="9"/>
      <c r="C511" s="9"/>
      <c r="D511" s="9"/>
      <c r="E511" s="9" t="s">
        <v>47</v>
      </c>
      <c r="F511" s="9" t="s">
        <v>48</v>
      </c>
      <c r="G511" s="7">
        <v>156</v>
      </c>
      <c r="H511" s="7">
        <v>156</v>
      </c>
      <c r="I511" s="10"/>
    </row>
    <row r="512" spans="1:9" hidden="1" x14ac:dyDescent="0.25">
      <c r="A512" s="9"/>
      <c r="B512" s="9"/>
      <c r="C512" s="9"/>
      <c r="D512" s="9"/>
      <c r="E512" s="9" t="s">
        <v>212</v>
      </c>
      <c r="F512" s="9" t="s">
        <v>213</v>
      </c>
      <c r="G512" s="7">
        <v>141.6</v>
      </c>
      <c r="H512" s="7">
        <v>141.6</v>
      </c>
      <c r="I512" s="10"/>
    </row>
    <row r="513" spans="1:9" hidden="1" x14ac:dyDescent="0.25">
      <c r="A513" s="9"/>
      <c r="B513" s="9"/>
      <c r="C513" s="9"/>
      <c r="D513" s="9"/>
      <c r="E513" s="9" t="s">
        <v>116</v>
      </c>
      <c r="F513" s="9" t="s">
        <v>117</v>
      </c>
      <c r="G513" s="7">
        <v>105.3</v>
      </c>
      <c r="H513" s="7">
        <v>105.3</v>
      </c>
      <c r="I513" s="10"/>
    </row>
    <row r="514" spans="1:9" hidden="1" x14ac:dyDescent="0.25">
      <c r="A514" s="9"/>
      <c r="B514" s="9"/>
      <c r="C514" s="9"/>
      <c r="D514" s="9"/>
      <c r="E514" s="9" t="s">
        <v>128</v>
      </c>
      <c r="F514" s="9" t="s">
        <v>129</v>
      </c>
      <c r="G514" s="7">
        <v>60</v>
      </c>
      <c r="H514" s="7">
        <v>60</v>
      </c>
      <c r="I514" s="10"/>
    </row>
    <row r="515" spans="1:9" hidden="1" x14ac:dyDescent="0.25">
      <c r="A515" s="9"/>
      <c r="B515" s="9"/>
      <c r="C515" s="9"/>
      <c r="D515" s="9"/>
      <c r="E515" s="9" t="s">
        <v>118</v>
      </c>
      <c r="F515" s="9" t="s">
        <v>119</v>
      </c>
      <c r="G515" s="7">
        <v>16.2</v>
      </c>
      <c r="H515" s="7">
        <v>16.2</v>
      </c>
      <c r="I515" s="10"/>
    </row>
    <row r="516" spans="1:9" hidden="1" x14ac:dyDescent="0.25">
      <c r="A516" s="9"/>
      <c r="B516" s="9"/>
      <c r="C516" s="9"/>
      <c r="D516" s="9"/>
      <c r="E516" s="9" t="s">
        <v>85</v>
      </c>
      <c r="F516" s="9" t="s">
        <v>86</v>
      </c>
      <c r="G516" s="7">
        <v>67.2</v>
      </c>
      <c r="H516" s="7">
        <v>67.2</v>
      </c>
      <c r="I516" s="10"/>
    </row>
    <row r="517" spans="1:9" hidden="1" x14ac:dyDescent="0.25">
      <c r="A517" s="9"/>
      <c r="B517" s="9"/>
      <c r="C517" s="9"/>
      <c r="D517" s="9"/>
      <c r="E517" s="9" t="s">
        <v>96</v>
      </c>
      <c r="F517" s="9" t="s">
        <v>97</v>
      </c>
      <c r="G517" s="7">
        <v>39.9</v>
      </c>
      <c r="H517" s="7">
        <v>39.9</v>
      </c>
      <c r="I517" s="10"/>
    </row>
    <row r="518" spans="1:9" hidden="1" x14ac:dyDescent="0.25">
      <c r="A518" s="9"/>
      <c r="B518" s="9"/>
      <c r="C518" s="9"/>
      <c r="D518" s="9"/>
      <c r="E518" s="9" t="s">
        <v>102</v>
      </c>
      <c r="F518" s="9" t="s">
        <v>103</v>
      </c>
      <c r="G518" s="7">
        <v>102.6</v>
      </c>
      <c r="H518" s="7">
        <v>102.6</v>
      </c>
      <c r="I518" s="10"/>
    </row>
    <row r="519" spans="1:9" hidden="1" x14ac:dyDescent="0.25">
      <c r="A519" s="9"/>
      <c r="B519" s="9"/>
      <c r="C519" s="9"/>
      <c r="D519" s="9"/>
      <c r="E519" s="9" t="s">
        <v>112</v>
      </c>
      <c r="F519" s="9" t="s">
        <v>113</v>
      </c>
      <c r="G519" s="7">
        <v>18</v>
      </c>
      <c r="H519" s="7"/>
      <c r="I519" s="10">
        <v>-18</v>
      </c>
    </row>
    <row r="520" spans="1:9" hidden="1" x14ac:dyDescent="0.25">
      <c r="A520" s="9"/>
      <c r="B520" s="9"/>
      <c r="C520" s="9"/>
      <c r="D520" s="9"/>
      <c r="E520" s="9" t="s">
        <v>104</v>
      </c>
      <c r="F520" s="9" t="s">
        <v>105</v>
      </c>
      <c r="G520" s="7">
        <v>54</v>
      </c>
      <c r="H520" s="7"/>
      <c r="I520" s="10">
        <v>-54</v>
      </c>
    </row>
    <row r="521" spans="1:9" hidden="1" x14ac:dyDescent="0.25">
      <c r="A521" s="9"/>
      <c r="B521" s="9"/>
      <c r="C521" s="9"/>
      <c r="D521" s="9"/>
      <c r="E521" s="9" t="s">
        <v>110</v>
      </c>
      <c r="F521" s="9" t="s">
        <v>111</v>
      </c>
      <c r="G521" s="7">
        <v>18</v>
      </c>
      <c r="H521" s="7"/>
      <c r="I521" s="10">
        <v>-18</v>
      </c>
    </row>
    <row r="522" spans="1:9" hidden="1" x14ac:dyDescent="0.25">
      <c r="A522" s="9"/>
      <c r="B522" s="9"/>
      <c r="C522" s="9"/>
      <c r="D522" s="9"/>
      <c r="E522" s="9" t="s">
        <v>106</v>
      </c>
      <c r="F522" s="9" t="s">
        <v>107</v>
      </c>
      <c r="G522" s="7">
        <v>405</v>
      </c>
      <c r="H522" s="7">
        <v>405</v>
      </c>
      <c r="I522" s="10"/>
    </row>
    <row r="523" spans="1:9" hidden="1" x14ac:dyDescent="0.25">
      <c r="A523" s="9"/>
      <c r="B523" s="9"/>
      <c r="C523" s="9"/>
      <c r="D523" s="9"/>
      <c r="E523" s="9" t="s">
        <v>108</v>
      </c>
      <c r="F523" s="9" t="s">
        <v>109</v>
      </c>
      <c r="G523" s="7">
        <v>32.4</v>
      </c>
      <c r="H523" s="7"/>
      <c r="I523" s="10">
        <v>-32.4</v>
      </c>
    </row>
    <row r="524" spans="1:9" hidden="1" x14ac:dyDescent="0.25">
      <c r="A524" s="9"/>
      <c r="B524" s="9"/>
      <c r="C524" s="9"/>
      <c r="D524" s="9"/>
      <c r="E524" s="9" t="s">
        <v>114</v>
      </c>
      <c r="F524" s="9" t="s">
        <v>115</v>
      </c>
      <c r="G524" s="7">
        <v>9</v>
      </c>
      <c r="H524" s="7"/>
      <c r="I524" s="10">
        <v>-9</v>
      </c>
    </row>
    <row r="525" spans="1:9" hidden="1" x14ac:dyDescent="0.25">
      <c r="A525" s="9"/>
      <c r="B525" s="9"/>
      <c r="C525" s="9"/>
      <c r="D525" s="9"/>
      <c r="E525" s="9" t="s">
        <v>258</v>
      </c>
      <c r="F525" s="9" t="s">
        <v>259</v>
      </c>
      <c r="G525" s="7">
        <v>12.8</v>
      </c>
      <c r="H525" s="7">
        <v>12.8</v>
      </c>
      <c r="I525" s="10"/>
    </row>
    <row r="526" spans="1:9" hidden="1" x14ac:dyDescent="0.25">
      <c r="A526" s="9"/>
      <c r="B526" s="9"/>
      <c r="C526" s="9"/>
      <c r="D526" s="9"/>
      <c r="E526" s="9" t="s">
        <v>63</v>
      </c>
      <c r="F526" s="9" t="s">
        <v>64</v>
      </c>
      <c r="G526" s="7">
        <v>50.16</v>
      </c>
      <c r="H526" s="7">
        <v>50.16</v>
      </c>
      <c r="I526" s="10"/>
    </row>
    <row r="527" spans="1:9" hidden="1" x14ac:dyDescent="0.25">
      <c r="A527" s="9"/>
      <c r="B527" s="9"/>
      <c r="C527" s="9"/>
      <c r="D527" s="9"/>
      <c r="E527" s="9" t="s">
        <v>61</v>
      </c>
      <c r="F527" s="9" t="s">
        <v>62</v>
      </c>
      <c r="G527" s="7">
        <v>14</v>
      </c>
      <c r="H527" s="7">
        <v>14</v>
      </c>
      <c r="I527" s="10"/>
    </row>
    <row r="528" spans="1:9" hidden="1" x14ac:dyDescent="0.25">
      <c r="A528" s="9"/>
      <c r="B528" s="9"/>
      <c r="C528" s="9"/>
      <c r="D528" s="9"/>
      <c r="E528" s="9" t="s">
        <v>157</v>
      </c>
      <c r="F528" s="9" t="s">
        <v>158</v>
      </c>
      <c r="G528" s="7">
        <v>8.4</v>
      </c>
      <c r="H528" s="7">
        <v>8.4</v>
      </c>
      <c r="I528" s="10"/>
    </row>
    <row r="529" spans="1:9" hidden="1" x14ac:dyDescent="0.25">
      <c r="A529" s="9"/>
      <c r="B529" s="9"/>
      <c r="C529" s="9"/>
      <c r="D529" s="9"/>
      <c r="E529" s="9" t="s">
        <v>159</v>
      </c>
      <c r="F529" s="9" t="s">
        <v>160</v>
      </c>
      <c r="G529" s="7">
        <v>8.4</v>
      </c>
      <c r="H529" s="7">
        <v>8.4</v>
      </c>
      <c r="I529" s="10"/>
    </row>
    <row r="530" spans="1:9" hidden="1" x14ac:dyDescent="0.25">
      <c r="A530" s="9"/>
      <c r="B530" s="9"/>
      <c r="C530" s="9"/>
      <c r="D530" s="9"/>
      <c r="E530" s="9" t="s">
        <v>94</v>
      </c>
      <c r="F530" s="9" t="s">
        <v>95</v>
      </c>
      <c r="G530" s="7">
        <v>6.4</v>
      </c>
      <c r="H530" s="7">
        <v>6.4</v>
      </c>
      <c r="I530" s="10"/>
    </row>
    <row r="531" spans="1:9" hidden="1" x14ac:dyDescent="0.25">
      <c r="A531" s="9"/>
      <c r="B531" s="9"/>
      <c r="C531" s="9"/>
      <c r="D531" s="9"/>
      <c r="E531" s="9" t="s">
        <v>165</v>
      </c>
      <c r="F531" s="9" t="s">
        <v>166</v>
      </c>
      <c r="G531" s="7">
        <v>885</v>
      </c>
      <c r="H531" s="7">
        <v>885</v>
      </c>
      <c r="I531" s="10"/>
    </row>
    <row r="532" spans="1:9" hidden="1" x14ac:dyDescent="0.25">
      <c r="A532" s="9"/>
      <c r="B532" s="9"/>
      <c r="C532" s="9"/>
      <c r="D532" s="9"/>
      <c r="E532" s="9" t="s">
        <v>161</v>
      </c>
      <c r="F532" s="9" t="s">
        <v>162</v>
      </c>
      <c r="G532" s="7">
        <v>2415</v>
      </c>
      <c r="H532" s="7">
        <v>2415</v>
      </c>
      <c r="I532" s="10"/>
    </row>
    <row r="533" spans="1:9" hidden="1" x14ac:dyDescent="0.25">
      <c r="A533" s="9"/>
      <c r="B533" s="9"/>
      <c r="C533" s="9"/>
      <c r="D533" s="9"/>
      <c r="E533" s="9" t="s">
        <v>163</v>
      </c>
      <c r="F533" s="9" t="s">
        <v>164</v>
      </c>
      <c r="G533" s="7">
        <v>1950</v>
      </c>
      <c r="H533" s="7">
        <v>1950</v>
      </c>
      <c r="I533" s="10"/>
    </row>
    <row r="534" spans="1:9" hidden="1" x14ac:dyDescent="0.25">
      <c r="A534" s="9"/>
      <c r="B534" s="9"/>
      <c r="C534" s="9"/>
      <c r="D534" s="9"/>
      <c r="E534" s="9" t="s">
        <v>240</v>
      </c>
      <c r="F534" s="9" t="s">
        <v>241</v>
      </c>
      <c r="G534" s="7">
        <v>2.7</v>
      </c>
      <c r="H534" s="7">
        <v>2.7</v>
      </c>
      <c r="I534" s="10"/>
    </row>
    <row r="535" spans="1:9" hidden="1" x14ac:dyDescent="0.25">
      <c r="A535" s="9"/>
      <c r="B535" s="9"/>
      <c r="C535" s="9"/>
      <c r="D535" s="9"/>
      <c r="E535" s="9" t="s">
        <v>91</v>
      </c>
      <c r="F535" s="9" t="s">
        <v>92</v>
      </c>
      <c r="G535" s="7">
        <v>12.6</v>
      </c>
      <c r="H535" s="7"/>
      <c r="I535" s="10">
        <v>-12.6</v>
      </c>
    </row>
    <row r="536" spans="1:9" hidden="1" x14ac:dyDescent="0.25">
      <c r="A536" s="9"/>
      <c r="B536" s="9"/>
      <c r="C536" s="9"/>
      <c r="D536" s="9"/>
      <c r="E536" s="9" t="s">
        <v>98</v>
      </c>
      <c r="F536" s="9" t="s">
        <v>99</v>
      </c>
      <c r="G536" s="7">
        <v>5.04</v>
      </c>
      <c r="H536" s="7">
        <v>5.04</v>
      </c>
      <c r="I536" s="10"/>
    </row>
    <row r="537" spans="1:9" hidden="1" x14ac:dyDescent="0.25">
      <c r="A537" s="9"/>
      <c r="B537" s="9"/>
      <c r="C537" s="9"/>
      <c r="D537" s="9"/>
      <c r="E537" s="9" t="s">
        <v>100</v>
      </c>
      <c r="F537" s="9" t="s">
        <v>101</v>
      </c>
      <c r="G537" s="7">
        <v>10.08</v>
      </c>
      <c r="H537" s="7">
        <v>10.08</v>
      </c>
      <c r="I537" s="10"/>
    </row>
    <row r="538" spans="1:9" hidden="1" x14ac:dyDescent="0.25">
      <c r="A538" s="9"/>
      <c r="B538" s="9"/>
      <c r="C538" s="9"/>
      <c r="D538" s="9"/>
      <c r="E538" s="9" t="s">
        <v>209</v>
      </c>
      <c r="F538" s="9" t="s">
        <v>210</v>
      </c>
      <c r="G538" s="7">
        <v>7.56</v>
      </c>
      <c r="H538" s="7">
        <v>7.56</v>
      </c>
      <c r="I538" s="10"/>
    </row>
    <row r="539" spans="1:9" hidden="1" x14ac:dyDescent="0.25">
      <c r="A539" s="9"/>
      <c r="B539" s="9"/>
      <c r="C539" s="9"/>
      <c r="D539" s="9"/>
      <c r="E539" s="9" t="s">
        <v>137</v>
      </c>
      <c r="F539" s="9" t="s">
        <v>138</v>
      </c>
      <c r="G539" s="7">
        <v>5.4</v>
      </c>
      <c r="H539" s="7">
        <v>5.4</v>
      </c>
      <c r="I539" s="10"/>
    </row>
    <row r="540" spans="1:9" hidden="1" x14ac:dyDescent="0.25">
      <c r="A540" s="9"/>
      <c r="B540" s="9"/>
      <c r="C540" s="9"/>
      <c r="D540" s="9"/>
      <c r="E540" s="9" t="s">
        <v>244</v>
      </c>
      <c r="F540" s="9" t="s">
        <v>245</v>
      </c>
      <c r="G540" s="7">
        <v>4.5</v>
      </c>
      <c r="H540" s="7">
        <v>4.5</v>
      </c>
      <c r="I540" s="10"/>
    </row>
    <row r="541" spans="1:9" hidden="1" x14ac:dyDescent="0.25">
      <c r="A541" s="9"/>
      <c r="B541" s="9"/>
      <c r="C541" s="9"/>
      <c r="D541" s="9"/>
      <c r="E541" s="9" t="s">
        <v>87</v>
      </c>
      <c r="F541" s="9" t="s">
        <v>88</v>
      </c>
      <c r="G541" s="7">
        <v>3.2</v>
      </c>
      <c r="H541" s="7">
        <v>3.2</v>
      </c>
      <c r="I541" s="10"/>
    </row>
    <row r="542" spans="1:9" hidden="1" x14ac:dyDescent="0.25">
      <c r="A542" s="9"/>
      <c r="B542" s="9"/>
      <c r="C542" s="9"/>
      <c r="D542" s="9"/>
      <c r="E542" s="9" t="s">
        <v>76</v>
      </c>
      <c r="F542" s="9" t="s">
        <v>77</v>
      </c>
      <c r="G542" s="7">
        <v>15.12</v>
      </c>
      <c r="H542" s="7">
        <v>15.12</v>
      </c>
      <c r="I542" s="10"/>
    </row>
    <row r="543" spans="1:9" hidden="1" x14ac:dyDescent="0.25">
      <c r="A543" s="9"/>
      <c r="B543" s="9"/>
      <c r="C543" s="9"/>
      <c r="D543" s="9"/>
      <c r="E543" s="9" t="s">
        <v>65</v>
      </c>
      <c r="F543" s="9" t="s">
        <v>66</v>
      </c>
      <c r="G543" s="7">
        <v>101.5</v>
      </c>
      <c r="H543" s="7"/>
      <c r="I543" s="10">
        <v>-101.5</v>
      </c>
    </row>
    <row r="544" spans="1:9" hidden="1" x14ac:dyDescent="0.25">
      <c r="A544" s="9"/>
      <c r="B544" s="9"/>
      <c r="C544" s="9"/>
      <c r="D544" s="9"/>
      <c r="E544" s="9" t="s">
        <v>81</v>
      </c>
      <c r="F544" s="9" t="s">
        <v>82</v>
      </c>
      <c r="G544" s="7">
        <v>42</v>
      </c>
      <c r="H544" s="7"/>
      <c r="I544" s="10">
        <v>-42</v>
      </c>
    </row>
    <row r="545" spans="1:12" hidden="1" x14ac:dyDescent="0.25">
      <c r="A545" s="9"/>
      <c r="B545" s="9"/>
      <c r="C545" s="9"/>
      <c r="D545" s="9"/>
      <c r="E545" s="9" t="s">
        <v>74</v>
      </c>
      <c r="F545" s="9" t="s">
        <v>75</v>
      </c>
      <c r="G545" s="7">
        <v>52.5</v>
      </c>
      <c r="H545" s="7">
        <v>52.5</v>
      </c>
      <c r="I545" s="10"/>
    </row>
    <row r="546" spans="1:12" hidden="1" x14ac:dyDescent="0.25">
      <c r="A546" s="9"/>
      <c r="B546" s="9"/>
      <c r="C546" s="9"/>
      <c r="D546" s="9"/>
      <c r="E546" s="9" t="s">
        <v>78</v>
      </c>
      <c r="F546" s="9" t="s">
        <v>79</v>
      </c>
      <c r="G546" s="7">
        <v>42</v>
      </c>
      <c r="H546" s="7">
        <v>42</v>
      </c>
      <c r="I546" s="10"/>
    </row>
    <row r="547" spans="1:12" hidden="1" x14ac:dyDescent="0.25">
      <c r="A547" s="9"/>
      <c r="B547" s="9"/>
      <c r="C547" s="9"/>
      <c r="D547" s="9"/>
      <c r="E547" s="9" t="s">
        <v>70</v>
      </c>
      <c r="F547" s="9" t="s">
        <v>71</v>
      </c>
      <c r="G547" s="7">
        <v>52.5</v>
      </c>
      <c r="H547" s="7">
        <v>52.5</v>
      </c>
      <c r="I547" s="10"/>
    </row>
    <row r="548" spans="1:12" hidden="1" x14ac:dyDescent="0.25">
      <c r="A548" s="9"/>
      <c r="B548" s="9"/>
      <c r="C548" s="9"/>
      <c r="D548" s="9"/>
      <c r="E548" s="9" t="s">
        <v>141</v>
      </c>
      <c r="F548" s="9" t="s">
        <v>142</v>
      </c>
      <c r="G548" s="7">
        <v>117</v>
      </c>
      <c r="H548" s="7">
        <v>117</v>
      </c>
      <c r="I548" s="10"/>
    </row>
    <row r="549" spans="1:12" hidden="1" x14ac:dyDescent="0.25">
      <c r="A549" s="9"/>
      <c r="B549" s="9"/>
      <c r="C549" s="9"/>
      <c r="D549" s="9"/>
      <c r="E549" s="9" t="s">
        <v>216</v>
      </c>
      <c r="F549" s="9" t="s">
        <v>217</v>
      </c>
      <c r="G549" s="7">
        <v>70.2</v>
      </c>
      <c r="H549" s="7">
        <v>70.2</v>
      </c>
      <c r="I549" s="10"/>
    </row>
    <row r="550" spans="1:12" hidden="1" x14ac:dyDescent="0.25">
      <c r="A550" s="9"/>
      <c r="B550" s="9"/>
      <c r="C550" s="9"/>
      <c r="D550" s="9"/>
      <c r="E550" s="9" t="s">
        <v>143</v>
      </c>
      <c r="F550" s="9" t="s">
        <v>144</v>
      </c>
      <c r="G550" s="7">
        <v>23.4</v>
      </c>
      <c r="H550" s="7">
        <v>23.4</v>
      </c>
      <c r="I550" s="10"/>
    </row>
    <row r="551" spans="1:12" hidden="1" x14ac:dyDescent="0.25">
      <c r="A551" s="9"/>
      <c r="B551" s="9"/>
      <c r="C551" s="9"/>
      <c r="D551" s="9"/>
      <c r="E551" s="9" t="s">
        <v>264</v>
      </c>
      <c r="F551" s="9" t="s">
        <v>265</v>
      </c>
      <c r="G551" s="7">
        <v>45</v>
      </c>
      <c r="H551" s="7">
        <v>45</v>
      </c>
      <c r="I551" s="10"/>
    </row>
    <row r="552" spans="1:12" hidden="1" x14ac:dyDescent="0.25">
      <c r="A552" s="9"/>
      <c r="B552" s="9"/>
      <c r="C552" s="9"/>
      <c r="D552" s="9"/>
      <c r="E552" s="9" t="s">
        <v>155</v>
      </c>
      <c r="F552" s="9" t="s">
        <v>156</v>
      </c>
      <c r="G552" s="7">
        <v>21</v>
      </c>
      <c r="H552" s="7">
        <v>21</v>
      </c>
      <c r="I552" s="10"/>
    </row>
    <row r="553" spans="1:12" hidden="1" x14ac:dyDescent="0.25">
      <c r="A553" s="9"/>
      <c r="B553" s="9"/>
      <c r="C553" s="9"/>
      <c r="D553" s="9"/>
      <c r="E553" s="9" t="s">
        <v>262</v>
      </c>
      <c r="F553" s="9" t="s">
        <v>263</v>
      </c>
      <c r="G553" s="7">
        <v>57</v>
      </c>
      <c r="H553" s="7">
        <v>57</v>
      </c>
      <c r="I553" s="10"/>
    </row>
    <row r="554" spans="1:12" hidden="1" x14ac:dyDescent="0.25">
      <c r="A554" s="9"/>
      <c r="B554" s="9"/>
      <c r="C554" s="9"/>
      <c r="D554" s="9"/>
      <c r="E554" s="9" t="s">
        <v>167</v>
      </c>
      <c r="F554" s="9" t="s">
        <v>168</v>
      </c>
      <c r="G554" s="7">
        <v>2205</v>
      </c>
      <c r="H554" s="7">
        <v>2205</v>
      </c>
      <c r="I554" s="10"/>
    </row>
    <row r="555" spans="1:12" x14ac:dyDescent="0.25">
      <c r="A555" s="9"/>
      <c r="B555" s="9"/>
      <c r="C555" s="12" t="s">
        <v>281</v>
      </c>
      <c r="D555" s="12" t="s">
        <v>282</v>
      </c>
      <c r="E555" s="12" t="s">
        <v>169</v>
      </c>
      <c r="F555" s="12" t="s">
        <v>170</v>
      </c>
      <c r="G555" s="13">
        <v>60</v>
      </c>
      <c r="H555" s="13">
        <v>60</v>
      </c>
      <c r="I555" s="14"/>
      <c r="J555" s="15">
        <f>SUM(I555:I648)</f>
        <v>-1213.4000000000001</v>
      </c>
      <c r="K555" s="20" t="s">
        <v>337</v>
      </c>
      <c r="L555" s="20">
        <v>14.09</v>
      </c>
    </row>
    <row r="556" spans="1:12" hidden="1" x14ac:dyDescent="0.25">
      <c r="A556" s="9"/>
      <c r="B556" s="9"/>
      <c r="C556" s="9"/>
      <c r="D556" s="9"/>
      <c r="E556" s="9" t="s">
        <v>147</v>
      </c>
      <c r="F556" s="9" t="s">
        <v>148</v>
      </c>
      <c r="G556" s="7">
        <v>304.2</v>
      </c>
      <c r="H556" s="7">
        <v>304.2</v>
      </c>
      <c r="I556" s="10"/>
    </row>
    <row r="557" spans="1:12" hidden="1" x14ac:dyDescent="0.25">
      <c r="A557" s="9"/>
      <c r="B557" s="9"/>
      <c r="C557" s="9"/>
      <c r="D557" s="9"/>
      <c r="E557" s="9" t="s">
        <v>277</v>
      </c>
      <c r="F557" s="9" t="s">
        <v>278</v>
      </c>
      <c r="G557" s="7">
        <v>27</v>
      </c>
      <c r="H557" s="7">
        <v>27</v>
      </c>
      <c r="I557" s="10"/>
    </row>
    <row r="558" spans="1:12" hidden="1" x14ac:dyDescent="0.25">
      <c r="A558" s="9"/>
      <c r="B558" s="9"/>
      <c r="C558" s="9"/>
      <c r="D558" s="9"/>
      <c r="E558" s="9" t="s">
        <v>195</v>
      </c>
      <c r="F558" s="9" t="s">
        <v>196</v>
      </c>
      <c r="G558" s="7">
        <v>140.4</v>
      </c>
      <c r="H558" s="7">
        <v>140.4</v>
      </c>
      <c r="I558" s="10"/>
    </row>
    <row r="559" spans="1:12" hidden="1" x14ac:dyDescent="0.25">
      <c r="A559" s="9"/>
      <c r="B559" s="9"/>
      <c r="C559" s="9"/>
      <c r="D559" s="9"/>
      <c r="E559" s="9" t="s">
        <v>218</v>
      </c>
      <c r="F559" s="9" t="s">
        <v>219</v>
      </c>
      <c r="G559" s="7">
        <v>25.2</v>
      </c>
      <c r="H559" s="7">
        <v>25.2</v>
      </c>
      <c r="I559" s="10"/>
    </row>
    <row r="560" spans="1:12" hidden="1" x14ac:dyDescent="0.25">
      <c r="A560" s="9"/>
      <c r="B560" s="9"/>
      <c r="C560" s="9"/>
      <c r="D560" s="9"/>
      <c r="E560" s="9" t="s">
        <v>149</v>
      </c>
      <c r="F560" s="9" t="s">
        <v>150</v>
      </c>
      <c r="G560" s="7">
        <v>84</v>
      </c>
      <c r="H560" s="7">
        <v>84</v>
      </c>
      <c r="I560" s="10"/>
    </row>
    <row r="561" spans="1:9" hidden="1" x14ac:dyDescent="0.25">
      <c r="A561" s="9"/>
      <c r="B561" s="9"/>
      <c r="C561" s="9"/>
      <c r="D561" s="9"/>
      <c r="E561" s="9" t="s">
        <v>51</v>
      </c>
      <c r="F561" s="9" t="s">
        <v>52</v>
      </c>
      <c r="G561" s="7">
        <v>243</v>
      </c>
      <c r="H561" s="7">
        <v>243</v>
      </c>
      <c r="I561" s="10"/>
    </row>
    <row r="562" spans="1:9" hidden="1" x14ac:dyDescent="0.25">
      <c r="A562" s="9"/>
      <c r="B562" s="9"/>
      <c r="C562" s="9"/>
      <c r="D562" s="9"/>
      <c r="E562" s="9" t="s">
        <v>53</v>
      </c>
      <c r="F562" s="9" t="s">
        <v>54</v>
      </c>
      <c r="G562" s="7">
        <v>340.2</v>
      </c>
      <c r="H562" s="7">
        <v>340.2</v>
      </c>
      <c r="I562" s="10"/>
    </row>
    <row r="563" spans="1:9" hidden="1" x14ac:dyDescent="0.25">
      <c r="A563" s="9"/>
      <c r="B563" s="9"/>
      <c r="C563" s="9"/>
      <c r="D563" s="9"/>
      <c r="E563" s="9" t="s">
        <v>260</v>
      </c>
      <c r="F563" s="9" t="s">
        <v>261</v>
      </c>
      <c r="G563" s="7">
        <v>25.5</v>
      </c>
      <c r="H563" s="7">
        <v>25.5</v>
      </c>
      <c r="I563" s="10"/>
    </row>
    <row r="564" spans="1:9" hidden="1" x14ac:dyDescent="0.25">
      <c r="A564" s="9"/>
      <c r="B564" s="9"/>
      <c r="C564" s="9"/>
      <c r="D564" s="9"/>
      <c r="E564" s="9" t="s">
        <v>246</v>
      </c>
      <c r="F564" s="9" t="s">
        <v>247</v>
      </c>
      <c r="G564" s="7">
        <v>9.1199999999999992</v>
      </c>
      <c r="H564" s="7">
        <v>9.1199999999999992</v>
      </c>
      <c r="I564" s="10"/>
    </row>
    <row r="565" spans="1:9" hidden="1" x14ac:dyDescent="0.25">
      <c r="A565" s="9"/>
      <c r="B565" s="9"/>
      <c r="C565" s="9"/>
      <c r="D565" s="9"/>
      <c r="E565" s="9" t="s">
        <v>289</v>
      </c>
      <c r="F565" s="9" t="s">
        <v>290</v>
      </c>
      <c r="G565" s="7">
        <v>36.479999999999997</v>
      </c>
      <c r="H565" s="7">
        <v>36.479999999999997</v>
      </c>
      <c r="I565" s="10"/>
    </row>
    <row r="566" spans="1:9" hidden="1" x14ac:dyDescent="0.25">
      <c r="A566" s="9"/>
      <c r="B566" s="9"/>
      <c r="C566" s="9"/>
      <c r="D566" s="9"/>
      <c r="E566" s="9" t="s">
        <v>185</v>
      </c>
      <c r="F566" s="9" t="s">
        <v>186</v>
      </c>
      <c r="G566" s="7">
        <v>195.36</v>
      </c>
      <c r="H566" s="7">
        <v>195.36</v>
      </c>
      <c r="I566" s="10"/>
    </row>
    <row r="567" spans="1:9" hidden="1" x14ac:dyDescent="0.25">
      <c r="A567" s="9"/>
      <c r="B567" s="9"/>
      <c r="C567" s="9"/>
      <c r="D567" s="9"/>
      <c r="E567" s="9" t="s">
        <v>179</v>
      </c>
      <c r="F567" s="9" t="s">
        <v>180</v>
      </c>
      <c r="G567" s="7">
        <v>26.4</v>
      </c>
      <c r="H567" s="7">
        <v>26.4</v>
      </c>
      <c r="I567" s="10"/>
    </row>
    <row r="568" spans="1:9" hidden="1" x14ac:dyDescent="0.25">
      <c r="A568" s="9"/>
      <c r="B568" s="9"/>
      <c r="C568" s="9"/>
      <c r="D568" s="9"/>
      <c r="E568" s="9" t="s">
        <v>187</v>
      </c>
      <c r="F568" s="9" t="s">
        <v>188</v>
      </c>
      <c r="G568" s="7">
        <v>100.32</v>
      </c>
      <c r="H568" s="7">
        <v>100.32</v>
      </c>
      <c r="I568" s="10"/>
    </row>
    <row r="569" spans="1:9" hidden="1" x14ac:dyDescent="0.25">
      <c r="A569" s="9"/>
      <c r="B569" s="9"/>
      <c r="C569" s="9"/>
      <c r="D569" s="9"/>
      <c r="E569" s="9" t="s">
        <v>173</v>
      </c>
      <c r="F569" s="9" t="s">
        <v>174</v>
      </c>
      <c r="G569" s="7">
        <v>603</v>
      </c>
      <c r="H569" s="7">
        <v>603</v>
      </c>
      <c r="I569" s="10"/>
    </row>
    <row r="570" spans="1:9" hidden="1" x14ac:dyDescent="0.25">
      <c r="A570" s="9"/>
      <c r="B570" s="9"/>
      <c r="C570" s="9"/>
      <c r="D570" s="9"/>
      <c r="E570" s="9" t="s">
        <v>232</v>
      </c>
      <c r="F570" s="9" t="s">
        <v>233</v>
      </c>
      <c r="G570" s="7">
        <v>179.52</v>
      </c>
      <c r="H570" s="7">
        <v>179.52</v>
      </c>
      <c r="I570" s="10"/>
    </row>
    <row r="571" spans="1:9" hidden="1" x14ac:dyDescent="0.25">
      <c r="A571" s="9"/>
      <c r="B571" s="9"/>
      <c r="C571" s="9"/>
      <c r="D571" s="9"/>
      <c r="E571" s="9" t="s">
        <v>189</v>
      </c>
      <c r="F571" s="9" t="s">
        <v>190</v>
      </c>
      <c r="G571" s="7">
        <v>100.32</v>
      </c>
      <c r="H571" s="7">
        <v>100.32</v>
      </c>
      <c r="I571" s="10"/>
    </row>
    <row r="572" spans="1:9" hidden="1" x14ac:dyDescent="0.25">
      <c r="A572" s="9"/>
      <c r="B572" s="9"/>
      <c r="C572" s="9"/>
      <c r="D572" s="9"/>
      <c r="E572" s="9" t="s">
        <v>220</v>
      </c>
      <c r="F572" s="9" t="s">
        <v>221</v>
      </c>
      <c r="G572" s="7">
        <v>100.32</v>
      </c>
      <c r="H572" s="7">
        <v>100.32</v>
      </c>
      <c r="I572" s="10"/>
    </row>
    <row r="573" spans="1:9" hidden="1" x14ac:dyDescent="0.25">
      <c r="A573" s="9"/>
      <c r="B573" s="9"/>
      <c r="C573" s="9"/>
      <c r="D573" s="9"/>
      <c r="E573" s="9" t="s">
        <v>181</v>
      </c>
      <c r="F573" s="9" t="s">
        <v>182</v>
      </c>
      <c r="G573" s="7">
        <v>36.96</v>
      </c>
      <c r="H573" s="7">
        <v>36.96</v>
      </c>
      <c r="I573" s="10"/>
    </row>
    <row r="574" spans="1:9" hidden="1" x14ac:dyDescent="0.25">
      <c r="A574" s="9"/>
      <c r="B574" s="9"/>
      <c r="C574" s="9"/>
      <c r="D574" s="9"/>
      <c r="E574" s="9" t="s">
        <v>175</v>
      </c>
      <c r="F574" s="9" t="s">
        <v>176</v>
      </c>
      <c r="G574" s="7">
        <v>33.6</v>
      </c>
      <c r="H574" s="7"/>
      <c r="I574" s="10">
        <v>-33.6</v>
      </c>
    </row>
    <row r="575" spans="1:9" hidden="1" x14ac:dyDescent="0.25">
      <c r="A575" s="9"/>
      <c r="B575" s="9"/>
      <c r="C575" s="9"/>
      <c r="D575" s="9"/>
      <c r="E575" s="9" t="s">
        <v>145</v>
      </c>
      <c r="F575" s="9" t="s">
        <v>146</v>
      </c>
      <c r="G575" s="7">
        <v>25.2</v>
      </c>
      <c r="H575" s="7">
        <v>25.2</v>
      </c>
      <c r="I575" s="10"/>
    </row>
    <row r="576" spans="1:9" hidden="1" x14ac:dyDescent="0.25">
      <c r="A576" s="9"/>
      <c r="B576" s="9"/>
      <c r="C576" s="9"/>
      <c r="D576" s="9"/>
      <c r="E576" s="9" t="s">
        <v>59</v>
      </c>
      <c r="F576" s="9" t="s">
        <v>60</v>
      </c>
      <c r="G576" s="7">
        <v>51.48</v>
      </c>
      <c r="H576" s="7">
        <v>51.48</v>
      </c>
      <c r="I576" s="10"/>
    </row>
    <row r="577" spans="1:9" hidden="1" x14ac:dyDescent="0.25">
      <c r="A577" s="9"/>
      <c r="B577" s="9"/>
      <c r="C577" s="9"/>
      <c r="D577" s="9"/>
      <c r="E577" s="9" t="s">
        <v>153</v>
      </c>
      <c r="F577" s="9" t="s">
        <v>154</v>
      </c>
      <c r="G577" s="7">
        <v>6</v>
      </c>
      <c r="H577" s="7">
        <v>6</v>
      </c>
      <c r="I577" s="10"/>
    </row>
    <row r="578" spans="1:9" hidden="1" x14ac:dyDescent="0.25">
      <c r="A578" s="9"/>
      <c r="B578" s="9"/>
      <c r="C578" s="9"/>
      <c r="D578" s="9"/>
      <c r="E578" s="9" t="s">
        <v>266</v>
      </c>
      <c r="F578" s="9" t="s">
        <v>267</v>
      </c>
      <c r="G578" s="7">
        <v>162</v>
      </c>
      <c r="H578" s="7">
        <v>35</v>
      </c>
      <c r="I578" s="10">
        <v>-127</v>
      </c>
    </row>
    <row r="579" spans="1:9" hidden="1" x14ac:dyDescent="0.25">
      <c r="A579" s="9"/>
      <c r="B579" s="9"/>
      <c r="C579" s="9"/>
      <c r="D579" s="9"/>
      <c r="E579" s="9" t="s">
        <v>177</v>
      </c>
      <c r="F579" s="9" t="s">
        <v>178</v>
      </c>
      <c r="G579" s="7">
        <v>59.4</v>
      </c>
      <c r="H579" s="7"/>
      <c r="I579" s="10">
        <v>-59.4</v>
      </c>
    </row>
    <row r="580" spans="1:9" hidden="1" x14ac:dyDescent="0.25">
      <c r="A580" s="9"/>
      <c r="B580" s="9"/>
      <c r="C580" s="9"/>
      <c r="D580" s="9"/>
      <c r="E580" s="9" t="s">
        <v>122</v>
      </c>
      <c r="F580" s="9" t="s">
        <v>123</v>
      </c>
      <c r="G580" s="7">
        <v>400.8</v>
      </c>
      <c r="H580" s="7">
        <v>400.8</v>
      </c>
      <c r="I580" s="10"/>
    </row>
    <row r="581" spans="1:9" hidden="1" x14ac:dyDescent="0.25">
      <c r="A581" s="9"/>
      <c r="B581" s="9"/>
      <c r="C581" s="9"/>
      <c r="D581" s="9"/>
      <c r="E581" s="9" t="s">
        <v>124</v>
      </c>
      <c r="F581" s="9" t="s">
        <v>125</v>
      </c>
      <c r="G581" s="7">
        <v>170.4</v>
      </c>
      <c r="H581" s="7">
        <v>170.4</v>
      </c>
      <c r="I581" s="10"/>
    </row>
    <row r="582" spans="1:9" hidden="1" x14ac:dyDescent="0.25">
      <c r="A582" s="9"/>
      <c r="B582" s="9"/>
      <c r="C582" s="9"/>
      <c r="D582" s="9"/>
      <c r="E582" s="9" t="s">
        <v>183</v>
      </c>
      <c r="F582" s="9" t="s">
        <v>184</v>
      </c>
      <c r="G582" s="7">
        <v>116.16</v>
      </c>
      <c r="H582" s="7">
        <v>116.16</v>
      </c>
      <c r="I582" s="10"/>
    </row>
    <row r="583" spans="1:9" hidden="1" x14ac:dyDescent="0.25">
      <c r="A583" s="9"/>
      <c r="B583" s="9"/>
      <c r="C583" s="9"/>
      <c r="D583" s="9"/>
      <c r="E583" s="9" t="s">
        <v>193</v>
      </c>
      <c r="F583" s="9" t="s">
        <v>194</v>
      </c>
      <c r="G583" s="7">
        <v>81</v>
      </c>
      <c r="H583" s="7"/>
      <c r="I583" s="10">
        <v>-81</v>
      </c>
    </row>
    <row r="584" spans="1:9" hidden="1" x14ac:dyDescent="0.25">
      <c r="A584" s="9"/>
      <c r="B584" s="9"/>
      <c r="C584" s="9"/>
      <c r="D584" s="9"/>
      <c r="E584" s="9" t="s">
        <v>89</v>
      </c>
      <c r="F584" s="9" t="s">
        <v>90</v>
      </c>
      <c r="G584" s="7">
        <v>8.4</v>
      </c>
      <c r="H584" s="7">
        <v>8.4</v>
      </c>
      <c r="I584" s="10"/>
    </row>
    <row r="585" spans="1:9" hidden="1" x14ac:dyDescent="0.25">
      <c r="A585" s="9"/>
      <c r="B585" s="9"/>
      <c r="C585" s="9"/>
      <c r="D585" s="9"/>
      <c r="E585" s="9" t="s">
        <v>126</v>
      </c>
      <c r="F585" s="9" t="s">
        <v>127</v>
      </c>
      <c r="G585" s="7">
        <v>100.8</v>
      </c>
      <c r="H585" s="7">
        <v>100.8</v>
      </c>
      <c r="I585" s="10"/>
    </row>
    <row r="586" spans="1:9" hidden="1" x14ac:dyDescent="0.25">
      <c r="A586" s="9"/>
      <c r="B586" s="9"/>
      <c r="C586" s="9"/>
      <c r="D586" s="9"/>
      <c r="E586" s="9" t="s">
        <v>120</v>
      </c>
      <c r="F586" s="9" t="s">
        <v>121</v>
      </c>
      <c r="G586" s="7">
        <v>26.1</v>
      </c>
      <c r="H586" s="7">
        <v>26.1</v>
      </c>
      <c r="I586" s="10"/>
    </row>
    <row r="587" spans="1:9" hidden="1" x14ac:dyDescent="0.25">
      <c r="A587" s="9"/>
      <c r="B587" s="9"/>
      <c r="C587" s="9"/>
      <c r="D587" s="9"/>
      <c r="E587" s="9" t="s">
        <v>207</v>
      </c>
      <c r="F587" s="9" t="s">
        <v>208</v>
      </c>
      <c r="G587" s="7">
        <v>121.5</v>
      </c>
      <c r="H587" s="7">
        <v>121.5</v>
      </c>
      <c r="I587" s="10"/>
    </row>
    <row r="588" spans="1:9" hidden="1" x14ac:dyDescent="0.25">
      <c r="A588" s="9"/>
      <c r="B588" s="9"/>
      <c r="C588" s="9"/>
      <c r="D588" s="9"/>
      <c r="E588" s="9" t="s">
        <v>287</v>
      </c>
      <c r="F588" s="9" t="s">
        <v>288</v>
      </c>
      <c r="G588" s="7">
        <v>33.6</v>
      </c>
      <c r="H588" s="7">
        <v>33.6</v>
      </c>
      <c r="I588" s="10"/>
    </row>
    <row r="589" spans="1:9" hidden="1" x14ac:dyDescent="0.25">
      <c r="A589" s="9"/>
      <c r="B589" s="9"/>
      <c r="C589" s="9"/>
      <c r="D589" s="9"/>
      <c r="E589" s="9" t="s">
        <v>83</v>
      </c>
      <c r="F589" s="9" t="s">
        <v>84</v>
      </c>
      <c r="G589" s="7">
        <v>21</v>
      </c>
      <c r="H589" s="7">
        <v>21</v>
      </c>
      <c r="I589" s="10"/>
    </row>
    <row r="590" spans="1:9" hidden="1" x14ac:dyDescent="0.25">
      <c r="A590" s="9"/>
      <c r="B590" s="9"/>
      <c r="C590" s="9"/>
      <c r="D590" s="9"/>
      <c r="E590" s="9" t="s">
        <v>132</v>
      </c>
      <c r="F590" s="9" t="s">
        <v>133</v>
      </c>
      <c r="G590" s="7">
        <v>12</v>
      </c>
      <c r="H590" s="7">
        <v>12</v>
      </c>
      <c r="I590" s="10"/>
    </row>
    <row r="591" spans="1:9" hidden="1" x14ac:dyDescent="0.25">
      <c r="A591" s="9"/>
      <c r="B591" s="9"/>
      <c r="C591" s="9"/>
      <c r="D591" s="9"/>
      <c r="E591" s="9" t="s">
        <v>130</v>
      </c>
      <c r="F591" s="9" t="s">
        <v>131</v>
      </c>
      <c r="G591" s="7">
        <v>16.8</v>
      </c>
      <c r="H591" s="7">
        <v>16.8</v>
      </c>
      <c r="I591" s="10"/>
    </row>
    <row r="592" spans="1:9" hidden="1" x14ac:dyDescent="0.25">
      <c r="A592" s="9"/>
      <c r="B592" s="9"/>
      <c r="C592" s="9"/>
      <c r="D592" s="9"/>
      <c r="E592" s="9" t="s">
        <v>214</v>
      </c>
      <c r="F592" s="9" t="s">
        <v>215</v>
      </c>
      <c r="G592" s="7">
        <v>103.2</v>
      </c>
      <c r="H592" s="7">
        <v>103.2</v>
      </c>
      <c r="I592" s="10"/>
    </row>
    <row r="593" spans="1:9" hidden="1" x14ac:dyDescent="0.25">
      <c r="A593" s="9"/>
      <c r="B593" s="9"/>
      <c r="C593" s="9"/>
      <c r="D593" s="9"/>
      <c r="E593" s="9" t="s">
        <v>139</v>
      </c>
      <c r="F593" s="9" t="s">
        <v>140</v>
      </c>
      <c r="G593" s="7">
        <v>40.799999999999997</v>
      </c>
      <c r="H593" s="7">
        <v>40.799999999999997</v>
      </c>
      <c r="I593" s="10"/>
    </row>
    <row r="594" spans="1:9" hidden="1" x14ac:dyDescent="0.25">
      <c r="A594" s="9"/>
      <c r="B594" s="9"/>
      <c r="C594" s="9"/>
      <c r="D594" s="9"/>
      <c r="E594" s="9" t="s">
        <v>256</v>
      </c>
      <c r="F594" s="9" t="s">
        <v>257</v>
      </c>
      <c r="G594" s="7">
        <v>90</v>
      </c>
      <c r="H594" s="7">
        <v>90</v>
      </c>
      <c r="I594" s="10"/>
    </row>
    <row r="595" spans="1:9" hidden="1" x14ac:dyDescent="0.25">
      <c r="A595" s="9"/>
      <c r="B595" s="9"/>
      <c r="C595" s="9"/>
      <c r="D595" s="9"/>
      <c r="E595" s="9" t="s">
        <v>201</v>
      </c>
      <c r="F595" s="9" t="s">
        <v>202</v>
      </c>
      <c r="G595" s="7">
        <v>86.4</v>
      </c>
      <c r="H595" s="7">
        <v>86.4</v>
      </c>
      <c r="I595" s="10"/>
    </row>
    <row r="596" spans="1:9" hidden="1" x14ac:dyDescent="0.25">
      <c r="A596" s="9"/>
      <c r="B596" s="9"/>
      <c r="C596" s="9"/>
      <c r="D596" s="9"/>
      <c r="E596" s="9" t="s">
        <v>49</v>
      </c>
      <c r="F596" s="9" t="s">
        <v>50</v>
      </c>
      <c r="G596" s="7">
        <v>259.2</v>
      </c>
      <c r="H596" s="7">
        <v>259.2</v>
      </c>
      <c r="I596" s="10"/>
    </row>
    <row r="597" spans="1:9" hidden="1" x14ac:dyDescent="0.25">
      <c r="A597" s="9"/>
      <c r="B597" s="9"/>
      <c r="C597" s="9"/>
      <c r="D597" s="9"/>
      <c r="E597" s="9" t="s">
        <v>45</v>
      </c>
      <c r="F597" s="9" t="s">
        <v>46</v>
      </c>
      <c r="G597" s="7">
        <v>4</v>
      </c>
      <c r="H597" s="7">
        <v>4</v>
      </c>
      <c r="I597" s="10"/>
    </row>
    <row r="598" spans="1:9" hidden="1" x14ac:dyDescent="0.25">
      <c r="A598" s="9"/>
      <c r="B598" s="9"/>
      <c r="C598" s="9"/>
      <c r="D598" s="9"/>
      <c r="E598" s="9" t="s">
        <v>285</v>
      </c>
      <c r="F598" s="9" t="s">
        <v>286</v>
      </c>
      <c r="G598" s="7">
        <v>54</v>
      </c>
      <c r="H598" s="7">
        <v>54</v>
      </c>
      <c r="I598" s="10"/>
    </row>
    <row r="599" spans="1:9" hidden="1" x14ac:dyDescent="0.25">
      <c r="A599" s="9"/>
      <c r="B599" s="9"/>
      <c r="C599" s="9"/>
      <c r="D599" s="9"/>
      <c r="E599" s="9" t="s">
        <v>47</v>
      </c>
      <c r="F599" s="9" t="s">
        <v>48</v>
      </c>
      <c r="G599" s="7">
        <v>156</v>
      </c>
      <c r="H599" s="7">
        <v>156</v>
      </c>
      <c r="I599" s="10"/>
    </row>
    <row r="600" spans="1:9" hidden="1" x14ac:dyDescent="0.25">
      <c r="A600" s="9"/>
      <c r="B600" s="9"/>
      <c r="C600" s="9"/>
      <c r="D600" s="9"/>
      <c r="E600" s="9" t="s">
        <v>250</v>
      </c>
      <c r="F600" s="9" t="s">
        <v>251</v>
      </c>
      <c r="G600" s="7">
        <v>8</v>
      </c>
      <c r="H600" s="7">
        <v>8</v>
      </c>
      <c r="I600" s="10"/>
    </row>
    <row r="601" spans="1:9" hidden="1" x14ac:dyDescent="0.25">
      <c r="A601" s="9"/>
      <c r="B601" s="9"/>
      <c r="C601" s="9"/>
      <c r="D601" s="9"/>
      <c r="E601" s="9" t="s">
        <v>212</v>
      </c>
      <c r="F601" s="9" t="s">
        <v>213</v>
      </c>
      <c r="G601" s="7">
        <v>180</v>
      </c>
      <c r="H601" s="7">
        <v>180</v>
      </c>
      <c r="I601" s="10"/>
    </row>
    <row r="602" spans="1:9" hidden="1" x14ac:dyDescent="0.25">
      <c r="A602" s="9"/>
      <c r="B602" s="9"/>
      <c r="C602" s="9"/>
      <c r="D602" s="9"/>
      <c r="E602" s="9" t="s">
        <v>116</v>
      </c>
      <c r="F602" s="9" t="s">
        <v>117</v>
      </c>
      <c r="G602" s="7">
        <v>153.9</v>
      </c>
      <c r="H602" s="7">
        <v>153.9</v>
      </c>
      <c r="I602" s="10"/>
    </row>
    <row r="603" spans="1:9" hidden="1" x14ac:dyDescent="0.25">
      <c r="A603" s="9"/>
      <c r="B603" s="9"/>
      <c r="C603" s="9"/>
      <c r="D603" s="9"/>
      <c r="E603" s="9" t="s">
        <v>128</v>
      </c>
      <c r="F603" s="9" t="s">
        <v>129</v>
      </c>
      <c r="G603" s="7">
        <v>139.19999999999999</v>
      </c>
      <c r="H603" s="7">
        <v>139.19999999999999</v>
      </c>
      <c r="I603" s="10"/>
    </row>
    <row r="604" spans="1:9" hidden="1" x14ac:dyDescent="0.25">
      <c r="A604" s="9"/>
      <c r="B604" s="9"/>
      <c r="C604" s="9"/>
      <c r="D604" s="9"/>
      <c r="E604" s="9" t="s">
        <v>118</v>
      </c>
      <c r="F604" s="9" t="s">
        <v>119</v>
      </c>
      <c r="G604" s="7">
        <v>234.9</v>
      </c>
      <c r="H604" s="7"/>
      <c r="I604" s="10">
        <v>-234.9</v>
      </c>
    </row>
    <row r="605" spans="1:9" hidden="1" x14ac:dyDescent="0.25">
      <c r="A605" s="9"/>
      <c r="B605" s="9"/>
      <c r="C605" s="9"/>
      <c r="D605" s="9"/>
      <c r="E605" s="9" t="s">
        <v>85</v>
      </c>
      <c r="F605" s="9" t="s">
        <v>86</v>
      </c>
      <c r="G605" s="7">
        <v>50.4</v>
      </c>
      <c r="H605" s="7">
        <v>50.4</v>
      </c>
      <c r="I605" s="10"/>
    </row>
    <row r="606" spans="1:9" hidden="1" x14ac:dyDescent="0.25">
      <c r="A606" s="9"/>
      <c r="B606" s="9"/>
      <c r="C606" s="9"/>
      <c r="D606" s="9"/>
      <c r="E606" s="9" t="s">
        <v>96</v>
      </c>
      <c r="F606" s="9" t="s">
        <v>97</v>
      </c>
      <c r="G606" s="7">
        <v>86.1</v>
      </c>
      <c r="H606" s="7"/>
      <c r="I606" s="10">
        <v>-86.1</v>
      </c>
    </row>
    <row r="607" spans="1:9" hidden="1" x14ac:dyDescent="0.25">
      <c r="A607" s="9"/>
      <c r="B607" s="9"/>
      <c r="C607" s="9"/>
      <c r="D607" s="9"/>
      <c r="E607" s="9" t="s">
        <v>205</v>
      </c>
      <c r="F607" s="9" t="s">
        <v>206</v>
      </c>
      <c r="G607" s="7">
        <v>10.8</v>
      </c>
      <c r="H607" s="7">
        <v>10.8</v>
      </c>
      <c r="I607" s="10"/>
    </row>
    <row r="608" spans="1:9" hidden="1" x14ac:dyDescent="0.25">
      <c r="A608" s="9"/>
      <c r="B608" s="9"/>
      <c r="C608" s="9"/>
      <c r="D608" s="9"/>
      <c r="E608" s="9" t="s">
        <v>102</v>
      </c>
      <c r="F608" s="9" t="s">
        <v>103</v>
      </c>
      <c r="G608" s="7">
        <v>43.2</v>
      </c>
      <c r="H608" s="7"/>
      <c r="I608" s="10">
        <v>-43.2</v>
      </c>
    </row>
    <row r="609" spans="1:9" hidden="1" x14ac:dyDescent="0.25">
      <c r="A609" s="9"/>
      <c r="B609" s="9"/>
      <c r="C609" s="9"/>
      <c r="D609" s="9"/>
      <c r="E609" s="9" t="s">
        <v>112</v>
      </c>
      <c r="F609" s="9" t="s">
        <v>113</v>
      </c>
      <c r="G609" s="7">
        <v>18</v>
      </c>
      <c r="H609" s="7"/>
      <c r="I609" s="10">
        <v>-18</v>
      </c>
    </row>
    <row r="610" spans="1:9" hidden="1" x14ac:dyDescent="0.25">
      <c r="A610" s="9"/>
      <c r="B610" s="9"/>
      <c r="C610" s="9"/>
      <c r="D610" s="9"/>
      <c r="E610" s="9" t="s">
        <v>104</v>
      </c>
      <c r="F610" s="9" t="s">
        <v>105</v>
      </c>
      <c r="G610" s="7">
        <v>102.6</v>
      </c>
      <c r="H610" s="7"/>
      <c r="I610" s="10">
        <v>-102.6</v>
      </c>
    </row>
    <row r="611" spans="1:9" hidden="1" x14ac:dyDescent="0.25">
      <c r="A611" s="9"/>
      <c r="B611" s="9"/>
      <c r="C611" s="9"/>
      <c r="D611" s="9"/>
      <c r="E611" s="9" t="s">
        <v>110</v>
      </c>
      <c r="F611" s="9" t="s">
        <v>111</v>
      </c>
      <c r="G611" s="7">
        <v>18</v>
      </c>
      <c r="H611" s="7">
        <v>18</v>
      </c>
      <c r="I611" s="10"/>
    </row>
    <row r="612" spans="1:9" hidden="1" x14ac:dyDescent="0.25">
      <c r="A612" s="9"/>
      <c r="B612" s="9"/>
      <c r="C612" s="9"/>
      <c r="D612" s="9"/>
      <c r="E612" s="9" t="s">
        <v>106</v>
      </c>
      <c r="F612" s="9" t="s">
        <v>107</v>
      </c>
      <c r="G612" s="7">
        <v>302.39999999999998</v>
      </c>
      <c r="H612" s="7">
        <v>302.39999999999998</v>
      </c>
      <c r="I612" s="10"/>
    </row>
    <row r="613" spans="1:9" hidden="1" x14ac:dyDescent="0.25">
      <c r="A613" s="9"/>
      <c r="B613" s="9"/>
      <c r="C613" s="9"/>
      <c r="D613" s="9"/>
      <c r="E613" s="9" t="s">
        <v>108</v>
      </c>
      <c r="F613" s="9" t="s">
        <v>109</v>
      </c>
      <c r="G613" s="7">
        <v>124.2</v>
      </c>
      <c r="H613" s="7"/>
      <c r="I613" s="10">
        <v>-124.2</v>
      </c>
    </row>
    <row r="614" spans="1:9" hidden="1" x14ac:dyDescent="0.25">
      <c r="A614" s="9"/>
      <c r="B614" s="9"/>
      <c r="C614" s="9"/>
      <c r="D614" s="9"/>
      <c r="E614" s="9" t="s">
        <v>114</v>
      </c>
      <c r="F614" s="9" t="s">
        <v>115</v>
      </c>
      <c r="G614" s="7">
        <v>12.6</v>
      </c>
      <c r="H614" s="7">
        <v>12.6</v>
      </c>
      <c r="I614" s="10"/>
    </row>
    <row r="615" spans="1:9" hidden="1" x14ac:dyDescent="0.25">
      <c r="A615" s="9"/>
      <c r="B615" s="9"/>
      <c r="C615" s="9"/>
      <c r="D615" s="9"/>
      <c r="E615" s="9" t="s">
        <v>258</v>
      </c>
      <c r="F615" s="9" t="s">
        <v>259</v>
      </c>
      <c r="G615" s="7">
        <v>57.6</v>
      </c>
      <c r="H615" s="7"/>
      <c r="I615" s="10">
        <v>-57.6</v>
      </c>
    </row>
    <row r="616" spans="1:9" hidden="1" x14ac:dyDescent="0.25">
      <c r="A616" s="9"/>
      <c r="B616" s="9"/>
      <c r="C616" s="9"/>
      <c r="D616" s="9"/>
      <c r="E616" s="9" t="s">
        <v>63</v>
      </c>
      <c r="F616" s="9" t="s">
        <v>64</v>
      </c>
      <c r="G616" s="7">
        <v>60.72</v>
      </c>
      <c r="H616" s="7"/>
      <c r="I616" s="10">
        <v>-60.72</v>
      </c>
    </row>
    <row r="617" spans="1:9" hidden="1" x14ac:dyDescent="0.25">
      <c r="A617" s="9"/>
      <c r="B617" s="9"/>
      <c r="C617" s="9"/>
      <c r="D617" s="9"/>
      <c r="E617" s="9" t="s">
        <v>61</v>
      </c>
      <c r="F617" s="9" t="s">
        <v>62</v>
      </c>
      <c r="G617" s="7">
        <v>78.400000000000006</v>
      </c>
      <c r="H617" s="7"/>
      <c r="I617" s="10">
        <v>-78.400000000000006</v>
      </c>
    </row>
    <row r="618" spans="1:9" hidden="1" x14ac:dyDescent="0.25">
      <c r="A618" s="9"/>
      <c r="B618" s="9"/>
      <c r="C618" s="9"/>
      <c r="D618" s="9"/>
      <c r="E618" s="9" t="s">
        <v>157</v>
      </c>
      <c r="F618" s="9" t="s">
        <v>158</v>
      </c>
      <c r="G618" s="7">
        <v>23.1</v>
      </c>
      <c r="H618" s="7">
        <v>23.1</v>
      </c>
      <c r="I618" s="10"/>
    </row>
    <row r="619" spans="1:9" hidden="1" x14ac:dyDescent="0.25">
      <c r="A619" s="9"/>
      <c r="B619" s="9"/>
      <c r="C619" s="9"/>
      <c r="D619" s="9"/>
      <c r="E619" s="9" t="s">
        <v>159</v>
      </c>
      <c r="F619" s="9" t="s">
        <v>160</v>
      </c>
      <c r="G619" s="7">
        <v>8.4</v>
      </c>
      <c r="H619" s="7"/>
      <c r="I619" s="10">
        <v>-8.4</v>
      </c>
    </row>
    <row r="620" spans="1:9" hidden="1" x14ac:dyDescent="0.25">
      <c r="A620" s="9"/>
      <c r="B620" s="9"/>
      <c r="C620" s="9"/>
      <c r="D620" s="9"/>
      <c r="E620" s="9" t="s">
        <v>94</v>
      </c>
      <c r="F620" s="9" t="s">
        <v>95</v>
      </c>
      <c r="G620" s="7">
        <v>3.2</v>
      </c>
      <c r="H620" s="7">
        <v>3.2</v>
      </c>
      <c r="I620" s="10"/>
    </row>
    <row r="621" spans="1:9" hidden="1" x14ac:dyDescent="0.25">
      <c r="A621" s="9"/>
      <c r="B621" s="9"/>
      <c r="C621" s="9"/>
      <c r="D621" s="9"/>
      <c r="E621" s="9" t="s">
        <v>165</v>
      </c>
      <c r="F621" s="9" t="s">
        <v>166</v>
      </c>
      <c r="G621" s="7">
        <v>375</v>
      </c>
      <c r="H621" s="7">
        <v>375</v>
      </c>
      <c r="I621" s="10"/>
    </row>
    <row r="622" spans="1:9" hidden="1" x14ac:dyDescent="0.25">
      <c r="A622" s="9"/>
      <c r="B622" s="9"/>
      <c r="C622" s="9"/>
      <c r="D622" s="9"/>
      <c r="E622" s="9" t="s">
        <v>161</v>
      </c>
      <c r="F622" s="9" t="s">
        <v>162</v>
      </c>
      <c r="G622" s="7">
        <v>690</v>
      </c>
      <c r="H622" s="7">
        <v>690</v>
      </c>
      <c r="I622" s="10"/>
    </row>
    <row r="623" spans="1:9" hidden="1" x14ac:dyDescent="0.25">
      <c r="A623" s="9"/>
      <c r="B623" s="9"/>
      <c r="C623" s="9"/>
      <c r="D623" s="9"/>
      <c r="E623" s="9" t="s">
        <v>163</v>
      </c>
      <c r="F623" s="9" t="s">
        <v>164</v>
      </c>
      <c r="G623" s="7">
        <v>285</v>
      </c>
      <c r="H623" s="7">
        <v>285</v>
      </c>
      <c r="I623" s="10"/>
    </row>
    <row r="624" spans="1:9" hidden="1" x14ac:dyDescent="0.25">
      <c r="A624" s="9"/>
      <c r="B624" s="9"/>
      <c r="C624" s="9"/>
      <c r="D624" s="9"/>
      <c r="E624" s="9" t="s">
        <v>228</v>
      </c>
      <c r="F624" s="9" t="s">
        <v>229</v>
      </c>
      <c r="G624" s="7">
        <v>33.6</v>
      </c>
      <c r="H624" s="7">
        <v>33.6</v>
      </c>
      <c r="I624" s="10"/>
    </row>
    <row r="625" spans="1:9" hidden="1" x14ac:dyDescent="0.25">
      <c r="A625" s="9"/>
      <c r="B625" s="9"/>
      <c r="C625" s="9"/>
      <c r="D625" s="9"/>
      <c r="E625" s="9" t="s">
        <v>275</v>
      </c>
      <c r="F625" s="9" t="s">
        <v>276</v>
      </c>
      <c r="G625" s="7">
        <v>150</v>
      </c>
      <c r="H625" s="7">
        <v>150</v>
      </c>
      <c r="I625" s="10"/>
    </row>
    <row r="626" spans="1:9" hidden="1" x14ac:dyDescent="0.25">
      <c r="A626" s="9"/>
      <c r="B626" s="9"/>
      <c r="C626" s="9"/>
      <c r="D626" s="9"/>
      <c r="E626" s="9" t="s">
        <v>283</v>
      </c>
      <c r="F626" s="9" t="s">
        <v>284</v>
      </c>
      <c r="G626" s="7">
        <v>7.26</v>
      </c>
      <c r="H626" s="7">
        <v>7.26</v>
      </c>
      <c r="I626" s="10"/>
    </row>
    <row r="627" spans="1:9" hidden="1" x14ac:dyDescent="0.25">
      <c r="A627" s="9"/>
      <c r="B627" s="9"/>
      <c r="C627" s="9"/>
      <c r="D627" s="9"/>
      <c r="E627" s="9" t="s">
        <v>242</v>
      </c>
      <c r="F627" s="9" t="s">
        <v>243</v>
      </c>
      <c r="G627" s="7">
        <v>3.6</v>
      </c>
      <c r="H627" s="7">
        <v>3.6</v>
      </c>
      <c r="I627" s="10"/>
    </row>
    <row r="628" spans="1:9" hidden="1" x14ac:dyDescent="0.25">
      <c r="A628" s="9"/>
      <c r="B628" s="9"/>
      <c r="C628" s="9"/>
      <c r="D628" s="9"/>
      <c r="E628" s="9" t="s">
        <v>91</v>
      </c>
      <c r="F628" s="9" t="s">
        <v>92</v>
      </c>
      <c r="G628" s="7">
        <v>12.6</v>
      </c>
      <c r="H628" s="7"/>
      <c r="I628" s="10">
        <v>-12.6</v>
      </c>
    </row>
    <row r="629" spans="1:9" hidden="1" x14ac:dyDescent="0.25">
      <c r="A629" s="9"/>
      <c r="B629" s="9"/>
      <c r="C629" s="9"/>
      <c r="D629" s="9"/>
      <c r="E629" s="9" t="s">
        <v>98</v>
      </c>
      <c r="F629" s="9" t="s">
        <v>99</v>
      </c>
      <c r="G629" s="7">
        <v>5.04</v>
      </c>
      <c r="H629" s="7"/>
      <c r="I629" s="10">
        <v>-5.04</v>
      </c>
    </row>
    <row r="630" spans="1:9" hidden="1" x14ac:dyDescent="0.25">
      <c r="A630" s="9"/>
      <c r="B630" s="9"/>
      <c r="C630" s="9"/>
      <c r="D630" s="9"/>
      <c r="E630" s="9" t="s">
        <v>100</v>
      </c>
      <c r="F630" s="9" t="s">
        <v>101</v>
      </c>
      <c r="G630" s="7">
        <v>7.56</v>
      </c>
      <c r="H630" s="7"/>
      <c r="I630" s="10">
        <v>-7.56</v>
      </c>
    </row>
    <row r="631" spans="1:9" hidden="1" x14ac:dyDescent="0.25">
      <c r="A631" s="9"/>
      <c r="B631" s="9"/>
      <c r="C631" s="9"/>
      <c r="D631" s="9"/>
      <c r="E631" s="9" t="s">
        <v>209</v>
      </c>
      <c r="F631" s="9" t="s">
        <v>210</v>
      </c>
      <c r="G631" s="7">
        <v>10.08</v>
      </c>
      <c r="H631" s="7"/>
      <c r="I631" s="10">
        <v>-10.08</v>
      </c>
    </row>
    <row r="632" spans="1:9" hidden="1" x14ac:dyDescent="0.25">
      <c r="A632" s="9"/>
      <c r="B632" s="9"/>
      <c r="C632" s="9"/>
      <c r="D632" s="9"/>
      <c r="E632" s="9" t="s">
        <v>137</v>
      </c>
      <c r="F632" s="9" t="s">
        <v>138</v>
      </c>
      <c r="G632" s="7">
        <v>3.6</v>
      </c>
      <c r="H632" s="7">
        <v>3.6</v>
      </c>
      <c r="I632" s="10"/>
    </row>
    <row r="633" spans="1:9" hidden="1" x14ac:dyDescent="0.25">
      <c r="A633" s="9"/>
      <c r="B633" s="9"/>
      <c r="C633" s="9"/>
      <c r="D633" s="9"/>
      <c r="E633" s="9" t="s">
        <v>279</v>
      </c>
      <c r="F633" s="9" t="s">
        <v>280</v>
      </c>
      <c r="G633" s="7">
        <v>43.2</v>
      </c>
      <c r="H633" s="7">
        <v>43.2</v>
      </c>
      <c r="I633" s="10"/>
    </row>
    <row r="634" spans="1:9" hidden="1" x14ac:dyDescent="0.25">
      <c r="A634" s="9"/>
      <c r="B634" s="9"/>
      <c r="C634" s="9"/>
      <c r="D634" s="9"/>
      <c r="E634" s="9" t="s">
        <v>87</v>
      </c>
      <c r="F634" s="9" t="s">
        <v>88</v>
      </c>
      <c r="G634" s="7">
        <v>8</v>
      </c>
      <c r="H634" s="7">
        <v>8</v>
      </c>
      <c r="I634" s="10"/>
    </row>
    <row r="635" spans="1:9" hidden="1" x14ac:dyDescent="0.25">
      <c r="A635" s="9"/>
      <c r="B635" s="9"/>
      <c r="C635" s="9"/>
      <c r="D635" s="9"/>
      <c r="E635" s="9" t="s">
        <v>76</v>
      </c>
      <c r="F635" s="9" t="s">
        <v>77</v>
      </c>
      <c r="G635" s="7">
        <v>42</v>
      </c>
      <c r="H635" s="7">
        <v>42</v>
      </c>
      <c r="I635" s="10"/>
    </row>
    <row r="636" spans="1:9" hidden="1" x14ac:dyDescent="0.25">
      <c r="A636" s="9"/>
      <c r="B636" s="9"/>
      <c r="C636" s="9"/>
      <c r="D636" s="9"/>
      <c r="E636" s="9" t="s">
        <v>65</v>
      </c>
      <c r="F636" s="9" t="s">
        <v>66</v>
      </c>
      <c r="G636" s="7">
        <v>63</v>
      </c>
      <c r="H636" s="7"/>
      <c r="I636" s="10">
        <v>-63</v>
      </c>
    </row>
    <row r="637" spans="1:9" hidden="1" x14ac:dyDescent="0.25">
      <c r="A637" s="9"/>
      <c r="B637" s="9"/>
      <c r="C637" s="9"/>
      <c r="D637" s="9"/>
      <c r="E637" s="9" t="s">
        <v>81</v>
      </c>
      <c r="F637" s="9" t="s">
        <v>82</v>
      </c>
      <c r="G637" s="7">
        <v>42</v>
      </c>
      <c r="H637" s="7">
        <v>42</v>
      </c>
      <c r="I637" s="10"/>
    </row>
    <row r="638" spans="1:9" hidden="1" x14ac:dyDescent="0.25">
      <c r="A638" s="9"/>
      <c r="B638" s="9"/>
      <c r="C638" s="9"/>
      <c r="D638" s="9"/>
      <c r="E638" s="9" t="s">
        <v>74</v>
      </c>
      <c r="F638" s="9" t="s">
        <v>75</v>
      </c>
      <c r="G638" s="7">
        <v>101.5</v>
      </c>
      <c r="H638" s="7">
        <v>101.5</v>
      </c>
      <c r="I638" s="10"/>
    </row>
    <row r="639" spans="1:9" hidden="1" x14ac:dyDescent="0.25">
      <c r="A639" s="9"/>
      <c r="B639" s="9"/>
      <c r="C639" s="9"/>
      <c r="D639" s="9"/>
      <c r="E639" s="9" t="s">
        <v>78</v>
      </c>
      <c r="F639" s="9" t="s">
        <v>79</v>
      </c>
      <c r="G639" s="7">
        <v>43.68</v>
      </c>
      <c r="H639" s="7">
        <v>43.68</v>
      </c>
      <c r="I639" s="10"/>
    </row>
    <row r="640" spans="1:9" hidden="1" x14ac:dyDescent="0.25">
      <c r="A640" s="9"/>
      <c r="B640" s="9"/>
      <c r="C640" s="9"/>
      <c r="D640" s="9"/>
      <c r="E640" s="9" t="s">
        <v>70</v>
      </c>
      <c r="F640" s="9" t="s">
        <v>71</v>
      </c>
      <c r="G640" s="7">
        <v>31.5</v>
      </c>
      <c r="H640" s="7">
        <v>31.5</v>
      </c>
      <c r="I640" s="10"/>
    </row>
    <row r="641" spans="1:13" hidden="1" x14ac:dyDescent="0.25">
      <c r="A641" s="9"/>
      <c r="B641" s="9"/>
      <c r="C641" s="9"/>
      <c r="D641" s="9"/>
      <c r="E641" s="9" t="s">
        <v>141</v>
      </c>
      <c r="F641" s="9" t="s">
        <v>142</v>
      </c>
      <c r="G641" s="7">
        <v>7.8</v>
      </c>
      <c r="H641" s="7">
        <v>7.8</v>
      </c>
      <c r="I641" s="10"/>
    </row>
    <row r="642" spans="1:13" hidden="1" x14ac:dyDescent="0.25">
      <c r="A642" s="9"/>
      <c r="B642" s="9"/>
      <c r="C642" s="9"/>
      <c r="D642" s="9"/>
      <c r="E642" s="9" t="s">
        <v>216</v>
      </c>
      <c r="F642" s="9" t="s">
        <v>217</v>
      </c>
      <c r="G642" s="7">
        <v>452.4</v>
      </c>
      <c r="H642" s="7">
        <v>452.4</v>
      </c>
      <c r="I642" s="10"/>
    </row>
    <row r="643" spans="1:13" hidden="1" x14ac:dyDescent="0.25">
      <c r="A643" s="9"/>
      <c r="B643" s="9"/>
      <c r="C643" s="9"/>
      <c r="D643" s="9"/>
      <c r="E643" s="9" t="s">
        <v>143</v>
      </c>
      <c r="F643" s="9" t="s">
        <v>144</v>
      </c>
      <c r="G643" s="7">
        <v>85.8</v>
      </c>
      <c r="H643" s="7">
        <v>85.8</v>
      </c>
      <c r="I643" s="10"/>
    </row>
    <row r="644" spans="1:13" hidden="1" x14ac:dyDescent="0.25">
      <c r="A644" s="9"/>
      <c r="B644" s="9"/>
      <c r="C644" s="9"/>
      <c r="D644" s="9"/>
      <c r="E644" s="9" t="s">
        <v>264</v>
      </c>
      <c r="F644" s="9" t="s">
        <v>265</v>
      </c>
      <c r="G644" s="7">
        <v>75</v>
      </c>
      <c r="H644" s="7">
        <v>75</v>
      </c>
      <c r="I644" s="10"/>
    </row>
    <row r="645" spans="1:13" hidden="1" x14ac:dyDescent="0.25">
      <c r="A645" s="9"/>
      <c r="B645" s="9"/>
      <c r="C645" s="9"/>
      <c r="D645" s="9"/>
      <c r="E645" s="9" t="s">
        <v>291</v>
      </c>
      <c r="F645" s="9" t="s">
        <v>292</v>
      </c>
      <c r="G645" s="7">
        <v>35.1</v>
      </c>
      <c r="H645" s="7">
        <v>35.1</v>
      </c>
      <c r="I645" s="10"/>
    </row>
    <row r="646" spans="1:13" hidden="1" x14ac:dyDescent="0.25">
      <c r="A646" s="9"/>
      <c r="B646" s="9"/>
      <c r="C646" s="9"/>
      <c r="D646" s="9"/>
      <c r="E646" s="9" t="s">
        <v>155</v>
      </c>
      <c r="F646" s="9" t="s">
        <v>156</v>
      </c>
      <c r="G646" s="7">
        <v>177</v>
      </c>
      <c r="H646" s="7">
        <v>177</v>
      </c>
      <c r="I646" s="10"/>
    </row>
    <row r="647" spans="1:13" hidden="1" x14ac:dyDescent="0.25">
      <c r="A647" s="9"/>
      <c r="B647" s="9"/>
      <c r="C647" s="9"/>
      <c r="D647" s="9"/>
      <c r="E647" s="9" t="s">
        <v>262</v>
      </c>
      <c r="F647" s="9" t="s">
        <v>263</v>
      </c>
      <c r="G647" s="7">
        <v>117</v>
      </c>
      <c r="H647" s="7">
        <v>117</v>
      </c>
      <c r="I647" s="10"/>
    </row>
    <row r="648" spans="1:13" hidden="1" x14ac:dyDescent="0.25">
      <c r="A648" s="9"/>
      <c r="B648" s="9"/>
      <c r="C648" s="9"/>
      <c r="D648" s="9"/>
      <c r="E648" s="9" t="s">
        <v>238</v>
      </c>
      <c r="F648" s="9" t="s">
        <v>239</v>
      </c>
      <c r="G648" s="7">
        <v>24</v>
      </c>
      <c r="H648" s="7">
        <v>24</v>
      </c>
      <c r="I648" s="10"/>
    </row>
    <row r="649" spans="1:13" x14ac:dyDescent="0.25">
      <c r="A649" s="9"/>
      <c r="B649" s="9"/>
      <c r="C649" s="12" t="s">
        <v>324</v>
      </c>
      <c r="D649" s="12" t="s">
        <v>325</v>
      </c>
      <c r="E649" s="12" t="s">
        <v>165</v>
      </c>
      <c r="F649" s="12" t="s">
        <v>166</v>
      </c>
      <c r="G649" s="13">
        <v>210</v>
      </c>
      <c r="H649" s="13">
        <v>210</v>
      </c>
      <c r="I649" s="14"/>
      <c r="J649" s="15">
        <f>GETPIVOTDATA("Сумма по полю Урезание",$A$3,"Заказ на продажу","TSO001121238","Запрошенная дата отгрузки",DATE(2026,9,14),"Внешний номер заказа","6312590","Внешний код клиента","НВТрояны","Код единицы продаж","SU003420","Наименование для бланков","Вареные колбасы «Филейная» Весовой п/а ТМ «Особый рецепт» большой батон")</f>
        <v>0</v>
      </c>
      <c r="K649" s="20" t="s">
        <v>337</v>
      </c>
      <c r="L649" s="20">
        <v>13.09</v>
      </c>
      <c r="M649" s="20" t="s">
        <v>333</v>
      </c>
    </row>
    <row r="650" spans="1:13" hidden="1" x14ac:dyDescent="0.25">
      <c r="A650" s="9"/>
      <c r="B650" s="9"/>
      <c r="C650" s="9"/>
      <c r="D650" s="9"/>
      <c r="E650" s="9" t="s">
        <v>161</v>
      </c>
      <c r="F650" s="9" t="s">
        <v>162</v>
      </c>
      <c r="G650" s="7">
        <v>300</v>
      </c>
      <c r="H650" s="7">
        <v>300</v>
      </c>
      <c r="I650" s="10"/>
    </row>
    <row r="651" spans="1:13" x14ac:dyDescent="0.25">
      <c r="A651" s="8" t="s">
        <v>326</v>
      </c>
      <c r="B651" s="9"/>
      <c r="C651" s="9"/>
      <c r="D651" s="9"/>
      <c r="E651" s="9"/>
      <c r="F651" s="9"/>
      <c r="G651" s="7">
        <v>126885.54000000005</v>
      </c>
      <c r="H651" s="7">
        <v>119368.32000000004</v>
      </c>
      <c r="I651" s="10">
        <v>-7517.2200000000012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48"/>
  <sheetViews>
    <sheetView topLeftCell="A2" workbookViewId="0"/>
  </sheetViews>
  <sheetFormatPr defaultRowHeight="15" x14ac:dyDescent="0.25"/>
  <cols>
    <col min="1" max="1" width="19" style="1"/>
    <col min="2" max="2" width="16" style="1"/>
    <col min="3" max="3" width="58" style="1"/>
    <col min="4" max="4" width="17" style="1"/>
    <col min="5" max="5" width="20" style="1"/>
    <col min="6" max="6" width="29" style="2"/>
    <col min="7" max="7" width="24" style="1"/>
    <col min="8" max="8" width="18" style="3"/>
    <col min="9" max="9" width="23" style="1"/>
    <col min="10" max="10" width="28" style="2"/>
    <col min="11" max="11" width="17" style="3"/>
    <col min="12" max="12" width="23" style="1"/>
    <col min="13" max="13" width="8" style="1"/>
    <col min="14" max="14" width="13" style="1"/>
    <col min="15" max="15" width="8" style="1"/>
    <col min="16" max="16" width="15" style="1"/>
    <col min="17" max="17" width="17" style="1"/>
    <col min="18" max="18" width="22" style="1"/>
    <col min="19" max="19" width="119" style="1"/>
    <col min="20" max="20" width="13" style="4"/>
    <col min="21" max="21" width="15" style="4"/>
    <col min="22" max="23" width="13" style="4"/>
    <col min="24" max="24" width="25" style="1"/>
    <col min="25" max="25" width="41" style="1"/>
    <col min="26" max="26" width="34" style="1"/>
    <col min="27" max="27" width="12" style="4"/>
    <col min="28" max="28" width="19" style="1"/>
    <col min="29" max="29" width="35" style="1"/>
    <col min="30" max="30" width="28" style="1"/>
    <col min="31" max="31" width="19" style="1"/>
    <col min="32" max="32" width="12" style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46279</v>
      </c>
      <c r="G2" s="1" t="s">
        <v>37</v>
      </c>
      <c r="H2" s="3">
        <v>46279.006944444402</v>
      </c>
      <c r="I2" s="1" t="s">
        <v>38</v>
      </c>
      <c r="J2" s="2">
        <v>46279</v>
      </c>
      <c r="K2" s="3">
        <v>46279.006944444402</v>
      </c>
      <c r="L2" s="1" t="s">
        <v>39</v>
      </c>
      <c r="M2" s="1" t="s">
        <v>40</v>
      </c>
      <c r="N2" s="1" t="s">
        <v>41</v>
      </c>
      <c r="O2" s="1" t="s">
        <v>42</v>
      </c>
      <c r="Q2" s="1" t="s">
        <v>42</v>
      </c>
      <c r="R2" s="1" t="s">
        <v>43</v>
      </c>
      <c r="S2" s="1" t="s">
        <v>44</v>
      </c>
      <c r="T2" s="4">
        <v>16</v>
      </c>
      <c r="U2" s="4">
        <v>16</v>
      </c>
      <c r="V2" s="4">
        <v>16</v>
      </c>
      <c r="Z2" s="1" t="s">
        <v>42</v>
      </c>
      <c r="AD2" s="1" t="s">
        <v>42</v>
      </c>
      <c r="AF2" s="1" t="s">
        <v>42</v>
      </c>
    </row>
    <row r="3" spans="1:32" x14ac:dyDescent="0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2">
        <v>46279</v>
      </c>
      <c r="G3" s="1" t="s">
        <v>37</v>
      </c>
      <c r="H3" s="3">
        <v>46279.006944444402</v>
      </c>
      <c r="I3" s="1" t="s">
        <v>38</v>
      </c>
      <c r="J3" s="2">
        <v>46279</v>
      </c>
      <c r="K3" s="3">
        <v>46279.006944444402</v>
      </c>
      <c r="L3" s="1" t="s">
        <v>39</v>
      </c>
      <c r="M3" s="1" t="s">
        <v>40</v>
      </c>
      <c r="N3" s="1" t="s">
        <v>41</v>
      </c>
      <c r="O3" s="1" t="s">
        <v>42</v>
      </c>
      <c r="Q3" s="1" t="s">
        <v>42</v>
      </c>
      <c r="R3" s="1" t="s">
        <v>45</v>
      </c>
      <c r="S3" s="1" t="s">
        <v>46</v>
      </c>
      <c r="T3" s="4">
        <v>12</v>
      </c>
      <c r="U3" s="4">
        <v>12</v>
      </c>
      <c r="V3" s="4">
        <v>12</v>
      </c>
      <c r="Z3" s="1" t="s">
        <v>42</v>
      </c>
      <c r="AD3" s="1" t="s">
        <v>42</v>
      </c>
      <c r="AF3" s="1" t="s">
        <v>42</v>
      </c>
    </row>
    <row r="4" spans="1:32" x14ac:dyDescent="0.2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2">
        <v>46279</v>
      </c>
      <c r="G4" s="1" t="s">
        <v>37</v>
      </c>
      <c r="H4" s="3">
        <v>46279.006944444402</v>
      </c>
      <c r="I4" s="1" t="s">
        <v>38</v>
      </c>
      <c r="J4" s="2">
        <v>46279</v>
      </c>
      <c r="K4" s="3">
        <v>46279.006944444402</v>
      </c>
      <c r="L4" s="1" t="s">
        <v>39</v>
      </c>
      <c r="M4" s="1" t="s">
        <v>40</v>
      </c>
      <c r="N4" s="1" t="s">
        <v>41</v>
      </c>
      <c r="O4" s="1" t="s">
        <v>42</v>
      </c>
      <c r="Q4" s="1" t="s">
        <v>42</v>
      </c>
      <c r="R4" s="1" t="s">
        <v>47</v>
      </c>
      <c r="S4" s="1" t="s">
        <v>48</v>
      </c>
      <c r="T4" s="4">
        <v>499.2</v>
      </c>
      <c r="U4" s="4">
        <v>499.2</v>
      </c>
      <c r="V4" s="4">
        <v>499.2</v>
      </c>
      <c r="Z4" s="1" t="s">
        <v>42</v>
      </c>
      <c r="AD4" s="1" t="s">
        <v>42</v>
      </c>
      <c r="AF4" s="1" t="s">
        <v>42</v>
      </c>
    </row>
    <row r="5" spans="1:32" x14ac:dyDescent="0.2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2">
        <v>46279</v>
      </c>
      <c r="G5" s="1" t="s">
        <v>37</v>
      </c>
      <c r="H5" s="3">
        <v>46279.006944444402</v>
      </c>
      <c r="I5" s="1" t="s">
        <v>38</v>
      </c>
      <c r="J5" s="2">
        <v>46279</v>
      </c>
      <c r="K5" s="3">
        <v>46279.006944444402</v>
      </c>
      <c r="L5" s="1" t="s">
        <v>39</v>
      </c>
      <c r="M5" s="1" t="s">
        <v>40</v>
      </c>
      <c r="N5" s="1" t="s">
        <v>41</v>
      </c>
      <c r="O5" s="1" t="s">
        <v>42</v>
      </c>
      <c r="Q5" s="1" t="s">
        <v>42</v>
      </c>
      <c r="R5" s="1" t="s">
        <v>49</v>
      </c>
      <c r="S5" s="1" t="s">
        <v>50</v>
      </c>
      <c r="T5" s="4">
        <v>32.4</v>
      </c>
      <c r="U5" s="4">
        <v>32.4</v>
      </c>
      <c r="V5" s="4">
        <v>32.4</v>
      </c>
      <c r="Z5" s="1" t="s">
        <v>42</v>
      </c>
      <c r="AD5" s="1" t="s">
        <v>42</v>
      </c>
      <c r="AF5" s="1" t="s">
        <v>42</v>
      </c>
    </row>
    <row r="6" spans="1:32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2">
        <v>46279</v>
      </c>
      <c r="G6" s="1" t="s">
        <v>37</v>
      </c>
      <c r="H6" s="3">
        <v>46279.006944444402</v>
      </c>
      <c r="I6" s="1" t="s">
        <v>38</v>
      </c>
      <c r="J6" s="2">
        <v>46279</v>
      </c>
      <c r="K6" s="3">
        <v>46279.006944444402</v>
      </c>
      <c r="L6" s="1" t="s">
        <v>39</v>
      </c>
      <c r="M6" s="1" t="s">
        <v>40</v>
      </c>
      <c r="N6" s="1" t="s">
        <v>41</v>
      </c>
      <c r="O6" s="1" t="s">
        <v>42</v>
      </c>
      <c r="Q6" s="1" t="s">
        <v>42</v>
      </c>
      <c r="R6" s="1" t="s">
        <v>51</v>
      </c>
      <c r="S6" s="1" t="s">
        <v>52</v>
      </c>
      <c r="T6" s="4">
        <v>907.2</v>
      </c>
      <c r="U6" s="4">
        <v>907.2</v>
      </c>
      <c r="V6" s="4">
        <v>907.2</v>
      </c>
      <c r="Z6" s="1" t="s">
        <v>42</v>
      </c>
      <c r="AD6" s="1" t="s">
        <v>42</v>
      </c>
      <c r="AF6" s="1" t="s">
        <v>42</v>
      </c>
    </row>
    <row r="7" spans="1:32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2">
        <v>46279</v>
      </c>
      <c r="G7" s="1" t="s">
        <v>37</v>
      </c>
      <c r="H7" s="3">
        <v>46279.006944444402</v>
      </c>
      <c r="I7" s="1" t="s">
        <v>38</v>
      </c>
      <c r="J7" s="2">
        <v>46279</v>
      </c>
      <c r="K7" s="3">
        <v>46279.006944444402</v>
      </c>
      <c r="L7" s="1" t="s">
        <v>39</v>
      </c>
      <c r="M7" s="1" t="s">
        <v>40</v>
      </c>
      <c r="N7" s="1" t="s">
        <v>41</v>
      </c>
      <c r="O7" s="1" t="s">
        <v>42</v>
      </c>
      <c r="Q7" s="1" t="s">
        <v>42</v>
      </c>
      <c r="R7" s="1" t="s">
        <v>53</v>
      </c>
      <c r="S7" s="1" t="s">
        <v>54</v>
      </c>
      <c r="Z7" s="1" t="s">
        <v>42</v>
      </c>
      <c r="AD7" s="1" t="s">
        <v>42</v>
      </c>
      <c r="AF7" s="1" t="s">
        <v>42</v>
      </c>
    </row>
    <row r="8" spans="1:32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2">
        <v>46279</v>
      </c>
      <c r="G8" s="1" t="s">
        <v>37</v>
      </c>
      <c r="H8" s="3">
        <v>46279.006944444402</v>
      </c>
      <c r="I8" s="1" t="s">
        <v>38</v>
      </c>
      <c r="J8" s="2">
        <v>46279</v>
      </c>
      <c r="K8" s="3">
        <v>46279.006944444402</v>
      </c>
      <c r="L8" s="1" t="s">
        <v>39</v>
      </c>
      <c r="M8" s="1" t="s">
        <v>40</v>
      </c>
      <c r="N8" s="1" t="s">
        <v>41</v>
      </c>
      <c r="O8" s="1" t="s">
        <v>42</v>
      </c>
      <c r="Q8" s="1" t="s">
        <v>42</v>
      </c>
      <c r="R8" s="1" t="s">
        <v>55</v>
      </c>
      <c r="S8" s="1" t="s">
        <v>56</v>
      </c>
      <c r="T8" s="4">
        <v>1004.4</v>
      </c>
      <c r="U8" s="4">
        <v>1004.4</v>
      </c>
      <c r="V8" s="4">
        <v>1004.4</v>
      </c>
      <c r="Z8" s="1" t="s">
        <v>42</v>
      </c>
      <c r="AD8" s="1" t="s">
        <v>42</v>
      </c>
      <c r="AF8" s="1" t="s">
        <v>42</v>
      </c>
    </row>
    <row r="9" spans="1:32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2">
        <v>46279</v>
      </c>
      <c r="G9" s="1" t="s">
        <v>37</v>
      </c>
      <c r="H9" s="3">
        <v>46279.006944444402</v>
      </c>
      <c r="I9" s="1" t="s">
        <v>38</v>
      </c>
      <c r="J9" s="2">
        <v>46279</v>
      </c>
      <c r="K9" s="3">
        <v>46279.006944444402</v>
      </c>
      <c r="L9" s="1" t="s">
        <v>39</v>
      </c>
      <c r="M9" s="1" t="s">
        <v>40</v>
      </c>
      <c r="N9" s="1" t="s">
        <v>41</v>
      </c>
      <c r="O9" s="1" t="s">
        <v>42</v>
      </c>
      <c r="Q9" s="1" t="s">
        <v>42</v>
      </c>
      <c r="R9" s="1" t="s">
        <v>57</v>
      </c>
      <c r="S9" s="1" t="s">
        <v>58</v>
      </c>
      <c r="T9" s="4">
        <v>240.3</v>
      </c>
      <c r="U9" s="4">
        <v>240.3</v>
      </c>
      <c r="V9" s="4">
        <v>240.3</v>
      </c>
      <c r="Z9" s="1" t="s">
        <v>42</v>
      </c>
      <c r="AD9" s="1" t="s">
        <v>42</v>
      </c>
      <c r="AF9" s="1" t="s">
        <v>42</v>
      </c>
    </row>
    <row r="10" spans="1:32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2">
        <v>46279</v>
      </c>
      <c r="G10" s="1" t="s">
        <v>37</v>
      </c>
      <c r="H10" s="3">
        <v>46279.006944444402</v>
      </c>
      <c r="I10" s="1" t="s">
        <v>38</v>
      </c>
      <c r="J10" s="2">
        <v>46279</v>
      </c>
      <c r="K10" s="3">
        <v>46279.006944444402</v>
      </c>
      <c r="L10" s="1" t="s">
        <v>39</v>
      </c>
      <c r="M10" s="1" t="s">
        <v>40</v>
      </c>
      <c r="N10" s="1" t="s">
        <v>41</v>
      </c>
      <c r="O10" s="1" t="s">
        <v>42</v>
      </c>
      <c r="Q10" s="1" t="s">
        <v>42</v>
      </c>
      <c r="R10" s="1" t="s">
        <v>59</v>
      </c>
      <c r="S10" s="1" t="s">
        <v>60</v>
      </c>
      <c r="T10" s="4">
        <v>47.52</v>
      </c>
      <c r="U10" s="4">
        <v>47.52</v>
      </c>
      <c r="V10" s="4">
        <v>47.52</v>
      </c>
      <c r="Z10" s="1" t="s">
        <v>42</v>
      </c>
      <c r="AD10" s="1" t="s">
        <v>42</v>
      </c>
      <c r="AF10" s="1" t="s">
        <v>42</v>
      </c>
    </row>
    <row r="11" spans="1:32" x14ac:dyDescent="0.2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  <c r="F11" s="2">
        <v>46279</v>
      </c>
      <c r="G11" s="1" t="s">
        <v>37</v>
      </c>
      <c r="H11" s="3">
        <v>46279.006944444402</v>
      </c>
      <c r="I11" s="1" t="s">
        <v>38</v>
      </c>
      <c r="J11" s="2">
        <v>46279</v>
      </c>
      <c r="K11" s="3">
        <v>46279.006944444402</v>
      </c>
      <c r="L11" s="1" t="s">
        <v>39</v>
      </c>
      <c r="M11" s="1" t="s">
        <v>40</v>
      </c>
      <c r="N11" s="1" t="s">
        <v>41</v>
      </c>
      <c r="O11" s="1" t="s">
        <v>42</v>
      </c>
      <c r="Q11" s="1" t="s">
        <v>42</v>
      </c>
      <c r="R11" s="1" t="s">
        <v>61</v>
      </c>
      <c r="S11" s="1" t="s">
        <v>62</v>
      </c>
      <c r="T11" s="4">
        <v>47.6</v>
      </c>
      <c r="U11" s="4">
        <v>47.6</v>
      </c>
      <c r="V11" s="4">
        <v>47.6</v>
      </c>
      <c r="Z11" s="1" t="s">
        <v>42</v>
      </c>
      <c r="AD11" s="1" t="s">
        <v>42</v>
      </c>
      <c r="AF11" s="1" t="s">
        <v>42</v>
      </c>
    </row>
    <row r="12" spans="1:32" x14ac:dyDescent="0.25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36</v>
      </c>
      <c r="F12" s="2">
        <v>46279</v>
      </c>
      <c r="G12" s="1" t="s">
        <v>37</v>
      </c>
      <c r="H12" s="3">
        <v>46279.006944444402</v>
      </c>
      <c r="I12" s="1" t="s">
        <v>38</v>
      </c>
      <c r="J12" s="2">
        <v>46279</v>
      </c>
      <c r="K12" s="3">
        <v>46279.006944444402</v>
      </c>
      <c r="L12" s="1" t="s">
        <v>39</v>
      </c>
      <c r="M12" s="1" t="s">
        <v>40</v>
      </c>
      <c r="N12" s="1" t="s">
        <v>41</v>
      </c>
      <c r="O12" s="1" t="s">
        <v>42</v>
      </c>
      <c r="Q12" s="1" t="s">
        <v>42</v>
      </c>
      <c r="R12" s="1" t="s">
        <v>63</v>
      </c>
      <c r="S12" s="1" t="s">
        <v>64</v>
      </c>
      <c r="T12" s="4">
        <v>34.32</v>
      </c>
      <c r="U12" s="4">
        <v>34.32</v>
      </c>
      <c r="V12" s="4">
        <v>34.32</v>
      </c>
      <c r="Z12" s="1" t="s">
        <v>42</v>
      </c>
      <c r="AD12" s="1" t="s">
        <v>42</v>
      </c>
      <c r="AF12" s="1" t="s">
        <v>42</v>
      </c>
    </row>
    <row r="13" spans="1:32" x14ac:dyDescent="0.25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36</v>
      </c>
      <c r="F13" s="2">
        <v>46279</v>
      </c>
      <c r="G13" s="1" t="s">
        <v>37</v>
      </c>
      <c r="H13" s="3">
        <v>46279.006944444402</v>
      </c>
      <c r="I13" s="1" t="s">
        <v>38</v>
      </c>
      <c r="J13" s="2">
        <v>46279</v>
      </c>
      <c r="K13" s="3">
        <v>46279.006944444402</v>
      </c>
      <c r="L13" s="1" t="s">
        <v>39</v>
      </c>
      <c r="M13" s="1" t="s">
        <v>40</v>
      </c>
      <c r="N13" s="1" t="s">
        <v>41</v>
      </c>
      <c r="O13" s="1" t="s">
        <v>42</v>
      </c>
      <c r="Q13" s="1" t="s">
        <v>42</v>
      </c>
      <c r="R13" s="1" t="s">
        <v>65</v>
      </c>
      <c r="S13" s="1" t="s">
        <v>66</v>
      </c>
      <c r="T13" s="4">
        <v>150.5</v>
      </c>
      <c r="W13" s="4">
        <v>-150.5</v>
      </c>
      <c r="X13" s="1" t="s">
        <v>67</v>
      </c>
      <c r="Y13" s="1" t="s">
        <v>68</v>
      </c>
      <c r="Z13" s="1" t="s">
        <v>42</v>
      </c>
      <c r="AD13" s="1" t="s">
        <v>42</v>
      </c>
      <c r="AE13" s="1" t="s">
        <v>69</v>
      </c>
      <c r="AF13" s="1" t="s">
        <v>42</v>
      </c>
    </row>
    <row r="14" spans="1:32" x14ac:dyDescent="0.25">
      <c r="A14" s="1" t="s">
        <v>32</v>
      </c>
      <c r="B14" s="1" t="s">
        <v>33</v>
      </c>
      <c r="C14" s="1" t="s">
        <v>34</v>
      </c>
      <c r="D14" s="1" t="s">
        <v>35</v>
      </c>
      <c r="E14" s="1" t="s">
        <v>36</v>
      </c>
      <c r="F14" s="2">
        <v>46279</v>
      </c>
      <c r="G14" s="1" t="s">
        <v>37</v>
      </c>
      <c r="H14" s="3">
        <v>46279.006944444402</v>
      </c>
      <c r="I14" s="1" t="s">
        <v>38</v>
      </c>
      <c r="J14" s="2">
        <v>46279</v>
      </c>
      <c r="K14" s="3">
        <v>46279.006944444402</v>
      </c>
      <c r="L14" s="1" t="s">
        <v>39</v>
      </c>
      <c r="M14" s="1" t="s">
        <v>40</v>
      </c>
      <c r="N14" s="1" t="s">
        <v>41</v>
      </c>
      <c r="O14" s="1" t="s">
        <v>42</v>
      </c>
      <c r="Q14" s="1" t="s">
        <v>42</v>
      </c>
      <c r="R14" s="1" t="s">
        <v>70</v>
      </c>
      <c r="S14" s="1" t="s">
        <v>71</v>
      </c>
      <c r="T14" s="4">
        <v>21</v>
      </c>
      <c r="W14" s="4">
        <v>-21</v>
      </c>
      <c r="X14" s="1" t="s">
        <v>72</v>
      </c>
      <c r="Y14" s="1" t="s">
        <v>73</v>
      </c>
      <c r="Z14" s="1" t="s">
        <v>42</v>
      </c>
      <c r="AD14" s="1" t="s">
        <v>42</v>
      </c>
      <c r="AF14" s="1" t="s">
        <v>42</v>
      </c>
    </row>
    <row r="15" spans="1:32" x14ac:dyDescent="0.25">
      <c r="A15" s="1" t="s">
        <v>32</v>
      </c>
      <c r="B15" s="1" t="s">
        <v>33</v>
      </c>
      <c r="C15" s="1" t="s">
        <v>34</v>
      </c>
      <c r="D15" s="1" t="s">
        <v>35</v>
      </c>
      <c r="E15" s="1" t="s">
        <v>36</v>
      </c>
      <c r="F15" s="2">
        <v>46279</v>
      </c>
      <c r="G15" s="1" t="s">
        <v>37</v>
      </c>
      <c r="H15" s="3">
        <v>46279.006944444402</v>
      </c>
      <c r="I15" s="1" t="s">
        <v>38</v>
      </c>
      <c r="J15" s="2">
        <v>46279</v>
      </c>
      <c r="K15" s="3">
        <v>46279.006944444402</v>
      </c>
      <c r="L15" s="1" t="s">
        <v>39</v>
      </c>
      <c r="M15" s="1" t="s">
        <v>40</v>
      </c>
      <c r="N15" s="1" t="s">
        <v>41</v>
      </c>
      <c r="O15" s="1" t="s">
        <v>42</v>
      </c>
      <c r="Q15" s="1" t="s">
        <v>42</v>
      </c>
      <c r="R15" s="1" t="s">
        <v>74</v>
      </c>
      <c r="S15" s="1" t="s">
        <v>75</v>
      </c>
      <c r="T15" s="4">
        <v>101.5</v>
      </c>
      <c r="W15" s="4">
        <v>-101.5</v>
      </c>
      <c r="X15" s="1" t="s">
        <v>72</v>
      </c>
      <c r="Y15" s="1" t="s">
        <v>73</v>
      </c>
      <c r="Z15" s="1" t="s">
        <v>42</v>
      </c>
      <c r="AD15" s="1" t="s">
        <v>42</v>
      </c>
      <c r="AF15" s="1" t="s">
        <v>42</v>
      </c>
    </row>
    <row r="16" spans="1:32" x14ac:dyDescent="0.25">
      <c r="A16" s="1" t="s">
        <v>32</v>
      </c>
      <c r="B16" s="1" t="s">
        <v>33</v>
      </c>
      <c r="C16" s="1" t="s">
        <v>34</v>
      </c>
      <c r="D16" s="1" t="s">
        <v>35</v>
      </c>
      <c r="E16" s="1" t="s">
        <v>36</v>
      </c>
      <c r="F16" s="2">
        <v>46279</v>
      </c>
      <c r="G16" s="1" t="s">
        <v>37</v>
      </c>
      <c r="H16" s="3">
        <v>46279.006944444402</v>
      </c>
      <c r="I16" s="1" t="s">
        <v>38</v>
      </c>
      <c r="J16" s="2">
        <v>46279</v>
      </c>
      <c r="K16" s="3">
        <v>46279.006944444402</v>
      </c>
      <c r="L16" s="1" t="s">
        <v>39</v>
      </c>
      <c r="M16" s="1" t="s">
        <v>40</v>
      </c>
      <c r="N16" s="1" t="s">
        <v>41</v>
      </c>
      <c r="O16" s="1" t="s">
        <v>42</v>
      </c>
      <c r="Q16" s="1" t="s">
        <v>42</v>
      </c>
      <c r="R16" s="1" t="s">
        <v>76</v>
      </c>
      <c r="S16" s="1" t="s">
        <v>77</v>
      </c>
      <c r="T16" s="4">
        <v>40.32</v>
      </c>
      <c r="U16" s="4">
        <v>40.32</v>
      </c>
      <c r="V16" s="4">
        <v>40.32</v>
      </c>
      <c r="Z16" s="1" t="s">
        <v>42</v>
      </c>
      <c r="AD16" s="1" t="s">
        <v>42</v>
      </c>
      <c r="AF16" s="1" t="s">
        <v>42</v>
      </c>
    </row>
    <row r="17" spans="1:32" x14ac:dyDescent="0.25">
      <c r="A17" s="1" t="s">
        <v>32</v>
      </c>
      <c r="B17" s="1" t="s">
        <v>33</v>
      </c>
      <c r="C17" s="1" t="s">
        <v>34</v>
      </c>
      <c r="D17" s="1" t="s">
        <v>35</v>
      </c>
      <c r="E17" s="1" t="s">
        <v>36</v>
      </c>
      <c r="F17" s="2">
        <v>46279</v>
      </c>
      <c r="G17" s="1" t="s">
        <v>37</v>
      </c>
      <c r="H17" s="3">
        <v>46279.006944444402</v>
      </c>
      <c r="I17" s="1" t="s">
        <v>38</v>
      </c>
      <c r="J17" s="2">
        <v>46279</v>
      </c>
      <c r="K17" s="3">
        <v>46279.006944444402</v>
      </c>
      <c r="L17" s="1" t="s">
        <v>39</v>
      </c>
      <c r="M17" s="1" t="s">
        <v>40</v>
      </c>
      <c r="N17" s="1" t="s">
        <v>41</v>
      </c>
      <c r="O17" s="1" t="s">
        <v>42</v>
      </c>
      <c r="Q17" s="1" t="s">
        <v>42</v>
      </c>
      <c r="R17" s="1" t="s">
        <v>78</v>
      </c>
      <c r="S17" s="1" t="s">
        <v>79</v>
      </c>
      <c r="T17" s="4">
        <v>42</v>
      </c>
      <c r="W17" s="4">
        <v>-42</v>
      </c>
      <c r="X17" s="1" t="s">
        <v>67</v>
      </c>
      <c r="Y17" s="1" t="s">
        <v>68</v>
      </c>
      <c r="Z17" s="1" t="s">
        <v>42</v>
      </c>
      <c r="AD17" s="1" t="s">
        <v>42</v>
      </c>
      <c r="AE17" s="1" t="s">
        <v>80</v>
      </c>
      <c r="AF17" s="1" t="s">
        <v>42</v>
      </c>
    </row>
    <row r="18" spans="1:32" x14ac:dyDescent="0.25">
      <c r="A18" s="1" t="s">
        <v>32</v>
      </c>
      <c r="B18" s="1" t="s">
        <v>33</v>
      </c>
      <c r="C18" s="1" t="s">
        <v>34</v>
      </c>
      <c r="D18" s="1" t="s">
        <v>35</v>
      </c>
      <c r="E18" s="1" t="s">
        <v>36</v>
      </c>
      <c r="F18" s="2">
        <v>46279</v>
      </c>
      <c r="G18" s="1" t="s">
        <v>37</v>
      </c>
      <c r="H18" s="3">
        <v>46279.006944444402</v>
      </c>
      <c r="I18" s="1" t="s">
        <v>38</v>
      </c>
      <c r="J18" s="2">
        <v>46279</v>
      </c>
      <c r="K18" s="3">
        <v>46279.006944444402</v>
      </c>
      <c r="L18" s="1" t="s">
        <v>39</v>
      </c>
      <c r="M18" s="1" t="s">
        <v>40</v>
      </c>
      <c r="N18" s="1" t="s">
        <v>41</v>
      </c>
      <c r="O18" s="1" t="s">
        <v>42</v>
      </c>
      <c r="Q18" s="1" t="s">
        <v>42</v>
      </c>
      <c r="R18" s="1" t="s">
        <v>81</v>
      </c>
      <c r="S18" s="1" t="s">
        <v>82</v>
      </c>
      <c r="T18" s="4">
        <v>42</v>
      </c>
      <c r="U18" s="4">
        <v>42</v>
      </c>
      <c r="V18" s="4">
        <v>42</v>
      </c>
      <c r="Z18" s="1" t="s">
        <v>42</v>
      </c>
      <c r="AD18" s="1" t="s">
        <v>42</v>
      </c>
      <c r="AF18" s="1" t="s">
        <v>42</v>
      </c>
    </row>
    <row r="19" spans="1:32" x14ac:dyDescent="0.25">
      <c r="A19" s="1" t="s">
        <v>32</v>
      </c>
      <c r="B19" s="1" t="s">
        <v>33</v>
      </c>
      <c r="C19" s="1" t="s">
        <v>34</v>
      </c>
      <c r="D19" s="1" t="s">
        <v>35</v>
      </c>
      <c r="E19" s="1" t="s">
        <v>36</v>
      </c>
      <c r="F19" s="2">
        <v>46279</v>
      </c>
      <c r="G19" s="1" t="s">
        <v>37</v>
      </c>
      <c r="H19" s="3">
        <v>46279.006944444402</v>
      </c>
      <c r="I19" s="1" t="s">
        <v>38</v>
      </c>
      <c r="J19" s="2">
        <v>46279</v>
      </c>
      <c r="K19" s="3">
        <v>46279.006944444402</v>
      </c>
      <c r="L19" s="1" t="s">
        <v>39</v>
      </c>
      <c r="M19" s="1" t="s">
        <v>40</v>
      </c>
      <c r="N19" s="1" t="s">
        <v>41</v>
      </c>
      <c r="O19" s="1" t="s">
        <v>42</v>
      </c>
      <c r="Q19" s="1" t="s">
        <v>42</v>
      </c>
      <c r="R19" s="1" t="s">
        <v>83</v>
      </c>
      <c r="S19" s="1" t="s">
        <v>84</v>
      </c>
      <c r="T19" s="4">
        <v>50.4</v>
      </c>
      <c r="U19" s="4">
        <v>50.4</v>
      </c>
      <c r="V19" s="4">
        <v>50.4</v>
      </c>
      <c r="Z19" s="1" t="s">
        <v>42</v>
      </c>
      <c r="AD19" s="1" t="s">
        <v>42</v>
      </c>
      <c r="AF19" s="1" t="s">
        <v>42</v>
      </c>
    </row>
    <row r="20" spans="1:32" x14ac:dyDescent="0.25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36</v>
      </c>
      <c r="F20" s="2">
        <v>46279</v>
      </c>
      <c r="G20" s="1" t="s">
        <v>37</v>
      </c>
      <c r="H20" s="3">
        <v>46279.006944444402</v>
      </c>
      <c r="I20" s="1" t="s">
        <v>38</v>
      </c>
      <c r="J20" s="2">
        <v>46279</v>
      </c>
      <c r="K20" s="3">
        <v>46279.006944444402</v>
      </c>
      <c r="L20" s="1" t="s">
        <v>39</v>
      </c>
      <c r="M20" s="1" t="s">
        <v>40</v>
      </c>
      <c r="N20" s="1" t="s">
        <v>41</v>
      </c>
      <c r="O20" s="1" t="s">
        <v>42</v>
      </c>
      <c r="Q20" s="1" t="s">
        <v>42</v>
      </c>
      <c r="R20" s="1" t="s">
        <v>85</v>
      </c>
      <c r="S20" s="1" t="s">
        <v>86</v>
      </c>
      <c r="T20" s="4">
        <v>50.4</v>
      </c>
      <c r="U20" s="4">
        <v>50.4</v>
      </c>
      <c r="V20" s="4">
        <v>50.4</v>
      </c>
      <c r="Z20" s="1" t="s">
        <v>42</v>
      </c>
      <c r="AD20" s="1" t="s">
        <v>42</v>
      </c>
      <c r="AF20" s="1" t="s">
        <v>42</v>
      </c>
    </row>
    <row r="21" spans="1:32" x14ac:dyDescent="0.25">
      <c r="A21" s="1" t="s">
        <v>32</v>
      </c>
      <c r="B21" s="1" t="s">
        <v>33</v>
      </c>
      <c r="C21" s="1" t="s">
        <v>34</v>
      </c>
      <c r="D21" s="1" t="s">
        <v>35</v>
      </c>
      <c r="E21" s="1" t="s">
        <v>36</v>
      </c>
      <c r="F21" s="2">
        <v>46279</v>
      </c>
      <c r="G21" s="1" t="s">
        <v>37</v>
      </c>
      <c r="H21" s="3">
        <v>46279.006944444402</v>
      </c>
      <c r="I21" s="1" t="s">
        <v>38</v>
      </c>
      <c r="J21" s="2">
        <v>46279</v>
      </c>
      <c r="K21" s="3">
        <v>46279.006944444402</v>
      </c>
      <c r="L21" s="1" t="s">
        <v>39</v>
      </c>
      <c r="M21" s="1" t="s">
        <v>40</v>
      </c>
      <c r="N21" s="1" t="s">
        <v>41</v>
      </c>
      <c r="O21" s="1" t="s">
        <v>42</v>
      </c>
      <c r="Q21" s="1" t="s">
        <v>42</v>
      </c>
      <c r="R21" s="1" t="s">
        <v>87</v>
      </c>
      <c r="S21" s="1" t="s">
        <v>88</v>
      </c>
      <c r="T21" s="4">
        <v>3.2</v>
      </c>
      <c r="U21" s="4">
        <v>3.2</v>
      </c>
      <c r="V21" s="4">
        <v>3.2</v>
      </c>
      <c r="Z21" s="1" t="s">
        <v>42</v>
      </c>
      <c r="AD21" s="1" t="s">
        <v>42</v>
      </c>
      <c r="AF21" s="1" t="s">
        <v>42</v>
      </c>
    </row>
    <row r="22" spans="1:32" x14ac:dyDescent="0.25">
      <c r="A22" s="1" t="s">
        <v>32</v>
      </c>
      <c r="B22" s="1" t="s">
        <v>33</v>
      </c>
      <c r="C22" s="1" t="s">
        <v>34</v>
      </c>
      <c r="D22" s="1" t="s">
        <v>35</v>
      </c>
      <c r="E22" s="1" t="s">
        <v>36</v>
      </c>
      <c r="F22" s="2">
        <v>46279</v>
      </c>
      <c r="G22" s="1" t="s">
        <v>37</v>
      </c>
      <c r="H22" s="3">
        <v>46279.006944444402</v>
      </c>
      <c r="I22" s="1" t="s">
        <v>38</v>
      </c>
      <c r="J22" s="2">
        <v>46279</v>
      </c>
      <c r="K22" s="3">
        <v>46279.006944444402</v>
      </c>
      <c r="L22" s="1" t="s">
        <v>39</v>
      </c>
      <c r="M22" s="1" t="s">
        <v>40</v>
      </c>
      <c r="N22" s="1" t="s">
        <v>41</v>
      </c>
      <c r="O22" s="1" t="s">
        <v>42</v>
      </c>
      <c r="Q22" s="1" t="s">
        <v>42</v>
      </c>
      <c r="R22" s="1" t="s">
        <v>89</v>
      </c>
      <c r="S22" s="1" t="s">
        <v>90</v>
      </c>
      <c r="T22" s="4">
        <v>8.4</v>
      </c>
      <c r="U22" s="4">
        <v>8.4</v>
      </c>
      <c r="V22" s="4">
        <v>8.4</v>
      </c>
      <c r="Z22" s="1" t="s">
        <v>42</v>
      </c>
      <c r="AD22" s="1" t="s">
        <v>42</v>
      </c>
      <c r="AF22" s="1" t="s">
        <v>42</v>
      </c>
    </row>
    <row r="23" spans="1:32" x14ac:dyDescent="0.25">
      <c r="A23" s="1" t="s">
        <v>32</v>
      </c>
      <c r="B23" s="1" t="s">
        <v>33</v>
      </c>
      <c r="C23" s="1" t="s">
        <v>34</v>
      </c>
      <c r="D23" s="1" t="s">
        <v>35</v>
      </c>
      <c r="E23" s="1" t="s">
        <v>36</v>
      </c>
      <c r="F23" s="2">
        <v>46279</v>
      </c>
      <c r="G23" s="1" t="s">
        <v>37</v>
      </c>
      <c r="H23" s="3">
        <v>46279.006944444402</v>
      </c>
      <c r="I23" s="1" t="s">
        <v>38</v>
      </c>
      <c r="J23" s="2">
        <v>46279</v>
      </c>
      <c r="K23" s="3">
        <v>46279.006944444402</v>
      </c>
      <c r="L23" s="1" t="s">
        <v>39</v>
      </c>
      <c r="M23" s="1" t="s">
        <v>40</v>
      </c>
      <c r="N23" s="1" t="s">
        <v>41</v>
      </c>
      <c r="O23" s="1" t="s">
        <v>42</v>
      </c>
      <c r="Q23" s="1" t="s">
        <v>42</v>
      </c>
      <c r="R23" s="1" t="s">
        <v>91</v>
      </c>
      <c r="S23" s="1" t="s">
        <v>92</v>
      </c>
      <c r="T23" s="4">
        <v>18</v>
      </c>
      <c r="W23" s="4">
        <v>-18</v>
      </c>
      <c r="X23" s="1" t="s">
        <v>93</v>
      </c>
      <c r="Z23" s="1" t="s">
        <v>42</v>
      </c>
      <c r="AD23" s="1" t="s">
        <v>42</v>
      </c>
      <c r="AF23" s="1" t="s">
        <v>42</v>
      </c>
    </row>
    <row r="24" spans="1:32" x14ac:dyDescent="0.25">
      <c r="A24" s="1" t="s">
        <v>32</v>
      </c>
      <c r="B24" s="1" t="s">
        <v>33</v>
      </c>
      <c r="C24" s="1" t="s">
        <v>34</v>
      </c>
      <c r="D24" s="1" t="s">
        <v>35</v>
      </c>
      <c r="E24" s="1" t="s">
        <v>36</v>
      </c>
      <c r="F24" s="2">
        <v>46279</v>
      </c>
      <c r="G24" s="1" t="s">
        <v>37</v>
      </c>
      <c r="H24" s="3">
        <v>46279.006944444402</v>
      </c>
      <c r="I24" s="1" t="s">
        <v>38</v>
      </c>
      <c r="J24" s="2">
        <v>46279</v>
      </c>
      <c r="K24" s="3">
        <v>46279.006944444402</v>
      </c>
      <c r="L24" s="1" t="s">
        <v>39</v>
      </c>
      <c r="M24" s="1" t="s">
        <v>40</v>
      </c>
      <c r="N24" s="1" t="s">
        <v>41</v>
      </c>
      <c r="O24" s="1" t="s">
        <v>42</v>
      </c>
      <c r="Q24" s="1" t="s">
        <v>42</v>
      </c>
      <c r="R24" s="1" t="s">
        <v>94</v>
      </c>
      <c r="S24" s="1" t="s">
        <v>95</v>
      </c>
      <c r="T24" s="4">
        <v>9.6</v>
      </c>
      <c r="U24" s="4">
        <v>9.6</v>
      </c>
      <c r="V24" s="4">
        <v>9.6</v>
      </c>
      <c r="Z24" s="1" t="s">
        <v>42</v>
      </c>
      <c r="AD24" s="1" t="s">
        <v>42</v>
      </c>
      <c r="AF24" s="1" t="s">
        <v>42</v>
      </c>
    </row>
    <row r="25" spans="1:32" x14ac:dyDescent="0.25">
      <c r="A25" s="1" t="s">
        <v>32</v>
      </c>
      <c r="B25" s="1" t="s">
        <v>33</v>
      </c>
      <c r="C25" s="1" t="s">
        <v>34</v>
      </c>
      <c r="D25" s="1" t="s">
        <v>35</v>
      </c>
      <c r="E25" s="1" t="s">
        <v>36</v>
      </c>
      <c r="F25" s="2">
        <v>46279</v>
      </c>
      <c r="G25" s="1" t="s">
        <v>37</v>
      </c>
      <c r="H25" s="3">
        <v>46279.006944444402</v>
      </c>
      <c r="I25" s="1" t="s">
        <v>38</v>
      </c>
      <c r="J25" s="2">
        <v>46279</v>
      </c>
      <c r="K25" s="3">
        <v>46279.006944444402</v>
      </c>
      <c r="L25" s="1" t="s">
        <v>39</v>
      </c>
      <c r="M25" s="1" t="s">
        <v>40</v>
      </c>
      <c r="N25" s="1" t="s">
        <v>41</v>
      </c>
      <c r="O25" s="1" t="s">
        <v>42</v>
      </c>
      <c r="Q25" s="1" t="s">
        <v>42</v>
      </c>
      <c r="R25" s="1" t="s">
        <v>96</v>
      </c>
      <c r="S25" s="1" t="s">
        <v>97</v>
      </c>
      <c r="T25" s="4">
        <v>60.9</v>
      </c>
      <c r="U25" s="4">
        <v>60.9</v>
      </c>
      <c r="V25" s="4">
        <v>60.9</v>
      </c>
      <c r="Z25" s="1" t="s">
        <v>42</v>
      </c>
      <c r="AD25" s="1" t="s">
        <v>42</v>
      </c>
      <c r="AF25" s="1" t="s">
        <v>42</v>
      </c>
    </row>
    <row r="26" spans="1:32" x14ac:dyDescent="0.25">
      <c r="A26" s="1" t="s">
        <v>32</v>
      </c>
      <c r="B26" s="1" t="s">
        <v>33</v>
      </c>
      <c r="C26" s="1" t="s">
        <v>34</v>
      </c>
      <c r="D26" s="1" t="s">
        <v>35</v>
      </c>
      <c r="E26" s="1" t="s">
        <v>36</v>
      </c>
      <c r="F26" s="2">
        <v>46279</v>
      </c>
      <c r="G26" s="1" t="s">
        <v>37</v>
      </c>
      <c r="H26" s="3">
        <v>46279.006944444402</v>
      </c>
      <c r="I26" s="1" t="s">
        <v>38</v>
      </c>
      <c r="J26" s="2">
        <v>46279</v>
      </c>
      <c r="K26" s="3">
        <v>46279.006944444402</v>
      </c>
      <c r="L26" s="1" t="s">
        <v>39</v>
      </c>
      <c r="M26" s="1" t="s">
        <v>40</v>
      </c>
      <c r="N26" s="1" t="s">
        <v>41</v>
      </c>
      <c r="O26" s="1" t="s">
        <v>42</v>
      </c>
      <c r="Q26" s="1" t="s">
        <v>42</v>
      </c>
      <c r="R26" s="1" t="s">
        <v>98</v>
      </c>
      <c r="S26" s="1" t="s">
        <v>99</v>
      </c>
      <c r="T26" s="4">
        <v>3.78</v>
      </c>
      <c r="U26" s="4">
        <v>3.78</v>
      </c>
      <c r="V26" s="4">
        <v>3.78</v>
      </c>
      <c r="Z26" s="1" t="s">
        <v>42</v>
      </c>
      <c r="AD26" s="1" t="s">
        <v>42</v>
      </c>
      <c r="AF26" s="1" t="s">
        <v>42</v>
      </c>
    </row>
    <row r="27" spans="1:32" x14ac:dyDescent="0.25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2">
        <v>46279</v>
      </c>
      <c r="G27" s="1" t="s">
        <v>37</v>
      </c>
      <c r="H27" s="3">
        <v>46279.006944444402</v>
      </c>
      <c r="I27" s="1" t="s">
        <v>38</v>
      </c>
      <c r="J27" s="2">
        <v>46279</v>
      </c>
      <c r="K27" s="3">
        <v>46279.006944444402</v>
      </c>
      <c r="L27" s="1" t="s">
        <v>39</v>
      </c>
      <c r="M27" s="1" t="s">
        <v>40</v>
      </c>
      <c r="N27" s="1" t="s">
        <v>41</v>
      </c>
      <c r="O27" s="1" t="s">
        <v>42</v>
      </c>
      <c r="Q27" s="1" t="s">
        <v>42</v>
      </c>
      <c r="R27" s="1" t="s">
        <v>100</v>
      </c>
      <c r="S27" s="1" t="s">
        <v>101</v>
      </c>
      <c r="T27" s="4">
        <v>2.52</v>
      </c>
      <c r="U27" s="4">
        <v>2.52</v>
      </c>
      <c r="V27" s="4">
        <v>2.52</v>
      </c>
      <c r="Z27" s="1" t="s">
        <v>42</v>
      </c>
      <c r="AD27" s="1" t="s">
        <v>42</v>
      </c>
      <c r="AF27" s="1" t="s">
        <v>42</v>
      </c>
    </row>
    <row r="28" spans="1:32" x14ac:dyDescent="0.25">
      <c r="A28" s="1" t="s">
        <v>32</v>
      </c>
      <c r="B28" s="1" t="s">
        <v>33</v>
      </c>
      <c r="C28" s="1" t="s">
        <v>34</v>
      </c>
      <c r="D28" s="1" t="s">
        <v>35</v>
      </c>
      <c r="E28" s="1" t="s">
        <v>36</v>
      </c>
      <c r="F28" s="2">
        <v>46279</v>
      </c>
      <c r="G28" s="1" t="s">
        <v>37</v>
      </c>
      <c r="H28" s="3">
        <v>46279.006944444402</v>
      </c>
      <c r="I28" s="1" t="s">
        <v>38</v>
      </c>
      <c r="J28" s="2">
        <v>46279</v>
      </c>
      <c r="K28" s="3">
        <v>46279.006944444402</v>
      </c>
      <c r="L28" s="1" t="s">
        <v>39</v>
      </c>
      <c r="M28" s="1" t="s">
        <v>40</v>
      </c>
      <c r="N28" s="1" t="s">
        <v>41</v>
      </c>
      <c r="O28" s="1" t="s">
        <v>42</v>
      </c>
      <c r="Q28" s="1" t="s">
        <v>42</v>
      </c>
      <c r="R28" s="1" t="s">
        <v>102</v>
      </c>
      <c r="S28" s="1" t="s">
        <v>103</v>
      </c>
      <c r="T28" s="4">
        <v>97.2</v>
      </c>
      <c r="U28" s="4">
        <v>97.2</v>
      </c>
      <c r="V28" s="4">
        <v>97.2</v>
      </c>
      <c r="Z28" s="1" t="s">
        <v>42</v>
      </c>
      <c r="AD28" s="1" t="s">
        <v>42</v>
      </c>
      <c r="AF28" s="1" t="s">
        <v>42</v>
      </c>
    </row>
    <row r="29" spans="1:32" x14ac:dyDescent="0.25">
      <c r="A29" s="1" t="s">
        <v>32</v>
      </c>
      <c r="B29" s="1" t="s">
        <v>33</v>
      </c>
      <c r="C29" s="1" t="s">
        <v>34</v>
      </c>
      <c r="D29" s="1" t="s">
        <v>35</v>
      </c>
      <c r="E29" s="1" t="s">
        <v>36</v>
      </c>
      <c r="F29" s="2">
        <v>46279</v>
      </c>
      <c r="G29" s="1" t="s">
        <v>37</v>
      </c>
      <c r="H29" s="3">
        <v>46279.006944444402</v>
      </c>
      <c r="I29" s="1" t="s">
        <v>38</v>
      </c>
      <c r="J29" s="2">
        <v>46279</v>
      </c>
      <c r="K29" s="3">
        <v>46279.006944444402</v>
      </c>
      <c r="L29" s="1" t="s">
        <v>39</v>
      </c>
      <c r="M29" s="1" t="s">
        <v>40</v>
      </c>
      <c r="N29" s="1" t="s">
        <v>41</v>
      </c>
      <c r="O29" s="1" t="s">
        <v>42</v>
      </c>
      <c r="Q29" s="1" t="s">
        <v>42</v>
      </c>
      <c r="R29" s="1" t="s">
        <v>104</v>
      </c>
      <c r="S29" s="1" t="s">
        <v>105</v>
      </c>
      <c r="T29" s="4">
        <v>64.8</v>
      </c>
      <c r="W29" s="4">
        <v>-64.8</v>
      </c>
      <c r="X29" s="1" t="s">
        <v>72</v>
      </c>
      <c r="Y29" s="1" t="s">
        <v>73</v>
      </c>
      <c r="Z29" s="1" t="s">
        <v>42</v>
      </c>
      <c r="AD29" s="1" t="s">
        <v>42</v>
      </c>
      <c r="AF29" s="1" t="s">
        <v>42</v>
      </c>
    </row>
    <row r="30" spans="1:32" x14ac:dyDescent="0.25">
      <c r="A30" s="1" t="s">
        <v>32</v>
      </c>
      <c r="B30" s="1" t="s">
        <v>33</v>
      </c>
      <c r="C30" s="1" t="s">
        <v>34</v>
      </c>
      <c r="D30" s="1" t="s">
        <v>35</v>
      </c>
      <c r="E30" s="1" t="s">
        <v>36</v>
      </c>
      <c r="F30" s="2">
        <v>46279</v>
      </c>
      <c r="G30" s="1" t="s">
        <v>37</v>
      </c>
      <c r="H30" s="3">
        <v>46279.006944444402</v>
      </c>
      <c r="I30" s="1" t="s">
        <v>38</v>
      </c>
      <c r="J30" s="2">
        <v>46279</v>
      </c>
      <c r="K30" s="3">
        <v>46279.006944444402</v>
      </c>
      <c r="L30" s="1" t="s">
        <v>39</v>
      </c>
      <c r="M30" s="1" t="s">
        <v>40</v>
      </c>
      <c r="N30" s="1" t="s">
        <v>41</v>
      </c>
      <c r="O30" s="1" t="s">
        <v>42</v>
      </c>
      <c r="Q30" s="1" t="s">
        <v>42</v>
      </c>
      <c r="R30" s="1" t="s">
        <v>106</v>
      </c>
      <c r="S30" s="1" t="s">
        <v>107</v>
      </c>
      <c r="T30" s="4">
        <v>102.6</v>
      </c>
      <c r="W30" s="4">
        <v>-102.6</v>
      </c>
      <c r="X30" s="1" t="s">
        <v>67</v>
      </c>
      <c r="Y30" s="1" t="s">
        <v>68</v>
      </c>
      <c r="Z30" s="1" t="s">
        <v>42</v>
      </c>
      <c r="AD30" s="1" t="s">
        <v>42</v>
      </c>
      <c r="AE30" s="1" t="s">
        <v>69</v>
      </c>
      <c r="AF30" s="1" t="s">
        <v>42</v>
      </c>
    </row>
    <row r="31" spans="1:32" x14ac:dyDescent="0.25">
      <c r="A31" s="1" t="s">
        <v>32</v>
      </c>
      <c r="B31" s="1" t="s">
        <v>33</v>
      </c>
      <c r="C31" s="1" t="s">
        <v>34</v>
      </c>
      <c r="D31" s="1" t="s">
        <v>35</v>
      </c>
      <c r="E31" s="1" t="s">
        <v>36</v>
      </c>
      <c r="F31" s="2">
        <v>46279</v>
      </c>
      <c r="G31" s="1" t="s">
        <v>37</v>
      </c>
      <c r="H31" s="3">
        <v>46279.006944444402</v>
      </c>
      <c r="I31" s="1" t="s">
        <v>38</v>
      </c>
      <c r="J31" s="2">
        <v>46279</v>
      </c>
      <c r="K31" s="3">
        <v>46279.006944444402</v>
      </c>
      <c r="L31" s="1" t="s">
        <v>39</v>
      </c>
      <c r="M31" s="1" t="s">
        <v>40</v>
      </c>
      <c r="N31" s="1" t="s">
        <v>41</v>
      </c>
      <c r="O31" s="1" t="s">
        <v>42</v>
      </c>
      <c r="Q31" s="1" t="s">
        <v>42</v>
      </c>
      <c r="R31" s="1" t="s">
        <v>108</v>
      </c>
      <c r="S31" s="1" t="s">
        <v>109</v>
      </c>
      <c r="T31" s="4">
        <v>81</v>
      </c>
      <c r="W31" s="4">
        <v>-81</v>
      </c>
      <c r="X31" s="1" t="s">
        <v>72</v>
      </c>
      <c r="Y31" s="1" t="s">
        <v>73</v>
      </c>
      <c r="Z31" s="1" t="s">
        <v>42</v>
      </c>
      <c r="AD31" s="1" t="s">
        <v>42</v>
      </c>
      <c r="AF31" s="1" t="s">
        <v>42</v>
      </c>
    </row>
    <row r="32" spans="1:32" x14ac:dyDescent="0.25">
      <c r="A32" s="1" t="s">
        <v>32</v>
      </c>
      <c r="B32" s="1" t="s">
        <v>33</v>
      </c>
      <c r="C32" s="1" t="s">
        <v>34</v>
      </c>
      <c r="D32" s="1" t="s">
        <v>35</v>
      </c>
      <c r="E32" s="1" t="s">
        <v>36</v>
      </c>
      <c r="F32" s="2">
        <v>46279</v>
      </c>
      <c r="G32" s="1" t="s">
        <v>37</v>
      </c>
      <c r="H32" s="3">
        <v>46279.006944444402</v>
      </c>
      <c r="I32" s="1" t="s">
        <v>38</v>
      </c>
      <c r="J32" s="2">
        <v>46279</v>
      </c>
      <c r="K32" s="3">
        <v>46279.006944444402</v>
      </c>
      <c r="L32" s="1" t="s">
        <v>39</v>
      </c>
      <c r="M32" s="1" t="s">
        <v>40</v>
      </c>
      <c r="N32" s="1" t="s">
        <v>41</v>
      </c>
      <c r="O32" s="1" t="s">
        <v>42</v>
      </c>
      <c r="Q32" s="1" t="s">
        <v>42</v>
      </c>
      <c r="R32" s="1" t="s">
        <v>110</v>
      </c>
      <c r="S32" s="1" t="s">
        <v>111</v>
      </c>
      <c r="T32" s="4">
        <v>9</v>
      </c>
      <c r="W32" s="4">
        <v>-9</v>
      </c>
      <c r="X32" s="1" t="s">
        <v>67</v>
      </c>
      <c r="Y32" s="1" t="s">
        <v>68</v>
      </c>
      <c r="Z32" s="1" t="s">
        <v>42</v>
      </c>
      <c r="AD32" s="1" t="s">
        <v>42</v>
      </c>
      <c r="AE32" s="1" t="s">
        <v>69</v>
      </c>
      <c r="AF32" s="1" t="s">
        <v>42</v>
      </c>
    </row>
    <row r="33" spans="1:32" x14ac:dyDescent="0.25">
      <c r="A33" s="1" t="s">
        <v>32</v>
      </c>
      <c r="B33" s="1" t="s">
        <v>33</v>
      </c>
      <c r="C33" s="1" t="s">
        <v>34</v>
      </c>
      <c r="D33" s="1" t="s">
        <v>35</v>
      </c>
      <c r="E33" s="1" t="s">
        <v>36</v>
      </c>
      <c r="F33" s="2">
        <v>46279</v>
      </c>
      <c r="G33" s="1" t="s">
        <v>37</v>
      </c>
      <c r="H33" s="3">
        <v>46279.006944444402</v>
      </c>
      <c r="I33" s="1" t="s">
        <v>38</v>
      </c>
      <c r="J33" s="2">
        <v>46279</v>
      </c>
      <c r="K33" s="3">
        <v>46279.006944444402</v>
      </c>
      <c r="L33" s="1" t="s">
        <v>39</v>
      </c>
      <c r="M33" s="1" t="s">
        <v>40</v>
      </c>
      <c r="N33" s="1" t="s">
        <v>41</v>
      </c>
      <c r="O33" s="1" t="s">
        <v>42</v>
      </c>
      <c r="Q33" s="1" t="s">
        <v>42</v>
      </c>
      <c r="R33" s="1" t="s">
        <v>112</v>
      </c>
      <c r="S33" s="1" t="s">
        <v>113</v>
      </c>
      <c r="T33" s="4">
        <v>9</v>
      </c>
      <c r="W33" s="4">
        <v>-9</v>
      </c>
      <c r="X33" s="1" t="s">
        <v>67</v>
      </c>
      <c r="Y33" s="1" t="s">
        <v>68</v>
      </c>
      <c r="Z33" s="1" t="s">
        <v>42</v>
      </c>
      <c r="AD33" s="1" t="s">
        <v>42</v>
      </c>
      <c r="AE33" s="1" t="s">
        <v>69</v>
      </c>
      <c r="AF33" s="1" t="s">
        <v>42</v>
      </c>
    </row>
    <row r="34" spans="1:32" x14ac:dyDescent="0.25">
      <c r="A34" s="1" t="s">
        <v>32</v>
      </c>
      <c r="B34" s="1" t="s">
        <v>33</v>
      </c>
      <c r="C34" s="1" t="s">
        <v>34</v>
      </c>
      <c r="D34" s="1" t="s">
        <v>35</v>
      </c>
      <c r="E34" s="1" t="s">
        <v>36</v>
      </c>
      <c r="F34" s="2">
        <v>46279</v>
      </c>
      <c r="G34" s="1" t="s">
        <v>37</v>
      </c>
      <c r="H34" s="3">
        <v>46279.006944444402</v>
      </c>
      <c r="I34" s="1" t="s">
        <v>38</v>
      </c>
      <c r="J34" s="2">
        <v>46279</v>
      </c>
      <c r="K34" s="3">
        <v>46279.006944444402</v>
      </c>
      <c r="L34" s="1" t="s">
        <v>39</v>
      </c>
      <c r="M34" s="1" t="s">
        <v>40</v>
      </c>
      <c r="N34" s="1" t="s">
        <v>41</v>
      </c>
      <c r="O34" s="1" t="s">
        <v>42</v>
      </c>
      <c r="Q34" s="1" t="s">
        <v>42</v>
      </c>
      <c r="R34" s="1" t="s">
        <v>114</v>
      </c>
      <c r="S34" s="1" t="s">
        <v>115</v>
      </c>
      <c r="T34" s="4">
        <v>16.2</v>
      </c>
      <c r="W34" s="4">
        <v>-16.2</v>
      </c>
      <c r="X34" s="1" t="s">
        <v>67</v>
      </c>
      <c r="Y34" s="1" t="s">
        <v>68</v>
      </c>
      <c r="Z34" s="1" t="s">
        <v>42</v>
      </c>
      <c r="AD34" s="1" t="s">
        <v>42</v>
      </c>
      <c r="AE34" s="1" t="s">
        <v>69</v>
      </c>
      <c r="AF34" s="1" t="s">
        <v>42</v>
      </c>
    </row>
    <row r="35" spans="1:32" x14ac:dyDescent="0.25">
      <c r="A35" s="1" t="s">
        <v>32</v>
      </c>
      <c r="B35" s="1" t="s">
        <v>33</v>
      </c>
      <c r="C35" s="1" t="s">
        <v>34</v>
      </c>
      <c r="D35" s="1" t="s">
        <v>35</v>
      </c>
      <c r="E35" s="1" t="s">
        <v>36</v>
      </c>
      <c r="F35" s="2">
        <v>46279</v>
      </c>
      <c r="G35" s="1" t="s">
        <v>37</v>
      </c>
      <c r="H35" s="3">
        <v>46279.006944444402</v>
      </c>
      <c r="I35" s="1" t="s">
        <v>38</v>
      </c>
      <c r="J35" s="2">
        <v>46279</v>
      </c>
      <c r="K35" s="3">
        <v>46279.006944444402</v>
      </c>
      <c r="L35" s="1" t="s">
        <v>39</v>
      </c>
      <c r="M35" s="1" t="s">
        <v>40</v>
      </c>
      <c r="N35" s="1" t="s">
        <v>41</v>
      </c>
      <c r="O35" s="1" t="s">
        <v>42</v>
      </c>
      <c r="Q35" s="1" t="s">
        <v>42</v>
      </c>
      <c r="R35" s="1" t="s">
        <v>116</v>
      </c>
      <c r="S35" s="1" t="s">
        <v>117</v>
      </c>
      <c r="T35" s="4">
        <v>153.9</v>
      </c>
      <c r="U35" s="4">
        <v>153.9</v>
      </c>
      <c r="V35" s="4">
        <v>153.9</v>
      </c>
      <c r="Z35" s="1" t="s">
        <v>42</v>
      </c>
      <c r="AD35" s="1" t="s">
        <v>42</v>
      </c>
      <c r="AF35" s="1" t="s">
        <v>42</v>
      </c>
    </row>
    <row r="36" spans="1:32" x14ac:dyDescent="0.25">
      <c r="A36" s="1" t="s">
        <v>32</v>
      </c>
      <c r="B36" s="1" t="s">
        <v>33</v>
      </c>
      <c r="C36" s="1" t="s">
        <v>34</v>
      </c>
      <c r="D36" s="1" t="s">
        <v>35</v>
      </c>
      <c r="E36" s="1" t="s">
        <v>36</v>
      </c>
      <c r="F36" s="2">
        <v>46279</v>
      </c>
      <c r="G36" s="1" t="s">
        <v>37</v>
      </c>
      <c r="H36" s="3">
        <v>46279.006944444402</v>
      </c>
      <c r="I36" s="1" t="s">
        <v>38</v>
      </c>
      <c r="J36" s="2">
        <v>46279</v>
      </c>
      <c r="K36" s="3">
        <v>46279.006944444402</v>
      </c>
      <c r="L36" s="1" t="s">
        <v>39</v>
      </c>
      <c r="M36" s="1" t="s">
        <v>40</v>
      </c>
      <c r="N36" s="1" t="s">
        <v>41</v>
      </c>
      <c r="O36" s="1" t="s">
        <v>42</v>
      </c>
      <c r="Q36" s="1" t="s">
        <v>42</v>
      </c>
      <c r="R36" s="1" t="s">
        <v>118</v>
      </c>
      <c r="S36" s="1" t="s">
        <v>119</v>
      </c>
      <c r="T36" s="4">
        <v>364.5</v>
      </c>
      <c r="U36" s="4">
        <v>364.5</v>
      </c>
      <c r="V36" s="4">
        <v>364.5</v>
      </c>
      <c r="Z36" s="1" t="s">
        <v>42</v>
      </c>
      <c r="AD36" s="1" t="s">
        <v>42</v>
      </c>
      <c r="AF36" s="1" t="s">
        <v>42</v>
      </c>
    </row>
    <row r="37" spans="1:32" x14ac:dyDescent="0.25">
      <c r="A37" s="1" t="s">
        <v>32</v>
      </c>
      <c r="B37" s="1" t="s">
        <v>33</v>
      </c>
      <c r="C37" s="1" t="s">
        <v>34</v>
      </c>
      <c r="D37" s="1" t="s">
        <v>35</v>
      </c>
      <c r="E37" s="1" t="s">
        <v>36</v>
      </c>
      <c r="F37" s="2">
        <v>46279</v>
      </c>
      <c r="G37" s="1" t="s">
        <v>37</v>
      </c>
      <c r="H37" s="3">
        <v>46279.006944444402</v>
      </c>
      <c r="I37" s="1" t="s">
        <v>38</v>
      </c>
      <c r="J37" s="2">
        <v>46279</v>
      </c>
      <c r="K37" s="3">
        <v>46279.006944444402</v>
      </c>
      <c r="L37" s="1" t="s">
        <v>39</v>
      </c>
      <c r="M37" s="1" t="s">
        <v>40</v>
      </c>
      <c r="N37" s="1" t="s">
        <v>41</v>
      </c>
      <c r="O37" s="1" t="s">
        <v>42</v>
      </c>
      <c r="Q37" s="1" t="s">
        <v>42</v>
      </c>
      <c r="R37" s="1" t="s">
        <v>120</v>
      </c>
      <c r="S37" s="1" t="s">
        <v>121</v>
      </c>
      <c r="T37" s="4">
        <v>34.799999999999997</v>
      </c>
      <c r="U37" s="4">
        <v>34.799999999999997</v>
      </c>
      <c r="V37" s="4">
        <v>34.799999999999997</v>
      </c>
      <c r="Z37" s="1" t="s">
        <v>42</v>
      </c>
      <c r="AD37" s="1" t="s">
        <v>42</v>
      </c>
      <c r="AF37" s="1" t="s">
        <v>42</v>
      </c>
    </row>
    <row r="38" spans="1:32" x14ac:dyDescent="0.25">
      <c r="A38" s="1" t="s">
        <v>32</v>
      </c>
      <c r="B38" s="1" t="s">
        <v>33</v>
      </c>
      <c r="C38" s="1" t="s">
        <v>34</v>
      </c>
      <c r="D38" s="1" t="s">
        <v>35</v>
      </c>
      <c r="E38" s="1" t="s">
        <v>36</v>
      </c>
      <c r="F38" s="2">
        <v>46279</v>
      </c>
      <c r="G38" s="1" t="s">
        <v>37</v>
      </c>
      <c r="H38" s="3">
        <v>46279.006944444402</v>
      </c>
      <c r="I38" s="1" t="s">
        <v>38</v>
      </c>
      <c r="J38" s="2">
        <v>46279</v>
      </c>
      <c r="K38" s="3">
        <v>46279.006944444402</v>
      </c>
      <c r="L38" s="1" t="s">
        <v>39</v>
      </c>
      <c r="M38" s="1" t="s">
        <v>40</v>
      </c>
      <c r="N38" s="1" t="s">
        <v>41</v>
      </c>
      <c r="O38" s="1" t="s">
        <v>42</v>
      </c>
      <c r="Q38" s="1" t="s">
        <v>42</v>
      </c>
      <c r="R38" s="1" t="s">
        <v>122</v>
      </c>
      <c r="S38" s="1" t="s">
        <v>123</v>
      </c>
      <c r="T38" s="4">
        <v>141.6</v>
      </c>
      <c r="U38" s="4">
        <v>141.6</v>
      </c>
      <c r="V38" s="4">
        <v>141.6</v>
      </c>
      <c r="Z38" s="1" t="s">
        <v>42</v>
      </c>
      <c r="AD38" s="1" t="s">
        <v>42</v>
      </c>
      <c r="AF38" s="1" t="s">
        <v>42</v>
      </c>
    </row>
    <row r="39" spans="1:32" x14ac:dyDescent="0.25">
      <c r="A39" s="1" t="s">
        <v>32</v>
      </c>
      <c r="B39" s="1" t="s">
        <v>33</v>
      </c>
      <c r="C39" s="1" t="s">
        <v>34</v>
      </c>
      <c r="D39" s="1" t="s">
        <v>35</v>
      </c>
      <c r="E39" s="1" t="s">
        <v>36</v>
      </c>
      <c r="F39" s="2">
        <v>46279</v>
      </c>
      <c r="G39" s="1" t="s">
        <v>37</v>
      </c>
      <c r="H39" s="3">
        <v>46279.006944444402</v>
      </c>
      <c r="I39" s="1" t="s">
        <v>38</v>
      </c>
      <c r="J39" s="2">
        <v>46279</v>
      </c>
      <c r="K39" s="3">
        <v>46279.006944444402</v>
      </c>
      <c r="L39" s="1" t="s">
        <v>39</v>
      </c>
      <c r="M39" s="1" t="s">
        <v>40</v>
      </c>
      <c r="N39" s="1" t="s">
        <v>41</v>
      </c>
      <c r="O39" s="1" t="s">
        <v>42</v>
      </c>
      <c r="Q39" s="1" t="s">
        <v>42</v>
      </c>
      <c r="R39" s="1" t="s">
        <v>124</v>
      </c>
      <c r="S39" s="1" t="s">
        <v>125</v>
      </c>
      <c r="T39" s="4">
        <v>81.599999999999994</v>
      </c>
      <c r="U39" s="4">
        <v>81.599999999999994</v>
      </c>
      <c r="V39" s="4">
        <v>81.599999999999994</v>
      </c>
      <c r="Z39" s="1" t="s">
        <v>42</v>
      </c>
      <c r="AD39" s="1" t="s">
        <v>42</v>
      </c>
      <c r="AF39" s="1" t="s">
        <v>42</v>
      </c>
    </row>
    <row r="40" spans="1:32" x14ac:dyDescent="0.25">
      <c r="A40" s="1" t="s">
        <v>32</v>
      </c>
      <c r="B40" s="1" t="s">
        <v>33</v>
      </c>
      <c r="C40" s="1" t="s">
        <v>34</v>
      </c>
      <c r="D40" s="1" t="s">
        <v>35</v>
      </c>
      <c r="E40" s="1" t="s">
        <v>36</v>
      </c>
      <c r="F40" s="2">
        <v>46279</v>
      </c>
      <c r="G40" s="1" t="s">
        <v>37</v>
      </c>
      <c r="H40" s="3">
        <v>46279.006944444402</v>
      </c>
      <c r="I40" s="1" t="s">
        <v>38</v>
      </c>
      <c r="J40" s="2">
        <v>46279</v>
      </c>
      <c r="K40" s="3">
        <v>46279.006944444402</v>
      </c>
      <c r="L40" s="1" t="s">
        <v>39</v>
      </c>
      <c r="M40" s="1" t="s">
        <v>40</v>
      </c>
      <c r="N40" s="1" t="s">
        <v>41</v>
      </c>
      <c r="O40" s="1" t="s">
        <v>42</v>
      </c>
      <c r="Q40" s="1" t="s">
        <v>42</v>
      </c>
      <c r="R40" s="1" t="s">
        <v>126</v>
      </c>
      <c r="S40" s="1" t="s">
        <v>127</v>
      </c>
      <c r="T40" s="4">
        <v>60</v>
      </c>
      <c r="U40" s="4">
        <v>60</v>
      </c>
      <c r="V40" s="4">
        <v>60</v>
      </c>
      <c r="Z40" s="1" t="s">
        <v>42</v>
      </c>
      <c r="AD40" s="1" t="s">
        <v>42</v>
      </c>
      <c r="AF40" s="1" t="s">
        <v>42</v>
      </c>
    </row>
    <row r="41" spans="1:32" x14ac:dyDescent="0.25">
      <c r="A41" s="1" t="s">
        <v>32</v>
      </c>
      <c r="B41" s="1" t="s">
        <v>33</v>
      </c>
      <c r="C41" s="1" t="s">
        <v>34</v>
      </c>
      <c r="D41" s="1" t="s">
        <v>35</v>
      </c>
      <c r="E41" s="1" t="s">
        <v>36</v>
      </c>
      <c r="F41" s="2">
        <v>46279</v>
      </c>
      <c r="G41" s="1" t="s">
        <v>37</v>
      </c>
      <c r="H41" s="3">
        <v>46279.006944444402</v>
      </c>
      <c r="I41" s="1" t="s">
        <v>38</v>
      </c>
      <c r="J41" s="2">
        <v>46279</v>
      </c>
      <c r="K41" s="3">
        <v>46279.006944444402</v>
      </c>
      <c r="L41" s="1" t="s">
        <v>39</v>
      </c>
      <c r="M41" s="1" t="s">
        <v>40</v>
      </c>
      <c r="N41" s="1" t="s">
        <v>41</v>
      </c>
      <c r="O41" s="1" t="s">
        <v>42</v>
      </c>
      <c r="Q41" s="1" t="s">
        <v>42</v>
      </c>
      <c r="R41" s="1" t="s">
        <v>128</v>
      </c>
      <c r="S41" s="1" t="s">
        <v>129</v>
      </c>
      <c r="T41" s="4">
        <v>163.19999999999999</v>
      </c>
      <c r="U41" s="4">
        <v>163.19999999999999</v>
      </c>
      <c r="V41" s="4">
        <v>163.19999999999999</v>
      </c>
      <c r="Z41" s="1" t="s">
        <v>42</v>
      </c>
      <c r="AD41" s="1" t="s">
        <v>42</v>
      </c>
      <c r="AF41" s="1" t="s">
        <v>42</v>
      </c>
    </row>
    <row r="42" spans="1:32" x14ac:dyDescent="0.25">
      <c r="A42" s="1" t="s">
        <v>32</v>
      </c>
      <c r="B42" s="1" t="s">
        <v>33</v>
      </c>
      <c r="C42" s="1" t="s">
        <v>34</v>
      </c>
      <c r="D42" s="1" t="s">
        <v>35</v>
      </c>
      <c r="E42" s="1" t="s">
        <v>36</v>
      </c>
      <c r="F42" s="2">
        <v>46279</v>
      </c>
      <c r="G42" s="1" t="s">
        <v>37</v>
      </c>
      <c r="H42" s="3">
        <v>46279.006944444402</v>
      </c>
      <c r="I42" s="1" t="s">
        <v>38</v>
      </c>
      <c r="J42" s="2">
        <v>46279</v>
      </c>
      <c r="K42" s="3">
        <v>46279.006944444402</v>
      </c>
      <c r="L42" s="1" t="s">
        <v>39</v>
      </c>
      <c r="M42" s="1" t="s">
        <v>40</v>
      </c>
      <c r="N42" s="1" t="s">
        <v>41</v>
      </c>
      <c r="O42" s="1" t="s">
        <v>42</v>
      </c>
      <c r="Q42" s="1" t="s">
        <v>42</v>
      </c>
      <c r="R42" s="1" t="s">
        <v>130</v>
      </c>
      <c r="S42" s="1" t="s">
        <v>131</v>
      </c>
      <c r="T42" s="4">
        <v>12</v>
      </c>
      <c r="U42" s="4">
        <v>12</v>
      </c>
      <c r="V42" s="4">
        <v>12</v>
      </c>
      <c r="Z42" s="1" t="s">
        <v>42</v>
      </c>
      <c r="AD42" s="1" t="s">
        <v>42</v>
      </c>
      <c r="AF42" s="1" t="s">
        <v>42</v>
      </c>
    </row>
    <row r="43" spans="1:32" x14ac:dyDescent="0.25">
      <c r="A43" s="1" t="s">
        <v>32</v>
      </c>
      <c r="B43" s="1" t="s">
        <v>33</v>
      </c>
      <c r="C43" s="1" t="s">
        <v>34</v>
      </c>
      <c r="D43" s="1" t="s">
        <v>35</v>
      </c>
      <c r="E43" s="1" t="s">
        <v>36</v>
      </c>
      <c r="F43" s="2">
        <v>46279</v>
      </c>
      <c r="G43" s="1" t="s">
        <v>37</v>
      </c>
      <c r="H43" s="3">
        <v>46279.006944444402</v>
      </c>
      <c r="I43" s="1" t="s">
        <v>38</v>
      </c>
      <c r="J43" s="2">
        <v>46279</v>
      </c>
      <c r="K43" s="3">
        <v>46279.006944444402</v>
      </c>
      <c r="L43" s="1" t="s">
        <v>39</v>
      </c>
      <c r="M43" s="1" t="s">
        <v>40</v>
      </c>
      <c r="N43" s="1" t="s">
        <v>41</v>
      </c>
      <c r="O43" s="1" t="s">
        <v>42</v>
      </c>
      <c r="Q43" s="1" t="s">
        <v>42</v>
      </c>
      <c r="R43" s="1" t="s">
        <v>132</v>
      </c>
      <c r="S43" s="1" t="s">
        <v>133</v>
      </c>
      <c r="T43" s="4">
        <v>43.2</v>
      </c>
      <c r="U43" s="4">
        <v>21.6</v>
      </c>
      <c r="V43" s="4">
        <v>43.2</v>
      </c>
      <c r="W43" s="4">
        <v>-21.6</v>
      </c>
      <c r="X43" s="1" t="s">
        <v>134</v>
      </c>
      <c r="Z43" s="1" t="s">
        <v>42</v>
      </c>
      <c r="AD43" s="1" t="s">
        <v>42</v>
      </c>
      <c r="AF43" s="1" t="s">
        <v>42</v>
      </c>
    </row>
    <row r="44" spans="1:32" x14ac:dyDescent="0.25">
      <c r="A44" s="1" t="s">
        <v>32</v>
      </c>
      <c r="B44" s="1" t="s">
        <v>33</v>
      </c>
      <c r="C44" s="1" t="s">
        <v>34</v>
      </c>
      <c r="D44" s="1" t="s">
        <v>35</v>
      </c>
      <c r="E44" s="1" t="s">
        <v>36</v>
      </c>
      <c r="F44" s="2">
        <v>46279</v>
      </c>
      <c r="G44" s="1" t="s">
        <v>37</v>
      </c>
      <c r="H44" s="3">
        <v>46279.006944444402</v>
      </c>
      <c r="I44" s="1" t="s">
        <v>38</v>
      </c>
      <c r="J44" s="2">
        <v>46279</v>
      </c>
      <c r="K44" s="3">
        <v>46279.006944444402</v>
      </c>
      <c r="L44" s="1" t="s">
        <v>39</v>
      </c>
      <c r="M44" s="1" t="s">
        <v>40</v>
      </c>
      <c r="N44" s="1" t="s">
        <v>41</v>
      </c>
      <c r="O44" s="1" t="s">
        <v>42</v>
      </c>
      <c r="Q44" s="1" t="s">
        <v>42</v>
      </c>
      <c r="R44" s="1" t="s">
        <v>135</v>
      </c>
      <c r="S44" s="1" t="s">
        <v>136</v>
      </c>
      <c r="T44" s="4">
        <v>23.2</v>
      </c>
      <c r="U44" s="4">
        <v>23.2</v>
      </c>
      <c r="V44" s="4">
        <v>23.2</v>
      </c>
      <c r="Z44" s="1" t="s">
        <v>42</v>
      </c>
      <c r="AD44" s="1" t="s">
        <v>42</v>
      </c>
      <c r="AF44" s="1" t="s">
        <v>42</v>
      </c>
    </row>
    <row r="45" spans="1:32" x14ac:dyDescent="0.25">
      <c r="A45" s="1" t="s">
        <v>32</v>
      </c>
      <c r="B45" s="1" t="s">
        <v>33</v>
      </c>
      <c r="C45" s="1" t="s">
        <v>34</v>
      </c>
      <c r="D45" s="1" t="s">
        <v>35</v>
      </c>
      <c r="E45" s="1" t="s">
        <v>36</v>
      </c>
      <c r="F45" s="2">
        <v>46279</v>
      </c>
      <c r="G45" s="1" t="s">
        <v>37</v>
      </c>
      <c r="H45" s="3">
        <v>46279.006944444402</v>
      </c>
      <c r="I45" s="1" t="s">
        <v>38</v>
      </c>
      <c r="J45" s="2">
        <v>46279</v>
      </c>
      <c r="K45" s="3">
        <v>46279.006944444402</v>
      </c>
      <c r="L45" s="1" t="s">
        <v>39</v>
      </c>
      <c r="M45" s="1" t="s">
        <v>40</v>
      </c>
      <c r="N45" s="1" t="s">
        <v>41</v>
      </c>
      <c r="O45" s="1" t="s">
        <v>42</v>
      </c>
      <c r="Q45" s="1" t="s">
        <v>42</v>
      </c>
      <c r="R45" s="1" t="s">
        <v>137</v>
      </c>
      <c r="S45" s="1" t="s">
        <v>138</v>
      </c>
      <c r="T45" s="4">
        <v>5.4</v>
      </c>
      <c r="U45" s="4">
        <v>5.4</v>
      </c>
      <c r="V45" s="4">
        <v>5.4</v>
      </c>
      <c r="Z45" s="1" t="s">
        <v>42</v>
      </c>
      <c r="AD45" s="1" t="s">
        <v>42</v>
      </c>
      <c r="AF45" s="1" t="s">
        <v>42</v>
      </c>
    </row>
    <row r="46" spans="1:32" x14ac:dyDescent="0.25">
      <c r="A46" s="1" t="s">
        <v>32</v>
      </c>
      <c r="B46" s="1" t="s">
        <v>33</v>
      </c>
      <c r="C46" s="1" t="s">
        <v>34</v>
      </c>
      <c r="D46" s="1" t="s">
        <v>35</v>
      </c>
      <c r="E46" s="1" t="s">
        <v>36</v>
      </c>
      <c r="F46" s="2">
        <v>46279</v>
      </c>
      <c r="G46" s="1" t="s">
        <v>37</v>
      </c>
      <c r="H46" s="3">
        <v>46279.006944444402</v>
      </c>
      <c r="I46" s="1" t="s">
        <v>38</v>
      </c>
      <c r="J46" s="2">
        <v>46279</v>
      </c>
      <c r="K46" s="3">
        <v>46279.006944444402</v>
      </c>
      <c r="L46" s="1" t="s">
        <v>39</v>
      </c>
      <c r="M46" s="1" t="s">
        <v>40</v>
      </c>
      <c r="N46" s="1" t="s">
        <v>41</v>
      </c>
      <c r="O46" s="1" t="s">
        <v>42</v>
      </c>
      <c r="Q46" s="1" t="s">
        <v>42</v>
      </c>
      <c r="R46" s="1" t="s">
        <v>139</v>
      </c>
      <c r="S46" s="1" t="s">
        <v>140</v>
      </c>
      <c r="T46" s="4">
        <v>9.6</v>
      </c>
      <c r="U46" s="4">
        <v>9.6</v>
      </c>
      <c r="V46" s="4">
        <v>9.6</v>
      </c>
      <c r="Z46" s="1" t="s">
        <v>42</v>
      </c>
      <c r="AD46" s="1" t="s">
        <v>42</v>
      </c>
      <c r="AF46" s="1" t="s">
        <v>42</v>
      </c>
    </row>
    <row r="47" spans="1:32" x14ac:dyDescent="0.25">
      <c r="A47" s="1" t="s">
        <v>32</v>
      </c>
      <c r="B47" s="1" t="s">
        <v>33</v>
      </c>
      <c r="C47" s="1" t="s">
        <v>34</v>
      </c>
      <c r="D47" s="1" t="s">
        <v>35</v>
      </c>
      <c r="E47" s="1" t="s">
        <v>36</v>
      </c>
      <c r="F47" s="2">
        <v>46279</v>
      </c>
      <c r="G47" s="1" t="s">
        <v>37</v>
      </c>
      <c r="H47" s="3">
        <v>46279.006944444402</v>
      </c>
      <c r="I47" s="1" t="s">
        <v>38</v>
      </c>
      <c r="J47" s="2">
        <v>46279</v>
      </c>
      <c r="K47" s="3">
        <v>46279.006944444402</v>
      </c>
      <c r="L47" s="1" t="s">
        <v>39</v>
      </c>
      <c r="M47" s="1" t="s">
        <v>40</v>
      </c>
      <c r="N47" s="1" t="s">
        <v>41</v>
      </c>
      <c r="O47" s="1" t="s">
        <v>42</v>
      </c>
      <c r="Q47" s="1" t="s">
        <v>42</v>
      </c>
      <c r="R47" s="1" t="s">
        <v>141</v>
      </c>
      <c r="S47" s="1" t="s">
        <v>142</v>
      </c>
      <c r="T47" s="4">
        <v>210.6</v>
      </c>
      <c r="U47" s="4">
        <v>210.6</v>
      </c>
      <c r="V47" s="4">
        <v>210.6</v>
      </c>
      <c r="Z47" s="1" t="s">
        <v>42</v>
      </c>
      <c r="AD47" s="1" t="s">
        <v>42</v>
      </c>
      <c r="AF47" s="1" t="s">
        <v>42</v>
      </c>
    </row>
    <row r="48" spans="1:32" x14ac:dyDescent="0.25">
      <c r="A48" s="1" t="s">
        <v>32</v>
      </c>
      <c r="B48" s="1" t="s">
        <v>33</v>
      </c>
      <c r="C48" s="1" t="s">
        <v>34</v>
      </c>
      <c r="D48" s="1" t="s">
        <v>35</v>
      </c>
      <c r="E48" s="1" t="s">
        <v>36</v>
      </c>
      <c r="F48" s="2">
        <v>46279</v>
      </c>
      <c r="G48" s="1" t="s">
        <v>37</v>
      </c>
      <c r="H48" s="3">
        <v>46279.006944444402</v>
      </c>
      <c r="I48" s="1" t="s">
        <v>38</v>
      </c>
      <c r="J48" s="2">
        <v>46279</v>
      </c>
      <c r="K48" s="3">
        <v>46279.006944444402</v>
      </c>
      <c r="L48" s="1" t="s">
        <v>39</v>
      </c>
      <c r="M48" s="1" t="s">
        <v>40</v>
      </c>
      <c r="N48" s="1" t="s">
        <v>41</v>
      </c>
      <c r="O48" s="1" t="s">
        <v>42</v>
      </c>
      <c r="Q48" s="1" t="s">
        <v>42</v>
      </c>
      <c r="R48" s="1" t="s">
        <v>143</v>
      </c>
      <c r="S48" s="1" t="s">
        <v>144</v>
      </c>
      <c r="T48" s="4">
        <v>54.6</v>
      </c>
      <c r="U48" s="4">
        <v>54.6</v>
      </c>
      <c r="V48" s="4">
        <v>54.6</v>
      </c>
      <c r="Z48" s="1" t="s">
        <v>42</v>
      </c>
      <c r="AD48" s="1" t="s">
        <v>42</v>
      </c>
      <c r="AF48" s="1" t="s">
        <v>42</v>
      </c>
    </row>
    <row r="49" spans="1:32" x14ac:dyDescent="0.25">
      <c r="A49" s="1" t="s">
        <v>32</v>
      </c>
      <c r="B49" s="1" t="s">
        <v>33</v>
      </c>
      <c r="C49" s="1" t="s">
        <v>34</v>
      </c>
      <c r="D49" s="1" t="s">
        <v>35</v>
      </c>
      <c r="E49" s="1" t="s">
        <v>36</v>
      </c>
      <c r="F49" s="2">
        <v>46279</v>
      </c>
      <c r="G49" s="1" t="s">
        <v>37</v>
      </c>
      <c r="H49" s="3">
        <v>46279.006944444402</v>
      </c>
      <c r="I49" s="1" t="s">
        <v>38</v>
      </c>
      <c r="J49" s="2">
        <v>46279</v>
      </c>
      <c r="K49" s="3">
        <v>46279.006944444402</v>
      </c>
      <c r="L49" s="1" t="s">
        <v>39</v>
      </c>
      <c r="M49" s="1" t="s">
        <v>40</v>
      </c>
      <c r="N49" s="1" t="s">
        <v>41</v>
      </c>
      <c r="O49" s="1" t="s">
        <v>42</v>
      </c>
      <c r="Q49" s="1" t="s">
        <v>42</v>
      </c>
      <c r="R49" s="1" t="s">
        <v>145</v>
      </c>
      <c r="S49" s="1" t="s">
        <v>146</v>
      </c>
      <c r="T49" s="4">
        <v>9</v>
      </c>
      <c r="U49" s="4">
        <v>9</v>
      </c>
      <c r="V49" s="4">
        <v>9</v>
      </c>
      <c r="Z49" s="1" t="s">
        <v>42</v>
      </c>
      <c r="AD49" s="1" t="s">
        <v>42</v>
      </c>
      <c r="AF49" s="1" t="s">
        <v>42</v>
      </c>
    </row>
    <row r="50" spans="1:32" x14ac:dyDescent="0.25">
      <c r="A50" s="1" t="s">
        <v>32</v>
      </c>
      <c r="B50" s="1" t="s">
        <v>33</v>
      </c>
      <c r="C50" s="1" t="s">
        <v>34</v>
      </c>
      <c r="D50" s="1" t="s">
        <v>35</v>
      </c>
      <c r="E50" s="1" t="s">
        <v>36</v>
      </c>
      <c r="F50" s="2">
        <v>46279</v>
      </c>
      <c r="G50" s="1" t="s">
        <v>37</v>
      </c>
      <c r="H50" s="3">
        <v>46279.006944444402</v>
      </c>
      <c r="I50" s="1" t="s">
        <v>38</v>
      </c>
      <c r="J50" s="2">
        <v>46279</v>
      </c>
      <c r="K50" s="3">
        <v>46279.006944444402</v>
      </c>
      <c r="L50" s="1" t="s">
        <v>39</v>
      </c>
      <c r="M50" s="1" t="s">
        <v>40</v>
      </c>
      <c r="N50" s="1" t="s">
        <v>41</v>
      </c>
      <c r="O50" s="1" t="s">
        <v>42</v>
      </c>
      <c r="Q50" s="1" t="s">
        <v>42</v>
      </c>
      <c r="R50" s="1" t="s">
        <v>147</v>
      </c>
      <c r="S50" s="1" t="s">
        <v>148</v>
      </c>
      <c r="T50" s="4">
        <v>202.8</v>
      </c>
      <c r="U50" s="4">
        <v>202.8</v>
      </c>
      <c r="V50" s="4">
        <v>202.8</v>
      </c>
      <c r="Z50" s="1" t="s">
        <v>42</v>
      </c>
      <c r="AD50" s="1" t="s">
        <v>42</v>
      </c>
      <c r="AF50" s="1" t="s">
        <v>42</v>
      </c>
    </row>
    <row r="51" spans="1:32" x14ac:dyDescent="0.25">
      <c r="A51" s="1" t="s">
        <v>32</v>
      </c>
      <c r="B51" s="1" t="s">
        <v>33</v>
      </c>
      <c r="C51" s="1" t="s">
        <v>34</v>
      </c>
      <c r="D51" s="1" t="s">
        <v>35</v>
      </c>
      <c r="E51" s="1" t="s">
        <v>36</v>
      </c>
      <c r="F51" s="2">
        <v>46279</v>
      </c>
      <c r="G51" s="1" t="s">
        <v>37</v>
      </c>
      <c r="H51" s="3">
        <v>46279.006944444402</v>
      </c>
      <c r="I51" s="1" t="s">
        <v>38</v>
      </c>
      <c r="J51" s="2">
        <v>46279</v>
      </c>
      <c r="K51" s="3">
        <v>46279.006944444402</v>
      </c>
      <c r="L51" s="1" t="s">
        <v>39</v>
      </c>
      <c r="M51" s="1" t="s">
        <v>40</v>
      </c>
      <c r="N51" s="1" t="s">
        <v>41</v>
      </c>
      <c r="O51" s="1" t="s">
        <v>42</v>
      </c>
      <c r="Q51" s="1" t="s">
        <v>42</v>
      </c>
      <c r="R51" s="1" t="s">
        <v>149</v>
      </c>
      <c r="S51" s="1" t="s">
        <v>150</v>
      </c>
      <c r="T51" s="4">
        <v>67.2</v>
      </c>
      <c r="U51" s="4">
        <v>67.2</v>
      </c>
      <c r="V51" s="4">
        <v>67.2</v>
      </c>
      <c r="Z51" s="1" t="s">
        <v>42</v>
      </c>
      <c r="AD51" s="1" t="s">
        <v>42</v>
      </c>
      <c r="AF51" s="1" t="s">
        <v>42</v>
      </c>
    </row>
    <row r="52" spans="1:32" x14ac:dyDescent="0.25">
      <c r="A52" s="1" t="s">
        <v>32</v>
      </c>
      <c r="B52" s="1" t="s">
        <v>33</v>
      </c>
      <c r="C52" s="1" t="s">
        <v>34</v>
      </c>
      <c r="D52" s="1" t="s">
        <v>35</v>
      </c>
      <c r="E52" s="1" t="s">
        <v>36</v>
      </c>
      <c r="F52" s="2">
        <v>46279</v>
      </c>
      <c r="G52" s="1" t="s">
        <v>37</v>
      </c>
      <c r="H52" s="3">
        <v>46279.006944444402</v>
      </c>
      <c r="I52" s="1" t="s">
        <v>38</v>
      </c>
      <c r="J52" s="2">
        <v>46279</v>
      </c>
      <c r="K52" s="3">
        <v>46279.006944444402</v>
      </c>
      <c r="L52" s="1" t="s">
        <v>39</v>
      </c>
      <c r="M52" s="1" t="s">
        <v>40</v>
      </c>
      <c r="N52" s="1" t="s">
        <v>41</v>
      </c>
      <c r="O52" s="1" t="s">
        <v>42</v>
      </c>
      <c r="Q52" s="1" t="s">
        <v>42</v>
      </c>
      <c r="R52" s="1" t="s">
        <v>151</v>
      </c>
      <c r="S52" s="1" t="s">
        <v>152</v>
      </c>
      <c r="T52" s="4">
        <v>10</v>
      </c>
      <c r="U52" s="4">
        <v>10</v>
      </c>
      <c r="V52" s="4">
        <v>10</v>
      </c>
      <c r="Z52" s="1" t="s">
        <v>42</v>
      </c>
      <c r="AD52" s="1" t="s">
        <v>42</v>
      </c>
      <c r="AF52" s="1" t="s">
        <v>42</v>
      </c>
    </row>
    <row r="53" spans="1:32" x14ac:dyDescent="0.25">
      <c r="A53" s="1" t="s">
        <v>32</v>
      </c>
      <c r="B53" s="1" t="s">
        <v>33</v>
      </c>
      <c r="C53" s="1" t="s">
        <v>34</v>
      </c>
      <c r="D53" s="1" t="s">
        <v>35</v>
      </c>
      <c r="E53" s="1" t="s">
        <v>36</v>
      </c>
      <c r="F53" s="2">
        <v>46279</v>
      </c>
      <c r="G53" s="1" t="s">
        <v>37</v>
      </c>
      <c r="H53" s="3">
        <v>46279.006944444402</v>
      </c>
      <c r="I53" s="1" t="s">
        <v>38</v>
      </c>
      <c r="J53" s="2">
        <v>46279</v>
      </c>
      <c r="K53" s="3">
        <v>46279.006944444402</v>
      </c>
      <c r="L53" s="1" t="s">
        <v>39</v>
      </c>
      <c r="M53" s="1" t="s">
        <v>40</v>
      </c>
      <c r="N53" s="1" t="s">
        <v>41</v>
      </c>
      <c r="O53" s="1" t="s">
        <v>42</v>
      </c>
      <c r="Q53" s="1" t="s">
        <v>42</v>
      </c>
      <c r="R53" s="1" t="s">
        <v>153</v>
      </c>
      <c r="S53" s="1" t="s">
        <v>154</v>
      </c>
      <c r="T53" s="4">
        <v>40</v>
      </c>
      <c r="U53" s="4">
        <v>40</v>
      </c>
      <c r="V53" s="4">
        <v>40</v>
      </c>
      <c r="Z53" s="1" t="s">
        <v>42</v>
      </c>
      <c r="AD53" s="1" t="s">
        <v>42</v>
      </c>
      <c r="AF53" s="1" t="s">
        <v>42</v>
      </c>
    </row>
    <row r="54" spans="1:32" x14ac:dyDescent="0.25">
      <c r="A54" s="1" t="s">
        <v>32</v>
      </c>
      <c r="B54" s="1" t="s">
        <v>33</v>
      </c>
      <c r="C54" s="1" t="s">
        <v>34</v>
      </c>
      <c r="D54" s="1" t="s">
        <v>35</v>
      </c>
      <c r="E54" s="1" t="s">
        <v>36</v>
      </c>
      <c r="F54" s="2">
        <v>46279</v>
      </c>
      <c r="G54" s="1" t="s">
        <v>37</v>
      </c>
      <c r="H54" s="3">
        <v>46279.006944444402</v>
      </c>
      <c r="I54" s="1" t="s">
        <v>38</v>
      </c>
      <c r="J54" s="2">
        <v>46279</v>
      </c>
      <c r="K54" s="3">
        <v>46279.006944444402</v>
      </c>
      <c r="L54" s="1" t="s">
        <v>39</v>
      </c>
      <c r="M54" s="1" t="s">
        <v>40</v>
      </c>
      <c r="N54" s="1" t="s">
        <v>41</v>
      </c>
      <c r="O54" s="1" t="s">
        <v>42</v>
      </c>
      <c r="Q54" s="1" t="s">
        <v>42</v>
      </c>
      <c r="R54" s="1" t="s">
        <v>155</v>
      </c>
      <c r="S54" s="1" t="s">
        <v>156</v>
      </c>
      <c r="T54" s="4">
        <v>75</v>
      </c>
      <c r="U54" s="4">
        <v>75</v>
      </c>
      <c r="V54" s="4">
        <v>75</v>
      </c>
      <c r="Z54" s="1" t="s">
        <v>42</v>
      </c>
      <c r="AD54" s="1" t="s">
        <v>42</v>
      </c>
      <c r="AF54" s="1" t="s">
        <v>42</v>
      </c>
    </row>
    <row r="55" spans="1:32" x14ac:dyDescent="0.25">
      <c r="A55" s="1" t="s">
        <v>32</v>
      </c>
      <c r="B55" s="1" t="s">
        <v>33</v>
      </c>
      <c r="C55" s="1" t="s">
        <v>34</v>
      </c>
      <c r="D55" s="1" t="s">
        <v>35</v>
      </c>
      <c r="E55" s="1" t="s">
        <v>36</v>
      </c>
      <c r="F55" s="2">
        <v>46279</v>
      </c>
      <c r="G55" s="1" t="s">
        <v>37</v>
      </c>
      <c r="H55" s="3">
        <v>46279.006944444402</v>
      </c>
      <c r="I55" s="1" t="s">
        <v>38</v>
      </c>
      <c r="J55" s="2">
        <v>46279</v>
      </c>
      <c r="K55" s="3">
        <v>46279.006944444402</v>
      </c>
      <c r="L55" s="1" t="s">
        <v>39</v>
      </c>
      <c r="M55" s="1" t="s">
        <v>40</v>
      </c>
      <c r="N55" s="1" t="s">
        <v>41</v>
      </c>
      <c r="O55" s="1" t="s">
        <v>42</v>
      </c>
      <c r="Q55" s="1" t="s">
        <v>42</v>
      </c>
      <c r="R55" s="1" t="s">
        <v>157</v>
      </c>
      <c r="S55" s="1" t="s">
        <v>158</v>
      </c>
      <c r="T55" s="4">
        <v>14.7</v>
      </c>
      <c r="U55" s="4">
        <v>14.7</v>
      </c>
      <c r="V55" s="4">
        <v>14.7</v>
      </c>
      <c r="Z55" s="1" t="s">
        <v>42</v>
      </c>
      <c r="AD55" s="1" t="s">
        <v>42</v>
      </c>
      <c r="AF55" s="1" t="s">
        <v>42</v>
      </c>
    </row>
    <row r="56" spans="1:32" x14ac:dyDescent="0.25">
      <c r="A56" s="1" t="s">
        <v>32</v>
      </c>
      <c r="B56" s="1" t="s">
        <v>33</v>
      </c>
      <c r="C56" s="1" t="s">
        <v>34</v>
      </c>
      <c r="D56" s="1" t="s">
        <v>35</v>
      </c>
      <c r="E56" s="1" t="s">
        <v>36</v>
      </c>
      <c r="F56" s="2">
        <v>46279</v>
      </c>
      <c r="G56" s="1" t="s">
        <v>37</v>
      </c>
      <c r="H56" s="3">
        <v>46279.006944444402</v>
      </c>
      <c r="I56" s="1" t="s">
        <v>38</v>
      </c>
      <c r="J56" s="2">
        <v>46279</v>
      </c>
      <c r="K56" s="3">
        <v>46279.006944444402</v>
      </c>
      <c r="L56" s="1" t="s">
        <v>39</v>
      </c>
      <c r="M56" s="1" t="s">
        <v>40</v>
      </c>
      <c r="N56" s="1" t="s">
        <v>41</v>
      </c>
      <c r="O56" s="1" t="s">
        <v>42</v>
      </c>
      <c r="Q56" s="1" t="s">
        <v>42</v>
      </c>
      <c r="R56" s="1" t="s">
        <v>159</v>
      </c>
      <c r="S56" s="1" t="s">
        <v>160</v>
      </c>
      <c r="T56" s="4">
        <v>4.2</v>
      </c>
      <c r="W56" s="4">
        <v>-4.2</v>
      </c>
      <c r="X56" s="1" t="s">
        <v>72</v>
      </c>
      <c r="Y56" s="1" t="s">
        <v>73</v>
      </c>
      <c r="Z56" s="1" t="s">
        <v>42</v>
      </c>
      <c r="AD56" s="1" t="s">
        <v>42</v>
      </c>
      <c r="AF56" s="1" t="s">
        <v>42</v>
      </c>
    </row>
    <row r="57" spans="1:32" x14ac:dyDescent="0.25">
      <c r="A57" s="1" t="s">
        <v>32</v>
      </c>
      <c r="B57" s="1" t="s">
        <v>33</v>
      </c>
      <c r="C57" s="1" t="s">
        <v>34</v>
      </c>
      <c r="D57" s="1" t="s">
        <v>35</v>
      </c>
      <c r="E57" s="1" t="s">
        <v>36</v>
      </c>
      <c r="F57" s="2">
        <v>46279</v>
      </c>
      <c r="G57" s="1" t="s">
        <v>37</v>
      </c>
      <c r="H57" s="3">
        <v>46279.006944444402</v>
      </c>
      <c r="I57" s="1" t="s">
        <v>38</v>
      </c>
      <c r="J57" s="2">
        <v>46279</v>
      </c>
      <c r="K57" s="3">
        <v>46279.006944444402</v>
      </c>
      <c r="L57" s="1" t="s">
        <v>39</v>
      </c>
      <c r="M57" s="1" t="s">
        <v>40</v>
      </c>
      <c r="N57" s="1" t="s">
        <v>41</v>
      </c>
      <c r="O57" s="1" t="s">
        <v>42</v>
      </c>
      <c r="Q57" s="1" t="s">
        <v>42</v>
      </c>
      <c r="R57" s="1" t="s">
        <v>161</v>
      </c>
      <c r="S57" s="1" t="s">
        <v>162</v>
      </c>
      <c r="T57" s="4">
        <v>2550</v>
      </c>
      <c r="U57" s="4">
        <v>2550</v>
      </c>
      <c r="V57" s="4">
        <v>2550</v>
      </c>
      <c r="Z57" s="1" t="s">
        <v>42</v>
      </c>
      <c r="AD57" s="1" t="s">
        <v>42</v>
      </c>
      <c r="AF57" s="1" t="s">
        <v>42</v>
      </c>
    </row>
    <row r="58" spans="1:32" x14ac:dyDescent="0.25">
      <c r="A58" s="1" t="s">
        <v>32</v>
      </c>
      <c r="B58" s="1" t="s">
        <v>33</v>
      </c>
      <c r="C58" s="1" t="s">
        <v>34</v>
      </c>
      <c r="D58" s="1" t="s">
        <v>35</v>
      </c>
      <c r="E58" s="1" t="s">
        <v>36</v>
      </c>
      <c r="F58" s="2">
        <v>46279</v>
      </c>
      <c r="G58" s="1" t="s">
        <v>37</v>
      </c>
      <c r="H58" s="3">
        <v>46279.006944444402</v>
      </c>
      <c r="I58" s="1" t="s">
        <v>38</v>
      </c>
      <c r="J58" s="2">
        <v>46279</v>
      </c>
      <c r="K58" s="3">
        <v>46279.006944444402</v>
      </c>
      <c r="L58" s="1" t="s">
        <v>39</v>
      </c>
      <c r="M58" s="1" t="s">
        <v>40</v>
      </c>
      <c r="N58" s="1" t="s">
        <v>41</v>
      </c>
      <c r="O58" s="1" t="s">
        <v>42</v>
      </c>
      <c r="Q58" s="1" t="s">
        <v>42</v>
      </c>
      <c r="R58" s="1" t="s">
        <v>163</v>
      </c>
      <c r="S58" s="1" t="s">
        <v>164</v>
      </c>
      <c r="T58" s="4">
        <v>1575</v>
      </c>
      <c r="U58" s="4">
        <v>1575</v>
      </c>
      <c r="V58" s="4">
        <v>1575</v>
      </c>
      <c r="Z58" s="1" t="s">
        <v>42</v>
      </c>
      <c r="AD58" s="1" t="s">
        <v>42</v>
      </c>
      <c r="AF58" s="1" t="s">
        <v>42</v>
      </c>
    </row>
    <row r="59" spans="1:32" x14ac:dyDescent="0.25">
      <c r="A59" s="1" t="s">
        <v>32</v>
      </c>
      <c r="B59" s="1" t="s">
        <v>33</v>
      </c>
      <c r="C59" s="1" t="s">
        <v>34</v>
      </c>
      <c r="D59" s="1" t="s">
        <v>35</v>
      </c>
      <c r="E59" s="1" t="s">
        <v>36</v>
      </c>
      <c r="F59" s="2">
        <v>46279</v>
      </c>
      <c r="G59" s="1" t="s">
        <v>37</v>
      </c>
      <c r="H59" s="3">
        <v>46279.006944444402</v>
      </c>
      <c r="I59" s="1" t="s">
        <v>38</v>
      </c>
      <c r="J59" s="2">
        <v>46279</v>
      </c>
      <c r="K59" s="3">
        <v>46279.006944444402</v>
      </c>
      <c r="L59" s="1" t="s">
        <v>39</v>
      </c>
      <c r="M59" s="1" t="s">
        <v>40</v>
      </c>
      <c r="N59" s="1" t="s">
        <v>41</v>
      </c>
      <c r="O59" s="1" t="s">
        <v>42</v>
      </c>
      <c r="Q59" s="1" t="s">
        <v>42</v>
      </c>
      <c r="R59" s="1" t="s">
        <v>165</v>
      </c>
      <c r="S59" s="1" t="s">
        <v>166</v>
      </c>
      <c r="T59" s="4">
        <v>2010</v>
      </c>
      <c r="U59" s="4">
        <v>2010</v>
      </c>
      <c r="V59" s="4">
        <v>2010</v>
      </c>
      <c r="Z59" s="1" t="s">
        <v>42</v>
      </c>
      <c r="AD59" s="1" t="s">
        <v>42</v>
      </c>
      <c r="AF59" s="1" t="s">
        <v>42</v>
      </c>
    </row>
    <row r="60" spans="1:32" x14ac:dyDescent="0.25">
      <c r="A60" s="1" t="s">
        <v>32</v>
      </c>
      <c r="B60" s="1" t="s">
        <v>33</v>
      </c>
      <c r="C60" s="1" t="s">
        <v>34</v>
      </c>
      <c r="D60" s="1" t="s">
        <v>35</v>
      </c>
      <c r="E60" s="1" t="s">
        <v>36</v>
      </c>
      <c r="F60" s="2">
        <v>46279</v>
      </c>
      <c r="G60" s="1" t="s">
        <v>37</v>
      </c>
      <c r="H60" s="3">
        <v>46279.006944444402</v>
      </c>
      <c r="I60" s="1" t="s">
        <v>38</v>
      </c>
      <c r="J60" s="2">
        <v>46279</v>
      </c>
      <c r="K60" s="3">
        <v>46279.006944444402</v>
      </c>
      <c r="L60" s="1" t="s">
        <v>39</v>
      </c>
      <c r="M60" s="1" t="s">
        <v>40</v>
      </c>
      <c r="N60" s="1" t="s">
        <v>41</v>
      </c>
      <c r="O60" s="1" t="s">
        <v>42</v>
      </c>
      <c r="Q60" s="1" t="s">
        <v>42</v>
      </c>
      <c r="R60" s="1" t="s">
        <v>167</v>
      </c>
      <c r="S60" s="1" t="s">
        <v>168</v>
      </c>
      <c r="T60" s="4">
        <v>705</v>
      </c>
      <c r="U60" s="4">
        <v>705</v>
      </c>
      <c r="V60" s="4">
        <v>705</v>
      </c>
      <c r="Z60" s="1" t="s">
        <v>42</v>
      </c>
      <c r="AD60" s="1" t="s">
        <v>42</v>
      </c>
      <c r="AF60" s="1" t="s">
        <v>42</v>
      </c>
    </row>
    <row r="61" spans="1:32" x14ac:dyDescent="0.25">
      <c r="A61" s="1" t="s">
        <v>32</v>
      </c>
      <c r="B61" s="1" t="s">
        <v>33</v>
      </c>
      <c r="C61" s="1" t="s">
        <v>34</v>
      </c>
      <c r="D61" s="1" t="s">
        <v>35</v>
      </c>
      <c r="E61" s="1" t="s">
        <v>36</v>
      </c>
      <c r="F61" s="2">
        <v>46279</v>
      </c>
      <c r="G61" s="1" t="s">
        <v>37</v>
      </c>
      <c r="H61" s="3">
        <v>46279.006944444402</v>
      </c>
      <c r="I61" s="1" t="s">
        <v>38</v>
      </c>
      <c r="J61" s="2">
        <v>46279</v>
      </c>
      <c r="K61" s="3">
        <v>46279.006944444402</v>
      </c>
      <c r="L61" s="1" t="s">
        <v>39</v>
      </c>
      <c r="M61" s="1" t="s">
        <v>40</v>
      </c>
      <c r="N61" s="1" t="s">
        <v>41</v>
      </c>
      <c r="O61" s="1" t="s">
        <v>42</v>
      </c>
      <c r="Q61" s="1" t="s">
        <v>42</v>
      </c>
      <c r="R61" s="1" t="s">
        <v>169</v>
      </c>
      <c r="S61" s="1" t="s">
        <v>170</v>
      </c>
      <c r="T61" s="4">
        <v>2670</v>
      </c>
      <c r="U61" s="4">
        <v>2670</v>
      </c>
      <c r="V61" s="4">
        <v>2670</v>
      </c>
      <c r="Z61" s="1" t="s">
        <v>42</v>
      </c>
      <c r="AD61" s="1" t="s">
        <v>42</v>
      </c>
      <c r="AF61" s="1" t="s">
        <v>42</v>
      </c>
    </row>
    <row r="62" spans="1:32" x14ac:dyDescent="0.25">
      <c r="A62" s="1" t="s">
        <v>32</v>
      </c>
      <c r="B62" s="1" t="s">
        <v>33</v>
      </c>
      <c r="C62" s="1" t="s">
        <v>34</v>
      </c>
      <c r="D62" s="1" t="s">
        <v>35</v>
      </c>
      <c r="E62" s="1" t="s">
        <v>36</v>
      </c>
      <c r="F62" s="2">
        <v>46279</v>
      </c>
      <c r="G62" s="1" t="s">
        <v>37</v>
      </c>
      <c r="H62" s="3">
        <v>46279.006944444402</v>
      </c>
      <c r="I62" s="1" t="s">
        <v>38</v>
      </c>
      <c r="J62" s="2">
        <v>46279</v>
      </c>
      <c r="K62" s="3">
        <v>46279.006944444402</v>
      </c>
      <c r="L62" s="1" t="s">
        <v>39</v>
      </c>
      <c r="M62" s="1" t="s">
        <v>40</v>
      </c>
      <c r="N62" s="1" t="s">
        <v>41</v>
      </c>
      <c r="O62" s="1" t="s">
        <v>42</v>
      </c>
      <c r="Q62" s="1" t="s">
        <v>42</v>
      </c>
      <c r="R62" s="1" t="s">
        <v>171</v>
      </c>
      <c r="S62" s="1" t="s">
        <v>172</v>
      </c>
      <c r="T62" s="4">
        <v>36</v>
      </c>
      <c r="U62" s="4">
        <v>36</v>
      </c>
      <c r="V62" s="4">
        <v>36</v>
      </c>
      <c r="Z62" s="1" t="s">
        <v>42</v>
      </c>
      <c r="AD62" s="1" t="s">
        <v>42</v>
      </c>
      <c r="AF62" s="1" t="s">
        <v>42</v>
      </c>
    </row>
    <row r="63" spans="1:32" x14ac:dyDescent="0.25">
      <c r="A63" s="1" t="s">
        <v>32</v>
      </c>
      <c r="B63" s="1" t="s">
        <v>33</v>
      </c>
      <c r="C63" s="1" t="s">
        <v>34</v>
      </c>
      <c r="D63" s="1" t="s">
        <v>35</v>
      </c>
      <c r="E63" s="1" t="s">
        <v>36</v>
      </c>
      <c r="F63" s="2">
        <v>46279</v>
      </c>
      <c r="G63" s="1" t="s">
        <v>37</v>
      </c>
      <c r="H63" s="3">
        <v>46279.006944444402</v>
      </c>
      <c r="I63" s="1" t="s">
        <v>38</v>
      </c>
      <c r="J63" s="2">
        <v>46279</v>
      </c>
      <c r="K63" s="3">
        <v>46279.006944444402</v>
      </c>
      <c r="L63" s="1" t="s">
        <v>39</v>
      </c>
      <c r="M63" s="1" t="s">
        <v>40</v>
      </c>
      <c r="N63" s="1" t="s">
        <v>41</v>
      </c>
      <c r="O63" s="1" t="s">
        <v>42</v>
      </c>
      <c r="Q63" s="1" t="s">
        <v>42</v>
      </c>
      <c r="R63" s="1" t="s">
        <v>173</v>
      </c>
      <c r="S63" s="1" t="s">
        <v>174</v>
      </c>
      <c r="T63" s="4">
        <v>702</v>
      </c>
      <c r="U63" s="4">
        <v>702</v>
      </c>
      <c r="V63" s="4">
        <v>702</v>
      </c>
      <c r="Z63" s="1" t="s">
        <v>42</v>
      </c>
      <c r="AD63" s="1" t="s">
        <v>42</v>
      </c>
      <c r="AF63" s="1" t="s">
        <v>42</v>
      </c>
    </row>
    <row r="64" spans="1:32" x14ac:dyDescent="0.25">
      <c r="A64" s="1" t="s">
        <v>32</v>
      </c>
      <c r="B64" s="1" t="s">
        <v>33</v>
      </c>
      <c r="C64" s="1" t="s">
        <v>34</v>
      </c>
      <c r="D64" s="1" t="s">
        <v>35</v>
      </c>
      <c r="E64" s="1" t="s">
        <v>36</v>
      </c>
      <c r="F64" s="2">
        <v>46279</v>
      </c>
      <c r="G64" s="1" t="s">
        <v>37</v>
      </c>
      <c r="H64" s="3">
        <v>46279.006944444402</v>
      </c>
      <c r="I64" s="1" t="s">
        <v>38</v>
      </c>
      <c r="J64" s="2">
        <v>46279</v>
      </c>
      <c r="K64" s="3">
        <v>46279.006944444402</v>
      </c>
      <c r="L64" s="1" t="s">
        <v>39</v>
      </c>
      <c r="M64" s="1" t="s">
        <v>40</v>
      </c>
      <c r="N64" s="1" t="s">
        <v>41</v>
      </c>
      <c r="O64" s="1" t="s">
        <v>42</v>
      </c>
      <c r="Q64" s="1" t="s">
        <v>42</v>
      </c>
      <c r="R64" s="1" t="s">
        <v>175</v>
      </c>
      <c r="S64" s="1" t="s">
        <v>176</v>
      </c>
      <c r="T64" s="4">
        <v>9.6</v>
      </c>
      <c r="U64" s="4">
        <v>9.6</v>
      </c>
      <c r="V64" s="4">
        <v>9.6</v>
      </c>
      <c r="Z64" s="1" t="s">
        <v>42</v>
      </c>
      <c r="AD64" s="1" t="s">
        <v>42</v>
      </c>
      <c r="AF64" s="1" t="s">
        <v>42</v>
      </c>
    </row>
    <row r="65" spans="1:32" x14ac:dyDescent="0.25">
      <c r="A65" s="1" t="s">
        <v>32</v>
      </c>
      <c r="B65" s="1" t="s">
        <v>33</v>
      </c>
      <c r="C65" s="1" t="s">
        <v>34</v>
      </c>
      <c r="D65" s="1" t="s">
        <v>35</v>
      </c>
      <c r="E65" s="1" t="s">
        <v>36</v>
      </c>
      <c r="F65" s="2">
        <v>46279</v>
      </c>
      <c r="G65" s="1" t="s">
        <v>37</v>
      </c>
      <c r="H65" s="3">
        <v>46279.006944444402</v>
      </c>
      <c r="I65" s="1" t="s">
        <v>38</v>
      </c>
      <c r="J65" s="2">
        <v>46279</v>
      </c>
      <c r="K65" s="3">
        <v>46279.006944444402</v>
      </c>
      <c r="L65" s="1" t="s">
        <v>39</v>
      </c>
      <c r="M65" s="1" t="s">
        <v>40</v>
      </c>
      <c r="N65" s="1" t="s">
        <v>41</v>
      </c>
      <c r="O65" s="1" t="s">
        <v>42</v>
      </c>
      <c r="Q65" s="1" t="s">
        <v>42</v>
      </c>
      <c r="R65" s="1" t="s">
        <v>177</v>
      </c>
      <c r="S65" s="1" t="s">
        <v>178</v>
      </c>
      <c r="T65" s="4">
        <v>16.2</v>
      </c>
      <c r="U65" s="4">
        <v>16.2</v>
      </c>
      <c r="V65" s="4">
        <v>16.2</v>
      </c>
      <c r="Z65" s="1" t="s">
        <v>42</v>
      </c>
      <c r="AD65" s="1" t="s">
        <v>42</v>
      </c>
      <c r="AF65" s="1" t="s">
        <v>42</v>
      </c>
    </row>
    <row r="66" spans="1:32" x14ac:dyDescent="0.25">
      <c r="A66" s="1" t="s">
        <v>32</v>
      </c>
      <c r="B66" s="1" t="s">
        <v>33</v>
      </c>
      <c r="C66" s="1" t="s">
        <v>34</v>
      </c>
      <c r="D66" s="1" t="s">
        <v>35</v>
      </c>
      <c r="E66" s="1" t="s">
        <v>36</v>
      </c>
      <c r="F66" s="2">
        <v>46279</v>
      </c>
      <c r="G66" s="1" t="s">
        <v>37</v>
      </c>
      <c r="H66" s="3">
        <v>46279.006944444402</v>
      </c>
      <c r="I66" s="1" t="s">
        <v>38</v>
      </c>
      <c r="J66" s="2">
        <v>46279</v>
      </c>
      <c r="K66" s="3">
        <v>46279.006944444402</v>
      </c>
      <c r="L66" s="1" t="s">
        <v>39</v>
      </c>
      <c r="M66" s="1" t="s">
        <v>40</v>
      </c>
      <c r="N66" s="1" t="s">
        <v>41</v>
      </c>
      <c r="O66" s="1" t="s">
        <v>42</v>
      </c>
      <c r="Q66" s="1" t="s">
        <v>42</v>
      </c>
      <c r="R66" s="1" t="s">
        <v>179</v>
      </c>
      <c r="S66" s="1" t="s">
        <v>180</v>
      </c>
      <c r="T66" s="4">
        <v>21.12</v>
      </c>
      <c r="U66" s="4">
        <v>21.12</v>
      </c>
      <c r="V66" s="4">
        <v>21.12</v>
      </c>
      <c r="Z66" s="1" t="s">
        <v>42</v>
      </c>
      <c r="AD66" s="1" t="s">
        <v>42</v>
      </c>
      <c r="AF66" s="1" t="s">
        <v>42</v>
      </c>
    </row>
    <row r="67" spans="1:32" x14ac:dyDescent="0.25">
      <c r="A67" s="1" t="s">
        <v>32</v>
      </c>
      <c r="B67" s="1" t="s">
        <v>33</v>
      </c>
      <c r="C67" s="1" t="s">
        <v>34</v>
      </c>
      <c r="D67" s="1" t="s">
        <v>35</v>
      </c>
      <c r="E67" s="1" t="s">
        <v>36</v>
      </c>
      <c r="F67" s="2">
        <v>46279</v>
      </c>
      <c r="G67" s="1" t="s">
        <v>37</v>
      </c>
      <c r="H67" s="3">
        <v>46279.006944444402</v>
      </c>
      <c r="I67" s="1" t="s">
        <v>38</v>
      </c>
      <c r="J67" s="2">
        <v>46279</v>
      </c>
      <c r="K67" s="3">
        <v>46279.006944444402</v>
      </c>
      <c r="L67" s="1" t="s">
        <v>39</v>
      </c>
      <c r="M67" s="1" t="s">
        <v>40</v>
      </c>
      <c r="N67" s="1" t="s">
        <v>41</v>
      </c>
      <c r="O67" s="1" t="s">
        <v>42</v>
      </c>
      <c r="Q67" s="1" t="s">
        <v>42</v>
      </c>
      <c r="R67" s="1" t="s">
        <v>181</v>
      </c>
      <c r="S67" s="1" t="s">
        <v>182</v>
      </c>
      <c r="T67" s="4">
        <v>47.52</v>
      </c>
      <c r="U67" s="4">
        <v>47.52</v>
      </c>
      <c r="V67" s="4">
        <v>47.52</v>
      </c>
      <c r="Z67" s="1" t="s">
        <v>42</v>
      </c>
      <c r="AD67" s="1" t="s">
        <v>42</v>
      </c>
      <c r="AF67" s="1" t="s">
        <v>42</v>
      </c>
    </row>
    <row r="68" spans="1:32" x14ac:dyDescent="0.25">
      <c r="A68" s="1" t="s">
        <v>32</v>
      </c>
      <c r="B68" s="1" t="s">
        <v>33</v>
      </c>
      <c r="C68" s="1" t="s">
        <v>34</v>
      </c>
      <c r="D68" s="1" t="s">
        <v>35</v>
      </c>
      <c r="E68" s="1" t="s">
        <v>36</v>
      </c>
      <c r="F68" s="2">
        <v>46279</v>
      </c>
      <c r="G68" s="1" t="s">
        <v>37</v>
      </c>
      <c r="H68" s="3">
        <v>46279.006944444402</v>
      </c>
      <c r="I68" s="1" t="s">
        <v>38</v>
      </c>
      <c r="J68" s="2">
        <v>46279</v>
      </c>
      <c r="K68" s="3">
        <v>46279.006944444402</v>
      </c>
      <c r="L68" s="1" t="s">
        <v>39</v>
      </c>
      <c r="M68" s="1" t="s">
        <v>40</v>
      </c>
      <c r="N68" s="1" t="s">
        <v>41</v>
      </c>
      <c r="O68" s="1" t="s">
        <v>42</v>
      </c>
      <c r="Q68" s="1" t="s">
        <v>42</v>
      </c>
      <c r="R68" s="1" t="s">
        <v>183</v>
      </c>
      <c r="S68" s="1" t="s">
        <v>184</v>
      </c>
      <c r="T68" s="4">
        <v>105.6</v>
      </c>
      <c r="U68" s="4">
        <v>105.6</v>
      </c>
      <c r="V68" s="4">
        <v>105.6</v>
      </c>
      <c r="Z68" s="1" t="s">
        <v>42</v>
      </c>
      <c r="AD68" s="1" t="s">
        <v>42</v>
      </c>
      <c r="AF68" s="1" t="s">
        <v>42</v>
      </c>
    </row>
    <row r="69" spans="1:32" x14ac:dyDescent="0.25">
      <c r="A69" s="1" t="s">
        <v>32</v>
      </c>
      <c r="B69" s="1" t="s">
        <v>33</v>
      </c>
      <c r="C69" s="1" t="s">
        <v>34</v>
      </c>
      <c r="D69" s="1" t="s">
        <v>35</v>
      </c>
      <c r="E69" s="1" t="s">
        <v>36</v>
      </c>
      <c r="F69" s="2">
        <v>46279</v>
      </c>
      <c r="G69" s="1" t="s">
        <v>37</v>
      </c>
      <c r="H69" s="3">
        <v>46279.006944444402</v>
      </c>
      <c r="I69" s="1" t="s">
        <v>38</v>
      </c>
      <c r="J69" s="2">
        <v>46279</v>
      </c>
      <c r="K69" s="3">
        <v>46279.006944444402</v>
      </c>
      <c r="L69" s="1" t="s">
        <v>39</v>
      </c>
      <c r="M69" s="1" t="s">
        <v>40</v>
      </c>
      <c r="N69" s="1" t="s">
        <v>41</v>
      </c>
      <c r="O69" s="1" t="s">
        <v>42</v>
      </c>
      <c r="Q69" s="1" t="s">
        <v>42</v>
      </c>
      <c r="R69" s="1" t="s">
        <v>185</v>
      </c>
      <c r="S69" s="1" t="s">
        <v>186</v>
      </c>
      <c r="T69" s="4">
        <v>601.91999999999996</v>
      </c>
      <c r="U69" s="4">
        <v>601.91999999999996</v>
      </c>
      <c r="V69" s="4">
        <v>601.91999999999996</v>
      </c>
      <c r="Z69" s="1" t="s">
        <v>42</v>
      </c>
      <c r="AD69" s="1" t="s">
        <v>42</v>
      </c>
      <c r="AF69" s="1" t="s">
        <v>42</v>
      </c>
    </row>
    <row r="70" spans="1:32" x14ac:dyDescent="0.25">
      <c r="A70" s="1" t="s">
        <v>32</v>
      </c>
      <c r="B70" s="1" t="s">
        <v>33</v>
      </c>
      <c r="C70" s="1" t="s">
        <v>34</v>
      </c>
      <c r="D70" s="1" t="s">
        <v>35</v>
      </c>
      <c r="E70" s="1" t="s">
        <v>36</v>
      </c>
      <c r="F70" s="2">
        <v>46279</v>
      </c>
      <c r="G70" s="1" t="s">
        <v>37</v>
      </c>
      <c r="H70" s="3">
        <v>46279.006944444402</v>
      </c>
      <c r="I70" s="1" t="s">
        <v>38</v>
      </c>
      <c r="J70" s="2">
        <v>46279</v>
      </c>
      <c r="K70" s="3">
        <v>46279.006944444402</v>
      </c>
      <c r="L70" s="1" t="s">
        <v>39</v>
      </c>
      <c r="M70" s="1" t="s">
        <v>40</v>
      </c>
      <c r="N70" s="1" t="s">
        <v>41</v>
      </c>
      <c r="O70" s="1" t="s">
        <v>42</v>
      </c>
      <c r="Q70" s="1" t="s">
        <v>42</v>
      </c>
      <c r="R70" s="1" t="s">
        <v>187</v>
      </c>
      <c r="S70" s="1" t="s">
        <v>188</v>
      </c>
      <c r="T70" s="4">
        <v>580.79999999999995</v>
      </c>
      <c r="U70" s="4">
        <v>580.79999999999995</v>
      </c>
      <c r="V70" s="4">
        <v>580.79999999999995</v>
      </c>
      <c r="Z70" s="1" t="s">
        <v>42</v>
      </c>
      <c r="AD70" s="1" t="s">
        <v>42</v>
      </c>
      <c r="AF70" s="1" t="s">
        <v>42</v>
      </c>
    </row>
    <row r="71" spans="1:32" x14ac:dyDescent="0.25">
      <c r="A71" s="1" t="s">
        <v>32</v>
      </c>
      <c r="B71" s="1" t="s">
        <v>33</v>
      </c>
      <c r="C71" s="1" t="s">
        <v>34</v>
      </c>
      <c r="D71" s="1" t="s">
        <v>35</v>
      </c>
      <c r="E71" s="1" t="s">
        <v>36</v>
      </c>
      <c r="F71" s="2">
        <v>46279</v>
      </c>
      <c r="G71" s="1" t="s">
        <v>37</v>
      </c>
      <c r="H71" s="3">
        <v>46279.006944444402</v>
      </c>
      <c r="I71" s="1" t="s">
        <v>38</v>
      </c>
      <c r="J71" s="2">
        <v>46279</v>
      </c>
      <c r="K71" s="3">
        <v>46279.006944444402</v>
      </c>
      <c r="L71" s="1" t="s">
        <v>39</v>
      </c>
      <c r="M71" s="1" t="s">
        <v>40</v>
      </c>
      <c r="N71" s="1" t="s">
        <v>41</v>
      </c>
      <c r="O71" s="1" t="s">
        <v>42</v>
      </c>
      <c r="Q71" s="1" t="s">
        <v>42</v>
      </c>
      <c r="R71" s="1" t="s">
        <v>189</v>
      </c>
      <c r="S71" s="1" t="s">
        <v>190</v>
      </c>
      <c r="T71" s="4">
        <v>52.8</v>
      </c>
      <c r="U71" s="4">
        <v>52.8</v>
      </c>
      <c r="V71" s="4">
        <v>52.8</v>
      </c>
      <c r="Z71" s="1" t="s">
        <v>42</v>
      </c>
      <c r="AD71" s="1" t="s">
        <v>42</v>
      </c>
      <c r="AF71" s="1" t="s">
        <v>42</v>
      </c>
    </row>
    <row r="72" spans="1:32" x14ac:dyDescent="0.25">
      <c r="A72" s="1" t="s">
        <v>32</v>
      </c>
      <c r="B72" s="1" t="s">
        <v>33</v>
      </c>
      <c r="C72" s="1" t="s">
        <v>34</v>
      </c>
      <c r="D72" s="1" t="s">
        <v>35</v>
      </c>
      <c r="E72" s="1" t="s">
        <v>36</v>
      </c>
      <c r="F72" s="2">
        <v>46279</v>
      </c>
      <c r="G72" s="1" t="s">
        <v>37</v>
      </c>
      <c r="H72" s="3">
        <v>46279.006944444402</v>
      </c>
      <c r="I72" s="1" t="s">
        <v>38</v>
      </c>
      <c r="J72" s="2">
        <v>46279</v>
      </c>
      <c r="K72" s="3">
        <v>46279.006944444402</v>
      </c>
      <c r="L72" s="1" t="s">
        <v>39</v>
      </c>
      <c r="M72" s="1" t="s">
        <v>40</v>
      </c>
      <c r="N72" s="1" t="s">
        <v>41</v>
      </c>
      <c r="O72" s="1" t="s">
        <v>42</v>
      </c>
      <c r="Q72" s="1" t="s">
        <v>42</v>
      </c>
      <c r="R72" s="1" t="s">
        <v>191</v>
      </c>
      <c r="S72" s="1" t="s">
        <v>192</v>
      </c>
      <c r="T72" s="4">
        <v>14.4</v>
      </c>
      <c r="U72" s="4">
        <v>14.4</v>
      </c>
      <c r="V72" s="4">
        <v>14.4</v>
      </c>
      <c r="Z72" s="1" t="s">
        <v>42</v>
      </c>
      <c r="AD72" s="1" t="s">
        <v>42</v>
      </c>
      <c r="AF72" s="1" t="s">
        <v>42</v>
      </c>
    </row>
    <row r="73" spans="1:32" x14ac:dyDescent="0.25">
      <c r="A73" s="1" t="s">
        <v>32</v>
      </c>
      <c r="B73" s="1" t="s">
        <v>33</v>
      </c>
      <c r="C73" s="1" t="s">
        <v>34</v>
      </c>
      <c r="D73" s="1" t="s">
        <v>35</v>
      </c>
      <c r="E73" s="1" t="s">
        <v>36</v>
      </c>
      <c r="F73" s="2">
        <v>46279</v>
      </c>
      <c r="G73" s="1" t="s">
        <v>37</v>
      </c>
      <c r="H73" s="3">
        <v>46279.006944444402</v>
      </c>
      <c r="I73" s="1" t="s">
        <v>38</v>
      </c>
      <c r="J73" s="2">
        <v>46279</v>
      </c>
      <c r="K73" s="3">
        <v>46279.006944444402</v>
      </c>
      <c r="L73" s="1" t="s">
        <v>39</v>
      </c>
      <c r="M73" s="1" t="s">
        <v>40</v>
      </c>
      <c r="N73" s="1" t="s">
        <v>41</v>
      </c>
      <c r="O73" s="1" t="s">
        <v>42</v>
      </c>
      <c r="Q73" s="1" t="s">
        <v>42</v>
      </c>
      <c r="R73" s="1" t="s">
        <v>193</v>
      </c>
      <c r="S73" s="1" t="s">
        <v>194</v>
      </c>
      <c r="T73" s="4">
        <v>36</v>
      </c>
      <c r="W73" s="4">
        <v>-36</v>
      </c>
      <c r="X73" s="1" t="s">
        <v>72</v>
      </c>
      <c r="Y73" s="1" t="s">
        <v>73</v>
      </c>
      <c r="Z73" s="1" t="s">
        <v>42</v>
      </c>
      <c r="AD73" s="1" t="s">
        <v>42</v>
      </c>
      <c r="AF73" s="1" t="s">
        <v>42</v>
      </c>
    </row>
    <row r="74" spans="1:32" x14ac:dyDescent="0.25">
      <c r="A74" s="1" t="s">
        <v>32</v>
      </c>
      <c r="B74" s="1" t="s">
        <v>33</v>
      </c>
      <c r="C74" s="1" t="s">
        <v>34</v>
      </c>
      <c r="D74" s="1" t="s">
        <v>35</v>
      </c>
      <c r="E74" s="1" t="s">
        <v>36</v>
      </c>
      <c r="F74" s="2">
        <v>46279</v>
      </c>
      <c r="G74" s="1" t="s">
        <v>37</v>
      </c>
      <c r="H74" s="3">
        <v>46279.006944444402</v>
      </c>
      <c r="I74" s="1" t="s">
        <v>38</v>
      </c>
      <c r="J74" s="2">
        <v>46279</v>
      </c>
      <c r="K74" s="3">
        <v>46279.006944444402</v>
      </c>
      <c r="L74" s="1" t="s">
        <v>39</v>
      </c>
      <c r="M74" s="1" t="s">
        <v>40</v>
      </c>
      <c r="N74" s="1" t="s">
        <v>41</v>
      </c>
      <c r="O74" s="1" t="s">
        <v>42</v>
      </c>
      <c r="Q74" s="1" t="s">
        <v>42</v>
      </c>
      <c r="R74" s="1" t="s">
        <v>195</v>
      </c>
      <c r="S74" s="1" t="s">
        <v>196</v>
      </c>
      <c r="T74" s="4">
        <v>259.2</v>
      </c>
      <c r="U74" s="4">
        <v>259.2</v>
      </c>
      <c r="V74" s="4">
        <v>259.2</v>
      </c>
      <c r="Z74" s="1" t="s">
        <v>42</v>
      </c>
      <c r="AD74" s="1" t="s">
        <v>42</v>
      </c>
      <c r="AF74" s="1" t="s">
        <v>42</v>
      </c>
    </row>
    <row r="75" spans="1:32" x14ac:dyDescent="0.25">
      <c r="A75" s="1" t="s">
        <v>32</v>
      </c>
      <c r="B75" s="1" t="s">
        <v>33</v>
      </c>
      <c r="C75" s="1" t="s">
        <v>34</v>
      </c>
      <c r="D75" s="1" t="s">
        <v>42</v>
      </c>
      <c r="E75" s="1" t="s">
        <v>197</v>
      </c>
      <c r="F75" s="2">
        <v>46279</v>
      </c>
      <c r="G75" s="1" t="s">
        <v>198</v>
      </c>
      <c r="H75" s="3">
        <v>46279.006944444402</v>
      </c>
      <c r="I75" s="1" t="s">
        <v>199</v>
      </c>
      <c r="J75" s="2">
        <v>46279</v>
      </c>
      <c r="K75" s="3">
        <v>46279.006944444402</v>
      </c>
      <c r="L75" s="1" t="s">
        <v>200</v>
      </c>
      <c r="M75" s="1" t="s">
        <v>40</v>
      </c>
      <c r="N75" s="1" t="s">
        <v>41</v>
      </c>
      <c r="O75" s="1" t="s">
        <v>42</v>
      </c>
      <c r="Q75" s="1" t="s">
        <v>42</v>
      </c>
      <c r="R75" s="1" t="s">
        <v>195</v>
      </c>
      <c r="S75" s="1" t="s">
        <v>196</v>
      </c>
      <c r="T75" s="4">
        <v>734.4</v>
      </c>
      <c r="U75" s="4">
        <v>734.4</v>
      </c>
      <c r="V75" s="4">
        <v>734.4</v>
      </c>
      <c r="Z75" s="1" t="s">
        <v>42</v>
      </c>
      <c r="AD75" s="1" t="s">
        <v>42</v>
      </c>
      <c r="AF75" s="1" t="s">
        <v>42</v>
      </c>
    </row>
    <row r="76" spans="1:32" x14ac:dyDescent="0.25">
      <c r="A76" s="1" t="s">
        <v>32</v>
      </c>
      <c r="B76" s="1" t="s">
        <v>33</v>
      </c>
      <c r="C76" s="1" t="s">
        <v>34</v>
      </c>
      <c r="D76" s="1" t="s">
        <v>42</v>
      </c>
      <c r="E76" s="1" t="s">
        <v>197</v>
      </c>
      <c r="F76" s="2">
        <v>46279</v>
      </c>
      <c r="G76" s="1" t="s">
        <v>198</v>
      </c>
      <c r="H76" s="3">
        <v>46279.006944444402</v>
      </c>
      <c r="I76" s="1" t="s">
        <v>199</v>
      </c>
      <c r="J76" s="2">
        <v>46279</v>
      </c>
      <c r="K76" s="3">
        <v>46279.006944444402</v>
      </c>
      <c r="L76" s="1" t="s">
        <v>200</v>
      </c>
      <c r="M76" s="1" t="s">
        <v>40</v>
      </c>
      <c r="N76" s="1" t="s">
        <v>41</v>
      </c>
      <c r="O76" s="1" t="s">
        <v>42</v>
      </c>
      <c r="Q76" s="1" t="s">
        <v>42</v>
      </c>
      <c r="R76" s="1" t="s">
        <v>201</v>
      </c>
      <c r="S76" s="1" t="s">
        <v>202</v>
      </c>
      <c r="T76" s="4">
        <v>270</v>
      </c>
      <c r="U76" s="4">
        <v>270</v>
      </c>
      <c r="V76" s="4">
        <v>270</v>
      </c>
      <c r="Z76" s="1" t="s">
        <v>42</v>
      </c>
      <c r="AD76" s="1" t="s">
        <v>42</v>
      </c>
      <c r="AF76" s="1" t="s">
        <v>42</v>
      </c>
    </row>
    <row r="77" spans="1:32" x14ac:dyDescent="0.25">
      <c r="A77" s="1" t="s">
        <v>32</v>
      </c>
      <c r="B77" s="1" t="s">
        <v>33</v>
      </c>
      <c r="C77" s="1" t="s">
        <v>34</v>
      </c>
      <c r="D77" s="1" t="s">
        <v>42</v>
      </c>
      <c r="E77" s="1" t="s">
        <v>197</v>
      </c>
      <c r="F77" s="2">
        <v>46279</v>
      </c>
      <c r="G77" s="1" t="s">
        <v>198</v>
      </c>
      <c r="H77" s="3">
        <v>46279.006944444402</v>
      </c>
      <c r="I77" s="1" t="s">
        <v>199</v>
      </c>
      <c r="J77" s="2">
        <v>46279</v>
      </c>
      <c r="K77" s="3">
        <v>46279.006944444402</v>
      </c>
      <c r="L77" s="1" t="s">
        <v>200</v>
      </c>
      <c r="M77" s="1" t="s">
        <v>40</v>
      </c>
      <c r="N77" s="1" t="s">
        <v>41</v>
      </c>
      <c r="O77" s="1" t="s">
        <v>42</v>
      </c>
      <c r="Q77" s="1" t="s">
        <v>42</v>
      </c>
      <c r="R77" s="1" t="s">
        <v>47</v>
      </c>
      <c r="S77" s="1" t="s">
        <v>48</v>
      </c>
      <c r="T77" s="4">
        <v>15.6</v>
      </c>
      <c r="U77" s="4">
        <v>15.6</v>
      </c>
      <c r="V77" s="4">
        <v>15.6</v>
      </c>
      <c r="Z77" s="1" t="s">
        <v>42</v>
      </c>
      <c r="AD77" s="1" t="s">
        <v>42</v>
      </c>
      <c r="AF77" s="1" t="s">
        <v>42</v>
      </c>
    </row>
    <row r="78" spans="1:32" x14ac:dyDescent="0.25">
      <c r="A78" s="1" t="s">
        <v>32</v>
      </c>
      <c r="B78" s="1" t="s">
        <v>33</v>
      </c>
      <c r="C78" s="1" t="s">
        <v>34</v>
      </c>
      <c r="D78" s="1" t="s">
        <v>42</v>
      </c>
      <c r="E78" s="1" t="s">
        <v>197</v>
      </c>
      <c r="F78" s="2">
        <v>46279</v>
      </c>
      <c r="G78" s="1" t="s">
        <v>198</v>
      </c>
      <c r="H78" s="3">
        <v>46279.006944444402</v>
      </c>
      <c r="I78" s="1" t="s">
        <v>199</v>
      </c>
      <c r="J78" s="2">
        <v>46279</v>
      </c>
      <c r="K78" s="3">
        <v>46279.006944444402</v>
      </c>
      <c r="L78" s="1" t="s">
        <v>200</v>
      </c>
      <c r="M78" s="1" t="s">
        <v>40</v>
      </c>
      <c r="N78" s="1" t="s">
        <v>41</v>
      </c>
      <c r="O78" s="1" t="s">
        <v>42</v>
      </c>
      <c r="Q78" s="1" t="s">
        <v>42</v>
      </c>
      <c r="R78" s="1" t="s">
        <v>49</v>
      </c>
      <c r="S78" s="1" t="s">
        <v>50</v>
      </c>
      <c r="T78" s="4">
        <v>259.2</v>
      </c>
      <c r="U78" s="4">
        <v>259.2</v>
      </c>
      <c r="V78" s="4">
        <v>259.2</v>
      </c>
      <c r="Z78" s="1" t="s">
        <v>42</v>
      </c>
      <c r="AD78" s="1" t="s">
        <v>42</v>
      </c>
      <c r="AF78" s="1" t="s">
        <v>42</v>
      </c>
    </row>
    <row r="79" spans="1:32" x14ac:dyDescent="0.25">
      <c r="A79" s="1" t="s">
        <v>32</v>
      </c>
      <c r="B79" s="1" t="s">
        <v>33</v>
      </c>
      <c r="C79" s="1" t="s">
        <v>34</v>
      </c>
      <c r="D79" s="1" t="s">
        <v>42</v>
      </c>
      <c r="E79" s="1" t="s">
        <v>197</v>
      </c>
      <c r="F79" s="2">
        <v>46279</v>
      </c>
      <c r="G79" s="1" t="s">
        <v>198</v>
      </c>
      <c r="H79" s="3">
        <v>46279.006944444402</v>
      </c>
      <c r="I79" s="1" t="s">
        <v>199</v>
      </c>
      <c r="J79" s="2">
        <v>46279</v>
      </c>
      <c r="K79" s="3">
        <v>46279.006944444402</v>
      </c>
      <c r="L79" s="1" t="s">
        <v>200</v>
      </c>
      <c r="M79" s="1" t="s">
        <v>40</v>
      </c>
      <c r="N79" s="1" t="s">
        <v>41</v>
      </c>
      <c r="O79" s="1" t="s">
        <v>42</v>
      </c>
      <c r="Q79" s="1" t="s">
        <v>42</v>
      </c>
      <c r="R79" s="1" t="s">
        <v>203</v>
      </c>
      <c r="S79" s="1" t="s">
        <v>204</v>
      </c>
      <c r="T79" s="4">
        <v>63</v>
      </c>
      <c r="U79" s="4">
        <v>63</v>
      </c>
      <c r="V79" s="4">
        <v>63</v>
      </c>
      <c r="Z79" s="1" t="s">
        <v>42</v>
      </c>
      <c r="AD79" s="1" t="s">
        <v>42</v>
      </c>
      <c r="AF79" s="1" t="s">
        <v>42</v>
      </c>
    </row>
    <row r="80" spans="1:32" x14ac:dyDescent="0.25">
      <c r="A80" s="1" t="s">
        <v>32</v>
      </c>
      <c r="B80" s="1" t="s">
        <v>33</v>
      </c>
      <c r="C80" s="1" t="s">
        <v>34</v>
      </c>
      <c r="D80" s="1" t="s">
        <v>42</v>
      </c>
      <c r="E80" s="1" t="s">
        <v>197</v>
      </c>
      <c r="F80" s="2">
        <v>46279</v>
      </c>
      <c r="G80" s="1" t="s">
        <v>198</v>
      </c>
      <c r="H80" s="3">
        <v>46279.006944444402</v>
      </c>
      <c r="I80" s="1" t="s">
        <v>199</v>
      </c>
      <c r="J80" s="2">
        <v>46279</v>
      </c>
      <c r="K80" s="3">
        <v>46279.006944444402</v>
      </c>
      <c r="L80" s="1" t="s">
        <v>200</v>
      </c>
      <c r="M80" s="1" t="s">
        <v>40</v>
      </c>
      <c r="N80" s="1" t="s">
        <v>41</v>
      </c>
      <c r="O80" s="1" t="s">
        <v>42</v>
      </c>
      <c r="Q80" s="1" t="s">
        <v>42</v>
      </c>
      <c r="R80" s="1" t="s">
        <v>51</v>
      </c>
      <c r="S80" s="1" t="s">
        <v>52</v>
      </c>
      <c r="T80" s="4">
        <v>421.2</v>
      </c>
      <c r="U80" s="4">
        <v>421.2</v>
      </c>
      <c r="V80" s="4">
        <v>421.2</v>
      </c>
      <c r="Z80" s="1" t="s">
        <v>42</v>
      </c>
      <c r="AD80" s="1" t="s">
        <v>42</v>
      </c>
      <c r="AF80" s="1" t="s">
        <v>42</v>
      </c>
    </row>
    <row r="81" spans="1:32" x14ac:dyDescent="0.25">
      <c r="A81" s="1" t="s">
        <v>32</v>
      </c>
      <c r="B81" s="1" t="s">
        <v>33</v>
      </c>
      <c r="C81" s="1" t="s">
        <v>34</v>
      </c>
      <c r="D81" s="1" t="s">
        <v>42</v>
      </c>
      <c r="E81" s="1" t="s">
        <v>197</v>
      </c>
      <c r="F81" s="2">
        <v>46279</v>
      </c>
      <c r="G81" s="1" t="s">
        <v>198</v>
      </c>
      <c r="H81" s="3">
        <v>46279.006944444402</v>
      </c>
      <c r="I81" s="1" t="s">
        <v>199</v>
      </c>
      <c r="J81" s="2">
        <v>46279</v>
      </c>
      <c r="K81" s="3">
        <v>46279.006944444402</v>
      </c>
      <c r="L81" s="1" t="s">
        <v>200</v>
      </c>
      <c r="M81" s="1" t="s">
        <v>40</v>
      </c>
      <c r="N81" s="1" t="s">
        <v>41</v>
      </c>
      <c r="O81" s="1" t="s">
        <v>42</v>
      </c>
      <c r="Q81" s="1" t="s">
        <v>42</v>
      </c>
      <c r="R81" s="1" t="s">
        <v>53</v>
      </c>
      <c r="S81" s="1" t="s">
        <v>54</v>
      </c>
      <c r="T81" s="4">
        <v>72.900000000000006</v>
      </c>
      <c r="U81" s="4">
        <v>72.900000000000006</v>
      </c>
      <c r="V81" s="4">
        <v>72.900000000000006</v>
      </c>
      <c r="Z81" s="1" t="s">
        <v>42</v>
      </c>
      <c r="AD81" s="1" t="s">
        <v>42</v>
      </c>
      <c r="AF81" s="1" t="s">
        <v>42</v>
      </c>
    </row>
    <row r="82" spans="1:32" x14ac:dyDescent="0.25">
      <c r="A82" s="1" t="s">
        <v>32</v>
      </c>
      <c r="B82" s="1" t="s">
        <v>33</v>
      </c>
      <c r="C82" s="1" t="s">
        <v>34</v>
      </c>
      <c r="D82" s="1" t="s">
        <v>42</v>
      </c>
      <c r="E82" s="1" t="s">
        <v>197</v>
      </c>
      <c r="F82" s="2">
        <v>46279</v>
      </c>
      <c r="G82" s="1" t="s">
        <v>198</v>
      </c>
      <c r="H82" s="3">
        <v>46279.006944444402</v>
      </c>
      <c r="I82" s="1" t="s">
        <v>199</v>
      </c>
      <c r="J82" s="2">
        <v>46279</v>
      </c>
      <c r="K82" s="3">
        <v>46279.006944444402</v>
      </c>
      <c r="L82" s="1" t="s">
        <v>200</v>
      </c>
      <c r="M82" s="1" t="s">
        <v>40</v>
      </c>
      <c r="N82" s="1" t="s">
        <v>41</v>
      </c>
      <c r="O82" s="1" t="s">
        <v>42</v>
      </c>
      <c r="Q82" s="1" t="s">
        <v>42</v>
      </c>
      <c r="R82" s="1" t="s">
        <v>205</v>
      </c>
      <c r="S82" s="1" t="s">
        <v>206</v>
      </c>
      <c r="T82" s="4">
        <v>399.6</v>
      </c>
      <c r="U82" s="4">
        <v>399.6</v>
      </c>
      <c r="V82" s="4">
        <v>399.6</v>
      </c>
      <c r="Z82" s="1" t="s">
        <v>42</v>
      </c>
      <c r="AD82" s="1" t="s">
        <v>42</v>
      </c>
      <c r="AF82" s="1" t="s">
        <v>42</v>
      </c>
    </row>
    <row r="83" spans="1:32" x14ac:dyDescent="0.25">
      <c r="A83" s="1" t="s">
        <v>32</v>
      </c>
      <c r="B83" s="1" t="s">
        <v>33</v>
      </c>
      <c r="C83" s="1" t="s">
        <v>34</v>
      </c>
      <c r="D83" s="1" t="s">
        <v>42</v>
      </c>
      <c r="E83" s="1" t="s">
        <v>197</v>
      </c>
      <c r="F83" s="2">
        <v>46279</v>
      </c>
      <c r="G83" s="1" t="s">
        <v>198</v>
      </c>
      <c r="H83" s="3">
        <v>46279.006944444402</v>
      </c>
      <c r="I83" s="1" t="s">
        <v>199</v>
      </c>
      <c r="J83" s="2">
        <v>46279</v>
      </c>
      <c r="K83" s="3">
        <v>46279.006944444402</v>
      </c>
      <c r="L83" s="1" t="s">
        <v>200</v>
      </c>
      <c r="M83" s="1" t="s">
        <v>40</v>
      </c>
      <c r="N83" s="1" t="s">
        <v>41</v>
      </c>
      <c r="O83" s="1" t="s">
        <v>42</v>
      </c>
      <c r="Q83" s="1" t="s">
        <v>42</v>
      </c>
      <c r="R83" s="1" t="s">
        <v>207</v>
      </c>
      <c r="S83" s="1" t="s">
        <v>208</v>
      </c>
      <c r="T83" s="4">
        <v>135</v>
      </c>
      <c r="U83" s="4">
        <v>135</v>
      </c>
      <c r="V83" s="4">
        <v>135</v>
      </c>
      <c r="Z83" s="1" t="s">
        <v>42</v>
      </c>
      <c r="AD83" s="1" t="s">
        <v>42</v>
      </c>
      <c r="AF83" s="1" t="s">
        <v>42</v>
      </c>
    </row>
    <row r="84" spans="1:32" x14ac:dyDescent="0.25">
      <c r="A84" s="1" t="s">
        <v>32</v>
      </c>
      <c r="B84" s="1" t="s">
        <v>33</v>
      </c>
      <c r="C84" s="1" t="s">
        <v>34</v>
      </c>
      <c r="D84" s="1" t="s">
        <v>42</v>
      </c>
      <c r="E84" s="1" t="s">
        <v>197</v>
      </c>
      <c r="F84" s="2">
        <v>46279</v>
      </c>
      <c r="G84" s="1" t="s">
        <v>198</v>
      </c>
      <c r="H84" s="3">
        <v>46279.006944444402</v>
      </c>
      <c r="I84" s="1" t="s">
        <v>199</v>
      </c>
      <c r="J84" s="2">
        <v>46279</v>
      </c>
      <c r="K84" s="3">
        <v>46279.006944444402</v>
      </c>
      <c r="L84" s="1" t="s">
        <v>200</v>
      </c>
      <c r="M84" s="1" t="s">
        <v>40</v>
      </c>
      <c r="N84" s="1" t="s">
        <v>41</v>
      </c>
      <c r="O84" s="1" t="s">
        <v>42</v>
      </c>
      <c r="Q84" s="1" t="s">
        <v>42</v>
      </c>
      <c r="R84" s="1" t="s">
        <v>55</v>
      </c>
      <c r="S84" s="1" t="s">
        <v>56</v>
      </c>
      <c r="T84" s="4">
        <v>429.3</v>
      </c>
      <c r="U84" s="4">
        <v>429.3</v>
      </c>
      <c r="V84" s="4">
        <v>429.3</v>
      </c>
      <c r="Z84" s="1" t="s">
        <v>42</v>
      </c>
      <c r="AD84" s="1" t="s">
        <v>42</v>
      </c>
      <c r="AF84" s="1" t="s">
        <v>42</v>
      </c>
    </row>
    <row r="85" spans="1:32" x14ac:dyDescent="0.25">
      <c r="A85" s="1" t="s">
        <v>32</v>
      </c>
      <c r="B85" s="1" t="s">
        <v>33</v>
      </c>
      <c r="C85" s="1" t="s">
        <v>34</v>
      </c>
      <c r="D85" s="1" t="s">
        <v>42</v>
      </c>
      <c r="E85" s="1" t="s">
        <v>197</v>
      </c>
      <c r="F85" s="2">
        <v>46279</v>
      </c>
      <c r="G85" s="1" t="s">
        <v>198</v>
      </c>
      <c r="H85" s="3">
        <v>46279.006944444402</v>
      </c>
      <c r="I85" s="1" t="s">
        <v>199</v>
      </c>
      <c r="J85" s="2">
        <v>46279</v>
      </c>
      <c r="K85" s="3">
        <v>46279.006944444402</v>
      </c>
      <c r="L85" s="1" t="s">
        <v>200</v>
      </c>
      <c r="M85" s="1" t="s">
        <v>40</v>
      </c>
      <c r="N85" s="1" t="s">
        <v>41</v>
      </c>
      <c r="O85" s="1" t="s">
        <v>42</v>
      </c>
      <c r="Q85" s="1" t="s">
        <v>42</v>
      </c>
      <c r="R85" s="1" t="s">
        <v>57</v>
      </c>
      <c r="S85" s="1" t="s">
        <v>58</v>
      </c>
      <c r="T85" s="4">
        <v>113.4</v>
      </c>
      <c r="U85" s="4">
        <v>113.4</v>
      </c>
      <c r="V85" s="4">
        <v>113.4</v>
      </c>
      <c r="Z85" s="1" t="s">
        <v>42</v>
      </c>
      <c r="AD85" s="1" t="s">
        <v>42</v>
      </c>
      <c r="AF85" s="1" t="s">
        <v>42</v>
      </c>
    </row>
    <row r="86" spans="1:32" x14ac:dyDescent="0.25">
      <c r="A86" s="1" t="s">
        <v>32</v>
      </c>
      <c r="B86" s="1" t="s">
        <v>33</v>
      </c>
      <c r="C86" s="1" t="s">
        <v>34</v>
      </c>
      <c r="D86" s="1" t="s">
        <v>42</v>
      </c>
      <c r="E86" s="1" t="s">
        <v>197</v>
      </c>
      <c r="F86" s="2">
        <v>46279</v>
      </c>
      <c r="G86" s="1" t="s">
        <v>198</v>
      </c>
      <c r="H86" s="3">
        <v>46279.006944444402</v>
      </c>
      <c r="I86" s="1" t="s">
        <v>199</v>
      </c>
      <c r="J86" s="2">
        <v>46279</v>
      </c>
      <c r="K86" s="3">
        <v>46279.006944444402</v>
      </c>
      <c r="L86" s="1" t="s">
        <v>200</v>
      </c>
      <c r="M86" s="1" t="s">
        <v>40</v>
      </c>
      <c r="N86" s="1" t="s">
        <v>41</v>
      </c>
      <c r="O86" s="1" t="s">
        <v>42</v>
      </c>
      <c r="Q86" s="1" t="s">
        <v>42</v>
      </c>
      <c r="R86" s="1" t="s">
        <v>96</v>
      </c>
      <c r="S86" s="1" t="s">
        <v>97</v>
      </c>
      <c r="T86" s="4">
        <v>176.4</v>
      </c>
      <c r="U86" s="4">
        <v>176.4</v>
      </c>
      <c r="V86" s="4">
        <v>176.4</v>
      </c>
      <c r="Z86" s="1" t="s">
        <v>42</v>
      </c>
      <c r="AD86" s="1" t="s">
        <v>42</v>
      </c>
      <c r="AF86" s="1" t="s">
        <v>42</v>
      </c>
    </row>
    <row r="87" spans="1:32" x14ac:dyDescent="0.25">
      <c r="A87" s="1" t="s">
        <v>32</v>
      </c>
      <c r="B87" s="1" t="s">
        <v>33</v>
      </c>
      <c r="C87" s="1" t="s">
        <v>34</v>
      </c>
      <c r="D87" s="1" t="s">
        <v>42</v>
      </c>
      <c r="E87" s="1" t="s">
        <v>197</v>
      </c>
      <c r="F87" s="2">
        <v>46279</v>
      </c>
      <c r="G87" s="1" t="s">
        <v>198</v>
      </c>
      <c r="H87" s="3">
        <v>46279.006944444402</v>
      </c>
      <c r="I87" s="1" t="s">
        <v>199</v>
      </c>
      <c r="J87" s="2">
        <v>46279</v>
      </c>
      <c r="K87" s="3">
        <v>46279.006944444402</v>
      </c>
      <c r="L87" s="1" t="s">
        <v>200</v>
      </c>
      <c r="M87" s="1" t="s">
        <v>40</v>
      </c>
      <c r="N87" s="1" t="s">
        <v>41</v>
      </c>
      <c r="O87" s="1" t="s">
        <v>42</v>
      </c>
      <c r="Q87" s="1" t="s">
        <v>42</v>
      </c>
      <c r="R87" s="1" t="s">
        <v>209</v>
      </c>
      <c r="S87" s="1" t="s">
        <v>210</v>
      </c>
      <c r="T87" s="4">
        <v>3.78</v>
      </c>
      <c r="U87" s="4">
        <v>3.78</v>
      </c>
      <c r="V87" s="4">
        <v>3.78</v>
      </c>
      <c r="Z87" s="1" t="s">
        <v>42</v>
      </c>
      <c r="AD87" s="1" t="s">
        <v>42</v>
      </c>
      <c r="AF87" s="1" t="s">
        <v>42</v>
      </c>
    </row>
    <row r="88" spans="1:32" x14ac:dyDescent="0.25">
      <c r="A88" s="1" t="s">
        <v>32</v>
      </c>
      <c r="B88" s="1" t="s">
        <v>33</v>
      </c>
      <c r="C88" s="1" t="s">
        <v>34</v>
      </c>
      <c r="D88" s="1" t="s">
        <v>42</v>
      </c>
      <c r="E88" s="1" t="s">
        <v>197</v>
      </c>
      <c r="F88" s="2">
        <v>46279</v>
      </c>
      <c r="G88" s="1" t="s">
        <v>198</v>
      </c>
      <c r="H88" s="3">
        <v>46279.006944444402</v>
      </c>
      <c r="I88" s="1" t="s">
        <v>199</v>
      </c>
      <c r="J88" s="2">
        <v>46279</v>
      </c>
      <c r="K88" s="3">
        <v>46279.006944444402</v>
      </c>
      <c r="L88" s="1" t="s">
        <v>200</v>
      </c>
      <c r="M88" s="1" t="s">
        <v>40</v>
      </c>
      <c r="N88" s="1" t="s">
        <v>41</v>
      </c>
      <c r="O88" s="1" t="s">
        <v>42</v>
      </c>
      <c r="Q88" s="1" t="s">
        <v>42</v>
      </c>
      <c r="R88" s="1" t="s">
        <v>108</v>
      </c>
      <c r="S88" s="1" t="s">
        <v>109</v>
      </c>
      <c r="T88" s="4">
        <v>75.599999999999994</v>
      </c>
      <c r="W88" s="4">
        <v>-75.599999999999994</v>
      </c>
      <c r="X88" s="1" t="s">
        <v>67</v>
      </c>
      <c r="Y88" s="1" t="s">
        <v>68</v>
      </c>
      <c r="Z88" s="1" t="s">
        <v>42</v>
      </c>
      <c r="AD88" s="1" t="s">
        <v>42</v>
      </c>
      <c r="AE88" s="1" t="s">
        <v>211</v>
      </c>
      <c r="AF88" s="1" t="s">
        <v>42</v>
      </c>
    </row>
    <row r="89" spans="1:32" x14ac:dyDescent="0.25">
      <c r="A89" s="1" t="s">
        <v>32</v>
      </c>
      <c r="B89" s="1" t="s">
        <v>33</v>
      </c>
      <c r="C89" s="1" t="s">
        <v>34</v>
      </c>
      <c r="D89" s="1" t="s">
        <v>42</v>
      </c>
      <c r="E89" s="1" t="s">
        <v>197</v>
      </c>
      <c r="F89" s="2">
        <v>46279</v>
      </c>
      <c r="G89" s="1" t="s">
        <v>198</v>
      </c>
      <c r="H89" s="3">
        <v>46279.006944444402</v>
      </c>
      <c r="I89" s="1" t="s">
        <v>199</v>
      </c>
      <c r="J89" s="2">
        <v>46279</v>
      </c>
      <c r="K89" s="3">
        <v>46279.006944444402</v>
      </c>
      <c r="L89" s="1" t="s">
        <v>200</v>
      </c>
      <c r="M89" s="1" t="s">
        <v>40</v>
      </c>
      <c r="N89" s="1" t="s">
        <v>41</v>
      </c>
      <c r="O89" s="1" t="s">
        <v>42</v>
      </c>
      <c r="Q89" s="1" t="s">
        <v>42</v>
      </c>
      <c r="R89" s="1" t="s">
        <v>116</v>
      </c>
      <c r="S89" s="1" t="s">
        <v>117</v>
      </c>
      <c r="T89" s="4">
        <v>251.1</v>
      </c>
      <c r="U89" s="4">
        <v>251.1</v>
      </c>
      <c r="V89" s="4">
        <v>251.1</v>
      </c>
      <c r="Z89" s="1" t="s">
        <v>42</v>
      </c>
      <c r="AD89" s="1" t="s">
        <v>42</v>
      </c>
      <c r="AF89" s="1" t="s">
        <v>42</v>
      </c>
    </row>
    <row r="90" spans="1:32" x14ac:dyDescent="0.25">
      <c r="A90" s="1" t="s">
        <v>32</v>
      </c>
      <c r="B90" s="1" t="s">
        <v>33</v>
      </c>
      <c r="C90" s="1" t="s">
        <v>34</v>
      </c>
      <c r="D90" s="1" t="s">
        <v>42</v>
      </c>
      <c r="E90" s="1" t="s">
        <v>197</v>
      </c>
      <c r="F90" s="2">
        <v>46279</v>
      </c>
      <c r="G90" s="1" t="s">
        <v>198</v>
      </c>
      <c r="H90" s="3">
        <v>46279.006944444402</v>
      </c>
      <c r="I90" s="1" t="s">
        <v>199</v>
      </c>
      <c r="J90" s="2">
        <v>46279</v>
      </c>
      <c r="K90" s="3">
        <v>46279.006944444402</v>
      </c>
      <c r="L90" s="1" t="s">
        <v>200</v>
      </c>
      <c r="M90" s="1" t="s">
        <v>40</v>
      </c>
      <c r="N90" s="1" t="s">
        <v>41</v>
      </c>
      <c r="O90" s="1" t="s">
        <v>42</v>
      </c>
      <c r="Q90" s="1" t="s">
        <v>42</v>
      </c>
      <c r="R90" s="1" t="s">
        <v>118</v>
      </c>
      <c r="S90" s="1" t="s">
        <v>119</v>
      </c>
      <c r="T90" s="4">
        <v>105.3</v>
      </c>
      <c r="U90" s="4">
        <v>105.3</v>
      </c>
      <c r="V90" s="4">
        <v>105.3</v>
      </c>
      <c r="Z90" s="1" t="s">
        <v>42</v>
      </c>
      <c r="AD90" s="1" t="s">
        <v>42</v>
      </c>
      <c r="AF90" s="1" t="s">
        <v>42</v>
      </c>
    </row>
    <row r="91" spans="1:32" x14ac:dyDescent="0.25">
      <c r="A91" s="1" t="s">
        <v>32</v>
      </c>
      <c r="B91" s="1" t="s">
        <v>33</v>
      </c>
      <c r="C91" s="1" t="s">
        <v>34</v>
      </c>
      <c r="D91" s="1" t="s">
        <v>42</v>
      </c>
      <c r="E91" s="1" t="s">
        <v>197</v>
      </c>
      <c r="F91" s="2">
        <v>46279</v>
      </c>
      <c r="G91" s="1" t="s">
        <v>198</v>
      </c>
      <c r="H91" s="3">
        <v>46279.006944444402</v>
      </c>
      <c r="I91" s="1" t="s">
        <v>199</v>
      </c>
      <c r="J91" s="2">
        <v>46279</v>
      </c>
      <c r="K91" s="3">
        <v>46279.006944444402</v>
      </c>
      <c r="L91" s="1" t="s">
        <v>200</v>
      </c>
      <c r="M91" s="1" t="s">
        <v>40</v>
      </c>
      <c r="N91" s="1" t="s">
        <v>41</v>
      </c>
      <c r="O91" s="1" t="s">
        <v>42</v>
      </c>
      <c r="Q91" s="1" t="s">
        <v>42</v>
      </c>
      <c r="R91" s="1" t="s">
        <v>120</v>
      </c>
      <c r="S91" s="1" t="s">
        <v>121</v>
      </c>
      <c r="T91" s="4">
        <v>26.1</v>
      </c>
      <c r="U91" s="4">
        <v>26.1</v>
      </c>
      <c r="V91" s="4">
        <v>26.1</v>
      </c>
      <c r="Z91" s="1" t="s">
        <v>42</v>
      </c>
      <c r="AD91" s="1" t="s">
        <v>42</v>
      </c>
      <c r="AF91" s="1" t="s">
        <v>42</v>
      </c>
    </row>
    <row r="92" spans="1:32" x14ac:dyDescent="0.25">
      <c r="A92" s="1" t="s">
        <v>32</v>
      </c>
      <c r="B92" s="1" t="s">
        <v>33</v>
      </c>
      <c r="C92" s="1" t="s">
        <v>34</v>
      </c>
      <c r="D92" s="1" t="s">
        <v>42</v>
      </c>
      <c r="E92" s="1" t="s">
        <v>197</v>
      </c>
      <c r="F92" s="2">
        <v>46279</v>
      </c>
      <c r="G92" s="1" t="s">
        <v>198</v>
      </c>
      <c r="H92" s="3">
        <v>46279.006944444402</v>
      </c>
      <c r="I92" s="1" t="s">
        <v>199</v>
      </c>
      <c r="J92" s="2">
        <v>46279</v>
      </c>
      <c r="K92" s="3">
        <v>46279.006944444402</v>
      </c>
      <c r="L92" s="1" t="s">
        <v>200</v>
      </c>
      <c r="M92" s="1" t="s">
        <v>40</v>
      </c>
      <c r="N92" s="1" t="s">
        <v>41</v>
      </c>
      <c r="O92" s="1" t="s">
        <v>42</v>
      </c>
      <c r="Q92" s="1" t="s">
        <v>42</v>
      </c>
      <c r="R92" s="1" t="s">
        <v>212</v>
      </c>
      <c r="S92" s="1" t="s">
        <v>213</v>
      </c>
      <c r="T92" s="4">
        <v>74.400000000000006</v>
      </c>
      <c r="U92" s="4">
        <v>74.400000000000006</v>
      </c>
      <c r="V92" s="4">
        <v>74.400000000000006</v>
      </c>
      <c r="Z92" s="1" t="s">
        <v>42</v>
      </c>
      <c r="AD92" s="1" t="s">
        <v>42</v>
      </c>
      <c r="AF92" s="1" t="s">
        <v>42</v>
      </c>
    </row>
    <row r="93" spans="1:32" x14ac:dyDescent="0.25">
      <c r="A93" s="1" t="s">
        <v>32</v>
      </c>
      <c r="B93" s="1" t="s">
        <v>33</v>
      </c>
      <c r="C93" s="1" t="s">
        <v>34</v>
      </c>
      <c r="D93" s="1" t="s">
        <v>42</v>
      </c>
      <c r="E93" s="1" t="s">
        <v>197</v>
      </c>
      <c r="F93" s="2">
        <v>46279</v>
      </c>
      <c r="G93" s="1" t="s">
        <v>198</v>
      </c>
      <c r="H93" s="3">
        <v>46279.006944444402</v>
      </c>
      <c r="I93" s="1" t="s">
        <v>199</v>
      </c>
      <c r="J93" s="2">
        <v>46279</v>
      </c>
      <c r="K93" s="3">
        <v>46279.006944444402</v>
      </c>
      <c r="L93" s="1" t="s">
        <v>200</v>
      </c>
      <c r="M93" s="1" t="s">
        <v>40</v>
      </c>
      <c r="N93" s="1" t="s">
        <v>41</v>
      </c>
      <c r="O93" s="1" t="s">
        <v>42</v>
      </c>
      <c r="Q93" s="1" t="s">
        <v>42</v>
      </c>
      <c r="R93" s="1" t="s">
        <v>122</v>
      </c>
      <c r="S93" s="1" t="s">
        <v>123</v>
      </c>
      <c r="T93" s="4">
        <v>600</v>
      </c>
      <c r="U93" s="4">
        <v>600</v>
      </c>
      <c r="V93" s="4">
        <v>600</v>
      </c>
      <c r="Z93" s="1" t="s">
        <v>42</v>
      </c>
      <c r="AD93" s="1" t="s">
        <v>42</v>
      </c>
      <c r="AF93" s="1" t="s">
        <v>42</v>
      </c>
    </row>
    <row r="94" spans="1:32" x14ac:dyDescent="0.25">
      <c r="A94" s="1" t="s">
        <v>32</v>
      </c>
      <c r="B94" s="1" t="s">
        <v>33</v>
      </c>
      <c r="C94" s="1" t="s">
        <v>34</v>
      </c>
      <c r="D94" s="1" t="s">
        <v>42</v>
      </c>
      <c r="E94" s="1" t="s">
        <v>197</v>
      </c>
      <c r="F94" s="2">
        <v>46279</v>
      </c>
      <c r="G94" s="1" t="s">
        <v>198</v>
      </c>
      <c r="H94" s="3">
        <v>46279.006944444402</v>
      </c>
      <c r="I94" s="1" t="s">
        <v>199</v>
      </c>
      <c r="J94" s="2">
        <v>46279</v>
      </c>
      <c r="K94" s="3">
        <v>46279.006944444402</v>
      </c>
      <c r="L94" s="1" t="s">
        <v>200</v>
      </c>
      <c r="M94" s="1" t="s">
        <v>40</v>
      </c>
      <c r="N94" s="1" t="s">
        <v>41</v>
      </c>
      <c r="O94" s="1" t="s">
        <v>42</v>
      </c>
      <c r="Q94" s="1" t="s">
        <v>42</v>
      </c>
      <c r="R94" s="1" t="s">
        <v>124</v>
      </c>
      <c r="S94" s="1" t="s">
        <v>125</v>
      </c>
      <c r="T94" s="4">
        <v>96</v>
      </c>
      <c r="U94" s="4">
        <v>96</v>
      </c>
      <c r="V94" s="4">
        <v>96</v>
      </c>
      <c r="Z94" s="1" t="s">
        <v>42</v>
      </c>
      <c r="AD94" s="1" t="s">
        <v>42</v>
      </c>
      <c r="AF94" s="1" t="s">
        <v>42</v>
      </c>
    </row>
    <row r="95" spans="1:32" x14ac:dyDescent="0.25">
      <c r="A95" s="1" t="s">
        <v>32</v>
      </c>
      <c r="B95" s="1" t="s">
        <v>33</v>
      </c>
      <c r="C95" s="1" t="s">
        <v>34</v>
      </c>
      <c r="D95" s="1" t="s">
        <v>42</v>
      </c>
      <c r="E95" s="1" t="s">
        <v>197</v>
      </c>
      <c r="F95" s="2">
        <v>46279</v>
      </c>
      <c r="G95" s="1" t="s">
        <v>198</v>
      </c>
      <c r="H95" s="3">
        <v>46279.006944444402</v>
      </c>
      <c r="I95" s="1" t="s">
        <v>199</v>
      </c>
      <c r="J95" s="2">
        <v>46279</v>
      </c>
      <c r="K95" s="3">
        <v>46279.006944444402</v>
      </c>
      <c r="L95" s="1" t="s">
        <v>200</v>
      </c>
      <c r="M95" s="1" t="s">
        <v>40</v>
      </c>
      <c r="N95" s="1" t="s">
        <v>41</v>
      </c>
      <c r="O95" s="1" t="s">
        <v>42</v>
      </c>
      <c r="Q95" s="1" t="s">
        <v>42</v>
      </c>
      <c r="R95" s="1" t="s">
        <v>126</v>
      </c>
      <c r="S95" s="1" t="s">
        <v>127</v>
      </c>
      <c r="T95" s="4">
        <v>120</v>
      </c>
      <c r="U95" s="4">
        <v>120</v>
      </c>
      <c r="V95" s="4">
        <v>120</v>
      </c>
      <c r="Z95" s="1" t="s">
        <v>42</v>
      </c>
      <c r="AD95" s="1" t="s">
        <v>42</v>
      </c>
      <c r="AF95" s="1" t="s">
        <v>42</v>
      </c>
    </row>
    <row r="96" spans="1:32" x14ac:dyDescent="0.25">
      <c r="A96" s="1" t="s">
        <v>32</v>
      </c>
      <c r="B96" s="1" t="s">
        <v>33</v>
      </c>
      <c r="C96" s="1" t="s">
        <v>34</v>
      </c>
      <c r="D96" s="1" t="s">
        <v>42</v>
      </c>
      <c r="E96" s="1" t="s">
        <v>197</v>
      </c>
      <c r="F96" s="2">
        <v>46279</v>
      </c>
      <c r="G96" s="1" t="s">
        <v>198</v>
      </c>
      <c r="H96" s="3">
        <v>46279.006944444402</v>
      </c>
      <c r="I96" s="1" t="s">
        <v>199</v>
      </c>
      <c r="J96" s="2">
        <v>46279</v>
      </c>
      <c r="K96" s="3">
        <v>46279.006944444402</v>
      </c>
      <c r="L96" s="1" t="s">
        <v>200</v>
      </c>
      <c r="M96" s="1" t="s">
        <v>40</v>
      </c>
      <c r="N96" s="1" t="s">
        <v>41</v>
      </c>
      <c r="O96" s="1" t="s">
        <v>42</v>
      </c>
      <c r="Q96" s="1" t="s">
        <v>42</v>
      </c>
      <c r="R96" s="1" t="s">
        <v>130</v>
      </c>
      <c r="S96" s="1" t="s">
        <v>131</v>
      </c>
      <c r="T96" s="4">
        <v>21.6</v>
      </c>
      <c r="U96" s="4">
        <v>21.6</v>
      </c>
      <c r="V96" s="4">
        <v>21.6</v>
      </c>
      <c r="Z96" s="1" t="s">
        <v>42</v>
      </c>
      <c r="AD96" s="1" t="s">
        <v>42</v>
      </c>
      <c r="AF96" s="1" t="s">
        <v>42</v>
      </c>
    </row>
    <row r="97" spans="1:32" x14ac:dyDescent="0.25">
      <c r="A97" s="1" t="s">
        <v>32</v>
      </c>
      <c r="B97" s="1" t="s">
        <v>33</v>
      </c>
      <c r="C97" s="1" t="s">
        <v>34</v>
      </c>
      <c r="D97" s="1" t="s">
        <v>42</v>
      </c>
      <c r="E97" s="1" t="s">
        <v>197</v>
      </c>
      <c r="F97" s="2">
        <v>46279</v>
      </c>
      <c r="G97" s="1" t="s">
        <v>198</v>
      </c>
      <c r="H97" s="3">
        <v>46279.006944444402</v>
      </c>
      <c r="I97" s="1" t="s">
        <v>199</v>
      </c>
      <c r="J97" s="2">
        <v>46279</v>
      </c>
      <c r="K97" s="3">
        <v>46279.006944444402</v>
      </c>
      <c r="L97" s="1" t="s">
        <v>200</v>
      </c>
      <c r="M97" s="1" t="s">
        <v>40</v>
      </c>
      <c r="N97" s="1" t="s">
        <v>41</v>
      </c>
      <c r="O97" s="1" t="s">
        <v>42</v>
      </c>
      <c r="Q97" s="1" t="s">
        <v>42</v>
      </c>
      <c r="R97" s="1" t="s">
        <v>139</v>
      </c>
      <c r="S97" s="1" t="s">
        <v>140</v>
      </c>
      <c r="T97" s="4">
        <v>40.799999999999997</v>
      </c>
      <c r="U97" s="4">
        <v>40.799999999999997</v>
      </c>
      <c r="V97" s="4">
        <v>40.799999999999997</v>
      </c>
      <c r="Z97" s="1" t="s">
        <v>42</v>
      </c>
      <c r="AD97" s="1" t="s">
        <v>42</v>
      </c>
      <c r="AF97" s="1" t="s">
        <v>42</v>
      </c>
    </row>
    <row r="98" spans="1:32" x14ac:dyDescent="0.25">
      <c r="A98" s="1" t="s">
        <v>32</v>
      </c>
      <c r="B98" s="1" t="s">
        <v>33</v>
      </c>
      <c r="C98" s="1" t="s">
        <v>34</v>
      </c>
      <c r="D98" s="1" t="s">
        <v>42</v>
      </c>
      <c r="E98" s="1" t="s">
        <v>197</v>
      </c>
      <c r="F98" s="2">
        <v>46279</v>
      </c>
      <c r="G98" s="1" t="s">
        <v>198</v>
      </c>
      <c r="H98" s="3">
        <v>46279.006944444402</v>
      </c>
      <c r="I98" s="1" t="s">
        <v>199</v>
      </c>
      <c r="J98" s="2">
        <v>46279</v>
      </c>
      <c r="K98" s="3">
        <v>46279.006944444402</v>
      </c>
      <c r="L98" s="1" t="s">
        <v>200</v>
      </c>
      <c r="M98" s="1" t="s">
        <v>40</v>
      </c>
      <c r="N98" s="1" t="s">
        <v>41</v>
      </c>
      <c r="O98" s="1" t="s">
        <v>42</v>
      </c>
      <c r="Q98" s="1" t="s">
        <v>42</v>
      </c>
      <c r="R98" s="1" t="s">
        <v>214</v>
      </c>
      <c r="S98" s="1" t="s">
        <v>215</v>
      </c>
      <c r="T98" s="4">
        <v>62.4</v>
      </c>
      <c r="W98" s="4">
        <v>-62.4</v>
      </c>
      <c r="X98" s="1" t="s">
        <v>67</v>
      </c>
      <c r="Y98" s="1" t="s">
        <v>68</v>
      </c>
      <c r="Z98" s="1" t="s">
        <v>42</v>
      </c>
      <c r="AD98" s="1" t="s">
        <v>42</v>
      </c>
      <c r="AE98" s="1" t="s">
        <v>211</v>
      </c>
      <c r="AF98" s="1" t="s">
        <v>42</v>
      </c>
    </row>
    <row r="99" spans="1:32" x14ac:dyDescent="0.25">
      <c r="A99" s="1" t="s">
        <v>32</v>
      </c>
      <c r="B99" s="1" t="s">
        <v>33</v>
      </c>
      <c r="C99" s="1" t="s">
        <v>34</v>
      </c>
      <c r="D99" s="1" t="s">
        <v>42</v>
      </c>
      <c r="E99" s="1" t="s">
        <v>197</v>
      </c>
      <c r="F99" s="2">
        <v>46279</v>
      </c>
      <c r="G99" s="1" t="s">
        <v>198</v>
      </c>
      <c r="H99" s="3">
        <v>46279.006944444402</v>
      </c>
      <c r="I99" s="1" t="s">
        <v>199</v>
      </c>
      <c r="J99" s="2">
        <v>46279</v>
      </c>
      <c r="K99" s="3">
        <v>46279.006944444402</v>
      </c>
      <c r="L99" s="1" t="s">
        <v>200</v>
      </c>
      <c r="M99" s="1" t="s">
        <v>40</v>
      </c>
      <c r="N99" s="1" t="s">
        <v>41</v>
      </c>
      <c r="O99" s="1" t="s">
        <v>42</v>
      </c>
      <c r="Q99" s="1" t="s">
        <v>42</v>
      </c>
      <c r="R99" s="1" t="s">
        <v>141</v>
      </c>
      <c r="S99" s="1" t="s">
        <v>142</v>
      </c>
      <c r="T99" s="4">
        <v>202.8</v>
      </c>
      <c r="U99" s="4">
        <v>202.8</v>
      </c>
      <c r="V99" s="4">
        <v>202.8</v>
      </c>
      <c r="Z99" s="1" t="s">
        <v>42</v>
      </c>
      <c r="AD99" s="1" t="s">
        <v>42</v>
      </c>
      <c r="AF99" s="1" t="s">
        <v>42</v>
      </c>
    </row>
    <row r="100" spans="1:32" x14ac:dyDescent="0.25">
      <c r="A100" s="1" t="s">
        <v>32</v>
      </c>
      <c r="B100" s="1" t="s">
        <v>33</v>
      </c>
      <c r="C100" s="1" t="s">
        <v>34</v>
      </c>
      <c r="D100" s="1" t="s">
        <v>42</v>
      </c>
      <c r="E100" s="1" t="s">
        <v>197</v>
      </c>
      <c r="F100" s="2">
        <v>46279</v>
      </c>
      <c r="G100" s="1" t="s">
        <v>198</v>
      </c>
      <c r="H100" s="3">
        <v>46279.006944444402</v>
      </c>
      <c r="I100" s="1" t="s">
        <v>199</v>
      </c>
      <c r="J100" s="2">
        <v>46279</v>
      </c>
      <c r="K100" s="3">
        <v>46279.006944444402</v>
      </c>
      <c r="L100" s="1" t="s">
        <v>200</v>
      </c>
      <c r="M100" s="1" t="s">
        <v>40</v>
      </c>
      <c r="N100" s="1" t="s">
        <v>41</v>
      </c>
      <c r="O100" s="1" t="s">
        <v>42</v>
      </c>
      <c r="Q100" s="1" t="s">
        <v>42</v>
      </c>
      <c r="R100" s="1" t="s">
        <v>216</v>
      </c>
      <c r="S100" s="1" t="s">
        <v>217</v>
      </c>
      <c r="T100" s="4">
        <v>210.6</v>
      </c>
      <c r="U100" s="4">
        <v>210.6</v>
      </c>
      <c r="V100" s="4">
        <v>210.6</v>
      </c>
      <c r="Z100" s="1" t="s">
        <v>42</v>
      </c>
      <c r="AD100" s="1" t="s">
        <v>42</v>
      </c>
      <c r="AF100" s="1" t="s">
        <v>42</v>
      </c>
    </row>
    <row r="101" spans="1:32" x14ac:dyDescent="0.25">
      <c r="A101" s="1" t="s">
        <v>32</v>
      </c>
      <c r="B101" s="1" t="s">
        <v>33</v>
      </c>
      <c r="C101" s="1" t="s">
        <v>34</v>
      </c>
      <c r="D101" s="1" t="s">
        <v>42</v>
      </c>
      <c r="E101" s="1" t="s">
        <v>197</v>
      </c>
      <c r="F101" s="2">
        <v>46279</v>
      </c>
      <c r="G101" s="1" t="s">
        <v>198</v>
      </c>
      <c r="H101" s="3">
        <v>46279.006944444402</v>
      </c>
      <c r="I101" s="1" t="s">
        <v>199</v>
      </c>
      <c r="J101" s="2">
        <v>46279</v>
      </c>
      <c r="K101" s="3">
        <v>46279.006944444402</v>
      </c>
      <c r="L101" s="1" t="s">
        <v>200</v>
      </c>
      <c r="M101" s="1" t="s">
        <v>40</v>
      </c>
      <c r="N101" s="1" t="s">
        <v>41</v>
      </c>
      <c r="O101" s="1" t="s">
        <v>42</v>
      </c>
      <c r="Q101" s="1" t="s">
        <v>42</v>
      </c>
      <c r="R101" s="1" t="s">
        <v>218</v>
      </c>
      <c r="S101" s="1" t="s">
        <v>219</v>
      </c>
      <c r="T101" s="4">
        <v>16.8</v>
      </c>
      <c r="U101" s="4">
        <v>16.8</v>
      </c>
      <c r="V101" s="4">
        <v>16.8</v>
      </c>
      <c r="Z101" s="1" t="s">
        <v>42</v>
      </c>
      <c r="AD101" s="1" t="s">
        <v>42</v>
      </c>
      <c r="AF101" s="1" t="s">
        <v>42</v>
      </c>
    </row>
    <row r="102" spans="1:32" x14ac:dyDescent="0.25">
      <c r="A102" s="1" t="s">
        <v>32</v>
      </c>
      <c r="B102" s="1" t="s">
        <v>33</v>
      </c>
      <c r="C102" s="1" t="s">
        <v>34</v>
      </c>
      <c r="D102" s="1" t="s">
        <v>42</v>
      </c>
      <c r="E102" s="1" t="s">
        <v>197</v>
      </c>
      <c r="F102" s="2">
        <v>46279</v>
      </c>
      <c r="G102" s="1" t="s">
        <v>198</v>
      </c>
      <c r="H102" s="3">
        <v>46279.006944444402</v>
      </c>
      <c r="I102" s="1" t="s">
        <v>199</v>
      </c>
      <c r="J102" s="2">
        <v>46279</v>
      </c>
      <c r="K102" s="3">
        <v>46279.006944444402</v>
      </c>
      <c r="L102" s="1" t="s">
        <v>200</v>
      </c>
      <c r="M102" s="1" t="s">
        <v>40</v>
      </c>
      <c r="N102" s="1" t="s">
        <v>41</v>
      </c>
      <c r="O102" s="1" t="s">
        <v>42</v>
      </c>
      <c r="Q102" s="1" t="s">
        <v>42</v>
      </c>
      <c r="R102" s="1" t="s">
        <v>147</v>
      </c>
      <c r="S102" s="1" t="s">
        <v>148</v>
      </c>
      <c r="T102" s="4">
        <v>312</v>
      </c>
      <c r="U102" s="4">
        <v>312</v>
      </c>
      <c r="V102" s="4">
        <v>312</v>
      </c>
      <c r="Z102" s="1" t="s">
        <v>42</v>
      </c>
      <c r="AD102" s="1" t="s">
        <v>42</v>
      </c>
      <c r="AF102" s="1" t="s">
        <v>42</v>
      </c>
    </row>
    <row r="103" spans="1:32" x14ac:dyDescent="0.25">
      <c r="A103" s="1" t="s">
        <v>32</v>
      </c>
      <c r="B103" s="1" t="s">
        <v>33</v>
      </c>
      <c r="C103" s="1" t="s">
        <v>34</v>
      </c>
      <c r="D103" s="1" t="s">
        <v>42</v>
      </c>
      <c r="E103" s="1" t="s">
        <v>197</v>
      </c>
      <c r="F103" s="2">
        <v>46279</v>
      </c>
      <c r="G103" s="1" t="s">
        <v>198</v>
      </c>
      <c r="H103" s="3">
        <v>46279.006944444402</v>
      </c>
      <c r="I103" s="1" t="s">
        <v>199</v>
      </c>
      <c r="J103" s="2">
        <v>46279</v>
      </c>
      <c r="K103" s="3">
        <v>46279.006944444402</v>
      </c>
      <c r="L103" s="1" t="s">
        <v>200</v>
      </c>
      <c r="M103" s="1" t="s">
        <v>40</v>
      </c>
      <c r="N103" s="1" t="s">
        <v>41</v>
      </c>
      <c r="O103" s="1" t="s">
        <v>42</v>
      </c>
      <c r="Q103" s="1" t="s">
        <v>42</v>
      </c>
      <c r="R103" s="1" t="s">
        <v>157</v>
      </c>
      <c r="S103" s="1" t="s">
        <v>158</v>
      </c>
      <c r="T103" s="4">
        <v>27.3</v>
      </c>
      <c r="U103" s="4">
        <v>27.3</v>
      </c>
      <c r="V103" s="4">
        <v>27.3</v>
      </c>
      <c r="Z103" s="1" t="s">
        <v>42</v>
      </c>
      <c r="AD103" s="1" t="s">
        <v>42</v>
      </c>
      <c r="AF103" s="1" t="s">
        <v>42</v>
      </c>
    </row>
    <row r="104" spans="1:32" x14ac:dyDescent="0.25">
      <c r="A104" s="1" t="s">
        <v>32</v>
      </c>
      <c r="B104" s="1" t="s">
        <v>33</v>
      </c>
      <c r="C104" s="1" t="s">
        <v>34</v>
      </c>
      <c r="D104" s="1" t="s">
        <v>42</v>
      </c>
      <c r="E104" s="1" t="s">
        <v>197</v>
      </c>
      <c r="F104" s="2">
        <v>46279</v>
      </c>
      <c r="G104" s="1" t="s">
        <v>198</v>
      </c>
      <c r="H104" s="3">
        <v>46279.006944444402</v>
      </c>
      <c r="I104" s="1" t="s">
        <v>199</v>
      </c>
      <c r="J104" s="2">
        <v>46279</v>
      </c>
      <c r="K104" s="3">
        <v>46279.006944444402</v>
      </c>
      <c r="L104" s="1" t="s">
        <v>200</v>
      </c>
      <c r="M104" s="1" t="s">
        <v>40</v>
      </c>
      <c r="N104" s="1" t="s">
        <v>41</v>
      </c>
      <c r="O104" s="1" t="s">
        <v>42</v>
      </c>
      <c r="Q104" s="1" t="s">
        <v>42</v>
      </c>
      <c r="R104" s="1" t="s">
        <v>161</v>
      </c>
      <c r="S104" s="1" t="s">
        <v>162</v>
      </c>
      <c r="T104" s="4">
        <v>300</v>
      </c>
      <c r="U104" s="4">
        <v>300</v>
      </c>
      <c r="V104" s="4">
        <v>300</v>
      </c>
      <c r="Z104" s="1" t="s">
        <v>42</v>
      </c>
      <c r="AD104" s="1" t="s">
        <v>42</v>
      </c>
      <c r="AF104" s="1" t="s">
        <v>42</v>
      </c>
    </row>
    <row r="105" spans="1:32" x14ac:dyDescent="0.25">
      <c r="A105" s="1" t="s">
        <v>32</v>
      </c>
      <c r="B105" s="1" t="s">
        <v>33</v>
      </c>
      <c r="C105" s="1" t="s">
        <v>34</v>
      </c>
      <c r="D105" s="1" t="s">
        <v>42</v>
      </c>
      <c r="E105" s="1" t="s">
        <v>197</v>
      </c>
      <c r="F105" s="2">
        <v>46279</v>
      </c>
      <c r="G105" s="1" t="s">
        <v>198</v>
      </c>
      <c r="H105" s="3">
        <v>46279.006944444402</v>
      </c>
      <c r="I105" s="1" t="s">
        <v>199</v>
      </c>
      <c r="J105" s="2">
        <v>46279</v>
      </c>
      <c r="K105" s="3">
        <v>46279.006944444402</v>
      </c>
      <c r="L105" s="1" t="s">
        <v>200</v>
      </c>
      <c r="M105" s="1" t="s">
        <v>40</v>
      </c>
      <c r="N105" s="1" t="s">
        <v>41</v>
      </c>
      <c r="O105" s="1" t="s">
        <v>42</v>
      </c>
      <c r="Q105" s="1" t="s">
        <v>42</v>
      </c>
      <c r="R105" s="1" t="s">
        <v>163</v>
      </c>
      <c r="S105" s="1" t="s">
        <v>164</v>
      </c>
      <c r="T105" s="4">
        <v>285</v>
      </c>
      <c r="U105" s="4">
        <v>285</v>
      </c>
      <c r="V105" s="4">
        <v>285</v>
      </c>
      <c r="Z105" s="1" t="s">
        <v>42</v>
      </c>
      <c r="AD105" s="1" t="s">
        <v>42</v>
      </c>
      <c r="AF105" s="1" t="s">
        <v>42</v>
      </c>
    </row>
    <row r="106" spans="1:32" x14ac:dyDescent="0.25">
      <c r="A106" s="1" t="s">
        <v>32</v>
      </c>
      <c r="B106" s="1" t="s">
        <v>33</v>
      </c>
      <c r="C106" s="1" t="s">
        <v>34</v>
      </c>
      <c r="D106" s="1" t="s">
        <v>42</v>
      </c>
      <c r="E106" s="1" t="s">
        <v>197</v>
      </c>
      <c r="F106" s="2">
        <v>46279</v>
      </c>
      <c r="G106" s="1" t="s">
        <v>198</v>
      </c>
      <c r="H106" s="3">
        <v>46279.006944444402</v>
      </c>
      <c r="I106" s="1" t="s">
        <v>199</v>
      </c>
      <c r="J106" s="2">
        <v>46279</v>
      </c>
      <c r="K106" s="3">
        <v>46279.006944444402</v>
      </c>
      <c r="L106" s="1" t="s">
        <v>200</v>
      </c>
      <c r="M106" s="1" t="s">
        <v>40</v>
      </c>
      <c r="N106" s="1" t="s">
        <v>41</v>
      </c>
      <c r="O106" s="1" t="s">
        <v>42</v>
      </c>
      <c r="Q106" s="1" t="s">
        <v>42</v>
      </c>
      <c r="R106" s="1" t="s">
        <v>165</v>
      </c>
      <c r="S106" s="1" t="s">
        <v>166</v>
      </c>
      <c r="T106" s="4">
        <v>465</v>
      </c>
      <c r="U106" s="4">
        <v>465</v>
      </c>
      <c r="V106" s="4">
        <v>465</v>
      </c>
      <c r="Z106" s="1" t="s">
        <v>42</v>
      </c>
      <c r="AD106" s="1" t="s">
        <v>42</v>
      </c>
      <c r="AF106" s="1" t="s">
        <v>42</v>
      </c>
    </row>
    <row r="107" spans="1:32" x14ac:dyDescent="0.25">
      <c r="A107" s="1" t="s">
        <v>32</v>
      </c>
      <c r="B107" s="1" t="s">
        <v>33</v>
      </c>
      <c r="C107" s="1" t="s">
        <v>34</v>
      </c>
      <c r="D107" s="1" t="s">
        <v>42</v>
      </c>
      <c r="E107" s="1" t="s">
        <v>197</v>
      </c>
      <c r="F107" s="2">
        <v>46279</v>
      </c>
      <c r="G107" s="1" t="s">
        <v>198</v>
      </c>
      <c r="H107" s="3">
        <v>46279.006944444402</v>
      </c>
      <c r="I107" s="1" t="s">
        <v>199</v>
      </c>
      <c r="J107" s="2">
        <v>46279</v>
      </c>
      <c r="K107" s="3">
        <v>46279.006944444402</v>
      </c>
      <c r="L107" s="1" t="s">
        <v>200</v>
      </c>
      <c r="M107" s="1" t="s">
        <v>40</v>
      </c>
      <c r="N107" s="1" t="s">
        <v>41</v>
      </c>
      <c r="O107" s="1" t="s">
        <v>42</v>
      </c>
      <c r="Q107" s="1" t="s">
        <v>42</v>
      </c>
      <c r="R107" s="1" t="s">
        <v>167</v>
      </c>
      <c r="S107" s="1" t="s">
        <v>168</v>
      </c>
      <c r="T107" s="4">
        <v>165</v>
      </c>
      <c r="U107" s="4">
        <v>165</v>
      </c>
      <c r="V107" s="4">
        <v>165</v>
      </c>
      <c r="Z107" s="1" t="s">
        <v>42</v>
      </c>
      <c r="AD107" s="1" t="s">
        <v>42</v>
      </c>
      <c r="AF107" s="1" t="s">
        <v>42</v>
      </c>
    </row>
    <row r="108" spans="1:32" x14ac:dyDescent="0.25">
      <c r="A108" s="1" t="s">
        <v>32</v>
      </c>
      <c r="B108" s="1" t="s">
        <v>33</v>
      </c>
      <c r="C108" s="1" t="s">
        <v>34</v>
      </c>
      <c r="D108" s="1" t="s">
        <v>42</v>
      </c>
      <c r="E108" s="1" t="s">
        <v>197</v>
      </c>
      <c r="F108" s="2">
        <v>46279</v>
      </c>
      <c r="G108" s="1" t="s">
        <v>198</v>
      </c>
      <c r="H108" s="3">
        <v>46279.006944444402</v>
      </c>
      <c r="I108" s="1" t="s">
        <v>199</v>
      </c>
      <c r="J108" s="2">
        <v>46279</v>
      </c>
      <c r="K108" s="3">
        <v>46279.006944444402</v>
      </c>
      <c r="L108" s="1" t="s">
        <v>200</v>
      </c>
      <c r="M108" s="1" t="s">
        <v>40</v>
      </c>
      <c r="N108" s="1" t="s">
        <v>41</v>
      </c>
      <c r="O108" s="1" t="s">
        <v>42</v>
      </c>
      <c r="Q108" s="1" t="s">
        <v>42</v>
      </c>
      <c r="R108" s="1" t="s">
        <v>169</v>
      </c>
      <c r="S108" s="1" t="s">
        <v>170</v>
      </c>
      <c r="T108" s="4">
        <v>600</v>
      </c>
      <c r="U108" s="4">
        <v>600</v>
      </c>
      <c r="V108" s="4">
        <v>600</v>
      </c>
      <c r="Z108" s="1" t="s">
        <v>42</v>
      </c>
      <c r="AD108" s="1" t="s">
        <v>42</v>
      </c>
      <c r="AF108" s="1" t="s">
        <v>42</v>
      </c>
    </row>
    <row r="109" spans="1:32" x14ac:dyDescent="0.25">
      <c r="A109" s="1" t="s">
        <v>32</v>
      </c>
      <c r="B109" s="1" t="s">
        <v>33</v>
      </c>
      <c r="C109" s="1" t="s">
        <v>34</v>
      </c>
      <c r="D109" s="1" t="s">
        <v>42</v>
      </c>
      <c r="E109" s="1" t="s">
        <v>197</v>
      </c>
      <c r="F109" s="2">
        <v>46279</v>
      </c>
      <c r="G109" s="1" t="s">
        <v>198</v>
      </c>
      <c r="H109" s="3">
        <v>46279.006944444402</v>
      </c>
      <c r="I109" s="1" t="s">
        <v>199</v>
      </c>
      <c r="J109" s="2">
        <v>46279</v>
      </c>
      <c r="K109" s="3">
        <v>46279.006944444402</v>
      </c>
      <c r="L109" s="1" t="s">
        <v>200</v>
      </c>
      <c r="M109" s="1" t="s">
        <v>40</v>
      </c>
      <c r="N109" s="1" t="s">
        <v>41</v>
      </c>
      <c r="O109" s="1" t="s">
        <v>42</v>
      </c>
      <c r="Q109" s="1" t="s">
        <v>42</v>
      </c>
      <c r="R109" s="1" t="s">
        <v>173</v>
      </c>
      <c r="S109" s="1" t="s">
        <v>174</v>
      </c>
      <c r="T109" s="4">
        <v>1008</v>
      </c>
      <c r="U109" s="4">
        <v>1008</v>
      </c>
      <c r="V109" s="4">
        <v>1008</v>
      </c>
      <c r="Z109" s="1" t="s">
        <v>42</v>
      </c>
      <c r="AD109" s="1" t="s">
        <v>42</v>
      </c>
      <c r="AF109" s="1" t="s">
        <v>42</v>
      </c>
    </row>
    <row r="110" spans="1:32" x14ac:dyDescent="0.25">
      <c r="A110" s="1" t="s">
        <v>32</v>
      </c>
      <c r="B110" s="1" t="s">
        <v>33</v>
      </c>
      <c r="C110" s="1" t="s">
        <v>34</v>
      </c>
      <c r="D110" s="1" t="s">
        <v>42</v>
      </c>
      <c r="E110" s="1" t="s">
        <v>197</v>
      </c>
      <c r="F110" s="2">
        <v>46279</v>
      </c>
      <c r="G110" s="1" t="s">
        <v>198</v>
      </c>
      <c r="H110" s="3">
        <v>46279.006944444402</v>
      </c>
      <c r="I110" s="1" t="s">
        <v>199</v>
      </c>
      <c r="J110" s="2">
        <v>46279</v>
      </c>
      <c r="K110" s="3">
        <v>46279.006944444402</v>
      </c>
      <c r="L110" s="1" t="s">
        <v>200</v>
      </c>
      <c r="M110" s="1" t="s">
        <v>40</v>
      </c>
      <c r="N110" s="1" t="s">
        <v>41</v>
      </c>
      <c r="O110" s="1" t="s">
        <v>42</v>
      </c>
      <c r="Q110" s="1" t="s">
        <v>42</v>
      </c>
      <c r="R110" s="1" t="s">
        <v>183</v>
      </c>
      <c r="S110" s="1" t="s">
        <v>184</v>
      </c>
      <c r="T110" s="4">
        <v>190.08</v>
      </c>
      <c r="U110" s="4">
        <v>190.08</v>
      </c>
      <c r="V110" s="4">
        <v>190.08</v>
      </c>
      <c r="Z110" s="1" t="s">
        <v>42</v>
      </c>
      <c r="AD110" s="1" t="s">
        <v>42</v>
      </c>
      <c r="AF110" s="1" t="s">
        <v>42</v>
      </c>
    </row>
    <row r="111" spans="1:32" x14ac:dyDescent="0.25">
      <c r="A111" s="1" t="s">
        <v>32</v>
      </c>
      <c r="B111" s="1" t="s">
        <v>33</v>
      </c>
      <c r="C111" s="1" t="s">
        <v>34</v>
      </c>
      <c r="D111" s="1" t="s">
        <v>42</v>
      </c>
      <c r="E111" s="1" t="s">
        <v>197</v>
      </c>
      <c r="F111" s="2">
        <v>46279</v>
      </c>
      <c r="G111" s="1" t="s">
        <v>198</v>
      </c>
      <c r="H111" s="3">
        <v>46279.006944444402</v>
      </c>
      <c r="I111" s="1" t="s">
        <v>199</v>
      </c>
      <c r="J111" s="2">
        <v>46279</v>
      </c>
      <c r="K111" s="3">
        <v>46279.006944444402</v>
      </c>
      <c r="L111" s="1" t="s">
        <v>200</v>
      </c>
      <c r="M111" s="1" t="s">
        <v>40</v>
      </c>
      <c r="N111" s="1" t="s">
        <v>41</v>
      </c>
      <c r="O111" s="1" t="s">
        <v>42</v>
      </c>
      <c r="Q111" s="1" t="s">
        <v>42</v>
      </c>
      <c r="R111" s="1" t="s">
        <v>185</v>
      </c>
      <c r="S111" s="1" t="s">
        <v>186</v>
      </c>
      <c r="T111" s="4">
        <v>359.04</v>
      </c>
      <c r="U111" s="4">
        <v>359.04</v>
      </c>
      <c r="V111" s="4">
        <v>359.04</v>
      </c>
      <c r="Z111" s="1" t="s">
        <v>42</v>
      </c>
      <c r="AD111" s="1" t="s">
        <v>42</v>
      </c>
      <c r="AF111" s="1" t="s">
        <v>42</v>
      </c>
    </row>
    <row r="112" spans="1:32" x14ac:dyDescent="0.25">
      <c r="A112" s="1" t="s">
        <v>32</v>
      </c>
      <c r="B112" s="1" t="s">
        <v>33</v>
      </c>
      <c r="C112" s="1" t="s">
        <v>34</v>
      </c>
      <c r="D112" s="1" t="s">
        <v>42</v>
      </c>
      <c r="E112" s="1" t="s">
        <v>197</v>
      </c>
      <c r="F112" s="2">
        <v>46279</v>
      </c>
      <c r="G112" s="1" t="s">
        <v>198</v>
      </c>
      <c r="H112" s="3">
        <v>46279.006944444402</v>
      </c>
      <c r="I112" s="1" t="s">
        <v>199</v>
      </c>
      <c r="J112" s="2">
        <v>46279</v>
      </c>
      <c r="K112" s="3">
        <v>46279.006944444402</v>
      </c>
      <c r="L112" s="1" t="s">
        <v>200</v>
      </c>
      <c r="M112" s="1" t="s">
        <v>40</v>
      </c>
      <c r="N112" s="1" t="s">
        <v>41</v>
      </c>
      <c r="O112" s="1" t="s">
        <v>42</v>
      </c>
      <c r="Q112" s="1" t="s">
        <v>42</v>
      </c>
      <c r="R112" s="1" t="s">
        <v>187</v>
      </c>
      <c r="S112" s="1" t="s">
        <v>188</v>
      </c>
      <c r="T112" s="4">
        <v>237.6</v>
      </c>
      <c r="U112" s="4">
        <v>237.6</v>
      </c>
      <c r="V112" s="4">
        <v>237.6</v>
      </c>
      <c r="Z112" s="1" t="s">
        <v>42</v>
      </c>
      <c r="AD112" s="1" t="s">
        <v>42</v>
      </c>
      <c r="AF112" s="1" t="s">
        <v>42</v>
      </c>
    </row>
    <row r="113" spans="1:32" x14ac:dyDescent="0.25">
      <c r="A113" s="1" t="s">
        <v>32</v>
      </c>
      <c r="B113" s="1" t="s">
        <v>33</v>
      </c>
      <c r="C113" s="1" t="s">
        <v>34</v>
      </c>
      <c r="D113" s="1" t="s">
        <v>42</v>
      </c>
      <c r="E113" s="1" t="s">
        <v>197</v>
      </c>
      <c r="F113" s="2">
        <v>46279</v>
      </c>
      <c r="G113" s="1" t="s">
        <v>198</v>
      </c>
      <c r="H113" s="3">
        <v>46279.006944444402</v>
      </c>
      <c r="I113" s="1" t="s">
        <v>199</v>
      </c>
      <c r="J113" s="2">
        <v>46279</v>
      </c>
      <c r="K113" s="3">
        <v>46279.006944444402</v>
      </c>
      <c r="L113" s="1" t="s">
        <v>200</v>
      </c>
      <c r="M113" s="1" t="s">
        <v>40</v>
      </c>
      <c r="N113" s="1" t="s">
        <v>41</v>
      </c>
      <c r="O113" s="1" t="s">
        <v>42</v>
      </c>
      <c r="Q113" s="1" t="s">
        <v>42</v>
      </c>
      <c r="R113" s="1" t="s">
        <v>220</v>
      </c>
      <c r="S113" s="1" t="s">
        <v>221</v>
      </c>
      <c r="T113" s="4">
        <v>269.27999999999997</v>
      </c>
      <c r="U113" s="4">
        <v>269.27999999999997</v>
      </c>
      <c r="V113" s="4">
        <v>269.27999999999997</v>
      </c>
      <c r="Z113" s="1" t="s">
        <v>42</v>
      </c>
      <c r="AD113" s="1" t="s">
        <v>42</v>
      </c>
      <c r="AF113" s="1" t="s">
        <v>42</v>
      </c>
    </row>
    <row r="114" spans="1:32" x14ac:dyDescent="0.25">
      <c r="A114" s="1" t="s">
        <v>32</v>
      </c>
      <c r="B114" s="1" t="s">
        <v>33</v>
      </c>
      <c r="C114" s="1" t="s">
        <v>34</v>
      </c>
      <c r="D114" s="1" t="s">
        <v>42</v>
      </c>
      <c r="E114" s="1" t="s">
        <v>197</v>
      </c>
      <c r="F114" s="2">
        <v>46279</v>
      </c>
      <c r="G114" s="1" t="s">
        <v>198</v>
      </c>
      <c r="H114" s="3">
        <v>46279.006944444402</v>
      </c>
      <c r="I114" s="1" t="s">
        <v>199</v>
      </c>
      <c r="J114" s="2">
        <v>46279</v>
      </c>
      <c r="K114" s="3">
        <v>46279.006944444402</v>
      </c>
      <c r="L114" s="1" t="s">
        <v>200</v>
      </c>
      <c r="M114" s="1" t="s">
        <v>40</v>
      </c>
      <c r="N114" s="1" t="s">
        <v>41</v>
      </c>
      <c r="O114" s="1" t="s">
        <v>42</v>
      </c>
      <c r="Q114" s="1" t="s">
        <v>42</v>
      </c>
      <c r="R114" s="1" t="s">
        <v>189</v>
      </c>
      <c r="S114" s="1" t="s">
        <v>190</v>
      </c>
      <c r="T114" s="4">
        <v>163.68</v>
      </c>
      <c r="U114" s="4">
        <v>163.68</v>
      </c>
      <c r="V114" s="4">
        <v>163.68</v>
      </c>
      <c r="Z114" s="1" t="s">
        <v>42</v>
      </c>
      <c r="AD114" s="1" t="s">
        <v>42</v>
      </c>
      <c r="AF114" s="1" t="s">
        <v>42</v>
      </c>
    </row>
    <row r="115" spans="1:32" x14ac:dyDescent="0.25">
      <c r="A115" s="1" t="s">
        <v>32</v>
      </c>
      <c r="B115" s="1" t="s">
        <v>33</v>
      </c>
      <c r="C115" s="1" t="s">
        <v>34</v>
      </c>
      <c r="D115" s="1" t="s">
        <v>42</v>
      </c>
      <c r="E115" s="1" t="s">
        <v>197</v>
      </c>
      <c r="F115" s="2">
        <v>46279</v>
      </c>
      <c r="G115" s="1" t="s">
        <v>198</v>
      </c>
      <c r="H115" s="3">
        <v>46279.006944444402</v>
      </c>
      <c r="I115" s="1" t="s">
        <v>199</v>
      </c>
      <c r="J115" s="2">
        <v>46279</v>
      </c>
      <c r="K115" s="3">
        <v>46279.006944444402</v>
      </c>
      <c r="L115" s="1" t="s">
        <v>200</v>
      </c>
      <c r="M115" s="1" t="s">
        <v>40</v>
      </c>
      <c r="N115" s="1" t="s">
        <v>41</v>
      </c>
      <c r="O115" s="1" t="s">
        <v>42</v>
      </c>
      <c r="Q115" s="1" t="s">
        <v>42</v>
      </c>
      <c r="R115" s="1" t="s">
        <v>222</v>
      </c>
      <c r="S115" s="1" t="s">
        <v>223</v>
      </c>
      <c r="T115" s="4">
        <v>39.6</v>
      </c>
      <c r="U115" s="4">
        <v>39.6</v>
      </c>
      <c r="V115" s="4">
        <v>39.6</v>
      </c>
      <c r="Z115" s="1" t="s">
        <v>42</v>
      </c>
      <c r="AD115" s="1" t="s">
        <v>42</v>
      </c>
      <c r="AF115" s="1" t="s">
        <v>42</v>
      </c>
    </row>
    <row r="116" spans="1:32" x14ac:dyDescent="0.25">
      <c r="A116" s="1" t="s">
        <v>32</v>
      </c>
      <c r="B116" s="1" t="s">
        <v>33</v>
      </c>
      <c r="C116" s="1" t="s">
        <v>34</v>
      </c>
      <c r="D116" s="1" t="s">
        <v>42</v>
      </c>
      <c r="E116" s="1" t="s">
        <v>224</v>
      </c>
      <c r="F116" s="2">
        <v>46279</v>
      </c>
      <c r="G116" s="1" t="s">
        <v>225</v>
      </c>
      <c r="H116" s="3">
        <v>46279.006944444402</v>
      </c>
      <c r="I116" s="1" t="s">
        <v>199</v>
      </c>
      <c r="J116" s="2">
        <v>46279</v>
      </c>
      <c r="K116" s="3">
        <v>46279.006944444402</v>
      </c>
      <c r="L116" s="1" t="s">
        <v>200</v>
      </c>
      <c r="M116" s="1" t="s">
        <v>40</v>
      </c>
      <c r="N116" s="1" t="s">
        <v>41</v>
      </c>
      <c r="O116" s="1" t="s">
        <v>42</v>
      </c>
      <c r="Q116" s="1" t="s">
        <v>42</v>
      </c>
      <c r="R116" s="1" t="s">
        <v>147</v>
      </c>
      <c r="S116" s="1" t="s">
        <v>148</v>
      </c>
      <c r="T116" s="4">
        <v>249.6</v>
      </c>
      <c r="U116" s="4">
        <v>249.6</v>
      </c>
      <c r="V116" s="4">
        <v>249.6</v>
      </c>
      <c r="Z116" s="1" t="s">
        <v>42</v>
      </c>
      <c r="AD116" s="1" t="s">
        <v>42</v>
      </c>
      <c r="AF116" s="1" t="s">
        <v>42</v>
      </c>
    </row>
    <row r="117" spans="1:32" x14ac:dyDescent="0.25">
      <c r="A117" s="1" t="s">
        <v>32</v>
      </c>
      <c r="B117" s="1" t="s">
        <v>33</v>
      </c>
      <c r="C117" s="1" t="s">
        <v>34</v>
      </c>
      <c r="D117" s="1" t="s">
        <v>42</v>
      </c>
      <c r="E117" s="1" t="s">
        <v>224</v>
      </c>
      <c r="F117" s="2">
        <v>46279</v>
      </c>
      <c r="G117" s="1" t="s">
        <v>225</v>
      </c>
      <c r="H117" s="3">
        <v>46279.006944444402</v>
      </c>
      <c r="I117" s="1" t="s">
        <v>199</v>
      </c>
      <c r="J117" s="2">
        <v>46279</v>
      </c>
      <c r="K117" s="3">
        <v>46279.006944444402</v>
      </c>
      <c r="L117" s="1" t="s">
        <v>200</v>
      </c>
      <c r="M117" s="1" t="s">
        <v>40</v>
      </c>
      <c r="N117" s="1" t="s">
        <v>41</v>
      </c>
      <c r="O117" s="1" t="s">
        <v>42</v>
      </c>
      <c r="Q117" s="1" t="s">
        <v>42</v>
      </c>
      <c r="R117" s="1" t="s">
        <v>161</v>
      </c>
      <c r="S117" s="1" t="s">
        <v>162</v>
      </c>
      <c r="T117" s="4">
        <v>120</v>
      </c>
      <c r="U117" s="4">
        <v>120</v>
      </c>
      <c r="V117" s="4">
        <v>120</v>
      </c>
      <c r="Z117" s="1" t="s">
        <v>42</v>
      </c>
      <c r="AD117" s="1" t="s">
        <v>42</v>
      </c>
      <c r="AF117" s="1" t="s">
        <v>42</v>
      </c>
    </row>
    <row r="118" spans="1:32" x14ac:dyDescent="0.25">
      <c r="A118" s="1" t="s">
        <v>32</v>
      </c>
      <c r="B118" s="1" t="s">
        <v>33</v>
      </c>
      <c r="C118" s="1" t="s">
        <v>34</v>
      </c>
      <c r="D118" s="1" t="s">
        <v>42</v>
      </c>
      <c r="E118" s="1" t="s">
        <v>224</v>
      </c>
      <c r="F118" s="2">
        <v>46279</v>
      </c>
      <c r="G118" s="1" t="s">
        <v>225</v>
      </c>
      <c r="H118" s="3">
        <v>46279.006944444402</v>
      </c>
      <c r="I118" s="1" t="s">
        <v>199</v>
      </c>
      <c r="J118" s="2">
        <v>46279</v>
      </c>
      <c r="K118" s="3">
        <v>46279.006944444402</v>
      </c>
      <c r="L118" s="1" t="s">
        <v>200</v>
      </c>
      <c r="M118" s="1" t="s">
        <v>40</v>
      </c>
      <c r="N118" s="1" t="s">
        <v>41</v>
      </c>
      <c r="O118" s="1" t="s">
        <v>42</v>
      </c>
      <c r="Q118" s="1" t="s">
        <v>42</v>
      </c>
      <c r="R118" s="1" t="s">
        <v>165</v>
      </c>
      <c r="S118" s="1" t="s">
        <v>166</v>
      </c>
      <c r="T118" s="4">
        <v>120</v>
      </c>
      <c r="U118" s="4">
        <v>120</v>
      </c>
      <c r="V118" s="4">
        <v>120</v>
      </c>
      <c r="Z118" s="1" t="s">
        <v>42</v>
      </c>
      <c r="AD118" s="1" t="s">
        <v>42</v>
      </c>
      <c r="AF118" s="1" t="s">
        <v>42</v>
      </c>
    </row>
    <row r="119" spans="1:32" x14ac:dyDescent="0.25">
      <c r="A119" s="1" t="s">
        <v>32</v>
      </c>
      <c r="B119" s="1" t="s">
        <v>33</v>
      </c>
      <c r="C119" s="1" t="s">
        <v>34</v>
      </c>
      <c r="D119" s="1" t="s">
        <v>42</v>
      </c>
      <c r="E119" s="1" t="s">
        <v>224</v>
      </c>
      <c r="F119" s="2">
        <v>46279</v>
      </c>
      <c r="G119" s="1" t="s">
        <v>225</v>
      </c>
      <c r="H119" s="3">
        <v>46279.006944444402</v>
      </c>
      <c r="I119" s="1" t="s">
        <v>199</v>
      </c>
      <c r="J119" s="2">
        <v>46279</v>
      </c>
      <c r="K119" s="3">
        <v>46279.006944444402</v>
      </c>
      <c r="L119" s="1" t="s">
        <v>200</v>
      </c>
      <c r="M119" s="1" t="s">
        <v>40</v>
      </c>
      <c r="N119" s="1" t="s">
        <v>41</v>
      </c>
      <c r="O119" s="1" t="s">
        <v>42</v>
      </c>
      <c r="Q119" s="1" t="s">
        <v>42</v>
      </c>
      <c r="R119" s="1" t="s">
        <v>173</v>
      </c>
      <c r="S119" s="1" t="s">
        <v>174</v>
      </c>
      <c r="T119" s="4">
        <v>288</v>
      </c>
      <c r="U119" s="4">
        <v>288</v>
      </c>
      <c r="V119" s="4">
        <v>288</v>
      </c>
      <c r="Z119" s="1" t="s">
        <v>42</v>
      </c>
      <c r="AD119" s="1" t="s">
        <v>42</v>
      </c>
      <c r="AF119" s="1" t="s">
        <v>42</v>
      </c>
    </row>
    <row r="120" spans="1:32" x14ac:dyDescent="0.25">
      <c r="A120" s="1" t="s">
        <v>32</v>
      </c>
      <c r="B120" s="1" t="s">
        <v>33</v>
      </c>
      <c r="C120" s="1" t="s">
        <v>34</v>
      </c>
      <c r="D120" s="1" t="s">
        <v>42</v>
      </c>
      <c r="E120" s="1" t="s">
        <v>224</v>
      </c>
      <c r="F120" s="2">
        <v>46279</v>
      </c>
      <c r="G120" s="1" t="s">
        <v>225</v>
      </c>
      <c r="H120" s="3">
        <v>46279.006944444402</v>
      </c>
      <c r="I120" s="1" t="s">
        <v>199</v>
      </c>
      <c r="J120" s="2">
        <v>46279</v>
      </c>
      <c r="K120" s="3">
        <v>46279.006944444402</v>
      </c>
      <c r="L120" s="1" t="s">
        <v>200</v>
      </c>
      <c r="M120" s="1" t="s">
        <v>40</v>
      </c>
      <c r="N120" s="1" t="s">
        <v>41</v>
      </c>
      <c r="O120" s="1" t="s">
        <v>42</v>
      </c>
      <c r="Q120" s="1" t="s">
        <v>42</v>
      </c>
      <c r="R120" s="1" t="s">
        <v>175</v>
      </c>
      <c r="S120" s="1" t="s">
        <v>176</v>
      </c>
      <c r="T120" s="4">
        <v>100.8</v>
      </c>
      <c r="W120" s="4">
        <v>-100.8</v>
      </c>
      <c r="X120" s="1" t="s">
        <v>67</v>
      </c>
      <c r="Y120" s="1" t="s">
        <v>68</v>
      </c>
      <c r="Z120" s="1" t="s">
        <v>42</v>
      </c>
      <c r="AD120" s="1" t="s">
        <v>42</v>
      </c>
      <c r="AF120" s="1" t="s">
        <v>42</v>
      </c>
    </row>
    <row r="121" spans="1:32" x14ac:dyDescent="0.25">
      <c r="A121" s="1" t="s">
        <v>32</v>
      </c>
      <c r="B121" s="1" t="s">
        <v>33</v>
      </c>
      <c r="C121" s="1" t="s">
        <v>34</v>
      </c>
      <c r="D121" s="1" t="s">
        <v>42</v>
      </c>
      <c r="E121" s="1" t="s">
        <v>224</v>
      </c>
      <c r="F121" s="2">
        <v>46279</v>
      </c>
      <c r="G121" s="1" t="s">
        <v>225</v>
      </c>
      <c r="H121" s="3">
        <v>46279.006944444402</v>
      </c>
      <c r="I121" s="1" t="s">
        <v>199</v>
      </c>
      <c r="J121" s="2">
        <v>46279</v>
      </c>
      <c r="K121" s="3">
        <v>46279.006944444402</v>
      </c>
      <c r="L121" s="1" t="s">
        <v>200</v>
      </c>
      <c r="M121" s="1" t="s">
        <v>40</v>
      </c>
      <c r="N121" s="1" t="s">
        <v>41</v>
      </c>
      <c r="O121" s="1" t="s">
        <v>42</v>
      </c>
      <c r="Q121" s="1" t="s">
        <v>42</v>
      </c>
      <c r="R121" s="1" t="s">
        <v>201</v>
      </c>
      <c r="S121" s="1" t="s">
        <v>202</v>
      </c>
      <c r="T121" s="4">
        <v>86.4</v>
      </c>
      <c r="U121" s="4">
        <v>86.4</v>
      </c>
      <c r="V121" s="4">
        <v>86.4</v>
      </c>
      <c r="Z121" s="1" t="s">
        <v>42</v>
      </c>
      <c r="AD121" s="1" t="s">
        <v>42</v>
      </c>
      <c r="AF121" s="1" t="s">
        <v>42</v>
      </c>
    </row>
    <row r="122" spans="1:32" x14ac:dyDescent="0.25">
      <c r="A122" s="1" t="s">
        <v>32</v>
      </c>
      <c r="B122" s="1" t="s">
        <v>33</v>
      </c>
      <c r="C122" s="1" t="s">
        <v>34</v>
      </c>
      <c r="D122" s="1" t="s">
        <v>42</v>
      </c>
      <c r="E122" s="1" t="s">
        <v>226</v>
      </c>
      <c r="F122" s="2">
        <v>46279</v>
      </c>
      <c r="G122" s="1" t="s">
        <v>227</v>
      </c>
      <c r="H122" s="3">
        <v>46279.006944444402</v>
      </c>
      <c r="I122" s="1" t="s">
        <v>199</v>
      </c>
      <c r="J122" s="2">
        <v>46279</v>
      </c>
      <c r="K122" s="3">
        <v>46279.006944444402</v>
      </c>
      <c r="L122" s="1" t="s">
        <v>200</v>
      </c>
      <c r="M122" s="1" t="s">
        <v>40</v>
      </c>
      <c r="N122" s="1" t="s">
        <v>41</v>
      </c>
      <c r="O122" s="1" t="s">
        <v>42</v>
      </c>
      <c r="Q122" s="1" t="s">
        <v>42</v>
      </c>
      <c r="R122" s="1" t="s">
        <v>228</v>
      </c>
      <c r="S122" s="1" t="s">
        <v>229</v>
      </c>
      <c r="T122" s="4">
        <v>89.6</v>
      </c>
      <c r="U122" s="4">
        <v>89.6</v>
      </c>
      <c r="V122" s="4">
        <v>89.6</v>
      </c>
      <c r="Z122" s="1" t="s">
        <v>42</v>
      </c>
      <c r="AD122" s="1" t="s">
        <v>42</v>
      </c>
      <c r="AF122" s="1" t="s">
        <v>42</v>
      </c>
    </row>
    <row r="123" spans="1:32" x14ac:dyDescent="0.25">
      <c r="A123" s="1" t="s">
        <v>32</v>
      </c>
      <c r="B123" s="1" t="s">
        <v>33</v>
      </c>
      <c r="C123" s="1" t="s">
        <v>34</v>
      </c>
      <c r="D123" s="1" t="s">
        <v>42</v>
      </c>
      <c r="E123" s="1" t="s">
        <v>226</v>
      </c>
      <c r="F123" s="2">
        <v>46279</v>
      </c>
      <c r="G123" s="1" t="s">
        <v>227</v>
      </c>
      <c r="H123" s="3">
        <v>46279.006944444402</v>
      </c>
      <c r="I123" s="1" t="s">
        <v>199</v>
      </c>
      <c r="J123" s="2">
        <v>46279</v>
      </c>
      <c r="K123" s="3">
        <v>46279.006944444402</v>
      </c>
      <c r="L123" s="1" t="s">
        <v>200</v>
      </c>
      <c r="M123" s="1" t="s">
        <v>40</v>
      </c>
      <c r="N123" s="1" t="s">
        <v>41</v>
      </c>
      <c r="O123" s="1" t="s">
        <v>42</v>
      </c>
      <c r="Q123" s="1" t="s">
        <v>42</v>
      </c>
      <c r="R123" s="1" t="s">
        <v>201</v>
      </c>
      <c r="S123" s="1" t="s">
        <v>202</v>
      </c>
      <c r="T123" s="4">
        <v>259.2</v>
      </c>
      <c r="U123" s="4">
        <v>259.2</v>
      </c>
      <c r="V123" s="4">
        <v>259.2</v>
      </c>
      <c r="Z123" s="1" t="s">
        <v>42</v>
      </c>
      <c r="AD123" s="1" t="s">
        <v>42</v>
      </c>
      <c r="AF123" s="1" t="s">
        <v>42</v>
      </c>
    </row>
    <row r="124" spans="1:32" x14ac:dyDescent="0.25">
      <c r="A124" s="1" t="s">
        <v>32</v>
      </c>
      <c r="B124" s="1" t="s">
        <v>33</v>
      </c>
      <c r="C124" s="1" t="s">
        <v>34</v>
      </c>
      <c r="D124" s="1" t="s">
        <v>42</v>
      </c>
      <c r="E124" s="1" t="s">
        <v>226</v>
      </c>
      <c r="F124" s="2">
        <v>46279</v>
      </c>
      <c r="G124" s="1" t="s">
        <v>227</v>
      </c>
      <c r="H124" s="3">
        <v>46279.006944444402</v>
      </c>
      <c r="I124" s="1" t="s">
        <v>199</v>
      </c>
      <c r="J124" s="2">
        <v>46279</v>
      </c>
      <c r="K124" s="3">
        <v>46279.006944444402</v>
      </c>
      <c r="L124" s="1" t="s">
        <v>200</v>
      </c>
      <c r="M124" s="1" t="s">
        <v>40</v>
      </c>
      <c r="N124" s="1" t="s">
        <v>41</v>
      </c>
      <c r="O124" s="1" t="s">
        <v>42</v>
      </c>
      <c r="Q124" s="1" t="s">
        <v>42</v>
      </c>
      <c r="R124" s="1" t="s">
        <v>230</v>
      </c>
      <c r="S124" s="1" t="s">
        <v>231</v>
      </c>
      <c r="T124" s="4">
        <v>172.8</v>
      </c>
      <c r="U124" s="4">
        <v>172.8</v>
      </c>
      <c r="V124" s="4">
        <v>172.8</v>
      </c>
      <c r="Z124" s="1" t="s">
        <v>42</v>
      </c>
      <c r="AD124" s="1" t="s">
        <v>42</v>
      </c>
      <c r="AF124" s="1" t="s">
        <v>42</v>
      </c>
    </row>
    <row r="125" spans="1:32" x14ac:dyDescent="0.25">
      <c r="A125" s="1" t="s">
        <v>32</v>
      </c>
      <c r="B125" s="1" t="s">
        <v>33</v>
      </c>
      <c r="C125" s="1" t="s">
        <v>34</v>
      </c>
      <c r="D125" s="1" t="s">
        <v>42</v>
      </c>
      <c r="E125" s="1" t="s">
        <v>226</v>
      </c>
      <c r="F125" s="2">
        <v>46279</v>
      </c>
      <c r="G125" s="1" t="s">
        <v>227</v>
      </c>
      <c r="H125" s="3">
        <v>46279.006944444402</v>
      </c>
      <c r="I125" s="1" t="s">
        <v>199</v>
      </c>
      <c r="J125" s="2">
        <v>46279</v>
      </c>
      <c r="K125" s="3">
        <v>46279.006944444402</v>
      </c>
      <c r="L125" s="1" t="s">
        <v>200</v>
      </c>
      <c r="M125" s="1" t="s">
        <v>40</v>
      </c>
      <c r="N125" s="1" t="s">
        <v>41</v>
      </c>
      <c r="O125" s="1" t="s">
        <v>42</v>
      </c>
      <c r="Q125" s="1" t="s">
        <v>42</v>
      </c>
      <c r="R125" s="1" t="s">
        <v>47</v>
      </c>
      <c r="S125" s="1" t="s">
        <v>48</v>
      </c>
      <c r="T125" s="4">
        <v>124.8</v>
      </c>
      <c r="U125" s="4">
        <v>124.8</v>
      </c>
      <c r="V125" s="4">
        <v>124.8</v>
      </c>
      <c r="Z125" s="1" t="s">
        <v>42</v>
      </c>
      <c r="AD125" s="1" t="s">
        <v>42</v>
      </c>
      <c r="AF125" s="1" t="s">
        <v>42</v>
      </c>
    </row>
    <row r="126" spans="1:32" x14ac:dyDescent="0.25">
      <c r="A126" s="1" t="s">
        <v>32</v>
      </c>
      <c r="B126" s="1" t="s">
        <v>33</v>
      </c>
      <c r="C126" s="1" t="s">
        <v>34</v>
      </c>
      <c r="D126" s="1" t="s">
        <v>42</v>
      </c>
      <c r="E126" s="1" t="s">
        <v>226</v>
      </c>
      <c r="F126" s="2">
        <v>46279</v>
      </c>
      <c r="G126" s="1" t="s">
        <v>227</v>
      </c>
      <c r="H126" s="3">
        <v>46279.006944444402</v>
      </c>
      <c r="I126" s="1" t="s">
        <v>199</v>
      </c>
      <c r="J126" s="2">
        <v>46279</v>
      </c>
      <c r="K126" s="3">
        <v>46279.006944444402</v>
      </c>
      <c r="L126" s="1" t="s">
        <v>200</v>
      </c>
      <c r="M126" s="1" t="s">
        <v>40</v>
      </c>
      <c r="N126" s="1" t="s">
        <v>41</v>
      </c>
      <c r="O126" s="1" t="s">
        <v>42</v>
      </c>
      <c r="Q126" s="1" t="s">
        <v>42</v>
      </c>
      <c r="R126" s="1" t="s">
        <v>49</v>
      </c>
      <c r="S126" s="1" t="s">
        <v>50</v>
      </c>
      <c r="T126" s="4">
        <v>259.2</v>
      </c>
      <c r="U126" s="4">
        <v>259.2</v>
      </c>
      <c r="V126" s="4">
        <v>259.2</v>
      </c>
      <c r="Z126" s="1" t="s">
        <v>42</v>
      </c>
      <c r="AD126" s="1" t="s">
        <v>42</v>
      </c>
      <c r="AF126" s="1" t="s">
        <v>42</v>
      </c>
    </row>
    <row r="127" spans="1:32" x14ac:dyDescent="0.25">
      <c r="A127" s="1" t="s">
        <v>32</v>
      </c>
      <c r="B127" s="1" t="s">
        <v>33</v>
      </c>
      <c r="C127" s="1" t="s">
        <v>34</v>
      </c>
      <c r="D127" s="1" t="s">
        <v>42</v>
      </c>
      <c r="E127" s="1" t="s">
        <v>226</v>
      </c>
      <c r="F127" s="2">
        <v>46279</v>
      </c>
      <c r="G127" s="1" t="s">
        <v>227</v>
      </c>
      <c r="H127" s="3">
        <v>46279.006944444402</v>
      </c>
      <c r="I127" s="1" t="s">
        <v>199</v>
      </c>
      <c r="J127" s="2">
        <v>46279</v>
      </c>
      <c r="K127" s="3">
        <v>46279.006944444402</v>
      </c>
      <c r="L127" s="1" t="s">
        <v>200</v>
      </c>
      <c r="M127" s="1" t="s">
        <v>40</v>
      </c>
      <c r="N127" s="1" t="s">
        <v>41</v>
      </c>
      <c r="O127" s="1" t="s">
        <v>42</v>
      </c>
      <c r="Q127" s="1" t="s">
        <v>42</v>
      </c>
      <c r="R127" s="1" t="s">
        <v>51</v>
      </c>
      <c r="S127" s="1" t="s">
        <v>52</v>
      </c>
      <c r="T127" s="4">
        <v>129.6</v>
      </c>
      <c r="U127" s="4">
        <v>129.6</v>
      </c>
      <c r="V127" s="4">
        <v>129.6</v>
      </c>
      <c r="Z127" s="1" t="s">
        <v>42</v>
      </c>
      <c r="AD127" s="1" t="s">
        <v>42</v>
      </c>
      <c r="AF127" s="1" t="s">
        <v>42</v>
      </c>
    </row>
    <row r="128" spans="1:32" x14ac:dyDescent="0.25">
      <c r="A128" s="1" t="s">
        <v>32</v>
      </c>
      <c r="B128" s="1" t="s">
        <v>33</v>
      </c>
      <c r="C128" s="1" t="s">
        <v>34</v>
      </c>
      <c r="D128" s="1" t="s">
        <v>42</v>
      </c>
      <c r="E128" s="1" t="s">
        <v>226</v>
      </c>
      <c r="F128" s="2">
        <v>46279</v>
      </c>
      <c r="G128" s="1" t="s">
        <v>227</v>
      </c>
      <c r="H128" s="3">
        <v>46279.006944444402</v>
      </c>
      <c r="I128" s="1" t="s">
        <v>199</v>
      </c>
      <c r="J128" s="2">
        <v>46279</v>
      </c>
      <c r="K128" s="3">
        <v>46279.006944444402</v>
      </c>
      <c r="L128" s="1" t="s">
        <v>200</v>
      </c>
      <c r="M128" s="1" t="s">
        <v>40</v>
      </c>
      <c r="N128" s="1" t="s">
        <v>41</v>
      </c>
      <c r="O128" s="1" t="s">
        <v>42</v>
      </c>
      <c r="Q128" s="1" t="s">
        <v>42</v>
      </c>
      <c r="R128" s="1" t="s">
        <v>53</v>
      </c>
      <c r="S128" s="1" t="s">
        <v>54</v>
      </c>
      <c r="T128" s="4">
        <v>37.799999999999997</v>
      </c>
      <c r="U128" s="4">
        <v>37.799999999999997</v>
      </c>
      <c r="V128" s="4">
        <v>37.799999999999997</v>
      </c>
      <c r="Z128" s="1" t="s">
        <v>42</v>
      </c>
      <c r="AD128" s="1" t="s">
        <v>42</v>
      </c>
      <c r="AF128" s="1" t="s">
        <v>42</v>
      </c>
    </row>
    <row r="129" spans="1:32" x14ac:dyDescent="0.25">
      <c r="A129" s="1" t="s">
        <v>32</v>
      </c>
      <c r="B129" s="1" t="s">
        <v>33</v>
      </c>
      <c r="C129" s="1" t="s">
        <v>34</v>
      </c>
      <c r="D129" s="1" t="s">
        <v>42</v>
      </c>
      <c r="E129" s="1" t="s">
        <v>226</v>
      </c>
      <c r="F129" s="2">
        <v>46279</v>
      </c>
      <c r="G129" s="1" t="s">
        <v>227</v>
      </c>
      <c r="H129" s="3">
        <v>46279.006944444402</v>
      </c>
      <c r="I129" s="1" t="s">
        <v>199</v>
      </c>
      <c r="J129" s="2">
        <v>46279</v>
      </c>
      <c r="K129" s="3">
        <v>46279.006944444402</v>
      </c>
      <c r="L129" s="1" t="s">
        <v>200</v>
      </c>
      <c r="M129" s="1" t="s">
        <v>40</v>
      </c>
      <c r="N129" s="1" t="s">
        <v>41</v>
      </c>
      <c r="O129" s="1" t="s">
        <v>42</v>
      </c>
      <c r="Q129" s="1" t="s">
        <v>42</v>
      </c>
      <c r="R129" s="1" t="s">
        <v>205</v>
      </c>
      <c r="S129" s="1" t="s">
        <v>206</v>
      </c>
      <c r="T129" s="4">
        <v>518.4</v>
      </c>
      <c r="U129" s="4">
        <v>518.4</v>
      </c>
      <c r="V129" s="4">
        <v>518.4</v>
      </c>
      <c r="Z129" s="1" t="s">
        <v>42</v>
      </c>
      <c r="AD129" s="1" t="s">
        <v>42</v>
      </c>
      <c r="AF129" s="1" t="s">
        <v>42</v>
      </c>
    </row>
    <row r="130" spans="1:32" x14ac:dyDescent="0.25">
      <c r="A130" s="1" t="s">
        <v>32</v>
      </c>
      <c r="B130" s="1" t="s">
        <v>33</v>
      </c>
      <c r="C130" s="1" t="s">
        <v>34</v>
      </c>
      <c r="D130" s="1" t="s">
        <v>42</v>
      </c>
      <c r="E130" s="1" t="s">
        <v>226</v>
      </c>
      <c r="F130" s="2">
        <v>46279</v>
      </c>
      <c r="G130" s="1" t="s">
        <v>227</v>
      </c>
      <c r="H130" s="3">
        <v>46279.006944444402</v>
      </c>
      <c r="I130" s="1" t="s">
        <v>199</v>
      </c>
      <c r="J130" s="2">
        <v>46279</v>
      </c>
      <c r="K130" s="3">
        <v>46279.006944444402</v>
      </c>
      <c r="L130" s="1" t="s">
        <v>200</v>
      </c>
      <c r="M130" s="1" t="s">
        <v>40</v>
      </c>
      <c r="N130" s="1" t="s">
        <v>41</v>
      </c>
      <c r="O130" s="1" t="s">
        <v>42</v>
      </c>
      <c r="Q130" s="1" t="s">
        <v>42</v>
      </c>
      <c r="R130" s="1" t="s">
        <v>55</v>
      </c>
      <c r="S130" s="1" t="s">
        <v>56</v>
      </c>
      <c r="T130" s="4">
        <v>259.2</v>
      </c>
      <c r="U130" s="4">
        <v>259.2</v>
      </c>
      <c r="V130" s="4">
        <v>259.2</v>
      </c>
      <c r="Z130" s="1" t="s">
        <v>42</v>
      </c>
      <c r="AD130" s="1" t="s">
        <v>42</v>
      </c>
      <c r="AF130" s="1" t="s">
        <v>42</v>
      </c>
    </row>
    <row r="131" spans="1:32" x14ac:dyDescent="0.25">
      <c r="A131" s="1" t="s">
        <v>32</v>
      </c>
      <c r="B131" s="1" t="s">
        <v>33</v>
      </c>
      <c r="C131" s="1" t="s">
        <v>34</v>
      </c>
      <c r="D131" s="1" t="s">
        <v>42</v>
      </c>
      <c r="E131" s="1" t="s">
        <v>226</v>
      </c>
      <c r="F131" s="2">
        <v>46279</v>
      </c>
      <c r="G131" s="1" t="s">
        <v>227</v>
      </c>
      <c r="H131" s="3">
        <v>46279.006944444402</v>
      </c>
      <c r="I131" s="1" t="s">
        <v>199</v>
      </c>
      <c r="J131" s="2">
        <v>46279</v>
      </c>
      <c r="K131" s="3">
        <v>46279.006944444402</v>
      </c>
      <c r="L131" s="1" t="s">
        <v>200</v>
      </c>
      <c r="M131" s="1" t="s">
        <v>40</v>
      </c>
      <c r="N131" s="1" t="s">
        <v>41</v>
      </c>
      <c r="O131" s="1" t="s">
        <v>42</v>
      </c>
      <c r="Q131" s="1" t="s">
        <v>42</v>
      </c>
      <c r="R131" s="1" t="s">
        <v>57</v>
      </c>
      <c r="S131" s="1" t="s">
        <v>58</v>
      </c>
      <c r="T131" s="4">
        <v>32.4</v>
      </c>
      <c r="U131" s="4">
        <v>32.4</v>
      </c>
      <c r="V131" s="4">
        <v>32.4</v>
      </c>
      <c r="Z131" s="1" t="s">
        <v>42</v>
      </c>
      <c r="AD131" s="1" t="s">
        <v>42</v>
      </c>
      <c r="AF131" s="1" t="s">
        <v>42</v>
      </c>
    </row>
    <row r="132" spans="1:32" x14ac:dyDescent="0.25">
      <c r="A132" s="1" t="s">
        <v>32</v>
      </c>
      <c r="B132" s="1" t="s">
        <v>33</v>
      </c>
      <c r="C132" s="1" t="s">
        <v>34</v>
      </c>
      <c r="D132" s="1" t="s">
        <v>42</v>
      </c>
      <c r="E132" s="1" t="s">
        <v>226</v>
      </c>
      <c r="F132" s="2">
        <v>46279</v>
      </c>
      <c r="G132" s="1" t="s">
        <v>227</v>
      </c>
      <c r="H132" s="3">
        <v>46279.006944444402</v>
      </c>
      <c r="I132" s="1" t="s">
        <v>199</v>
      </c>
      <c r="J132" s="2">
        <v>46279</v>
      </c>
      <c r="K132" s="3">
        <v>46279.006944444402</v>
      </c>
      <c r="L132" s="1" t="s">
        <v>200</v>
      </c>
      <c r="M132" s="1" t="s">
        <v>40</v>
      </c>
      <c r="N132" s="1" t="s">
        <v>41</v>
      </c>
      <c r="O132" s="1" t="s">
        <v>42</v>
      </c>
      <c r="Q132" s="1" t="s">
        <v>42</v>
      </c>
      <c r="R132" s="1" t="s">
        <v>83</v>
      </c>
      <c r="S132" s="1" t="s">
        <v>84</v>
      </c>
      <c r="T132" s="4">
        <v>50.4</v>
      </c>
      <c r="U132" s="4">
        <v>50.4</v>
      </c>
      <c r="V132" s="4">
        <v>50.4</v>
      </c>
      <c r="Z132" s="1" t="s">
        <v>42</v>
      </c>
      <c r="AD132" s="1" t="s">
        <v>42</v>
      </c>
      <c r="AF132" s="1" t="s">
        <v>42</v>
      </c>
    </row>
    <row r="133" spans="1:32" x14ac:dyDescent="0.25">
      <c r="A133" s="1" t="s">
        <v>32</v>
      </c>
      <c r="B133" s="1" t="s">
        <v>33</v>
      </c>
      <c r="C133" s="1" t="s">
        <v>34</v>
      </c>
      <c r="D133" s="1" t="s">
        <v>42</v>
      </c>
      <c r="E133" s="1" t="s">
        <v>226</v>
      </c>
      <c r="F133" s="2">
        <v>46279</v>
      </c>
      <c r="G133" s="1" t="s">
        <v>227</v>
      </c>
      <c r="H133" s="3">
        <v>46279.006944444402</v>
      </c>
      <c r="I133" s="1" t="s">
        <v>199</v>
      </c>
      <c r="J133" s="2">
        <v>46279</v>
      </c>
      <c r="K133" s="3">
        <v>46279.006944444402</v>
      </c>
      <c r="L133" s="1" t="s">
        <v>200</v>
      </c>
      <c r="M133" s="1" t="s">
        <v>40</v>
      </c>
      <c r="N133" s="1" t="s">
        <v>41</v>
      </c>
      <c r="O133" s="1" t="s">
        <v>42</v>
      </c>
      <c r="Q133" s="1" t="s">
        <v>42</v>
      </c>
      <c r="R133" s="1" t="s">
        <v>85</v>
      </c>
      <c r="S133" s="1" t="s">
        <v>86</v>
      </c>
      <c r="T133" s="4">
        <v>201.6</v>
      </c>
      <c r="U133" s="4">
        <v>201.6</v>
      </c>
      <c r="V133" s="4">
        <v>201.6</v>
      </c>
      <c r="Z133" s="1" t="s">
        <v>42</v>
      </c>
      <c r="AD133" s="1" t="s">
        <v>42</v>
      </c>
      <c r="AF133" s="1" t="s">
        <v>42</v>
      </c>
    </row>
    <row r="134" spans="1:32" x14ac:dyDescent="0.25">
      <c r="A134" s="1" t="s">
        <v>32</v>
      </c>
      <c r="B134" s="1" t="s">
        <v>33</v>
      </c>
      <c r="C134" s="1" t="s">
        <v>34</v>
      </c>
      <c r="D134" s="1" t="s">
        <v>42</v>
      </c>
      <c r="E134" s="1" t="s">
        <v>226</v>
      </c>
      <c r="F134" s="2">
        <v>46279</v>
      </c>
      <c r="G134" s="1" t="s">
        <v>227</v>
      </c>
      <c r="H134" s="3">
        <v>46279.006944444402</v>
      </c>
      <c r="I134" s="1" t="s">
        <v>199</v>
      </c>
      <c r="J134" s="2">
        <v>46279</v>
      </c>
      <c r="K134" s="3">
        <v>46279.006944444402</v>
      </c>
      <c r="L134" s="1" t="s">
        <v>200</v>
      </c>
      <c r="M134" s="1" t="s">
        <v>40</v>
      </c>
      <c r="N134" s="1" t="s">
        <v>41</v>
      </c>
      <c r="O134" s="1" t="s">
        <v>42</v>
      </c>
      <c r="Q134" s="1" t="s">
        <v>42</v>
      </c>
      <c r="R134" s="1" t="s">
        <v>96</v>
      </c>
      <c r="S134" s="1" t="s">
        <v>97</v>
      </c>
      <c r="T134" s="4">
        <v>37.799999999999997</v>
      </c>
      <c r="U134" s="4">
        <v>37.799999999999997</v>
      </c>
      <c r="V134" s="4">
        <v>37.799999999999997</v>
      </c>
      <c r="Z134" s="1" t="s">
        <v>42</v>
      </c>
      <c r="AD134" s="1" t="s">
        <v>42</v>
      </c>
      <c r="AF134" s="1" t="s">
        <v>42</v>
      </c>
    </row>
    <row r="135" spans="1:32" x14ac:dyDescent="0.25">
      <c r="A135" s="1" t="s">
        <v>32</v>
      </c>
      <c r="B135" s="1" t="s">
        <v>33</v>
      </c>
      <c r="C135" s="1" t="s">
        <v>34</v>
      </c>
      <c r="D135" s="1" t="s">
        <v>42</v>
      </c>
      <c r="E135" s="1" t="s">
        <v>226</v>
      </c>
      <c r="F135" s="2">
        <v>46279</v>
      </c>
      <c r="G135" s="1" t="s">
        <v>227</v>
      </c>
      <c r="H135" s="3">
        <v>46279.006944444402</v>
      </c>
      <c r="I135" s="1" t="s">
        <v>199</v>
      </c>
      <c r="J135" s="2">
        <v>46279</v>
      </c>
      <c r="K135" s="3">
        <v>46279.006944444402</v>
      </c>
      <c r="L135" s="1" t="s">
        <v>200</v>
      </c>
      <c r="M135" s="1" t="s">
        <v>40</v>
      </c>
      <c r="N135" s="1" t="s">
        <v>41</v>
      </c>
      <c r="O135" s="1" t="s">
        <v>42</v>
      </c>
      <c r="Q135" s="1" t="s">
        <v>42</v>
      </c>
      <c r="R135" s="1" t="s">
        <v>102</v>
      </c>
      <c r="S135" s="1" t="s">
        <v>103</v>
      </c>
      <c r="T135" s="4">
        <v>129.6</v>
      </c>
      <c r="U135" s="4">
        <v>120</v>
      </c>
      <c r="V135" s="4">
        <v>120</v>
      </c>
      <c r="W135" s="4">
        <v>-9.6</v>
      </c>
      <c r="X135" s="1" t="s">
        <v>67</v>
      </c>
      <c r="Y135" s="1" t="s">
        <v>68</v>
      </c>
      <c r="Z135" s="1" t="s">
        <v>42</v>
      </c>
      <c r="AD135" s="1" t="s">
        <v>42</v>
      </c>
      <c r="AE135" s="1" t="s">
        <v>211</v>
      </c>
      <c r="AF135" s="1" t="s">
        <v>42</v>
      </c>
    </row>
    <row r="136" spans="1:32" x14ac:dyDescent="0.25">
      <c r="A136" s="1" t="s">
        <v>32</v>
      </c>
      <c r="B136" s="1" t="s">
        <v>33</v>
      </c>
      <c r="C136" s="1" t="s">
        <v>34</v>
      </c>
      <c r="D136" s="1" t="s">
        <v>42</v>
      </c>
      <c r="E136" s="1" t="s">
        <v>226</v>
      </c>
      <c r="F136" s="2">
        <v>46279</v>
      </c>
      <c r="G136" s="1" t="s">
        <v>227</v>
      </c>
      <c r="H136" s="3">
        <v>46279.006944444402</v>
      </c>
      <c r="I136" s="1" t="s">
        <v>199</v>
      </c>
      <c r="J136" s="2">
        <v>46279</v>
      </c>
      <c r="K136" s="3">
        <v>46279.006944444402</v>
      </c>
      <c r="L136" s="1" t="s">
        <v>200</v>
      </c>
      <c r="M136" s="1" t="s">
        <v>40</v>
      </c>
      <c r="N136" s="1" t="s">
        <v>41</v>
      </c>
      <c r="O136" s="1" t="s">
        <v>42</v>
      </c>
      <c r="Q136" s="1" t="s">
        <v>42</v>
      </c>
      <c r="R136" s="1" t="s">
        <v>104</v>
      </c>
      <c r="S136" s="1" t="s">
        <v>105</v>
      </c>
      <c r="T136" s="4">
        <v>129.6</v>
      </c>
      <c r="W136" s="4">
        <v>-129.6</v>
      </c>
      <c r="X136" s="1" t="s">
        <v>67</v>
      </c>
      <c r="Y136" s="1" t="s">
        <v>68</v>
      </c>
      <c r="Z136" s="1" t="s">
        <v>42</v>
      </c>
      <c r="AD136" s="1" t="s">
        <v>42</v>
      </c>
      <c r="AE136" s="1" t="s">
        <v>211</v>
      </c>
      <c r="AF136" s="1" t="s">
        <v>42</v>
      </c>
    </row>
    <row r="137" spans="1:32" x14ac:dyDescent="0.25">
      <c r="A137" s="1" t="s">
        <v>32</v>
      </c>
      <c r="B137" s="1" t="s">
        <v>33</v>
      </c>
      <c r="C137" s="1" t="s">
        <v>34</v>
      </c>
      <c r="D137" s="1" t="s">
        <v>42</v>
      </c>
      <c r="E137" s="1" t="s">
        <v>226</v>
      </c>
      <c r="F137" s="2">
        <v>46279</v>
      </c>
      <c r="G137" s="1" t="s">
        <v>227</v>
      </c>
      <c r="H137" s="3">
        <v>46279.006944444402</v>
      </c>
      <c r="I137" s="1" t="s">
        <v>199</v>
      </c>
      <c r="J137" s="2">
        <v>46279</v>
      </c>
      <c r="K137" s="3">
        <v>46279.006944444402</v>
      </c>
      <c r="L137" s="1" t="s">
        <v>200</v>
      </c>
      <c r="M137" s="1" t="s">
        <v>40</v>
      </c>
      <c r="N137" s="1" t="s">
        <v>41</v>
      </c>
      <c r="O137" s="1" t="s">
        <v>42</v>
      </c>
      <c r="Q137" s="1" t="s">
        <v>42</v>
      </c>
      <c r="R137" s="1" t="s">
        <v>106</v>
      </c>
      <c r="S137" s="1" t="s">
        <v>107</v>
      </c>
      <c r="T137" s="4">
        <v>129.6</v>
      </c>
      <c r="W137" s="4">
        <v>-129.6</v>
      </c>
      <c r="X137" s="1" t="s">
        <v>67</v>
      </c>
      <c r="Y137" s="1" t="s">
        <v>68</v>
      </c>
      <c r="Z137" s="1" t="s">
        <v>42</v>
      </c>
      <c r="AD137" s="1" t="s">
        <v>42</v>
      </c>
      <c r="AE137" s="1" t="s">
        <v>211</v>
      </c>
      <c r="AF137" s="1" t="s">
        <v>42</v>
      </c>
    </row>
    <row r="138" spans="1:32" x14ac:dyDescent="0.25">
      <c r="A138" s="1" t="s">
        <v>32</v>
      </c>
      <c r="B138" s="1" t="s">
        <v>33</v>
      </c>
      <c r="C138" s="1" t="s">
        <v>34</v>
      </c>
      <c r="D138" s="1" t="s">
        <v>42</v>
      </c>
      <c r="E138" s="1" t="s">
        <v>226</v>
      </c>
      <c r="F138" s="2">
        <v>46279</v>
      </c>
      <c r="G138" s="1" t="s">
        <v>227</v>
      </c>
      <c r="H138" s="3">
        <v>46279.006944444402</v>
      </c>
      <c r="I138" s="1" t="s">
        <v>199</v>
      </c>
      <c r="J138" s="2">
        <v>46279</v>
      </c>
      <c r="K138" s="3">
        <v>46279.006944444402</v>
      </c>
      <c r="L138" s="1" t="s">
        <v>200</v>
      </c>
      <c r="M138" s="1" t="s">
        <v>40</v>
      </c>
      <c r="N138" s="1" t="s">
        <v>41</v>
      </c>
      <c r="O138" s="1" t="s">
        <v>42</v>
      </c>
      <c r="Q138" s="1" t="s">
        <v>42</v>
      </c>
      <c r="R138" s="1" t="s">
        <v>108</v>
      </c>
      <c r="S138" s="1" t="s">
        <v>109</v>
      </c>
      <c r="T138" s="4">
        <v>194.4</v>
      </c>
      <c r="W138" s="4">
        <v>-194.4</v>
      </c>
      <c r="X138" s="1" t="s">
        <v>67</v>
      </c>
      <c r="Y138" s="1" t="s">
        <v>68</v>
      </c>
      <c r="Z138" s="1" t="s">
        <v>42</v>
      </c>
      <c r="AD138" s="1" t="s">
        <v>42</v>
      </c>
      <c r="AE138" s="1" t="s">
        <v>211</v>
      </c>
      <c r="AF138" s="1" t="s">
        <v>42</v>
      </c>
    </row>
    <row r="139" spans="1:32" x14ac:dyDescent="0.25">
      <c r="A139" s="1" t="s">
        <v>32</v>
      </c>
      <c r="B139" s="1" t="s">
        <v>33</v>
      </c>
      <c r="C139" s="1" t="s">
        <v>34</v>
      </c>
      <c r="D139" s="1" t="s">
        <v>42</v>
      </c>
      <c r="E139" s="1" t="s">
        <v>226</v>
      </c>
      <c r="F139" s="2">
        <v>46279</v>
      </c>
      <c r="G139" s="1" t="s">
        <v>227</v>
      </c>
      <c r="H139" s="3">
        <v>46279.006944444402</v>
      </c>
      <c r="I139" s="1" t="s">
        <v>199</v>
      </c>
      <c r="J139" s="2">
        <v>46279</v>
      </c>
      <c r="K139" s="3">
        <v>46279.006944444402</v>
      </c>
      <c r="L139" s="1" t="s">
        <v>200</v>
      </c>
      <c r="M139" s="1" t="s">
        <v>40</v>
      </c>
      <c r="N139" s="1" t="s">
        <v>41</v>
      </c>
      <c r="O139" s="1" t="s">
        <v>42</v>
      </c>
      <c r="Q139" s="1" t="s">
        <v>42</v>
      </c>
      <c r="R139" s="1" t="s">
        <v>120</v>
      </c>
      <c r="S139" s="1" t="s">
        <v>121</v>
      </c>
      <c r="T139" s="4">
        <v>417.6</v>
      </c>
      <c r="U139" s="4">
        <v>417.6</v>
      </c>
      <c r="V139" s="4">
        <v>417.6</v>
      </c>
      <c r="Z139" s="1" t="s">
        <v>42</v>
      </c>
      <c r="AD139" s="1" t="s">
        <v>42</v>
      </c>
      <c r="AF139" s="1" t="s">
        <v>42</v>
      </c>
    </row>
    <row r="140" spans="1:32" x14ac:dyDescent="0.25">
      <c r="A140" s="1" t="s">
        <v>32</v>
      </c>
      <c r="B140" s="1" t="s">
        <v>33</v>
      </c>
      <c r="C140" s="1" t="s">
        <v>34</v>
      </c>
      <c r="D140" s="1" t="s">
        <v>42</v>
      </c>
      <c r="E140" s="1" t="s">
        <v>226</v>
      </c>
      <c r="F140" s="2">
        <v>46279</v>
      </c>
      <c r="G140" s="1" t="s">
        <v>227</v>
      </c>
      <c r="H140" s="3">
        <v>46279.006944444402</v>
      </c>
      <c r="I140" s="1" t="s">
        <v>199</v>
      </c>
      <c r="J140" s="2">
        <v>46279</v>
      </c>
      <c r="K140" s="3">
        <v>46279.006944444402</v>
      </c>
      <c r="L140" s="1" t="s">
        <v>200</v>
      </c>
      <c r="M140" s="1" t="s">
        <v>40</v>
      </c>
      <c r="N140" s="1" t="s">
        <v>41</v>
      </c>
      <c r="O140" s="1" t="s">
        <v>42</v>
      </c>
      <c r="Q140" s="1" t="s">
        <v>42</v>
      </c>
      <c r="R140" s="1" t="s">
        <v>212</v>
      </c>
      <c r="S140" s="1" t="s">
        <v>213</v>
      </c>
      <c r="T140" s="4">
        <v>144</v>
      </c>
      <c r="U140" s="4">
        <v>144</v>
      </c>
      <c r="V140" s="4">
        <v>144</v>
      </c>
      <c r="Z140" s="1" t="s">
        <v>42</v>
      </c>
      <c r="AD140" s="1" t="s">
        <v>42</v>
      </c>
      <c r="AF140" s="1" t="s">
        <v>42</v>
      </c>
    </row>
    <row r="141" spans="1:32" x14ac:dyDescent="0.25">
      <c r="A141" s="1" t="s">
        <v>32</v>
      </c>
      <c r="B141" s="1" t="s">
        <v>33</v>
      </c>
      <c r="C141" s="1" t="s">
        <v>34</v>
      </c>
      <c r="D141" s="1" t="s">
        <v>42</v>
      </c>
      <c r="E141" s="1" t="s">
        <v>226</v>
      </c>
      <c r="F141" s="2">
        <v>46279</v>
      </c>
      <c r="G141" s="1" t="s">
        <v>227</v>
      </c>
      <c r="H141" s="3">
        <v>46279.006944444402</v>
      </c>
      <c r="I141" s="1" t="s">
        <v>199</v>
      </c>
      <c r="J141" s="2">
        <v>46279</v>
      </c>
      <c r="K141" s="3">
        <v>46279.006944444402</v>
      </c>
      <c r="L141" s="1" t="s">
        <v>200</v>
      </c>
      <c r="M141" s="1" t="s">
        <v>40</v>
      </c>
      <c r="N141" s="1" t="s">
        <v>41</v>
      </c>
      <c r="O141" s="1" t="s">
        <v>42</v>
      </c>
      <c r="Q141" s="1" t="s">
        <v>42</v>
      </c>
      <c r="R141" s="1" t="s">
        <v>122</v>
      </c>
      <c r="S141" s="1" t="s">
        <v>123</v>
      </c>
      <c r="T141" s="4">
        <v>86.4</v>
      </c>
      <c r="U141" s="4">
        <v>86.4</v>
      </c>
      <c r="V141" s="4">
        <v>86.4</v>
      </c>
      <c r="Z141" s="1" t="s">
        <v>42</v>
      </c>
      <c r="AD141" s="1" t="s">
        <v>42</v>
      </c>
      <c r="AF141" s="1" t="s">
        <v>42</v>
      </c>
    </row>
    <row r="142" spans="1:32" x14ac:dyDescent="0.25">
      <c r="A142" s="1" t="s">
        <v>32</v>
      </c>
      <c r="B142" s="1" t="s">
        <v>33</v>
      </c>
      <c r="C142" s="1" t="s">
        <v>34</v>
      </c>
      <c r="D142" s="1" t="s">
        <v>42</v>
      </c>
      <c r="E142" s="1" t="s">
        <v>226</v>
      </c>
      <c r="F142" s="2">
        <v>46279</v>
      </c>
      <c r="G142" s="1" t="s">
        <v>227</v>
      </c>
      <c r="H142" s="3">
        <v>46279.006944444402</v>
      </c>
      <c r="I142" s="1" t="s">
        <v>199</v>
      </c>
      <c r="J142" s="2">
        <v>46279</v>
      </c>
      <c r="K142" s="3">
        <v>46279.006944444402</v>
      </c>
      <c r="L142" s="1" t="s">
        <v>200</v>
      </c>
      <c r="M142" s="1" t="s">
        <v>40</v>
      </c>
      <c r="N142" s="1" t="s">
        <v>41</v>
      </c>
      <c r="O142" s="1" t="s">
        <v>42</v>
      </c>
      <c r="Q142" s="1" t="s">
        <v>42</v>
      </c>
      <c r="R142" s="1" t="s">
        <v>124</v>
      </c>
      <c r="S142" s="1" t="s">
        <v>125</v>
      </c>
      <c r="T142" s="4">
        <v>86.4</v>
      </c>
      <c r="U142" s="4">
        <v>86.4</v>
      </c>
      <c r="V142" s="4">
        <v>86.4</v>
      </c>
      <c r="Z142" s="1" t="s">
        <v>42</v>
      </c>
      <c r="AD142" s="1" t="s">
        <v>42</v>
      </c>
      <c r="AF142" s="1" t="s">
        <v>42</v>
      </c>
    </row>
    <row r="143" spans="1:32" x14ac:dyDescent="0.25">
      <c r="A143" s="1" t="s">
        <v>32</v>
      </c>
      <c r="B143" s="1" t="s">
        <v>33</v>
      </c>
      <c r="C143" s="1" t="s">
        <v>34</v>
      </c>
      <c r="D143" s="1" t="s">
        <v>42</v>
      </c>
      <c r="E143" s="1" t="s">
        <v>226</v>
      </c>
      <c r="F143" s="2">
        <v>46279</v>
      </c>
      <c r="G143" s="1" t="s">
        <v>227</v>
      </c>
      <c r="H143" s="3">
        <v>46279.006944444402</v>
      </c>
      <c r="I143" s="1" t="s">
        <v>199</v>
      </c>
      <c r="J143" s="2">
        <v>46279</v>
      </c>
      <c r="K143" s="3">
        <v>46279.006944444402</v>
      </c>
      <c r="L143" s="1" t="s">
        <v>200</v>
      </c>
      <c r="M143" s="1" t="s">
        <v>40</v>
      </c>
      <c r="N143" s="1" t="s">
        <v>41</v>
      </c>
      <c r="O143" s="1" t="s">
        <v>42</v>
      </c>
      <c r="Q143" s="1" t="s">
        <v>42</v>
      </c>
      <c r="R143" s="1" t="s">
        <v>128</v>
      </c>
      <c r="S143" s="1" t="s">
        <v>129</v>
      </c>
      <c r="T143" s="4">
        <v>86.4</v>
      </c>
      <c r="U143" s="4">
        <v>86.4</v>
      </c>
      <c r="V143" s="4">
        <v>86.4</v>
      </c>
      <c r="Z143" s="1" t="s">
        <v>42</v>
      </c>
      <c r="AD143" s="1" t="s">
        <v>42</v>
      </c>
      <c r="AF143" s="1" t="s">
        <v>42</v>
      </c>
    </row>
    <row r="144" spans="1:32" x14ac:dyDescent="0.25">
      <c r="A144" s="1" t="s">
        <v>32</v>
      </c>
      <c r="B144" s="1" t="s">
        <v>33</v>
      </c>
      <c r="C144" s="1" t="s">
        <v>34</v>
      </c>
      <c r="D144" s="1" t="s">
        <v>42</v>
      </c>
      <c r="E144" s="1" t="s">
        <v>226</v>
      </c>
      <c r="F144" s="2">
        <v>46279</v>
      </c>
      <c r="G144" s="1" t="s">
        <v>227</v>
      </c>
      <c r="H144" s="3">
        <v>46279.006944444402</v>
      </c>
      <c r="I144" s="1" t="s">
        <v>199</v>
      </c>
      <c r="J144" s="2">
        <v>46279</v>
      </c>
      <c r="K144" s="3">
        <v>46279.006944444402</v>
      </c>
      <c r="L144" s="1" t="s">
        <v>200</v>
      </c>
      <c r="M144" s="1" t="s">
        <v>40</v>
      </c>
      <c r="N144" s="1" t="s">
        <v>41</v>
      </c>
      <c r="O144" s="1" t="s">
        <v>42</v>
      </c>
      <c r="Q144" s="1" t="s">
        <v>42</v>
      </c>
      <c r="R144" s="1" t="s">
        <v>139</v>
      </c>
      <c r="S144" s="1" t="s">
        <v>140</v>
      </c>
      <c r="T144" s="4">
        <v>86.4</v>
      </c>
      <c r="U144" s="4">
        <v>86.4</v>
      </c>
      <c r="V144" s="4">
        <v>86.4</v>
      </c>
      <c r="Z144" s="1" t="s">
        <v>42</v>
      </c>
      <c r="AD144" s="1" t="s">
        <v>42</v>
      </c>
      <c r="AF144" s="1" t="s">
        <v>42</v>
      </c>
    </row>
    <row r="145" spans="1:32" x14ac:dyDescent="0.25">
      <c r="A145" s="1" t="s">
        <v>32</v>
      </c>
      <c r="B145" s="1" t="s">
        <v>33</v>
      </c>
      <c r="C145" s="1" t="s">
        <v>34</v>
      </c>
      <c r="D145" s="1" t="s">
        <v>42</v>
      </c>
      <c r="E145" s="1" t="s">
        <v>226</v>
      </c>
      <c r="F145" s="2">
        <v>46279</v>
      </c>
      <c r="G145" s="1" t="s">
        <v>227</v>
      </c>
      <c r="H145" s="3">
        <v>46279.006944444402</v>
      </c>
      <c r="I145" s="1" t="s">
        <v>199</v>
      </c>
      <c r="J145" s="2">
        <v>46279</v>
      </c>
      <c r="K145" s="3">
        <v>46279.006944444402</v>
      </c>
      <c r="L145" s="1" t="s">
        <v>200</v>
      </c>
      <c r="M145" s="1" t="s">
        <v>40</v>
      </c>
      <c r="N145" s="1" t="s">
        <v>41</v>
      </c>
      <c r="O145" s="1" t="s">
        <v>42</v>
      </c>
      <c r="Q145" s="1" t="s">
        <v>42</v>
      </c>
      <c r="R145" s="1" t="s">
        <v>214</v>
      </c>
      <c r="S145" s="1" t="s">
        <v>215</v>
      </c>
      <c r="T145" s="4">
        <v>28.8</v>
      </c>
      <c r="W145" s="4">
        <v>-28.8</v>
      </c>
      <c r="X145" s="1" t="s">
        <v>67</v>
      </c>
      <c r="Y145" s="1" t="s">
        <v>68</v>
      </c>
      <c r="Z145" s="1" t="s">
        <v>42</v>
      </c>
      <c r="AD145" s="1" t="s">
        <v>42</v>
      </c>
      <c r="AE145" s="1" t="s">
        <v>211</v>
      </c>
      <c r="AF145" s="1" t="s">
        <v>42</v>
      </c>
    </row>
    <row r="146" spans="1:32" x14ac:dyDescent="0.25">
      <c r="A146" s="1" t="s">
        <v>32</v>
      </c>
      <c r="B146" s="1" t="s">
        <v>33</v>
      </c>
      <c r="C146" s="1" t="s">
        <v>34</v>
      </c>
      <c r="D146" s="1" t="s">
        <v>42</v>
      </c>
      <c r="E146" s="1" t="s">
        <v>226</v>
      </c>
      <c r="F146" s="2">
        <v>46279</v>
      </c>
      <c r="G146" s="1" t="s">
        <v>227</v>
      </c>
      <c r="H146" s="3">
        <v>46279.006944444402</v>
      </c>
      <c r="I146" s="1" t="s">
        <v>199</v>
      </c>
      <c r="J146" s="2">
        <v>46279</v>
      </c>
      <c r="K146" s="3">
        <v>46279.006944444402</v>
      </c>
      <c r="L146" s="1" t="s">
        <v>200</v>
      </c>
      <c r="M146" s="1" t="s">
        <v>40</v>
      </c>
      <c r="N146" s="1" t="s">
        <v>41</v>
      </c>
      <c r="O146" s="1" t="s">
        <v>42</v>
      </c>
      <c r="Q146" s="1" t="s">
        <v>42</v>
      </c>
      <c r="R146" s="1" t="s">
        <v>218</v>
      </c>
      <c r="S146" s="1" t="s">
        <v>219</v>
      </c>
      <c r="T146" s="4">
        <v>201.6</v>
      </c>
      <c r="U146" s="4">
        <v>201.6</v>
      </c>
      <c r="V146" s="4">
        <v>201.6</v>
      </c>
      <c r="Z146" s="1" t="s">
        <v>42</v>
      </c>
      <c r="AD146" s="1" t="s">
        <v>42</v>
      </c>
      <c r="AF146" s="1" t="s">
        <v>42</v>
      </c>
    </row>
    <row r="147" spans="1:32" x14ac:dyDescent="0.25">
      <c r="A147" s="1" t="s">
        <v>32</v>
      </c>
      <c r="B147" s="1" t="s">
        <v>33</v>
      </c>
      <c r="C147" s="1" t="s">
        <v>34</v>
      </c>
      <c r="D147" s="1" t="s">
        <v>42</v>
      </c>
      <c r="E147" s="1" t="s">
        <v>226</v>
      </c>
      <c r="F147" s="2">
        <v>46279</v>
      </c>
      <c r="G147" s="1" t="s">
        <v>227</v>
      </c>
      <c r="H147" s="3">
        <v>46279.006944444402</v>
      </c>
      <c r="I147" s="1" t="s">
        <v>199</v>
      </c>
      <c r="J147" s="2">
        <v>46279</v>
      </c>
      <c r="K147" s="3">
        <v>46279.006944444402</v>
      </c>
      <c r="L147" s="1" t="s">
        <v>200</v>
      </c>
      <c r="M147" s="1" t="s">
        <v>40</v>
      </c>
      <c r="N147" s="1" t="s">
        <v>41</v>
      </c>
      <c r="O147" s="1" t="s">
        <v>42</v>
      </c>
      <c r="Q147" s="1" t="s">
        <v>42</v>
      </c>
      <c r="R147" s="1" t="s">
        <v>147</v>
      </c>
      <c r="S147" s="1" t="s">
        <v>148</v>
      </c>
      <c r="T147" s="4">
        <v>499.2</v>
      </c>
      <c r="U147" s="4">
        <v>499.2</v>
      </c>
      <c r="V147" s="4">
        <v>499.2</v>
      </c>
      <c r="Z147" s="1" t="s">
        <v>42</v>
      </c>
      <c r="AD147" s="1" t="s">
        <v>42</v>
      </c>
      <c r="AF147" s="1" t="s">
        <v>42</v>
      </c>
    </row>
    <row r="148" spans="1:32" x14ac:dyDescent="0.25">
      <c r="A148" s="1" t="s">
        <v>32</v>
      </c>
      <c r="B148" s="1" t="s">
        <v>33</v>
      </c>
      <c r="C148" s="1" t="s">
        <v>34</v>
      </c>
      <c r="D148" s="1" t="s">
        <v>42</v>
      </c>
      <c r="E148" s="1" t="s">
        <v>226</v>
      </c>
      <c r="F148" s="2">
        <v>46279</v>
      </c>
      <c r="G148" s="1" t="s">
        <v>227</v>
      </c>
      <c r="H148" s="3">
        <v>46279.006944444402</v>
      </c>
      <c r="I148" s="1" t="s">
        <v>199</v>
      </c>
      <c r="J148" s="2">
        <v>46279</v>
      </c>
      <c r="K148" s="3">
        <v>46279.006944444402</v>
      </c>
      <c r="L148" s="1" t="s">
        <v>200</v>
      </c>
      <c r="M148" s="1" t="s">
        <v>40</v>
      </c>
      <c r="N148" s="1" t="s">
        <v>41</v>
      </c>
      <c r="O148" s="1" t="s">
        <v>42</v>
      </c>
      <c r="Q148" s="1" t="s">
        <v>42</v>
      </c>
      <c r="R148" s="1" t="s">
        <v>149</v>
      </c>
      <c r="S148" s="1" t="s">
        <v>150</v>
      </c>
      <c r="T148" s="4">
        <v>67.2</v>
      </c>
      <c r="U148" s="4">
        <v>67.2</v>
      </c>
      <c r="V148" s="4">
        <v>67.2</v>
      </c>
      <c r="Z148" s="1" t="s">
        <v>42</v>
      </c>
      <c r="AD148" s="1" t="s">
        <v>42</v>
      </c>
      <c r="AF148" s="1" t="s">
        <v>42</v>
      </c>
    </row>
    <row r="149" spans="1:32" x14ac:dyDescent="0.25">
      <c r="A149" s="1" t="s">
        <v>32</v>
      </c>
      <c r="B149" s="1" t="s">
        <v>33</v>
      </c>
      <c r="C149" s="1" t="s">
        <v>34</v>
      </c>
      <c r="D149" s="1" t="s">
        <v>42</v>
      </c>
      <c r="E149" s="1" t="s">
        <v>226</v>
      </c>
      <c r="F149" s="2">
        <v>46279</v>
      </c>
      <c r="G149" s="1" t="s">
        <v>227</v>
      </c>
      <c r="H149" s="3">
        <v>46279.006944444402</v>
      </c>
      <c r="I149" s="1" t="s">
        <v>199</v>
      </c>
      <c r="J149" s="2">
        <v>46279</v>
      </c>
      <c r="K149" s="3">
        <v>46279.006944444402</v>
      </c>
      <c r="L149" s="1" t="s">
        <v>200</v>
      </c>
      <c r="M149" s="1" t="s">
        <v>40</v>
      </c>
      <c r="N149" s="1" t="s">
        <v>41</v>
      </c>
      <c r="O149" s="1" t="s">
        <v>42</v>
      </c>
      <c r="Q149" s="1" t="s">
        <v>42</v>
      </c>
      <c r="R149" s="1" t="s">
        <v>161</v>
      </c>
      <c r="S149" s="1" t="s">
        <v>162</v>
      </c>
      <c r="T149" s="4">
        <v>360</v>
      </c>
      <c r="U149" s="4">
        <v>360</v>
      </c>
      <c r="V149" s="4">
        <v>360</v>
      </c>
      <c r="Z149" s="1" t="s">
        <v>42</v>
      </c>
      <c r="AD149" s="1" t="s">
        <v>42</v>
      </c>
      <c r="AF149" s="1" t="s">
        <v>42</v>
      </c>
    </row>
    <row r="150" spans="1:32" x14ac:dyDescent="0.25">
      <c r="A150" s="1" t="s">
        <v>32</v>
      </c>
      <c r="B150" s="1" t="s">
        <v>33</v>
      </c>
      <c r="C150" s="1" t="s">
        <v>34</v>
      </c>
      <c r="D150" s="1" t="s">
        <v>42</v>
      </c>
      <c r="E150" s="1" t="s">
        <v>226</v>
      </c>
      <c r="F150" s="2">
        <v>46279</v>
      </c>
      <c r="G150" s="1" t="s">
        <v>227</v>
      </c>
      <c r="H150" s="3">
        <v>46279.006944444402</v>
      </c>
      <c r="I150" s="1" t="s">
        <v>199</v>
      </c>
      <c r="J150" s="2">
        <v>46279</v>
      </c>
      <c r="K150" s="3">
        <v>46279.006944444402</v>
      </c>
      <c r="L150" s="1" t="s">
        <v>200</v>
      </c>
      <c r="M150" s="1" t="s">
        <v>40</v>
      </c>
      <c r="N150" s="1" t="s">
        <v>41</v>
      </c>
      <c r="O150" s="1" t="s">
        <v>42</v>
      </c>
      <c r="Q150" s="1" t="s">
        <v>42</v>
      </c>
      <c r="R150" s="1" t="s">
        <v>163</v>
      </c>
      <c r="S150" s="1" t="s">
        <v>164</v>
      </c>
      <c r="T150" s="4">
        <v>120</v>
      </c>
      <c r="U150" s="4">
        <v>120</v>
      </c>
      <c r="V150" s="4">
        <v>120</v>
      </c>
      <c r="Z150" s="1" t="s">
        <v>42</v>
      </c>
      <c r="AD150" s="1" t="s">
        <v>42</v>
      </c>
      <c r="AF150" s="1" t="s">
        <v>42</v>
      </c>
    </row>
    <row r="151" spans="1:32" x14ac:dyDescent="0.25">
      <c r="A151" s="1" t="s">
        <v>32</v>
      </c>
      <c r="B151" s="1" t="s">
        <v>33</v>
      </c>
      <c r="C151" s="1" t="s">
        <v>34</v>
      </c>
      <c r="D151" s="1" t="s">
        <v>42</v>
      </c>
      <c r="E151" s="1" t="s">
        <v>226</v>
      </c>
      <c r="F151" s="2">
        <v>46279</v>
      </c>
      <c r="G151" s="1" t="s">
        <v>227</v>
      </c>
      <c r="H151" s="3">
        <v>46279.006944444402</v>
      </c>
      <c r="I151" s="1" t="s">
        <v>199</v>
      </c>
      <c r="J151" s="2">
        <v>46279</v>
      </c>
      <c r="K151" s="3">
        <v>46279.006944444402</v>
      </c>
      <c r="L151" s="1" t="s">
        <v>200</v>
      </c>
      <c r="M151" s="1" t="s">
        <v>40</v>
      </c>
      <c r="N151" s="1" t="s">
        <v>41</v>
      </c>
      <c r="O151" s="1" t="s">
        <v>42</v>
      </c>
      <c r="Q151" s="1" t="s">
        <v>42</v>
      </c>
      <c r="R151" s="1" t="s">
        <v>165</v>
      </c>
      <c r="S151" s="1" t="s">
        <v>166</v>
      </c>
      <c r="T151" s="4">
        <v>270</v>
      </c>
      <c r="U151" s="4">
        <v>270</v>
      </c>
      <c r="V151" s="4">
        <v>270</v>
      </c>
      <c r="Z151" s="1" t="s">
        <v>42</v>
      </c>
      <c r="AD151" s="1" t="s">
        <v>42</v>
      </c>
      <c r="AF151" s="1" t="s">
        <v>42</v>
      </c>
    </row>
    <row r="152" spans="1:32" x14ac:dyDescent="0.25">
      <c r="A152" s="1" t="s">
        <v>32</v>
      </c>
      <c r="B152" s="1" t="s">
        <v>33</v>
      </c>
      <c r="C152" s="1" t="s">
        <v>34</v>
      </c>
      <c r="D152" s="1" t="s">
        <v>42</v>
      </c>
      <c r="E152" s="1" t="s">
        <v>226</v>
      </c>
      <c r="F152" s="2">
        <v>46279</v>
      </c>
      <c r="G152" s="1" t="s">
        <v>227</v>
      </c>
      <c r="H152" s="3">
        <v>46279.006944444402</v>
      </c>
      <c r="I152" s="1" t="s">
        <v>199</v>
      </c>
      <c r="J152" s="2">
        <v>46279</v>
      </c>
      <c r="K152" s="3">
        <v>46279.006944444402</v>
      </c>
      <c r="L152" s="1" t="s">
        <v>200</v>
      </c>
      <c r="M152" s="1" t="s">
        <v>40</v>
      </c>
      <c r="N152" s="1" t="s">
        <v>41</v>
      </c>
      <c r="O152" s="1" t="s">
        <v>42</v>
      </c>
      <c r="Q152" s="1" t="s">
        <v>42</v>
      </c>
      <c r="R152" s="1" t="s">
        <v>169</v>
      </c>
      <c r="S152" s="1" t="s">
        <v>170</v>
      </c>
      <c r="T152" s="4">
        <v>480</v>
      </c>
      <c r="U152" s="4">
        <v>480</v>
      </c>
      <c r="V152" s="4">
        <v>480</v>
      </c>
      <c r="Z152" s="1" t="s">
        <v>42</v>
      </c>
      <c r="AD152" s="1" t="s">
        <v>42</v>
      </c>
      <c r="AF152" s="1" t="s">
        <v>42</v>
      </c>
    </row>
    <row r="153" spans="1:32" x14ac:dyDescent="0.25">
      <c r="A153" s="1" t="s">
        <v>32</v>
      </c>
      <c r="B153" s="1" t="s">
        <v>33</v>
      </c>
      <c r="C153" s="1" t="s">
        <v>34</v>
      </c>
      <c r="D153" s="1" t="s">
        <v>42</v>
      </c>
      <c r="E153" s="1" t="s">
        <v>226</v>
      </c>
      <c r="F153" s="2">
        <v>46279</v>
      </c>
      <c r="G153" s="1" t="s">
        <v>227</v>
      </c>
      <c r="H153" s="3">
        <v>46279.006944444402</v>
      </c>
      <c r="I153" s="1" t="s">
        <v>199</v>
      </c>
      <c r="J153" s="2">
        <v>46279</v>
      </c>
      <c r="K153" s="3">
        <v>46279.006944444402</v>
      </c>
      <c r="L153" s="1" t="s">
        <v>200</v>
      </c>
      <c r="M153" s="1" t="s">
        <v>40</v>
      </c>
      <c r="N153" s="1" t="s">
        <v>41</v>
      </c>
      <c r="O153" s="1" t="s">
        <v>42</v>
      </c>
      <c r="Q153" s="1" t="s">
        <v>42</v>
      </c>
      <c r="R153" s="1" t="s">
        <v>171</v>
      </c>
      <c r="S153" s="1" t="s">
        <v>172</v>
      </c>
      <c r="T153" s="4">
        <v>288</v>
      </c>
      <c r="U153" s="4">
        <v>288</v>
      </c>
      <c r="V153" s="4">
        <v>288</v>
      </c>
      <c r="Z153" s="1" t="s">
        <v>42</v>
      </c>
      <c r="AD153" s="1" t="s">
        <v>42</v>
      </c>
      <c r="AF153" s="1" t="s">
        <v>42</v>
      </c>
    </row>
    <row r="154" spans="1:32" x14ac:dyDescent="0.25">
      <c r="A154" s="1" t="s">
        <v>32</v>
      </c>
      <c r="B154" s="1" t="s">
        <v>33</v>
      </c>
      <c r="C154" s="1" t="s">
        <v>34</v>
      </c>
      <c r="D154" s="1" t="s">
        <v>42</v>
      </c>
      <c r="E154" s="1" t="s">
        <v>226</v>
      </c>
      <c r="F154" s="2">
        <v>46279</v>
      </c>
      <c r="G154" s="1" t="s">
        <v>227</v>
      </c>
      <c r="H154" s="3">
        <v>46279.006944444402</v>
      </c>
      <c r="I154" s="1" t="s">
        <v>199</v>
      </c>
      <c r="J154" s="2">
        <v>46279</v>
      </c>
      <c r="K154" s="3">
        <v>46279.006944444402</v>
      </c>
      <c r="L154" s="1" t="s">
        <v>200</v>
      </c>
      <c r="M154" s="1" t="s">
        <v>40</v>
      </c>
      <c r="N154" s="1" t="s">
        <v>41</v>
      </c>
      <c r="O154" s="1" t="s">
        <v>42</v>
      </c>
      <c r="Q154" s="1" t="s">
        <v>42</v>
      </c>
      <c r="R154" s="1" t="s">
        <v>173</v>
      </c>
      <c r="S154" s="1" t="s">
        <v>174</v>
      </c>
      <c r="T154" s="4">
        <v>144</v>
      </c>
      <c r="U154" s="4">
        <v>144</v>
      </c>
      <c r="V154" s="4">
        <v>144</v>
      </c>
      <c r="Z154" s="1" t="s">
        <v>42</v>
      </c>
      <c r="AD154" s="1" t="s">
        <v>42</v>
      </c>
      <c r="AF154" s="1" t="s">
        <v>42</v>
      </c>
    </row>
    <row r="155" spans="1:32" x14ac:dyDescent="0.25">
      <c r="A155" s="1" t="s">
        <v>32</v>
      </c>
      <c r="B155" s="1" t="s">
        <v>33</v>
      </c>
      <c r="C155" s="1" t="s">
        <v>34</v>
      </c>
      <c r="D155" s="1" t="s">
        <v>42</v>
      </c>
      <c r="E155" s="1" t="s">
        <v>226</v>
      </c>
      <c r="F155" s="2">
        <v>46279</v>
      </c>
      <c r="G155" s="1" t="s">
        <v>227</v>
      </c>
      <c r="H155" s="3">
        <v>46279.006944444402</v>
      </c>
      <c r="I155" s="1" t="s">
        <v>199</v>
      </c>
      <c r="J155" s="2">
        <v>46279</v>
      </c>
      <c r="K155" s="3">
        <v>46279.006944444402</v>
      </c>
      <c r="L155" s="1" t="s">
        <v>200</v>
      </c>
      <c r="M155" s="1" t="s">
        <v>40</v>
      </c>
      <c r="N155" s="1" t="s">
        <v>41</v>
      </c>
      <c r="O155" s="1" t="s">
        <v>42</v>
      </c>
      <c r="Q155" s="1" t="s">
        <v>42</v>
      </c>
      <c r="R155" s="1" t="s">
        <v>175</v>
      </c>
      <c r="S155" s="1" t="s">
        <v>176</v>
      </c>
      <c r="T155" s="4">
        <v>86.4</v>
      </c>
      <c r="W155" s="4">
        <v>-86.4</v>
      </c>
      <c r="X155" s="1" t="s">
        <v>67</v>
      </c>
      <c r="Y155" s="1" t="s">
        <v>68</v>
      </c>
      <c r="Z155" s="1" t="s">
        <v>42</v>
      </c>
      <c r="AD155" s="1" t="s">
        <v>42</v>
      </c>
      <c r="AF155" s="1" t="s">
        <v>42</v>
      </c>
    </row>
    <row r="156" spans="1:32" x14ac:dyDescent="0.25">
      <c r="A156" s="1" t="s">
        <v>32</v>
      </c>
      <c r="B156" s="1" t="s">
        <v>33</v>
      </c>
      <c r="C156" s="1" t="s">
        <v>34</v>
      </c>
      <c r="D156" s="1" t="s">
        <v>42</v>
      </c>
      <c r="E156" s="1" t="s">
        <v>226</v>
      </c>
      <c r="F156" s="2">
        <v>46279</v>
      </c>
      <c r="G156" s="1" t="s">
        <v>227</v>
      </c>
      <c r="H156" s="3">
        <v>46279.006944444402</v>
      </c>
      <c r="I156" s="1" t="s">
        <v>199</v>
      </c>
      <c r="J156" s="2">
        <v>46279</v>
      </c>
      <c r="K156" s="3">
        <v>46279.006944444402</v>
      </c>
      <c r="L156" s="1" t="s">
        <v>200</v>
      </c>
      <c r="M156" s="1" t="s">
        <v>40</v>
      </c>
      <c r="N156" s="1" t="s">
        <v>41</v>
      </c>
      <c r="O156" s="1" t="s">
        <v>42</v>
      </c>
      <c r="Q156" s="1" t="s">
        <v>42</v>
      </c>
      <c r="R156" s="1" t="s">
        <v>183</v>
      </c>
      <c r="S156" s="1" t="s">
        <v>184</v>
      </c>
      <c r="T156" s="4">
        <v>84.48</v>
      </c>
      <c r="U156" s="4">
        <v>84.48</v>
      </c>
      <c r="V156" s="4">
        <v>84.48</v>
      </c>
      <c r="Z156" s="1" t="s">
        <v>42</v>
      </c>
      <c r="AD156" s="1" t="s">
        <v>42</v>
      </c>
      <c r="AF156" s="1" t="s">
        <v>42</v>
      </c>
    </row>
    <row r="157" spans="1:32" x14ac:dyDescent="0.25">
      <c r="A157" s="1" t="s">
        <v>32</v>
      </c>
      <c r="B157" s="1" t="s">
        <v>33</v>
      </c>
      <c r="C157" s="1" t="s">
        <v>34</v>
      </c>
      <c r="D157" s="1" t="s">
        <v>42</v>
      </c>
      <c r="E157" s="1" t="s">
        <v>226</v>
      </c>
      <c r="F157" s="2">
        <v>46279</v>
      </c>
      <c r="G157" s="1" t="s">
        <v>227</v>
      </c>
      <c r="H157" s="3">
        <v>46279.006944444402</v>
      </c>
      <c r="I157" s="1" t="s">
        <v>199</v>
      </c>
      <c r="J157" s="2">
        <v>46279</v>
      </c>
      <c r="K157" s="3">
        <v>46279.006944444402</v>
      </c>
      <c r="L157" s="1" t="s">
        <v>200</v>
      </c>
      <c r="M157" s="1" t="s">
        <v>40</v>
      </c>
      <c r="N157" s="1" t="s">
        <v>41</v>
      </c>
      <c r="O157" s="1" t="s">
        <v>42</v>
      </c>
      <c r="Q157" s="1" t="s">
        <v>42</v>
      </c>
      <c r="R157" s="1" t="s">
        <v>185</v>
      </c>
      <c r="S157" s="1" t="s">
        <v>186</v>
      </c>
      <c r="T157" s="4">
        <v>126.72</v>
      </c>
      <c r="U157" s="4">
        <v>126.72</v>
      </c>
      <c r="V157" s="4">
        <v>126.72</v>
      </c>
      <c r="Z157" s="1" t="s">
        <v>42</v>
      </c>
      <c r="AD157" s="1" t="s">
        <v>42</v>
      </c>
      <c r="AF157" s="1" t="s">
        <v>42</v>
      </c>
    </row>
    <row r="158" spans="1:32" x14ac:dyDescent="0.25">
      <c r="A158" s="1" t="s">
        <v>32</v>
      </c>
      <c r="B158" s="1" t="s">
        <v>33</v>
      </c>
      <c r="C158" s="1" t="s">
        <v>34</v>
      </c>
      <c r="D158" s="1" t="s">
        <v>42</v>
      </c>
      <c r="E158" s="1" t="s">
        <v>226</v>
      </c>
      <c r="F158" s="2">
        <v>46279</v>
      </c>
      <c r="G158" s="1" t="s">
        <v>227</v>
      </c>
      <c r="H158" s="3">
        <v>46279.006944444402</v>
      </c>
      <c r="I158" s="1" t="s">
        <v>199</v>
      </c>
      <c r="J158" s="2">
        <v>46279</v>
      </c>
      <c r="K158" s="3">
        <v>46279.006944444402</v>
      </c>
      <c r="L158" s="1" t="s">
        <v>200</v>
      </c>
      <c r="M158" s="1" t="s">
        <v>40</v>
      </c>
      <c r="N158" s="1" t="s">
        <v>41</v>
      </c>
      <c r="O158" s="1" t="s">
        <v>42</v>
      </c>
      <c r="Q158" s="1" t="s">
        <v>42</v>
      </c>
      <c r="R158" s="1" t="s">
        <v>232</v>
      </c>
      <c r="S158" s="1" t="s">
        <v>233</v>
      </c>
      <c r="T158" s="4">
        <v>126.72</v>
      </c>
      <c r="U158" s="4">
        <v>126.72</v>
      </c>
      <c r="V158" s="4">
        <v>126.72</v>
      </c>
      <c r="Z158" s="1" t="s">
        <v>42</v>
      </c>
      <c r="AD158" s="1" t="s">
        <v>42</v>
      </c>
      <c r="AF158" s="1" t="s">
        <v>42</v>
      </c>
    </row>
    <row r="159" spans="1:32" x14ac:dyDescent="0.25">
      <c r="A159" s="1" t="s">
        <v>32</v>
      </c>
      <c r="B159" s="1" t="s">
        <v>33</v>
      </c>
      <c r="C159" s="1" t="s">
        <v>34</v>
      </c>
      <c r="D159" s="1" t="s">
        <v>42</v>
      </c>
      <c r="E159" s="1" t="s">
        <v>226</v>
      </c>
      <c r="F159" s="2">
        <v>46279</v>
      </c>
      <c r="G159" s="1" t="s">
        <v>227</v>
      </c>
      <c r="H159" s="3">
        <v>46279.006944444402</v>
      </c>
      <c r="I159" s="1" t="s">
        <v>199</v>
      </c>
      <c r="J159" s="2">
        <v>46279</v>
      </c>
      <c r="K159" s="3">
        <v>46279.006944444402</v>
      </c>
      <c r="L159" s="1" t="s">
        <v>200</v>
      </c>
      <c r="M159" s="1" t="s">
        <v>40</v>
      </c>
      <c r="N159" s="1" t="s">
        <v>41</v>
      </c>
      <c r="O159" s="1" t="s">
        <v>42</v>
      </c>
      <c r="Q159" s="1" t="s">
        <v>42</v>
      </c>
      <c r="R159" s="1" t="s">
        <v>220</v>
      </c>
      <c r="S159" s="1" t="s">
        <v>221</v>
      </c>
      <c r="T159" s="4">
        <v>126.72</v>
      </c>
      <c r="U159" s="4">
        <v>126.72</v>
      </c>
      <c r="V159" s="4">
        <v>126.72</v>
      </c>
      <c r="Z159" s="1" t="s">
        <v>42</v>
      </c>
      <c r="AD159" s="1" t="s">
        <v>42</v>
      </c>
      <c r="AF159" s="1" t="s">
        <v>42</v>
      </c>
    </row>
    <row r="160" spans="1:32" x14ac:dyDescent="0.25">
      <c r="A160" s="1" t="s">
        <v>32</v>
      </c>
      <c r="B160" s="1" t="s">
        <v>33</v>
      </c>
      <c r="C160" s="1" t="s">
        <v>34</v>
      </c>
      <c r="D160" s="1" t="s">
        <v>42</v>
      </c>
      <c r="E160" s="1" t="s">
        <v>226</v>
      </c>
      <c r="F160" s="2">
        <v>46279</v>
      </c>
      <c r="G160" s="1" t="s">
        <v>227</v>
      </c>
      <c r="H160" s="3">
        <v>46279.006944444402</v>
      </c>
      <c r="I160" s="1" t="s">
        <v>199</v>
      </c>
      <c r="J160" s="2">
        <v>46279</v>
      </c>
      <c r="K160" s="3">
        <v>46279.006944444402</v>
      </c>
      <c r="L160" s="1" t="s">
        <v>200</v>
      </c>
      <c r="M160" s="1" t="s">
        <v>40</v>
      </c>
      <c r="N160" s="1" t="s">
        <v>41</v>
      </c>
      <c r="O160" s="1" t="s">
        <v>42</v>
      </c>
      <c r="Q160" s="1" t="s">
        <v>42</v>
      </c>
      <c r="R160" s="1" t="s">
        <v>189</v>
      </c>
      <c r="S160" s="1" t="s">
        <v>190</v>
      </c>
      <c r="T160" s="4">
        <v>84.48</v>
      </c>
      <c r="U160" s="4">
        <v>84.48</v>
      </c>
      <c r="V160" s="4">
        <v>84.48</v>
      </c>
      <c r="Z160" s="1" t="s">
        <v>42</v>
      </c>
      <c r="AD160" s="1" t="s">
        <v>42</v>
      </c>
      <c r="AF160" s="1" t="s">
        <v>42</v>
      </c>
    </row>
    <row r="161" spans="1:32" x14ac:dyDescent="0.25">
      <c r="A161" s="1" t="s">
        <v>32</v>
      </c>
      <c r="B161" s="1" t="s">
        <v>33</v>
      </c>
      <c r="C161" s="1" t="s">
        <v>34</v>
      </c>
      <c r="D161" s="1" t="s">
        <v>42</v>
      </c>
      <c r="E161" s="1" t="s">
        <v>226</v>
      </c>
      <c r="F161" s="2">
        <v>46279</v>
      </c>
      <c r="G161" s="1" t="s">
        <v>227</v>
      </c>
      <c r="H161" s="3">
        <v>46279.006944444402</v>
      </c>
      <c r="I161" s="1" t="s">
        <v>199</v>
      </c>
      <c r="J161" s="2">
        <v>46279</v>
      </c>
      <c r="K161" s="3">
        <v>46279.006944444402</v>
      </c>
      <c r="L161" s="1" t="s">
        <v>200</v>
      </c>
      <c r="M161" s="1" t="s">
        <v>40</v>
      </c>
      <c r="N161" s="1" t="s">
        <v>41</v>
      </c>
      <c r="O161" s="1" t="s">
        <v>42</v>
      </c>
      <c r="Q161" s="1" t="s">
        <v>42</v>
      </c>
      <c r="R161" s="1" t="s">
        <v>195</v>
      </c>
      <c r="S161" s="1" t="s">
        <v>196</v>
      </c>
      <c r="T161" s="4">
        <v>518.4</v>
      </c>
      <c r="U161" s="4">
        <v>518.4</v>
      </c>
      <c r="V161" s="4">
        <v>518.4</v>
      </c>
      <c r="Z161" s="1" t="s">
        <v>42</v>
      </c>
      <c r="AD161" s="1" t="s">
        <v>42</v>
      </c>
      <c r="AF161" s="1" t="s">
        <v>42</v>
      </c>
    </row>
    <row r="162" spans="1:32" x14ac:dyDescent="0.25">
      <c r="A162" s="1" t="s">
        <v>32</v>
      </c>
      <c r="B162" s="1" t="s">
        <v>33</v>
      </c>
      <c r="C162" s="1" t="s">
        <v>34</v>
      </c>
      <c r="D162" s="1" t="s">
        <v>42</v>
      </c>
      <c r="E162" s="1" t="s">
        <v>234</v>
      </c>
      <c r="F162" s="2">
        <v>46279</v>
      </c>
      <c r="G162" s="1" t="s">
        <v>235</v>
      </c>
      <c r="H162" s="3">
        <v>46279.006944444402</v>
      </c>
      <c r="I162" s="1" t="s">
        <v>236</v>
      </c>
      <c r="J162" s="2">
        <v>46279</v>
      </c>
      <c r="K162" s="3">
        <v>46279.006944444402</v>
      </c>
      <c r="L162" s="1" t="s">
        <v>237</v>
      </c>
      <c r="M162" s="1" t="s">
        <v>40</v>
      </c>
      <c r="N162" s="1" t="s">
        <v>41</v>
      </c>
      <c r="O162" s="1" t="s">
        <v>42</v>
      </c>
      <c r="Q162" s="1" t="s">
        <v>42</v>
      </c>
      <c r="R162" s="1" t="s">
        <v>201</v>
      </c>
      <c r="S162" s="1" t="s">
        <v>202</v>
      </c>
      <c r="T162" s="4">
        <v>518.4</v>
      </c>
      <c r="U162" s="4">
        <v>518.4</v>
      </c>
      <c r="V162" s="4">
        <v>518.4</v>
      </c>
      <c r="Z162" s="1" t="s">
        <v>42</v>
      </c>
      <c r="AD162" s="1" t="s">
        <v>42</v>
      </c>
      <c r="AF162" s="1" t="s">
        <v>42</v>
      </c>
    </row>
    <row r="163" spans="1:32" x14ac:dyDescent="0.25">
      <c r="A163" s="1" t="s">
        <v>32</v>
      </c>
      <c r="B163" s="1" t="s">
        <v>33</v>
      </c>
      <c r="C163" s="1" t="s">
        <v>34</v>
      </c>
      <c r="D163" s="1" t="s">
        <v>42</v>
      </c>
      <c r="E163" s="1" t="s">
        <v>234</v>
      </c>
      <c r="F163" s="2">
        <v>46279</v>
      </c>
      <c r="G163" s="1" t="s">
        <v>235</v>
      </c>
      <c r="H163" s="3">
        <v>46279.006944444402</v>
      </c>
      <c r="I163" s="1" t="s">
        <v>236</v>
      </c>
      <c r="J163" s="2">
        <v>46279</v>
      </c>
      <c r="K163" s="3">
        <v>46279.006944444402</v>
      </c>
      <c r="L163" s="1" t="s">
        <v>237</v>
      </c>
      <c r="M163" s="1" t="s">
        <v>40</v>
      </c>
      <c r="N163" s="1" t="s">
        <v>41</v>
      </c>
      <c r="O163" s="1" t="s">
        <v>42</v>
      </c>
      <c r="Q163" s="1" t="s">
        <v>42</v>
      </c>
      <c r="R163" s="1" t="s">
        <v>49</v>
      </c>
      <c r="S163" s="1" t="s">
        <v>50</v>
      </c>
      <c r="T163" s="4">
        <v>648</v>
      </c>
      <c r="U163" s="4">
        <v>648</v>
      </c>
      <c r="V163" s="4">
        <v>648</v>
      </c>
      <c r="Z163" s="1" t="s">
        <v>42</v>
      </c>
      <c r="AD163" s="1" t="s">
        <v>42</v>
      </c>
      <c r="AF163" s="1" t="s">
        <v>42</v>
      </c>
    </row>
    <row r="164" spans="1:32" x14ac:dyDescent="0.25">
      <c r="A164" s="1" t="s">
        <v>32</v>
      </c>
      <c r="B164" s="1" t="s">
        <v>33</v>
      </c>
      <c r="C164" s="1" t="s">
        <v>34</v>
      </c>
      <c r="D164" s="1" t="s">
        <v>42</v>
      </c>
      <c r="E164" s="1" t="s">
        <v>234</v>
      </c>
      <c r="F164" s="2">
        <v>46279</v>
      </c>
      <c r="G164" s="1" t="s">
        <v>235</v>
      </c>
      <c r="H164" s="3">
        <v>46279.006944444402</v>
      </c>
      <c r="I164" s="1" t="s">
        <v>236</v>
      </c>
      <c r="J164" s="2">
        <v>46279</v>
      </c>
      <c r="K164" s="3">
        <v>46279.006944444402</v>
      </c>
      <c r="L164" s="1" t="s">
        <v>237</v>
      </c>
      <c r="M164" s="1" t="s">
        <v>40</v>
      </c>
      <c r="N164" s="1" t="s">
        <v>41</v>
      </c>
      <c r="O164" s="1" t="s">
        <v>42</v>
      </c>
      <c r="Q164" s="1" t="s">
        <v>42</v>
      </c>
      <c r="R164" s="1" t="s">
        <v>203</v>
      </c>
      <c r="S164" s="1" t="s">
        <v>204</v>
      </c>
      <c r="T164" s="4">
        <v>90</v>
      </c>
      <c r="U164" s="4">
        <v>90</v>
      </c>
      <c r="V164" s="4">
        <v>90</v>
      </c>
      <c r="Z164" s="1" t="s">
        <v>42</v>
      </c>
      <c r="AD164" s="1" t="s">
        <v>42</v>
      </c>
      <c r="AF164" s="1" t="s">
        <v>42</v>
      </c>
    </row>
    <row r="165" spans="1:32" x14ac:dyDescent="0.25">
      <c r="A165" s="1" t="s">
        <v>32</v>
      </c>
      <c r="B165" s="1" t="s">
        <v>33</v>
      </c>
      <c r="C165" s="1" t="s">
        <v>34</v>
      </c>
      <c r="D165" s="1" t="s">
        <v>42</v>
      </c>
      <c r="E165" s="1" t="s">
        <v>234</v>
      </c>
      <c r="F165" s="2">
        <v>46279</v>
      </c>
      <c r="G165" s="1" t="s">
        <v>235</v>
      </c>
      <c r="H165" s="3">
        <v>46279.006944444402</v>
      </c>
      <c r="I165" s="1" t="s">
        <v>236</v>
      </c>
      <c r="J165" s="2">
        <v>46279</v>
      </c>
      <c r="K165" s="3">
        <v>46279.006944444402</v>
      </c>
      <c r="L165" s="1" t="s">
        <v>237</v>
      </c>
      <c r="M165" s="1" t="s">
        <v>40</v>
      </c>
      <c r="N165" s="1" t="s">
        <v>41</v>
      </c>
      <c r="O165" s="1" t="s">
        <v>42</v>
      </c>
      <c r="Q165" s="1" t="s">
        <v>42</v>
      </c>
      <c r="R165" s="1" t="s">
        <v>51</v>
      </c>
      <c r="S165" s="1" t="s">
        <v>52</v>
      </c>
      <c r="T165" s="4">
        <v>648</v>
      </c>
      <c r="U165" s="4">
        <v>648</v>
      </c>
      <c r="V165" s="4">
        <v>648</v>
      </c>
      <c r="Z165" s="1" t="s">
        <v>42</v>
      </c>
      <c r="AD165" s="1" t="s">
        <v>42</v>
      </c>
      <c r="AF165" s="1" t="s">
        <v>42</v>
      </c>
    </row>
    <row r="166" spans="1:32" x14ac:dyDescent="0.25">
      <c r="A166" s="1" t="s">
        <v>32</v>
      </c>
      <c r="B166" s="1" t="s">
        <v>33</v>
      </c>
      <c r="C166" s="1" t="s">
        <v>34</v>
      </c>
      <c r="D166" s="1" t="s">
        <v>42</v>
      </c>
      <c r="E166" s="1" t="s">
        <v>234</v>
      </c>
      <c r="F166" s="2">
        <v>46279</v>
      </c>
      <c r="G166" s="1" t="s">
        <v>235</v>
      </c>
      <c r="H166" s="3">
        <v>46279.006944444402</v>
      </c>
      <c r="I166" s="1" t="s">
        <v>236</v>
      </c>
      <c r="J166" s="2">
        <v>46279</v>
      </c>
      <c r="K166" s="3">
        <v>46279.006944444402</v>
      </c>
      <c r="L166" s="1" t="s">
        <v>237</v>
      </c>
      <c r="M166" s="1" t="s">
        <v>40</v>
      </c>
      <c r="N166" s="1" t="s">
        <v>41</v>
      </c>
      <c r="O166" s="1" t="s">
        <v>42</v>
      </c>
      <c r="Q166" s="1" t="s">
        <v>42</v>
      </c>
      <c r="R166" s="1" t="s">
        <v>207</v>
      </c>
      <c r="S166" s="1" t="s">
        <v>208</v>
      </c>
      <c r="T166" s="4">
        <v>193.5</v>
      </c>
      <c r="U166" s="4">
        <v>193.5</v>
      </c>
      <c r="V166" s="4">
        <v>193.5</v>
      </c>
      <c r="Z166" s="1" t="s">
        <v>42</v>
      </c>
      <c r="AD166" s="1" t="s">
        <v>42</v>
      </c>
      <c r="AF166" s="1" t="s">
        <v>42</v>
      </c>
    </row>
    <row r="167" spans="1:32" x14ac:dyDescent="0.25">
      <c r="A167" s="1" t="s">
        <v>32</v>
      </c>
      <c r="B167" s="1" t="s">
        <v>33</v>
      </c>
      <c r="C167" s="1" t="s">
        <v>34</v>
      </c>
      <c r="D167" s="1" t="s">
        <v>42</v>
      </c>
      <c r="E167" s="1" t="s">
        <v>234</v>
      </c>
      <c r="F167" s="2">
        <v>46279</v>
      </c>
      <c r="G167" s="1" t="s">
        <v>235</v>
      </c>
      <c r="H167" s="3">
        <v>46279.006944444402</v>
      </c>
      <c r="I167" s="1" t="s">
        <v>236</v>
      </c>
      <c r="J167" s="2">
        <v>46279</v>
      </c>
      <c r="K167" s="3">
        <v>46279.006944444402</v>
      </c>
      <c r="L167" s="1" t="s">
        <v>237</v>
      </c>
      <c r="M167" s="1" t="s">
        <v>40</v>
      </c>
      <c r="N167" s="1" t="s">
        <v>41</v>
      </c>
      <c r="O167" s="1" t="s">
        <v>42</v>
      </c>
      <c r="Q167" s="1" t="s">
        <v>42</v>
      </c>
      <c r="R167" s="1" t="s">
        <v>55</v>
      </c>
      <c r="S167" s="1" t="s">
        <v>56</v>
      </c>
      <c r="T167" s="4">
        <v>2073.6</v>
      </c>
      <c r="U167" s="4">
        <v>2073.6</v>
      </c>
      <c r="V167" s="4">
        <v>2073.6</v>
      </c>
      <c r="Z167" s="1" t="s">
        <v>42</v>
      </c>
      <c r="AD167" s="1" t="s">
        <v>42</v>
      </c>
      <c r="AF167" s="1" t="s">
        <v>42</v>
      </c>
    </row>
    <row r="168" spans="1:32" x14ac:dyDescent="0.25">
      <c r="A168" s="1" t="s">
        <v>32</v>
      </c>
      <c r="B168" s="1" t="s">
        <v>33</v>
      </c>
      <c r="C168" s="1" t="s">
        <v>34</v>
      </c>
      <c r="D168" s="1" t="s">
        <v>42</v>
      </c>
      <c r="E168" s="1" t="s">
        <v>234</v>
      </c>
      <c r="F168" s="2">
        <v>46279</v>
      </c>
      <c r="G168" s="1" t="s">
        <v>235</v>
      </c>
      <c r="H168" s="3">
        <v>46279.006944444402</v>
      </c>
      <c r="I168" s="1" t="s">
        <v>236</v>
      </c>
      <c r="J168" s="2">
        <v>46279</v>
      </c>
      <c r="K168" s="3">
        <v>46279.006944444402</v>
      </c>
      <c r="L168" s="1" t="s">
        <v>237</v>
      </c>
      <c r="M168" s="1" t="s">
        <v>40</v>
      </c>
      <c r="N168" s="1" t="s">
        <v>41</v>
      </c>
      <c r="O168" s="1" t="s">
        <v>42</v>
      </c>
      <c r="Q168" s="1" t="s">
        <v>42</v>
      </c>
      <c r="R168" s="1" t="s">
        <v>57</v>
      </c>
      <c r="S168" s="1" t="s">
        <v>58</v>
      </c>
      <c r="T168" s="4">
        <v>583.20000000000005</v>
      </c>
      <c r="U168" s="4">
        <v>583.20000000000005</v>
      </c>
      <c r="V168" s="4">
        <v>583.20000000000005</v>
      </c>
      <c r="Z168" s="1" t="s">
        <v>42</v>
      </c>
      <c r="AD168" s="1" t="s">
        <v>42</v>
      </c>
      <c r="AF168" s="1" t="s">
        <v>42</v>
      </c>
    </row>
    <row r="169" spans="1:32" x14ac:dyDescent="0.25">
      <c r="A169" s="1" t="s">
        <v>32</v>
      </c>
      <c r="B169" s="1" t="s">
        <v>33</v>
      </c>
      <c r="C169" s="1" t="s">
        <v>34</v>
      </c>
      <c r="D169" s="1" t="s">
        <v>42</v>
      </c>
      <c r="E169" s="1" t="s">
        <v>234</v>
      </c>
      <c r="F169" s="2">
        <v>46279</v>
      </c>
      <c r="G169" s="1" t="s">
        <v>235</v>
      </c>
      <c r="H169" s="3">
        <v>46279.006944444402</v>
      </c>
      <c r="I169" s="1" t="s">
        <v>236</v>
      </c>
      <c r="J169" s="2">
        <v>46279</v>
      </c>
      <c r="K169" s="3">
        <v>46279.006944444402</v>
      </c>
      <c r="L169" s="1" t="s">
        <v>237</v>
      </c>
      <c r="M169" s="1" t="s">
        <v>40</v>
      </c>
      <c r="N169" s="1" t="s">
        <v>41</v>
      </c>
      <c r="O169" s="1" t="s">
        <v>42</v>
      </c>
      <c r="Q169" s="1" t="s">
        <v>42</v>
      </c>
      <c r="R169" s="1" t="s">
        <v>238</v>
      </c>
      <c r="S169" s="1" t="s">
        <v>239</v>
      </c>
      <c r="T169" s="4">
        <v>12</v>
      </c>
      <c r="U169" s="4">
        <v>12</v>
      </c>
      <c r="V169" s="4">
        <v>12</v>
      </c>
      <c r="Z169" s="1" t="s">
        <v>42</v>
      </c>
      <c r="AD169" s="1" t="s">
        <v>42</v>
      </c>
      <c r="AF169" s="1" t="s">
        <v>42</v>
      </c>
    </row>
    <row r="170" spans="1:32" x14ac:dyDescent="0.25">
      <c r="A170" s="1" t="s">
        <v>32</v>
      </c>
      <c r="B170" s="1" t="s">
        <v>33</v>
      </c>
      <c r="C170" s="1" t="s">
        <v>34</v>
      </c>
      <c r="D170" s="1" t="s">
        <v>42</v>
      </c>
      <c r="E170" s="1" t="s">
        <v>234</v>
      </c>
      <c r="F170" s="2">
        <v>46279</v>
      </c>
      <c r="G170" s="1" t="s">
        <v>235</v>
      </c>
      <c r="H170" s="3">
        <v>46279.006944444402</v>
      </c>
      <c r="I170" s="1" t="s">
        <v>236</v>
      </c>
      <c r="J170" s="2">
        <v>46279</v>
      </c>
      <c r="K170" s="3">
        <v>46279.006944444402</v>
      </c>
      <c r="L170" s="1" t="s">
        <v>237</v>
      </c>
      <c r="M170" s="1" t="s">
        <v>40</v>
      </c>
      <c r="N170" s="1" t="s">
        <v>41</v>
      </c>
      <c r="O170" s="1" t="s">
        <v>42</v>
      </c>
      <c r="Q170" s="1" t="s">
        <v>42</v>
      </c>
      <c r="R170" s="1" t="s">
        <v>65</v>
      </c>
      <c r="S170" s="1" t="s">
        <v>66</v>
      </c>
      <c r="T170" s="4">
        <v>28</v>
      </c>
      <c r="W170" s="4">
        <v>-28</v>
      </c>
      <c r="X170" s="1" t="s">
        <v>67</v>
      </c>
      <c r="Y170" s="1" t="s">
        <v>68</v>
      </c>
      <c r="Z170" s="1" t="s">
        <v>42</v>
      </c>
      <c r="AD170" s="1" t="s">
        <v>42</v>
      </c>
      <c r="AE170" s="1" t="s">
        <v>211</v>
      </c>
      <c r="AF170" s="1" t="s">
        <v>42</v>
      </c>
    </row>
    <row r="171" spans="1:32" x14ac:dyDescent="0.25">
      <c r="A171" s="1" t="s">
        <v>32</v>
      </c>
      <c r="B171" s="1" t="s">
        <v>33</v>
      </c>
      <c r="C171" s="1" t="s">
        <v>34</v>
      </c>
      <c r="D171" s="1" t="s">
        <v>42</v>
      </c>
      <c r="E171" s="1" t="s">
        <v>234</v>
      </c>
      <c r="F171" s="2">
        <v>46279</v>
      </c>
      <c r="G171" s="1" t="s">
        <v>235</v>
      </c>
      <c r="H171" s="3">
        <v>46279.006944444402</v>
      </c>
      <c r="I171" s="1" t="s">
        <v>236</v>
      </c>
      <c r="J171" s="2">
        <v>46279</v>
      </c>
      <c r="K171" s="3">
        <v>46279.006944444402</v>
      </c>
      <c r="L171" s="1" t="s">
        <v>237</v>
      </c>
      <c r="M171" s="1" t="s">
        <v>40</v>
      </c>
      <c r="N171" s="1" t="s">
        <v>41</v>
      </c>
      <c r="O171" s="1" t="s">
        <v>42</v>
      </c>
      <c r="Q171" s="1" t="s">
        <v>42</v>
      </c>
      <c r="R171" s="1" t="s">
        <v>70</v>
      </c>
      <c r="S171" s="1" t="s">
        <v>71</v>
      </c>
      <c r="T171" s="4">
        <v>59.5</v>
      </c>
      <c r="U171" s="4">
        <v>59.5</v>
      </c>
      <c r="V171" s="4">
        <v>59.5</v>
      </c>
      <c r="Z171" s="1" t="s">
        <v>42</v>
      </c>
      <c r="AD171" s="1" t="s">
        <v>42</v>
      </c>
      <c r="AF171" s="1" t="s">
        <v>42</v>
      </c>
    </row>
    <row r="172" spans="1:32" x14ac:dyDescent="0.25">
      <c r="A172" s="1" t="s">
        <v>32</v>
      </c>
      <c r="B172" s="1" t="s">
        <v>33</v>
      </c>
      <c r="C172" s="1" t="s">
        <v>34</v>
      </c>
      <c r="D172" s="1" t="s">
        <v>42</v>
      </c>
      <c r="E172" s="1" t="s">
        <v>234</v>
      </c>
      <c r="F172" s="2">
        <v>46279</v>
      </c>
      <c r="G172" s="1" t="s">
        <v>235</v>
      </c>
      <c r="H172" s="3">
        <v>46279.006944444402</v>
      </c>
      <c r="I172" s="1" t="s">
        <v>236</v>
      </c>
      <c r="J172" s="2">
        <v>46279</v>
      </c>
      <c r="K172" s="3">
        <v>46279.006944444402</v>
      </c>
      <c r="L172" s="1" t="s">
        <v>237</v>
      </c>
      <c r="M172" s="1" t="s">
        <v>40</v>
      </c>
      <c r="N172" s="1" t="s">
        <v>41</v>
      </c>
      <c r="O172" s="1" t="s">
        <v>42</v>
      </c>
      <c r="Q172" s="1" t="s">
        <v>42</v>
      </c>
      <c r="R172" s="1" t="s">
        <v>74</v>
      </c>
      <c r="S172" s="1" t="s">
        <v>75</v>
      </c>
      <c r="T172" s="4">
        <v>252</v>
      </c>
      <c r="U172" s="4">
        <v>252</v>
      </c>
      <c r="V172" s="4">
        <v>252</v>
      </c>
      <c r="Z172" s="1" t="s">
        <v>42</v>
      </c>
      <c r="AD172" s="1" t="s">
        <v>42</v>
      </c>
      <c r="AF172" s="1" t="s">
        <v>42</v>
      </c>
    </row>
    <row r="173" spans="1:32" x14ac:dyDescent="0.25">
      <c r="A173" s="1" t="s">
        <v>32</v>
      </c>
      <c r="B173" s="1" t="s">
        <v>33</v>
      </c>
      <c r="C173" s="1" t="s">
        <v>34</v>
      </c>
      <c r="D173" s="1" t="s">
        <v>42</v>
      </c>
      <c r="E173" s="1" t="s">
        <v>234</v>
      </c>
      <c r="F173" s="2">
        <v>46279</v>
      </c>
      <c r="G173" s="1" t="s">
        <v>235</v>
      </c>
      <c r="H173" s="3">
        <v>46279.006944444402</v>
      </c>
      <c r="I173" s="1" t="s">
        <v>236</v>
      </c>
      <c r="J173" s="2">
        <v>46279</v>
      </c>
      <c r="K173" s="3">
        <v>46279.006944444402</v>
      </c>
      <c r="L173" s="1" t="s">
        <v>237</v>
      </c>
      <c r="M173" s="1" t="s">
        <v>40</v>
      </c>
      <c r="N173" s="1" t="s">
        <v>41</v>
      </c>
      <c r="O173" s="1" t="s">
        <v>42</v>
      </c>
      <c r="Q173" s="1" t="s">
        <v>42</v>
      </c>
      <c r="R173" s="1" t="s">
        <v>240</v>
      </c>
      <c r="S173" s="1" t="s">
        <v>241</v>
      </c>
      <c r="T173" s="4">
        <v>24.3</v>
      </c>
      <c r="U173" s="4">
        <v>24.3</v>
      </c>
      <c r="V173" s="4">
        <v>24.3</v>
      </c>
      <c r="Z173" s="1" t="s">
        <v>42</v>
      </c>
      <c r="AD173" s="1" t="s">
        <v>42</v>
      </c>
      <c r="AF173" s="1" t="s">
        <v>42</v>
      </c>
    </row>
    <row r="174" spans="1:32" x14ac:dyDescent="0.25">
      <c r="A174" s="1" t="s">
        <v>32</v>
      </c>
      <c r="B174" s="1" t="s">
        <v>33</v>
      </c>
      <c r="C174" s="1" t="s">
        <v>34</v>
      </c>
      <c r="D174" s="1" t="s">
        <v>42</v>
      </c>
      <c r="E174" s="1" t="s">
        <v>234</v>
      </c>
      <c r="F174" s="2">
        <v>46279</v>
      </c>
      <c r="G174" s="1" t="s">
        <v>235</v>
      </c>
      <c r="H174" s="3">
        <v>46279.006944444402</v>
      </c>
      <c r="I174" s="1" t="s">
        <v>236</v>
      </c>
      <c r="J174" s="2">
        <v>46279</v>
      </c>
      <c r="K174" s="3">
        <v>46279.006944444402</v>
      </c>
      <c r="L174" s="1" t="s">
        <v>237</v>
      </c>
      <c r="M174" s="1" t="s">
        <v>40</v>
      </c>
      <c r="N174" s="1" t="s">
        <v>41</v>
      </c>
      <c r="O174" s="1" t="s">
        <v>42</v>
      </c>
      <c r="Q174" s="1" t="s">
        <v>42</v>
      </c>
      <c r="R174" s="1" t="s">
        <v>76</v>
      </c>
      <c r="S174" s="1" t="s">
        <v>77</v>
      </c>
      <c r="T174" s="4">
        <v>99.12</v>
      </c>
      <c r="U174" s="4">
        <v>99.12</v>
      </c>
      <c r="V174" s="4">
        <v>99.12</v>
      </c>
      <c r="Z174" s="1" t="s">
        <v>42</v>
      </c>
      <c r="AD174" s="1" t="s">
        <v>42</v>
      </c>
      <c r="AF174" s="1" t="s">
        <v>42</v>
      </c>
    </row>
    <row r="175" spans="1:32" x14ac:dyDescent="0.25">
      <c r="A175" s="1" t="s">
        <v>32</v>
      </c>
      <c r="B175" s="1" t="s">
        <v>33</v>
      </c>
      <c r="C175" s="1" t="s">
        <v>34</v>
      </c>
      <c r="D175" s="1" t="s">
        <v>42</v>
      </c>
      <c r="E175" s="1" t="s">
        <v>234</v>
      </c>
      <c r="F175" s="2">
        <v>46279</v>
      </c>
      <c r="G175" s="1" t="s">
        <v>235</v>
      </c>
      <c r="H175" s="3">
        <v>46279.006944444402</v>
      </c>
      <c r="I175" s="1" t="s">
        <v>236</v>
      </c>
      <c r="J175" s="2">
        <v>46279</v>
      </c>
      <c r="K175" s="3">
        <v>46279.006944444402</v>
      </c>
      <c r="L175" s="1" t="s">
        <v>237</v>
      </c>
      <c r="M175" s="1" t="s">
        <v>40</v>
      </c>
      <c r="N175" s="1" t="s">
        <v>41</v>
      </c>
      <c r="O175" s="1" t="s">
        <v>42</v>
      </c>
      <c r="Q175" s="1" t="s">
        <v>42</v>
      </c>
      <c r="R175" s="1" t="s">
        <v>242</v>
      </c>
      <c r="S175" s="1" t="s">
        <v>243</v>
      </c>
      <c r="T175" s="4">
        <v>19.8</v>
      </c>
      <c r="U175" s="4">
        <v>19.8</v>
      </c>
      <c r="V175" s="4">
        <v>19.8</v>
      </c>
      <c r="Z175" s="1" t="s">
        <v>42</v>
      </c>
      <c r="AD175" s="1" t="s">
        <v>42</v>
      </c>
      <c r="AF175" s="1" t="s">
        <v>42</v>
      </c>
    </row>
    <row r="176" spans="1:32" x14ac:dyDescent="0.25">
      <c r="A176" s="1" t="s">
        <v>32</v>
      </c>
      <c r="B176" s="1" t="s">
        <v>33</v>
      </c>
      <c r="C176" s="1" t="s">
        <v>34</v>
      </c>
      <c r="D176" s="1" t="s">
        <v>42</v>
      </c>
      <c r="E176" s="1" t="s">
        <v>234</v>
      </c>
      <c r="F176" s="2">
        <v>46279</v>
      </c>
      <c r="G176" s="1" t="s">
        <v>235</v>
      </c>
      <c r="H176" s="3">
        <v>46279.006944444402</v>
      </c>
      <c r="I176" s="1" t="s">
        <v>236</v>
      </c>
      <c r="J176" s="2">
        <v>46279</v>
      </c>
      <c r="K176" s="3">
        <v>46279.006944444402</v>
      </c>
      <c r="L176" s="1" t="s">
        <v>237</v>
      </c>
      <c r="M176" s="1" t="s">
        <v>40</v>
      </c>
      <c r="N176" s="1" t="s">
        <v>41</v>
      </c>
      <c r="O176" s="1" t="s">
        <v>42</v>
      </c>
      <c r="Q176" s="1" t="s">
        <v>42</v>
      </c>
      <c r="R176" s="1" t="s">
        <v>78</v>
      </c>
      <c r="S176" s="1" t="s">
        <v>79</v>
      </c>
      <c r="T176" s="4">
        <v>15.12</v>
      </c>
      <c r="U176" s="4">
        <v>15.12</v>
      </c>
      <c r="V176" s="4">
        <v>15.12</v>
      </c>
      <c r="Z176" s="1" t="s">
        <v>42</v>
      </c>
      <c r="AD176" s="1" t="s">
        <v>42</v>
      </c>
      <c r="AF176" s="1" t="s">
        <v>42</v>
      </c>
    </row>
    <row r="177" spans="1:32" x14ac:dyDescent="0.25">
      <c r="A177" s="1" t="s">
        <v>32</v>
      </c>
      <c r="B177" s="1" t="s">
        <v>33</v>
      </c>
      <c r="C177" s="1" t="s">
        <v>34</v>
      </c>
      <c r="D177" s="1" t="s">
        <v>42</v>
      </c>
      <c r="E177" s="1" t="s">
        <v>234</v>
      </c>
      <c r="F177" s="2">
        <v>46279</v>
      </c>
      <c r="G177" s="1" t="s">
        <v>235</v>
      </c>
      <c r="H177" s="3">
        <v>46279.006944444402</v>
      </c>
      <c r="I177" s="1" t="s">
        <v>236</v>
      </c>
      <c r="J177" s="2">
        <v>46279</v>
      </c>
      <c r="K177" s="3">
        <v>46279.006944444402</v>
      </c>
      <c r="L177" s="1" t="s">
        <v>237</v>
      </c>
      <c r="M177" s="1" t="s">
        <v>40</v>
      </c>
      <c r="N177" s="1" t="s">
        <v>41</v>
      </c>
      <c r="O177" s="1" t="s">
        <v>42</v>
      </c>
      <c r="Q177" s="1" t="s">
        <v>42</v>
      </c>
      <c r="R177" s="1" t="s">
        <v>244</v>
      </c>
      <c r="S177" s="1" t="s">
        <v>245</v>
      </c>
      <c r="T177" s="4">
        <v>22.5</v>
      </c>
      <c r="U177" s="4">
        <v>22.5</v>
      </c>
      <c r="V177" s="4">
        <v>22.5</v>
      </c>
      <c r="Z177" s="1" t="s">
        <v>42</v>
      </c>
      <c r="AD177" s="1" t="s">
        <v>42</v>
      </c>
      <c r="AF177" s="1" t="s">
        <v>42</v>
      </c>
    </row>
    <row r="178" spans="1:32" x14ac:dyDescent="0.25">
      <c r="A178" s="1" t="s">
        <v>32</v>
      </c>
      <c r="B178" s="1" t="s">
        <v>33</v>
      </c>
      <c r="C178" s="1" t="s">
        <v>34</v>
      </c>
      <c r="D178" s="1" t="s">
        <v>42</v>
      </c>
      <c r="E178" s="1" t="s">
        <v>234</v>
      </c>
      <c r="F178" s="2">
        <v>46279</v>
      </c>
      <c r="G178" s="1" t="s">
        <v>235</v>
      </c>
      <c r="H178" s="3">
        <v>46279.006944444402</v>
      </c>
      <c r="I178" s="1" t="s">
        <v>236</v>
      </c>
      <c r="J178" s="2">
        <v>46279</v>
      </c>
      <c r="K178" s="3">
        <v>46279.006944444402</v>
      </c>
      <c r="L178" s="1" t="s">
        <v>237</v>
      </c>
      <c r="M178" s="1" t="s">
        <v>40</v>
      </c>
      <c r="N178" s="1" t="s">
        <v>41</v>
      </c>
      <c r="O178" s="1" t="s">
        <v>42</v>
      </c>
      <c r="Q178" s="1" t="s">
        <v>42</v>
      </c>
      <c r="R178" s="1" t="s">
        <v>81</v>
      </c>
      <c r="S178" s="1" t="s">
        <v>82</v>
      </c>
      <c r="T178" s="4">
        <v>99.12</v>
      </c>
      <c r="W178" s="4">
        <v>-99.12</v>
      </c>
      <c r="X178" s="1" t="s">
        <v>67</v>
      </c>
      <c r="Y178" s="1" t="s">
        <v>68</v>
      </c>
      <c r="Z178" s="1" t="s">
        <v>42</v>
      </c>
      <c r="AD178" s="1" t="s">
        <v>42</v>
      </c>
      <c r="AE178" s="1" t="s">
        <v>211</v>
      </c>
      <c r="AF178" s="1" t="s">
        <v>42</v>
      </c>
    </row>
    <row r="179" spans="1:32" x14ac:dyDescent="0.25">
      <c r="A179" s="1" t="s">
        <v>32</v>
      </c>
      <c r="B179" s="1" t="s">
        <v>33</v>
      </c>
      <c r="C179" s="1" t="s">
        <v>34</v>
      </c>
      <c r="D179" s="1" t="s">
        <v>42</v>
      </c>
      <c r="E179" s="1" t="s">
        <v>234</v>
      </c>
      <c r="F179" s="2">
        <v>46279</v>
      </c>
      <c r="G179" s="1" t="s">
        <v>235</v>
      </c>
      <c r="H179" s="3">
        <v>46279.006944444402</v>
      </c>
      <c r="I179" s="1" t="s">
        <v>236</v>
      </c>
      <c r="J179" s="2">
        <v>46279</v>
      </c>
      <c r="K179" s="3">
        <v>46279.006944444402</v>
      </c>
      <c r="L179" s="1" t="s">
        <v>237</v>
      </c>
      <c r="M179" s="1" t="s">
        <v>40</v>
      </c>
      <c r="N179" s="1" t="s">
        <v>41</v>
      </c>
      <c r="O179" s="1" t="s">
        <v>42</v>
      </c>
      <c r="Q179" s="1" t="s">
        <v>42</v>
      </c>
      <c r="R179" s="1" t="s">
        <v>91</v>
      </c>
      <c r="S179" s="1" t="s">
        <v>92</v>
      </c>
      <c r="T179" s="4">
        <v>5.4</v>
      </c>
      <c r="W179" s="4">
        <v>-5.4</v>
      </c>
      <c r="X179" s="1" t="s">
        <v>93</v>
      </c>
      <c r="Z179" s="1" t="s">
        <v>42</v>
      </c>
      <c r="AD179" s="1" t="s">
        <v>42</v>
      </c>
      <c r="AF179" s="1" t="s">
        <v>42</v>
      </c>
    </row>
    <row r="180" spans="1:32" x14ac:dyDescent="0.25">
      <c r="A180" s="1" t="s">
        <v>32</v>
      </c>
      <c r="B180" s="1" t="s">
        <v>33</v>
      </c>
      <c r="C180" s="1" t="s">
        <v>34</v>
      </c>
      <c r="D180" s="1" t="s">
        <v>42</v>
      </c>
      <c r="E180" s="1" t="s">
        <v>234</v>
      </c>
      <c r="F180" s="2">
        <v>46279</v>
      </c>
      <c r="G180" s="1" t="s">
        <v>235</v>
      </c>
      <c r="H180" s="3">
        <v>46279.006944444402</v>
      </c>
      <c r="I180" s="1" t="s">
        <v>236</v>
      </c>
      <c r="J180" s="2">
        <v>46279</v>
      </c>
      <c r="K180" s="3">
        <v>46279.006944444402</v>
      </c>
      <c r="L180" s="1" t="s">
        <v>237</v>
      </c>
      <c r="M180" s="1" t="s">
        <v>40</v>
      </c>
      <c r="N180" s="1" t="s">
        <v>41</v>
      </c>
      <c r="O180" s="1" t="s">
        <v>42</v>
      </c>
      <c r="Q180" s="1" t="s">
        <v>42</v>
      </c>
      <c r="R180" s="1" t="s">
        <v>94</v>
      </c>
      <c r="S180" s="1" t="s">
        <v>95</v>
      </c>
      <c r="T180" s="4">
        <v>13.6</v>
      </c>
      <c r="U180" s="4">
        <v>13.6</v>
      </c>
      <c r="V180" s="4">
        <v>13.6</v>
      </c>
      <c r="Z180" s="1" t="s">
        <v>42</v>
      </c>
      <c r="AD180" s="1" t="s">
        <v>42</v>
      </c>
      <c r="AF180" s="1" t="s">
        <v>42</v>
      </c>
    </row>
    <row r="181" spans="1:32" x14ac:dyDescent="0.25">
      <c r="A181" s="1" t="s">
        <v>32</v>
      </c>
      <c r="B181" s="1" t="s">
        <v>33</v>
      </c>
      <c r="C181" s="1" t="s">
        <v>34</v>
      </c>
      <c r="D181" s="1" t="s">
        <v>42</v>
      </c>
      <c r="E181" s="1" t="s">
        <v>234</v>
      </c>
      <c r="F181" s="2">
        <v>46279</v>
      </c>
      <c r="G181" s="1" t="s">
        <v>235</v>
      </c>
      <c r="H181" s="3">
        <v>46279.006944444402</v>
      </c>
      <c r="I181" s="1" t="s">
        <v>236</v>
      </c>
      <c r="J181" s="2">
        <v>46279</v>
      </c>
      <c r="K181" s="3">
        <v>46279.006944444402</v>
      </c>
      <c r="L181" s="1" t="s">
        <v>237</v>
      </c>
      <c r="M181" s="1" t="s">
        <v>40</v>
      </c>
      <c r="N181" s="1" t="s">
        <v>41</v>
      </c>
      <c r="O181" s="1" t="s">
        <v>42</v>
      </c>
      <c r="Q181" s="1" t="s">
        <v>42</v>
      </c>
      <c r="R181" s="1" t="s">
        <v>96</v>
      </c>
      <c r="S181" s="1" t="s">
        <v>97</v>
      </c>
      <c r="T181" s="4">
        <v>54.6</v>
      </c>
      <c r="U181" s="4">
        <v>54.6</v>
      </c>
      <c r="V181" s="4">
        <v>54.6</v>
      </c>
      <c r="Z181" s="1" t="s">
        <v>42</v>
      </c>
      <c r="AD181" s="1" t="s">
        <v>42</v>
      </c>
      <c r="AF181" s="1" t="s">
        <v>42</v>
      </c>
    </row>
    <row r="182" spans="1:32" x14ac:dyDescent="0.25">
      <c r="A182" s="1" t="s">
        <v>32</v>
      </c>
      <c r="B182" s="1" t="s">
        <v>33</v>
      </c>
      <c r="C182" s="1" t="s">
        <v>34</v>
      </c>
      <c r="D182" s="1" t="s">
        <v>42</v>
      </c>
      <c r="E182" s="1" t="s">
        <v>234</v>
      </c>
      <c r="F182" s="2">
        <v>46279</v>
      </c>
      <c r="G182" s="1" t="s">
        <v>235</v>
      </c>
      <c r="H182" s="3">
        <v>46279.006944444402</v>
      </c>
      <c r="I182" s="1" t="s">
        <v>236</v>
      </c>
      <c r="J182" s="2">
        <v>46279</v>
      </c>
      <c r="K182" s="3">
        <v>46279.006944444402</v>
      </c>
      <c r="L182" s="1" t="s">
        <v>237</v>
      </c>
      <c r="M182" s="1" t="s">
        <v>40</v>
      </c>
      <c r="N182" s="1" t="s">
        <v>41</v>
      </c>
      <c r="O182" s="1" t="s">
        <v>42</v>
      </c>
      <c r="Q182" s="1" t="s">
        <v>42</v>
      </c>
      <c r="R182" s="1" t="s">
        <v>98</v>
      </c>
      <c r="S182" s="1" t="s">
        <v>99</v>
      </c>
      <c r="T182" s="4">
        <v>2.52</v>
      </c>
      <c r="U182" s="4">
        <v>2.52</v>
      </c>
      <c r="V182" s="4">
        <v>2.52</v>
      </c>
      <c r="Z182" s="1" t="s">
        <v>42</v>
      </c>
      <c r="AD182" s="1" t="s">
        <v>42</v>
      </c>
      <c r="AF182" s="1" t="s">
        <v>42</v>
      </c>
    </row>
    <row r="183" spans="1:32" x14ac:dyDescent="0.25">
      <c r="A183" s="1" t="s">
        <v>32</v>
      </c>
      <c r="B183" s="1" t="s">
        <v>33</v>
      </c>
      <c r="C183" s="1" t="s">
        <v>34</v>
      </c>
      <c r="D183" s="1" t="s">
        <v>42</v>
      </c>
      <c r="E183" s="1" t="s">
        <v>234</v>
      </c>
      <c r="F183" s="2">
        <v>46279</v>
      </c>
      <c r="G183" s="1" t="s">
        <v>235</v>
      </c>
      <c r="H183" s="3">
        <v>46279.006944444402</v>
      </c>
      <c r="I183" s="1" t="s">
        <v>236</v>
      </c>
      <c r="J183" s="2">
        <v>46279</v>
      </c>
      <c r="K183" s="3">
        <v>46279.006944444402</v>
      </c>
      <c r="L183" s="1" t="s">
        <v>237</v>
      </c>
      <c r="M183" s="1" t="s">
        <v>40</v>
      </c>
      <c r="N183" s="1" t="s">
        <v>41</v>
      </c>
      <c r="O183" s="1" t="s">
        <v>42</v>
      </c>
      <c r="Q183" s="1" t="s">
        <v>42</v>
      </c>
      <c r="R183" s="1" t="s">
        <v>100</v>
      </c>
      <c r="S183" s="1" t="s">
        <v>101</v>
      </c>
      <c r="T183" s="4">
        <v>5.04</v>
      </c>
      <c r="U183" s="4">
        <v>5.04</v>
      </c>
      <c r="V183" s="4">
        <v>5.04</v>
      </c>
      <c r="Z183" s="1" t="s">
        <v>42</v>
      </c>
      <c r="AD183" s="1" t="s">
        <v>42</v>
      </c>
      <c r="AF183" s="1" t="s">
        <v>42</v>
      </c>
    </row>
    <row r="184" spans="1:32" x14ac:dyDescent="0.25">
      <c r="A184" s="1" t="s">
        <v>32</v>
      </c>
      <c r="B184" s="1" t="s">
        <v>33</v>
      </c>
      <c r="C184" s="1" t="s">
        <v>34</v>
      </c>
      <c r="D184" s="1" t="s">
        <v>42</v>
      </c>
      <c r="E184" s="1" t="s">
        <v>234</v>
      </c>
      <c r="F184" s="2">
        <v>46279</v>
      </c>
      <c r="G184" s="1" t="s">
        <v>235</v>
      </c>
      <c r="H184" s="3">
        <v>46279.006944444402</v>
      </c>
      <c r="I184" s="1" t="s">
        <v>236</v>
      </c>
      <c r="J184" s="2">
        <v>46279</v>
      </c>
      <c r="K184" s="3">
        <v>46279.006944444402</v>
      </c>
      <c r="L184" s="1" t="s">
        <v>237</v>
      </c>
      <c r="M184" s="1" t="s">
        <v>40</v>
      </c>
      <c r="N184" s="1" t="s">
        <v>41</v>
      </c>
      <c r="O184" s="1" t="s">
        <v>42</v>
      </c>
      <c r="Q184" s="1" t="s">
        <v>42</v>
      </c>
      <c r="R184" s="1" t="s">
        <v>209</v>
      </c>
      <c r="S184" s="1" t="s">
        <v>210</v>
      </c>
      <c r="T184" s="4">
        <v>2.52</v>
      </c>
      <c r="U184" s="4">
        <v>2.52</v>
      </c>
      <c r="V184" s="4">
        <v>2.52</v>
      </c>
      <c r="Z184" s="1" t="s">
        <v>42</v>
      </c>
      <c r="AD184" s="1" t="s">
        <v>42</v>
      </c>
      <c r="AF184" s="1" t="s">
        <v>42</v>
      </c>
    </row>
    <row r="185" spans="1:32" x14ac:dyDescent="0.25">
      <c r="A185" s="1" t="s">
        <v>32</v>
      </c>
      <c r="B185" s="1" t="s">
        <v>33</v>
      </c>
      <c r="C185" s="1" t="s">
        <v>34</v>
      </c>
      <c r="D185" s="1" t="s">
        <v>42</v>
      </c>
      <c r="E185" s="1" t="s">
        <v>234</v>
      </c>
      <c r="F185" s="2">
        <v>46279</v>
      </c>
      <c r="G185" s="1" t="s">
        <v>235</v>
      </c>
      <c r="H185" s="3">
        <v>46279.006944444402</v>
      </c>
      <c r="I185" s="1" t="s">
        <v>236</v>
      </c>
      <c r="J185" s="2">
        <v>46279</v>
      </c>
      <c r="K185" s="3">
        <v>46279.006944444402</v>
      </c>
      <c r="L185" s="1" t="s">
        <v>237</v>
      </c>
      <c r="M185" s="1" t="s">
        <v>40</v>
      </c>
      <c r="N185" s="1" t="s">
        <v>41</v>
      </c>
      <c r="O185" s="1" t="s">
        <v>42</v>
      </c>
      <c r="Q185" s="1" t="s">
        <v>42</v>
      </c>
      <c r="R185" s="1" t="s">
        <v>104</v>
      </c>
      <c r="S185" s="1" t="s">
        <v>105</v>
      </c>
      <c r="T185" s="4">
        <v>59.4</v>
      </c>
      <c r="W185" s="4">
        <v>-59.4</v>
      </c>
      <c r="X185" s="1" t="s">
        <v>67</v>
      </c>
      <c r="Y185" s="1" t="s">
        <v>68</v>
      </c>
      <c r="Z185" s="1" t="s">
        <v>42</v>
      </c>
      <c r="AD185" s="1" t="s">
        <v>42</v>
      </c>
      <c r="AE185" s="1" t="s">
        <v>211</v>
      </c>
      <c r="AF185" s="1" t="s">
        <v>42</v>
      </c>
    </row>
    <row r="186" spans="1:32" x14ac:dyDescent="0.25">
      <c r="A186" s="1" t="s">
        <v>32</v>
      </c>
      <c r="B186" s="1" t="s">
        <v>33</v>
      </c>
      <c r="C186" s="1" t="s">
        <v>34</v>
      </c>
      <c r="D186" s="1" t="s">
        <v>42</v>
      </c>
      <c r="E186" s="1" t="s">
        <v>234</v>
      </c>
      <c r="F186" s="2">
        <v>46279</v>
      </c>
      <c r="G186" s="1" t="s">
        <v>235</v>
      </c>
      <c r="H186" s="3">
        <v>46279.006944444402</v>
      </c>
      <c r="I186" s="1" t="s">
        <v>236</v>
      </c>
      <c r="J186" s="2">
        <v>46279</v>
      </c>
      <c r="K186" s="3">
        <v>46279.006944444402</v>
      </c>
      <c r="L186" s="1" t="s">
        <v>237</v>
      </c>
      <c r="M186" s="1" t="s">
        <v>40</v>
      </c>
      <c r="N186" s="1" t="s">
        <v>41</v>
      </c>
      <c r="O186" s="1" t="s">
        <v>42</v>
      </c>
      <c r="Q186" s="1" t="s">
        <v>42</v>
      </c>
      <c r="R186" s="1" t="s">
        <v>106</v>
      </c>
      <c r="S186" s="1" t="s">
        <v>107</v>
      </c>
      <c r="T186" s="4">
        <v>151.19999999999999</v>
      </c>
      <c r="W186" s="4">
        <v>-151.19999999999999</v>
      </c>
      <c r="X186" s="1" t="s">
        <v>67</v>
      </c>
      <c r="Y186" s="1" t="s">
        <v>68</v>
      </c>
      <c r="Z186" s="1" t="s">
        <v>42</v>
      </c>
      <c r="AD186" s="1" t="s">
        <v>42</v>
      </c>
      <c r="AE186" s="1" t="s">
        <v>211</v>
      </c>
      <c r="AF186" s="1" t="s">
        <v>42</v>
      </c>
    </row>
    <row r="187" spans="1:32" x14ac:dyDescent="0.25">
      <c r="A187" s="1" t="s">
        <v>32</v>
      </c>
      <c r="B187" s="1" t="s">
        <v>33</v>
      </c>
      <c r="C187" s="1" t="s">
        <v>34</v>
      </c>
      <c r="D187" s="1" t="s">
        <v>42</v>
      </c>
      <c r="E187" s="1" t="s">
        <v>234</v>
      </c>
      <c r="F187" s="2">
        <v>46279</v>
      </c>
      <c r="G187" s="1" t="s">
        <v>235</v>
      </c>
      <c r="H187" s="3">
        <v>46279.006944444402</v>
      </c>
      <c r="I187" s="1" t="s">
        <v>236</v>
      </c>
      <c r="J187" s="2">
        <v>46279</v>
      </c>
      <c r="K187" s="3">
        <v>46279.006944444402</v>
      </c>
      <c r="L187" s="1" t="s">
        <v>237</v>
      </c>
      <c r="M187" s="1" t="s">
        <v>40</v>
      </c>
      <c r="N187" s="1" t="s">
        <v>41</v>
      </c>
      <c r="O187" s="1" t="s">
        <v>42</v>
      </c>
      <c r="Q187" s="1" t="s">
        <v>42</v>
      </c>
      <c r="R187" s="1" t="s">
        <v>108</v>
      </c>
      <c r="S187" s="1" t="s">
        <v>109</v>
      </c>
      <c r="T187" s="4">
        <v>21.6</v>
      </c>
      <c r="W187" s="4">
        <v>-21.6</v>
      </c>
      <c r="X187" s="1" t="s">
        <v>67</v>
      </c>
      <c r="Y187" s="1" t="s">
        <v>68</v>
      </c>
      <c r="Z187" s="1" t="s">
        <v>42</v>
      </c>
      <c r="AD187" s="1" t="s">
        <v>42</v>
      </c>
      <c r="AE187" s="1" t="s">
        <v>211</v>
      </c>
      <c r="AF187" s="1" t="s">
        <v>42</v>
      </c>
    </row>
    <row r="188" spans="1:32" x14ac:dyDescent="0.25">
      <c r="A188" s="1" t="s">
        <v>32</v>
      </c>
      <c r="B188" s="1" t="s">
        <v>33</v>
      </c>
      <c r="C188" s="1" t="s">
        <v>34</v>
      </c>
      <c r="D188" s="1" t="s">
        <v>42</v>
      </c>
      <c r="E188" s="1" t="s">
        <v>234</v>
      </c>
      <c r="F188" s="2">
        <v>46279</v>
      </c>
      <c r="G188" s="1" t="s">
        <v>235</v>
      </c>
      <c r="H188" s="3">
        <v>46279.006944444402</v>
      </c>
      <c r="I188" s="1" t="s">
        <v>236</v>
      </c>
      <c r="J188" s="2">
        <v>46279</v>
      </c>
      <c r="K188" s="3">
        <v>46279.006944444402</v>
      </c>
      <c r="L188" s="1" t="s">
        <v>237</v>
      </c>
      <c r="M188" s="1" t="s">
        <v>40</v>
      </c>
      <c r="N188" s="1" t="s">
        <v>41</v>
      </c>
      <c r="O188" s="1" t="s">
        <v>42</v>
      </c>
      <c r="Q188" s="1" t="s">
        <v>42</v>
      </c>
      <c r="R188" s="1" t="s">
        <v>110</v>
      </c>
      <c r="S188" s="1" t="s">
        <v>111</v>
      </c>
      <c r="T188" s="4">
        <v>14.4</v>
      </c>
      <c r="W188" s="4">
        <v>-14.4</v>
      </c>
      <c r="X188" s="1" t="s">
        <v>67</v>
      </c>
      <c r="Y188" s="1" t="s">
        <v>68</v>
      </c>
      <c r="Z188" s="1" t="s">
        <v>42</v>
      </c>
      <c r="AD188" s="1" t="s">
        <v>42</v>
      </c>
      <c r="AE188" s="1" t="s">
        <v>211</v>
      </c>
      <c r="AF188" s="1" t="s">
        <v>42</v>
      </c>
    </row>
    <row r="189" spans="1:32" x14ac:dyDescent="0.25">
      <c r="A189" s="1" t="s">
        <v>32</v>
      </c>
      <c r="B189" s="1" t="s">
        <v>33</v>
      </c>
      <c r="C189" s="1" t="s">
        <v>34</v>
      </c>
      <c r="D189" s="1" t="s">
        <v>42</v>
      </c>
      <c r="E189" s="1" t="s">
        <v>234</v>
      </c>
      <c r="F189" s="2">
        <v>46279</v>
      </c>
      <c r="G189" s="1" t="s">
        <v>235</v>
      </c>
      <c r="H189" s="3">
        <v>46279.006944444402</v>
      </c>
      <c r="I189" s="1" t="s">
        <v>236</v>
      </c>
      <c r="J189" s="2">
        <v>46279</v>
      </c>
      <c r="K189" s="3">
        <v>46279.006944444402</v>
      </c>
      <c r="L189" s="1" t="s">
        <v>237</v>
      </c>
      <c r="M189" s="1" t="s">
        <v>40</v>
      </c>
      <c r="N189" s="1" t="s">
        <v>41</v>
      </c>
      <c r="O189" s="1" t="s">
        <v>42</v>
      </c>
      <c r="Q189" s="1" t="s">
        <v>42</v>
      </c>
      <c r="R189" s="1" t="s">
        <v>112</v>
      </c>
      <c r="S189" s="1" t="s">
        <v>113</v>
      </c>
      <c r="T189" s="4">
        <v>3.6</v>
      </c>
      <c r="W189" s="4">
        <v>-3.6</v>
      </c>
      <c r="X189" s="1" t="s">
        <v>67</v>
      </c>
      <c r="Y189" s="1" t="s">
        <v>68</v>
      </c>
      <c r="Z189" s="1" t="s">
        <v>42</v>
      </c>
      <c r="AD189" s="1" t="s">
        <v>42</v>
      </c>
      <c r="AE189" s="1" t="s">
        <v>211</v>
      </c>
      <c r="AF189" s="1" t="s">
        <v>42</v>
      </c>
    </row>
    <row r="190" spans="1:32" x14ac:dyDescent="0.25">
      <c r="A190" s="1" t="s">
        <v>32</v>
      </c>
      <c r="B190" s="1" t="s">
        <v>33</v>
      </c>
      <c r="C190" s="1" t="s">
        <v>34</v>
      </c>
      <c r="D190" s="1" t="s">
        <v>42</v>
      </c>
      <c r="E190" s="1" t="s">
        <v>234</v>
      </c>
      <c r="F190" s="2">
        <v>46279</v>
      </c>
      <c r="G190" s="1" t="s">
        <v>235</v>
      </c>
      <c r="H190" s="3">
        <v>46279.006944444402</v>
      </c>
      <c r="I190" s="1" t="s">
        <v>236</v>
      </c>
      <c r="J190" s="2">
        <v>46279</v>
      </c>
      <c r="K190" s="3">
        <v>46279.006944444402</v>
      </c>
      <c r="L190" s="1" t="s">
        <v>237</v>
      </c>
      <c r="M190" s="1" t="s">
        <v>40</v>
      </c>
      <c r="N190" s="1" t="s">
        <v>41</v>
      </c>
      <c r="O190" s="1" t="s">
        <v>42</v>
      </c>
      <c r="Q190" s="1" t="s">
        <v>42</v>
      </c>
      <c r="R190" s="1" t="s">
        <v>114</v>
      </c>
      <c r="S190" s="1" t="s">
        <v>115</v>
      </c>
      <c r="T190" s="4">
        <v>7.2</v>
      </c>
      <c r="W190" s="4">
        <v>-7.2</v>
      </c>
      <c r="X190" s="1" t="s">
        <v>67</v>
      </c>
      <c r="Y190" s="1" t="s">
        <v>68</v>
      </c>
      <c r="Z190" s="1" t="s">
        <v>42</v>
      </c>
      <c r="AD190" s="1" t="s">
        <v>42</v>
      </c>
      <c r="AE190" s="1" t="s">
        <v>211</v>
      </c>
      <c r="AF190" s="1" t="s">
        <v>42</v>
      </c>
    </row>
    <row r="191" spans="1:32" x14ac:dyDescent="0.25">
      <c r="A191" s="1" t="s">
        <v>32</v>
      </c>
      <c r="B191" s="1" t="s">
        <v>33</v>
      </c>
      <c r="C191" s="1" t="s">
        <v>34</v>
      </c>
      <c r="D191" s="1" t="s">
        <v>42</v>
      </c>
      <c r="E191" s="1" t="s">
        <v>234</v>
      </c>
      <c r="F191" s="2">
        <v>46279</v>
      </c>
      <c r="G191" s="1" t="s">
        <v>235</v>
      </c>
      <c r="H191" s="3">
        <v>46279.006944444402</v>
      </c>
      <c r="I191" s="1" t="s">
        <v>236</v>
      </c>
      <c r="J191" s="2">
        <v>46279</v>
      </c>
      <c r="K191" s="3">
        <v>46279.006944444402</v>
      </c>
      <c r="L191" s="1" t="s">
        <v>237</v>
      </c>
      <c r="M191" s="1" t="s">
        <v>40</v>
      </c>
      <c r="N191" s="1" t="s">
        <v>41</v>
      </c>
      <c r="O191" s="1" t="s">
        <v>42</v>
      </c>
      <c r="Q191" s="1" t="s">
        <v>42</v>
      </c>
      <c r="R191" s="1" t="s">
        <v>116</v>
      </c>
      <c r="S191" s="1" t="s">
        <v>117</v>
      </c>
      <c r="T191" s="4">
        <v>105.3</v>
      </c>
      <c r="U191" s="4">
        <v>105.3</v>
      </c>
      <c r="V191" s="4">
        <v>105.3</v>
      </c>
      <c r="Z191" s="1" t="s">
        <v>42</v>
      </c>
      <c r="AD191" s="1" t="s">
        <v>42</v>
      </c>
      <c r="AF191" s="1" t="s">
        <v>42</v>
      </c>
    </row>
    <row r="192" spans="1:32" x14ac:dyDescent="0.25">
      <c r="A192" s="1" t="s">
        <v>32</v>
      </c>
      <c r="B192" s="1" t="s">
        <v>33</v>
      </c>
      <c r="C192" s="1" t="s">
        <v>34</v>
      </c>
      <c r="D192" s="1" t="s">
        <v>42</v>
      </c>
      <c r="E192" s="1" t="s">
        <v>234</v>
      </c>
      <c r="F192" s="2">
        <v>46279</v>
      </c>
      <c r="G192" s="1" t="s">
        <v>235</v>
      </c>
      <c r="H192" s="3">
        <v>46279.006944444402</v>
      </c>
      <c r="I192" s="1" t="s">
        <v>236</v>
      </c>
      <c r="J192" s="2">
        <v>46279</v>
      </c>
      <c r="K192" s="3">
        <v>46279.006944444402</v>
      </c>
      <c r="L192" s="1" t="s">
        <v>237</v>
      </c>
      <c r="M192" s="1" t="s">
        <v>40</v>
      </c>
      <c r="N192" s="1" t="s">
        <v>41</v>
      </c>
      <c r="O192" s="1" t="s">
        <v>42</v>
      </c>
      <c r="Q192" s="1" t="s">
        <v>42</v>
      </c>
      <c r="R192" s="1" t="s">
        <v>118</v>
      </c>
      <c r="S192" s="1" t="s">
        <v>119</v>
      </c>
      <c r="T192" s="4">
        <v>56.7</v>
      </c>
      <c r="U192" s="4">
        <v>56.7</v>
      </c>
      <c r="V192" s="4">
        <v>56.7</v>
      </c>
      <c r="Z192" s="1" t="s">
        <v>42</v>
      </c>
      <c r="AD192" s="1" t="s">
        <v>42</v>
      </c>
      <c r="AF192" s="1" t="s">
        <v>42</v>
      </c>
    </row>
    <row r="193" spans="1:32" x14ac:dyDescent="0.25">
      <c r="A193" s="1" t="s">
        <v>32</v>
      </c>
      <c r="B193" s="1" t="s">
        <v>33</v>
      </c>
      <c r="C193" s="1" t="s">
        <v>34</v>
      </c>
      <c r="D193" s="1" t="s">
        <v>42</v>
      </c>
      <c r="E193" s="1" t="s">
        <v>234</v>
      </c>
      <c r="F193" s="2">
        <v>46279</v>
      </c>
      <c r="G193" s="1" t="s">
        <v>235</v>
      </c>
      <c r="H193" s="3">
        <v>46279.006944444402</v>
      </c>
      <c r="I193" s="1" t="s">
        <v>236</v>
      </c>
      <c r="J193" s="2">
        <v>46279</v>
      </c>
      <c r="K193" s="3">
        <v>46279.006944444402</v>
      </c>
      <c r="L193" s="1" t="s">
        <v>237</v>
      </c>
      <c r="M193" s="1" t="s">
        <v>40</v>
      </c>
      <c r="N193" s="1" t="s">
        <v>41</v>
      </c>
      <c r="O193" s="1" t="s">
        <v>42</v>
      </c>
      <c r="Q193" s="1" t="s">
        <v>42</v>
      </c>
      <c r="R193" s="1" t="s">
        <v>120</v>
      </c>
      <c r="S193" s="1" t="s">
        <v>121</v>
      </c>
      <c r="T193" s="4">
        <v>34.799999999999997</v>
      </c>
      <c r="U193" s="4">
        <v>34.799999999999997</v>
      </c>
      <c r="V193" s="4">
        <v>34.799999999999997</v>
      </c>
      <c r="Z193" s="1" t="s">
        <v>42</v>
      </c>
      <c r="AD193" s="1" t="s">
        <v>42</v>
      </c>
      <c r="AF193" s="1" t="s">
        <v>42</v>
      </c>
    </row>
    <row r="194" spans="1:32" x14ac:dyDescent="0.25">
      <c r="A194" s="1" t="s">
        <v>32</v>
      </c>
      <c r="B194" s="1" t="s">
        <v>33</v>
      </c>
      <c r="C194" s="1" t="s">
        <v>34</v>
      </c>
      <c r="D194" s="1" t="s">
        <v>42</v>
      </c>
      <c r="E194" s="1" t="s">
        <v>234</v>
      </c>
      <c r="F194" s="2">
        <v>46279</v>
      </c>
      <c r="G194" s="1" t="s">
        <v>235</v>
      </c>
      <c r="H194" s="3">
        <v>46279.006944444402</v>
      </c>
      <c r="I194" s="1" t="s">
        <v>236</v>
      </c>
      <c r="J194" s="2">
        <v>46279</v>
      </c>
      <c r="K194" s="3">
        <v>46279.006944444402</v>
      </c>
      <c r="L194" s="1" t="s">
        <v>237</v>
      </c>
      <c r="M194" s="1" t="s">
        <v>40</v>
      </c>
      <c r="N194" s="1" t="s">
        <v>41</v>
      </c>
      <c r="O194" s="1" t="s">
        <v>42</v>
      </c>
      <c r="Q194" s="1" t="s">
        <v>42</v>
      </c>
      <c r="R194" s="1" t="s">
        <v>212</v>
      </c>
      <c r="S194" s="1" t="s">
        <v>213</v>
      </c>
      <c r="T194" s="4">
        <v>400.8</v>
      </c>
      <c r="U194" s="4">
        <v>400.8</v>
      </c>
      <c r="V194" s="4">
        <v>400.8</v>
      </c>
      <c r="Z194" s="1" t="s">
        <v>42</v>
      </c>
      <c r="AD194" s="1" t="s">
        <v>42</v>
      </c>
      <c r="AF194" s="1" t="s">
        <v>42</v>
      </c>
    </row>
    <row r="195" spans="1:32" x14ac:dyDescent="0.25">
      <c r="A195" s="1" t="s">
        <v>32</v>
      </c>
      <c r="B195" s="1" t="s">
        <v>33</v>
      </c>
      <c r="C195" s="1" t="s">
        <v>34</v>
      </c>
      <c r="D195" s="1" t="s">
        <v>42</v>
      </c>
      <c r="E195" s="1" t="s">
        <v>234</v>
      </c>
      <c r="F195" s="2">
        <v>46279</v>
      </c>
      <c r="G195" s="1" t="s">
        <v>235</v>
      </c>
      <c r="H195" s="3">
        <v>46279.006944444402</v>
      </c>
      <c r="I195" s="1" t="s">
        <v>236</v>
      </c>
      <c r="J195" s="2">
        <v>46279</v>
      </c>
      <c r="K195" s="3">
        <v>46279.006944444402</v>
      </c>
      <c r="L195" s="1" t="s">
        <v>237</v>
      </c>
      <c r="M195" s="1" t="s">
        <v>40</v>
      </c>
      <c r="N195" s="1" t="s">
        <v>41</v>
      </c>
      <c r="O195" s="1" t="s">
        <v>42</v>
      </c>
      <c r="Q195" s="1" t="s">
        <v>42</v>
      </c>
      <c r="R195" s="1" t="s">
        <v>122</v>
      </c>
      <c r="S195" s="1" t="s">
        <v>123</v>
      </c>
      <c r="T195" s="4">
        <v>240</v>
      </c>
      <c r="U195" s="4">
        <v>240</v>
      </c>
      <c r="V195" s="4">
        <v>240</v>
      </c>
      <c r="Z195" s="1" t="s">
        <v>42</v>
      </c>
      <c r="AD195" s="1" t="s">
        <v>42</v>
      </c>
      <c r="AF195" s="1" t="s">
        <v>42</v>
      </c>
    </row>
    <row r="196" spans="1:32" x14ac:dyDescent="0.25">
      <c r="A196" s="1" t="s">
        <v>32</v>
      </c>
      <c r="B196" s="1" t="s">
        <v>33</v>
      </c>
      <c r="C196" s="1" t="s">
        <v>34</v>
      </c>
      <c r="D196" s="1" t="s">
        <v>42</v>
      </c>
      <c r="E196" s="1" t="s">
        <v>234</v>
      </c>
      <c r="F196" s="2">
        <v>46279</v>
      </c>
      <c r="G196" s="1" t="s">
        <v>235</v>
      </c>
      <c r="H196" s="3">
        <v>46279.006944444402</v>
      </c>
      <c r="I196" s="1" t="s">
        <v>236</v>
      </c>
      <c r="J196" s="2">
        <v>46279</v>
      </c>
      <c r="K196" s="3">
        <v>46279.006944444402</v>
      </c>
      <c r="L196" s="1" t="s">
        <v>237</v>
      </c>
      <c r="M196" s="1" t="s">
        <v>40</v>
      </c>
      <c r="N196" s="1" t="s">
        <v>41</v>
      </c>
      <c r="O196" s="1" t="s">
        <v>42</v>
      </c>
      <c r="Q196" s="1" t="s">
        <v>42</v>
      </c>
      <c r="R196" s="1" t="s">
        <v>124</v>
      </c>
      <c r="S196" s="1" t="s">
        <v>125</v>
      </c>
      <c r="T196" s="4">
        <v>120</v>
      </c>
      <c r="U196" s="4">
        <v>120</v>
      </c>
      <c r="V196" s="4">
        <v>120</v>
      </c>
      <c r="Z196" s="1" t="s">
        <v>42</v>
      </c>
      <c r="AD196" s="1" t="s">
        <v>42</v>
      </c>
      <c r="AF196" s="1" t="s">
        <v>42</v>
      </c>
    </row>
    <row r="197" spans="1:32" x14ac:dyDescent="0.25">
      <c r="A197" s="1" t="s">
        <v>32</v>
      </c>
      <c r="B197" s="1" t="s">
        <v>33</v>
      </c>
      <c r="C197" s="1" t="s">
        <v>34</v>
      </c>
      <c r="D197" s="1" t="s">
        <v>42</v>
      </c>
      <c r="E197" s="1" t="s">
        <v>234</v>
      </c>
      <c r="F197" s="2">
        <v>46279</v>
      </c>
      <c r="G197" s="1" t="s">
        <v>235</v>
      </c>
      <c r="H197" s="3">
        <v>46279.006944444402</v>
      </c>
      <c r="I197" s="1" t="s">
        <v>236</v>
      </c>
      <c r="J197" s="2">
        <v>46279</v>
      </c>
      <c r="K197" s="3">
        <v>46279.006944444402</v>
      </c>
      <c r="L197" s="1" t="s">
        <v>237</v>
      </c>
      <c r="M197" s="1" t="s">
        <v>40</v>
      </c>
      <c r="N197" s="1" t="s">
        <v>41</v>
      </c>
      <c r="O197" s="1" t="s">
        <v>42</v>
      </c>
      <c r="Q197" s="1" t="s">
        <v>42</v>
      </c>
      <c r="R197" s="1" t="s">
        <v>126</v>
      </c>
      <c r="S197" s="1" t="s">
        <v>127</v>
      </c>
      <c r="T197" s="4">
        <v>160.80000000000001</v>
      </c>
      <c r="U197" s="4">
        <v>160.80000000000001</v>
      </c>
      <c r="V197" s="4">
        <v>160.80000000000001</v>
      </c>
      <c r="Z197" s="1" t="s">
        <v>42</v>
      </c>
      <c r="AD197" s="1" t="s">
        <v>42</v>
      </c>
      <c r="AF197" s="1" t="s">
        <v>42</v>
      </c>
    </row>
    <row r="198" spans="1:32" x14ac:dyDescent="0.25">
      <c r="A198" s="1" t="s">
        <v>32</v>
      </c>
      <c r="B198" s="1" t="s">
        <v>33</v>
      </c>
      <c r="C198" s="1" t="s">
        <v>34</v>
      </c>
      <c r="D198" s="1" t="s">
        <v>42</v>
      </c>
      <c r="E198" s="1" t="s">
        <v>234</v>
      </c>
      <c r="F198" s="2">
        <v>46279</v>
      </c>
      <c r="G198" s="1" t="s">
        <v>235</v>
      </c>
      <c r="H198" s="3">
        <v>46279.006944444402</v>
      </c>
      <c r="I198" s="1" t="s">
        <v>236</v>
      </c>
      <c r="J198" s="2">
        <v>46279</v>
      </c>
      <c r="K198" s="3">
        <v>46279.006944444402</v>
      </c>
      <c r="L198" s="1" t="s">
        <v>237</v>
      </c>
      <c r="M198" s="1" t="s">
        <v>40</v>
      </c>
      <c r="N198" s="1" t="s">
        <v>41</v>
      </c>
      <c r="O198" s="1" t="s">
        <v>42</v>
      </c>
      <c r="Q198" s="1" t="s">
        <v>42</v>
      </c>
      <c r="R198" s="1" t="s">
        <v>128</v>
      </c>
      <c r="S198" s="1" t="s">
        <v>129</v>
      </c>
      <c r="T198" s="4">
        <v>88.8</v>
      </c>
      <c r="U198" s="4">
        <v>88.8</v>
      </c>
      <c r="V198" s="4">
        <v>88.8</v>
      </c>
      <c r="Z198" s="1" t="s">
        <v>42</v>
      </c>
      <c r="AD198" s="1" t="s">
        <v>42</v>
      </c>
      <c r="AF198" s="1" t="s">
        <v>42</v>
      </c>
    </row>
    <row r="199" spans="1:32" x14ac:dyDescent="0.25">
      <c r="A199" s="1" t="s">
        <v>32</v>
      </c>
      <c r="B199" s="1" t="s">
        <v>33</v>
      </c>
      <c r="C199" s="1" t="s">
        <v>34</v>
      </c>
      <c r="D199" s="1" t="s">
        <v>42</v>
      </c>
      <c r="E199" s="1" t="s">
        <v>234</v>
      </c>
      <c r="F199" s="2">
        <v>46279</v>
      </c>
      <c r="G199" s="1" t="s">
        <v>235</v>
      </c>
      <c r="H199" s="3">
        <v>46279.006944444402</v>
      </c>
      <c r="I199" s="1" t="s">
        <v>236</v>
      </c>
      <c r="J199" s="2">
        <v>46279</v>
      </c>
      <c r="K199" s="3">
        <v>46279.006944444402</v>
      </c>
      <c r="L199" s="1" t="s">
        <v>237</v>
      </c>
      <c r="M199" s="1" t="s">
        <v>40</v>
      </c>
      <c r="N199" s="1" t="s">
        <v>41</v>
      </c>
      <c r="O199" s="1" t="s">
        <v>42</v>
      </c>
      <c r="Q199" s="1" t="s">
        <v>42</v>
      </c>
      <c r="R199" s="1" t="s">
        <v>137</v>
      </c>
      <c r="S199" s="1" t="s">
        <v>138</v>
      </c>
      <c r="T199" s="4">
        <v>5.4</v>
      </c>
      <c r="U199" s="4">
        <v>5.4</v>
      </c>
      <c r="V199" s="4">
        <v>5.4</v>
      </c>
      <c r="Z199" s="1" t="s">
        <v>42</v>
      </c>
      <c r="AD199" s="1" t="s">
        <v>42</v>
      </c>
      <c r="AF199" s="1" t="s">
        <v>42</v>
      </c>
    </row>
    <row r="200" spans="1:32" x14ac:dyDescent="0.25">
      <c r="A200" s="1" t="s">
        <v>32</v>
      </c>
      <c r="B200" s="1" t="s">
        <v>33</v>
      </c>
      <c r="C200" s="1" t="s">
        <v>34</v>
      </c>
      <c r="D200" s="1" t="s">
        <v>42</v>
      </c>
      <c r="E200" s="1" t="s">
        <v>234</v>
      </c>
      <c r="F200" s="2">
        <v>46279</v>
      </c>
      <c r="G200" s="1" t="s">
        <v>235</v>
      </c>
      <c r="H200" s="3">
        <v>46279.006944444402</v>
      </c>
      <c r="I200" s="1" t="s">
        <v>236</v>
      </c>
      <c r="J200" s="2">
        <v>46279</v>
      </c>
      <c r="K200" s="3">
        <v>46279.006944444402</v>
      </c>
      <c r="L200" s="1" t="s">
        <v>237</v>
      </c>
      <c r="M200" s="1" t="s">
        <v>40</v>
      </c>
      <c r="N200" s="1" t="s">
        <v>41</v>
      </c>
      <c r="O200" s="1" t="s">
        <v>42</v>
      </c>
      <c r="Q200" s="1" t="s">
        <v>42</v>
      </c>
      <c r="R200" s="1" t="s">
        <v>139</v>
      </c>
      <c r="S200" s="1" t="s">
        <v>140</v>
      </c>
      <c r="T200" s="4">
        <v>31.2</v>
      </c>
      <c r="U200" s="4">
        <v>31.2</v>
      </c>
      <c r="V200" s="4">
        <v>31.2</v>
      </c>
      <c r="Z200" s="1" t="s">
        <v>42</v>
      </c>
      <c r="AD200" s="1" t="s">
        <v>42</v>
      </c>
      <c r="AF200" s="1" t="s">
        <v>42</v>
      </c>
    </row>
    <row r="201" spans="1:32" x14ac:dyDescent="0.25">
      <c r="A201" s="1" t="s">
        <v>32</v>
      </c>
      <c r="B201" s="1" t="s">
        <v>33</v>
      </c>
      <c r="C201" s="1" t="s">
        <v>34</v>
      </c>
      <c r="D201" s="1" t="s">
        <v>42</v>
      </c>
      <c r="E201" s="1" t="s">
        <v>234</v>
      </c>
      <c r="F201" s="2">
        <v>46279</v>
      </c>
      <c r="G201" s="1" t="s">
        <v>235</v>
      </c>
      <c r="H201" s="3">
        <v>46279.006944444402</v>
      </c>
      <c r="I201" s="1" t="s">
        <v>236</v>
      </c>
      <c r="J201" s="2">
        <v>46279</v>
      </c>
      <c r="K201" s="3">
        <v>46279.006944444402</v>
      </c>
      <c r="L201" s="1" t="s">
        <v>237</v>
      </c>
      <c r="M201" s="1" t="s">
        <v>40</v>
      </c>
      <c r="N201" s="1" t="s">
        <v>41</v>
      </c>
      <c r="O201" s="1" t="s">
        <v>42</v>
      </c>
      <c r="Q201" s="1" t="s">
        <v>42</v>
      </c>
      <c r="R201" s="1" t="s">
        <v>214</v>
      </c>
      <c r="S201" s="1" t="s">
        <v>215</v>
      </c>
      <c r="T201" s="4">
        <v>60</v>
      </c>
      <c r="W201" s="4">
        <v>-60</v>
      </c>
      <c r="X201" s="1" t="s">
        <v>67</v>
      </c>
      <c r="Y201" s="1" t="s">
        <v>68</v>
      </c>
      <c r="Z201" s="1" t="s">
        <v>42</v>
      </c>
      <c r="AD201" s="1" t="s">
        <v>42</v>
      </c>
      <c r="AE201" s="1" t="s">
        <v>211</v>
      </c>
      <c r="AF201" s="1" t="s">
        <v>42</v>
      </c>
    </row>
    <row r="202" spans="1:32" x14ac:dyDescent="0.25">
      <c r="A202" s="1" t="s">
        <v>32</v>
      </c>
      <c r="B202" s="1" t="s">
        <v>33</v>
      </c>
      <c r="C202" s="1" t="s">
        <v>34</v>
      </c>
      <c r="D202" s="1" t="s">
        <v>42</v>
      </c>
      <c r="E202" s="1" t="s">
        <v>234</v>
      </c>
      <c r="F202" s="2">
        <v>46279</v>
      </c>
      <c r="G202" s="1" t="s">
        <v>235</v>
      </c>
      <c r="H202" s="3">
        <v>46279.006944444402</v>
      </c>
      <c r="I202" s="1" t="s">
        <v>236</v>
      </c>
      <c r="J202" s="2">
        <v>46279</v>
      </c>
      <c r="K202" s="3">
        <v>46279.006944444402</v>
      </c>
      <c r="L202" s="1" t="s">
        <v>237</v>
      </c>
      <c r="M202" s="1" t="s">
        <v>40</v>
      </c>
      <c r="N202" s="1" t="s">
        <v>41</v>
      </c>
      <c r="O202" s="1" t="s">
        <v>42</v>
      </c>
      <c r="Q202" s="1" t="s">
        <v>42</v>
      </c>
      <c r="R202" s="1" t="s">
        <v>216</v>
      </c>
      <c r="S202" s="1" t="s">
        <v>217</v>
      </c>
      <c r="T202" s="4">
        <v>585</v>
      </c>
      <c r="U202" s="4">
        <v>585</v>
      </c>
      <c r="V202" s="4">
        <v>585</v>
      </c>
      <c r="Z202" s="1" t="s">
        <v>42</v>
      </c>
      <c r="AD202" s="1" t="s">
        <v>42</v>
      </c>
      <c r="AF202" s="1" t="s">
        <v>42</v>
      </c>
    </row>
    <row r="203" spans="1:32" x14ac:dyDescent="0.25">
      <c r="A203" s="1" t="s">
        <v>32</v>
      </c>
      <c r="B203" s="1" t="s">
        <v>33</v>
      </c>
      <c r="C203" s="1" t="s">
        <v>34</v>
      </c>
      <c r="D203" s="1" t="s">
        <v>42</v>
      </c>
      <c r="E203" s="1" t="s">
        <v>234</v>
      </c>
      <c r="F203" s="2">
        <v>46279</v>
      </c>
      <c r="G203" s="1" t="s">
        <v>235</v>
      </c>
      <c r="H203" s="3">
        <v>46279.006944444402</v>
      </c>
      <c r="I203" s="1" t="s">
        <v>236</v>
      </c>
      <c r="J203" s="2">
        <v>46279</v>
      </c>
      <c r="K203" s="3">
        <v>46279.006944444402</v>
      </c>
      <c r="L203" s="1" t="s">
        <v>237</v>
      </c>
      <c r="M203" s="1" t="s">
        <v>40</v>
      </c>
      <c r="N203" s="1" t="s">
        <v>41</v>
      </c>
      <c r="O203" s="1" t="s">
        <v>42</v>
      </c>
      <c r="Q203" s="1" t="s">
        <v>42</v>
      </c>
      <c r="R203" s="1" t="s">
        <v>147</v>
      </c>
      <c r="S203" s="1" t="s">
        <v>148</v>
      </c>
      <c r="T203" s="4">
        <v>507</v>
      </c>
      <c r="U203" s="4">
        <v>507</v>
      </c>
      <c r="V203" s="4">
        <v>507</v>
      </c>
      <c r="Z203" s="1" t="s">
        <v>42</v>
      </c>
      <c r="AD203" s="1" t="s">
        <v>42</v>
      </c>
      <c r="AF203" s="1" t="s">
        <v>42</v>
      </c>
    </row>
    <row r="204" spans="1:32" x14ac:dyDescent="0.25">
      <c r="A204" s="1" t="s">
        <v>32</v>
      </c>
      <c r="B204" s="1" t="s">
        <v>33</v>
      </c>
      <c r="C204" s="1" t="s">
        <v>34</v>
      </c>
      <c r="D204" s="1" t="s">
        <v>42</v>
      </c>
      <c r="E204" s="1" t="s">
        <v>234</v>
      </c>
      <c r="F204" s="2">
        <v>46279</v>
      </c>
      <c r="G204" s="1" t="s">
        <v>235</v>
      </c>
      <c r="H204" s="3">
        <v>46279.006944444402</v>
      </c>
      <c r="I204" s="1" t="s">
        <v>236</v>
      </c>
      <c r="J204" s="2">
        <v>46279</v>
      </c>
      <c r="K204" s="3">
        <v>46279.006944444402</v>
      </c>
      <c r="L204" s="1" t="s">
        <v>237</v>
      </c>
      <c r="M204" s="1" t="s">
        <v>40</v>
      </c>
      <c r="N204" s="1" t="s">
        <v>41</v>
      </c>
      <c r="O204" s="1" t="s">
        <v>42</v>
      </c>
      <c r="Q204" s="1" t="s">
        <v>42</v>
      </c>
      <c r="R204" s="1" t="s">
        <v>246</v>
      </c>
      <c r="S204" s="1" t="s">
        <v>247</v>
      </c>
      <c r="T204" s="4">
        <v>6.08</v>
      </c>
      <c r="U204" s="4">
        <v>6.08</v>
      </c>
      <c r="V204" s="4">
        <v>6.08</v>
      </c>
      <c r="Z204" s="1" t="s">
        <v>42</v>
      </c>
      <c r="AD204" s="1" t="s">
        <v>42</v>
      </c>
      <c r="AF204" s="1" t="s">
        <v>42</v>
      </c>
    </row>
    <row r="205" spans="1:32" x14ac:dyDescent="0.25">
      <c r="A205" s="1" t="s">
        <v>32</v>
      </c>
      <c r="B205" s="1" t="s">
        <v>33</v>
      </c>
      <c r="C205" s="1" t="s">
        <v>34</v>
      </c>
      <c r="D205" s="1" t="s">
        <v>42</v>
      </c>
      <c r="E205" s="1" t="s">
        <v>234</v>
      </c>
      <c r="F205" s="2">
        <v>46279</v>
      </c>
      <c r="G205" s="1" t="s">
        <v>235</v>
      </c>
      <c r="H205" s="3">
        <v>46279.006944444402</v>
      </c>
      <c r="I205" s="1" t="s">
        <v>236</v>
      </c>
      <c r="J205" s="2">
        <v>46279</v>
      </c>
      <c r="K205" s="3">
        <v>46279.006944444402</v>
      </c>
      <c r="L205" s="1" t="s">
        <v>237</v>
      </c>
      <c r="M205" s="1" t="s">
        <v>40</v>
      </c>
      <c r="N205" s="1" t="s">
        <v>41</v>
      </c>
      <c r="O205" s="1" t="s">
        <v>42</v>
      </c>
      <c r="Q205" s="1" t="s">
        <v>42</v>
      </c>
      <c r="R205" s="1" t="s">
        <v>248</v>
      </c>
      <c r="S205" s="1" t="s">
        <v>249</v>
      </c>
      <c r="T205" s="4">
        <v>10.199999999999999</v>
      </c>
      <c r="U205" s="4">
        <v>10.199999999999999</v>
      </c>
      <c r="V205" s="4">
        <v>10.199999999999999</v>
      </c>
      <c r="Z205" s="1" t="s">
        <v>42</v>
      </c>
      <c r="AD205" s="1" t="s">
        <v>42</v>
      </c>
      <c r="AF205" s="1" t="s">
        <v>42</v>
      </c>
    </row>
    <row r="206" spans="1:32" x14ac:dyDescent="0.25">
      <c r="A206" s="1" t="s">
        <v>32</v>
      </c>
      <c r="B206" s="1" t="s">
        <v>33</v>
      </c>
      <c r="C206" s="1" t="s">
        <v>34</v>
      </c>
      <c r="D206" s="1" t="s">
        <v>42</v>
      </c>
      <c r="E206" s="1" t="s">
        <v>234</v>
      </c>
      <c r="F206" s="2">
        <v>46279</v>
      </c>
      <c r="G206" s="1" t="s">
        <v>235</v>
      </c>
      <c r="H206" s="3">
        <v>46279.006944444402</v>
      </c>
      <c r="I206" s="1" t="s">
        <v>236</v>
      </c>
      <c r="J206" s="2">
        <v>46279</v>
      </c>
      <c r="K206" s="3">
        <v>46279.006944444402</v>
      </c>
      <c r="L206" s="1" t="s">
        <v>237</v>
      </c>
      <c r="M206" s="1" t="s">
        <v>40</v>
      </c>
      <c r="N206" s="1" t="s">
        <v>41</v>
      </c>
      <c r="O206" s="1" t="s">
        <v>42</v>
      </c>
      <c r="Q206" s="1" t="s">
        <v>42</v>
      </c>
      <c r="R206" s="1" t="s">
        <v>250</v>
      </c>
      <c r="S206" s="1" t="s">
        <v>251</v>
      </c>
      <c r="T206" s="4">
        <v>66</v>
      </c>
      <c r="U206" s="4">
        <v>66</v>
      </c>
      <c r="V206" s="4">
        <v>66</v>
      </c>
      <c r="Z206" s="1" t="s">
        <v>42</v>
      </c>
      <c r="AD206" s="1" t="s">
        <v>42</v>
      </c>
      <c r="AF206" s="1" t="s">
        <v>42</v>
      </c>
    </row>
    <row r="207" spans="1:32" x14ac:dyDescent="0.25">
      <c r="A207" s="1" t="s">
        <v>32</v>
      </c>
      <c r="B207" s="1" t="s">
        <v>33</v>
      </c>
      <c r="C207" s="1" t="s">
        <v>34</v>
      </c>
      <c r="D207" s="1" t="s">
        <v>42</v>
      </c>
      <c r="E207" s="1" t="s">
        <v>234</v>
      </c>
      <c r="F207" s="2">
        <v>46279</v>
      </c>
      <c r="G207" s="1" t="s">
        <v>235</v>
      </c>
      <c r="H207" s="3">
        <v>46279.006944444402</v>
      </c>
      <c r="I207" s="1" t="s">
        <v>236</v>
      </c>
      <c r="J207" s="2">
        <v>46279</v>
      </c>
      <c r="K207" s="3">
        <v>46279.006944444402</v>
      </c>
      <c r="L207" s="1" t="s">
        <v>237</v>
      </c>
      <c r="M207" s="1" t="s">
        <v>40</v>
      </c>
      <c r="N207" s="1" t="s">
        <v>41</v>
      </c>
      <c r="O207" s="1" t="s">
        <v>42</v>
      </c>
      <c r="Q207" s="1" t="s">
        <v>42</v>
      </c>
      <c r="R207" s="1" t="s">
        <v>151</v>
      </c>
      <c r="S207" s="1" t="s">
        <v>152</v>
      </c>
      <c r="T207" s="4">
        <v>40</v>
      </c>
      <c r="U207" s="4">
        <v>40</v>
      </c>
      <c r="V207" s="4">
        <v>40</v>
      </c>
      <c r="Z207" s="1" t="s">
        <v>42</v>
      </c>
      <c r="AD207" s="1" t="s">
        <v>42</v>
      </c>
      <c r="AF207" s="1" t="s">
        <v>42</v>
      </c>
    </row>
    <row r="208" spans="1:32" x14ac:dyDescent="0.25">
      <c r="A208" s="1" t="s">
        <v>32</v>
      </c>
      <c r="B208" s="1" t="s">
        <v>33</v>
      </c>
      <c r="C208" s="1" t="s">
        <v>34</v>
      </c>
      <c r="D208" s="1" t="s">
        <v>42</v>
      </c>
      <c r="E208" s="1" t="s">
        <v>234</v>
      </c>
      <c r="F208" s="2">
        <v>46279</v>
      </c>
      <c r="G208" s="1" t="s">
        <v>235</v>
      </c>
      <c r="H208" s="3">
        <v>46279.006944444402</v>
      </c>
      <c r="I208" s="1" t="s">
        <v>236</v>
      </c>
      <c r="J208" s="2">
        <v>46279</v>
      </c>
      <c r="K208" s="3">
        <v>46279.006944444402</v>
      </c>
      <c r="L208" s="1" t="s">
        <v>237</v>
      </c>
      <c r="M208" s="1" t="s">
        <v>40</v>
      </c>
      <c r="N208" s="1" t="s">
        <v>41</v>
      </c>
      <c r="O208" s="1" t="s">
        <v>42</v>
      </c>
      <c r="Q208" s="1" t="s">
        <v>42</v>
      </c>
      <c r="R208" s="1" t="s">
        <v>153</v>
      </c>
      <c r="S208" s="1" t="s">
        <v>154</v>
      </c>
      <c r="T208" s="4">
        <v>40</v>
      </c>
      <c r="U208" s="4">
        <v>40</v>
      </c>
      <c r="V208" s="4">
        <v>40</v>
      </c>
      <c r="Z208" s="1" t="s">
        <v>42</v>
      </c>
      <c r="AD208" s="1" t="s">
        <v>42</v>
      </c>
      <c r="AF208" s="1" t="s">
        <v>42</v>
      </c>
    </row>
    <row r="209" spans="1:32" x14ac:dyDescent="0.25">
      <c r="A209" s="1" t="s">
        <v>32</v>
      </c>
      <c r="B209" s="1" t="s">
        <v>33</v>
      </c>
      <c r="C209" s="1" t="s">
        <v>34</v>
      </c>
      <c r="D209" s="1" t="s">
        <v>42</v>
      </c>
      <c r="E209" s="1" t="s">
        <v>234</v>
      </c>
      <c r="F209" s="2">
        <v>46279</v>
      </c>
      <c r="G209" s="1" t="s">
        <v>235</v>
      </c>
      <c r="H209" s="3">
        <v>46279.006944444402</v>
      </c>
      <c r="I209" s="1" t="s">
        <v>236</v>
      </c>
      <c r="J209" s="2">
        <v>46279</v>
      </c>
      <c r="K209" s="3">
        <v>46279.006944444402</v>
      </c>
      <c r="L209" s="1" t="s">
        <v>237</v>
      </c>
      <c r="M209" s="1" t="s">
        <v>40</v>
      </c>
      <c r="N209" s="1" t="s">
        <v>41</v>
      </c>
      <c r="O209" s="1" t="s">
        <v>42</v>
      </c>
      <c r="Q209" s="1" t="s">
        <v>42</v>
      </c>
      <c r="R209" s="1" t="s">
        <v>157</v>
      </c>
      <c r="S209" s="1" t="s">
        <v>158</v>
      </c>
      <c r="T209" s="4">
        <v>35.700000000000003</v>
      </c>
      <c r="U209" s="4">
        <v>35.700000000000003</v>
      </c>
      <c r="V209" s="4">
        <v>35.700000000000003</v>
      </c>
      <c r="Z209" s="1" t="s">
        <v>42</v>
      </c>
      <c r="AD209" s="1" t="s">
        <v>42</v>
      </c>
      <c r="AF209" s="1" t="s">
        <v>42</v>
      </c>
    </row>
    <row r="210" spans="1:32" x14ac:dyDescent="0.25">
      <c r="A210" s="1" t="s">
        <v>32</v>
      </c>
      <c r="B210" s="1" t="s">
        <v>33</v>
      </c>
      <c r="C210" s="1" t="s">
        <v>34</v>
      </c>
      <c r="D210" s="1" t="s">
        <v>42</v>
      </c>
      <c r="E210" s="1" t="s">
        <v>234</v>
      </c>
      <c r="F210" s="2">
        <v>46279</v>
      </c>
      <c r="G210" s="1" t="s">
        <v>235</v>
      </c>
      <c r="H210" s="3">
        <v>46279.006944444402</v>
      </c>
      <c r="I210" s="1" t="s">
        <v>236</v>
      </c>
      <c r="J210" s="2">
        <v>46279</v>
      </c>
      <c r="K210" s="3">
        <v>46279.006944444402</v>
      </c>
      <c r="L210" s="1" t="s">
        <v>237</v>
      </c>
      <c r="M210" s="1" t="s">
        <v>40</v>
      </c>
      <c r="N210" s="1" t="s">
        <v>41</v>
      </c>
      <c r="O210" s="1" t="s">
        <v>42</v>
      </c>
      <c r="Q210" s="1" t="s">
        <v>42</v>
      </c>
      <c r="R210" s="1" t="s">
        <v>159</v>
      </c>
      <c r="S210" s="1" t="s">
        <v>160</v>
      </c>
      <c r="T210" s="4">
        <v>14.7</v>
      </c>
      <c r="U210" s="4">
        <v>14.7</v>
      </c>
      <c r="V210" s="4">
        <v>14.7</v>
      </c>
      <c r="Z210" s="1" t="s">
        <v>42</v>
      </c>
      <c r="AD210" s="1" t="s">
        <v>42</v>
      </c>
      <c r="AF210" s="1" t="s">
        <v>42</v>
      </c>
    </row>
    <row r="211" spans="1:32" x14ac:dyDescent="0.25">
      <c r="A211" s="1" t="s">
        <v>32</v>
      </c>
      <c r="B211" s="1" t="s">
        <v>33</v>
      </c>
      <c r="C211" s="1" t="s">
        <v>34</v>
      </c>
      <c r="D211" s="1" t="s">
        <v>42</v>
      </c>
      <c r="E211" s="1" t="s">
        <v>234</v>
      </c>
      <c r="F211" s="2">
        <v>46279</v>
      </c>
      <c r="G211" s="1" t="s">
        <v>235</v>
      </c>
      <c r="H211" s="3">
        <v>46279.006944444402</v>
      </c>
      <c r="I211" s="1" t="s">
        <v>236</v>
      </c>
      <c r="J211" s="2">
        <v>46279</v>
      </c>
      <c r="K211" s="3">
        <v>46279.006944444402</v>
      </c>
      <c r="L211" s="1" t="s">
        <v>237</v>
      </c>
      <c r="M211" s="1" t="s">
        <v>40</v>
      </c>
      <c r="N211" s="1" t="s">
        <v>41</v>
      </c>
      <c r="O211" s="1" t="s">
        <v>42</v>
      </c>
      <c r="Q211" s="1" t="s">
        <v>42</v>
      </c>
      <c r="R211" s="1" t="s">
        <v>167</v>
      </c>
      <c r="S211" s="1" t="s">
        <v>168</v>
      </c>
      <c r="T211" s="4">
        <v>405</v>
      </c>
      <c r="U211" s="4">
        <v>405</v>
      </c>
      <c r="V211" s="4">
        <v>405</v>
      </c>
      <c r="Z211" s="1" t="s">
        <v>42</v>
      </c>
      <c r="AD211" s="1" t="s">
        <v>42</v>
      </c>
      <c r="AF211" s="1" t="s">
        <v>42</v>
      </c>
    </row>
    <row r="212" spans="1:32" x14ac:dyDescent="0.25">
      <c r="A212" s="1" t="s">
        <v>32</v>
      </c>
      <c r="B212" s="1" t="s">
        <v>33</v>
      </c>
      <c r="C212" s="1" t="s">
        <v>34</v>
      </c>
      <c r="D212" s="1" t="s">
        <v>42</v>
      </c>
      <c r="E212" s="1" t="s">
        <v>234</v>
      </c>
      <c r="F212" s="2">
        <v>46279</v>
      </c>
      <c r="G212" s="1" t="s">
        <v>235</v>
      </c>
      <c r="H212" s="3">
        <v>46279.006944444402</v>
      </c>
      <c r="I212" s="1" t="s">
        <v>236</v>
      </c>
      <c r="J212" s="2">
        <v>46279</v>
      </c>
      <c r="K212" s="3">
        <v>46279.006944444402</v>
      </c>
      <c r="L212" s="1" t="s">
        <v>237</v>
      </c>
      <c r="M212" s="1" t="s">
        <v>40</v>
      </c>
      <c r="N212" s="1" t="s">
        <v>41</v>
      </c>
      <c r="O212" s="1" t="s">
        <v>42</v>
      </c>
      <c r="Q212" s="1" t="s">
        <v>42</v>
      </c>
      <c r="R212" s="1" t="s">
        <v>169</v>
      </c>
      <c r="S212" s="1" t="s">
        <v>170</v>
      </c>
      <c r="T212" s="4">
        <v>330</v>
      </c>
      <c r="U212" s="4">
        <v>330</v>
      </c>
      <c r="V212" s="4">
        <v>330</v>
      </c>
      <c r="Z212" s="1" t="s">
        <v>42</v>
      </c>
      <c r="AD212" s="1" t="s">
        <v>42</v>
      </c>
      <c r="AF212" s="1" t="s">
        <v>42</v>
      </c>
    </row>
    <row r="213" spans="1:32" x14ac:dyDescent="0.25">
      <c r="A213" s="1" t="s">
        <v>32</v>
      </c>
      <c r="B213" s="1" t="s">
        <v>33</v>
      </c>
      <c r="C213" s="1" t="s">
        <v>34</v>
      </c>
      <c r="D213" s="1" t="s">
        <v>42</v>
      </c>
      <c r="E213" s="1" t="s">
        <v>234</v>
      </c>
      <c r="F213" s="2">
        <v>46279</v>
      </c>
      <c r="G213" s="1" t="s">
        <v>235</v>
      </c>
      <c r="H213" s="3">
        <v>46279.006944444402</v>
      </c>
      <c r="I213" s="1" t="s">
        <v>236</v>
      </c>
      <c r="J213" s="2">
        <v>46279</v>
      </c>
      <c r="K213" s="3">
        <v>46279.006944444402</v>
      </c>
      <c r="L213" s="1" t="s">
        <v>237</v>
      </c>
      <c r="M213" s="1" t="s">
        <v>40</v>
      </c>
      <c r="N213" s="1" t="s">
        <v>41</v>
      </c>
      <c r="O213" s="1" t="s">
        <v>42</v>
      </c>
      <c r="Q213" s="1" t="s">
        <v>42</v>
      </c>
      <c r="R213" s="1" t="s">
        <v>173</v>
      </c>
      <c r="S213" s="1" t="s">
        <v>174</v>
      </c>
      <c r="T213" s="4">
        <v>1503</v>
      </c>
      <c r="U213" s="4">
        <v>1503</v>
      </c>
      <c r="V213" s="4">
        <v>1503</v>
      </c>
      <c r="Z213" s="1" t="s">
        <v>42</v>
      </c>
      <c r="AD213" s="1" t="s">
        <v>42</v>
      </c>
      <c r="AF213" s="1" t="s">
        <v>42</v>
      </c>
    </row>
    <row r="214" spans="1:32" x14ac:dyDescent="0.25">
      <c r="A214" s="1" t="s">
        <v>32</v>
      </c>
      <c r="B214" s="1" t="s">
        <v>33</v>
      </c>
      <c r="C214" s="1" t="s">
        <v>34</v>
      </c>
      <c r="D214" s="1" t="s">
        <v>42</v>
      </c>
      <c r="E214" s="1" t="s">
        <v>234</v>
      </c>
      <c r="F214" s="2">
        <v>46279</v>
      </c>
      <c r="G214" s="1" t="s">
        <v>235</v>
      </c>
      <c r="H214" s="3">
        <v>46279.006944444402</v>
      </c>
      <c r="I214" s="1" t="s">
        <v>236</v>
      </c>
      <c r="J214" s="2">
        <v>46279</v>
      </c>
      <c r="K214" s="3">
        <v>46279.006944444402</v>
      </c>
      <c r="L214" s="1" t="s">
        <v>237</v>
      </c>
      <c r="M214" s="1" t="s">
        <v>40</v>
      </c>
      <c r="N214" s="1" t="s">
        <v>41</v>
      </c>
      <c r="O214" s="1" t="s">
        <v>42</v>
      </c>
      <c r="Q214" s="1" t="s">
        <v>42</v>
      </c>
      <c r="R214" s="1" t="s">
        <v>175</v>
      </c>
      <c r="S214" s="1" t="s">
        <v>176</v>
      </c>
      <c r="T214" s="4">
        <v>40.799999999999997</v>
      </c>
      <c r="W214" s="4">
        <v>-40.799999999999997</v>
      </c>
      <c r="X214" s="1" t="s">
        <v>67</v>
      </c>
      <c r="Y214" s="1" t="s">
        <v>68</v>
      </c>
      <c r="Z214" s="1" t="s">
        <v>42</v>
      </c>
      <c r="AD214" s="1" t="s">
        <v>42</v>
      </c>
      <c r="AF214" s="1" t="s">
        <v>42</v>
      </c>
    </row>
    <row r="215" spans="1:32" x14ac:dyDescent="0.25">
      <c r="A215" s="1" t="s">
        <v>32</v>
      </c>
      <c r="B215" s="1" t="s">
        <v>33</v>
      </c>
      <c r="C215" s="1" t="s">
        <v>34</v>
      </c>
      <c r="D215" s="1" t="s">
        <v>42</v>
      </c>
      <c r="E215" s="1" t="s">
        <v>234</v>
      </c>
      <c r="F215" s="2">
        <v>46279</v>
      </c>
      <c r="G215" s="1" t="s">
        <v>235</v>
      </c>
      <c r="H215" s="3">
        <v>46279.006944444402</v>
      </c>
      <c r="I215" s="1" t="s">
        <v>236</v>
      </c>
      <c r="J215" s="2">
        <v>46279</v>
      </c>
      <c r="K215" s="3">
        <v>46279.006944444402</v>
      </c>
      <c r="L215" s="1" t="s">
        <v>237</v>
      </c>
      <c r="M215" s="1" t="s">
        <v>40</v>
      </c>
      <c r="N215" s="1" t="s">
        <v>41</v>
      </c>
      <c r="O215" s="1" t="s">
        <v>42</v>
      </c>
      <c r="Q215" s="1" t="s">
        <v>42</v>
      </c>
      <c r="R215" s="1" t="s">
        <v>183</v>
      </c>
      <c r="S215" s="1" t="s">
        <v>184</v>
      </c>
      <c r="T215" s="4">
        <v>1620.96</v>
      </c>
      <c r="U215" s="4">
        <v>1620.96</v>
      </c>
      <c r="V215" s="4">
        <v>1620.96</v>
      </c>
      <c r="Z215" s="1" t="s">
        <v>42</v>
      </c>
      <c r="AD215" s="1" t="s">
        <v>42</v>
      </c>
      <c r="AF215" s="1" t="s">
        <v>42</v>
      </c>
    </row>
    <row r="216" spans="1:32" x14ac:dyDescent="0.25">
      <c r="A216" s="1" t="s">
        <v>32</v>
      </c>
      <c r="B216" s="1" t="s">
        <v>33</v>
      </c>
      <c r="C216" s="1" t="s">
        <v>34</v>
      </c>
      <c r="D216" s="1" t="s">
        <v>42</v>
      </c>
      <c r="E216" s="1" t="s">
        <v>234</v>
      </c>
      <c r="F216" s="2">
        <v>46279</v>
      </c>
      <c r="G216" s="1" t="s">
        <v>235</v>
      </c>
      <c r="H216" s="3">
        <v>46279.006944444402</v>
      </c>
      <c r="I216" s="1" t="s">
        <v>236</v>
      </c>
      <c r="J216" s="2">
        <v>46279</v>
      </c>
      <c r="K216" s="3">
        <v>46279.006944444402</v>
      </c>
      <c r="L216" s="1" t="s">
        <v>237</v>
      </c>
      <c r="M216" s="1" t="s">
        <v>40</v>
      </c>
      <c r="N216" s="1" t="s">
        <v>41</v>
      </c>
      <c r="O216" s="1" t="s">
        <v>42</v>
      </c>
      <c r="Q216" s="1" t="s">
        <v>42</v>
      </c>
      <c r="R216" s="1" t="s">
        <v>185</v>
      </c>
      <c r="S216" s="1" t="s">
        <v>186</v>
      </c>
      <c r="T216" s="4">
        <v>1774.08</v>
      </c>
      <c r="U216" s="4">
        <v>1774.08</v>
      </c>
      <c r="V216" s="4">
        <v>1774.08</v>
      </c>
      <c r="Z216" s="1" t="s">
        <v>42</v>
      </c>
      <c r="AD216" s="1" t="s">
        <v>42</v>
      </c>
      <c r="AF216" s="1" t="s">
        <v>42</v>
      </c>
    </row>
    <row r="217" spans="1:32" x14ac:dyDescent="0.25">
      <c r="A217" s="1" t="s">
        <v>32</v>
      </c>
      <c r="B217" s="1" t="s">
        <v>33</v>
      </c>
      <c r="C217" s="1" t="s">
        <v>34</v>
      </c>
      <c r="D217" s="1" t="s">
        <v>42</v>
      </c>
      <c r="E217" s="1" t="s">
        <v>234</v>
      </c>
      <c r="F217" s="2">
        <v>46279</v>
      </c>
      <c r="G217" s="1" t="s">
        <v>235</v>
      </c>
      <c r="H217" s="3">
        <v>46279.006944444402</v>
      </c>
      <c r="I217" s="1" t="s">
        <v>236</v>
      </c>
      <c r="J217" s="2">
        <v>46279</v>
      </c>
      <c r="K217" s="3">
        <v>46279.006944444402</v>
      </c>
      <c r="L217" s="1" t="s">
        <v>237</v>
      </c>
      <c r="M217" s="1" t="s">
        <v>40</v>
      </c>
      <c r="N217" s="1" t="s">
        <v>41</v>
      </c>
      <c r="O217" s="1" t="s">
        <v>42</v>
      </c>
      <c r="Q217" s="1" t="s">
        <v>42</v>
      </c>
      <c r="R217" s="1" t="s">
        <v>187</v>
      </c>
      <c r="S217" s="1" t="s">
        <v>188</v>
      </c>
      <c r="T217" s="4">
        <v>802.56</v>
      </c>
      <c r="U217" s="4">
        <v>802.56</v>
      </c>
      <c r="V217" s="4">
        <v>802.56</v>
      </c>
      <c r="Z217" s="1" t="s">
        <v>42</v>
      </c>
      <c r="AD217" s="1" t="s">
        <v>42</v>
      </c>
      <c r="AF217" s="1" t="s">
        <v>42</v>
      </c>
    </row>
    <row r="218" spans="1:32" x14ac:dyDescent="0.25">
      <c r="A218" s="1" t="s">
        <v>32</v>
      </c>
      <c r="B218" s="1" t="s">
        <v>33</v>
      </c>
      <c r="C218" s="1" t="s">
        <v>34</v>
      </c>
      <c r="D218" s="1" t="s">
        <v>42</v>
      </c>
      <c r="E218" s="1" t="s">
        <v>234</v>
      </c>
      <c r="F218" s="2">
        <v>46279</v>
      </c>
      <c r="G218" s="1" t="s">
        <v>235</v>
      </c>
      <c r="H218" s="3">
        <v>46279.006944444402</v>
      </c>
      <c r="I218" s="1" t="s">
        <v>236</v>
      </c>
      <c r="J218" s="2">
        <v>46279</v>
      </c>
      <c r="K218" s="3">
        <v>46279.006944444402</v>
      </c>
      <c r="L218" s="1" t="s">
        <v>237</v>
      </c>
      <c r="M218" s="1" t="s">
        <v>40</v>
      </c>
      <c r="N218" s="1" t="s">
        <v>41</v>
      </c>
      <c r="O218" s="1" t="s">
        <v>42</v>
      </c>
      <c r="Q218" s="1" t="s">
        <v>42</v>
      </c>
      <c r="R218" s="1" t="s">
        <v>232</v>
      </c>
      <c r="S218" s="1" t="s">
        <v>233</v>
      </c>
      <c r="T218" s="4">
        <v>184.8</v>
      </c>
      <c r="U218" s="4">
        <v>184.8</v>
      </c>
      <c r="V218" s="4">
        <v>184.8</v>
      </c>
      <c r="Z218" s="1" t="s">
        <v>42</v>
      </c>
      <c r="AD218" s="1" t="s">
        <v>42</v>
      </c>
      <c r="AF218" s="1" t="s">
        <v>42</v>
      </c>
    </row>
    <row r="219" spans="1:32" x14ac:dyDescent="0.25">
      <c r="A219" s="1" t="s">
        <v>32</v>
      </c>
      <c r="B219" s="1" t="s">
        <v>33</v>
      </c>
      <c r="C219" s="1" t="s">
        <v>34</v>
      </c>
      <c r="D219" s="1" t="s">
        <v>42</v>
      </c>
      <c r="E219" s="1" t="s">
        <v>234</v>
      </c>
      <c r="F219" s="2">
        <v>46279</v>
      </c>
      <c r="G219" s="1" t="s">
        <v>235</v>
      </c>
      <c r="H219" s="3">
        <v>46279.006944444402</v>
      </c>
      <c r="I219" s="1" t="s">
        <v>236</v>
      </c>
      <c r="J219" s="2">
        <v>46279</v>
      </c>
      <c r="K219" s="3">
        <v>46279.006944444402</v>
      </c>
      <c r="L219" s="1" t="s">
        <v>237</v>
      </c>
      <c r="M219" s="1" t="s">
        <v>40</v>
      </c>
      <c r="N219" s="1" t="s">
        <v>41</v>
      </c>
      <c r="O219" s="1" t="s">
        <v>42</v>
      </c>
      <c r="Q219" s="1" t="s">
        <v>42</v>
      </c>
      <c r="R219" s="1" t="s">
        <v>220</v>
      </c>
      <c r="S219" s="1" t="s">
        <v>221</v>
      </c>
      <c r="T219" s="4">
        <v>332.64</v>
      </c>
      <c r="U219" s="4">
        <v>332.64</v>
      </c>
      <c r="V219" s="4">
        <v>332.64</v>
      </c>
      <c r="Z219" s="1" t="s">
        <v>42</v>
      </c>
      <c r="AD219" s="1" t="s">
        <v>42</v>
      </c>
      <c r="AF219" s="1" t="s">
        <v>42</v>
      </c>
    </row>
    <row r="220" spans="1:32" x14ac:dyDescent="0.25">
      <c r="A220" s="1" t="s">
        <v>32</v>
      </c>
      <c r="B220" s="1" t="s">
        <v>33</v>
      </c>
      <c r="C220" s="1" t="s">
        <v>34</v>
      </c>
      <c r="D220" s="1" t="s">
        <v>42</v>
      </c>
      <c r="E220" s="1" t="s">
        <v>234</v>
      </c>
      <c r="F220" s="2">
        <v>46279</v>
      </c>
      <c r="G220" s="1" t="s">
        <v>235</v>
      </c>
      <c r="H220" s="3">
        <v>46279.006944444402</v>
      </c>
      <c r="I220" s="1" t="s">
        <v>236</v>
      </c>
      <c r="J220" s="2">
        <v>46279</v>
      </c>
      <c r="K220" s="3">
        <v>46279.006944444402</v>
      </c>
      <c r="L220" s="1" t="s">
        <v>237</v>
      </c>
      <c r="M220" s="1" t="s">
        <v>40</v>
      </c>
      <c r="N220" s="1" t="s">
        <v>41</v>
      </c>
      <c r="O220" s="1" t="s">
        <v>42</v>
      </c>
      <c r="Q220" s="1" t="s">
        <v>42</v>
      </c>
      <c r="R220" s="1" t="s">
        <v>189</v>
      </c>
      <c r="S220" s="1" t="s">
        <v>190</v>
      </c>
      <c r="T220" s="4">
        <v>501.6</v>
      </c>
      <c r="U220" s="4">
        <v>501.6</v>
      </c>
      <c r="V220" s="4">
        <v>501.6</v>
      </c>
      <c r="Z220" s="1" t="s">
        <v>42</v>
      </c>
      <c r="AD220" s="1" t="s">
        <v>42</v>
      </c>
      <c r="AF220" s="1" t="s">
        <v>42</v>
      </c>
    </row>
    <row r="221" spans="1:32" x14ac:dyDescent="0.25">
      <c r="A221" s="1" t="s">
        <v>32</v>
      </c>
      <c r="B221" s="1" t="s">
        <v>33</v>
      </c>
      <c r="C221" s="1" t="s">
        <v>34</v>
      </c>
      <c r="D221" s="1" t="s">
        <v>42</v>
      </c>
      <c r="E221" s="1" t="s">
        <v>234</v>
      </c>
      <c r="F221" s="2">
        <v>46279</v>
      </c>
      <c r="G221" s="1" t="s">
        <v>235</v>
      </c>
      <c r="H221" s="3">
        <v>46279.006944444402</v>
      </c>
      <c r="I221" s="1" t="s">
        <v>236</v>
      </c>
      <c r="J221" s="2">
        <v>46279</v>
      </c>
      <c r="K221" s="3">
        <v>46279.006944444402</v>
      </c>
      <c r="L221" s="1" t="s">
        <v>237</v>
      </c>
      <c r="M221" s="1" t="s">
        <v>40</v>
      </c>
      <c r="N221" s="1" t="s">
        <v>41</v>
      </c>
      <c r="O221" s="1" t="s">
        <v>42</v>
      </c>
      <c r="Q221" s="1" t="s">
        <v>42</v>
      </c>
      <c r="R221" s="1" t="s">
        <v>195</v>
      </c>
      <c r="S221" s="1" t="s">
        <v>196</v>
      </c>
      <c r="T221" s="4">
        <v>334.8</v>
      </c>
      <c r="U221" s="4">
        <v>334.8</v>
      </c>
      <c r="V221" s="4">
        <v>334.8</v>
      </c>
      <c r="Z221" s="1" t="s">
        <v>42</v>
      </c>
      <c r="AD221" s="1" t="s">
        <v>42</v>
      </c>
      <c r="AF221" s="1" t="s">
        <v>42</v>
      </c>
    </row>
    <row r="222" spans="1:32" x14ac:dyDescent="0.25">
      <c r="A222" s="1" t="s">
        <v>32</v>
      </c>
      <c r="B222" s="1" t="s">
        <v>33</v>
      </c>
      <c r="C222" s="1" t="s">
        <v>34</v>
      </c>
      <c r="D222" s="1" t="s">
        <v>42</v>
      </c>
      <c r="E222" s="1" t="s">
        <v>252</v>
      </c>
      <c r="F222" s="2">
        <v>46279</v>
      </c>
      <c r="G222" s="1" t="s">
        <v>253</v>
      </c>
      <c r="H222" s="3">
        <v>46279.006944444402</v>
      </c>
      <c r="I222" s="1" t="s">
        <v>254</v>
      </c>
      <c r="J222" s="2">
        <v>46279</v>
      </c>
      <c r="K222" s="3">
        <v>46279.006944444402</v>
      </c>
      <c r="L222" s="1" t="s">
        <v>255</v>
      </c>
      <c r="M222" s="1" t="s">
        <v>40</v>
      </c>
      <c r="N222" s="1" t="s">
        <v>41</v>
      </c>
      <c r="O222" s="1" t="s">
        <v>42</v>
      </c>
      <c r="Q222" s="1" t="s">
        <v>42</v>
      </c>
      <c r="R222" s="1" t="s">
        <v>201</v>
      </c>
      <c r="S222" s="1" t="s">
        <v>202</v>
      </c>
      <c r="T222" s="4">
        <v>64.8</v>
      </c>
      <c r="U222" s="4">
        <v>64.8</v>
      </c>
      <c r="V222" s="4">
        <v>64.8</v>
      </c>
      <c r="Z222" s="1" t="s">
        <v>42</v>
      </c>
      <c r="AD222" s="1" t="s">
        <v>42</v>
      </c>
      <c r="AF222" s="1" t="s">
        <v>42</v>
      </c>
    </row>
    <row r="223" spans="1:32" x14ac:dyDescent="0.25">
      <c r="A223" s="1" t="s">
        <v>32</v>
      </c>
      <c r="B223" s="1" t="s">
        <v>33</v>
      </c>
      <c r="C223" s="1" t="s">
        <v>34</v>
      </c>
      <c r="D223" s="1" t="s">
        <v>42</v>
      </c>
      <c r="E223" s="1" t="s">
        <v>252</v>
      </c>
      <c r="F223" s="2">
        <v>46279</v>
      </c>
      <c r="G223" s="1" t="s">
        <v>253</v>
      </c>
      <c r="H223" s="3">
        <v>46279.006944444402</v>
      </c>
      <c r="I223" s="1" t="s">
        <v>254</v>
      </c>
      <c r="J223" s="2">
        <v>46279</v>
      </c>
      <c r="K223" s="3">
        <v>46279.006944444402</v>
      </c>
      <c r="L223" s="1" t="s">
        <v>255</v>
      </c>
      <c r="M223" s="1" t="s">
        <v>40</v>
      </c>
      <c r="N223" s="1" t="s">
        <v>41</v>
      </c>
      <c r="O223" s="1" t="s">
        <v>42</v>
      </c>
      <c r="Q223" s="1" t="s">
        <v>42</v>
      </c>
      <c r="R223" s="1" t="s">
        <v>45</v>
      </c>
      <c r="S223" s="1" t="s">
        <v>46</v>
      </c>
      <c r="T223" s="4">
        <v>4</v>
      </c>
      <c r="U223" s="4">
        <v>4</v>
      </c>
      <c r="V223" s="4">
        <v>4</v>
      </c>
      <c r="Z223" s="1" t="s">
        <v>42</v>
      </c>
      <c r="AD223" s="1" t="s">
        <v>42</v>
      </c>
      <c r="AF223" s="1" t="s">
        <v>42</v>
      </c>
    </row>
    <row r="224" spans="1:32" x14ac:dyDescent="0.25">
      <c r="A224" s="1" t="s">
        <v>32</v>
      </c>
      <c r="B224" s="1" t="s">
        <v>33</v>
      </c>
      <c r="C224" s="1" t="s">
        <v>34</v>
      </c>
      <c r="D224" s="1" t="s">
        <v>42</v>
      </c>
      <c r="E224" s="1" t="s">
        <v>252</v>
      </c>
      <c r="F224" s="2">
        <v>46279</v>
      </c>
      <c r="G224" s="1" t="s">
        <v>253</v>
      </c>
      <c r="H224" s="3">
        <v>46279.006944444402</v>
      </c>
      <c r="I224" s="1" t="s">
        <v>254</v>
      </c>
      <c r="J224" s="2">
        <v>46279</v>
      </c>
      <c r="K224" s="3">
        <v>46279.006944444402</v>
      </c>
      <c r="L224" s="1" t="s">
        <v>255</v>
      </c>
      <c r="M224" s="1" t="s">
        <v>40</v>
      </c>
      <c r="N224" s="1" t="s">
        <v>41</v>
      </c>
      <c r="O224" s="1" t="s">
        <v>42</v>
      </c>
      <c r="Q224" s="1" t="s">
        <v>42</v>
      </c>
      <c r="R224" s="1" t="s">
        <v>256</v>
      </c>
      <c r="S224" s="1" t="s">
        <v>257</v>
      </c>
      <c r="T224" s="4">
        <v>108</v>
      </c>
      <c r="U224" s="4">
        <v>108</v>
      </c>
      <c r="V224" s="4">
        <v>108</v>
      </c>
      <c r="Z224" s="1" t="s">
        <v>42</v>
      </c>
      <c r="AD224" s="1" t="s">
        <v>42</v>
      </c>
      <c r="AF224" s="1" t="s">
        <v>42</v>
      </c>
    </row>
    <row r="225" spans="1:32" x14ac:dyDescent="0.25">
      <c r="A225" s="1" t="s">
        <v>32</v>
      </c>
      <c r="B225" s="1" t="s">
        <v>33</v>
      </c>
      <c r="C225" s="1" t="s">
        <v>34</v>
      </c>
      <c r="D225" s="1" t="s">
        <v>42</v>
      </c>
      <c r="E225" s="1" t="s">
        <v>252</v>
      </c>
      <c r="F225" s="2">
        <v>46279</v>
      </c>
      <c r="G225" s="1" t="s">
        <v>253</v>
      </c>
      <c r="H225" s="3">
        <v>46279.006944444402</v>
      </c>
      <c r="I225" s="1" t="s">
        <v>254</v>
      </c>
      <c r="J225" s="2">
        <v>46279</v>
      </c>
      <c r="K225" s="3">
        <v>46279.006944444402</v>
      </c>
      <c r="L225" s="1" t="s">
        <v>255</v>
      </c>
      <c r="M225" s="1" t="s">
        <v>40</v>
      </c>
      <c r="N225" s="1" t="s">
        <v>41</v>
      </c>
      <c r="O225" s="1" t="s">
        <v>42</v>
      </c>
      <c r="Q225" s="1" t="s">
        <v>42</v>
      </c>
      <c r="R225" s="1" t="s">
        <v>230</v>
      </c>
      <c r="S225" s="1" t="s">
        <v>231</v>
      </c>
      <c r="T225" s="4">
        <v>54</v>
      </c>
      <c r="U225" s="4">
        <v>54</v>
      </c>
      <c r="V225" s="4">
        <v>54</v>
      </c>
      <c r="Z225" s="1" t="s">
        <v>42</v>
      </c>
      <c r="AD225" s="1" t="s">
        <v>42</v>
      </c>
      <c r="AF225" s="1" t="s">
        <v>42</v>
      </c>
    </row>
    <row r="226" spans="1:32" x14ac:dyDescent="0.25">
      <c r="A226" s="1" t="s">
        <v>32</v>
      </c>
      <c r="B226" s="1" t="s">
        <v>33</v>
      </c>
      <c r="C226" s="1" t="s">
        <v>34</v>
      </c>
      <c r="D226" s="1" t="s">
        <v>42</v>
      </c>
      <c r="E226" s="1" t="s">
        <v>252</v>
      </c>
      <c r="F226" s="2">
        <v>46279</v>
      </c>
      <c r="G226" s="1" t="s">
        <v>253</v>
      </c>
      <c r="H226" s="3">
        <v>46279.006944444402</v>
      </c>
      <c r="I226" s="1" t="s">
        <v>254</v>
      </c>
      <c r="J226" s="2">
        <v>46279</v>
      </c>
      <c r="K226" s="3">
        <v>46279.006944444402</v>
      </c>
      <c r="L226" s="1" t="s">
        <v>255</v>
      </c>
      <c r="M226" s="1" t="s">
        <v>40</v>
      </c>
      <c r="N226" s="1" t="s">
        <v>41</v>
      </c>
      <c r="O226" s="1" t="s">
        <v>42</v>
      </c>
      <c r="Q226" s="1" t="s">
        <v>42</v>
      </c>
      <c r="R226" s="1" t="s">
        <v>47</v>
      </c>
      <c r="S226" s="1" t="s">
        <v>48</v>
      </c>
      <c r="T226" s="4">
        <v>156</v>
      </c>
      <c r="U226" s="4">
        <v>156</v>
      </c>
      <c r="V226" s="4">
        <v>156</v>
      </c>
      <c r="Z226" s="1" t="s">
        <v>42</v>
      </c>
      <c r="AD226" s="1" t="s">
        <v>42</v>
      </c>
      <c r="AF226" s="1" t="s">
        <v>42</v>
      </c>
    </row>
    <row r="227" spans="1:32" x14ac:dyDescent="0.25">
      <c r="A227" s="1" t="s">
        <v>32</v>
      </c>
      <c r="B227" s="1" t="s">
        <v>33</v>
      </c>
      <c r="C227" s="1" t="s">
        <v>34</v>
      </c>
      <c r="D227" s="1" t="s">
        <v>42</v>
      </c>
      <c r="E227" s="1" t="s">
        <v>252</v>
      </c>
      <c r="F227" s="2">
        <v>46279</v>
      </c>
      <c r="G227" s="1" t="s">
        <v>253</v>
      </c>
      <c r="H227" s="3">
        <v>46279.006944444402</v>
      </c>
      <c r="I227" s="1" t="s">
        <v>254</v>
      </c>
      <c r="J227" s="2">
        <v>46279</v>
      </c>
      <c r="K227" s="3">
        <v>46279.006944444402</v>
      </c>
      <c r="L227" s="1" t="s">
        <v>255</v>
      </c>
      <c r="M227" s="1" t="s">
        <v>40</v>
      </c>
      <c r="N227" s="1" t="s">
        <v>41</v>
      </c>
      <c r="O227" s="1" t="s">
        <v>42</v>
      </c>
      <c r="Q227" s="1" t="s">
        <v>42</v>
      </c>
      <c r="R227" s="1" t="s">
        <v>203</v>
      </c>
      <c r="S227" s="1" t="s">
        <v>204</v>
      </c>
      <c r="T227" s="4">
        <v>135</v>
      </c>
      <c r="U227" s="4">
        <v>135</v>
      </c>
      <c r="V227" s="4">
        <v>135</v>
      </c>
      <c r="Z227" s="1" t="s">
        <v>42</v>
      </c>
      <c r="AD227" s="1" t="s">
        <v>42</v>
      </c>
      <c r="AF227" s="1" t="s">
        <v>42</v>
      </c>
    </row>
    <row r="228" spans="1:32" x14ac:dyDescent="0.25">
      <c r="A228" s="1" t="s">
        <v>32</v>
      </c>
      <c r="B228" s="1" t="s">
        <v>33</v>
      </c>
      <c r="C228" s="1" t="s">
        <v>34</v>
      </c>
      <c r="D228" s="1" t="s">
        <v>42</v>
      </c>
      <c r="E228" s="1" t="s">
        <v>252</v>
      </c>
      <c r="F228" s="2">
        <v>46279</v>
      </c>
      <c r="G228" s="1" t="s">
        <v>253</v>
      </c>
      <c r="H228" s="3">
        <v>46279.006944444402</v>
      </c>
      <c r="I228" s="1" t="s">
        <v>254</v>
      </c>
      <c r="J228" s="2">
        <v>46279</v>
      </c>
      <c r="K228" s="3">
        <v>46279.006944444402</v>
      </c>
      <c r="L228" s="1" t="s">
        <v>255</v>
      </c>
      <c r="M228" s="1" t="s">
        <v>40</v>
      </c>
      <c r="N228" s="1" t="s">
        <v>41</v>
      </c>
      <c r="O228" s="1" t="s">
        <v>42</v>
      </c>
      <c r="Q228" s="1" t="s">
        <v>42</v>
      </c>
      <c r="R228" s="1" t="s">
        <v>51</v>
      </c>
      <c r="S228" s="1" t="s">
        <v>52</v>
      </c>
      <c r="T228" s="4">
        <v>105.3</v>
      </c>
      <c r="U228" s="4">
        <v>105.3</v>
      </c>
      <c r="V228" s="4">
        <v>105.3</v>
      </c>
      <c r="Z228" s="1" t="s">
        <v>42</v>
      </c>
      <c r="AD228" s="1" t="s">
        <v>42</v>
      </c>
      <c r="AF228" s="1" t="s">
        <v>42</v>
      </c>
    </row>
    <row r="229" spans="1:32" x14ac:dyDescent="0.25">
      <c r="A229" s="1" t="s">
        <v>32</v>
      </c>
      <c r="B229" s="1" t="s">
        <v>33</v>
      </c>
      <c r="C229" s="1" t="s">
        <v>34</v>
      </c>
      <c r="D229" s="1" t="s">
        <v>42</v>
      </c>
      <c r="E229" s="1" t="s">
        <v>252</v>
      </c>
      <c r="F229" s="2">
        <v>46279</v>
      </c>
      <c r="G229" s="1" t="s">
        <v>253</v>
      </c>
      <c r="H229" s="3">
        <v>46279.006944444402</v>
      </c>
      <c r="I229" s="1" t="s">
        <v>254</v>
      </c>
      <c r="J229" s="2">
        <v>46279</v>
      </c>
      <c r="K229" s="3">
        <v>46279.006944444402</v>
      </c>
      <c r="L229" s="1" t="s">
        <v>255</v>
      </c>
      <c r="M229" s="1" t="s">
        <v>40</v>
      </c>
      <c r="N229" s="1" t="s">
        <v>41</v>
      </c>
      <c r="O229" s="1" t="s">
        <v>42</v>
      </c>
      <c r="Q229" s="1" t="s">
        <v>42</v>
      </c>
      <c r="R229" s="1" t="s">
        <v>207</v>
      </c>
      <c r="S229" s="1" t="s">
        <v>208</v>
      </c>
      <c r="T229" s="4">
        <v>216</v>
      </c>
      <c r="U229" s="4">
        <v>216</v>
      </c>
      <c r="V229" s="4">
        <v>216</v>
      </c>
      <c r="Z229" s="1" t="s">
        <v>42</v>
      </c>
      <c r="AD229" s="1" t="s">
        <v>42</v>
      </c>
      <c r="AF229" s="1" t="s">
        <v>42</v>
      </c>
    </row>
    <row r="230" spans="1:32" x14ac:dyDescent="0.25">
      <c r="A230" s="1" t="s">
        <v>32</v>
      </c>
      <c r="B230" s="1" t="s">
        <v>33</v>
      </c>
      <c r="C230" s="1" t="s">
        <v>34</v>
      </c>
      <c r="D230" s="1" t="s">
        <v>42</v>
      </c>
      <c r="E230" s="1" t="s">
        <v>252</v>
      </c>
      <c r="F230" s="2">
        <v>46279</v>
      </c>
      <c r="G230" s="1" t="s">
        <v>253</v>
      </c>
      <c r="H230" s="3">
        <v>46279.006944444402</v>
      </c>
      <c r="I230" s="1" t="s">
        <v>254</v>
      </c>
      <c r="J230" s="2">
        <v>46279</v>
      </c>
      <c r="K230" s="3">
        <v>46279.006944444402</v>
      </c>
      <c r="L230" s="1" t="s">
        <v>255</v>
      </c>
      <c r="M230" s="1" t="s">
        <v>40</v>
      </c>
      <c r="N230" s="1" t="s">
        <v>41</v>
      </c>
      <c r="O230" s="1" t="s">
        <v>42</v>
      </c>
      <c r="Q230" s="1" t="s">
        <v>42</v>
      </c>
      <c r="R230" s="1" t="s">
        <v>55</v>
      </c>
      <c r="S230" s="1" t="s">
        <v>56</v>
      </c>
      <c r="T230" s="4">
        <v>502.2</v>
      </c>
      <c r="U230" s="4">
        <v>502.2</v>
      </c>
      <c r="V230" s="4">
        <v>502.2</v>
      </c>
      <c r="Z230" s="1" t="s">
        <v>42</v>
      </c>
      <c r="AD230" s="1" t="s">
        <v>42</v>
      </c>
      <c r="AF230" s="1" t="s">
        <v>42</v>
      </c>
    </row>
    <row r="231" spans="1:32" x14ac:dyDescent="0.25">
      <c r="A231" s="1" t="s">
        <v>32</v>
      </c>
      <c r="B231" s="1" t="s">
        <v>33</v>
      </c>
      <c r="C231" s="1" t="s">
        <v>34</v>
      </c>
      <c r="D231" s="1" t="s">
        <v>42</v>
      </c>
      <c r="E231" s="1" t="s">
        <v>252</v>
      </c>
      <c r="F231" s="2">
        <v>46279</v>
      </c>
      <c r="G231" s="1" t="s">
        <v>253</v>
      </c>
      <c r="H231" s="3">
        <v>46279.006944444402</v>
      </c>
      <c r="I231" s="1" t="s">
        <v>254</v>
      </c>
      <c r="J231" s="2">
        <v>46279</v>
      </c>
      <c r="K231" s="3">
        <v>46279.006944444402</v>
      </c>
      <c r="L231" s="1" t="s">
        <v>255</v>
      </c>
      <c r="M231" s="1" t="s">
        <v>40</v>
      </c>
      <c r="N231" s="1" t="s">
        <v>41</v>
      </c>
      <c r="O231" s="1" t="s">
        <v>42</v>
      </c>
      <c r="Q231" s="1" t="s">
        <v>42</v>
      </c>
      <c r="R231" s="1" t="s">
        <v>57</v>
      </c>
      <c r="S231" s="1" t="s">
        <v>58</v>
      </c>
      <c r="T231" s="4">
        <v>135</v>
      </c>
      <c r="U231" s="4">
        <v>135</v>
      </c>
      <c r="V231" s="4">
        <v>135</v>
      </c>
      <c r="Z231" s="1" t="s">
        <v>42</v>
      </c>
      <c r="AD231" s="1" t="s">
        <v>42</v>
      </c>
      <c r="AF231" s="1" t="s">
        <v>42</v>
      </c>
    </row>
    <row r="232" spans="1:32" x14ac:dyDescent="0.25">
      <c r="A232" s="1" t="s">
        <v>32</v>
      </c>
      <c r="B232" s="1" t="s">
        <v>33</v>
      </c>
      <c r="C232" s="1" t="s">
        <v>34</v>
      </c>
      <c r="D232" s="1" t="s">
        <v>42</v>
      </c>
      <c r="E232" s="1" t="s">
        <v>252</v>
      </c>
      <c r="F232" s="2">
        <v>46279</v>
      </c>
      <c r="G232" s="1" t="s">
        <v>253</v>
      </c>
      <c r="H232" s="3">
        <v>46279.006944444402</v>
      </c>
      <c r="I232" s="1" t="s">
        <v>254</v>
      </c>
      <c r="J232" s="2">
        <v>46279</v>
      </c>
      <c r="K232" s="3">
        <v>46279.006944444402</v>
      </c>
      <c r="L232" s="1" t="s">
        <v>255</v>
      </c>
      <c r="M232" s="1" t="s">
        <v>40</v>
      </c>
      <c r="N232" s="1" t="s">
        <v>41</v>
      </c>
      <c r="O232" s="1" t="s">
        <v>42</v>
      </c>
      <c r="Q232" s="1" t="s">
        <v>42</v>
      </c>
      <c r="R232" s="1" t="s">
        <v>258</v>
      </c>
      <c r="S232" s="1" t="s">
        <v>259</v>
      </c>
      <c r="T232" s="4">
        <v>12.8</v>
      </c>
      <c r="U232" s="4">
        <v>12.8</v>
      </c>
      <c r="V232" s="4">
        <v>12.8</v>
      </c>
      <c r="Z232" s="1" t="s">
        <v>42</v>
      </c>
      <c r="AD232" s="1" t="s">
        <v>42</v>
      </c>
      <c r="AF232" s="1" t="s">
        <v>42</v>
      </c>
    </row>
    <row r="233" spans="1:32" x14ac:dyDescent="0.25">
      <c r="A233" s="1" t="s">
        <v>32</v>
      </c>
      <c r="B233" s="1" t="s">
        <v>33</v>
      </c>
      <c r="C233" s="1" t="s">
        <v>34</v>
      </c>
      <c r="D233" s="1" t="s">
        <v>42</v>
      </c>
      <c r="E233" s="1" t="s">
        <v>252</v>
      </c>
      <c r="F233" s="2">
        <v>46279</v>
      </c>
      <c r="G233" s="1" t="s">
        <v>253</v>
      </c>
      <c r="H233" s="3">
        <v>46279.006944444402</v>
      </c>
      <c r="I233" s="1" t="s">
        <v>254</v>
      </c>
      <c r="J233" s="2">
        <v>46279</v>
      </c>
      <c r="K233" s="3">
        <v>46279.006944444402</v>
      </c>
      <c r="L233" s="1" t="s">
        <v>255</v>
      </c>
      <c r="M233" s="1" t="s">
        <v>40</v>
      </c>
      <c r="N233" s="1" t="s">
        <v>41</v>
      </c>
      <c r="O233" s="1" t="s">
        <v>42</v>
      </c>
      <c r="Q233" s="1" t="s">
        <v>42</v>
      </c>
      <c r="R233" s="1" t="s">
        <v>61</v>
      </c>
      <c r="S233" s="1" t="s">
        <v>62</v>
      </c>
      <c r="T233" s="4">
        <v>14</v>
      </c>
      <c r="U233" s="4">
        <v>14</v>
      </c>
      <c r="V233" s="4">
        <v>14</v>
      </c>
      <c r="Z233" s="1" t="s">
        <v>42</v>
      </c>
      <c r="AD233" s="1" t="s">
        <v>42</v>
      </c>
      <c r="AF233" s="1" t="s">
        <v>42</v>
      </c>
    </row>
    <row r="234" spans="1:32" x14ac:dyDescent="0.25">
      <c r="A234" s="1" t="s">
        <v>32</v>
      </c>
      <c r="B234" s="1" t="s">
        <v>33</v>
      </c>
      <c r="C234" s="1" t="s">
        <v>34</v>
      </c>
      <c r="D234" s="1" t="s">
        <v>42</v>
      </c>
      <c r="E234" s="1" t="s">
        <v>252</v>
      </c>
      <c r="F234" s="2">
        <v>46279</v>
      </c>
      <c r="G234" s="1" t="s">
        <v>253</v>
      </c>
      <c r="H234" s="3">
        <v>46279.006944444402</v>
      </c>
      <c r="I234" s="1" t="s">
        <v>254</v>
      </c>
      <c r="J234" s="2">
        <v>46279</v>
      </c>
      <c r="K234" s="3">
        <v>46279.006944444402</v>
      </c>
      <c r="L234" s="1" t="s">
        <v>255</v>
      </c>
      <c r="M234" s="1" t="s">
        <v>40</v>
      </c>
      <c r="N234" s="1" t="s">
        <v>41</v>
      </c>
      <c r="O234" s="1" t="s">
        <v>42</v>
      </c>
      <c r="Q234" s="1" t="s">
        <v>42</v>
      </c>
      <c r="R234" s="1" t="s">
        <v>63</v>
      </c>
      <c r="S234" s="1" t="s">
        <v>64</v>
      </c>
      <c r="T234" s="4">
        <v>50.16</v>
      </c>
      <c r="U234" s="4">
        <v>50.16</v>
      </c>
      <c r="V234" s="4">
        <v>50.16</v>
      </c>
      <c r="Z234" s="1" t="s">
        <v>42</v>
      </c>
      <c r="AD234" s="1" t="s">
        <v>42</v>
      </c>
      <c r="AF234" s="1" t="s">
        <v>42</v>
      </c>
    </row>
    <row r="235" spans="1:32" x14ac:dyDescent="0.25">
      <c r="A235" s="1" t="s">
        <v>32</v>
      </c>
      <c r="B235" s="1" t="s">
        <v>33</v>
      </c>
      <c r="C235" s="1" t="s">
        <v>34</v>
      </c>
      <c r="D235" s="1" t="s">
        <v>42</v>
      </c>
      <c r="E235" s="1" t="s">
        <v>252</v>
      </c>
      <c r="F235" s="2">
        <v>46279</v>
      </c>
      <c r="G235" s="1" t="s">
        <v>253</v>
      </c>
      <c r="H235" s="3">
        <v>46279.006944444402</v>
      </c>
      <c r="I235" s="1" t="s">
        <v>254</v>
      </c>
      <c r="J235" s="2">
        <v>46279</v>
      </c>
      <c r="K235" s="3">
        <v>46279.006944444402</v>
      </c>
      <c r="L235" s="1" t="s">
        <v>255</v>
      </c>
      <c r="M235" s="1" t="s">
        <v>40</v>
      </c>
      <c r="N235" s="1" t="s">
        <v>41</v>
      </c>
      <c r="O235" s="1" t="s">
        <v>42</v>
      </c>
      <c r="Q235" s="1" t="s">
        <v>42</v>
      </c>
      <c r="R235" s="1" t="s">
        <v>65</v>
      </c>
      <c r="S235" s="1" t="s">
        <v>66</v>
      </c>
      <c r="T235" s="4">
        <v>101.5</v>
      </c>
      <c r="W235" s="4">
        <v>-101.5</v>
      </c>
      <c r="X235" s="1" t="s">
        <v>67</v>
      </c>
      <c r="Y235" s="1" t="s">
        <v>68</v>
      </c>
      <c r="Z235" s="1" t="s">
        <v>42</v>
      </c>
      <c r="AD235" s="1" t="s">
        <v>42</v>
      </c>
      <c r="AE235" s="1" t="s">
        <v>211</v>
      </c>
      <c r="AF235" s="1" t="s">
        <v>42</v>
      </c>
    </row>
    <row r="236" spans="1:32" x14ac:dyDescent="0.25">
      <c r="A236" s="1" t="s">
        <v>32</v>
      </c>
      <c r="B236" s="1" t="s">
        <v>33</v>
      </c>
      <c r="C236" s="1" t="s">
        <v>34</v>
      </c>
      <c r="D236" s="1" t="s">
        <v>42</v>
      </c>
      <c r="E236" s="1" t="s">
        <v>252</v>
      </c>
      <c r="F236" s="2">
        <v>46279</v>
      </c>
      <c r="G236" s="1" t="s">
        <v>253</v>
      </c>
      <c r="H236" s="3">
        <v>46279.006944444402</v>
      </c>
      <c r="I236" s="1" t="s">
        <v>254</v>
      </c>
      <c r="J236" s="2">
        <v>46279</v>
      </c>
      <c r="K236" s="3">
        <v>46279.006944444402</v>
      </c>
      <c r="L236" s="1" t="s">
        <v>255</v>
      </c>
      <c r="M236" s="1" t="s">
        <v>40</v>
      </c>
      <c r="N236" s="1" t="s">
        <v>41</v>
      </c>
      <c r="O236" s="1" t="s">
        <v>42</v>
      </c>
      <c r="Q236" s="1" t="s">
        <v>42</v>
      </c>
      <c r="R236" s="1" t="s">
        <v>70</v>
      </c>
      <c r="S236" s="1" t="s">
        <v>71</v>
      </c>
      <c r="T236" s="4">
        <v>52.5</v>
      </c>
      <c r="U236" s="4">
        <v>52.5</v>
      </c>
      <c r="V236" s="4">
        <v>52.5</v>
      </c>
      <c r="Z236" s="1" t="s">
        <v>42</v>
      </c>
      <c r="AD236" s="1" t="s">
        <v>42</v>
      </c>
      <c r="AF236" s="1" t="s">
        <v>42</v>
      </c>
    </row>
    <row r="237" spans="1:32" x14ac:dyDescent="0.25">
      <c r="A237" s="1" t="s">
        <v>32</v>
      </c>
      <c r="B237" s="1" t="s">
        <v>33</v>
      </c>
      <c r="C237" s="1" t="s">
        <v>34</v>
      </c>
      <c r="D237" s="1" t="s">
        <v>42</v>
      </c>
      <c r="E237" s="1" t="s">
        <v>252</v>
      </c>
      <c r="F237" s="2">
        <v>46279</v>
      </c>
      <c r="G237" s="1" t="s">
        <v>253</v>
      </c>
      <c r="H237" s="3">
        <v>46279.006944444402</v>
      </c>
      <c r="I237" s="1" t="s">
        <v>254</v>
      </c>
      <c r="J237" s="2">
        <v>46279</v>
      </c>
      <c r="K237" s="3">
        <v>46279.006944444402</v>
      </c>
      <c r="L237" s="1" t="s">
        <v>255</v>
      </c>
      <c r="M237" s="1" t="s">
        <v>40</v>
      </c>
      <c r="N237" s="1" t="s">
        <v>41</v>
      </c>
      <c r="O237" s="1" t="s">
        <v>42</v>
      </c>
      <c r="Q237" s="1" t="s">
        <v>42</v>
      </c>
      <c r="R237" s="1" t="s">
        <v>74</v>
      </c>
      <c r="S237" s="1" t="s">
        <v>75</v>
      </c>
      <c r="T237" s="4">
        <v>52.5</v>
      </c>
      <c r="U237" s="4">
        <v>52.5</v>
      </c>
      <c r="V237" s="4">
        <v>52.5</v>
      </c>
      <c r="Z237" s="1" t="s">
        <v>42</v>
      </c>
      <c r="AD237" s="1" t="s">
        <v>42</v>
      </c>
      <c r="AF237" s="1" t="s">
        <v>42</v>
      </c>
    </row>
    <row r="238" spans="1:32" x14ac:dyDescent="0.25">
      <c r="A238" s="1" t="s">
        <v>32</v>
      </c>
      <c r="B238" s="1" t="s">
        <v>33</v>
      </c>
      <c r="C238" s="1" t="s">
        <v>34</v>
      </c>
      <c r="D238" s="1" t="s">
        <v>42</v>
      </c>
      <c r="E238" s="1" t="s">
        <v>252</v>
      </c>
      <c r="F238" s="2">
        <v>46279</v>
      </c>
      <c r="G238" s="1" t="s">
        <v>253</v>
      </c>
      <c r="H238" s="3">
        <v>46279.006944444402</v>
      </c>
      <c r="I238" s="1" t="s">
        <v>254</v>
      </c>
      <c r="J238" s="2">
        <v>46279</v>
      </c>
      <c r="K238" s="3">
        <v>46279.006944444402</v>
      </c>
      <c r="L238" s="1" t="s">
        <v>255</v>
      </c>
      <c r="M238" s="1" t="s">
        <v>40</v>
      </c>
      <c r="N238" s="1" t="s">
        <v>41</v>
      </c>
      <c r="O238" s="1" t="s">
        <v>42</v>
      </c>
      <c r="Q238" s="1" t="s">
        <v>42</v>
      </c>
      <c r="R238" s="1" t="s">
        <v>240</v>
      </c>
      <c r="S238" s="1" t="s">
        <v>241</v>
      </c>
      <c r="T238" s="4">
        <v>2.7</v>
      </c>
      <c r="U238" s="4">
        <v>2.7</v>
      </c>
      <c r="V238" s="4">
        <v>2.7</v>
      </c>
      <c r="Z238" s="1" t="s">
        <v>42</v>
      </c>
      <c r="AD238" s="1" t="s">
        <v>42</v>
      </c>
      <c r="AF238" s="1" t="s">
        <v>42</v>
      </c>
    </row>
    <row r="239" spans="1:32" x14ac:dyDescent="0.25">
      <c r="A239" s="1" t="s">
        <v>32</v>
      </c>
      <c r="B239" s="1" t="s">
        <v>33</v>
      </c>
      <c r="C239" s="1" t="s">
        <v>34</v>
      </c>
      <c r="D239" s="1" t="s">
        <v>42</v>
      </c>
      <c r="E239" s="1" t="s">
        <v>252</v>
      </c>
      <c r="F239" s="2">
        <v>46279</v>
      </c>
      <c r="G239" s="1" t="s">
        <v>253</v>
      </c>
      <c r="H239" s="3">
        <v>46279.006944444402</v>
      </c>
      <c r="I239" s="1" t="s">
        <v>254</v>
      </c>
      <c r="J239" s="2">
        <v>46279</v>
      </c>
      <c r="K239" s="3">
        <v>46279.006944444402</v>
      </c>
      <c r="L239" s="1" t="s">
        <v>255</v>
      </c>
      <c r="M239" s="1" t="s">
        <v>40</v>
      </c>
      <c r="N239" s="1" t="s">
        <v>41</v>
      </c>
      <c r="O239" s="1" t="s">
        <v>42</v>
      </c>
      <c r="Q239" s="1" t="s">
        <v>42</v>
      </c>
      <c r="R239" s="1" t="s">
        <v>76</v>
      </c>
      <c r="S239" s="1" t="s">
        <v>77</v>
      </c>
      <c r="T239" s="4">
        <v>15.12</v>
      </c>
      <c r="U239" s="4">
        <v>15.12</v>
      </c>
      <c r="V239" s="4">
        <v>15.12</v>
      </c>
      <c r="Z239" s="1" t="s">
        <v>42</v>
      </c>
      <c r="AD239" s="1" t="s">
        <v>42</v>
      </c>
      <c r="AF239" s="1" t="s">
        <v>42</v>
      </c>
    </row>
    <row r="240" spans="1:32" x14ac:dyDescent="0.25">
      <c r="A240" s="1" t="s">
        <v>32</v>
      </c>
      <c r="B240" s="1" t="s">
        <v>33</v>
      </c>
      <c r="C240" s="1" t="s">
        <v>34</v>
      </c>
      <c r="D240" s="1" t="s">
        <v>42</v>
      </c>
      <c r="E240" s="1" t="s">
        <v>252</v>
      </c>
      <c r="F240" s="2">
        <v>46279</v>
      </c>
      <c r="G240" s="1" t="s">
        <v>253</v>
      </c>
      <c r="H240" s="3">
        <v>46279.006944444402</v>
      </c>
      <c r="I240" s="1" t="s">
        <v>254</v>
      </c>
      <c r="J240" s="2">
        <v>46279</v>
      </c>
      <c r="K240" s="3">
        <v>46279.006944444402</v>
      </c>
      <c r="L240" s="1" t="s">
        <v>255</v>
      </c>
      <c r="M240" s="1" t="s">
        <v>40</v>
      </c>
      <c r="N240" s="1" t="s">
        <v>41</v>
      </c>
      <c r="O240" s="1" t="s">
        <v>42</v>
      </c>
      <c r="Q240" s="1" t="s">
        <v>42</v>
      </c>
      <c r="R240" s="1" t="s">
        <v>78</v>
      </c>
      <c r="S240" s="1" t="s">
        <v>79</v>
      </c>
      <c r="T240" s="4">
        <v>42</v>
      </c>
      <c r="U240" s="4">
        <v>42</v>
      </c>
      <c r="V240" s="4">
        <v>42</v>
      </c>
      <c r="Z240" s="1" t="s">
        <v>42</v>
      </c>
      <c r="AD240" s="1" t="s">
        <v>42</v>
      </c>
      <c r="AF240" s="1" t="s">
        <v>42</v>
      </c>
    </row>
    <row r="241" spans="1:32" x14ac:dyDescent="0.25">
      <c r="A241" s="1" t="s">
        <v>32</v>
      </c>
      <c r="B241" s="1" t="s">
        <v>33</v>
      </c>
      <c r="C241" s="1" t="s">
        <v>34</v>
      </c>
      <c r="D241" s="1" t="s">
        <v>42</v>
      </c>
      <c r="E241" s="1" t="s">
        <v>252</v>
      </c>
      <c r="F241" s="2">
        <v>46279</v>
      </c>
      <c r="G241" s="1" t="s">
        <v>253</v>
      </c>
      <c r="H241" s="3">
        <v>46279.006944444402</v>
      </c>
      <c r="I241" s="1" t="s">
        <v>254</v>
      </c>
      <c r="J241" s="2">
        <v>46279</v>
      </c>
      <c r="K241" s="3">
        <v>46279.006944444402</v>
      </c>
      <c r="L241" s="1" t="s">
        <v>255</v>
      </c>
      <c r="M241" s="1" t="s">
        <v>40</v>
      </c>
      <c r="N241" s="1" t="s">
        <v>41</v>
      </c>
      <c r="O241" s="1" t="s">
        <v>42</v>
      </c>
      <c r="Q241" s="1" t="s">
        <v>42</v>
      </c>
      <c r="R241" s="1" t="s">
        <v>244</v>
      </c>
      <c r="S241" s="1" t="s">
        <v>245</v>
      </c>
      <c r="T241" s="4">
        <v>4.5</v>
      </c>
      <c r="U241" s="4">
        <v>4.5</v>
      </c>
      <c r="V241" s="4">
        <v>4.5</v>
      </c>
      <c r="Z241" s="1" t="s">
        <v>42</v>
      </c>
      <c r="AD241" s="1" t="s">
        <v>42</v>
      </c>
      <c r="AF241" s="1" t="s">
        <v>42</v>
      </c>
    </row>
    <row r="242" spans="1:32" x14ac:dyDescent="0.25">
      <c r="A242" s="1" t="s">
        <v>32</v>
      </c>
      <c r="B242" s="1" t="s">
        <v>33</v>
      </c>
      <c r="C242" s="1" t="s">
        <v>34</v>
      </c>
      <c r="D242" s="1" t="s">
        <v>42</v>
      </c>
      <c r="E242" s="1" t="s">
        <v>252</v>
      </c>
      <c r="F242" s="2">
        <v>46279</v>
      </c>
      <c r="G242" s="1" t="s">
        <v>253</v>
      </c>
      <c r="H242" s="3">
        <v>46279.006944444402</v>
      </c>
      <c r="I242" s="1" t="s">
        <v>254</v>
      </c>
      <c r="J242" s="2">
        <v>46279</v>
      </c>
      <c r="K242" s="3">
        <v>46279.006944444402</v>
      </c>
      <c r="L242" s="1" t="s">
        <v>255</v>
      </c>
      <c r="M242" s="1" t="s">
        <v>40</v>
      </c>
      <c r="N242" s="1" t="s">
        <v>41</v>
      </c>
      <c r="O242" s="1" t="s">
        <v>42</v>
      </c>
      <c r="Q242" s="1" t="s">
        <v>42</v>
      </c>
      <c r="R242" s="1" t="s">
        <v>81</v>
      </c>
      <c r="S242" s="1" t="s">
        <v>82</v>
      </c>
      <c r="T242" s="4">
        <v>42</v>
      </c>
      <c r="W242" s="4">
        <v>-42</v>
      </c>
      <c r="X242" s="1" t="s">
        <v>67</v>
      </c>
      <c r="Y242" s="1" t="s">
        <v>68</v>
      </c>
      <c r="Z242" s="1" t="s">
        <v>42</v>
      </c>
      <c r="AD242" s="1" t="s">
        <v>42</v>
      </c>
      <c r="AE242" s="1" t="s">
        <v>211</v>
      </c>
      <c r="AF242" s="1" t="s">
        <v>42</v>
      </c>
    </row>
    <row r="243" spans="1:32" x14ac:dyDescent="0.25">
      <c r="A243" s="1" t="s">
        <v>32</v>
      </c>
      <c r="B243" s="1" t="s">
        <v>33</v>
      </c>
      <c r="C243" s="1" t="s">
        <v>34</v>
      </c>
      <c r="D243" s="1" t="s">
        <v>42</v>
      </c>
      <c r="E243" s="1" t="s">
        <v>252</v>
      </c>
      <c r="F243" s="2">
        <v>46279</v>
      </c>
      <c r="G243" s="1" t="s">
        <v>253</v>
      </c>
      <c r="H243" s="3">
        <v>46279.006944444402</v>
      </c>
      <c r="I243" s="1" t="s">
        <v>254</v>
      </c>
      <c r="J243" s="2">
        <v>46279</v>
      </c>
      <c r="K243" s="3">
        <v>46279.006944444402</v>
      </c>
      <c r="L243" s="1" t="s">
        <v>255</v>
      </c>
      <c r="M243" s="1" t="s">
        <v>40</v>
      </c>
      <c r="N243" s="1" t="s">
        <v>41</v>
      </c>
      <c r="O243" s="1" t="s">
        <v>42</v>
      </c>
      <c r="Q243" s="1" t="s">
        <v>42</v>
      </c>
      <c r="R243" s="1" t="s">
        <v>83</v>
      </c>
      <c r="S243" s="1" t="s">
        <v>84</v>
      </c>
      <c r="T243" s="4">
        <v>33.6</v>
      </c>
      <c r="U243" s="4">
        <v>33.6</v>
      </c>
      <c r="V243" s="4">
        <v>33.6</v>
      </c>
      <c r="Z243" s="1" t="s">
        <v>42</v>
      </c>
      <c r="AD243" s="1" t="s">
        <v>42</v>
      </c>
      <c r="AF243" s="1" t="s">
        <v>42</v>
      </c>
    </row>
    <row r="244" spans="1:32" x14ac:dyDescent="0.25">
      <c r="A244" s="1" t="s">
        <v>32</v>
      </c>
      <c r="B244" s="1" t="s">
        <v>33</v>
      </c>
      <c r="C244" s="1" t="s">
        <v>34</v>
      </c>
      <c r="D244" s="1" t="s">
        <v>42</v>
      </c>
      <c r="E244" s="1" t="s">
        <v>252</v>
      </c>
      <c r="F244" s="2">
        <v>46279</v>
      </c>
      <c r="G244" s="1" t="s">
        <v>253</v>
      </c>
      <c r="H244" s="3">
        <v>46279.006944444402</v>
      </c>
      <c r="I244" s="1" t="s">
        <v>254</v>
      </c>
      <c r="J244" s="2">
        <v>46279</v>
      </c>
      <c r="K244" s="3">
        <v>46279.006944444402</v>
      </c>
      <c r="L244" s="1" t="s">
        <v>255</v>
      </c>
      <c r="M244" s="1" t="s">
        <v>40</v>
      </c>
      <c r="N244" s="1" t="s">
        <v>41</v>
      </c>
      <c r="O244" s="1" t="s">
        <v>42</v>
      </c>
      <c r="Q244" s="1" t="s">
        <v>42</v>
      </c>
      <c r="R244" s="1" t="s">
        <v>85</v>
      </c>
      <c r="S244" s="1" t="s">
        <v>86</v>
      </c>
      <c r="T244" s="4">
        <v>67.2</v>
      </c>
      <c r="U244" s="4">
        <v>67.2</v>
      </c>
      <c r="V244" s="4">
        <v>67.2</v>
      </c>
      <c r="Z244" s="1" t="s">
        <v>42</v>
      </c>
      <c r="AD244" s="1" t="s">
        <v>42</v>
      </c>
      <c r="AF244" s="1" t="s">
        <v>42</v>
      </c>
    </row>
    <row r="245" spans="1:32" x14ac:dyDescent="0.25">
      <c r="A245" s="1" t="s">
        <v>32</v>
      </c>
      <c r="B245" s="1" t="s">
        <v>33</v>
      </c>
      <c r="C245" s="1" t="s">
        <v>34</v>
      </c>
      <c r="D245" s="1" t="s">
        <v>42</v>
      </c>
      <c r="E245" s="1" t="s">
        <v>252</v>
      </c>
      <c r="F245" s="2">
        <v>46279</v>
      </c>
      <c r="G245" s="1" t="s">
        <v>253</v>
      </c>
      <c r="H245" s="3">
        <v>46279.006944444402</v>
      </c>
      <c r="I245" s="1" t="s">
        <v>254</v>
      </c>
      <c r="J245" s="2">
        <v>46279</v>
      </c>
      <c r="K245" s="3">
        <v>46279.006944444402</v>
      </c>
      <c r="L245" s="1" t="s">
        <v>255</v>
      </c>
      <c r="M245" s="1" t="s">
        <v>40</v>
      </c>
      <c r="N245" s="1" t="s">
        <v>41</v>
      </c>
      <c r="O245" s="1" t="s">
        <v>42</v>
      </c>
      <c r="Q245" s="1" t="s">
        <v>42</v>
      </c>
      <c r="R245" s="1" t="s">
        <v>87</v>
      </c>
      <c r="S245" s="1" t="s">
        <v>88</v>
      </c>
      <c r="T245" s="4">
        <v>3.2</v>
      </c>
      <c r="U245" s="4">
        <v>3.2</v>
      </c>
      <c r="V245" s="4">
        <v>3.2</v>
      </c>
      <c r="Z245" s="1" t="s">
        <v>42</v>
      </c>
      <c r="AD245" s="1" t="s">
        <v>42</v>
      </c>
      <c r="AF245" s="1" t="s">
        <v>42</v>
      </c>
    </row>
    <row r="246" spans="1:32" x14ac:dyDescent="0.25">
      <c r="A246" s="1" t="s">
        <v>32</v>
      </c>
      <c r="B246" s="1" t="s">
        <v>33</v>
      </c>
      <c r="C246" s="1" t="s">
        <v>34</v>
      </c>
      <c r="D246" s="1" t="s">
        <v>42</v>
      </c>
      <c r="E246" s="1" t="s">
        <v>252</v>
      </c>
      <c r="F246" s="2">
        <v>46279</v>
      </c>
      <c r="G246" s="1" t="s">
        <v>253</v>
      </c>
      <c r="H246" s="3">
        <v>46279.006944444402</v>
      </c>
      <c r="I246" s="1" t="s">
        <v>254</v>
      </c>
      <c r="J246" s="2">
        <v>46279</v>
      </c>
      <c r="K246" s="3">
        <v>46279.006944444402</v>
      </c>
      <c r="L246" s="1" t="s">
        <v>255</v>
      </c>
      <c r="M246" s="1" t="s">
        <v>40</v>
      </c>
      <c r="N246" s="1" t="s">
        <v>41</v>
      </c>
      <c r="O246" s="1" t="s">
        <v>42</v>
      </c>
      <c r="Q246" s="1" t="s">
        <v>42</v>
      </c>
      <c r="R246" s="1" t="s">
        <v>91</v>
      </c>
      <c r="S246" s="1" t="s">
        <v>92</v>
      </c>
      <c r="T246" s="4">
        <v>12.6</v>
      </c>
      <c r="W246" s="4">
        <v>-12.6</v>
      </c>
      <c r="X246" s="1" t="s">
        <v>93</v>
      </c>
      <c r="Z246" s="1" t="s">
        <v>42</v>
      </c>
      <c r="AD246" s="1" t="s">
        <v>42</v>
      </c>
      <c r="AF246" s="1" t="s">
        <v>42</v>
      </c>
    </row>
    <row r="247" spans="1:32" x14ac:dyDescent="0.25">
      <c r="A247" s="1" t="s">
        <v>32</v>
      </c>
      <c r="B247" s="1" t="s">
        <v>33</v>
      </c>
      <c r="C247" s="1" t="s">
        <v>34</v>
      </c>
      <c r="D247" s="1" t="s">
        <v>42</v>
      </c>
      <c r="E247" s="1" t="s">
        <v>252</v>
      </c>
      <c r="F247" s="2">
        <v>46279</v>
      </c>
      <c r="G247" s="1" t="s">
        <v>253</v>
      </c>
      <c r="H247" s="3">
        <v>46279.006944444402</v>
      </c>
      <c r="I247" s="1" t="s">
        <v>254</v>
      </c>
      <c r="J247" s="2">
        <v>46279</v>
      </c>
      <c r="K247" s="3">
        <v>46279.006944444402</v>
      </c>
      <c r="L247" s="1" t="s">
        <v>255</v>
      </c>
      <c r="M247" s="1" t="s">
        <v>40</v>
      </c>
      <c r="N247" s="1" t="s">
        <v>41</v>
      </c>
      <c r="O247" s="1" t="s">
        <v>42</v>
      </c>
      <c r="Q247" s="1" t="s">
        <v>42</v>
      </c>
      <c r="R247" s="1" t="s">
        <v>94</v>
      </c>
      <c r="S247" s="1" t="s">
        <v>95</v>
      </c>
      <c r="T247" s="4">
        <v>6.4</v>
      </c>
      <c r="U247" s="4">
        <v>6.4</v>
      </c>
      <c r="V247" s="4">
        <v>6.4</v>
      </c>
      <c r="Z247" s="1" t="s">
        <v>42</v>
      </c>
      <c r="AD247" s="1" t="s">
        <v>42</v>
      </c>
      <c r="AF247" s="1" t="s">
        <v>42</v>
      </c>
    </row>
    <row r="248" spans="1:32" x14ac:dyDescent="0.25">
      <c r="A248" s="1" t="s">
        <v>32</v>
      </c>
      <c r="B248" s="1" t="s">
        <v>33</v>
      </c>
      <c r="C248" s="1" t="s">
        <v>34</v>
      </c>
      <c r="D248" s="1" t="s">
        <v>42</v>
      </c>
      <c r="E248" s="1" t="s">
        <v>252</v>
      </c>
      <c r="F248" s="2">
        <v>46279</v>
      </c>
      <c r="G248" s="1" t="s">
        <v>253</v>
      </c>
      <c r="H248" s="3">
        <v>46279.006944444402</v>
      </c>
      <c r="I248" s="1" t="s">
        <v>254</v>
      </c>
      <c r="J248" s="2">
        <v>46279</v>
      </c>
      <c r="K248" s="3">
        <v>46279.006944444402</v>
      </c>
      <c r="L248" s="1" t="s">
        <v>255</v>
      </c>
      <c r="M248" s="1" t="s">
        <v>40</v>
      </c>
      <c r="N248" s="1" t="s">
        <v>41</v>
      </c>
      <c r="O248" s="1" t="s">
        <v>42</v>
      </c>
      <c r="Q248" s="1" t="s">
        <v>42</v>
      </c>
      <c r="R248" s="1" t="s">
        <v>96</v>
      </c>
      <c r="S248" s="1" t="s">
        <v>97</v>
      </c>
      <c r="T248" s="4">
        <v>39.9</v>
      </c>
      <c r="U248" s="4">
        <v>39.9</v>
      </c>
      <c r="V248" s="4">
        <v>39.9</v>
      </c>
      <c r="Z248" s="1" t="s">
        <v>42</v>
      </c>
      <c r="AD248" s="1" t="s">
        <v>42</v>
      </c>
      <c r="AF248" s="1" t="s">
        <v>42</v>
      </c>
    </row>
    <row r="249" spans="1:32" x14ac:dyDescent="0.25">
      <c r="A249" s="1" t="s">
        <v>32</v>
      </c>
      <c r="B249" s="1" t="s">
        <v>33</v>
      </c>
      <c r="C249" s="1" t="s">
        <v>34</v>
      </c>
      <c r="D249" s="1" t="s">
        <v>42</v>
      </c>
      <c r="E249" s="1" t="s">
        <v>252</v>
      </c>
      <c r="F249" s="2">
        <v>46279</v>
      </c>
      <c r="G249" s="1" t="s">
        <v>253</v>
      </c>
      <c r="H249" s="3">
        <v>46279.006944444402</v>
      </c>
      <c r="I249" s="1" t="s">
        <v>254</v>
      </c>
      <c r="J249" s="2">
        <v>46279</v>
      </c>
      <c r="K249" s="3">
        <v>46279.006944444402</v>
      </c>
      <c r="L249" s="1" t="s">
        <v>255</v>
      </c>
      <c r="M249" s="1" t="s">
        <v>40</v>
      </c>
      <c r="N249" s="1" t="s">
        <v>41</v>
      </c>
      <c r="O249" s="1" t="s">
        <v>42</v>
      </c>
      <c r="Q249" s="1" t="s">
        <v>42</v>
      </c>
      <c r="R249" s="1" t="s">
        <v>98</v>
      </c>
      <c r="S249" s="1" t="s">
        <v>99</v>
      </c>
      <c r="T249" s="4">
        <v>5.04</v>
      </c>
      <c r="U249" s="4">
        <v>5.04</v>
      </c>
      <c r="V249" s="4">
        <v>5.04</v>
      </c>
      <c r="Z249" s="1" t="s">
        <v>42</v>
      </c>
      <c r="AD249" s="1" t="s">
        <v>42</v>
      </c>
      <c r="AF249" s="1" t="s">
        <v>42</v>
      </c>
    </row>
    <row r="250" spans="1:32" x14ac:dyDescent="0.25">
      <c r="A250" s="1" t="s">
        <v>32</v>
      </c>
      <c r="B250" s="1" t="s">
        <v>33</v>
      </c>
      <c r="C250" s="1" t="s">
        <v>34</v>
      </c>
      <c r="D250" s="1" t="s">
        <v>42</v>
      </c>
      <c r="E250" s="1" t="s">
        <v>252</v>
      </c>
      <c r="F250" s="2">
        <v>46279</v>
      </c>
      <c r="G250" s="1" t="s">
        <v>253</v>
      </c>
      <c r="H250" s="3">
        <v>46279.006944444402</v>
      </c>
      <c r="I250" s="1" t="s">
        <v>254</v>
      </c>
      <c r="J250" s="2">
        <v>46279</v>
      </c>
      <c r="K250" s="3">
        <v>46279.006944444402</v>
      </c>
      <c r="L250" s="1" t="s">
        <v>255</v>
      </c>
      <c r="M250" s="1" t="s">
        <v>40</v>
      </c>
      <c r="N250" s="1" t="s">
        <v>41</v>
      </c>
      <c r="O250" s="1" t="s">
        <v>42</v>
      </c>
      <c r="Q250" s="1" t="s">
        <v>42</v>
      </c>
      <c r="R250" s="1" t="s">
        <v>100</v>
      </c>
      <c r="S250" s="1" t="s">
        <v>101</v>
      </c>
      <c r="T250" s="4">
        <v>10.08</v>
      </c>
      <c r="U250" s="4">
        <v>10.08</v>
      </c>
      <c r="V250" s="4">
        <v>10.08</v>
      </c>
      <c r="Z250" s="1" t="s">
        <v>42</v>
      </c>
      <c r="AD250" s="1" t="s">
        <v>42</v>
      </c>
      <c r="AF250" s="1" t="s">
        <v>42</v>
      </c>
    </row>
    <row r="251" spans="1:32" x14ac:dyDescent="0.25">
      <c r="A251" s="1" t="s">
        <v>32</v>
      </c>
      <c r="B251" s="1" t="s">
        <v>33</v>
      </c>
      <c r="C251" s="1" t="s">
        <v>34</v>
      </c>
      <c r="D251" s="1" t="s">
        <v>42</v>
      </c>
      <c r="E251" s="1" t="s">
        <v>252</v>
      </c>
      <c r="F251" s="2">
        <v>46279</v>
      </c>
      <c r="G251" s="1" t="s">
        <v>253</v>
      </c>
      <c r="H251" s="3">
        <v>46279.006944444402</v>
      </c>
      <c r="I251" s="1" t="s">
        <v>254</v>
      </c>
      <c r="J251" s="2">
        <v>46279</v>
      </c>
      <c r="K251" s="3">
        <v>46279.006944444402</v>
      </c>
      <c r="L251" s="1" t="s">
        <v>255</v>
      </c>
      <c r="M251" s="1" t="s">
        <v>40</v>
      </c>
      <c r="N251" s="1" t="s">
        <v>41</v>
      </c>
      <c r="O251" s="1" t="s">
        <v>42</v>
      </c>
      <c r="Q251" s="1" t="s">
        <v>42</v>
      </c>
      <c r="R251" s="1" t="s">
        <v>209</v>
      </c>
      <c r="S251" s="1" t="s">
        <v>210</v>
      </c>
      <c r="T251" s="4">
        <v>7.56</v>
      </c>
      <c r="U251" s="4">
        <v>7.56</v>
      </c>
      <c r="V251" s="4">
        <v>7.56</v>
      </c>
      <c r="Z251" s="1" t="s">
        <v>42</v>
      </c>
      <c r="AD251" s="1" t="s">
        <v>42</v>
      </c>
      <c r="AF251" s="1" t="s">
        <v>42</v>
      </c>
    </row>
    <row r="252" spans="1:32" x14ac:dyDescent="0.25">
      <c r="A252" s="1" t="s">
        <v>32</v>
      </c>
      <c r="B252" s="1" t="s">
        <v>33</v>
      </c>
      <c r="C252" s="1" t="s">
        <v>34</v>
      </c>
      <c r="D252" s="1" t="s">
        <v>42</v>
      </c>
      <c r="E252" s="1" t="s">
        <v>252</v>
      </c>
      <c r="F252" s="2">
        <v>46279</v>
      </c>
      <c r="G252" s="1" t="s">
        <v>253</v>
      </c>
      <c r="H252" s="3">
        <v>46279.006944444402</v>
      </c>
      <c r="I252" s="1" t="s">
        <v>254</v>
      </c>
      <c r="J252" s="2">
        <v>46279</v>
      </c>
      <c r="K252" s="3">
        <v>46279.006944444402</v>
      </c>
      <c r="L252" s="1" t="s">
        <v>255</v>
      </c>
      <c r="M252" s="1" t="s">
        <v>40</v>
      </c>
      <c r="N252" s="1" t="s">
        <v>41</v>
      </c>
      <c r="O252" s="1" t="s">
        <v>42</v>
      </c>
      <c r="Q252" s="1" t="s">
        <v>42</v>
      </c>
      <c r="R252" s="1" t="s">
        <v>102</v>
      </c>
      <c r="S252" s="1" t="s">
        <v>103</v>
      </c>
      <c r="T252" s="4">
        <v>102.6</v>
      </c>
      <c r="U252" s="4">
        <v>102.6</v>
      </c>
      <c r="V252" s="4">
        <v>102.6</v>
      </c>
      <c r="Z252" s="1" t="s">
        <v>42</v>
      </c>
      <c r="AD252" s="1" t="s">
        <v>42</v>
      </c>
      <c r="AF252" s="1" t="s">
        <v>42</v>
      </c>
    </row>
    <row r="253" spans="1:32" x14ac:dyDescent="0.25">
      <c r="A253" s="1" t="s">
        <v>32</v>
      </c>
      <c r="B253" s="1" t="s">
        <v>33</v>
      </c>
      <c r="C253" s="1" t="s">
        <v>34</v>
      </c>
      <c r="D253" s="1" t="s">
        <v>42</v>
      </c>
      <c r="E253" s="1" t="s">
        <v>252</v>
      </c>
      <c r="F253" s="2">
        <v>46279</v>
      </c>
      <c r="G253" s="1" t="s">
        <v>253</v>
      </c>
      <c r="H253" s="3">
        <v>46279.006944444402</v>
      </c>
      <c r="I253" s="1" t="s">
        <v>254</v>
      </c>
      <c r="J253" s="2">
        <v>46279</v>
      </c>
      <c r="K253" s="3">
        <v>46279.006944444402</v>
      </c>
      <c r="L253" s="1" t="s">
        <v>255</v>
      </c>
      <c r="M253" s="1" t="s">
        <v>40</v>
      </c>
      <c r="N253" s="1" t="s">
        <v>41</v>
      </c>
      <c r="O253" s="1" t="s">
        <v>42</v>
      </c>
      <c r="Q253" s="1" t="s">
        <v>42</v>
      </c>
      <c r="R253" s="1" t="s">
        <v>104</v>
      </c>
      <c r="S253" s="1" t="s">
        <v>105</v>
      </c>
      <c r="T253" s="4">
        <v>54</v>
      </c>
      <c r="W253" s="4">
        <v>-54</v>
      </c>
      <c r="X253" s="1" t="s">
        <v>67</v>
      </c>
      <c r="Y253" s="1" t="s">
        <v>68</v>
      </c>
      <c r="Z253" s="1" t="s">
        <v>42</v>
      </c>
      <c r="AD253" s="1" t="s">
        <v>42</v>
      </c>
      <c r="AE253" s="1" t="s">
        <v>211</v>
      </c>
      <c r="AF253" s="1" t="s">
        <v>42</v>
      </c>
    </row>
    <row r="254" spans="1:32" x14ac:dyDescent="0.25">
      <c r="A254" s="1" t="s">
        <v>32</v>
      </c>
      <c r="B254" s="1" t="s">
        <v>33</v>
      </c>
      <c r="C254" s="1" t="s">
        <v>34</v>
      </c>
      <c r="D254" s="1" t="s">
        <v>42</v>
      </c>
      <c r="E254" s="1" t="s">
        <v>252</v>
      </c>
      <c r="F254" s="2">
        <v>46279</v>
      </c>
      <c r="G254" s="1" t="s">
        <v>253</v>
      </c>
      <c r="H254" s="3">
        <v>46279.006944444402</v>
      </c>
      <c r="I254" s="1" t="s">
        <v>254</v>
      </c>
      <c r="J254" s="2">
        <v>46279</v>
      </c>
      <c r="K254" s="3">
        <v>46279.006944444402</v>
      </c>
      <c r="L254" s="1" t="s">
        <v>255</v>
      </c>
      <c r="M254" s="1" t="s">
        <v>40</v>
      </c>
      <c r="N254" s="1" t="s">
        <v>41</v>
      </c>
      <c r="O254" s="1" t="s">
        <v>42</v>
      </c>
      <c r="Q254" s="1" t="s">
        <v>42</v>
      </c>
      <c r="R254" s="1" t="s">
        <v>106</v>
      </c>
      <c r="S254" s="1" t="s">
        <v>107</v>
      </c>
      <c r="T254" s="4">
        <v>405</v>
      </c>
      <c r="U254" s="4">
        <v>405</v>
      </c>
      <c r="V254" s="4">
        <v>405</v>
      </c>
      <c r="X254" s="1" t="s">
        <v>134</v>
      </c>
      <c r="Z254" s="1" t="s">
        <v>42</v>
      </c>
      <c r="AD254" s="1" t="s">
        <v>42</v>
      </c>
      <c r="AF254" s="1" t="s">
        <v>42</v>
      </c>
    </row>
    <row r="255" spans="1:32" x14ac:dyDescent="0.25">
      <c r="A255" s="1" t="s">
        <v>32</v>
      </c>
      <c r="B255" s="1" t="s">
        <v>33</v>
      </c>
      <c r="C255" s="1" t="s">
        <v>34</v>
      </c>
      <c r="D255" s="1" t="s">
        <v>42</v>
      </c>
      <c r="E255" s="1" t="s">
        <v>252</v>
      </c>
      <c r="F255" s="2">
        <v>46279</v>
      </c>
      <c r="G255" s="1" t="s">
        <v>253</v>
      </c>
      <c r="H255" s="3">
        <v>46279.006944444402</v>
      </c>
      <c r="I255" s="1" t="s">
        <v>254</v>
      </c>
      <c r="J255" s="2">
        <v>46279</v>
      </c>
      <c r="K255" s="3">
        <v>46279.006944444402</v>
      </c>
      <c r="L255" s="1" t="s">
        <v>255</v>
      </c>
      <c r="M255" s="1" t="s">
        <v>40</v>
      </c>
      <c r="N255" s="1" t="s">
        <v>41</v>
      </c>
      <c r="O255" s="1" t="s">
        <v>42</v>
      </c>
      <c r="Q255" s="1" t="s">
        <v>42</v>
      </c>
      <c r="R255" s="1" t="s">
        <v>108</v>
      </c>
      <c r="S255" s="1" t="s">
        <v>109</v>
      </c>
      <c r="T255" s="4">
        <v>32.4</v>
      </c>
      <c r="W255" s="4">
        <v>-32.4</v>
      </c>
      <c r="X255" s="1" t="s">
        <v>67</v>
      </c>
      <c r="Y255" s="1" t="s">
        <v>68</v>
      </c>
      <c r="Z255" s="1" t="s">
        <v>42</v>
      </c>
      <c r="AD255" s="1" t="s">
        <v>42</v>
      </c>
      <c r="AE255" s="1" t="s">
        <v>211</v>
      </c>
      <c r="AF255" s="1" t="s">
        <v>42</v>
      </c>
    </row>
    <row r="256" spans="1:32" x14ac:dyDescent="0.25">
      <c r="A256" s="1" t="s">
        <v>32</v>
      </c>
      <c r="B256" s="1" t="s">
        <v>33</v>
      </c>
      <c r="C256" s="1" t="s">
        <v>34</v>
      </c>
      <c r="D256" s="1" t="s">
        <v>42</v>
      </c>
      <c r="E256" s="1" t="s">
        <v>252</v>
      </c>
      <c r="F256" s="2">
        <v>46279</v>
      </c>
      <c r="G256" s="1" t="s">
        <v>253</v>
      </c>
      <c r="H256" s="3">
        <v>46279.006944444402</v>
      </c>
      <c r="I256" s="1" t="s">
        <v>254</v>
      </c>
      <c r="J256" s="2">
        <v>46279</v>
      </c>
      <c r="K256" s="3">
        <v>46279.006944444402</v>
      </c>
      <c r="L256" s="1" t="s">
        <v>255</v>
      </c>
      <c r="M256" s="1" t="s">
        <v>40</v>
      </c>
      <c r="N256" s="1" t="s">
        <v>41</v>
      </c>
      <c r="O256" s="1" t="s">
        <v>42</v>
      </c>
      <c r="Q256" s="1" t="s">
        <v>42</v>
      </c>
      <c r="R256" s="1" t="s">
        <v>110</v>
      </c>
      <c r="S256" s="1" t="s">
        <v>111</v>
      </c>
      <c r="T256" s="4">
        <v>18</v>
      </c>
      <c r="W256" s="4">
        <v>-18</v>
      </c>
      <c r="X256" s="1" t="s">
        <v>67</v>
      </c>
      <c r="Y256" s="1" t="s">
        <v>68</v>
      </c>
      <c r="Z256" s="1" t="s">
        <v>42</v>
      </c>
      <c r="AD256" s="1" t="s">
        <v>42</v>
      </c>
      <c r="AE256" s="1" t="s">
        <v>211</v>
      </c>
      <c r="AF256" s="1" t="s">
        <v>42</v>
      </c>
    </row>
    <row r="257" spans="1:32" x14ac:dyDescent="0.25">
      <c r="A257" s="1" t="s">
        <v>32</v>
      </c>
      <c r="B257" s="1" t="s">
        <v>33</v>
      </c>
      <c r="C257" s="1" t="s">
        <v>34</v>
      </c>
      <c r="D257" s="1" t="s">
        <v>42</v>
      </c>
      <c r="E257" s="1" t="s">
        <v>252</v>
      </c>
      <c r="F257" s="2">
        <v>46279</v>
      </c>
      <c r="G257" s="1" t="s">
        <v>253</v>
      </c>
      <c r="H257" s="3">
        <v>46279.006944444402</v>
      </c>
      <c r="I257" s="1" t="s">
        <v>254</v>
      </c>
      <c r="J257" s="2">
        <v>46279</v>
      </c>
      <c r="K257" s="3">
        <v>46279.006944444402</v>
      </c>
      <c r="L257" s="1" t="s">
        <v>255</v>
      </c>
      <c r="M257" s="1" t="s">
        <v>40</v>
      </c>
      <c r="N257" s="1" t="s">
        <v>41</v>
      </c>
      <c r="O257" s="1" t="s">
        <v>42</v>
      </c>
      <c r="Q257" s="1" t="s">
        <v>42</v>
      </c>
      <c r="R257" s="1" t="s">
        <v>112</v>
      </c>
      <c r="S257" s="1" t="s">
        <v>113</v>
      </c>
      <c r="T257" s="4">
        <v>18</v>
      </c>
      <c r="W257" s="4">
        <v>-18</v>
      </c>
      <c r="X257" s="1" t="s">
        <v>67</v>
      </c>
      <c r="Y257" s="1" t="s">
        <v>68</v>
      </c>
      <c r="Z257" s="1" t="s">
        <v>42</v>
      </c>
      <c r="AD257" s="1" t="s">
        <v>42</v>
      </c>
      <c r="AE257" s="1" t="s">
        <v>211</v>
      </c>
      <c r="AF257" s="1" t="s">
        <v>42</v>
      </c>
    </row>
    <row r="258" spans="1:32" x14ac:dyDescent="0.25">
      <c r="A258" s="1" t="s">
        <v>32</v>
      </c>
      <c r="B258" s="1" t="s">
        <v>33</v>
      </c>
      <c r="C258" s="1" t="s">
        <v>34</v>
      </c>
      <c r="D258" s="1" t="s">
        <v>42</v>
      </c>
      <c r="E258" s="1" t="s">
        <v>252</v>
      </c>
      <c r="F258" s="2">
        <v>46279</v>
      </c>
      <c r="G258" s="1" t="s">
        <v>253</v>
      </c>
      <c r="H258" s="3">
        <v>46279.006944444402</v>
      </c>
      <c r="I258" s="1" t="s">
        <v>254</v>
      </c>
      <c r="J258" s="2">
        <v>46279</v>
      </c>
      <c r="K258" s="3">
        <v>46279.006944444402</v>
      </c>
      <c r="L258" s="1" t="s">
        <v>255</v>
      </c>
      <c r="M258" s="1" t="s">
        <v>40</v>
      </c>
      <c r="N258" s="1" t="s">
        <v>41</v>
      </c>
      <c r="O258" s="1" t="s">
        <v>42</v>
      </c>
      <c r="Q258" s="1" t="s">
        <v>42</v>
      </c>
      <c r="R258" s="1" t="s">
        <v>114</v>
      </c>
      <c r="S258" s="1" t="s">
        <v>115</v>
      </c>
      <c r="T258" s="4">
        <v>9</v>
      </c>
      <c r="W258" s="4">
        <v>-9</v>
      </c>
      <c r="X258" s="1" t="s">
        <v>67</v>
      </c>
      <c r="Y258" s="1" t="s">
        <v>68</v>
      </c>
      <c r="Z258" s="1" t="s">
        <v>42</v>
      </c>
      <c r="AD258" s="1" t="s">
        <v>42</v>
      </c>
      <c r="AE258" s="1" t="s">
        <v>211</v>
      </c>
      <c r="AF258" s="1" t="s">
        <v>42</v>
      </c>
    </row>
    <row r="259" spans="1:32" x14ac:dyDescent="0.25">
      <c r="A259" s="1" t="s">
        <v>32</v>
      </c>
      <c r="B259" s="1" t="s">
        <v>33</v>
      </c>
      <c r="C259" s="1" t="s">
        <v>34</v>
      </c>
      <c r="D259" s="1" t="s">
        <v>42</v>
      </c>
      <c r="E259" s="1" t="s">
        <v>252</v>
      </c>
      <c r="F259" s="2">
        <v>46279</v>
      </c>
      <c r="G259" s="1" t="s">
        <v>253</v>
      </c>
      <c r="H259" s="3">
        <v>46279.006944444402</v>
      </c>
      <c r="I259" s="1" t="s">
        <v>254</v>
      </c>
      <c r="J259" s="2">
        <v>46279</v>
      </c>
      <c r="K259" s="3">
        <v>46279.006944444402</v>
      </c>
      <c r="L259" s="1" t="s">
        <v>255</v>
      </c>
      <c r="M259" s="1" t="s">
        <v>40</v>
      </c>
      <c r="N259" s="1" t="s">
        <v>41</v>
      </c>
      <c r="O259" s="1" t="s">
        <v>42</v>
      </c>
      <c r="Q259" s="1" t="s">
        <v>42</v>
      </c>
      <c r="R259" s="1" t="s">
        <v>116</v>
      </c>
      <c r="S259" s="1" t="s">
        <v>117</v>
      </c>
      <c r="T259" s="4">
        <v>105.3</v>
      </c>
      <c r="U259" s="4">
        <v>105.3</v>
      </c>
      <c r="V259" s="4">
        <v>105.3</v>
      </c>
      <c r="Z259" s="1" t="s">
        <v>42</v>
      </c>
      <c r="AD259" s="1" t="s">
        <v>42</v>
      </c>
      <c r="AF259" s="1" t="s">
        <v>42</v>
      </c>
    </row>
    <row r="260" spans="1:32" x14ac:dyDescent="0.25">
      <c r="A260" s="1" t="s">
        <v>32</v>
      </c>
      <c r="B260" s="1" t="s">
        <v>33</v>
      </c>
      <c r="C260" s="1" t="s">
        <v>34</v>
      </c>
      <c r="D260" s="1" t="s">
        <v>42</v>
      </c>
      <c r="E260" s="1" t="s">
        <v>252</v>
      </c>
      <c r="F260" s="2">
        <v>46279</v>
      </c>
      <c r="G260" s="1" t="s">
        <v>253</v>
      </c>
      <c r="H260" s="3">
        <v>46279.006944444402</v>
      </c>
      <c r="I260" s="1" t="s">
        <v>254</v>
      </c>
      <c r="J260" s="2">
        <v>46279</v>
      </c>
      <c r="K260" s="3">
        <v>46279.006944444402</v>
      </c>
      <c r="L260" s="1" t="s">
        <v>255</v>
      </c>
      <c r="M260" s="1" t="s">
        <v>40</v>
      </c>
      <c r="N260" s="1" t="s">
        <v>41</v>
      </c>
      <c r="O260" s="1" t="s">
        <v>42</v>
      </c>
      <c r="Q260" s="1" t="s">
        <v>42</v>
      </c>
      <c r="R260" s="1" t="s">
        <v>118</v>
      </c>
      <c r="S260" s="1" t="s">
        <v>119</v>
      </c>
      <c r="T260" s="4">
        <v>16.2</v>
      </c>
      <c r="U260" s="4">
        <v>16.2</v>
      </c>
      <c r="V260" s="4">
        <v>16.2</v>
      </c>
      <c r="Z260" s="1" t="s">
        <v>42</v>
      </c>
      <c r="AD260" s="1" t="s">
        <v>42</v>
      </c>
      <c r="AF260" s="1" t="s">
        <v>42</v>
      </c>
    </row>
    <row r="261" spans="1:32" x14ac:dyDescent="0.25">
      <c r="A261" s="1" t="s">
        <v>32</v>
      </c>
      <c r="B261" s="1" t="s">
        <v>33</v>
      </c>
      <c r="C261" s="1" t="s">
        <v>34</v>
      </c>
      <c r="D261" s="1" t="s">
        <v>42</v>
      </c>
      <c r="E261" s="1" t="s">
        <v>252</v>
      </c>
      <c r="F261" s="2">
        <v>46279</v>
      </c>
      <c r="G261" s="1" t="s">
        <v>253</v>
      </c>
      <c r="H261" s="3">
        <v>46279.006944444402</v>
      </c>
      <c r="I261" s="1" t="s">
        <v>254</v>
      </c>
      <c r="J261" s="2">
        <v>46279</v>
      </c>
      <c r="K261" s="3">
        <v>46279.006944444402</v>
      </c>
      <c r="L261" s="1" t="s">
        <v>255</v>
      </c>
      <c r="M261" s="1" t="s">
        <v>40</v>
      </c>
      <c r="N261" s="1" t="s">
        <v>41</v>
      </c>
      <c r="O261" s="1" t="s">
        <v>42</v>
      </c>
      <c r="Q261" s="1" t="s">
        <v>42</v>
      </c>
      <c r="R261" s="1" t="s">
        <v>212</v>
      </c>
      <c r="S261" s="1" t="s">
        <v>213</v>
      </c>
      <c r="T261" s="4">
        <v>141.6</v>
      </c>
      <c r="U261" s="4">
        <v>141.6</v>
      </c>
      <c r="V261" s="4">
        <v>141.6</v>
      </c>
      <c r="Z261" s="1" t="s">
        <v>42</v>
      </c>
      <c r="AD261" s="1" t="s">
        <v>42</v>
      </c>
      <c r="AF261" s="1" t="s">
        <v>42</v>
      </c>
    </row>
    <row r="262" spans="1:32" x14ac:dyDescent="0.25">
      <c r="A262" s="1" t="s">
        <v>32</v>
      </c>
      <c r="B262" s="1" t="s">
        <v>33</v>
      </c>
      <c r="C262" s="1" t="s">
        <v>34</v>
      </c>
      <c r="D262" s="1" t="s">
        <v>42</v>
      </c>
      <c r="E262" s="1" t="s">
        <v>252</v>
      </c>
      <c r="F262" s="2">
        <v>46279</v>
      </c>
      <c r="G262" s="1" t="s">
        <v>253</v>
      </c>
      <c r="H262" s="3">
        <v>46279.006944444402</v>
      </c>
      <c r="I262" s="1" t="s">
        <v>254</v>
      </c>
      <c r="J262" s="2">
        <v>46279</v>
      </c>
      <c r="K262" s="3">
        <v>46279.006944444402</v>
      </c>
      <c r="L262" s="1" t="s">
        <v>255</v>
      </c>
      <c r="M262" s="1" t="s">
        <v>40</v>
      </c>
      <c r="N262" s="1" t="s">
        <v>41</v>
      </c>
      <c r="O262" s="1" t="s">
        <v>42</v>
      </c>
      <c r="Q262" s="1" t="s">
        <v>42</v>
      </c>
      <c r="R262" s="1" t="s">
        <v>122</v>
      </c>
      <c r="S262" s="1" t="s">
        <v>123</v>
      </c>
      <c r="T262" s="4">
        <v>240</v>
      </c>
      <c r="U262" s="4">
        <v>240</v>
      </c>
      <c r="V262" s="4">
        <v>240</v>
      </c>
      <c r="Z262" s="1" t="s">
        <v>42</v>
      </c>
      <c r="AD262" s="1" t="s">
        <v>42</v>
      </c>
      <c r="AF262" s="1" t="s">
        <v>42</v>
      </c>
    </row>
    <row r="263" spans="1:32" x14ac:dyDescent="0.25">
      <c r="A263" s="1" t="s">
        <v>32</v>
      </c>
      <c r="B263" s="1" t="s">
        <v>33</v>
      </c>
      <c r="C263" s="1" t="s">
        <v>34</v>
      </c>
      <c r="D263" s="1" t="s">
        <v>42</v>
      </c>
      <c r="E263" s="1" t="s">
        <v>252</v>
      </c>
      <c r="F263" s="2">
        <v>46279</v>
      </c>
      <c r="G263" s="1" t="s">
        <v>253</v>
      </c>
      <c r="H263" s="3">
        <v>46279.006944444402</v>
      </c>
      <c r="I263" s="1" t="s">
        <v>254</v>
      </c>
      <c r="J263" s="2">
        <v>46279</v>
      </c>
      <c r="K263" s="3">
        <v>46279.006944444402</v>
      </c>
      <c r="L263" s="1" t="s">
        <v>255</v>
      </c>
      <c r="M263" s="1" t="s">
        <v>40</v>
      </c>
      <c r="N263" s="1" t="s">
        <v>41</v>
      </c>
      <c r="O263" s="1" t="s">
        <v>42</v>
      </c>
      <c r="Q263" s="1" t="s">
        <v>42</v>
      </c>
      <c r="R263" s="1" t="s">
        <v>124</v>
      </c>
      <c r="S263" s="1" t="s">
        <v>125</v>
      </c>
      <c r="T263" s="4">
        <v>120</v>
      </c>
      <c r="U263" s="4">
        <v>120</v>
      </c>
      <c r="V263" s="4">
        <v>120</v>
      </c>
      <c r="Z263" s="1" t="s">
        <v>42</v>
      </c>
      <c r="AD263" s="1" t="s">
        <v>42</v>
      </c>
      <c r="AF263" s="1" t="s">
        <v>42</v>
      </c>
    </row>
    <row r="264" spans="1:32" x14ac:dyDescent="0.25">
      <c r="A264" s="1" t="s">
        <v>32</v>
      </c>
      <c r="B264" s="1" t="s">
        <v>33</v>
      </c>
      <c r="C264" s="1" t="s">
        <v>34</v>
      </c>
      <c r="D264" s="1" t="s">
        <v>42</v>
      </c>
      <c r="E264" s="1" t="s">
        <v>252</v>
      </c>
      <c r="F264" s="2">
        <v>46279</v>
      </c>
      <c r="G264" s="1" t="s">
        <v>253</v>
      </c>
      <c r="H264" s="3">
        <v>46279.006944444402</v>
      </c>
      <c r="I264" s="1" t="s">
        <v>254</v>
      </c>
      <c r="J264" s="2">
        <v>46279</v>
      </c>
      <c r="K264" s="3">
        <v>46279.006944444402</v>
      </c>
      <c r="L264" s="1" t="s">
        <v>255</v>
      </c>
      <c r="M264" s="1" t="s">
        <v>40</v>
      </c>
      <c r="N264" s="1" t="s">
        <v>41</v>
      </c>
      <c r="O264" s="1" t="s">
        <v>42</v>
      </c>
      <c r="Q264" s="1" t="s">
        <v>42</v>
      </c>
      <c r="R264" s="1" t="s">
        <v>126</v>
      </c>
      <c r="S264" s="1" t="s">
        <v>127</v>
      </c>
      <c r="T264" s="4">
        <v>321.60000000000002</v>
      </c>
      <c r="U264" s="4">
        <v>321.60000000000002</v>
      </c>
      <c r="V264" s="4">
        <v>321.60000000000002</v>
      </c>
      <c r="Z264" s="1" t="s">
        <v>42</v>
      </c>
      <c r="AD264" s="1" t="s">
        <v>42</v>
      </c>
      <c r="AF264" s="1" t="s">
        <v>42</v>
      </c>
    </row>
    <row r="265" spans="1:32" x14ac:dyDescent="0.25">
      <c r="A265" s="1" t="s">
        <v>32</v>
      </c>
      <c r="B265" s="1" t="s">
        <v>33</v>
      </c>
      <c r="C265" s="1" t="s">
        <v>34</v>
      </c>
      <c r="D265" s="1" t="s">
        <v>42</v>
      </c>
      <c r="E265" s="1" t="s">
        <v>252</v>
      </c>
      <c r="F265" s="2">
        <v>46279</v>
      </c>
      <c r="G265" s="1" t="s">
        <v>253</v>
      </c>
      <c r="H265" s="3">
        <v>46279.006944444402</v>
      </c>
      <c r="I265" s="1" t="s">
        <v>254</v>
      </c>
      <c r="J265" s="2">
        <v>46279</v>
      </c>
      <c r="K265" s="3">
        <v>46279.006944444402</v>
      </c>
      <c r="L265" s="1" t="s">
        <v>255</v>
      </c>
      <c r="M265" s="1" t="s">
        <v>40</v>
      </c>
      <c r="N265" s="1" t="s">
        <v>41</v>
      </c>
      <c r="O265" s="1" t="s">
        <v>42</v>
      </c>
      <c r="Q265" s="1" t="s">
        <v>42</v>
      </c>
      <c r="R265" s="1" t="s">
        <v>128</v>
      </c>
      <c r="S265" s="1" t="s">
        <v>129</v>
      </c>
      <c r="T265" s="4">
        <v>60</v>
      </c>
      <c r="U265" s="4">
        <v>60</v>
      </c>
      <c r="V265" s="4">
        <v>60</v>
      </c>
      <c r="Z265" s="1" t="s">
        <v>42</v>
      </c>
      <c r="AD265" s="1" t="s">
        <v>42</v>
      </c>
      <c r="AF265" s="1" t="s">
        <v>42</v>
      </c>
    </row>
    <row r="266" spans="1:32" x14ac:dyDescent="0.25">
      <c r="A266" s="1" t="s">
        <v>32</v>
      </c>
      <c r="B266" s="1" t="s">
        <v>33</v>
      </c>
      <c r="C266" s="1" t="s">
        <v>34</v>
      </c>
      <c r="D266" s="1" t="s">
        <v>42</v>
      </c>
      <c r="E266" s="1" t="s">
        <v>252</v>
      </c>
      <c r="F266" s="2">
        <v>46279</v>
      </c>
      <c r="G266" s="1" t="s">
        <v>253</v>
      </c>
      <c r="H266" s="3">
        <v>46279.006944444402</v>
      </c>
      <c r="I266" s="1" t="s">
        <v>254</v>
      </c>
      <c r="J266" s="2">
        <v>46279</v>
      </c>
      <c r="K266" s="3">
        <v>46279.006944444402</v>
      </c>
      <c r="L266" s="1" t="s">
        <v>255</v>
      </c>
      <c r="M266" s="1" t="s">
        <v>40</v>
      </c>
      <c r="N266" s="1" t="s">
        <v>41</v>
      </c>
      <c r="O266" s="1" t="s">
        <v>42</v>
      </c>
      <c r="Q266" s="1" t="s">
        <v>42</v>
      </c>
      <c r="R266" s="1" t="s">
        <v>130</v>
      </c>
      <c r="S266" s="1" t="s">
        <v>131</v>
      </c>
      <c r="T266" s="4">
        <v>21.6</v>
      </c>
      <c r="U266" s="4">
        <v>21.6</v>
      </c>
      <c r="V266" s="4">
        <v>21.6</v>
      </c>
      <c r="Z266" s="1" t="s">
        <v>42</v>
      </c>
      <c r="AD266" s="1" t="s">
        <v>42</v>
      </c>
      <c r="AF266" s="1" t="s">
        <v>42</v>
      </c>
    </row>
    <row r="267" spans="1:32" x14ac:dyDescent="0.25">
      <c r="A267" s="1" t="s">
        <v>32</v>
      </c>
      <c r="B267" s="1" t="s">
        <v>33</v>
      </c>
      <c r="C267" s="1" t="s">
        <v>34</v>
      </c>
      <c r="D267" s="1" t="s">
        <v>42</v>
      </c>
      <c r="E267" s="1" t="s">
        <v>252</v>
      </c>
      <c r="F267" s="2">
        <v>46279</v>
      </c>
      <c r="G267" s="1" t="s">
        <v>253</v>
      </c>
      <c r="H267" s="3">
        <v>46279.006944444402</v>
      </c>
      <c r="I267" s="1" t="s">
        <v>254</v>
      </c>
      <c r="J267" s="2">
        <v>46279</v>
      </c>
      <c r="K267" s="3">
        <v>46279.006944444402</v>
      </c>
      <c r="L267" s="1" t="s">
        <v>255</v>
      </c>
      <c r="M267" s="1" t="s">
        <v>40</v>
      </c>
      <c r="N267" s="1" t="s">
        <v>41</v>
      </c>
      <c r="O267" s="1" t="s">
        <v>42</v>
      </c>
      <c r="Q267" s="1" t="s">
        <v>42</v>
      </c>
      <c r="R267" s="1" t="s">
        <v>132</v>
      </c>
      <c r="S267" s="1" t="s">
        <v>133</v>
      </c>
      <c r="T267" s="4">
        <v>12</v>
      </c>
      <c r="U267" s="4">
        <v>12</v>
      </c>
      <c r="V267" s="4">
        <v>12</v>
      </c>
      <c r="Z267" s="1" t="s">
        <v>42</v>
      </c>
      <c r="AD267" s="1" t="s">
        <v>42</v>
      </c>
      <c r="AF267" s="1" t="s">
        <v>42</v>
      </c>
    </row>
    <row r="268" spans="1:32" x14ac:dyDescent="0.25">
      <c r="A268" s="1" t="s">
        <v>32</v>
      </c>
      <c r="B268" s="1" t="s">
        <v>33</v>
      </c>
      <c r="C268" s="1" t="s">
        <v>34</v>
      </c>
      <c r="D268" s="1" t="s">
        <v>42</v>
      </c>
      <c r="E268" s="1" t="s">
        <v>252</v>
      </c>
      <c r="F268" s="2">
        <v>46279</v>
      </c>
      <c r="G268" s="1" t="s">
        <v>253</v>
      </c>
      <c r="H268" s="3">
        <v>46279.006944444402</v>
      </c>
      <c r="I268" s="1" t="s">
        <v>254</v>
      </c>
      <c r="J268" s="2">
        <v>46279</v>
      </c>
      <c r="K268" s="3">
        <v>46279.006944444402</v>
      </c>
      <c r="L268" s="1" t="s">
        <v>255</v>
      </c>
      <c r="M268" s="1" t="s">
        <v>40</v>
      </c>
      <c r="N268" s="1" t="s">
        <v>41</v>
      </c>
      <c r="O268" s="1" t="s">
        <v>42</v>
      </c>
      <c r="Q268" s="1" t="s">
        <v>42</v>
      </c>
      <c r="R268" s="1" t="s">
        <v>137</v>
      </c>
      <c r="S268" s="1" t="s">
        <v>138</v>
      </c>
      <c r="T268" s="4">
        <v>5.4</v>
      </c>
      <c r="U268" s="4">
        <v>5.4</v>
      </c>
      <c r="V268" s="4">
        <v>5.4</v>
      </c>
      <c r="Z268" s="1" t="s">
        <v>42</v>
      </c>
      <c r="AD268" s="1" t="s">
        <v>42</v>
      </c>
      <c r="AF268" s="1" t="s">
        <v>42</v>
      </c>
    </row>
    <row r="269" spans="1:32" x14ac:dyDescent="0.25">
      <c r="A269" s="1" t="s">
        <v>32</v>
      </c>
      <c r="B269" s="1" t="s">
        <v>33</v>
      </c>
      <c r="C269" s="1" t="s">
        <v>34</v>
      </c>
      <c r="D269" s="1" t="s">
        <v>42</v>
      </c>
      <c r="E269" s="1" t="s">
        <v>252</v>
      </c>
      <c r="F269" s="2">
        <v>46279</v>
      </c>
      <c r="G269" s="1" t="s">
        <v>253</v>
      </c>
      <c r="H269" s="3">
        <v>46279.006944444402</v>
      </c>
      <c r="I269" s="1" t="s">
        <v>254</v>
      </c>
      <c r="J269" s="2">
        <v>46279</v>
      </c>
      <c r="K269" s="3">
        <v>46279.006944444402</v>
      </c>
      <c r="L269" s="1" t="s">
        <v>255</v>
      </c>
      <c r="M269" s="1" t="s">
        <v>40</v>
      </c>
      <c r="N269" s="1" t="s">
        <v>41</v>
      </c>
      <c r="O269" s="1" t="s">
        <v>42</v>
      </c>
      <c r="Q269" s="1" t="s">
        <v>42</v>
      </c>
      <c r="R269" s="1" t="s">
        <v>139</v>
      </c>
      <c r="S269" s="1" t="s">
        <v>140</v>
      </c>
      <c r="T269" s="4">
        <v>52.8</v>
      </c>
      <c r="U269" s="4">
        <v>52.8</v>
      </c>
      <c r="V269" s="4">
        <v>52.8</v>
      </c>
      <c r="Z269" s="1" t="s">
        <v>42</v>
      </c>
      <c r="AD269" s="1" t="s">
        <v>42</v>
      </c>
      <c r="AF269" s="1" t="s">
        <v>42</v>
      </c>
    </row>
    <row r="270" spans="1:32" x14ac:dyDescent="0.25">
      <c r="A270" s="1" t="s">
        <v>32</v>
      </c>
      <c r="B270" s="1" t="s">
        <v>33</v>
      </c>
      <c r="C270" s="1" t="s">
        <v>34</v>
      </c>
      <c r="D270" s="1" t="s">
        <v>42</v>
      </c>
      <c r="E270" s="1" t="s">
        <v>252</v>
      </c>
      <c r="F270" s="2">
        <v>46279</v>
      </c>
      <c r="G270" s="1" t="s">
        <v>253</v>
      </c>
      <c r="H270" s="3">
        <v>46279.006944444402</v>
      </c>
      <c r="I270" s="1" t="s">
        <v>254</v>
      </c>
      <c r="J270" s="2">
        <v>46279</v>
      </c>
      <c r="K270" s="3">
        <v>46279.006944444402</v>
      </c>
      <c r="L270" s="1" t="s">
        <v>255</v>
      </c>
      <c r="M270" s="1" t="s">
        <v>40</v>
      </c>
      <c r="N270" s="1" t="s">
        <v>41</v>
      </c>
      <c r="O270" s="1" t="s">
        <v>42</v>
      </c>
      <c r="Q270" s="1" t="s">
        <v>42</v>
      </c>
      <c r="R270" s="1" t="s">
        <v>141</v>
      </c>
      <c r="S270" s="1" t="s">
        <v>142</v>
      </c>
      <c r="T270" s="4">
        <v>117</v>
      </c>
      <c r="U270" s="4">
        <v>117</v>
      </c>
      <c r="V270" s="4">
        <v>117</v>
      </c>
      <c r="Z270" s="1" t="s">
        <v>42</v>
      </c>
      <c r="AD270" s="1" t="s">
        <v>42</v>
      </c>
      <c r="AF270" s="1" t="s">
        <v>42</v>
      </c>
    </row>
    <row r="271" spans="1:32" x14ac:dyDescent="0.25">
      <c r="A271" s="1" t="s">
        <v>32</v>
      </c>
      <c r="B271" s="1" t="s">
        <v>33</v>
      </c>
      <c r="C271" s="1" t="s">
        <v>34</v>
      </c>
      <c r="D271" s="1" t="s">
        <v>42</v>
      </c>
      <c r="E271" s="1" t="s">
        <v>252</v>
      </c>
      <c r="F271" s="2">
        <v>46279</v>
      </c>
      <c r="G271" s="1" t="s">
        <v>253</v>
      </c>
      <c r="H271" s="3">
        <v>46279.006944444402</v>
      </c>
      <c r="I271" s="1" t="s">
        <v>254</v>
      </c>
      <c r="J271" s="2">
        <v>46279</v>
      </c>
      <c r="K271" s="3">
        <v>46279.006944444402</v>
      </c>
      <c r="L271" s="1" t="s">
        <v>255</v>
      </c>
      <c r="M271" s="1" t="s">
        <v>40</v>
      </c>
      <c r="N271" s="1" t="s">
        <v>41</v>
      </c>
      <c r="O271" s="1" t="s">
        <v>42</v>
      </c>
      <c r="Q271" s="1" t="s">
        <v>42</v>
      </c>
      <c r="R271" s="1" t="s">
        <v>216</v>
      </c>
      <c r="S271" s="1" t="s">
        <v>217</v>
      </c>
      <c r="T271" s="4">
        <v>70.2</v>
      </c>
      <c r="U271" s="4">
        <v>70.2</v>
      </c>
      <c r="V271" s="4">
        <v>70.2</v>
      </c>
      <c r="Z271" s="1" t="s">
        <v>42</v>
      </c>
      <c r="AD271" s="1" t="s">
        <v>42</v>
      </c>
      <c r="AF271" s="1" t="s">
        <v>42</v>
      </c>
    </row>
    <row r="272" spans="1:32" x14ac:dyDescent="0.25">
      <c r="A272" s="1" t="s">
        <v>32</v>
      </c>
      <c r="B272" s="1" t="s">
        <v>33</v>
      </c>
      <c r="C272" s="1" t="s">
        <v>34</v>
      </c>
      <c r="D272" s="1" t="s">
        <v>42</v>
      </c>
      <c r="E272" s="1" t="s">
        <v>252</v>
      </c>
      <c r="F272" s="2">
        <v>46279</v>
      </c>
      <c r="G272" s="1" t="s">
        <v>253</v>
      </c>
      <c r="H272" s="3">
        <v>46279.006944444402</v>
      </c>
      <c r="I272" s="1" t="s">
        <v>254</v>
      </c>
      <c r="J272" s="2">
        <v>46279</v>
      </c>
      <c r="K272" s="3">
        <v>46279.006944444402</v>
      </c>
      <c r="L272" s="1" t="s">
        <v>255</v>
      </c>
      <c r="M272" s="1" t="s">
        <v>40</v>
      </c>
      <c r="N272" s="1" t="s">
        <v>41</v>
      </c>
      <c r="O272" s="1" t="s">
        <v>42</v>
      </c>
      <c r="Q272" s="1" t="s">
        <v>42</v>
      </c>
      <c r="R272" s="1" t="s">
        <v>143</v>
      </c>
      <c r="S272" s="1" t="s">
        <v>144</v>
      </c>
      <c r="T272" s="4">
        <v>23.4</v>
      </c>
      <c r="U272" s="4">
        <v>23.4</v>
      </c>
      <c r="V272" s="4">
        <v>23.4</v>
      </c>
      <c r="Z272" s="1" t="s">
        <v>42</v>
      </c>
      <c r="AD272" s="1" t="s">
        <v>42</v>
      </c>
      <c r="AF272" s="1" t="s">
        <v>42</v>
      </c>
    </row>
    <row r="273" spans="1:32" x14ac:dyDescent="0.25">
      <c r="A273" s="1" t="s">
        <v>32</v>
      </c>
      <c r="B273" s="1" t="s">
        <v>33</v>
      </c>
      <c r="C273" s="1" t="s">
        <v>34</v>
      </c>
      <c r="D273" s="1" t="s">
        <v>42</v>
      </c>
      <c r="E273" s="1" t="s">
        <v>252</v>
      </c>
      <c r="F273" s="2">
        <v>46279</v>
      </c>
      <c r="G273" s="1" t="s">
        <v>253</v>
      </c>
      <c r="H273" s="3">
        <v>46279.006944444402</v>
      </c>
      <c r="I273" s="1" t="s">
        <v>254</v>
      </c>
      <c r="J273" s="2">
        <v>46279</v>
      </c>
      <c r="K273" s="3">
        <v>46279.006944444402</v>
      </c>
      <c r="L273" s="1" t="s">
        <v>255</v>
      </c>
      <c r="M273" s="1" t="s">
        <v>40</v>
      </c>
      <c r="N273" s="1" t="s">
        <v>41</v>
      </c>
      <c r="O273" s="1" t="s">
        <v>42</v>
      </c>
      <c r="Q273" s="1" t="s">
        <v>42</v>
      </c>
      <c r="R273" s="1" t="s">
        <v>145</v>
      </c>
      <c r="S273" s="1" t="s">
        <v>146</v>
      </c>
      <c r="T273" s="4">
        <v>16.2</v>
      </c>
      <c r="U273" s="4">
        <v>16.2</v>
      </c>
      <c r="V273" s="4">
        <v>16.2</v>
      </c>
      <c r="Z273" s="1" t="s">
        <v>42</v>
      </c>
      <c r="AD273" s="1" t="s">
        <v>42</v>
      </c>
      <c r="AF273" s="1" t="s">
        <v>42</v>
      </c>
    </row>
    <row r="274" spans="1:32" x14ac:dyDescent="0.25">
      <c r="A274" s="1" t="s">
        <v>32</v>
      </c>
      <c r="B274" s="1" t="s">
        <v>33</v>
      </c>
      <c r="C274" s="1" t="s">
        <v>34</v>
      </c>
      <c r="D274" s="1" t="s">
        <v>42</v>
      </c>
      <c r="E274" s="1" t="s">
        <v>252</v>
      </c>
      <c r="F274" s="2">
        <v>46279</v>
      </c>
      <c r="G274" s="1" t="s">
        <v>253</v>
      </c>
      <c r="H274" s="3">
        <v>46279.006944444402</v>
      </c>
      <c r="I274" s="1" t="s">
        <v>254</v>
      </c>
      <c r="J274" s="2">
        <v>46279</v>
      </c>
      <c r="K274" s="3">
        <v>46279.006944444402</v>
      </c>
      <c r="L274" s="1" t="s">
        <v>255</v>
      </c>
      <c r="M274" s="1" t="s">
        <v>40</v>
      </c>
      <c r="N274" s="1" t="s">
        <v>41</v>
      </c>
      <c r="O274" s="1" t="s">
        <v>42</v>
      </c>
      <c r="Q274" s="1" t="s">
        <v>42</v>
      </c>
      <c r="R274" s="1" t="s">
        <v>147</v>
      </c>
      <c r="S274" s="1" t="s">
        <v>148</v>
      </c>
      <c r="T274" s="4">
        <v>54.6</v>
      </c>
      <c r="U274" s="4">
        <v>54.6</v>
      </c>
      <c r="V274" s="4">
        <v>54.6</v>
      </c>
      <c r="Z274" s="1" t="s">
        <v>42</v>
      </c>
      <c r="AD274" s="1" t="s">
        <v>42</v>
      </c>
      <c r="AF274" s="1" t="s">
        <v>42</v>
      </c>
    </row>
    <row r="275" spans="1:32" x14ac:dyDescent="0.25">
      <c r="A275" s="1" t="s">
        <v>32</v>
      </c>
      <c r="B275" s="1" t="s">
        <v>33</v>
      </c>
      <c r="C275" s="1" t="s">
        <v>34</v>
      </c>
      <c r="D275" s="1" t="s">
        <v>42</v>
      </c>
      <c r="E275" s="1" t="s">
        <v>252</v>
      </c>
      <c r="F275" s="2">
        <v>46279</v>
      </c>
      <c r="G275" s="1" t="s">
        <v>253</v>
      </c>
      <c r="H275" s="3">
        <v>46279.006944444402</v>
      </c>
      <c r="I275" s="1" t="s">
        <v>254</v>
      </c>
      <c r="J275" s="2">
        <v>46279</v>
      </c>
      <c r="K275" s="3">
        <v>46279.006944444402</v>
      </c>
      <c r="L275" s="1" t="s">
        <v>255</v>
      </c>
      <c r="M275" s="1" t="s">
        <v>40</v>
      </c>
      <c r="N275" s="1" t="s">
        <v>41</v>
      </c>
      <c r="O275" s="1" t="s">
        <v>42</v>
      </c>
      <c r="Q275" s="1" t="s">
        <v>42</v>
      </c>
      <c r="R275" s="1" t="s">
        <v>149</v>
      </c>
      <c r="S275" s="1" t="s">
        <v>150</v>
      </c>
      <c r="T275" s="4">
        <v>117.6</v>
      </c>
      <c r="U275" s="4">
        <v>117.6</v>
      </c>
      <c r="V275" s="4">
        <v>117.6</v>
      </c>
      <c r="Z275" s="1" t="s">
        <v>42</v>
      </c>
      <c r="AD275" s="1" t="s">
        <v>42</v>
      </c>
      <c r="AF275" s="1" t="s">
        <v>42</v>
      </c>
    </row>
    <row r="276" spans="1:32" x14ac:dyDescent="0.25">
      <c r="A276" s="1" t="s">
        <v>32</v>
      </c>
      <c r="B276" s="1" t="s">
        <v>33</v>
      </c>
      <c r="C276" s="1" t="s">
        <v>34</v>
      </c>
      <c r="D276" s="1" t="s">
        <v>42</v>
      </c>
      <c r="E276" s="1" t="s">
        <v>252</v>
      </c>
      <c r="F276" s="2">
        <v>46279</v>
      </c>
      <c r="G276" s="1" t="s">
        <v>253</v>
      </c>
      <c r="H276" s="3">
        <v>46279.006944444402</v>
      </c>
      <c r="I276" s="1" t="s">
        <v>254</v>
      </c>
      <c r="J276" s="2">
        <v>46279</v>
      </c>
      <c r="K276" s="3">
        <v>46279.006944444402</v>
      </c>
      <c r="L276" s="1" t="s">
        <v>255</v>
      </c>
      <c r="M276" s="1" t="s">
        <v>40</v>
      </c>
      <c r="N276" s="1" t="s">
        <v>41</v>
      </c>
      <c r="O276" s="1" t="s">
        <v>42</v>
      </c>
      <c r="Q276" s="1" t="s">
        <v>42</v>
      </c>
      <c r="R276" s="1" t="s">
        <v>260</v>
      </c>
      <c r="S276" s="1" t="s">
        <v>261</v>
      </c>
      <c r="T276" s="4">
        <v>17.850000000000001</v>
      </c>
      <c r="U276" s="4">
        <v>17.850000000000001</v>
      </c>
      <c r="V276" s="4">
        <v>17.850000000000001</v>
      </c>
      <c r="Z276" s="1" t="s">
        <v>42</v>
      </c>
      <c r="AD276" s="1" t="s">
        <v>42</v>
      </c>
      <c r="AF276" s="1" t="s">
        <v>42</v>
      </c>
    </row>
    <row r="277" spans="1:32" x14ac:dyDescent="0.25">
      <c r="A277" s="1" t="s">
        <v>32</v>
      </c>
      <c r="B277" s="1" t="s">
        <v>33</v>
      </c>
      <c r="C277" s="1" t="s">
        <v>34</v>
      </c>
      <c r="D277" s="1" t="s">
        <v>42</v>
      </c>
      <c r="E277" s="1" t="s">
        <v>252</v>
      </c>
      <c r="F277" s="2">
        <v>46279</v>
      </c>
      <c r="G277" s="1" t="s">
        <v>253</v>
      </c>
      <c r="H277" s="3">
        <v>46279.006944444402</v>
      </c>
      <c r="I277" s="1" t="s">
        <v>254</v>
      </c>
      <c r="J277" s="2">
        <v>46279</v>
      </c>
      <c r="K277" s="3">
        <v>46279.006944444402</v>
      </c>
      <c r="L277" s="1" t="s">
        <v>255</v>
      </c>
      <c r="M277" s="1" t="s">
        <v>40</v>
      </c>
      <c r="N277" s="1" t="s">
        <v>41</v>
      </c>
      <c r="O277" s="1" t="s">
        <v>42</v>
      </c>
      <c r="Q277" s="1" t="s">
        <v>42</v>
      </c>
      <c r="R277" s="1" t="s">
        <v>262</v>
      </c>
      <c r="S277" s="1" t="s">
        <v>263</v>
      </c>
      <c r="T277" s="4">
        <v>57</v>
      </c>
      <c r="U277" s="4">
        <v>57</v>
      </c>
      <c r="V277" s="4">
        <v>57</v>
      </c>
      <c r="Z277" s="1" t="s">
        <v>42</v>
      </c>
      <c r="AD277" s="1" t="s">
        <v>42</v>
      </c>
      <c r="AF277" s="1" t="s">
        <v>42</v>
      </c>
    </row>
    <row r="278" spans="1:32" x14ac:dyDescent="0.25">
      <c r="A278" s="1" t="s">
        <v>32</v>
      </c>
      <c r="B278" s="1" t="s">
        <v>33</v>
      </c>
      <c r="C278" s="1" t="s">
        <v>34</v>
      </c>
      <c r="D278" s="1" t="s">
        <v>42</v>
      </c>
      <c r="E278" s="1" t="s">
        <v>252</v>
      </c>
      <c r="F278" s="2">
        <v>46279</v>
      </c>
      <c r="G278" s="1" t="s">
        <v>253</v>
      </c>
      <c r="H278" s="3">
        <v>46279.006944444402</v>
      </c>
      <c r="I278" s="1" t="s">
        <v>254</v>
      </c>
      <c r="J278" s="2">
        <v>46279</v>
      </c>
      <c r="K278" s="3">
        <v>46279.006944444402</v>
      </c>
      <c r="L278" s="1" t="s">
        <v>255</v>
      </c>
      <c r="M278" s="1" t="s">
        <v>40</v>
      </c>
      <c r="N278" s="1" t="s">
        <v>41</v>
      </c>
      <c r="O278" s="1" t="s">
        <v>42</v>
      </c>
      <c r="Q278" s="1" t="s">
        <v>42</v>
      </c>
      <c r="R278" s="1" t="s">
        <v>155</v>
      </c>
      <c r="S278" s="1" t="s">
        <v>156</v>
      </c>
      <c r="T278" s="4">
        <v>21</v>
      </c>
      <c r="U278" s="4">
        <v>21</v>
      </c>
      <c r="V278" s="4">
        <v>21</v>
      </c>
      <c r="Z278" s="1" t="s">
        <v>42</v>
      </c>
      <c r="AD278" s="1" t="s">
        <v>42</v>
      </c>
      <c r="AF278" s="1" t="s">
        <v>42</v>
      </c>
    </row>
    <row r="279" spans="1:32" x14ac:dyDescent="0.25">
      <c r="A279" s="1" t="s">
        <v>32</v>
      </c>
      <c r="B279" s="1" t="s">
        <v>33</v>
      </c>
      <c r="C279" s="1" t="s">
        <v>34</v>
      </c>
      <c r="D279" s="1" t="s">
        <v>42</v>
      </c>
      <c r="E279" s="1" t="s">
        <v>252</v>
      </c>
      <c r="F279" s="2">
        <v>46279</v>
      </c>
      <c r="G279" s="1" t="s">
        <v>253</v>
      </c>
      <c r="H279" s="3">
        <v>46279.006944444402</v>
      </c>
      <c r="I279" s="1" t="s">
        <v>254</v>
      </c>
      <c r="J279" s="2">
        <v>46279</v>
      </c>
      <c r="K279" s="3">
        <v>46279.006944444402</v>
      </c>
      <c r="L279" s="1" t="s">
        <v>255</v>
      </c>
      <c r="M279" s="1" t="s">
        <v>40</v>
      </c>
      <c r="N279" s="1" t="s">
        <v>41</v>
      </c>
      <c r="O279" s="1" t="s">
        <v>42</v>
      </c>
      <c r="Q279" s="1" t="s">
        <v>42</v>
      </c>
      <c r="R279" s="1" t="s">
        <v>157</v>
      </c>
      <c r="S279" s="1" t="s">
        <v>158</v>
      </c>
      <c r="T279" s="4">
        <v>8.4</v>
      </c>
      <c r="U279" s="4">
        <v>8.4</v>
      </c>
      <c r="V279" s="4">
        <v>8.4</v>
      </c>
      <c r="Z279" s="1" t="s">
        <v>42</v>
      </c>
      <c r="AD279" s="1" t="s">
        <v>42</v>
      </c>
      <c r="AF279" s="1" t="s">
        <v>42</v>
      </c>
    </row>
    <row r="280" spans="1:32" x14ac:dyDescent="0.25">
      <c r="A280" s="1" t="s">
        <v>32</v>
      </c>
      <c r="B280" s="1" t="s">
        <v>33</v>
      </c>
      <c r="C280" s="1" t="s">
        <v>34</v>
      </c>
      <c r="D280" s="1" t="s">
        <v>42</v>
      </c>
      <c r="E280" s="1" t="s">
        <v>252</v>
      </c>
      <c r="F280" s="2">
        <v>46279</v>
      </c>
      <c r="G280" s="1" t="s">
        <v>253</v>
      </c>
      <c r="H280" s="3">
        <v>46279.006944444402</v>
      </c>
      <c r="I280" s="1" t="s">
        <v>254</v>
      </c>
      <c r="J280" s="2">
        <v>46279</v>
      </c>
      <c r="K280" s="3">
        <v>46279.006944444402</v>
      </c>
      <c r="L280" s="1" t="s">
        <v>255</v>
      </c>
      <c r="M280" s="1" t="s">
        <v>40</v>
      </c>
      <c r="N280" s="1" t="s">
        <v>41</v>
      </c>
      <c r="O280" s="1" t="s">
        <v>42</v>
      </c>
      <c r="Q280" s="1" t="s">
        <v>42</v>
      </c>
      <c r="R280" s="1" t="s">
        <v>159</v>
      </c>
      <c r="S280" s="1" t="s">
        <v>160</v>
      </c>
      <c r="T280" s="4">
        <v>8.4</v>
      </c>
      <c r="U280" s="4">
        <v>8.4</v>
      </c>
      <c r="V280" s="4">
        <v>8.4</v>
      </c>
      <c r="Z280" s="1" t="s">
        <v>42</v>
      </c>
      <c r="AD280" s="1" t="s">
        <v>42</v>
      </c>
      <c r="AF280" s="1" t="s">
        <v>42</v>
      </c>
    </row>
    <row r="281" spans="1:32" x14ac:dyDescent="0.25">
      <c r="A281" s="1" t="s">
        <v>32</v>
      </c>
      <c r="B281" s="1" t="s">
        <v>33</v>
      </c>
      <c r="C281" s="1" t="s">
        <v>34</v>
      </c>
      <c r="D281" s="1" t="s">
        <v>42</v>
      </c>
      <c r="E281" s="1" t="s">
        <v>252</v>
      </c>
      <c r="F281" s="2">
        <v>46279</v>
      </c>
      <c r="G281" s="1" t="s">
        <v>253</v>
      </c>
      <c r="H281" s="3">
        <v>46279.006944444402</v>
      </c>
      <c r="I281" s="1" t="s">
        <v>254</v>
      </c>
      <c r="J281" s="2">
        <v>46279</v>
      </c>
      <c r="K281" s="3">
        <v>46279.006944444402</v>
      </c>
      <c r="L281" s="1" t="s">
        <v>255</v>
      </c>
      <c r="M281" s="1" t="s">
        <v>40</v>
      </c>
      <c r="N281" s="1" t="s">
        <v>41</v>
      </c>
      <c r="O281" s="1" t="s">
        <v>42</v>
      </c>
      <c r="Q281" s="1" t="s">
        <v>42</v>
      </c>
      <c r="R281" s="1" t="s">
        <v>264</v>
      </c>
      <c r="S281" s="1" t="s">
        <v>265</v>
      </c>
      <c r="T281" s="4">
        <v>45</v>
      </c>
      <c r="U281" s="4">
        <v>45</v>
      </c>
      <c r="V281" s="4">
        <v>45</v>
      </c>
      <c r="Z281" s="1" t="s">
        <v>42</v>
      </c>
      <c r="AD281" s="1" t="s">
        <v>42</v>
      </c>
      <c r="AF281" s="1" t="s">
        <v>42</v>
      </c>
    </row>
    <row r="282" spans="1:32" x14ac:dyDescent="0.25">
      <c r="A282" s="1" t="s">
        <v>32</v>
      </c>
      <c r="B282" s="1" t="s">
        <v>33</v>
      </c>
      <c r="C282" s="1" t="s">
        <v>34</v>
      </c>
      <c r="D282" s="1" t="s">
        <v>42</v>
      </c>
      <c r="E282" s="1" t="s">
        <v>252</v>
      </c>
      <c r="F282" s="2">
        <v>46279</v>
      </c>
      <c r="G282" s="1" t="s">
        <v>253</v>
      </c>
      <c r="H282" s="3">
        <v>46279.006944444402</v>
      </c>
      <c r="I282" s="1" t="s">
        <v>254</v>
      </c>
      <c r="J282" s="2">
        <v>46279</v>
      </c>
      <c r="K282" s="3">
        <v>46279.006944444402</v>
      </c>
      <c r="L282" s="1" t="s">
        <v>255</v>
      </c>
      <c r="M282" s="1" t="s">
        <v>40</v>
      </c>
      <c r="N282" s="1" t="s">
        <v>41</v>
      </c>
      <c r="O282" s="1" t="s">
        <v>42</v>
      </c>
      <c r="Q282" s="1" t="s">
        <v>42</v>
      </c>
      <c r="R282" s="1" t="s">
        <v>161</v>
      </c>
      <c r="S282" s="1" t="s">
        <v>162</v>
      </c>
      <c r="T282" s="4">
        <v>2415</v>
      </c>
      <c r="U282" s="4">
        <v>2415</v>
      </c>
      <c r="V282" s="4">
        <v>2415</v>
      </c>
      <c r="Z282" s="1" t="s">
        <v>42</v>
      </c>
      <c r="AD282" s="1" t="s">
        <v>42</v>
      </c>
      <c r="AF282" s="1" t="s">
        <v>42</v>
      </c>
    </row>
    <row r="283" spans="1:32" x14ac:dyDescent="0.25">
      <c r="A283" s="1" t="s">
        <v>32</v>
      </c>
      <c r="B283" s="1" t="s">
        <v>33</v>
      </c>
      <c r="C283" s="1" t="s">
        <v>34</v>
      </c>
      <c r="D283" s="1" t="s">
        <v>42</v>
      </c>
      <c r="E283" s="1" t="s">
        <v>252</v>
      </c>
      <c r="F283" s="2">
        <v>46279</v>
      </c>
      <c r="G283" s="1" t="s">
        <v>253</v>
      </c>
      <c r="H283" s="3">
        <v>46279.006944444402</v>
      </c>
      <c r="I283" s="1" t="s">
        <v>254</v>
      </c>
      <c r="J283" s="2">
        <v>46279</v>
      </c>
      <c r="K283" s="3">
        <v>46279.006944444402</v>
      </c>
      <c r="L283" s="1" t="s">
        <v>255</v>
      </c>
      <c r="M283" s="1" t="s">
        <v>40</v>
      </c>
      <c r="N283" s="1" t="s">
        <v>41</v>
      </c>
      <c r="O283" s="1" t="s">
        <v>42</v>
      </c>
      <c r="Q283" s="1" t="s">
        <v>42</v>
      </c>
      <c r="R283" s="1" t="s">
        <v>163</v>
      </c>
      <c r="S283" s="1" t="s">
        <v>164</v>
      </c>
      <c r="T283" s="4">
        <v>1950</v>
      </c>
      <c r="U283" s="4">
        <v>1950</v>
      </c>
      <c r="V283" s="4">
        <v>1950</v>
      </c>
      <c r="Z283" s="1" t="s">
        <v>42</v>
      </c>
      <c r="AD283" s="1" t="s">
        <v>42</v>
      </c>
      <c r="AF283" s="1" t="s">
        <v>42</v>
      </c>
    </row>
    <row r="284" spans="1:32" x14ac:dyDescent="0.25">
      <c r="A284" s="1" t="s">
        <v>32</v>
      </c>
      <c r="B284" s="1" t="s">
        <v>33</v>
      </c>
      <c r="C284" s="1" t="s">
        <v>34</v>
      </c>
      <c r="D284" s="1" t="s">
        <v>42</v>
      </c>
      <c r="E284" s="1" t="s">
        <v>252</v>
      </c>
      <c r="F284" s="2">
        <v>46279</v>
      </c>
      <c r="G284" s="1" t="s">
        <v>253</v>
      </c>
      <c r="H284" s="3">
        <v>46279.006944444402</v>
      </c>
      <c r="I284" s="1" t="s">
        <v>254</v>
      </c>
      <c r="J284" s="2">
        <v>46279</v>
      </c>
      <c r="K284" s="3">
        <v>46279.006944444402</v>
      </c>
      <c r="L284" s="1" t="s">
        <v>255</v>
      </c>
      <c r="M284" s="1" t="s">
        <v>40</v>
      </c>
      <c r="N284" s="1" t="s">
        <v>41</v>
      </c>
      <c r="O284" s="1" t="s">
        <v>42</v>
      </c>
      <c r="Q284" s="1" t="s">
        <v>42</v>
      </c>
      <c r="R284" s="1" t="s">
        <v>165</v>
      </c>
      <c r="S284" s="1" t="s">
        <v>166</v>
      </c>
      <c r="T284" s="4">
        <v>885</v>
      </c>
      <c r="U284" s="4">
        <v>885</v>
      </c>
      <c r="V284" s="4">
        <v>885</v>
      </c>
      <c r="Z284" s="1" t="s">
        <v>42</v>
      </c>
      <c r="AD284" s="1" t="s">
        <v>42</v>
      </c>
      <c r="AF284" s="1" t="s">
        <v>42</v>
      </c>
    </row>
    <row r="285" spans="1:32" x14ac:dyDescent="0.25">
      <c r="A285" s="1" t="s">
        <v>32</v>
      </c>
      <c r="B285" s="1" t="s">
        <v>33</v>
      </c>
      <c r="C285" s="1" t="s">
        <v>34</v>
      </c>
      <c r="D285" s="1" t="s">
        <v>42</v>
      </c>
      <c r="E285" s="1" t="s">
        <v>252</v>
      </c>
      <c r="F285" s="2">
        <v>46279</v>
      </c>
      <c r="G285" s="1" t="s">
        <v>253</v>
      </c>
      <c r="H285" s="3">
        <v>46279.006944444402</v>
      </c>
      <c r="I285" s="1" t="s">
        <v>254</v>
      </c>
      <c r="J285" s="2">
        <v>46279</v>
      </c>
      <c r="K285" s="3">
        <v>46279.006944444402</v>
      </c>
      <c r="L285" s="1" t="s">
        <v>255</v>
      </c>
      <c r="M285" s="1" t="s">
        <v>40</v>
      </c>
      <c r="N285" s="1" t="s">
        <v>41</v>
      </c>
      <c r="O285" s="1" t="s">
        <v>42</v>
      </c>
      <c r="Q285" s="1" t="s">
        <v>42</v>
      </c>
      <c r="R285" s="1" t="s">
        <v>167</v>
      </c>
      <c r="S285" s="1" t="s">
        <v>168</v>
      </c>
      <c r="T285" s="4">
        <v>2205</v>
      </c>
      <c r="U285" s="4">
        <v>2205</v>
      </c>
      <c r="V285" s="4">
        <v>2205</v>
      </c>
      <c r="Z285" s="1" t="s">
        <v>42</v>
      </c>
      <c r="AD285" s="1" t="s">
        <v>42</v>
      </c>
      <c r="AF285" s="1" t="s">
        <v>42</v>
      </c>
    </row>
    <row r="286" spans="1:32" x14ac:dyDescent="0.25">
      <c r="A286" s="1" t="s">
        <v>32</v>
      </c>
      <c r="B286" s="1" t="s">
        <v>33</v>
      </c>
      <c r="C286" s="1" t="s">
        <v>34</v>
      </c>
      <c r="D286" s="1" t="s">
        <v>42</v>
      </c>
      <c r="E286" s="1" t="s">
        <v>252</v>
      </c>
      <c r="F286" s="2">
        <v>46279</v>
      </c>
      <c r="G286" s="1" t="s">
        <v>253</v>
      </c>
      <c r="H286" s="3">
        <v>46279.006944444402</v>
      </c>
      <c r="I286" s="1" t="s">
        <v>254</v>
      </c>
      <c r="J286" s="2">
        <v>46279</v>
      </c>
      <c r="K286" s="3">
        <v>46279.006944444402</v>
      </c>
      <c r="L286" s="1" t="s">
        <v>255</v>
      </c>
      <c r="M286" s="1" t="s">
        <v>40</v>
      </c>
      <c r="N286" s="1" t="s">
        <v>41</v>
      </c>
      <c r="O286" s="1" t="s">
        <v>42</v>
      </c>
      <c r="Q286" s="1" t="s">
        <v>42</v>
      </c>
      <c r="R286" s="1" t="s">
        <v>169</v>
      </c>
      <c r="S286" s="1" t="s">
        <v>170</v>
      </c>
      <c r="T286" s="4">
        <v>3165</v>
      </c>
      <c r="U286" s="4">
        <v>3165</v>
      </c>
      <c r="V286" s="4">
        <v>3165</v>
      </c>
      <c r="Z286" s="1" t="s">
        <v>42</v>
      </c>
      <c r="AD286" s="1" t="s">
        <v>42</v>
      </c>
      <c r="AF286" s="1" t="s">
        <v>42</v>
      </c>
    </row>
    <row r="287" spans="1:32" x14ac:dyDescent="0.25">
      <c r="A287" s="1" t="s">
        <v>32</v>
      </c>
      <c r="B287" s="1" t="s">
        <v>33</v>
      </c>
      <c r="C287" s="1" t="s">
        <v>34</v>
      </c>
      <c r="D287" s="1" t="s">
        <v>42</v>
      </c>
      <c r="E287" s="1" t="s">
        <v>252</v>
      </c>
      <c r="F287" s="2">
        <v>46279</v>
      </c>
      <c r="G287" s="1" t="s">
        <v>253</v>
      </c>
      <c r="H287" s="3">
        <v>46279.006944444402</v>
      </c>
      <c r="I287" s="1" t="s">
        <v>254</v>
      </c>
      <c r="J287" s="2">
        <v>46279</v>
      </c>
      <c r="K287" s="3">
        <v>46279.006944444402</v>
      </c>
      <c r="L287" s="1" t="s">
        <v>255</v>
      </c>
      <c r="M287" s="1" t="s">
        <v>40</v>
      </c>
      <c r="N287" s="1" t="s">
        <v>41</v>
      </c>
      <c r="O287" s="1" t="s">
        <v>42</v>
      </c>
      <c r="Q287" s="1" t="s">
        <v>42</v>
      </c>
      <c r="R287" s="1" t="s">
        <v>171</v>
      </c>
      <c r="S287" s="1" t="s">
        <v>172</v>
      </c>
      <c r="T287" s="4">
        <v>54</v>
      </c>
      <c r="U287" s="4">
        <v>54</v>
      </c>
      <c r="V287" s="4">
        <v>54</v>
      </c>
      <c r="Z287" s="1" t="s">
        <v>42</v>
      </c>
      <c r="AD287" s="1" t="s">
        <v>42</v>
      </c>
      <c r="AF287" s="1" t="s">
        <v>42</v>
      </c>
    </row>
    <row r="288" spans="1:32" x14ac:dyDescent="0.25">
      <c r="A288" s="1" t="s">
        <v>32</v>
      </c>
      <c r="B288" s="1" t="s">
        <v>33</v>
      </c>
      <c r="C288" s="1" t="s">
        <v>34</v>
      </c>
      <c r="D288" s="1" t="s">
        <v>42</v>
      </c>
      <c r="E288" s="1" t="s">
        <v>252</v>
      </c>
      <c r="F288" s="2">
        <v>46279</v>
      </c>
      <c r="G288" s="1" t="s">
        <v>253</v>
      </c>
      <c r="H288" s="3">
        <v>46279.006944444402</v>
      </c>
      <c r="I288" s="1" t="s">
        <v>254</v>
      </c>
      <c r="J288" s="2">
        <v>46279</v>
      </c>
      <c r="K288" s="3">
        <v>46279.006944444402</v>
      </c>
      <c r="L288" s="1" t="s">
        <v>255</v>
      </c>
      <c r="M288" s="1" t="s">
        <v>40</v>
      </c>
      <c r="N288" s="1" t="s">
        <v>41</v>
      </c>
      <c r="O288" s="1" t="s">
        <v>42</v>
      </c>
      <c r="Q288" s="1" t="s">
        <v>42</v>
      </c>
      <c r="R288" s="1" t="s">
        <v>173</v>
      </c>
      <c r="S288" s="1" t="s">
        <v>174</v>
      </c>
      <c r="T288" s="4">
        <v>702</v>
      </c>
      <c r="U288" s="4">
        <v>702</v>
      </c>
      <c r="V288" s="4">
        <v>702</v>
      </c>
      <c r="Z288" s="1" t="s">
        <v>42</v>
      </c>
      <c r="AD288" s="1" t="s">
        <v>42</v>
      </c>
      <c r="AF288" s="1" t="s">
        <v>42</v>
      </c>
    </row>
    <row r="289" spans="1:32" x14ac:dyDescent="0.25">
      <c r="A289" s="1" t="s">
        <v>32</v>
      </c>
      <c r="B289" s="1" t="s">
        <v>33</v>
      </c>
      <c r="C289" s="1" t="s">
        <v>34</v>
      </c>
      <c r="D289" s="1" t="s">
        <v>42</v>
      </c>
      <c r="E289" s="1" t="s">
        <v>252</v>
      </c>
      <c r="F289" s="2">
        <v>46279</v>
      </c>
      <c r="G289" s="1" t="s">
        <v>253</v>
      </c>
      <c r="H289" s="3">
        <v>46279.006944444402</v>
      </c>
      <c r="I289" s="1" t="s">
        <v>254</v>
      </c>
      <c r="J289" s="2">
        <v>46279</v>
      </c>
      <c r="K289" s="3">
        <v>46279.006944444402</v>
      </c>
      <c r="L289" s="1" t="s">
        <v>255</v>
      </c>
      <c r="M289" s="1" t="s">
        <v>40</v>
      </c>
      <c r="N289" s="1" t="s">
        <v>41</v>
      </c>
      <c r="O289" s="1" t="s">
        <v>42</v>
      </c>
      <c r="Q289" s="1" t="s">
        <v>42</v>
      </c>
      <c r="R289" s="1" t="s">
        <v>175</v>
      </c>
      <c r="S289" s="1" t="s">
        <v>176</v>
      </c>
      <c r="T289" s="4">
        <v>16.8</v>
      </c>
      <c r="W289" s="4">
        <v>-16.8</v>
      </c>
      <c r="X289" s="1" t="s">
        <v>67</v>
      </c>
      <c r="Y289" s="1" t="s">
        <v>68</v>
      </c>
      <c r="Z289" s="1" t="s">
        <v>42</v>
      </c>
      <c r="AD289" s="1" t="s">
        <v>42</v>
      </c>
      <c r="AF289" s="1" t="s">
        <v>42</v>
      </c>
    </row>
    <row r="290" spans="1:32" x14ac:dyDescent="0.25">
      <c r="A290" s="1" t="s">
        <v>32</v>
      </c>
      <c r="B290" s="1" t="s">
        <v>33</v>
      </c>
      <c r="C290" s="1" t="s">
        <v>34</v>
      </c>
      <c r="D290" s="1" t="s">
        <v>42</v>
      </c>
      <c r="E290" s="1" t="s">
        <v>252</v>
      </c>
      <c r="F290" s="2">
        <v>46279</v>
      </c>
      <c r="G290" s="1" t="s">
        <v>253</v>
      </c>
      <c r="H290" s="3">
        <v>46279.006944444402</v>
      </c>
      <c r="I290" s="1" t="s">
        <v>254</v>
      </c>
      <c r="J290" s="2">
        <v>46279</v>
      </c>
      <c r="K290" s="3">
        <v>46279.006944444402</v>
      </c>
      <c r="L290" s="1" t="s">
        <v>255</v>
      </c>
      <c r="M290" s="1" t="s">
        <v>40</v>
      </c>
      <c r="N290" s="1" t="s">
        <v>41</v>
      </c>
      <c r="O290" s="1" t="s">
        <v>42</v>
      </c>
      <c r="Q290" s="1" t="s">
        <v>42</v>
      </c>
      <c r="R290" s="1" t="s">
        <v>177</v>
      </c>
      <c r="S290" s="1" t="s">
        <v>178</v>
      </c>
      <c r="T290" s="4">
        <v>102.6</v>
      </c>
      <c r="W290" s="4">
        <v>-102.6</v>
      </c>
      <c r="X290" s="1" t="s">
        <v>67</v>
      </c>
      <c r="Y290" s="1" t="s">
        <v>68</v>
      </c>
      <c r="Z290" s="1" t="s">
        <v>42</v>
      </c>
      <c r="AD290" s="1" t="s">
        <v>42</v>
      </c>
      <c r="AE290" s="1" t="s">
        <v>211</v>
      </c>
      <c r="AF290" s="1" t="s">
        <v>42</v>
      </c>
    </row>
    <row r="291" spans="1:32" x14ac:dyDescent="0.25">
      <c r="A291" s="1" t="s">
        <v>32</v>
      </c>
      <c r="B291" s="1" t="s">
        <v>33</v>
      </c>
      <c r="C291" s="1" t="s">
        <v>34</v>
      </c>
      <c r="D291" s="1" t="s">
        <v>42</v>
      </c>
      <c r="E291" s="1" t="s">
        <v>252</v>
      </c>
      <c r="F291" s="2">
        <v>46279</v>
      </c>
      <c r="G291" s="1" t="s">
        <v>253</v>
      </c>
      <c r="H291" s="3">
        <v>46279.006944444402</v>
      </c>
      <c r="I291" s="1" t="s">
        <v>254</v>
      </c>
      <c r="J291" s="2">
        <v>46279</v>
      </c>
      <c r="K291" s="3">
        <v>46279.006944444402</v>
      </c>
      <c r="L291" s="1" t="s">
        <v>255</v>
      </c>
      <c r="M291" s="1" t="s">
        <v>40</v>
      </c>
      <c r="N291" s="1" t="s">
        <v>41</v>
      </c>
      <c r="O291" s="1" t="s">
        <v>42</v>
      </c>
      <c r="Q291" s="1" t="s">
        <v>42</v>
      </c>
      <c r="R291" s="1" t="s">
        <v>266</v>
      </c>
      <c r="S291" s="1" t="s">
        <v>267</v>
      </c>
      <c r="T291" s="4">
        <v>21.6</v>
      </c>
      <c r="U291" s="4">
        <v>21.6</v>
      </c>
      <c r="V291" s="4">
        <v>21.6</v>
      </c>
      <c r="Z291" s="1" t="s">
        <v>42</v>
      </c>
      <c r="AD291" s="1" t="s">
        <v>42</v>
      </c>
      <c r="AF291" s="1" t="s">
        <v>42</v>
      </c>
    </row>
    <row r="292" spans="1:32" x14ac:dyDescent="0.25">
      <c r="A292" s="1" t="s">
        <v>32</v>
      </c>
      <c r="B292" s="1" t="s">
        <v>33</v>
      </c>
      <c r="C292" s="1" t="s">
        <v>34</v>
      </c>
      <c r="D292" s="1" t="s">
        <v>42</v>
      </c>
      <c r="E292" s="1" t="s">
        <v>252</v>
      </c>
      <c r="F292" s="2">
        <v>46279</v>
      </c>
      <c r="G292" s="1" t="s">
        <v>253</v>
      </c>
      <c r="H292" s="3">
        <v>46279.006944444402</v>
      </c>
      <c r="I292" s="1" t="s">
        <v>254</v>
      </c>
      <c r="J292" s="2">
        <v>46279</v>
      </c>
      <c r="K292" s="3">
        <v>46279.006944444402</v>
      </c>
      <c r="L292" s="1" t="s">
        <v>255</v>
      </c>
      <c r="M292" s="1" t="s">
        <v>40</v>
      </c>
      <c r="N292" s="1" t="s">
        <v>41</v>
      </c>
      <c r="O292" s="1" t="s">
        <v>42</v>
      </c>
      <c r="Q292" s="1" t="s">
        <v>42</v>
      </c>
      <c r="R292" s="1" t="s">
        <v>179</v>
      </c>
      <c r="S292" s="1" t="s">
        <v>180</v>
      </c>
      <c r="T292" s="4">
        <v>100.32</v>
      </c>
      <c r="U292" s="4">
        <v>100.32</v>
      </c>
      <c r="V292" s="4">
        <v>100.32</v>
      </c>
      <c r="Z292" s="1" t="s">
        <v>42</v>
      </c>
      <c r="AD292" s="1" t="s">
        <v>42</v>
      </c>
      <c r="AF292" s="1" t="s">
        <v>42</v>
      </c>
    </row>
    <row r="293" spans="1:32" x14ac:dyDescent="0.25">
      <c r="A293" s="1" t="s">
        <v>32</v>
      </c>
      <c r="B293" s="1" t="s">
        <v>33</v>
      </c>
      <c r="C293" s="1" t="s">
        <v>34</v>
      </c>
      <c r="D293" s="1" t="s">
        <v>42</v>
      </c>
      <c r="E293" s="1" t="s">
        <v>252</v>
      </c>
      <c r="F293" s="2">
        <v>46279</v>
      </c>
      <c r="G293" s="1" t="s">
        <v>253</v>
      </c>
      <c r="H293" s="3">
        <v>46279.006944444402</v>
      </c>
      <c r="I293" s="1" t="s">
        <v>254</v>
      </c>
      <c r="J293" s="2">
        <v>46279</v>
      </c>
      <c r="K293" s="3">
        <v>46279.006944444402</v>
      </c>
      <c r="L293" s="1" t="s">
        <v>255</v>
      </c>
      <c r="M293" s="1" t="s">
        <v>40</v>
      </c>
      <c r="N293" s="1" t="s">
        <v>41</v>
      </c>
      <c r="O293" s="1" t="s">
        <v>42</v>
      </c>
      <c r="Q293" s="1" t="s">
        <v>42</v>
      </c>
      <c r="R293" s="1" t="s">
        <v>181</v>
      </c>
      <c r="S293" s="1" t="s">
        <v>182</v>
      </c>
      <c r="T293" s="4">
        <v>63.36</v>
      </c>
      <c r="U293" s="4">
        <v>63.36</v>
      </c>
      <c r="V293" s="4">
        <v>63.36</v>
      </c>
      <c r="Z293" s="1" t="s">
        <v>42</v>
      </c>
      <c r="AD293" s="1" t="s">
        <v>42</v>
      </c>
      <c r="AF293" s="1" t="s">
        <v>42</v>
      </c>
    </row>
    <row r="294" spans="1:32" x14ac:dyDescent="0.25">
      <c r="A294" s="1" t="s">
        <v>32</v>
      </c>
      <c r="B294" s="1" t="s">
        <v>33</v>
      </c>
      <c r="C294" s="1" t="s">
        <v>34</v>
      </c>
      <c r="D294" s="1" t="s">
        <v>42</v>
      </c>
      <c r="E294" s="1" t="s">
        <v>252</v>
      </c>
      <c r="F294" s="2">
        <v>46279</v>
      </c>
      <c r="G294" s="1" t="s">
        <v>253</v>
      </c>
      <c r="H294" s="3">
        <v>46279.006944444402</v>
      </c>
      <c r="I294" s="1" t="s">
        <v>254</v>
      </c>
      <c r="J294" s="2">
        <v>46279</v>
      </c>
      <c r="K294" s="3">
        <v>46279.006944444402</v>
      </c>
      <c r="L294" s="1" t="s">
        <v>255</v>
      </c>
      <c r="M294" s="1" t="s">
        <v>40</v>
      </c>
      <c r="N294" s="1" t="s">
        <v>41</v>
      </c>
      <c r="O294" s="1" t="s">
        <v>42</v>
      </c>
      <c r="Q294" s="1" t="s">
        <v>42</v>
      </c>
      <c r="R294" s="1" t="s">
        <v>183</v>
      </c>
      <c r="S294" s="1" t="s">
        <v>184</v>
      </c>
      <c r="T294" s="4">
        <v>95.04</v>
      </c>
      <c r="U294" s="4">
        <v>95.04</v>
      </c>
      <c r="V294" s="4">
        <v>95.04</v>
      </c>
      <c r="Z294" s="1" t="s">
        <v>42</v>
      </c>
      <c r="AD294" s="1" t="s">
        <v>42</v>
      </c>
      <c r="AF294" s="1" t="s">
        <v>42</v>
      </c>
    </row>
    <row r="295" spans="1:32" x14ac:dyDescent="0.25">
      <c r="A295" s="1" t="s">
        <v>32</v>
      </c>
      <c r="B295" s="1" t="s">
        <v>33</v>
      </c>
      <c r="C295" s="1" t="s">
        <v>34</v>
      </c>
      <c r="D295" s="1" t="s">
        <v>42</v>
      </c>
      <c r="E295" s="1" t="s">
        <v>252</v>
      </c>
      <c r="F295" s="2">
        <v>46279</v>
      </c>
      <c r="G295" s="1" t="s">
        <v>253</v>
      </c>
      <c r="H295" s="3">
        <v>46279.006944444402</v>
      </c>
      <c r="I295" s="1" t="s">
        <v>254</v>
      </c>
      <c r="J295" s="2">
        <v>46279</v>
      </c>
      <c r="K295" s="3">
        <v>46279.006944444402</v>
      </c>
      <c r="L295" s="1" t="s">
        <v>255</v>
      </c>
      <c r="M295" s="1" t="s">
        <v>40</v>
      </c>
      <c r="N295" s="1" t="s">
        <v>41</v>
      </c>
      <c r="O295" s="1" t="s">
        <v>42</v>
      </c>
      <c r="Q295" s="1" t="s">
        <v>42</v>
      </c>
      <c r="R295" s="1" t="s">
        <v>185</v>
      </c>
      <c r="S295" s="1" t="s">
        <v>186</v>
      </c>
      <c r="T295" s="4">
        <v>401.28</v>
      </c>
      <c r="U295" s="4">
        <v>401.28</v>
      </c>
      <c r="V295" s="4">
        <v>401.28</v>
      </c>
      <c r="Z295" s="1" t="s">
        <v>42</v>
      </c>
      <c r="AD295" s="1" t="s">
        <v>42</v>
      </c>
      <c r="AF295" s="1" t="s">
        <v>42</v>
      </c>
    </row>
    <row r="296" spans="1:32" x14ac:dyDescent="0.25">
      <c r="A296" s="1" t="s">
        <v>32</v>
      </c>
      <c r="B296" s="1" t="s">
        <v>33</v>
      </c>
      <c r="C296" s="1" t="s">
        <v>34</v>
      </c>
      <c r="D296" s="1" t="s">
        <v>42</v>
      </c>
      <c r="E296" s="1" t="s">
        <v>252</v>
      </c>
      <c r="F296" s="2">
        <v>46279</v>
      </c>
      <c r="G296" s="1" t="s">
        <v>253</v>
      </c>
      <c r="H296" s="3">
        <v>46279.006944444402</v>
      </c>
      <c r="I296" s="1" t="s">
        <v>254</v>
      </c>
      <c r="J296" s="2">
        <v>46279</v>
      </c>
      <c r="K296" s="3">
        <v>46279.006944444402</v>
      </c>
      <c r="L296" s="1" t="s">
        <v>255</v>
      </c>
      <c r="M296" s="1" t="s">
        <v>40</v>
      </c>
      <c r="N296" s="1" t="s">
        <v>41</v>
      </c>
      <c r="O296" s="1" t="s">
        <v>42</v>
      </c>
      <c r="Q296" s="1" t="s">
        <v>42</v>
      </c>
      <c r="R296" s="1" t="s">
        <v>187</v>
      </c>
      <c r="S296" s="1" t="s">
        <v>188</v>
      </c>
      <c r="T296" s="4">
        <v>501.6</v>
      </c>
      <c r="U296" s="4">
        <v>501.6</v>
      </c>
      <c r="V296" s="4">
        <v>501.6</v>
      </c>
      <c r="Z296" s="1" t="s">
        <v>42</v>
      </c>
      <c r="AD296" s="1" t="s">
        <v>42</v>
      </c>
      <c r="AF296" s="1" t="s">
        <v>42</v>
      </c>
    </row>
    <row r="297" spans="1:32" x14ac:dyDescent="0.25">
      <c r="A297" s="1" t="s">
        <v>32</v>
      </c>
      <c r="B297" s="1" t="s">
        <v>33</v>
      </c>
      <c r="C297" s="1" t="s">
        <v>34</v>
      </c>
      <c r="D297" s="1" t="s">
        <v>42</v>
      </c>
      <c r="E297" s="1" t="s">
        <v>252</v>
      </c>
      <c r="F297" s="2">
        <v>46279</v>
      </c>
      <c r="G297" s="1" t="s">
        <v>253</v>
      </c>
      <c r="H297" s="3">
        <v>46279.006944444402</v>
      </c>
      <c r="I297" s="1" t="s">
        <v>254</v>
      </c>
      <c r="J297" s="2">
        <v>46279</v>
      </c>
      <c r="K297" s="3">
        <v>46279.006944444402</v>
      </c>
      <c r="L297" s="1" t="s">
        <v>255</v>
      </c>
      <c r="M297" s="1" t="s">
        <v>40</v>
      </c>
      <c r="N297" s="1" t="s">
        <v>41</v>
      </c>
      <c r="O297" s="1" t="s">
        <v>42</v>
      </c>
      <c r="Q297" s="1" t="s">
        <v>42</v>
      </c>
      <c r="R297" s="1" t="s">
        <v>232</v>
      </c>
      <c r="S297" s="1" t="s">
        <v>233</v>
      </c>
      <c r="T297" s="4">
        <v>5.28</v>
      </c>
      <c r="U297" s="4">
        <v>5.28</v>
      </c>
      <c r="V297" s="4">
        <v>5.28</v>
      </c>
      <c r="Z297" s="1" t="s">
        <v>42</v>
      </c>
      <c r="AD297" s="1" t="s">
        <v>42</v>
      </c>
      <c r="AF297" s="1" t="s">
        <v>42</v>
      </c>
    </row>
    <row r="298" spans="1:32" x14ac:dyDescent="0.25">
      <c r="A298" s="1" t="s">
        <v>32</v>
      </c>
      <c r="B298" s="1" t="s">
        <v>33</v>
      </c>
      <c r="C298" s="1" t="s">
        <v>34</v>
      </c>
      <c r="D298" s="1" t="s">
        <v>42</v>
      </c>
      <c r="E298" s="1" t="s">
        <v>252</v>
      </c>
      <c r="F298" s="2">
        <v>46279</v>
      </c>
      <c r="G298" s="1" t="s">
        <v>253</v>
      </c>
      <c r="H298" s="3">
        <v>46279.006944444402</v>
      </c>
      <c r="I298" s="1" t="s">
        <v>254</v>
      </c>
      <c r="J298" s="2">
        <v>46279</v>
      </c>
      <c r="K298" s="3">
        <v>46279.006944444402</v>
      </c>
      <c r="L298" s="1" t="s">
        <v>255</v>
      </c>
      <c r="M298" s="1" t="s">
        <v>40</v>
      </c>
      <c r="N298" s="1" t="s">
        <v>41</v>
      </c>
      <c r="O298" s="1" t="s">
        <v>42</v>
      </c>
      <c r="Q298" s="1" t="s">
        <v>42</v>
      </c>
      <c r="R298" s="1" t="s">
        <v>220</v>
      </c>
      <c r="S298" s="1" t="s">
        <v>221</v>
      </c>
      <c r="T298" s="4">
        <v>184.8</v>
      </c>
      <c r="U298" s="4">
        <v>184.8</v>
      </c>
      <c r="V298" s="4">
        <v>184.8</v>
      </c>
      <c r="Z298" s="1" t="s">
        <v>42</v>
      </c>
      <c r="AD298" s="1" t="s">
        <v>42</v>
      </c>
      <c r="AF298" s="1" t="s">
        <v>42</v>
      </c>
    </row>
    <row r="299" spans="1:32" x14ac:dyDescent="0.25">
      <c r="A299" s="1" t="s">
        <v>32</v>
      </c>
      <c r="B299" s="1" t="s">
        <v>33</v>
      </c>
      <c r="C299" s="1" t="s">
        <v>34</v>
      </c>
      <c r="D299" s="1" t="s">
        <v>42</v>
      </c>
      <c r="E299" s="1" t="s">
        <v>252</v>
      </c>
      <c r="F299" s="2">
        <v>46279</v>
      </c>
      <c r="G299" s="1" t="s">
        <v>253</v>
      </c>
      <c r="H299" s="3">
        <v>46279.006944444402</v>
      </c>
      <c r="I299" s="1" t="s">
        <v>254</v>
      </c>
      <c r="J299" s="2">
        <v>46279</v>
      </c>
      <c r="K299" s="3">
        <v>46279.006944444402</v>
      </c>
      <c r="L299" s="1" t="s">
        <v>255</v>
      </c>
      <c r="M299" s="1" t="s">
        <v>40</v>
      </c>
      <c r="N299" s="1" t="s">
        <v>41</v>
      </c>
      <c r="O299" s="1" t="s">
        <v>42</v>
      </c>
      <c r="Q299" s="1" t="s">
        <v>42</v>
      </c>
      <c r="R299" s="1" t="s">
        <v>189</v>
      </c>
      <c r="S299" s="1" t="s">
        <v>190</v>
      </c>
      <c r="T299" s="4">
        <v>100.32</v>
      </c>
      <c r="U299" s="4">
        <v>100.32</v>
      </c>
      <c r="V299" s="4">
        <v>100.32</v>
      </c>
      <c r="Z299" s="1" t="s">
        <v>42</v>
      </c>
      <c r="AD299" s="1" t="s">
        <v>42</v>
      </c>
      <c r="AF299" s="1" t="s">
        <v>42</v>
      </c>
    </row>
    <row r="300" spans="1:32" x14ac:dyDescent="0.25">
      <c r="A300" s="1" t="s">
        <v>32</v>
      </c>
      <c r="B300" s="1" t="s">
        <v>33</v>
      </c>
      <c r="C300" s="1" t="s">
        <v>34</v>
      </c>
      <c r="D300" s="1" t="s">
        <v>42</v>
      </c>
      <c r="E300" s="1" t="s">
        <v>252</v>
      </c>
      <c r="F300" s="2">
        <v>46279</v>
      </c>
      <c r="G300" s="1" t="s">
        <v>253</v>
      </c>
      <c r="H300" s="3">
        <v>46279.006944444402</v>
      </c>
      <c r="I300" s="1" t="s">
        <v>254</v>
      </c>
      <c r="J300" s="2">
        <v>46279</v>
      </c>
      <c r="K300" s="3">
        <v>46279.006944444402</v>
      </c>
      <c r="L300" s="1" t="s">
        <v>255</v>
      </c>
      <c r="M300" s="1" t="s">
        <v>40</v>
      </c>
      <c r="N300" s="1" t="s">
        <v>41</v>
      </c>
      <c r="O300" s="1" t="s">
        <v>42</v>
      </c>
      <c r="Q300" s="1" t="s">
        <v>42</v>
      </c>
      <c r="R300" s="1" t="s">
        <v>193</v>
      </c>
      <c r="S300" s="1" t="s">
        <v>194</v>
      </c>
      <c r="T300" s="4">
        <v>108</v>
      </c>
      <c r="W300" s="4">
        <v>-108</v>
      </c>
      <c r="X300" s="1" t="s">
        <v>67</v>
      </c>
      <c r="Y300" s="1" t="s">
        <v>68</v>
      </c>
      <c r="Z300" s="1" t="s">
        <v>42</v>
      </c>
      <c r="AD300" s="1" t="s">
        <v>42</v>
      </c>
      <c r="AE300" s="1" t="s">
        <v>211</v>
      </c>
      <c r="AF300" s="1" t="s">
        <v>42</v>
      </c>
    </row>
    <row r="301" spans="1:32" x14ac:dyDescent="0.25">
      <c r="A301" s="1" t="s">
        <v>32</v>
      </c>
      <c r="B301" s="1" t="s">
        <v>33</v>
      </c>
      <c r="C301" s="1" t="s">
        <v>34</v>
      </c>
      <c r="D301" s="1" t="s">
        <v>42</v>
      </c>
      <c r="E301" s="1" t="s">
        <v>252</v>
      </c>
      <c r="F301" s="2">
        <v>46279</v>
      </c>
      <c r="G301" s="1" t="s">
        <v>253</v>
      </c>
      <c r="H301" s="3">
        <v>46279.006944444402</v>
      </c>
      <c r="I301" s="1" t="s">
        <v>254</v>
      </c>
      <c r="J301" s="2">
        <v>46279</v>
      </c>
      <c r="K301" s="3">
        <v>46279.006944444402</v>
      </c>
      <c r="L301" s="1" t="s">
        <v>255</v>
      </c>
      <c r="M301" s="1" t="s">
        <v>40</v>
      </c>
      <c r="N301" s="1" t="s">
        <v>41</v>
      </c>
      <c r="O301" s="1" t="s">
        <v>42</v>
      </c>
      <c r="Q301" s="1" t="s">
        <v>42</v>
      </c>
      <c r="R301" s="1" t="s">
        <v>195</v>
      </c>
      <c r="S301" s="1" t="s">
        <v>196</v>
      </c>
      <c r="T301" s="4">
        <v>302.39999999999998</v>
      </c>
      <c r="U301" s="4">
        <v>302.39999999999998</v>
      </c>
      <c r="V301" s="4">
        <v>302.39999999999998</v>
      </c>
      <c r="Z301" s="1" t="s">
        <v>42</v>
      </c>
      <c r="AD301" s="1" t="s">
        <v>42</v>
      </c>
      <c r="AF301" s="1" t="s">
        <v>42</v>
      </c>
    </row>
    <row r="302" spans="1:32" x14ac:dyDescent="0.25">
      <c r="A302" s="1" t="s">
        <v>32</v>
      </c>
      <c r="B302" s="1" t="s">
        <v>33</v>
      </c>
      <c r="C302" s="1" t="s">
        <v>34</v>
      </c>
      <c r="D302" s="1" t="s">
        <v>35</v>
      </c>
      <c r="E302" s="1" t="s">
        <v>268</v>
      </c>
      <c r="F302" s="2">
        <v>46279</v>
      </c>
      <c r="G302" s="1" t="s">
        <v>269</v>
      </c>
      <c r="H302" s="3">
        <v>46279.006944444402</v>
      </c>
      <c r="I302" s="1" t="s">
        <v>38</v>
      </c>
      <c r="J302" s="2">
        <v>46279</v>
      </c>
      <c r="K302" s="3">
        <v>46279.006944444402</v>
      </c>
      <c r="L302" s="1" t="s">
        <v>39</v>
      </c>
      <c r="M302" s="1" t="s">
        <v>40</v>
      </c>
      <c r="N302" s="1" t="s">
        <v>270</v>
      </c>
      <c r="O302" s="1" t="s">
        <v>42</v>
      </c>
      <c r="Q302" s="1" t="s">
        <v>42</v>
      </c>
      <c r="R302" s="1" t="s">
        <v>53</v>
      </c>
      <c r="S302" s="1" t="s">
        <v>54</v>
      </c>
      <c r="T302" s="4">
        <v>205.2</v>
      </c>
      <c r="U302" s="4">
        <v>205.2</v>
      </c>
      <c r="V302" s="4">
        <v>205.2</v>
      </c>
      <c r="Z302" s="1" t="s">
        <v>42</v>
      </c>
      <c r="AD302" s="1" t="s">
        <v>42</v>
      </c>
      <c r="AF302" s="1" t="s">
        <v>42</v>
      </c>
    </row>
    <row r="303" spans="1:32" x14ac:dyDescent="0.25">
      <c r="A303" s="1" t="s">
        <v>32</v>
      </c>
      <c r="B303" s="1" t="s">
        <v>33</v>
      </c>
      <c r="C303" s="1" t="s">
        <v>34</v>
      </c>
      <c r="D303" s="1" t="s">
        <v>42</v>
      </c>
      <c r="E303" s="1" t="s">
        <v>271</v>
      </c>
      <c r="F303" s="2">
        <v>46279</v>
      </c>
      <c r="G303" s="1" t="s">
        <v>272</v>
      </c>
      <c r="H303" s="3">
        <v>46279.416666666701</v>
      </c>
      <c r="I303" s="1" t="s">
        <v>38</v>
      </c>
      <c r="J303" s="2">
        <v>46279</v>
      </c>
      <c r="K303" s="3">
        <v>46279.416666666701</v>
      </c>
      <c r="L303" s="1" t="s">
        <v>39</v>
      </c>
      <c r="M303" s="1" t="s">
        <v>40</v>
      </c>
      <c r="N303" s="1" t="s">
        <v>41</v>
      </c>
      <c r="O303" s="1" t="s">
        <v>42</v>
      </c>
      <c r="Q303" s="1" t="s">
        <v>42</v>
      </c>
      <c r="R303" s="1" t="s">
        <v>222</v>
      </c>
      <c r="S303" s="1" t="s">
        <v>223</v>
      </c>
      <c r="T303" s="4">
        <v>14.4</v>
      </c>
      <c r="U303" s="4">
        <v>14.4</v>
      </c>
      <c r="V303" s="4">
        <v>14.4</v>
      </c>
      <c r="Z303" s="1" t="s">
        <v>42</v>
      </c>
      <c r="AD303" s="1" t="s">
        <v>42</v>
      </c>
      <c r="AF303" s="1" t="s">
        <v>42</v>
      </c>
    </row>
    <row r="304" spans="1:32" x14ac:dyDescent="0.25">
      <c r="A304" s="1" t="s">
        <v>32</v>
      </c>
      <c r="B304" s="1" t="s">
        <v>33</v>
      </c>
      <c r="C304" s="1" t="s">
        <v>34</v>
      </c>
      <c r="D304" s="1" t="s">
        <v>42</v>
      </c>
      <c r="E304" s="1" t="s">
        <v>271</v>
      </c>
      <c r="F304" s="2">
        <v>46279</v>
      </c>
      <c r="G304" s="1" t="s">
        <v>272</v>
      </c>
      <c r="H304" s="3">
        <v>46279.416666666701</v>
      </c>
      <c r="I304" s="1" t="s">
        <v>38</v>
      </c>
      <c r="J304" s="2">
        <v>46279</v>
      </c>
      <c r="K304" s="3">
        <v>46279.416666666701</v>
      </c>
      <c r="L304" s="1" t="s">
        <v>39</v>
      </c>
      <c r="M304" s="1" t="s">
        <v>40</v>
      </c>
      <c r="N304" s="1" t="s">
        <v>41</v>
      </c>
      <c r="O304" s="1" t="s">
        <v>42</v>
      </c>
      <c r="Q304" s="1" t="s">
        <v>42</v>
      </c>
      <c r="R304" s="1" t="s">
        <v>195</v>
      </c>
      <c r="S304" s="1" t="s">
        <v>196</v>
      </c>
      <c r="T304" s="4">
        <v>54</v>
      </c>
      <c r="U304" s="4">
        <v>54</v>
      </c>
      <c r="V304" s="4">
        <v>54</v>
      </c>
      <c r="Z304" s="1" t="s">
        <v>42</v>
      </c>
      <c r="AD304" s="1" t="s">
        <v>42</v>
      </c>
      <c r="AF304" s="1" t="s">
        <v>42</v>
      </c>
    </row>
    <row r="305" spans="1:32" x14ac:dyDescent="0.25">
      <c r="A305" s="1" t="s">
        <v>32</v>
      </c>
      <c r="B305" s="1" t="s">
        <v>33</v>
      </c>
      <c r="C305" s="1" t="s">
        <v>34</v>
      </c>
      <c r="D305" s="1" t="s">
        <v>42</v>
      </c>
      <c r="E305" s="1" t="s">
        <v>271</v>
      </c>
      <c r="F305" s="2">
        <v>46279</v>
      </c>
      <c r="G305" s="1" t="s">
        <v>272</v>
      </c>
      <c r="H305" s="3">
        <v>46279.416666666701</v>
      </c>
      <c r="I305" s="1" t="s">
        <v>38</v>
      </c>
      <c r="J305" s="2">
        <v>46279</v>
      </c>
      <c r="K305" s="3">
        <v>46279.416666666701</v>
      </c>
      <c r="L305" s="1" t="s">
        <v>39</v>
      </c>
      <c r="M305" s="1" t="s">
        <v>40</v>
      </c>
      <c r="N305" s="1" t="s">
        <v>41</v>
      </c>
      <c r="O305" s="1" t="s">
        <v>42</v>
      </c>
      <c r="Q305" s="1" t="s">
        <v>42</v>
      </c>
      <c r="R305" s="1" t="s">
        <v>228</v>
      </c>
      <c r="S305" s="1" t="s">
        <v>229</v>
      </c>
      <c r="T305" s="4">
        <v>33.6</v>
      </c>
      <c r="U305" s="4">
        <v>33.6</v>
      </c>
      <c r="V305" s="4">
        <v>33.6</v>
      </c>
      <c r="Z305" s="1" t="s">
        <v>42</v>
      </c>
      <c r="AD305" s="1" t="s">
        <v>42</v>
      </c>
      <c r="AF305" s="1" t="s">
        <v>42</v>
      </c>
    </row>
    <row r="306" spans="1:32" x14ac:dyDescent="0.25">
      <c r="A306" s="1" t="s">
        <v>32</v>
      </c>
      <c r="B306" s="1" t="s">
        <v>33</v>
      </c>
      <c r="C306" s="1" t="s">
        <v>34</v>
      </c>
      <c r="D306" s="1" t="s">
        <v>42</v>
      </c>
      <c r="E306" s="1" t="s">
        <v>271</v>
      </c>
      <c r="F306" s="2">
        <v>46279</v>
      </c>
      <c r="G306" s="1" t="s">
        <v>272</v>
      </c>
      <c r="H306" s="3">
        <v>46279.416666666701</v>
      </c>
      <c r="I306" s="1" t="s">
        <v>38</v>
      </c>
      <c r="J306" s="2">
        <v>46279</v>
      </c>
      <c r="K306" s="3">
        <v>46279.416666666701</v>
      </c>
      <c r="L306" s="1" t="s">
        <v>39</v>
      </c>
      <c r="M306" s="1" t="s">
        <v>40</v>
      </c>
      <c r="N306" s="1" t="s">
        <v>41</v>
      </c>
      <c r="O306" s="1" t="s">
        <v>42</v>
      </c>
      <c r="Q306" s="1" t="s">
        <v>42</v>
      </c>
      <c r="R306" s="1" t="s">
        <v>45</v>
      </c>
      <c r="S306" s="1" t="s">
        <v>46</v>
      </c>
      <c r="T306" s="4">
        <v>12</v>
      </c>
      <c r="U306" s="4">
        <v>12</v>
      </c>
      <c r="V306" s="4">
        <v>12</v>
      </c>
      <c r="Z306" s="1" t="s">
        <v>42</v>
      </c>
      <c r="AD306" s="1" t="s">
        <v>42</v>
      </c>
      <c r="AF306" s="1" t="s">
        <v>42</v>
      </c>
    </row>
    <row r="307" spans="1:32" x14ac:dyDescent="0.25">
      <c r="A307" s="1" t="s">
        <v>32</v>
      </c>
      <c r="B307" s="1" t="s">
        <v>33</v>
      </c>
      <c r="C307" s="1" t="s">
        <v>34</v>
      </c>
      <c r="D307" s="1" t="s">
        <v>42</v>
      </c>
      <c r="E307" s="1" t="s">
        <v>271</v>
      </c>
      <c r="F307" s="2">
        <v>46279</v>
      </c>
      <c r="G307" s="1" t="s">
        <v>272</v>
      </c>
      <c r="H307" s="3">
        <v>46279.416666666701</v>
      </c>
      <c r="I307" s="1" t="s">
        <v>38</v>
      </c>
      <c r="J307" s="2">
        <v>46279</v>
      </c>
      <c r="K307" s="3">
        <v>46279.416666666701</v>
      </c>
      <c r="L307" s="1" t="s">
        <v>39</v>
      </c>
      <c r="M307" s="1" t="s">
        <v>40</v>
      </c>
      <c r="N307" s="1" t="s">
        <v>41</v>
      </c>
      <c r="O307" s="1" t="s">
        <v>42</v>
      </c>
      <c r="Q307" s="1" t="s">
        <v>42</v>
      </c>
      <c r="R307" s="1" t="s">
        <v>256</v>
      </c>
      <c r="S307" s="1" t="s">
        <v>257</v>
      </c>
      <c r="T307" s="4">
        <v>4.5</v>
      </c>
      <c r="U307" s="4">
        <v>4.5</v>
      </c>
      <c r="V307" s="4">
        <v>4.5</v>
      </c>
      <c r="Z307" s="1" t="s">
        <v>42</v>
      </c>
      <c r="AD307" s="1" t="s">
        <v>42</v>
      </c>
      <c r="AF307" s="1" t="s">
        <v>42</v>
      </c>
    </row>
    <row r="308" spans="1:32" x14ac:dyDescent="0.25">
      <c r="A308" s="1" t="s">
        <v>32</v>
      </c>
      <c r="B308" s="1" t="s">
        <v>33</v>
      </c>
      <c r="C308" s="1" t="s">
        <v>34</v>
      </c>
      <c r="D308" s="1" t="s">
        <v>42</v>
      </c>
      <c r="E308" s="1" t="s">
        <v>271</v>
      </c>
      <c r="F308" s="2">
        <v>46279</v>
      </c>
      <c r="G308" s="1" t="s">
        <v>272</v>
      </c>
      <c r="H308" s="3">
        <v>46279.416666666701</v>
      </c>
      <c r="I308" s="1" t="s">
        <v>38</v>
      </c>
      <c r="J308" s="2">
        <v>46279</v>
      </c>
      <c r="K308" s="3">
        <v>46279.416666666701</v>
      </c>
      <c r="L308" s="1" t="s">
        <v>39</v>
      </c>
      <c r="M308" s="1" t="s">
        <v>40</v>
      </c>
      <c r="N308" s="1" t="s">
        <v>41</v>
      </c>
      <c r="O308" s="1" t="s">
        <v>42</v>
      </c>
      <c r="Q308" s="1" t="s">
        <v>42</v>
      </c>
      <c r="R308" s="1" t="s">
        <v>47</v>
      </c>
      <c r="S308" s="1" t="s">
        <v>48</v>
      </c>
      <c r="T308" s="4">
        <v>507</v>
      </c>
      <c r="U308" s="4">
        <v>507</v>
      </c>
      <c r="V308" s="4">
        <v>507</v>
      </c>
      <c r="Z308" s="1" t="s">
        <v>42</v>
      </c>
      <c r="AD308" s="1" t="s">
        <v>42</v>
      </c>
      <c r="AF308" s="1" t="s">
        <v>42</v>
      </c>
    </row>
    <row r="309" spans="1:32" x14ac:dyDescent="0.25">
      <c r="A309" s="1" t="s">
        <v>32</v>
      </c>
      <c r="B309" s="1" t="s">
        <v>33</v>
      </c>
      <c r="C309" s="1" t="s">
        <v>34</v>
      </c>
      <c r="D309" s="1" t="s">
        <v>42</v>
      </c>
      <c r="E309" s="1" t="s">
        <v>271</v>
      </c>
      <c r="F309" s="2">
        <v>46279</v>
      </c>
      <c r="G309" s="1" t="s">
        <v>272</v>
      </c>
      <c r="H309" s="3">
        <v>46279.416666666701</v>
      </c>
      <c r="I309" s="1" t="s">
        <v>38</v>
      </c>
      <c r="J309" s="2">
        <v>46279</v>
      </c>
      <c r="K309" s="3">
        <v>46279.416666666701</v>
      </c>
      <c r="L309" s="1" t="s">
        <v>39</v>
      </c>
      <c r="M309" s="1" t="s">
        <v>40</v>
      </c>
      <c r="N309" s="1" t="s">
        <v>41</v>
      </c>
      <c r="O309" s="1" t="s">
        <v>42</v>
      </c>
      <c r="Q309" s="1" t="s">
        <v>42</v>
      </c>
      <c r="R309" s="1" t="s">
        <v>49</v>
      </c>
      <c r="S309" s="1" t="s">
        <v>50</v>
      </c>
      <c r="T309" s="4">
        <v>54</v>
      </c>
      <c r="U309" s="4">
        <v>54</v>
      </c>
      <c r="V309" s="4">
        <v>54</v>
      </c>
      <c r="Z309" s="1" t="s">
        <v>42</v>
      </c>
      <c r="AD309" s="1" t="s">
        <v>42</v>
      </c>
      <c r="AF309" s="1" t="s">
        <v>42</v>
      </c>
    </row>
    <row r="310" spans="1:32" x14ac:dyDescent="0.25">
      <c r="A310" s="1" t="s">
        <v>32</v>
      </c>
      <c r="B310" s="1" t="s">
        <v>33</v>
      </c>
      <c r="C310" s="1" t="s">
        <v>34</v>
      </c>
      <c r="D310" s="1" t="s">
        <v>42</v>
      </c>
      <c r="E310" s="1" t="s">
        <v>271</v>
      </c>
      <c r="F310" s="2">
        <v>46279</v>
      </c>
      <c r="G310" s="1" t="s">
        <v>272</v>
      </c>
      <c r="H310" s="3">
        <v>46279.416666666701</v>
      </c>
      <c r="I310" s="1" t="s">
        <v>38</v>
      </c>
      <c r="J310" s="2">
        <v>46279</v>
      </c>
      <c r="K310" s="3">
        <v>46279.416666666701</v>
      </c>
      <c r="L310" s="1" t="s">
        <v>39</v>
      </c>
      <c r="M310" s="1" t="s">
        <v>40</v>
      </c>
      <c r="N310" s="1" t="s">
        <v>41</v>
      </c>
      <c r="O310" s="1" t="s">
        <v>42</v>
      </c>
      <c r="Q310" s="1" t="s">
        <v>42</v>
      </c>
      <c r="R310" s="1" t="s">
        <v>53</v>
      </c>
      <c r="S310" s="1" t="s">
        <v>54</v>
      </c>
      <c r="T310" s="4">
        <v>91.8</v>
      </c>
      <c r="U310" s="4">
        <v>91.8</v>
      </c>
      <c r="V310" s="4">
        <v>91.8</v>
      </c>
      <c r="Z310" s="1" t="s">
        <v>42</v>
      </c>
      <c r="AD310" s="1" t="s">
        <v>42</v>
      </c>
      <c r="AF310" s="1" t="s">
        <v>42</v>
      </c>
    </row>
    <row r="311" spans="1:32" x14ac:dyDescent="0.25">
      <c r="A311" s="1" t="s">
        <v>32</v>
      </c>
      <c r="B311" s="1" t="s">
        <v>33</v>
      </c>
      <c r="C311" s="1" t="s">
        <v>34</v>
      </c>
      <c r="D311" s="1" t="s">
        <v>42</v>
      </c>
      <c r="E311" s="1" t="s">
        <v>271</v>
      </c>
      <c r="F311" s="2">
        <v>46279</v>
      </c>
      <c r="G311" s="1" t="s">
        <v>272</v>
      </c>
      <c r="H311" s="3">
        <v>46279.416666666701</v>
      </c>
      <c r="I311" s="1" t="s">
        <v>38</v>
      </c>
      <c r="J311" s="2">
        <v>46279</v>
      </c>
      <c r="K311" s="3">
        <v>46279.416666666701</v>
      </c>
      <c r="L311" s="1" t="s">
        <v>39</v>
      </c>
      <c r="M311" s="1" t="s">
        <v>40</v>
      </c>
      <c r="N311" s="1" t="s">
        <v>41</v>
      </c>
      <c r="O311" s="1" t="s">
        <v>42</v>
      </c>
      <c r="Q311" s="1" t="s">
        <v>42</v>
      </c>
      <c r="R311" s="1" t="s">
        <v>205</v>
      </c>
      <c r="S311" s="1" t="s">
        <v>206</v>
      </c>
      <c r="T311" s="4">
        <v>108</v>
      </c>
      <c r="U311" s="4">
        <v>108</v>
      </c>
      <c r="V311" s="4">
        <v>108</v>
      </c>
      <c r="Z311" s="1" t="s">
        <v>42</v>
      </c>
      <c r="AD311" s="1" t="s">
        <v>42</v>
      </c>
      <c r="AF311" s="1" t="s">
        <v>42</v>
      </c>
    </row>
    <row r="312" spans="1:32" x14ac:dyDescent="0.25">
      <c r="A312" s="1" t="s">
        <v>32</v>
      </c>
      <c r="B312" s="1" t="s">
        <v>33</v>
      </c>
      <c r="C312" s="1" t="s">
        <v>34</v>
      </c>
      <c r="D312" s="1" t="s">
        <v>42</v>
      </c>
      <c r="E312" s="1" t="s">
        <v>271</v>
      </c>
      <c r="F312" s="2">
        <v>46279</v>
      </c>
      <c r="G312" s="1" t="s">
        <v>272</v>
      </c>
      <c r="H312" s="3">
        <v>46279.416666666701</v>
      </c>
      <c r="I312" s="1" t="s">
        <v>38</v>
      </c>
      <c r="J312" s="2">
        <v>46279</v>
      </c>
      <c r="K312" s="3">
        <v>46279.416666666701</v>
      </c>
      <c r="L312" s="1" t="s">
        <v>39</v>
      </c>
      <c r="M312" s="1" t="s">
        <v>40</v>
      </c>
      <c r="N312" s="1" t="s">
        <v>41</v>
      </c>
      <c r="O312" s="1" t="s">
        <v>42</v>
      </c>
      <c r="Q312" s="1" t="s">
        <v>42</v>
      </c>
      <c r="R312" s="1" t="s">
        <v>57</v>
      </c>
      <c r="S312" s="1" t="s">
        <v>58</v>
      </c>
      <c r="T312" s="4">
        <v>113.4</v>
      </c>
      <c r="U312" s="4">
        <v>113.4</v>
      </c>
      <c r="V312" s="4">
        <v>113.4</v>
      </c>
      <c r="Z312" s="1" t="s">
        <v>42</v>
      </c>
      <c r="AD312" s="1" t="s">
        <v>42</v>
      </c>
      <c r="AF312" s="1" t="s">
        <v>42</v>
      </c>
    </row>
    <row r="313" spans="1:32" x14ac:dyDescent="0.25">
      <c r="A313" s="1" t="s">
        <v>32</v>
      </c>
      <c r="B313" s="1" t="s">
        <v>33</v>
      </c>
      <c r="C313" s="1" t="s">
        <v>34</v>
      </c>
      <c r="D313" s="1" t="s">
        <v>42</v>
      </c>
      <c r="E313" s="1" t="s">
        <v>271</v>
      </c>
      <c r="F313" s="2">
        <v>46279</v>
      </c>
      <c r="G313" s="1" t="s">
        <v>272</v>
      </c>
      <c r="H313" s="3">
        <v>46279.416666666701</v>
      </c>
      <c r="I313" s="1" t="s">
        <v>38</v>
      </c>
      <c r="J313" s="2">
        <v>46279</v>
      </c>
      <c r="K313" s="3">
        <v>46279.416666666701</v>
      </c>
      <c r="L313" s="1" t="s">
        <v>39</v>
      </c>
      <c r="M313" s="1" t="s">
        <v>40</v>
      </c>
      <c r="N313" s="1" t="s">
        <v>41</v>
      </c>
      <c r="O313" s="1" t="s">
        <v>42</v>
      </c>
      <c r="Q313" s="1" t="s">
        <v>42</v>
      </c>
      <c r="R313" s="1" t="s">
        <v>59</v>
      </c>
      <c r="S313" s="1" t="s">
        <v>60</v>
      </c>
      <c r="T313" s="4">
        <v>29.7</v>
      </c>
      <c r="U313" s="4">
        <v>29.7</v>
      </c>
      <c r="V313" s="4">
        <v>29.7</v>
      </c>
      <c r="Z313" s="1" t="s">
        <v>42</v>
      </c>
      <c r="AD313" s="1" t="s">
        <v>42</v>
      </c>
      <c r="AF313" s="1" t="s">
        <v>42</v>
      </c>
    </row>
    <row r="314" spans="1:32" x14ac:dyDescent="0.25">
      <c r="A314" s="1" t="s">
        <v>32</v>
      </c>
      <c r="B314" s="1" t="s">
        <v>33</v>
      </c>
      <c r="C314" s="1" t="s">
        <v>34</v>
      </c>
      <c r="D314" s="1" t="s">
        <v>42</v>
      </c>
      <c r="E314" s="1" t="s">
        <v>271</v>
      </c>
      <c r="F314" s="2">
        <v>46279</v>
      </c>
      <c r="G314" s="1" t="s">
        <v>272</v>
      </c>
      <c r="H314" s="3">
        <v>46279.416666666701</v>
      </c>
      <c r="I314" s="1" t="s">
        <v>38</v>
      </c>
      <c r="J314" s="2">
        <v>46279</v>
      </c>
      <c r="K314" s="3">
        <v>46279.416666666701</v>
      </c>
      <c r="L314" s="1" t="s">
        <v>39</v>
      </c>
      <c r="M314" s="1" t="s">
        <v>40</v>
      </c>
      <c r="N314" s="1" t="s">
        <v>41</v>
      </c>
      <c r="O314" s="1" t="s">
        <v>42</v>
      </c>
      <c r="Q314" s="1" t="s">
        <v>42</v>
      </c>
      <c r="R314" s="1" t="s">
        <v>258</v>
      </c>
      <c r="S314" s="1" t="s">
        <v>259</v>
      </c>
      <c r="T314" s="4">
        <v>6.4</v>
      </c>
      <c r="U314" s="4">
        <v>6.4</v>
      </c>
      <c r="V314" s="4">
        <v>6.4</v>
      </c>
      <c r="Z314" s="1" t="s">
        <v>42</v>
      </c>
      <c r="AD314" s="1" t="s">
        <v>42</v>
      </c>
      <c r="AF314" s="1" t="s">
        <v>42</v>
      </c>
    </row>
    <row r="315" spans="1:32" x14ac:dyDescent="0.25">
      <c r="A315" s="1" t="s">
        <v>32</v>
      </c>
      <c r="B315" s="1" t="s">
        <v>33</v>
      </c>
      <c r="C315" s="1" t="s">
        <v>34</v>
      </c>
      <c r="D315" s="1" t="s">
        <v>42</v>
      </c>
      <c r="E315" s="1" t="s">
        <v>271</v>
      </c>
      <c r="F315" s="2">
        <v>46279</v>
      </c>
      <c r="G315" s="1" t="s">
        <v>272</v>
      </c>
      <c r="H315" s="3">
        <v>46279.416666666701</v>
      </c>
      <c r="I315" s="1" t="s">
        <v>38</v>
      </c>
      <c r="J315" s="2">
        <v>46279</v>
      </c>
      <c r="K315" s="3">
        <v>46279.416666666701</v>
      </c>
      <c r="L315" s="1" t="s">
        <v>39</v>
      </c>
      <c r="M315" s="1" t="s">
        <v>40</v>
      </c>
      <c r="N315" s="1" t="s">
        <v>41</v>
      </c>
      <c r="O315" s="1" t="s">
        <v>42</v>
      </c>
      <c r="Q315" s="1" t="s">
        <v>42</v>
      </c>
      <c r="R315" s="1" t="s">
        <v>61</v>
      </c>
      <c r="S315" s="1" t="s">
        <v>62</v>
      </c>
      <c r="T315" s="4">
        <v>5.6</v>
      </c>
      <c r="W315" s="4">
        <v>-5.6</v>
      </c>
      <c r="X315" s="1" t="s">
        <v>273</v>
      </c>
      <c r="Y315" s="1" t="s">
        <v>274</v>
      </c>
      <c r="Z315" s="1" t="s">
        <v>42</v>
      </c>
      <c r="AD315" s="1" t="s">
        <v>42</v>
      </c>
      <c r="AF315" s="1" t="s">
        <v>42</v>
      </c>
    </row>
    <row r="316" spans="1:32" x14ac:dyDescent="0.25">
      <c r="A316" s="1" t="s">
        <v>32</v>
      </c>
      <c r="B316" s="1" t="s">
        <v>33</v>
      </c>
      <c r="C316" s="1" t="s">
        <v>34</v>
      </c>
      <c r="D316" s="1" t="s">
        <v>42</v>
      </c>
      <c r="E316" s="1" t="s">
        <v>271</v>
      </c>
      <c r="F316" s="2">
        <v>46279</v>
      </c>
      <c r="G316" s="1" t="s">
        <v>272</v>
      </c>
      <c r="H316" s="3">
        <v>46279.416666666701</v>
      </c>
      <c r="I316" s="1" t="s">
        <v>38</v>
      </c>
      <c r="J316" s="2">
        <v>46279</v>
      </c>
      <c r="K316" s="3">
        <v>46279.416666666701</v>
      </c>
      <c r="L316" s="1" t="s">
        <v>39</v>
      </c>
      <c r="M316" s="1" t="s">
        <v>40</v>
      </c>
      <c r="N316" s="1" t="s">
        <v>41</v>
      </c>
      <c r="O316" s="1" t="s">
        <v>42</v>
      </c>
      <c r="Q316" s="1" t="s">
        <v>42</v>
      </c>
      <c r="R316" s="1" t="s">
        <v>63</v>
      </c>
      <c r="S316" s="1" t="s">
        <v>64</v>
      </c>
      <c r="T316" s="4">
        <v>42.24</v>
      </c>
      <c r="W316" s="4">
        <v>-42.24</v>
      </c>
      <c r="X316" s="1" t="s">
        <v>273</v>
      </c>
      <c r="Y316" s="1" t="s">
        <v>274</v>
      </c>
      <c r="Z316" s="1" t="s">
        <v>42</v>
      </c>
      <c r="AD316" s="1" t="s">
        <v>42</v>
      </c>
      <c r="AF316" s="1" t="s">
        <v>42</v>
      </c>
    </row>
    <row r="317" spans="1:32" x14ac:dyDescent="0.25">
      <c r="A317" s="1" t="s">
        <v>32</v>
      </c>
      <c r="B317" s="1" t="s">
        <v>33</v>
      </c>
      <c r="C317" s="1" t="s">
        <v>34</v>
      </c>
      <c r="D317" s="1" t="s">
        <v>42</v>
      </c>
      <c r="E317" s="1" t="s">
        <v>271</v>
      </c>
      <c r="F317" s="2">
        <v>46279</v>
      </c>
      <c r="G317" s="1" t="s">
        <v>272</v>
      </c>
      <c r="H317" s="3">
        <v>46279.416666666701</v>
      </c>
      <c r="I317" s="1" t="s">
        <v>38</v>
      </c>
      <c r="J317" s="2">
        <v>46279</v>
      </c>
      <c r="K317" s="3">
        <v>46279.416666666701</v>
      </c>
      <c r="L317" s="1" t="s">
        <v>39</v>
      </c>
      <c r="M317" s="1" t="s">
        <v>40</v>
      </c>
      <c r="N317" s="1" t="s">
        <v>41</v>
      </c>
      <c r="O317" s="1" t="s">
        <v>42</v>
      </c>
      <c r="Q317" s="1" t="s">
        <v>42</v>
      </c>
      <c r="R317" s="1" t="s">
        <v>65</v>
      </c>
      <c r="S317" s="1" t="s">
        <v>66</v>
      </c>
      <c r="T317" s="4">
        <v>150.5</v>
      </c>
      <c r="W317" s="4">
        <v>-150.5</v>
      </c>
      <c r="X317" s="1" t="s">
        <v>67</v>
      </c>
      <c r="Y317" s="1" t="s">
        <v>68</v>
      </c>
      <c r="Z317" s="1" t="s">
        <v>42</v>
      </c>
      <c r="AD317" s="1" t="s">
        <v>42</v>
      </c>
      <c r="AF317" s="1" t="s">
        <v>42</v>
      </c>
    </row>
    <row r="318" spans="1:32" x14ac:dyDescent="0.25">
      <c r="A318" s="1" t="s">
        <v>32</v>
      </c>
      <c r="B318" s="1" t="s">
        <v>33</v>
      </c>
      <c r="C318" s="1" t="s">
        <v>34</v>
      </c>
      <c r="D318" s="1" t="s">
        <v>42</v>
      </c>
      <c r="E318" s="1" t="s">
        <v>271</v>
      </c>
      <c r="F318" s="2">
        <v>46279</v>
      </c>
      <c r="G318" s="1" t="s">
        <v>272</v>
      </c>
      <c r="H318" s="3">
        <v>46279.416666666701</v>
      </c>
      <c r="I318" s="1" t="s">
        <v>38</v>
      </c>
      <c r="J318" s="2">
        <v>46279</v>
      </c>
      <c r="K318" s="3">
        <v>46279.416666666701</v>
      </c>
      <c r="L318" s="1" t="s">
        <v>39</v>
      </c>
      <c r="M318" s="1" t="s">
        <v>40</v>
      </c>
      <c r="N318" s="1" t="s">
        <v>41</v>
      </c>
      <c r="O318" s="1" t="s">
        <v>42</v>
      </c>
      <c r="Q318" s="1" t="s">
        <v>42</v>
      </c>
      <c r="R318" s="1" t="s">
        <v>70</v>
      </c>
      <c r="S318" s="1" t="s">
        <v>71</v>
      </c>
      <c r="T318" s="4">
        <v>101.5</v>
      </c>
      <c r="U318" s="4">
        <v>101.5</v>
      </c>
      <c r="V318" s="4">
        <v>101.5</v>
      </c>
      <c r="Z318" s="1" t="s">
        <v>42</v>
      </c>
      <c r="AD318" s="1" t="s">
        <v>42</v>
      </c>
      <c r="AF318" s="1" t="s">
        <v>42</v>
      </c>
    </row>
    <row r="319" spans="1:32" x14ac:dyDescent="0.25">
      <c r="A319" s="1" t="s">
        <v>32</v>
      </c>
      <c r="B319" s="1" t="s">
        <v>33</v>
      </c>
      <c r="C319" s="1" t="s">
        <v>34</v>
      </c>
      <c r="D319" s="1" t="s">
        <v>42</v>
      </c>
      <c r="E319" s="1" t="s">
        <v>271</v>
      </c>
      <c r="F319" s="2">
        <v>46279</v>
      </c>
      <c r="G319" s="1" t="s">
        <v>272</v>
      </c>
      <c r="H319" s="3">
        <v>46279.416666666701</v>
      </c>
      <c r="I319" s="1" t="s">
        <v>38</v>
      </c>
      <c r="J319" s="2">
        <v>46279</v>
      </c>
      <c r="K319" s="3">
        <v>46279.416666666701</v>
      </c>
      <c r="L319" s="1" t="s">
        <v>39</v>
      </c>
      <c r="M319" s="1" t="s">
        <v>40</v>
      </c>
      <c r="N319" s="1" t="s">
        <v>41</v>
      </c>
      <c r="O319" s="1" t="s">
        <v>42</v>
      </c>
      <c r="Q319" s="1" t="s">
        <v>42</v>
      </c>
      <c r="R319" s="1" t="s">
        <v>74</v>
      </c>
      <c r="S319" s="1" t="s">
        <v>75</v>
      </c>
      <c r="T319" s="4">
        <v>101.5</v>
      </c>
      <c r="U319" s="4">
        <v>101.5</v>
      </c>
      <c r="V319" s="4">
        <v>101.5</v>
      </c>
      <c r="Z319" s="1" t="s">
        <v>42</v>
      </c>
      <c r="AD319" s="1" t="s">
        <v>42</v>
      </c>
      <c r="AF319" s="1" t="s">
        <v>42</v>
      </c>
    </row>
    <row r="320" spans="1:32" x14ac:dyDescent="0.25">
      <c r="A320" s="1" t="s">
        <v>32</v>
      </c>
      <c r="B320" s="1" t="s">
        <v>33</v>
      </c>
      <c r="C320" s="1" t="s">
        <v>34</v>
      </c>
      <c r="D320" s="1" t="s">
        <v>42</v>
      </c>
      <c r="E320" s="1" t="s">
        <v>271</v>
      </c>
      <c r="F320" s="2">
        <v>46279</v>
      </c>
      <c r="G320" s="1" t="s">
        <v>272</v>
      </c>
      <c r="H320" s="3">
        <v>46279.416666666701</v>
      </c>
      <c r="I320" s="1" t="s">
        <v>38</v>
      </c>
      <c r="J320" s="2">
        <v>46279</v>
      </c>
      <c r="K320" s="3">
        <v>46279.416666666701</v>
      </c>
      <c r="L320" s="1" t="s">
        <v>39</v>
      </c>
      <c r="M320" s="1" t="s">
        <v>40</v>
      </c>
      <c r="N320" s="1" t="s">
        <v>41</v>
      </c>
      <c r="O320" s="1" t="s">
        <v>42</v>
      </c>
      <c r="Q320" s="1" t="s">
        <v>42</v>
      </c>
      <c r="R320" s="1" t="s">
        <v>240</v>
      </c>
      <c r="S320" s="1" t="s">
        <v>241</v>
      </c>
      <c r="T320" s="4">
        <v>6.3</v>
      </c>
      <c r="U320" s="4">
        <v>6.3</v>
      </c>
      <c r="V320" s="4">
        <v>6.3</v>
      </c>
      <c r="Z320" s="1" t="s">
        <v>42</v>
      </c>
      <c r="AD320" s="1" t="s">
        <v>42</v>
      </c>
      <c r="AF320" s="1" t="s">
        <v>42</v>
      </c>
    </row>
    <row r="321" spans="1:32" x14ac:dyDescent="0.25">
      <c r="A321" s="1" t="s">
        <v>32</v>
      </c>
      <c r="B321" s="1" t="s">
        <v>33</v>
      </c>
      <c r="C321" s="1" t="s">
        <v>34</v>
      </c>
      <c r="D321" s="1" t="s">
        <v>42</v>
      </c>
      <c r="E321" s="1" t="s">
        <v>271</v>
      </c>
      <c r="F321" s="2">
        <v>46279</v>
      </c>
      <c r="G321" s="1" t="s">
        <v>272</v>
      </c>
      <c r="H321" s="3">
        <v>46279.416666666701</v>
      </c>
      <c r="I321" s="1" t="s">
        <v>38</v>
      </c>
      <c r="J321" s="2">
        <v>46279</v>
      </c>
      <c r="K321" s="3">
        <v>46279.416666666701</v>
      </c>
      <c r="L321" s="1" t="s">
        <v>39</v>
      </c>
      <c r="M321" s="1" t="s">
        <v>40</v>
      </c>
      <c r="N321" s="1" t="s">
        <v>41</v>
      </c>
      <c r="O321" s="1" t="s">
        <v>42</v>
      </c>
      <c r="Q321" s="1" t="s">
        <v>42</v>
      </c>
      <c r="R321" s="1" t="s">
        <v>76</v>
      </c>
      <c r="S321" s="1" t="s">
        <v>77</v>
      </c>
      <c r="T321" s="4">
        <v>23.52</v>
      </c>
      <c r="U321" s="4">
        <v>23.52</v>
      </c>
      <c r="V321" s="4">
        <v>23.52</v>
      </c>
      <c r="Z321" s="1" t="s">
        <v>42</v>
      </c>
      <c r="AD321" s="1" t="s">
        <v>42</v>
      </c>
      <c r="AF321" s="1" t="s">
        <v>42</v>
      </c>
    </row>
    <row r="322" spans="1:32" x14ac:dyDescent="0.25">
      <c r="A322" s="1" t="s">
        <v>32</v>
      </c>
      <c r="B322" s="1" t="s">
        <v>33</v>
      </c>
      <c r="C322" s="1" t="s">
        <v>34</v>
      </c>
      <c r="D322" s="1" t="s">
        <v>42</v>
      </c>
      <c r="E322" s="1" t="s">
        <v>271</v>
      </c>
      <c r="F322" s="2">
        <v>46279</v>
      </c>
      <c r="G322" s="1" t="s">
        <v>272</v>
      </c>
      <c r="H322" s="3">
        <v>46279.416666666701</v>
      </c>
      <c r="I322" s="1" t="s">
        <v>38</v>
      </c>
      <c r="J322" s="2">
        <v>46279</v>
      </c>
      <c r="K322" s="3">
        <v>46279.416666666701</v>
      </c>
      <c r="L322" s="1" t="s">
        <v>39</v>
      </c>
      <c r="M322" s="1" t="s">
        <v>40</v>
      </c>
      <c r="N322" s="1" t="s">
        <v>41</v>
      </c>
      <c r="O322" s="1" t="s">
        <v>42</v>
      </c>
      <c r="Q322" s="1" t="s">
        <v>42</v>
      </c>
      <c r="R322" s="1" t="s">
        <v>78</v>
      </c>
      <c r="S322" s="1" t="s">
        <v>79</v>
      </c>
      <c r="T322" s="4">
        <v>42</v>
      </c>
      <c r="U322" s="4">
        <v>42</v>
      </c>
      <c r="V322" s="4">
        <v>42</v>
      </c>
      <c r="Z322" s="1" t="s">
        <v>42</v>
      </c>
      <c r="AD322" s="1" t="s">
        <v>42</v>
      </c>
      <c r="AF322" s="1" t="s">
        <v>42</v>
      </c>
    </row>
    <row r="323" spans="1:32" x14ac:dyDescent="0.25">
      <c r="A323" s="1" t="s">
        <v>32</v>
      </c>
      <c r="B323" s="1" t="s">
        <v>33</v>
      </c>
      <c r="C323" s="1" t="s">
        <v>34</v>
      </c>
      <c r="D323" s="1" t="s">
        <v>42</v>
      </c>
      <c r="E323" s="1" t="s">
        <v>271</v>
      </c>
      <c r="F323" s="2">
        <v>46279</v>
      </c>
      <c r="G323" s="1" t="s">
        <v>272</v>
      </c>
      <c r="H323" s="3">
        <v>46279.416666666701</v>
      </c>
      <c r="I323" s="1" t="s">
        <v>38</v>
      </c>
      <c r="J323" s="2">
        <v>46279</v>
      </c>
      <c r="K323" s="3">
        <v>46279.416666666701</v>
      </c>
      <c r="L323" s="1" t="s">
        <v>39</v>
      </c>
      <c r="M323" s="1" t="s">
        <v>40</v>
      </c>
      <c r="N323" s="1" t="s">
        <v>41</v>
      </c>
      <c r="O323" s="1" t="s">
        <v>42</v>
      </c>
      <c r="Q323" s="1" t="s">
        <v>42</v>
      </c>
      <c r="R323" s="1" t="s">
        <v>81</v>
      </c>
      <c r="S323" s="1" t="s">
        <v>82</v>
      </c>
      <c r="T323" s="4">
        <v>28.56</v>
      </c>
      <c r="U323" s="4">
        <v>28.56</v>
      </c>
      <c r="V323" s="4">
        <v>28.56</v>
      </c>
      <c r="Z323" s="1" t="s">
        <v>42</v>
      </c>
      <c r="AD323" s="1" t="s">
        <v>42</v>
      </c>
      <c r="AF323" s="1" t="s">
        <v>42</v>
      </c>
    </row>
    <row r="324" spans="1:32" x14ac:dyDescent="0.25">
      <c r="A324" s="1" t="s">
        <v>32</v>
      </c>
      <c r="B324" s="1" t="s">
        <v>33</v>
      </c>
      <c r="C324" s="1" t="s">
        <v>34</v>
      </c>
      <c r="D324" s="1" t="s">
        <v>42</v>
      </c>
      <c r="E324" s="1" t="s">
        <v>271</v>
      </c>
      <c r="F324" s="2">
        <v>46279</v>
      </c>
      <c r="G324" s="1" t="s">
        <v>272</v>
      </c>
      <c r="H324" s="3">
        <v>46279.416666666701</v>
      </c>
      <c r="I324" s="1" t="s">
        <v>38</v>
      </c>
      <c r="J324" s="2">
        <v>46279</v>
      </c>
      <c r="K324" s="3">
        <v>46279.416666666701</v>
      </c>
      <c r="L324" s="1" t="s">
        <v>39</v>
      </c>
      <c r="M324" s="1" t="s">
        <v>40</v>
      </c>
      <c r="N324" s="1" t="s">
        <v>41</v>
      </c>
      <c r="O324" s="1" t="s">
        <v>42</v>
      </c>
      <c r="Q324" s="1" t="s">
        <v>42</v>
      </c>
      <c r="R324" s="1" t="s">
        <v>83</v>
      </c>
      <c r="S324" s="1" t="s">
        <v>84</v>
      </c>
      <c r="T324" s="4">
        <v>21</v>
      </c>
      <c r="U324" s="4">
        <v>21</v>
      </c>
      <c r="V324" s="4">
        <v>21</v>
      </c>
      <c r="Z324" s="1" t="s">
        <v>42</v>
      </c>
      <c r="AD324" s="1" t="s">
        <v>42</v>
      </c>
      <c r="AF324" s="1" t="s">
        <v>42</v>
      </c>
    </row>
    <row r="325" spans="1:32" x14ac:dyDescent="0.25">
      <c r="A325" s="1" t="s">
        <v>32</v>
      </c>
      <c r="B325" s="1" t="s">
        <v>33</v>
      </c>
      <c r="C325" s="1" t="s">
        <v>34</v>
      </c>
      <c r="D325" s="1" t="s">
        <v>42</v>
      </c>
      <c r="E325" s="1" t="s">
        <v>271</v>
      </c>
      <c r="F325" s="2">
        <v>46279</v>
      </c>
      <c r="G325" s="1" t="s">
        <v>272</v>
      </c>
      <c r="H325" s="3">
        <v>46279.416666666701</v>
      </c>
      <c r="I325" s="1" t="s">
        <v>38</v>
      </c>
      <c r="J325" s="2">
        <v>46279</v>
      </c>
      <c r="K325" s="3">
        <v>46279.416666666701</v>
      </c>
      <c r="L325" s="1" t="s">
        <v>39</v>
      </c>
      <c r="M325" s="1" t="s">
        <v>40</v>
      </c>
      <c r="N325" s="1" t="s">
        <v>41</v>
      </c>
      <c r="O325" s="1" t="s">
        <v>42</v>
      </c>
      <c r="Q325" s="1" t="s">
        <v>42</v>
      </c>
      <c r="R325" s="1" t="s">
        <v>85</v>
      </c>
      <c r="S325" s="1" t="s">
        <v>86</v>
      </c>
      <c r="T325" s="4">
        <v>42</v>
      </c>
      <c r="U325" s="4">
        <v>42</v>
      </c>
      <c r="V325" s="4">
        <v>42</v>
      </c>
      <c r="Z325" s="1" t="s">
        <v>42</v>
      </c>
      <c r="AD325" s="1" t="s">
        <v>42</v>
      </c>
      <c r="AF325" s="1" t="s">
        <v>42</v>
      </c>
    </row>
    <row r="326" spans="1:32" x14ac:dyDescent="0.25">
      <c r="A326" s="1" t="s">
        <v>32</v>
      </c>
      <c r="B326" s="1" t="s">
        <v>33</v>
      </c>
      <c r="C326" s="1" t="s">
        <v>34</v>
      </c>
      <c r="D326" s="1" t="s">
        <v>42</v>
      </c>
      <c r="E326" s="1" t="s">
        <v>271</v>
      </c>
      <c r="F326" s="2">
        <v>46279</v>
      </c>
      <c r="G326" s="1" t="s">
        <v>272</v>
      </c>
      <c r="H326" s="3">
        <v>46279.416666666701</v>
      </c>
      <c r="I326" s="1" t="s">
        <v>38</v>
      </c>
      <c r="J326" s="2">
        <v>46279</v>
      </c>
      <c r="K326" s="3">
        <v>46279.416666666701</v>
      </c>
      <c r="L326" s="1" t="s">
        <v>39</v>
      </c>
      <c r="M326" s="1" t="s">
        <v>40</v>
      </c>
      <c r="N326" s="1" t="s">
        <v>41</v>
      </c>
      <c r="O326" s="1" t="s">
        <v>42</v>
      </c>
      <c r="Q326" s="1" t="s">
        <v>42</v>
      </c>
      <c r="R326" s="1" t="s">
        <v>87</v>
      </c>
      <c r="S326" s="1" t="s">
        <v>88</v>
      </c>
      <c r="T326" s="4">
        <v>3.2</v>
      </c>
      <c r="U326" s="4">
        <v>3.2</v>
      </c>
      <c r="V326" s="4">
        <v>3.2</v>
      </c>
      <c r="Z326" s="1" t="s">
        <v>42</v>
      </c>
      <c r="AD326" s="1" t="s">
        <v>42</v>
      </c>
      <c r="AF326" s="1" t="s">
        <v>42</v>
      </c>
    </row>
    <row r="327" spans="1:32" x14ac:dyDescent="0.25">
      <c r="A327" s="1" t="s">
        <v>32</v>
      </c>
      <c r="B327" s="1" t="s">
        <v>33</v>
      </c>
      <c r="C327" s="1" t="s">
        <v>34</v>
      </c>
      <c r="D327" s="1" t="s">
        <v>42</v>
      </c>
      <c r="E327" s="1" t="s">
        <v>271</v>
      </c>
      <c r="F327" s="2">
        <v>46279</v>
      </c>
      <c r="G327" s="1" t="s">
        <v>272</v>
      </c>
      <c r="H327" s="3">
        <v>46279.416666666701</v>
      </c>
      <c r="I327" s="1" t="s">
        <v>38</v>
      </c>
      <c r="J327" s="2">
        <v>46279</v>
      </c>
      <c r="K327" s="3">
        <v>46279.416666666701</v>
      </c>
      <c r="L327" s="1" t="s">
        <v>39</v>
      </c>
      <c r="M327" s="1" t="s">
        <v>40</v>
      </c>
      <c r="N327" s="1" t="s">
        <v>41</v>
      </c>
      <c r="O327" s="1" t="s">
        <v>42</v>
      </c>
      <c r="Q327" s="1" t="s">
        <v>42</v>
      </c>
      <c r="R327" s="1" t="s">
        <v>89</v>
      </c>
      <c r="S327" s="1" t="s">
        <v>90</v>
      </c>
      <c r="T327" s="4">
        <v>8.4</v>
      </c>
      <c r="U327" s="4">
        <v>8.4</v>
      </c>
      <c r="V327" s="4">
        <v>8.4</v>
      </c>
      <c r="Z327" s="1" t="s">
        <v>42</v>
      </c>
      <c r="AD327" s="1" t="s">
        <v>42</v>
      </c>
      <c r="AF327" s="1" t="s">
        <v>42</v>
      </c>
    </row>
    <row r="328" spans="1:32" x14ac:dyDescent="0.25">
      <c r="A328" s="1" t="s">
        <v>32</v>
      </c>
      <c r="B328" s="1" t="s">
        <v>33</v>
      </c>
      <c r="C328" s="1" t="s">
        <v>34</v>
      </c>
      <c r="D328" s="1" t="s">
        <v>42</v>
      </c>
      <c r="E328" s="1" t="s">
        <v>271</v>
      </c>
      <c r="F328" s="2">
        <v>46279</v>
      </c>
      <c r="G328" s="1" t="s">
        <v>272</v>
      </c>
      <c r="H328" s="3">
        <v>46279.416666666701</v>
      </c>
      <c r="I328" s="1" t="s">
        <v>38</v>
      </c>
      <c r="J328" s="2">
        <v>46279</v>
      </c>
      <c r="K328" s="3">
        <v>46279.416666666701</v>
      </c>
      <c r="L328" s="1" t="s">
        <v>39</v>
      </c>
      <c r="M328" s="1" t="s">
        <v>40</v>
      </c>
      <c r="N328" s="1" t="s">
        <v>41</v>
      </c>
      <c r="O328" s="1" t="s">
        <v>42</v>
      </c>
      <c r="Q328" s="1" t="s">
        <v>42</v>
      </c>
      <c r="R328" s="1" t="s">
        <v>91</v>
      </c>
      <c r="S328" s="1" t="s">
        <v>92</v>
      </c>
      <c r="T328" s="4">
        <v>18</v>
      </c>
      <c r="W328" s="4">
        <v>-18</v>
      </c>
      <c r="X328" s="1" t="s">
        <v>93</v>
      </c>
      <c r="Z328" s="1" t="s">
        <v>42</v>
      </c>
      <c r="AD328" s="1" t="s">
        <v>42</v>
      </c>
      <c r="AF328" s="1" t="s">
        <v>42</v>
      </c>
    </row>
    <row r="329" spans="1:32" x14ac:dyDescent="0.25">
      <c r="A329" s="1" t="s">
        <v>32</v>
      </c>
      <c r="B329" s="1" t="s">
        <v>33</v>
      </c>
      <c r="C329" s="1" t="s">
        <v>34</v>
      </c>
      <c r="D329" s="1" t="s">
        <v>42</v>
      </c>
      <c r="E329" s="1" t="s">
        <v>271</v>
      </c>
      <c r="F329" s="2">
        <v>46279</v>
      </c>
      <c r="G329" s="1" t="s">
        <v>272</v>
      </c>
      <c r="H329" s="3">
        <v>46279.416666666701</v>
      </c>
      <c r="I329" s="1" t="s">
        <v>38</v>
      </c>
      <c r="J329" s="2">
        <v>46279</v>
      </c>
      <c r="K329" s="3">
        <v>46279.416666666701</v>
      </c>
      <c r="L329" s="1" t="s">
        <v>39</v>
      </c>
      <c r="M329" s="1" t="s">
        <v>40</v>
      </c>
      <c r="N329" s="1" t="s">
        <v>41</v>
      </c>
      <c r="O329" s="1" t="s">
        <v>42</v>
      </c>
      <c r="Q329" s="1" t="s">
        <v>42</v>
      </c>
      <c r="R329" s="1" t="s">
        <v>94</v>
      </c>
      <c r="S329" s="1" t="s">
        <v>95</v>
      </c>
      <c r="T329" s="4">
        <v>8</v>
      </c>
      <c r="U329" s="4">
        <v>8</v>
      </c>
      <c r="V329" s="4">
        <v>8</v>
      </c>
      <c r="Z329" s="1" t="s">
        <v>42</v>
      </c>
      <c r="AD329" s="1" t="s">
        <v>42</v>
      </c>
      <c r="AF329" s="1" t="s">
        <v>42</v>
      </c>
    </row>
    <row r="330" spans="1:32" x14ac:dyDescent="0.25">
      <c r="A330" s="1" t="s">
        <v>32</v>
      </c>
      <c r="B330" s="1" t="s">
        <v>33</v>
      </c>
      <c r="C330" s="1" t="s">
        <v>34</v>
      </c>
      <c r="D330" s="1" t="s">
        <v>42</v>
      </c>
      <c r="E330" s="1" t="s">
        <v>271</v>
      </c>
      <c r="F330" s="2">
        <v>46279</v>
      </c>
      <c r="G330" s="1" t="s">
        <v>272</v>
      </c>
      <c r="H330" s="3">
        <v>46279.416666666701</v>
      </c>
      <c r="I330" s="1" t="s">
        <v>38</v>
      </c>
      <c r="J330" s="2">
        <v>46279</v>
      </c>
      <c r="K330" s="3">
        <v>46279.416666666701</v>
      </c>
      <c r="L330" s="1" t="s">
        <v>39</v>
      </c>
      <c r="M330" s="1" t="s">
        <v>40</v>
      </c>
      <c r="N330" s="1" t="s">
        <v>41</v>
      </c>
      <c r="O330" s="1" t="s">
        <v>42</v>
      </c>
      <c r="Q330" s="1" t="s">
        <v>42</v>
      </c>
      <c r="R330" s="1" t="s">
        <v>96</v>
      </c>
      <c r="S330" s="1" t="s">
        <v>97</v>
      </c>
      <c r="T330" s="4">
        <v>60.9</v>
      </c>
      <c r="W330" s="4">
        <v>-60.9</v>
      </c>
      <c r="X330" s="1" t="s">
        <v>67</v>
      </c>
      <c r="Y330" s="1" t="s">
        <v>68</v>
      </c>
      <c r="Z330" s="1" t="s">
        <v>42</v>
      </c>
      <c r="AD330" s="1" t="s">
        <v>42</v>
      </c>
      <c r="AF330" s="1" t="s">
        <v>42</v>
      </c>
    </row>
    <row r="331" spans="1:32" x14ac:dyDescent="0.25">
      <c r="A331" s="1" t="s">
        <v>32</v>
      </c>
      <c r="B331" s="1" t="s">
        <v>33</v>
      </c>
      <c r="C331" s="1" t="s">
        <v>34</v>
      </c>
      <c r="D331" s="1" t="s">
        <v>42</v>
      </c>
      <c r="E331" s="1" t="s">
        <v>271</v>
      </c>
      <c r="F331" s="2">
        <v>46279</v>
      </c>
      <c r="G331" s="1" t="s">
        <v>272</v>
      </c>
      <c r="H331" s="3">
        <v>46279.416666666701</v>
      </c>
      <c r="I331" s="1" t="s">
        <v>38</v>
      </c>
      <c r="J331" s="2">
        <v>46279</v>
      </c>
      <c r="K331" s="3">
        <v>46279.416666666701</v>
      </c>
      <c r="L331" s="1" t="s">
        <v>39</v>
      </c>
      <c r="M331" s="1" t="s">
        <v>40</v>
      </c>
      <c r="N331" s="1" t="s">
        <v>41</v>
      </c>
      <c r="O331" s="1" t="s">
        <v>42</v>
      </c>
      <c r="Q331" s="1" t="s">
        <v>42</v>
      </c>
      <c r="R331" s="1" t="s">
        <v>98</v>
      </c>
      <c r="S331" s="1" t="s">
        <v>99</v>
      </c>
      <c r="T331" s="4">
        <v>2.52</v>
      </c>
      <c r="W331" s="4">
        <v>-2.52</v>
      </c>
      <c r="X331" s="1" t="s">
        <v>273</v>
      </c>
      <c r="Y331" s="1" t="s">
        <v>274</v>
      </c>
      <c r="Z331" s="1" t="s">
        <v>42</v>
      </c>
      <c r="AD331" s="1" t="s">
        <v>42</v>
      </c>
      <c r="AF331" s="1" t="s">
        <v>42</v>
      </c>
    </row>
    <row r="332" spans="1:32" x14ac:dyDescent="0.25">
      <c r="A332" s="1" t="s">
        <v>32</v>
      </c>
      <c r="B332" s="1" t="s">
        <v>33</v>
      </c>
      <c r="C332" s="1" t="s">
        <v>34</v>
      </c>
      <c r="D332" s="1" t="s">
        <v>42</v>
      </c>
      <c r="E332" s="1" t="s">
        <v>271</v>
      </c>
      <c r="F332" s="2">
        <v>46279</v>
      </c>
      <c r="G332" s="1" t="s">
        <v>272</v>
      </c>
      <c r="H332" s="3">
        <v>46279.416666666701</v>
      </c>
      <c r="I332" s="1" t="s">
        <v>38</v>
      </c>
      <c r="J332" s="2">
        <v>46279</v>
      </c>
      <c r="K332" s="3">
        <v>46279.416666666701</v>
      </c>
      <c r="L332" s="1" t="s">
        <v>39</v>
      </c>
      <c r="M332" s="1" t="s">
        <v>40</v>
      </c>
      <c r="N332" s="1" t="s">
        <v>41</v>
      </c>
      <c r="O332" s="1" t="s">
        <v>42</v>
      </c>
      <c r="Q332" s="1" t="s">
        <v>42</v>
      </c>
      <c r="R332" s="1" t="s">
        <v>100</v>
      </c>
      <c r="S332" s="1" t="s">
        <v>101</v>
      </c>
      <c r="T332" s="4">
        <v>3.78</v>
      </c>
      <c r="W332" s="4">
        <v>-3.78</v>
      </c>
      <c r="X332" s="1" t="s">
        <v>273</v>
      </c>
      <c r="Y332" s="1" t="s">
        <v>274</v>
      </c>
      <c r="Z332" s="1" t="s">
        <v>42</v>
      </c>
      <c r="AD332" s="1" t="s">
        <v>42</v>
      </c>
      <c r="AF332" s="1" t="s">
        <v>42</v>
      </c>
    </row>
    <row r="333" spans="1:32" x14ac:dyDescent="0.25">
      <c r="A333" s="1" t="s">
        <v>32</v>
      </c>
      <c r="B333" s="1" t="s">
        <v>33</v>
      </c>
      <c r="C333" s="1" t="s">
        <v>34</v>
      </c>
      <c r="D333" s="1" t="s">
        <v>42</v>
      </c>
      <c r="E333" s="1" t="s">
        <v>271</v>
      </c>
      <c r="F333" s="2">
        <v>46279</v>
      </c>
      <c r="G333" s="1" t="s">
        <v>272</v>
      </c>
      <c r="H333" s="3">
        <v>46279.416666666701</v>
      </c>
      <c r="I333" s="1" t="s">
        <v>38</v>
      </c>
      <c r="J333" s="2">
        <v>46279</v>
      </c>
      <c r="K333" s="3">
        <v>46279.416666666701</v>
      </c>
      <c r="L333" s="1" t="s">
        <v>39</v>
      </c>
      <c r="M333" s="1" t="s">
        <v>40</v>
      </c>
      <c r="N333" s="1" t="s">
        <v>41</v>
      </c>
      <c r="O333" s="1" t="s">
        <v>42</v>
      </c>
      <c r="Q333" s="1" t="s">
        <v>42</v>
      </c>
      <c r="R333" s="1" t="s">
        <v>104</v>
      </c>
      <c r="S333" s="1" t="s">
        <v>105</v>
      </c>
      <c r="T333" s="4">
        <v>54</v>
      </c>
      <c r="W333" s="4">
        <v>-54</v>
      </c>
      <c r="X333" s="1" t="s">
        <v>67</v>
      </c>
      <c r="Y333" s="1" t="s">
        <v>68</v>
      </c>
      <c r="Z333" s="1" t="s">
        <v>42</v>
      </c>
      <c r="AD333" s="1" t="s">
        <v>42</v>
      </c>
      <c r="AF333" s="1" t="s">
        <v>42</v>
      </c>
    </row>
    <row r="334" spans="1:32" x14ac:dyDescent="0.25">
      <c r="A334" s="1" t="s">
        <v>32</v>
      </c>
      <c r="B334" s="1" t="s">
        <v>33</v>
      </c>
      <c r="C334" s="1" t="s">
        <v>34</v>
      </c>
      <c r="D334" s="1" t="s">
        <v>42</v>
      </c>
      <c r="E334" s="1" t="s">
        <v>271</v>
      </c>
      <c r="F334" s="2">
        <v>46279</v>
      </c>
      <c r="G334" s="1" t="s">
        <v>272</v>
      </c>
      <c r="H334" s="3">
        <v>46279.416666666701</v>
      </c>
      <c r="I334" s="1" t="s">
        <v>38</v>
      </c>
      <c r="J334" s="2">
        <v>46279</v>
      </c>
      <c r="K334" s="3">
        <v>46279.416666666701</v>
      </c>
      <c r="L334" s="1" t="s">
        <v>39</v>
      </c>
      <c r="M334" s="1" t="s">
        <v>40</v>
      </c>
      <c r="N334" s="1" t="s">
        <v>41</v>
      </c>
      <c r="O334" s="1" t="s">
        <v>42</v>
      </c>
      <c r="Q334" s="1" t="s">
        <v>42</v>
      </c>
      <c r="R334" s="1" t="s">
        <v>106</v>
      </c>
      <c r="S334" s="1" t="s">
        <v>107</v>
      </c>
      <c r="T334" s="4">
        <v>81</v>
      </c>
      <c r="U334" s="4">
        <v>81</v>
      </c>
      <c r="V334" s="4">
        <v>81</v>
      </c>
      <c r="Z334" s="1" t="s">
        <v>42</v>
      </c>
      <c r="AD334" s="1" t="s">
        <v>42</v>
      </c>
      <c r="AF334" s="1" t="s">
        <v>42</v>
      </c>
    </row>
    <row r="335" spans="1:32" x14ac:dyDescent="0.25">
      <c r="A335" s="1" t="s">
        <v>32</v>
      </c>
      <c r="B335" s="1" t="s">
        <v>33</v>
      </c>
      <c r="C335" s="1" t="s">
        <v>34</v>
      </c>
      <c r="D335" s="1" t="s">
        <v>42</v>
      </c>
      <c r="E335" s="1" t="s">
        <v>271</v>
      </c>
      <c r="F335" s="2">
        <v>46279</v>
      </c>
      <c r="G335" s="1" t="s">
        <v>272</v>
      </c>
      <c r="H335" s="3">
        <v>46279.416666666701</v>
      </c>
      <c r="I335" s="1" t="s">
        <v>38</v>
      </c>
      <c r="J335" s="2">
        <v>46279</v>
      </c>
      <c r="K335" s="3">
        <v>46279.416666666701</v>
      </c>
      <c r="L335" s="1" t="s">
        <v>39</v>
      </c>
      <c r="M335" s="1" t="s">
        <v>40</v>
      </c>
      <c r="N335" s="1" t="s">
        <v>41</v>
      </c>
      <c r="O335" s="1" t="s">
        <v>42</v>
      </c>
      <c r="Q335" s="1" t="s">
        <v>42</v>
      </c>
      <c r="R335" s="1" t="s">
        <v>108</v>
      </c>
      <c r="S335" s="1" t="s">
        <v>109</v>
      </c>
      <c r="T335" s="4">
        <v>21.6</v>
      </c>
      <c r="W335" s="4">
        <v>-21.6</v>
      </c>
      <c r="X335" s="1" t="s">
        <v>67</v>
      </c>
      <c r="Y335" s="1" t="s">
        <v>68</v>
      </c>
      <c r="Z335" s="1" t="s">
        <v>42</v>
      </c>
      <c r="AD335" s="1" t="s">
        <v>42</v>
      </c>
      <c r="AF335" s="1" t="s">
        <v>42</v>
      </c>
    </row>
    <row r="336" spans="1:32" x14ac:dyDescent="0.25">
      <c r="A336" s="1" t="s">
        <v>32</v>
      </c>
      <c r="B336" s="1" t="s">
        <v>33</v>
      </c>
      <c r="C336" s="1" t="s">
        <v>34</v>
      </c>
      <c r="D336" s="1" t="s">
        <v>42</v>
      </c>
      <c r="E336" s="1" t="s">
        <v>271</v>
      </c>
      <c r="F336" s="2">
        <v>46279</v>
      </c>
      <c r="G336" s="1" t="s">
        <v>272</v>
      </c>
      <c r="H336" s="3">
        <v>46279.416666666701</v>
      </c>
      <c r="I336" s="1" t="s">
        <v>38</v>
      </c>
      <c r="J336" s="2">
        <v>46279</v>
      </c>
      <c r="K336" s="3">
        <v>46279.416666666701</v>
      </c>
      <c r="L336" s="1" t="s">
        <v>39</v>
      </c>
      <c r="M336" s="1" t="s">
        <v>40</v>
      </c>
      <c r="N336" s="1" t="s">
        <v>41</v>
      </c>
      <c r="O336" s="1" t="s">
        <v>42</v>
      </c>
      <c r="Q336" s="1" t="s">
        <v>42</v>
      </c>
      <c r="R336" s="1" t="s">
        <v>110</v>
      </c>
      <c r="S336" s="1" t="s">
        <v>111</v>
      </c>
      <c r="T336" s="4">
        <v>9</v>
      </c>
      <c r="U336" s="4">
        <v>9</v>
      </c>
      <c r="V336" s="4">
        <v>9</v>
      </c>
      <c r="Z336" s="1" t="s">
        <v>42</v>
      </c>
      <c r="AD336" s="1" t="s">
        <v>42</v>
      </c>
      <c r="AF336" s="1" t="s">
        <v>42</v>
      </c>
    </row>
    <row r="337" spans="1:32" x14ac:dyDescent="0.25">
      <c r="A337" s="1" t="s">
        <v>32</v>
      </c>
      <c r="B337" s="1" t="s">
        <v>33</v>
      </c>
      <c r="C337" s="1" t="s">
        <v>34</v>
      </c>
      <c r="D337" s="1" t="s">
        <v>42</v>
      </c>
      <c r="E337" s="1" t="s">
        <v>271</v>
      </c>
      <c r="F337" s="2">
        <v>46279</v>
      </c>
      <c r="G337" s="1" t="s">
        <v>272</v>
      </c>
      <c r="H337" s="3">
        <v>46279.416666666701</v>
      </c>
      <c r="I337" s="1" t="s">
        <v>38</v>
      </c>
      <c r="J337" s="2">
        <v>46279</v>
      </c>
      <c r="K337" s="3">
        <v>46279.416666666701</v>
      </c>
      <c r="L337" s="1" t="s">
        <v>39</v>
      </c>
      <c r="M337" s="1" t="s">
        <v>40</v>
      </c>
      <c r="N337" s="1" t="s">
        <v>41</v>
      </c>
      <c r="O337" s="1" t="s">
        <v>42</v>
      </c>
      <c r="Q337" s="1" t="s">
        <v>42</v>
      </c>
      <c r="R337" s="1" t="s">
        <v>112</v>
      </c>
      <c r="S337" s="1" t="s">
        <v>113</v>
      </c>
      <c r="T337" s="4">
        <v>9</v>
      </c>
      <c r="W337" s="4">
        <v>-9</v>
      </c>
      <c r="X337" s="1" t="s">
        <v>67</v>
      </c>
      <c r="Y337" s="1" t="s">
        <v>68</v>
      </c>
      <c r="Z337" s="1" t="s">
        <v>42</v>
      </c>
      <c r="AD337" s="1" t="s">
        <v>42</v>
      </c>
      <c r="AF337" s="1" t="s">
        <v>42</v>
      </c>
    </row>
    <row r="338" spans="1:32" x14ac:dyDescent="0.25">
      <c r="A338" s="1" t="s">
        <v>32</v>
      </c>
      <c r="B338" s="1" t="s">
        <v>33</v>
      </c>
      <c r="C338" s="1" t="s">
        <v>34</v>
      </c>
      <c r="D338" s="1" t="s">
        <v>42</v>
      </c>
      <c r="E338" s="1" t="s">
        <v>271</v>
      </c>
      <c r="F338" s="2">
        <v>46279</v>
      </c>
      <c r="G338" s="1" t="s">
        <v>272</v>
      </c>
      <c r="H338" s="3">
        <v>46279.416666666701</v>
      </c>
      <c r="I338" s="1" t="s">
        <v>38</v>
      </c>
      <c r="J338" s="2">
        <v>46279</v>
      </c>
      <c r="K338" s="3">
        <v>46279.416666666701</v>
      </c>
      <c r="L338" s="1" t="s">
        <v>39</v>
      </c>
      <c r="M338" s="1" t="s">
        <v>40</v>
      </c>
      <c r="N338" s="1" t="s">
        <v>41</v>
      </c>
      <c r="O338" s="1" t="s">
        <v>42</v>
      </c>
      <c r="Q338" s="1" t="s">
        <v>42</v>
      </c>
      <c r="R338" s="1" t="s">
        <v>114</v>
      </c>
      <c r="S338" s="1" t="s">
        <v>115</v>
      </c>
      <c r="T338" s="4">
        <v>16.2</v>
      </c>
      <c r="U338" s="4">
        <v>16.2</v>
      </c>
      <c r="V338" s="4">
        <v>16.2</v>
      </c>
      <c r="Z338" s="1" t="s">
        <v>42</v>
      </c>
      <c r="AD338" s="1" t="s">
        <v>42</v>
      </c>
      <c r="AF338" s="1" t="s">
        <v>42</v>
      </c>
    </row>
    <row r="339" spans="1:32" x14ac:dyDescent="0.25">
      <c r="A339" s="1" t="s">
        <v>32</v>
      </c>
      <c r="B339" s="1" t="s">
        <v>33</v>
      </c>
      <c r="C339" s="1" t="s">
        <v>34</v>
      </c>
      <c r="D339" s="1" t="s">
        <v>42</v>
      </c>
      <c r="E339" s="1" t="s">
        <v>271</v>
      </c>
      <c r="F339" s="2">
        <v>46279</v>
      </c>
      <c r="G339" s="1" t="s">
        <v>272</v>
      </c>
      <c r="H339" s="3">
        <v>46279.416666666701</v>
      </c>
      <c r="I339" s="1" t="s">
        <v>38</v>
      </c>
      <c r="J339" s="2">
        <v>46279</v>
      </c>
      <c r="K339" s="3">
        <v>46279.416666666701</v>
      </c>
      <c r="L339" s="1" t="s">
        <v>39</v>
      </c>
      <c r="M339" s="1" t="s">
        <v>40</v>
      </c>
      <c r="N339" s="1" t="s">
        <v>41</v>
      </c>
      <c r="O339" s="1" t="s">
        <v>42</v>
      </c>
      <c r="Q339" s="1" t="s">
        <v>42</v>
      </c>
      <c r="R339" s="1" t="s">
        <v>116</v>
      </c>
      <c r="S339" s="1" t="s">
        <v>117</v>
      </c>
      <c r="T339" s="4">
        <v>24.3</v>
      </c>
      <c r="U339" s="4">
        <v>24.3</v>
      </c>
      <c r="V339" s="4">
        <v>24.3</v>
      </c>
      <c r="Z339" s="1" t="s">
        <v>42</v>
      </c>
      <c r="AD339" s="1" t="s">
        <v>42</v>
      </c>
      <c r="AF339" s="1" t="s">
        <v>42</v>
      </c>
    </row>
    <row r="340" spans="1:32" x14ac:dyDescent="0.25">
      <c r="A340" s="1" t="s">
        <v>32</v>
      </c>
      <c r="B340" s="1" t="s">
        <v>33</v>
      </c>
      <c r="C340" s="1" t="s">
        <v>34</v>
      </c>
      <c r="D340" s="1" t="s">
        <v>42</v>
      </c>
      <c r="E340" s="1" t="s">
        <v>271</v>
      </c>
      <c r="F340" s="2">
        <v>46279</v>
      </c>
      <c r="G340" s="1" t="s">
        <v>272</v>
      </c>
      <c r="H340" s="3">
        <v>46279.416666666701</v>
      </c>
      <c r="I340" s="1" t="s">
        <v>38</v>
      </c>
      <c r="J340" s="2">
        <v>46279</v>
      </c>
      <c r="K340" s="3">
        <v>46279.416666666701</v>
      </c>
      <c r="L340" s="1" t="s">
        <v>39</v>
      </c>
      <c r="M340" s="1" t="s">
        <v>40</v>
      </c>
      <c r="N340" s="1" t="s">
        <v>41</v>
      </c>
      <c r="O340" s="1" t="s">
        <v>42</v>
      </c>
      <c r="Q340" s="1" t="s">
        <v>42</v>
      </c>
      <c r="R340" s="1" t="s">
        <v>118</v>
      </c>
      <c r="S340" s="1" t="s">
        <v>119</v>
      </c>
      <c r="T340" s="4">
        <v>243</v>
      </c>
      <c r="U340" s="4">
        <v>243</v>
      </c>
      <c r="V340" s="4">
        <v>243</v>
      </c>
      <c r="Z340" s="1" t="s">
        <v>42</v>
      </c>
      <c r="AD340" s="1" t="s">
        <v>42</v>
      </c>
      <c r="AF340" s="1" t="s">
        <v>42</v>
      </c>
    </row>
    <row r="341" spans="1:32" x14ac:dyDescent="0.25">
      <c r="A341" s="1" t="s">
        <v>32</v>
      </c>
      <c r="B341" s="1" t="s">
        <v>33</v>
      </c>
      <c r="C341" s="1" t="s">
        <v>34</v>
      </c>
      <c r="D341" s="1" t="s">
        <v>42</v>
      </c>
      <c r="E341" s="1" t="s">
        <v>271</v>
      </c>
      <c r="F341" s="2">
        <v>46279</v>
      </c>
      <c r="G341" s="1" t="s">
        <v>272</v>
      </c>
      <c r="H341" s="3">
        <v>46279.416666666701</v>
      </c>
      <c r="I341" s="1" t="s">
        <v>38</v>
      </c>
      <c r="J341" s="2">
        <v>46279</v>
      </c>
      <c r="K341" s="3">
        <v>46279.416666666701</v>
      </c>
      <c r="L341" s="1" t="s">
        <v>39</v>
      </c>
      <c r="M341" s="1" t="s">
        <v>40</v>
      </c>
      <c r="N341" s="1" t="s">
        <v>41</v>
      </c>
      <c r="O341" s="1" t="s">
        <v>42</v>
      </c>
      <c r="Q341" s="1" t="s">
        <v>42</v>
      </c>
      <c r="R341" s="1" t="s">
        <v>120</v>
      </c>
      <c r="S341" s="1" t="s">
        <v>121</v>
      </c>
      <c r="T341" s="4">
        <v>26.1</v>
      </c>
      <c r="U341" s="4">
        <v>26.1</v>
      </c>
      <c r="V341" s="4">
        <v>26.1</v>
      </c>
      <c r="Z341" s="1" t="s">
        <v>42</v>
      </c>
      <c r="AD341" s="1" t="s">
        <v>42</v>
      </c>
      <c r="AF341" s="1" t="s">
        <v>42</v>
      </c>
    </row>
    <row r="342" spans="1:32" x14ac:dyDescent="0.25">
      <c r="A342" s="1" t="s">
        <v>32</v>
      </c>
      <c r="B342" s="1" t="s">
        <v>33</v>
      </c>
      <c r="C342" s="1" t="s">
        <v>34</v>
      </c>
      <c r="D342" s="1" t="s">
        <v>42</v>
      </c>
      <c r="E342" s="1" t="s">
        <v>271</v>
      </c>
      <c r="F342" s="2">
        <v>46279</v>
      </c>
      <c r="G342" s="1" t="s">
        <v>272</v>
      </c>
      <c r="H342" s="3">
        <v>46279.416666666701</v>
      </c>
      <c r="I342" s="1" t="s">
        <v>38</v>
      </c>
      <c r="J342" s="2">
        <v>46279</v>
      </c>
      <c r="K342" s="3">
        <v>46279.416666666701</v>
      </c>
      <c r="L342" s="1" t="s">
        <v>39</v>
      </c>
      <c r="M342" s="1" t="s">
        <v>40</v>
      </c>
      <c r="N342" s="1" t="s">
        <v>41</v>
      </c>
      <c r="O342" s="1" t="s">
        <v>42</v>
      </c>
      <c r="Q342" s="1" t="s">
        <v>42</v>
      </c>
      <c r="R342" s="1" t="s">
        <v>212</v>
      </c>
      <c r="S342" s="1" t="s">
        <v>213</v>
      </c>
      <c r="T342" s="4">
        <v>100.8</v>
      </c>
      <c r="U342" s="4">
        <v>100.8</v>
      </c>
      <c r="V342" s="4">
        <v>100.8</v>
      </c>
      <c r="Z342" s="1" t="s">
        <v>42</v>
      </c>
      <c r="AD342" s="1" t="s">
        <v>42</v>
      </c>
      <c r="AF342" s="1" t="s">
        <v>42</v>
      </c>
    </row>
    <row r="343" spans="1:32" x14ac:dyDescent="0.25">
      <c r="A343" s="1" t="s">
        <v>32</v>
      </c>
      <c r="B343" s="1" t="s">
        <v>33</v>
      </c>
      <c r="C343" s="1" t="s">
        <v>34</v>
      </c>
      <c r="D343" s="1" t="s">
        <v>42</v>
      </c>
      <c r="E343" s="1" t="s">
        <v>271</v>
      </c>
      <c r="F343" s="2">
        <v>46279</v>
      </c>
      <c r="G343" s="1" t="s">
        <v>272</v>
      </c>
      <c r="H343" s="3">
        <v>46279.416666666701</v>
      </c>
      <c r="I343" s="1" t="s">
        <v>38</v>
      </c>
      <c r="J343" s="2">
        <v>46279</v>
      </c>
      <c r="K343" s="3">
        <v>46279.416666666701</v>
      </c>
      <c r="L343" s="1" t="s">
        <v>39</v>
      </c>
      <c r="M343" s="1" t="s">
        <v>40</v>
      </c>
      <c r="N343" s="1" t="s">
        <v>41</v>
      </c>
      <c r="O343" s="1" t="s">
        <v>42</v>
      </c>
      <c r="Q343" s="1" t="s">
        <v>42</v>
      </c>
      <c r="R343" s="1" t="s">
        <v>122</v>
      </c>
      <c r="S343" s="1" t="s">
        <v>123</v>
      </c>
      <c r="T343" s="4">
        <v>81.599999999999994</v>
      </c>
      <c r="U343" s="4">
        <v>81.599999999999994</v>
      </c>
      <c r="V343" s="4">
        <v>81.599999999999994</v>
      </c>
      <c r="Z343" s="1" t="s">
        <v>42</v>
      </c>
      <c r="AD343" s="1" t="s">
        <v>42</v>
      </c>
      <c r="AF343" s="1" t="s">
        <v>42</v>
      </c>
    </row>
    <row r="344" spans="1:32" x14ac:dyDescent="0.25">
      <c r="A344" s="1" t="s">
        <v>32</v>
      </c>
      <c r="B344" s="1" t="s">
        <v>33</v>
      </c>
      <c r="C344" s="1" t="s">
        <v>34</v>
      </c>
      <c r="D344" s="1" t="s">
        <v>42</v>
      </c>
      <c r="E344" s="1" t="s">
        <v>271</v>
      </c>
      <c r="F344" s="2">
        <v>46279</v>
      </c>
      <c r="G344" s="1" t="s">
        <v>272</v>
      </c>
      <c r="H344" s="3">
        <v>46279.416666666701</v>
      </c>
      <c r="I344" s="1" t="s">
        <v>38</v>
      </c>
      <c r="J344" s="2">
        <v>46279</v>
      </c>
      <c r="K344" s="3">
        <v>46279.416666666701</v>
      </c>
      <c r="L344" s="1" t="s">
        <v>39</v>
      </c>
      <c r="M344" s="1" t="s">
        <v>40</v>
      </c>
      <c r="N344" s="1" t="s">
        <v>41</v>
      </c>
      <c r="O344" s="1" t="s">
        <v>42</v>
      </c>
      <c r="Q344" s="1" t="s">
        <v>42</v>
      </c>
      <c r="R344" s="1" t="s">
        <v>124</v>
      </c>
      <c r="S344" s="1" t="s">
        <v>125</v>
      </c>
      <c r="T344" s="4">
        <v>24</v>
      </c>
      <c r="U344" s="4">
        <v>24</v>
      </c>
      <c r="V344" s="4">
        <v>24</v>
      </c>
      <c r="Z344" s="1" t="s">
        <v>42</v>
      </c>
      <c r="AD344" s="1" t="s">
        <v>42</v>
      </c>
      <c r="AF344" s="1" t="s">
        <v>42</v>
      </c>
    </row>
    <row r="345" spans="1:32" x14ac:dyDescent="0.25">
      <c r="A345" s="1" t="s">
        <v>32</v>
      </c>
      <c r="B345" s="1" t="s">
        <v>33</v>
      </c>
      <c r="C345" s="1" t="s">
        <v>34</v>
      </c>
      <c r="D345" s="1" t="s">
        <v>42</v>
      </c>
      <c r="E345" s="1" t="s">
        <v>271</v>
      </c>
      <c r="F345" s="2">
        <v>46279</v>
      </c>
      <c r="G345" s="1" t="s">
        <v>272</v>
      </c>
      <c r="H345" s="3">
        <v>46279.416666666701</v>
      </c>
      <c r="I345" s="1" t="s">
        <v>38</v>
      </c>
      <c r="J345" s="2">
        <v>46279</v>
      </c>
      <c r="K345" s="3">
        <v>46279.416666666701</v>
      </c>
      <c r="L345" s="1" t="s">
        <v>39</v>
      </c>
      <c r="M345" s="1" t="s">
        <v>40</v>
      </c>
      <c r="N345" s="1" t="s">
        <v>41</v>
      </c>
      <c r="O345" s="1" t="s">
        <v>42</v>
      </c>
      <c r="Q345" s="1" t="s">
        <v>42</v>
      </c>
      <c r="R345" s="1" t="s">
        <v>126</v>
      </c>
      <c r="S345" s="1" t="s">
        <v>127</v>
      </c>
      <c r="T345" s="4">
        <v>60</v>
      </c>
      <c r="U345" s="4">
        <v>60</v>
      </c>
      <c r="V345" s="4">
        <v>60</v>
      </c>
      <c r="Z345" s="1" t="s">
        <v>42</v>
      </c>
      <c r="AD345" s="1" t="s">
        <v>42</v>
      </c>
      <c r="AF345" s="1" t="s">
        <v>42</v>
      </c>
    </row>
    <row r="346" spans="1:32" x14ac:dyDescent="0.25">
      <c r="A346" s="1" t="s">
        <v>32</v>
      </c>
      <c r="B346" s="1" t="s">
        <v>33</v>
      </c>
      <c r="C346" s="1" t="s">
        <v>34</v>
      </c>
      <c r="D346" s="1" t="s">
        <v>42</v>
      </c>
      <c r="E346" s="1" t="s">
        <v>271</v>
      </c>
      <c r="F346" s="2">
        <v>46279</v>
      </c>
      <c r="G346" s="1" t="s">
        <v>272</v>
      </c>
      <c r="H346" s="3">
        <v>46279.416666666701</v>
      </c>
      <c r="I346" s="1" t="s">
        <v>38</v>
      </c>
      <c r="J346" s="2">
        <v>46279</v>
      </c>
      <c r="K346" s="3">
        <v>46279.416666666701</v>
      </c>
      <c r="L346" s="1" t="s">
        <v>39</v>
      </c>
      <c r="M346" s="1" t="s">
        <v>40</v>
      </c>
      <c r="N346" s="1" t="s">
        <v>41</v>
      </c>
      <c r="O346" s="1" t="s">
        <v>42</v>
      </c>
      <c r="Q346" s="1" t="s">
        <v>42</v>
      </c>
      <c r="R346" s="1" t="s">
        <v>128</v>
      </c>
      <c r="S346" s="1" t="s">
        <v>129</v>
      </c>
      <c r="T346" s="4">
        <v>69.599999999999994</v>
      </c>
      <c r="U346" s="4">
        <v>69.599999999999994</v>
      </c>
      <c r="V346" s="4">
        <v>69.599999999999994</v>
      </c>
      <c r="Z346" s="1" t="s">
        <v>42</v>
      </c>
      <c r="AD346" s="1" t="s">
        <v>42</v>
      </c>
      <c r="AF346" s="1" t="s">
        <v>42</v>
      </c>
    </row>
    <row r="347" spans="1:32" x14ac:dyDescent="0.25">
      <c r="A347" s="1" t="s">
        <v>32</v>
      </c>
      <c r="B347" s="1" t="s">
        <v>33</v>
      </c>
      <c r="C347" s="1" t="s">
        <v>34</v>
      </c>
      <c r="D347" s="1" t="s">
        <v>42</v>
      </c>
      <c r="E347" s="1" t="s">
        <v>271</v>
      </c>
      <c r="F347" s="2">
        <v>46279</v>
      </c>
      <c r="G347" s="1" t="s">
        <v>272</v>
      </c>
      <c r="H347" s="3">
        <v>46279.416666666701</v>
      </c>
      <c r="I347" s="1" t="s">
        <v>38</v>
      </c>
      <c r="J347" s="2">
        <v>46279</v>
      </c>
      <c r="K347" s="3">
        <v>46279.416666666701</v>
      </c>
      <c r="L347" s="1" t="s">
        <v>39</v>
      </c>
      <c r="M347" s="1" t="s">
        <v>40</v>
      </c>
      <c r="N347" s="1" t="s">
        <v>41</v>
      </c>
      <c r="O347" s="1" t="s">
        <v>42</v>
      </c>
      <c r="Q347" s="1" t="s">
        <v>42</v>
      </c>
      <c r="R347" s="1" t="s">
        <v>130</v>
      </c>
      <c r="S347" s="1" t="s">
        <v>131</v>
      </c>
      <c r="T347" s="4">
        <v>48</v>
      </c>
      <c r="U347" s="4">
        <v>48</v>
      </c>
      <c r="V347" s="4">
        <v>48</v>
      </c>
      <c r="Z347" s="1" t="s">
        <v>42</v>
      </c>
      <c r="AD347" s="1" t="s">
        <v>42</v>
      </c>
      <c r="AF347" s="1" t="s">
        <v>42</v>
      </c>
    </row>
    <row r="348" spans="1:32" x14ac:dyDescent="0.25">
      <c r="A348" s="1" t="s">
        <v>32</v>
      </c>
      <c r="B348" s="1" t="s">
        <v>33</v>
      </c>
      <c r="C348" s="1" t="s">
        <v>34</v>
      </c>
      <c r="D348" s="1" t="s">
        <v>42</v>
      </c>
      <c r="E348" s="1" t="s">
        <v>271</v>
      </c>
      <c r="F348" s="2">
        <v>46279</v>
      </c>
      <c r="G348" s="1" t="s">
        <v>272</v>
      </c>
      <c r="H348" s="3">
        <v>46279.416666666701</v>
      </c>
      <c r="I348" s="1" t="s">
        <v>38</v>
      </c>
      <c r="J348" s="2">
        <v>46279</v>
      </c>
      <c r="K348" s="3">
        <v>46279.416666666701</v>
      </c>
      <c r="L348" s="1" t="s">
        <v>39</v>
      </c>
      <c r="M348" s="1" t="s">
        <v>40</v>
      </c>
      <c r="N348" s="1" t="s">
        <v>41</v>
      </c>
      <c r="O348" s="1" t="s">
        <v>42</v>
      </c>
      <c r="Q348" s="1" t="s">
        <v>42</v>
      </c>
      <c r="R348" s="1" t="s">
        <v>132</v>
      </c>
      <c r="S348" s="1" t="s">
        <v>133</v>
      </c>
      <c r="T348" s="4">
        <v>21.6</v>
      </c>
      <c r="U348" s="4">
        <v>21.6</v>
      </c>
      <c r="V348" s="4">
        <v>21.6</v>
      </c>
      <c r="Z348" s="1" t="s">
        <v>42</v>
      </c>
      <c r="AD348" s="1" t="s">
        <v>42</v>
      </c>
      <c r="AF348" s="1" t="s">
        <v>42</v>
      </c>
    </row>
    <row r="349" spans="1:32" x14ac:dyDescent="0.25">
      <c r="A349" s="1" t="s">
        <v>32</v>
      </c>
      <c r="B349" s="1" t="s">
        <v>33</v>
      </c>
      <c r="C349" s="1" t="s">
        <v>34</v>
      </c>
      <c r="D349" s="1" t="s">
        <v>42</v>
      </c>
      <c r="E349" s="1" t="s">
        <v>271</v>
      </c>
      <c r="F349" s="2">
        <v>46279</v>
      </c>
      <c r="G349" s="1" t="s">
        <v>272</v>
      </c>
      <c r="H349" s="3">
        <v>46279.416666666701</v>
      </c>
      <c r="I349" s="1" t="s">
        <v>38</v>
      </c>
      <c r="J349" s="2">
        <v>46279</v>
      </c>
      <c r="K349" s="3">
        <v>46279.416666666701</v>
      </c>
      <c r="L349" s="1" t="s">
        <v>39</v>
      </c>
      <c r="M349" s="1" t="s">
        <v>40</v>
      </c>
      <c r="N349" s="1" t="s">
        <v>41</v>
      </c>
      <c r="O349" s="1" t="s">
        <v>42</v>
      </c>
      <c r="Q349" s="1" t="s">
        <v>42</v>
      </c>
      <c r="R349" s="1" t="s">
        <v>135</v>
      </c>
      <c r="S349" s="1" t="s">
        <v>136</v>
      </c>
      <c r="T349" s="4">
        <v>23.2</v>
      </c>
      <c r="U349" s="4">
        <v>23.2</v>
      </c>
      <c r="V349" s="4">
        <v>23.2</v>
      </c>
      <c r="Z349" s="1" t="s">
        <v>42</v>
      </c>
      <c r="AD349" s="1" t="s">
        <v>42</v>
      </c>
      <c r="AF349" s="1" t="s">
        <v>42</v>
      </c>
    </row>
    <row r="350" spans="1:32" x14ac:dyDescent="0.25">
      <c r="A350" s="1" t="s">
        <v>32</v>
      </c>
      <c r="B350" s="1" t="s">
        <v>33</v>
      </c>
      <c r="C350" s="1" t="s">
        <v>34</v>
      </c>
      <c r="D350" s="1" t="s">
        <v>42</v>
      </c>
      <c r="E350" s="1" t="s">
        <v>271</v>
      </c>
      <c r="F350" s="2">
        <v>46279</v>
      </c>
      <c r="G350" s="1" t="s">
        <v>272</v>
      </c>
      <c r="H350" s="3">
        <v>46279.416666666701</v>
      </c>
      <c r="I350" s="1" t="s">
        <v>38</v>
      </c>
      <c r="J350" s="2">
        <v>46279</v>
      </c>
      <c r="K350" s="3">
        <v>46279.416666666701</v>
      </c>
      <c r="L350" s="1" t="s">
        <v>39</v>
      </c>
      <c r="M350" s="1" t="s">
        <v>40</v>
      </c>
      <c r="N350" s="1" t="s">
        <v>41</v>
      </c>
      <c r="O350" s="1" t="s">
        <v>42</v>
      </c>
      <c r="Q350" s="1" t="s">
        <v>42</v>
      </c>
      <c r="R350" s="1" t="s">
        <v>137</v>
      </c>
      <c r="S350" s="1" t="s">
        <v>138</v>
      </c>
      <c r="T350" s="4">
        <v>3.6</v>
      </c>
      <c r="U350" s="4">
        <v>3.6</v>
      </c>
      <c r="V350" s="4">
        <v>3.6</v>
      </c>
      <c r="Z350" s="1" t="s">
        <v>42</v>
      </c>
      <c r="AD350" s="1" t="s">
        <v>42</v>
      </c>
      <c r="AF350" s="1" t="s">
        <v>42</v>
      </c>
    </row>
    <row r="351" spans="1:32" x14ac:dyDescent="0.25">
      <c r="A351" s="1" t="s">
        <v>32</v>
      </c>
      <c r="B351" s="1" t="s">
        <v>33</v>
      </c>
      <c r="C351" s="1" t="s">
        <v>34</v>
      </c>
      <c r="D351" s="1" t="s">
        <v>42</v>
      </c>
      <c r="E351" s="1" t="s">
        <v>271</v>
      </c>
      <c r="F351" s="2">
        <v>46279</v>
      </c>
      <c r="G351" s="1" t="s">
        <v>272</v>
      </c>
      <c r="H351" s="3">
        <v>46279.416666666701</v>
      </c>
      <c r="I351" s="1" t="s">
        <v>38</v>
      </c>
      <c r="J351" s="2">
        <v>46279</v>
      </c>
      <c r="K351" s="3">
        <v>46279.416666666701</v>
      </c>
      <c r="L351" s="1" t="s">
        <v>39</v>
      </c>
      <c r="M351" s="1" t="s">
        <v>40</v>
      </c>
      <c r="N351" s="1" t="s">
        <v>41</v>
      </c>
      <c r="O351" s="1" t="s">
        <v>42</v>
      </c>
      <c r="Q351" s="1" t="s">
        <v>42</v>
      </c>
      <c r="R351" s="1" t="s">
        <v>139</v>
      </c>
      <c r="S351" s="1" t="s">
        <v>140</v>
      </c>
      <c r="T351" s="4">
        <v>48</v>
      </c>
      <c r="U351" s="4">
        <v>48</v>
      </c>
      <c r="V351" s="4">
        <v>48</v>
      </c>
      <c r="Z351" s="1" t="s">
        <v>42</v>
      </c>
      <c r="AD351" s="1" t="s">
        <v>42</v>
      </c>
      <c r="AF351" s="1" t="s">
        <v>42</v>
      </c>
    </row>
    <row r="352" spans="1:32" x14ac:dyDescent="0.25">
      <c r="A352" s="1" t="s">
        <v>32</v>
      </c>
      <c r="B352" s="1" t="s">
        <v>33</v>
      </c>
      <c r="C352" s="1" t="s">
        <v>34</v>
      </c>
      <c r="D352" s="1" t="s">
        <v>42</v>
      </c>
      <c r="E352" s="1" t="s">
        <v>271</v>
      </c>
      <c r="F352" s="2">
        <v>46279</v>
      </c>
      <c r="G352" s="1" t="s">
        <v>272</v>
      </c>
      <c r="H352" s="3">
        <v>46279.416666666701</v>
      </c>
      <c r="I352" s="1" t="s">
        <v>38</v>
      </c>
      <c r="J352" s="2">
        <v>46279</v>
      </c>
      <c r="K352" s="3">
        <v>46279.416666666701</v>
      </c>
      <c r="L352" s="1" t="s">
        <v>39</v>
      </c>
      <c r="M352" s="1" t="s">
        <v>40</v>
      </c>
      <c r="N352" s="1" t="s">
        <v>41</v>
      </c>
      <c r="O352" s="1" t="s">
        <v>42</v>
      </c>
      <c r="Q352" s="1" t="s">
        <v>42</v>
      </c>
      <c r="R352" s="1" t="s">
        <v>214</v>
      </c>
      <c r="S352" s="1" t="s">
        <v>215</v>
      </c>
      <c r="T352" s="4">
        <v>26.4</v>
      </c>
      <c r="U352" s="4">
        <v>26.4</v>
      </c>
      <c r="V352" s="4">
        <v>26.4</v>
      </c>
      <c r="Z352" s="1" t="s">
        <v>42</v>
      </c>
      <c r="AD352" s="1" t="s">
        <v>42</v>
      </c>
      <c r="AF352" s="1" t="s">
        <v>42</v>
      </c>
    </row>
    <row r="353" spans="1:32" x14ac:dyDescent="0.25">
      <c r="A353" s="1" t="s">
        <v>32</v>
      </c>
      <c r="B353" s="1" t="s">
        <v>33</v>
      </c>
      <c r="C353" s="1" t="s">
        <v>34</v>
      </c>
      <c r="D353" s="1" t="s">
        <v>42</v>
      </c>
      <c r="E353" s="1" t="s">
        <v>271</v>
      </c>
      <c r="F353" s="2">
        <v>46279</v>
      </c>
      <c r="G353" s="1" t="s">
        <v>272</v>
      </c>
      <c r="H353" s="3">
        <v>46279.416666666701</v>
      </c>
      <c r="I353" s="1" t="s">
        <v>38</v>
      </c>
      <c r="J353" s="2">
        <v>46279</v>
      </c>
      <c r="K353" s="3">
        <v>46279.416666666701</v>
      </c>
      <c r="L353" s="1" t="s">
        <v>39</v>
      </c>
      <c r="M353" s="1" t="s">
        <v>40</v>
      </c>
      <c r="N353" s="1" t="s">
        <v>41</v>
      </c>
      <c r="O353" s="1" t="s">
        <v>42</v>
      </c>
      <c r="Q353" s="1" t="s">
        <v>42</v>
      </c>
      <c r="R353" s="1" t="s">
        <v>141</v>
      </c>
      <c r="S353" s="1" t="s">
        <v>142</v>
      </c>
      <c r="T353" s="4">
        <v>46.8</v>
      </c>
      <c r="U353" s="4">
        <v>46.8</v>
      </c>
      <c r="V353" s="4">
        <v>46.8</v>
      </c>
      <c r="Z353" s="1" t="s">
        <v>42</v>
      </c>
      <c r="AD353" s="1" t="s">
        <v>42</v>
      </c>
      <c r="AF353" s="1" t="s">
        <v>42</v>
      </c>
    </row>
    <row r="354" spans="1:32" x14ac:dyDescent="0.25">
      <c r="A354" s="1" t="s">
        <v>32</v>
      </c>
      <c r="B354" s="1" t="s">
        <v>33</v>
      </c>
      <c r="C354" s="1" t="s">
        <v>34</v>
      </c>
      <c r="D354" s="1" t="s">
        <v>42</v>
      </c>
      <c r="E354" s="1" t="s">
        <v>271</v>
      </c>
      <c r="F354" s="2">
        <v>46279</v>
      </c>
      <c r="G354" s="1" t="s">
        <v>272</v>
      </c>
      <c r="H354" s="3">
        <v>46279.416666666701</v>
      </c>
      <c r="I354" s="1" t="s">
        <v>38</v>
      </c>
      <c r="J354" s="2">
        <v>46279</v>
      </c>
      <c r="K354" s="3">
        <v>46279.416666666701</v>
      </c>
      <c r="L354" s="1" t="s">
        <v>39</v>
      </c>
      <c r="M354" s="1" t="s">
        <v>40</v>
      </c>
      <c r="N354" s="1" t="s">
        <v>41</v>
      </c>
      <c r="O354" s="1" t="s">
        <v>42</v>
      </c>
      <c r="Q354" s="1" t="s">
        <v>42</v>
      </c>
      <c r="R354" s="1" t="s">
        <v>216</v>
      </c>
      <c r="S354" s="1" t="s">
        <v>217</v>
      </c>
      <c r="T354" s="4">
        <v>78</v>
      </c>
      <c r="U354" s="4">
        <v>78</v>
      </c>
      <c r="V354" s="4">
        <v>78</v>
      </c>
      <c r="Z354" s="1" t="s">
        <v>42</v>
      </c>
      <c r="AD354" s="1" t="s">
        <v>42</v>
      </c>
      <c r="AF354" s="1" t="s">
        <v>42</v>
      </c>
    </row>
    <row r="355" spans="1:32" x14ac:dyDescent="0.25">
      <c r="A355" s="1" t="s">
        <v>32</v>
      </c>
      <c r="B355" s="1" t="s">
        <v>33</v>
      </c>
      <c r="C355" s="1" t="s">
        <v>34</v>
      </c>
      <c r="D355" s="1" t="s">
        <v>42</v>
      </c>
      <c r="E355" s="1" t="s">
        <v>271</v>
      </c>
      <c r="F355" s="2">
        <v>46279</v>
      </c>
      <c r="G355" s="1" t="s">
        <v>272</v>
      </c>
      <c r="H355" s="3">
        <v>46279.416666666701</v>
      </c>
      <c r="I355" s="1" t="s">
        <v>38</v>
      </c>
      <c r="J355" s="2">
        <v>46279</v>
      </c>
      <c r="K355" s="3">
        <v>46279.416666666701</v>
      </c>
      <c r="L355" s="1" t="s">
        <v>39</v>
      </c>
      <c r="M355" s="1" t="s">
        <v>40</v>
      </c>
      <c r="N355" s="1" t="s">
        <v>41</v>
      </c>
      <c r="O355" s="1" t="s">
        <v>42</v>
      </c>
      <c r="Q355" s="1" t="s">
        <v>42</v>
      </c>
      <c r="R355" s="1" t="s">
        <v>143</v>
      </c>
      <c r="S355" s="1" t="s">
        <v>144</v>
      </c>
      <c r="T355" s="4">
        <v>46.8</v>
      </c>
      <c r="U355" s="4">
        <v>46.8</v>
      </c>
      <c r="V355" s="4">
        <v>46.8</v>
      </c>
      <c r="Z355" s="1" t="s">
        <v>42</v>
      </c>
      <c r="AD355" s="1" t="s">
        <v>42</v>
      </c>
      <c r="AF355" s="1" t="s">
        <v>42</v>
      </c>
    </row>
    <row r="356" spans="1:32" x14ac:dyDescent="0.25">
      <c r="A356" s="1" t="s">
        <v>32</v>
      </c>
      <c r="B356" s="1" t="s">
        <v>33</v>
      </c>
      <c r="C356" s="1" t="s">
        <v>34</v>
      </c>
      <c r="D356" s="1" t="s">
        <v>42</v>
      </c>
      <c r="E356" s="1" t="s">
        <v>271</v>
      </c>
      <c r="F356" s="2">
        <v>46279</v>
      </c>
      <c r="G356" s="1" t="s">
        <v>272</v>
      </c>
      <c r="H356" s="3">
        <v>46279.416666666701</v>
      </c>
      <c r="I356" s="1" t="s">
        <v>38</v>
      </c>
      <c r="J356" s="2">
        <v>46279</v>
      </c>
      <c r="K356" s="3">
        <v>46279.416666666701</v>
      </c>
      <c r="L356" s="1" t="s">
        <v>39</v>
      </c>
      <c r="M356" s="1" t="s">
        <v>40</v>
      </c>
      <c r="N356" s="1" t="s">
        <v>41</v>
      </c>
      <c r="O356" s="1" t="s">
        <v>42</v>
      </c>
      <c r="Q356" s="1" t="s">
        <v>42</v>
      </c>
      <c r="R356" s="1" t="s">
        <v>145</v>
      </c>
      <c r="S356" s="1" t="s">
        <v>146</v>
      </c>
      <c r="T356" s="4">
        <v>3.6</v>
      </c>
      <c r="U356" s="4">
        <v>3.6</v>
      </c>
      <c r="V356" s="4">
        <v>3.6</v>
      </c>
      <c r="Z356" s="1" t="s">
        <v>42</v>
      </c>
      <c r="AD356" s="1" t="s">
        <v>42</v>
      </c>
      <c r="AF356" s="1" t="s">
        <v>42</v>
      </c>
    </row>
    <row r="357" spans="1:32" x14ac:dyDescent="0.25">
      <c r="A357" s="1" t="s">
        <v>32</v>
      </c>
      <c r="B357" s="1" t="s">
        <v>33</v>
      </c>
      <c r="C357" s="1" t="s">
        <v>34</v>
      </c>
      <c r="D357" s="1" t="s">
        <v>42</v>
      </c>
      <c r="E357" s="1" t="s">
        <v>271</v>
      </c>
      <c r="F357" s="2">
        <v>46279</v>
      </c>
      <c r="G357" s="1" t="s">
        <v>272</v>
      </c>
      <c r="H357" s="3">
        <v>46279.416666666701</v>
      </c>
      <c r="I357" s="1" t="s">
        <v>38</v>
      </c>
      <c r="J357" s="2">
        <v>46279</v>
      </c>
      <c r="K357" s="3">
        <v>46279.416666666701</v>
      </c>
      <c r="L357" s="1" t="s">
        <v>39</v>
      </c>
      <c r="M357" s="1" t="s">
        <v>40</v>
      </c>
      <c r="N357" s="1" t="s">
        <v>41</v>
      </c>
      <c r="O357" s="1" t="s">
        <v>42</v>
      </c>
      <c r="Q357" s="1" t="s">
        <v>42</v>
      </c>
      <c r="R357" s="1" t="s">
        <v>149</v>
      </c>
      <c r="S357" s="1" t="s">
        <v>150</v>
      </c>
      <c r="T357" s="4">
        <v>58.8</v>
      </c>
      <c r="U357" s="4">
        <v>58.8</v>
      </c>
      <c r="V357" s="4">
        <v>58.8</v>
      </c>
      <c r="Z357" s="1" t="s">
        <v>42</v>
      </c>
      <c r="AD357" s="1" t="s">
        <v>42</v>
      </c>
      <c r="AF357" s="1" t="s">
        <v>42</v>
      </c>
    </row>
    <row r="358" spans="1:32" x14ac:dyDescent="0.25">
      <c r="A358" s="1" t="s">
        <v>32</v>
      </c>
      <c r="B358" s="1" t="s">
        <v>33</v>
      </c>
      <c r="C358" s="1" t="s">
        <v>34</v>
      </c>
      <c r="D358" s="1" t="s">
        <v>42</v>
      </c>
      <c r="E358" s="1" t="s">
        <v>271</v>
      </c>
      <c r="F358" s="2">
        <v>46279</v>
      </c>
      <c r="G358" s="1" t="s">
        <v>272</v>
      </c>
      <c r="H358" s="3">
        <v>46279.416666666701</v>
      </c>
      <c r="I358" s="1" t="s">
        <v>38</v>
      </c>
      <c r="J358" s="2">
        <v>46279</v>
      </c>
      <c r="K358" s="3">
        <v>46279.416666666701</v>
      </c>
      <c r="L358" s="1" t="s">
        <v>39</v>
      </c>
      <c r="M358" s="1" t="s">
        <v>40</v>
      </c>
      <c r="N358" s="1" t="s">
        <v>41</v>
      </c>
      <c r="O358" s="1" t="s">
        <v>42</v>
      </c>
      <c r="Q358" s="1" t="s">
        <v>42</v>
      </c>
      <c r="R358" s="1" t="s">
        <v>260</v>
      </c>
      <c r="S358" s="1" t="s">
        <v>261</v>
      </c>
      <c r="T358" s="4">
        <v>15.3</v>
      </c>
      <c r="U358" s="4">
        <v>15.3</v>
      </c>
      <c r="V358" s="4">
        <v>15.3</v>
      </c>
      <c r="Z358" s="1" t="s">
        <v>42</v>
      </c>
      <c r="AD358" s="1" t="s">
        <v>42</v>
      </c>
      <c r="AF358" s="1" t="s">
        <v>42</v>
      </c>
    </row>
    <row r="359" spans="1:32" x14ac:dyDescent="0.25">
      <c r="A359" s="1" t="s">
        <v>32</v>
      </c>
      <c r="B359" s="1" t="s">
        <v>33</v>
      </c>
      <c r="C359" s="1" t="s">
        <v>34</v>
      </c>
      <c r="D359" s="1" t="s">
        <v>42</v>
      </c>
      <c r="E359" s="1" t="s">
        <v>271</v>
      </c>
      <c r="F359" s="2">
        <v>46279</v>
      </c>
      <c r="G359" s="1" t="s">
        <v>272</v>
      </c>
      <c r="H359" s="3">
        <v>46279.416666666701</v>
      </c>
      <c r="I359" s="1" t="s">
        <v>38</v>
      </c>
      <c r="J359" s="2">
        <v>46279</v>
      </c>
      <c r="K359" s="3">
        <v>46279.416666666701</v>
      </c>
      <c r="L359" s="1" t="s">
        <v>39</v>
      </c>
      <c r="M359" s="1" t="s">
        <v>40</v>
      </c>
      <c r="N359" s="1" t="s">
        <v>41</v>
      </c>
      <c r="O359" s="1" t="s">
        <v>42</v>
      </c>
      <c r="Q359" s="1" t="s">
        <v>42</v>
      </c>
      <c r="R359" s="1" t="s">
        <v>250</v>
      </c>
      <c r="S359" s="1" t="s">
        <v>251</v>
      </c>
      <c r="T359" s="4">
        <v>30</v>
      </c>
      <c r="U359" s="4">
        <v>30</v>
      </c>
      <c r="V359" s="4">
        <v>30</v>
      </c>
      <c r="Z359" s="1" t="s">
        <v>42</v>
      </c>
      <c r="AD359" s="1" t="s">
        <v>42</v>
      </c>
      <c r="AF359" s="1" t="s">
        <v>42</v>
      </c>
    </row>
    <row r="360" spans="1:32" x14ac:dyDescent="0.25">
      <c r="A360" s="1" t="s">
        <v>32</v>
      </c>
      <c r="B360" s="1" t="s">
        <v>33</v>
      </c>
      <c r="C360" s="1" t="s">
        <v>34</v>
      </c>
      <c r="D360" s="1" t="s">
        <v>42</v>
      </c>
      <c r="E360" s="1" t="s">
        <v>271</v>
      </c>
      <c r="F360" s="2">
        <v>46279</v>
      </c>
      <c r="G360" s="1" t="s">
        <v>272</v>
      </c>
      <c r="H360" s="3">
        <v>46279.416666666701</v>
      </c>
      <c r="I360" s="1" t="s">
        <v>38</v>
      </c>
      <c r="J360" s="2">
        <v>46279</v>
      </c>
      <c r="K360" s="3">
        <v>46279.416666666701</v>
      </c>
      <c r="L360" s="1" t="s">
        <v>39</v>
      </c>
      <c r="M360" s="1" t="s">
        <v>40</v>
      </c>
      <c r="N360" s="1" t="s">
        <v>41</v>
      </c>
      <c r="O360" s="1" t="s">
        <v>42</v>
      </c>
      <c r="Q360" s="1" t="s">
        <v>42</v>
      </c>
      <c r="R360" s="1" t="s">
        <v>151</v>
      </c>
      <c r="S360" s="1" t="s">
        <v>152</v>
      </c>
      <c r="T360" s="4">
        <v>30</v>
      </c>
      <c r="U360" s="4">
        <v>30</v>
      </c>
      <c r="V360" s="4">
        <v>30</v>
      </c>
      <c r="Z360" s="1" t="s">
        <v>42</v>
      </c>
      <c r="AD360" s="1" t="s">
        <v>42</v>
      </c>
      <c r="AF360" s="1" t="s">
        <v>42</v>
      </c>
    </row>
    <row r="361" spans="1:32" x14ac:dyDescent="0.25">
      <c r="A361" s="1" t="s">
        <v>32</v>
      </c>
      <c r="B361" s="1" t="s">
        <v>33</v>
      </c>
      <c r="C361" s="1" t="s">
        <v>34</v>
      </c>
      <c r="D361" s="1" t="s">
        <v>42</v>
      </c>
      <c r="E361" s="1" t="s">
        <v>271</v>
      </c>
      <c r="F361" s="2">
        <v>46279</v>
      </c>
      <c r="G361" s="1" t="s">
        <v>272</v>
      </c>
      <c r="H361" s="3">
        <v>46279.416666666701</v>
      </c>
      <c r="I361" s="1" t="s">
        <v>38</v>
      </c>
      <c r="J361" s="2">
        <v>46279</v>
      </c>
      <c r="K361" s="3">
        <v>46279.416666666701</v>
      </c>
      <c r="L361" s="1" t="s">
        <v>39</v>
      </c>
      <c r="M361" s="1" t="s">
        <v>40</v>
      </c>
      <c r="N361" s="1" t="s">
        <v>41</v>
      </c>
      <c r="O361" s="1" t="s">
        <v>42</v>
      </c>
      <c r="Q361" s="1" t="s">
        <v>42</v>
      </c>
      <c r="R361" s="1" t="s">
        <v>153</v>
      </c>
      <c r="S361" s="1" t="s">
        <v>154</v>
      </c>
      <c r="T361" s="4">
        <v>22</v>
      </c>
      <c r="U361" s="4">
        <v>22</v>
      </c>
      <c r="V361" s="4">
        <v>22</v>
      </c>
      <c r="Z361" s="1" t="s">
        <v>42</v>
      </c>
      <c r="AD361" s="1" t="s">
        <v>42</v>
      </c>
      <c r="AF361" s="1" t="s">
        <v>42</v>
      </c>
    </row>
    <row r="362" spans="1:32" x14ac:dyDescent="0.25">
      <c r="A362" s="1" t="s">
        <v>32</v>
      </c>
      <c r="B362" s="1" t="s">
        <v>33</v>
      </c>
      <c r="C362" s="1" t="s">
        <v>34</v>
      </c>
      <c r="D362" s="1" t="s">
        <v>42</v>
      </c>
      <c r="E362" s="1" t="s">
        <v>271</v>
      </c>
      <c r="F362" s="2">
        <v>46279</v>
      </c>
      <c r="G362" s="1" t="s">
        <v>272</v>
      </c>
      <c r="H362" s="3">
        <v>46279.416666666701</v>
      </c>
      <c r="I362" s="1" t="s">
        <v>38</v>
      </c>
      <c r="J362" s="2">
        <v>46279</v>
      </c>
      <c r="K362" s="3">
        <v>46279.416666666701</v>
      </c>
      <c r="L362" s="1" t="s">
        <v>39</v>
      </c>
      <c r="M362" s="1" t="s">
        <v>40</v>
      </c>
      <c r="N362" s="1" t="s">
        <v>41</v>
      </c>
      <c r="O362" s="1" t="s">
        <v>42</v>
      </c>
      <c r="Q362" s="1" t="s">
        <v>42</v>
      </c>
      <c r="R362" s="1" t="s">
        <v>262</v>
      </c>
      <c r="S362" s="1" t="s">
        <v>263</v>
      </c>
      <c r="T362" s="4">
        <v>15</v>
      </c>
      <c r="U362" s="4">
        <v>15</v>
      </c>
      <c r="V362" s="4">
        <v>15</v>
      </c>
      <c r="Z362" s="1" t="s">
        <v>42</v>
      </c>
      <c r="AD362" s="1" t="s">
        <v>42</v>
      </c>
      <c r="AF362" s="1" t="s">
        <v>42</v>
      </c>
    </row>
    <row r="363" spans="1:32" x14ac:dyDescent="0.25">
      <c r="A363" s="1" t="s">
        <v>32</v>
      </c>
      <c r="B363" s="1" t="s">
        <v>33</v>
      </c>
      <c r="C363" s="1" t="s">
        <v>34</v>
      </c>
      <c r="D363" s="1" t="s">
        <v>42</v>
      </c>
      <c r="E363" s="1" t="s">
        <v>271</v>
      </c>
      <c r="F363" s="2">
        <v>46279</v>
      </c>
      <c r="G363" s="1" t="s">
        <v>272</v>
      </c>
      <c r="H363" s="3">
        <v>46279.416666666701</v>
      </c>
      <c r="I363" s="1" t="s">
        <v>38</v>
      </c>
      <c r="J363" s="2">
        <v>46279</v>
      </c>
      <c r="K363" s="3">
        <v>46279.416666666701</v>
      </c>
      <c r="L363" s="1" t="s">
        <v>39</v>
      </c>
      <c r="M363" s="1" t="s">
        <v>40</v>
      </c>
      <c r="N363" s="1" t="s">
        <v>41</v>
      </c>
      <c r="O363" s="1" t="s">
        <v>42</v>
      </c>
      <c r="Q363" s="1" t="s">
        <v>42</v>
      </c>
      <c r="R363" s="1" t="s">
        <v>155</v>
      </c>
      <c r="S363" s="1" t="s">
        <v>156</v>
      </c>
      <c r="T363" s="4">
        <v>3</v>
      </c>
      <c r="U363" s="4">
        <v>3</v>
      </c>
      <c r="V363" s="4">
        <v>3</v>
      </c>
      <c r="Z363" s="1" t="s">
        <v>42</v>
      </c>
      <c r="AD363" s="1" t="s">
        <v>42</v>
      </c>
      <c r="AF363" s="1" t="s">
        <v>42</v>
      </c>
    </row>
    <row r="364" spans="1:32" x14ac:dyDescent="0.25">
      <c r="A364" s="1" t="s">
        <v>32</v>
      </c>
      <c r="B364" s="1" t="s">
        <v>33</v>
      </c>
      <c r="C364" s="1" t="s">
        <v>34</v>
      </c>
      <c r="D364" s="1" t="s">
        <v>42</v>
      </c>
      <c r="E364" s="1" t="s">
        <v>271</v>
      </c>
      <c r="F364" s="2">
        <v>46279</v>
      </c>
      <c r="G364" s="1" t="s">
        <v>272</v>
      </c>
      <c r="H364" s="3">
        <v>46279.416666666701</v>
      </c>
      <c r="I364" s="1" t="s">
        <v>38</v>
      </c>
      <c r="J364" s="2">
        <v>46279</v>
      </c>
      <c r="K364" s="3">
        <v>46279.416666666701</v>
      </c>
      <c r="L364" s="1" t="s">
        <v>39</v>
      </c>
      <c r="M364" s="1" t="s">
        <v>40</v>
      </c>
      <c r="N364" s="1" t="s">
        <v>41</v>
      </c>
      <c r="O364" s="1" t="s">
        <v>42</v>
      </c>
      <c r="Q364" s="1" t="s">
        <v>42</v>
      </c>
      <c r="R364" s="1" t="s">
        <v>157</v>
      </c>
      <c r="S364" s="1" t="s">
        <v>158</v>
      </c>
      <c r="T364" s="4">
        <v>4.2</v>
      </c>
      <c r="U364" s="4">
        <v>4.2</v>
      </c>
      <c r="V364" s="4">
        <v>4.2</v>
      </c>
      <c r="Z364" s="1" t="s">
        <v>42</v>
      </c>
      <c r="AD364" s="1" t="s">
        <v>42</v>
      </c>
      <c r="AF364" s="1" t="s">
        <v>42</v>
      </c>
    </row>
    <row r="365" spans="1:32" x14ac:dyDescent="0.25">
      <c r="A365" s="1" t="s">
        <v>32</v>
      </c>
      <c r="B365" s="1" t="s">
        <v>33</v>
      </c>
      <c r="C365" s="1" t="s">
        <v>34</v>
      </c>
      <c r="D365" s="1" t="s">
        <v>42</v>
      </c>
      <c r="E365" s="1" t="s">
        <v>271</v>
      </c>
      <c r="F365" s="2">
        <v>46279</v>
      </c>
      <c r="G365" s="1" t="s">
        <v>272</v>
      </c>
      <c r="H365" s="3">
        <v>46279.416666666701</v>
      </c>
      <c r="I365" s="1" t="s">
        <v>38</v>
      </c>
      <c r="J365" s="2">
        <v>46279</v>
      </c>
      <c r="K365" s="3">
        <v>46279.416666666701</v>
      </c>
      <c r="L365" s="1" t="s">
        <v>39</v>
      </c>
      <c r="M365" s="1" t="s">
        <v>40</v>
      </c>
      <c r="N365" s="1" t="s">
        <v>41</v>
      </c>
      <c r="O365" s="1" t="s">
        <v>42</v>
      </c>
      <c r="Q365" s="1" t="s">
        <v>42</v>
      </c>
      <c r="R365" s="1" t="s">
        <v>159</v>
      </c>
      <c r="S365" s="1" t="s">
        <v>160</v>
      </c>
      <c r="T365" s="4">
        <v>4.2</v>
      </c>
      <c r="W365" s="4">
        <v>-4.2</v>
      </c>
      <c r="X365" s="1" t="s">
        <v>67</v>
      </c>
      <c r="Y365" s="1" t="s">
        <v>68</v>
      </c>
      <c r="Z365" s="1" t="s">
        <v>42</v>
      </c>
      <c r="AD365" s="1" t="s">
        <v>42</v>
      </c>
      <c r="AF365" s="1" t="s">
        <v>42</v>
      </c>
    </row>
    <row r="366" spans="1:32" x14ac:dyDescent="0.25">
      <c r="A366" s="1" t="s">
        <v>32</v>
      </c>
      <c r="B366" s="1" t="s">
        <v>33</v>
      </c>
      <c r="C366" s="1" t="s">
        <v>34</v>
      </c>
      <c r="D366" s="1" t="s">
        <v>42</v>
      </c>
      <c r="E366" s="1" t="s">
        <v>271</v>
      </c>
      <c r="F366" s="2">
        <v>46279</v>
      </c>
      <c r="G366" s="1" t="s">
        <v>272</v>
      </c>
      <c r="H366" s="3">
        <v>46279.416666666701</v>
      </c>
      <c r="I366" s="1" t="s">
        <v>38</v>
      </c>
      <c r="J366" s="2">
        <v>46279</v>
      </c>
      <c r="K366" s="3">
        <v>46279.416666666701</v>
      </c>
      <c r="L366" s="1" t="s">
        <v>39</v>
      </c>
      <c r="M366" s="1" t="s">
        <v>40</v>
      </c>
      <c r="N366" s="1" t="s">
        <v>41</v>
      </c>
      <c r="O366" s="1" t="s">
        <v>42</v>
      </c>
      <c r="Q366" s="1" t="s">
        <v>42</v>
      </c>
      <c r="R366" s="1" t="s">
        <v>161</v>
      </c>
      <c r="S366" s="1" t="s">
        <v>162</v>
      </c>
      <c r="T366" s="4">
        <v>1125</v>
      </c>
      <c r="U366" s="4">
        <v>1125</v>
      </c>
      <c r="V366" s="4">
        <v>1125</v>
      </c>
      <c r="Z366" s="1" t="s">
        <v>42</v>
      </c>
      <c r="AD366" s="1" t="s">
        <v>42</v>
      </c>
      <c r="AF366" s="1" t="s">
        <v>42</v>
      </c>
    </row>
    <row r="367" spans="1:32" x14ac:dyDescent="0.25">
      <c r="A367" s="1" t="s">
        <v>32</v>
      </c>
      <c r="B367" s="1" t="s">
        <v>33</v>
      </c>
      <c r="C367" s="1" t="s">
        <v>34</v>
      </c>
      <c r="D367" s="1" t="s">
        <v>42</v>
      </c>
      <c r="E367" s="1" t="s">
        <v>271</v>
      </c>
      <c r="F367" s="2">
        <v>46279</v>
      </c>
      <c r="G367" s="1" t="s">
        <v>272</v>
      </c>
      <c r="H367" s="3">
        <v>46279.416666666701</v>
      </c>
      <c r="I367" s="1" t="s">
        <v>38</v>
      </c>
      <c r="J367" s="2">
        <v>46279</v>
      </c>
      <c r="K367" s="3">
        <v>46279.416666666701</v>
      </c>
      <c r="L367" s="1" t="s">
        <v>39</v>
      </c>
      <c r="M367" s="1" t="s">
        <v>40</v>
      </c>
      <c r="N367" s="1" t="s">
        <v>41</v>
      </c>
      <c r="O367" s="1" t="s">
        <v>42</v>
      </c>
      <c r="Q367" s="1" t="s">
        <v>42</v>
      </c>
      <c r="R367" s="1" t="s">
        <v>163</v>
      </c>
      <c r="S367" s="1" t="s">
        <v>164</v>
      </c>
      <c r="T367" s="4">
        <v>135</v>
      </c>
      <c r="U367" s="4">
        <v>135</v>
      </c>
      <c r="V367" s="4">
        <v>135</v>
      </c>
      <c r="Z367" s="1" t="s">
        <v>42</v>
      </c>
      <c r="AD367" s="1" t="s">
        <v>42</v>
      </c>
      <c r="AF367" s="1" t="s">
        <v>42</v>
      </c>
    </row>
    <row r="368" spans="1:32" x14ac:dyDescent="0.25">
      <c r="A368" s="1" t="s">
        <v>32</v>
      </c>
      <c r="B368" s="1" t="s">
        <v>33</v>
      </c>
      <c r="C368" s="1" t="s">
        <v>34</v>
      </c>
      <c r="D368" s="1" t="s">
        <v>42</v>
      </c>
      <c r="E368" s="1" t="s">
        <v>271</v>
      </c>
      <c r="F368" s="2">
        <v>46279</v>
      </c>
      <c r="G368" s="1" t="s">
        <v>272</v>
      </c>
      <c r="H368" s="3">
        <v>46279.416666666701</v>
      </c>
      <c r="I368" s="1" t="s">
        <v>38</v>
      </c>
      <c r="J368" s="2">
        <v>46279</v>
      </c>
      <c r="K368" s="3">
        <v>46279.416666666701</v>
      </c>
      <c r="L368" s="1" t="s">
        <v>39</v>
      </c>
      <c r="M368" s="1" t="s">
        <v>40</v>
      </c>
      <c r="N368" s="1" t="s">
        <v>41</v>
      </c>
      <c r="O368" s="1" t="s">
        <v>42</v>
      </c>
      <c r="Q368" s="1" t="s">
        <v>42</v>
      </c>
      <c r="R368" s="1" t="s">
        <v>165</v>
      </c>
      <c r="S368" s="1" t="s">
        <v>166</v>
      </c>
      <c r="T368" s="4">
        <v>765</v>
      </c>
      <c r="U368" s="4">
        <v>765</v>
      </c>
      <c r="V368" s="4">
        <v>765</v>
      </c>
      <c r="Z368" s="1" t="s">
        <v>42</v>
      </c>
      <c r="AD368" s="1" t="s">
        <v>42</v>
      </c>
      <c r="AF368" s="1" t="s">
        <v>42</v>
      </c>
    </row>
    <row r="369" spans="1:32" x14ac:dyDescent="0.25">
      <c r="A369" s="1" t="s">
        <v>32</v>
      </c>
      <c r="B369" s="1" t="s">
        <v>33</v>
      </c>
      <c r="C369" s="1" t="s">
        <v>34</v>
      </c>
      <c r="D369" s="1" t="s">
        <v>42</v>
      </c>
      <c r="E369" s="1" t="s">
        <v>271</v>
      </c>
      <c r="F369" s="2">
        <v>46279</v>
      </c>
      <c r="G369" s="1" t="s">
        <v>272</v>
      </c>
      <c r="H369" s="3">
        <v>46279.416666666701</v>
      </c>
      <c r="I369" s="1" t="s">
        <v>38</v>
      </c>
      <c r="J369" s="2">
        <v>46279</v>
      </c>
      <c r="K369" s="3">
        <v>46279.416666666701</v>
      </c>
      <c r="L369" s="1" t="s">
        <v>39</v>
      </c>
      <c r="M369" s="1" t="s">
        <v>40</v>
      </c>
      <c r="N369" s="1" t="s">
        <v>41</v>
      </c>
      <c r="O369" s="1" t="s">
        <v>42</v>
      </c>
      <c r="Q369" s="1" t="s">
        <v>42</v>
      </c>
      <c r="R369" s="1" t="s">
        <v>167</v>
      </c>
      <c r="S369" s="1" t="s">
        <v>168</v>
      </c>
      <c r="T369" s="4">
        <v>405</v>
      </c>
      <c r="U369" s="4">
        <v>405</v>
      </c>
      <c r="V369" s="4">
        <v>405</v>
      </c>
      <c r="Z369" s="1" t="s">
        <v>42</v>
      </c>
      <c r="AD369" s="1" t="s">
        <v>42</v>
      </c>
      <c r="AF369" s="1" t="s">
        <v>42</v>
      </c>
    </row>
    <row r="370" spans="1:32" x14ac:dyDescent="0.25">
      <c r="A370" s="1" t="s">
        <v>32</v>
      </c>
      <c r="B370" s="1" t="s">
        <v>33</v>
      </c>
      <c r="C370" s="1" t="s">
        <v>34</v>
      </c>
      <c r="D370" s="1" t="s">
        <v>42</v>
      </c>
      <c r="E370" s="1" t="s">
        <v>271</v>
      </c>
      <c r="F370" s="2">
        <v>46279</v>
      </c>
      <c r="G370" s="1" t="s">
        <v>272</v>
      </c>
      <c r="H370" s="3">
        <v>46279.416666666701</v>
      </c>
      <c r="I370" s="1" t="s">
        <v>38</v>
      </c>
      <c r="J370" s="2">
        <v>46279</v>
      </c>
      <c r="K370" s="3">
        <v>46279.416666666701</v>
      </c>
      <c r="L370" s="1" t="s">
        <v>39</v>
      </c>
      <c r="M370" s="1" t="s">
        <v>40</v>
      </c>
      <c r="N370" s="1" t="s">
        <v>41</v>
      </c>
      <c r="O370" s="1" t="s">
        <v>42</v>
      </c>
      <c r="Q370" s="1" t="s">
        <v>42</v>
      </c>
      <c r="R370" s="1" t="s">
        <v>169</v>
      </c>
      <c r="S370" s="1" t="s">
        <v>170</v>
      </c>
      <c r="T370" s="4">
        <v>1230</v>
      </c>
      <c r="U370" s="4">
        <v>1230</v>
      </c>
      <c r="V370" s="4">
        <v>1230</v>
      </c>
      <c r="Z370" s="1" t="s">
        <v>42</v>
      </c>
      <c r="AD370" s="1" t="s">
        <v>42</v>
      </c>
      <c r="AF370" s="1" t="s">
        <v>42</v>
      </c>
    </row>
    <row r="371" spans="1:32" x14ac:dyDescent="0.25">
      <c r="A371" s="1" t="s">
        <v>32</v>
      </c>
      <c r="B371" s="1" t="s">
        <v>33</v>
      </c>
      <c r="C371" s="1" t="s">
        <v>34</v>
      </c>
      <c r="D371" s="1" t="s">
        <v>42</v>
      </c>
      <c r="E371" s="1" t="s">
        <v>271</v>
      </c>
      <c r="F371" s="2">
        <v>46279</v>
      </c>
      <c r="G371" s="1" t="s">
        <v>272</v>
      </c>
      <c r="H371" s="3">
        <v>46279.416666666701</v>
      </c>
      <c r="I371" s="1" t="s">
        <v>38</v>
      </c>
      <c r="J371" s="2">
        <v>46279</v>
      </c>
      <c r="K371" s="3">
        <v>46279.416666666701</v>
      </c>
      <c r="L371" s="1" t="s">
        <v>39</v>
      </c>
      <c r="M371" s="1" t="s">
        <v>40</v>
      </c>
      <c r="N371" s="1" t="s">
        <v>41</v>
      </c>
      <c r="O371" s="1" t="s">
        <v>42</v>
      </c>
      <c r="Q371" s="1" t="s">
        <v>42</v>
      </c>
      <c r="R371" s="1" t="s">
        <v>275</v>
      </c>
      <c r="S371" s="1" t="s">
        <v>276</v>
      </c>
      <c r="T371" s="4">
        <v>15</v>
      </c>
      <c r="U371" s="4">
        <v>15</v>
      </c>
      <c r="V371" s="4">
        <v>15</v>
      </c>
      <c r="Z371" s="1" t="s">
        <v>42</v>
      </c>
      <c r="AD371" s="1" t="s">
        <v>42</v>
      </c>
      <c r="AF371" s="1" t="s">
        <v>42</v>
      </c>
    </row>
    <row r="372" spans="1:32" x14ac:dyDescent="0.25">
      <c r="A372" s="1" t="s">
        <v>32</v>
      </c>
      <c r="B372" s="1" t="s">
        <v>33</v>
      </c>
      <c r="C372" s="1" t="s">
        <v>34</v>
      </c>
      <c r="D372" s="1" t="s">
        <v>42</v>
      </c>
      <c r="E372" s="1" t="s">
        <v>271</v>
      </c>
      <c r="F372" s="2">
        <v>46279</v>
      </c>
      <c r="G372" s="1" t="s">
        <v>272</v>
      </c>
      <c r="H372" s="3">
        <v>46279.416666666701</v>
      </c>
      <c r="I372" s="1" t="s">
        <v>38</v>
      </c>
      <c r="J372" s="2">
        <v>46279</v>
      </c>
      <c r="K372" s="3">
        <v>46279.416666666701</v>
      </c>
      <c r="L372" s="1" t="s">
        <v>39</v>
      </c>
      <c r="M372" s="1" t="s">
        <v>40</v>
      </c>
      <c r="N372" s="1" t="s">
        <v>41</v>
      </c>
      <c r="O372" s="1" t="s">
        <v>42</v>
      </c>
      <c r="Q372" s="1" t="s">
        <v>42</v>
      </c>
      <c r="R372" s="1" t="s">
        <v>277</v>
      </c>
      <c r="S372" s="1" t="s">
        <v>278</v>
      </c>
      <c r="T372" s="4">
        <v>18</v>
      </c>
      <c r="U372" s="4">
        <v>18</v>
      </c>
      <c r="V372" s="4">
        <v>18</v>
      </c>
      <c r="Z372" s="1" t="s">
        <v>42</v>
      </c>
      <c r="AD372" s="1" t="s">
        <v>42</v>
      </c>
      <c r="AF372" s="1" t="s">
        <v>42</v>
      </c>
    </row>
    <row r="373" spans="1:32" x14ac:dyDescent="0.25">
      <c r="A373" s="1" t="s">
        <v>32</v>
      </c>
      <c r="B373" s="1" t="s">
        <v>33</v>
      </c>
      <c r="C373" s="1" t="s">
        <v>34</v>
      </c>
      <c r="D373" s="1" t="s">
        <v>42</v>
      </c>
      <c r="E373" s="1" t="s">
        <v>271</v>
      </c>
      <c r="F373" s="2">
        <v>46279</v>
      </c>
      <c r="G373" s="1" t="s">
        <v>272</v>
      </c>
      <c r="H373" s="3">
        <v>46279.416666666701</v>
      </c>
      <c r="I373" s="1" t="s">
        <v>38</v>
      </c>
      <c r="J373" s="2">
        <v>46279</v>
      </c>
      <c r="K373" s="3">
        <v>46279.416666666701</v>
      </c>
      <c r="L373" s="1" t="s">
        <v>39</v>
      </c>
      <c r="M373" s="1" t="s">
        <v>40</v>
      </c>
      <c r="N373" s="1" t="s">
        <v>41</v>
      </c>
      <c r="O373" s="1" t="s">
        <v>42</v>
      </c>
      <c r="Q373" s="1" t="s">
        <v>42</v>
      </c>
      <c r="R373" s="1" t="s">
        <v>173</v>
      </c>
      <c r="S373" s="1" t="s">
        <v>174</v>
      </c>
      <c r="T373" s="4">
        <v>801</v>
      </c>
      <c r="U373" s="4">
        <v>801</v>
      </c>
      <c r="V373" s="4">
        <v>801</v>
      </c>
      <c r="Z373" s="1" t="s">
        <v>42</v>
      </c>
      <c r="AD373" s="1" t="s">
        <v>42</v>
      </c>
      <c r="AF373" s="1" t="s">
        <v>42</v>
      </c>
    </row>
    <row r="374" spans="1:32" x14ac:dyDescent="0.25">
      <c r="A374" s="1" t="s">
        <v>32</v>
      </c>
      <c r="B374" s="1" t="s">
        <v>33</v>
      </c>
      <c r="C374" s="1" t="s">
        <v>34</v>
      </c>
      <c r="D374" s="1" t="s">
        <v>42</v>
      </c>
      <c r="E374" s="1" t="s">
        <v>271</v>
      </c>
      <c r="F374" s="2">
        <v>46279</v>
      </c>
      <c r="G374" s="1" t="s">
        <v>272</v>
      </c>
      <c r="H374" s="3">
        <v>46279.416666666701</v>
      </c>
      <c r="I374" s="1" t="s">
        <v>38</v>
      </c>
      <c r="J374" s="2">
        <v>46279</v>
      </c>
      <c r="K374" s="3">
        <v>46279.416666666701</v>
      </c>
      <c r="L374" s="1" t="s">
        <v>39</v>
      </c>
      <c r="M374" s="1" t="s">
        <v>40</v>
      </c>
      <c r="N374" s="1" t="s">
        <v>41</v>
      </c>
      <c r="O374" s="1" t="s">
        <v>42</v>
      </c>
      <c r="Q374" s="1" t="s">
        <v>42</v>
      </c>
      <c r="R374" s="1" t="s">
        <v>175</v>
      </c>
      <c r="S374" s="1" t="s">
        <v>176</v>
      </c>
      <c r="T374" s="4">
        <v>9.6</v>
      </c>
      <c r="W374" s="4">
        <v>-9.6</v>
      </c>
      <c r="X374" s="1" t="s">
        <v>67</v>
      </c>
      <c r="Y374" s="1" t="s">
        <v>68</v>
      </c>
      <c r="Z374" s="1" t="s">
        <v>42</v>
      </c>
      <c r="AD374" s="1" t="s">
        <v>42</v>
      </c>
      <c r="AF374" s="1" t="s">
        <v>42</v>
      </c>
    </row>
    <row r="375" spans="1:32" x14ac:dyDescent="0.25">
      <c r="A375" s="1" t="s">
        <v>32</v>
      </c>
      <c r="B375" s="1" t="s">
        <v>33</v>
      </c>
      <c r="C375" s="1" t="s">
        <v>34</v>
      </c>
      <c r="D375" s="1" t="s">
        <v>42</v>
      </c>
      <c r="E375" s="1" t="s">
        <v>271</v>
      </c>
      <c r="F375" s="2">
        <v>46279</v>
      </c>
      <c r="G375" s="1" t="s">
        <v>272</v>
      </c>
      <c r="H375" s="3">
        <v>46279.416666666701</v>
      </c>
      <c r="I375" s="1" t="s">
        <v>38</v>
      </c>
      <c r="J375" s="2">
        <v>46279</v>
      </c>
      <c r="K375" s="3">
        <v>46279.416666666701</v>
      </c>
      <c r="L375" s="1" t="s">
        <v>39</v>
      </c>
      <c r="M375" s="1" t="s">
        <v>40</v>
      </c>
      <c r="N375" s="1" t="s">
        <v>41</v>
      </c>
      <c r="O375" s="1" t="s">
        <v>42</v>
      </c>
      <c r="Q375" s="1" t="s">
        <v>42</v>
      </c>
      <c r="R375" s="1" t="s">
        <v>177</v>
      </c>
      <c r="S375" s="1" t="s">
        <v>178</v>
      </c>
      <c r="T375" s="4">
        <v>37.799999999999997</v>
      </c>
      <c r="W375" s="4">
        <v>-37.799999999999997</v>
      </c>
      <c r="X375" s="1" t="s">
        <v>67</v>
      </c>
      <c r="Y375" s="1" t="s">
        <v>68</v>
      </c>
      <c r="Z375" s="1" t="s">
        <v>42</v>
      </c>
      <c r="AD375" s="1" t="s">
        <v>42</v>
      </c>
      <c r="AF375" s="1" t="s">
        <v>42</v>
      </c>
    </row>
    <row r="376" spans="1:32" x14ac:dyDescent="0.25">
      <c r="A376" s="1" t="s">
        <v>32</v>
      </c>
      <c r="B376" s="1" t="s">
        <v>33</v>
      </c>
      <c r="C376" s="1" t="s">
        <v>34</v>
      </c>
      <c r="D376" s="1" t="s">
        <v>42</v>
      </c>
      <c r="E376" s="1" t="s">
        <v>271</v>
      </c>
      <c r="F376" s="2">
        <v>46279</v>
      </c>
      <c r="G376" s="1" t="s">
        <v>272</v>
      </c>
      <c r="H376" s="3">
        <v>46279.416666666701</v>
      </c>
      <c r="I376" s="1" t="s">
        <v>38</v>
      </c>
      <c r="J376" s="2">
        <v>46279</v>
      </c>
      <c r="K376" s="3">
        <v>46279.416666666701</v>
      </c>
      <c r="L376" s="1" t="s">
        <v>39</v>
      </c>
      <c r="M376" s="1" t="s">
        <v>40</v>
      </c>
      <c r="N376" s="1" t="s">
        <v>41</v>
      </c>
      <c r="O376" s="1" t="s">
        <v>42</v>
      </c>
      <c r="Q376" s="1" t="s">
        <v>42</v>
      </c>
      <c r="R376" s="1" t="s">
        <v>266</v>
      </c>
      <c r="S376" s="1" t="s">
        <v>267</v>
      </c>
      <c r="T376" s="4">
        <v>86.4</v>
      </c>
      <c r="U376" s="4">
        <v>86.4</v>
      </c>
      <c r="V376" s="4">
        <v>86.4</v>
      </c>
      <c r="Z376" s="1" t="s">
        <v>42</v>
      </c>
      <c r="AD376" s="1" t="s">
        <v>42</v>
      </c>
      <c r="AF376" s="1" t="s">
        <v>42</v>
      </c>
    </row>
    <row r="377" spans="1:32" x14ac:dyDescent="0.25">
      <c r="A377" s="1" t="s">
        <v>32</v>
      </c>
      <c r="B377" s="1" t="s">
        <v>33</v>
      </c>
      <c r="C377" s="1" t="s">
        <v>34</v>
      </c>
      <c r="D377" s="1" t="s">
        <v>42</v>
      </c>
      <c r="E377" s="1" t="s">
        <v>271</v>
      </c>
      <c r="F377" s="2">
        <v>46279</v>
      </c>
      <c r="G377" s="1" t="s">
        <v>272</v>
      </c>
      <c r="H377" s="3">
        <v>46279.416666666701</v>
      </c>
      <c r="I377" s="1" t="s">
        <v>38</v>
      </c>
      <c r="J377" s="2">
        <v>46279</v>
      </c>
      <c r="K377" s="3">
        <v>46279.416666666701</v>
      </c>
      <c r="L377" s="1" t="s">
        <v>39</v>
      </c>
      <c r="M377" s="1" t="s">
        <v>40</v>
      </c>
      <c r="N377" s="1" t="s">
        <v>41</v>
      </c>
      <c r="O377" s="1" t="s">
        <v>42</v>
      </c>
      <c r="Q377" s="1" t="s">
        <v>42</v>
      </c>
      <c r="R377" s="1" t="s">
        <v>179</v>
      </c>
      <c r="S377" s="1" t="s">
        <v>180</v>
      </c>
      <c r="T377" s="4">
        <v>52.8</v>
      </c>
      <c r="U377" s="4">
        <v>52.8</v>
      </c>
      <c r="V377" s="4">
        <v>52.8</v>
      </c>
      <c r="Z377" s="1" t="s">
        <v>42</v>
      </c>
      <c r="AD377" s="1" t="s">
        <v>42</v>
      </c>
      <c r="AF377" s="1" t="s">
        <v>42</v>
      </c>
    </row>
    <row r="378" spans="1:32" x14ac:dyDescent="0.25">
      <c r="A378" s="1" t="s">
        <v>32</v>
      </c>
      <c r="B378" s="1" t="s">
        <v>33</v>
      </c>
      <c r="C378" s="1" t="s">
        <v>34</v>
      </c>
      <c r="D378" s="1" t="s">
        <v>42</v>
      </c>
      <c r="E378" s="1" t="s">
        <v>271</v>
      </c>
      <c r="F378" s="2">
        <v>46279</v>
      </c>
      <c r="G378" s="1" t="s">
        <v>272</v>
      </c>
      <c r="H378" s="3">
        <v>46279.416666666701</v>
      </c>
      <c r="I378" s="1" t="s">
        <v>38</v>
      </c>
      <c r="J378" s="2">
        <v>46279</v>
      </c>
      <c r="K378" s="3">
        <v>46279.416666666701</v>
      </c>
      <c r="L378" s="1" t="s">
        <v>39</v>
      </c>
      <c r="M378" s="1" t="s">
        <v>40</v>
      </c>
      <c r="N378" s="1" t="s">
        <v>41</v>
      </c>
      <c r="O378" s="1" t="s">
        <v>42</v>
      </c>
      <c r="Q378" s="1" t="s">
        <v>42</v>
      </c>
      <c r="R378" s="1" t="s">
        <v>183</v>
      </c>
      <c r="S378" s="1" t="s">
        <v>184</v>
      </c>
      <c r="T378" s="4">
        <v>63.36</v>
      </c>
      <c r="U378" s="4">
        <v>63.36</v>
      </c>
      <c r="V378" s="4">
        <v>63.36</v>
      </c>
      <c r="Z378" s="1" t="s">
        <v>42</v>
      </c>
      <c r="AD378" s="1" t="s">
        <v>42</v>
      </c>
      <c r="AF378" s="1" t="s">
        <v>42</v>
      </c>
    </row>
    <row r="379" spans="1:32" x14ac:dyDescent="0.25">
      <c r="A379" s="1" t="s">
        <v>32</v>
      </c>
      <c r="B379" s="1" t="s">
        <v>33</v>
      </c>
      <c r="C379" s="1" t="s">
        <v>34</v>
      </c>
      <c r="D379" s="1" t="s">
        <v>42</v>
      </c>
      <c r="E379" s="1" t="s">
        <v>271</v>
      </c>
      <c r="F379" s="2">
        <v>46279</v>
      </c>
      <c r="G379" s="1" t="s">
        <v>272</v>
      </c>
      <c r="H379" s="3">
        <v>46279.416666666701</v>
      </c>
      <c r="I379" s="1" t="s">
        <v>38</v>
      </c>
      <c r="J379" s="2">
        <v>46279</v>
      </c>
      <c r="K379" s="3">
        <v>46279.416666666701</v>
      </c>
      <c r="L379" s="1" t="s">
        <v>39</v>
      </c>
      <c r="M379" s="1" t="s">
        <v>40</v>
      </c>
      <c r="N379" s="1" t="s">
        <v>41</v>
      </c>
      <c r="O379" s="1" t="s">
        <v>42</v>
      </c>
      <c r="Q379" s="1" t="s">
        <v>42</v>
      </c>
      <c r="R379" s="1" t="s">
        <v>185</v>
      </c>
      <c r="S379" s="1" t="s">
        <v>186</v>
      </c>
      <c r="T379" s="4">
        <v>95.04</v>
      </c>
      <c r="U379" s="4">
        <v>95.04</v>
      </c>
      <c r="V379" s="4">
        <v>95.04</v>
      </c>
      <c r="Z379" s="1" t="s">
        <v>42</v>
      </c>
      <c r="AD379" s="1" t="s">
        <v>42</v>
      </c>
      <c r="AF379" s="1" t="s">
        <v>42</v>
      </c>
    </row>
    <row r="380" spans="1:32" x14ac:dyDescent="0.25">
      <c r="A380" s="1" t="s">
        <v>32</v>
      </c>
      <c r="B380" s="1" t="s">
        <v>33</v>
      </c>
      <c r="C380" s="1" t="s">
        <v>34</v>
      </c>
      <c r="D380" s="1" t="s">
        <v>42</v>
      </c>
      <c r="E380" s="1" t="s">
        <v>271</v>
      </c>
      <c r="F380" s="2">
        <v>46279</v>
      </c>
      <c r="G380" s="1" t="s">
        <v>272</v>
      </c>
      <c r="H380" s="3">
        <v>46279.416666666701</v>
      </c>
      <c r="I380" s="1" t="s">
        <v>38</v>
      </c>
      <c r="J380" s="2">
        <v>46279</v>
      </c>
      <c r="K380" s="3">
        <v>46279.416666666701</v>
      </c>
      <c r="L380" s="1" t="s">
        <v>39</v>
      </c>
      <c r="M380" s="1" t="s">
        <v>40</v>
      </c>
      <c r="N380" s="1" t="s">
        <v>41</v>
      </c>
      <c r="O380" s="1" t="s">
        <v>42</v>
      </c>
      <c r="Q380" s="1" t="s">
        <v>42</v>
      </c>
      <c r="R380" s="1" t="s">
        <v>187</v>
      </c>
      <c r="S380" s="1" t="s">
        <v>188</v>
      </c>
      <c r="T380" s="4">
        <v>153.12</v>
      </c>
      <c r="U380" s="4">
        <v>153.12</v>
      </c>
      <c r="V380" s="4">
        <v>153.12</v>
      </c>
      <c r="Z380" s="1" t="s">
        <v>42</v>
      </c>
      <c r="AD380" s="1" t="s">
        <v>42</v>
      </c>
      <c r="AF380" s="1" t="s">
        <v>42</v>
      </c>
    </row>
    <row r="381" spans="1:32" x14ac:dyDescent="0.25">
      <c r="A381" s="1" t="s">
        <v>32</v>
      </c>
      <c r="B381" s="1" t="s">
        <v>33</v>
      </c>
      <c r="C381" s="1" t="s">
        <v>34</v>
      </c>
      <c r="D381" s="1" t="s">
        <v>42</v>
      </c>
      <c r="E381" s="1" t="s">
        <v>271</v>
      </c>
      <c r="F381" s="2">
        <v>46279</v>
      </c>
      <c r="G381" s="1" t="s">
        <v>272</v>
      </c>
      <c r="H381" s="3">
        <v>46279.416666666701</v>
      </c>
      <c r="I381" s="1" t="s">
        <v>38</v>
      </c>
      <c r="J381" s="2">
        <v>46279</v>
      </c>
      <c r="K381" s="3">
        <v>46279.416666666701</v>
      </c>
      <c r="L381" s="1" t="s">
        <v>39</v>
      </c>
      <c r="M381" s="1" t="s">
        <v>40</v>
      </c>
      <c r="N381" s="1" t="s">
        <v>41</v>
      </c>
      <c r="O381" s="1" t="s">
        <v>42</v>
      </c>
      <c r="Q381" s="1" t="s">
        <v>42</v>
      </c>
      <c r="R381" s="1" t="s">
        <v>220</v>
      </c>
      <c r="S381" s="1" t="s">
        <v>221</v>
      </c>
      <c r="T381" s="4">
        <v>253.44</v>
      </c>
      <c r="U381" s="4">
        <v>253.44</v>
      </c>
      <c r="V381" s="4">
        <v>253.44</v>
      </c>
      <c r="Z381" s="1" t="s">
        <v>42</v>
      </c>
      <c r="AD381" s="1" t="s">
        <v>42</v>
      </c>
      <c r="AF381" s="1" t="s">
        <v>42</v>
      </c>
    </row>
    <row r="382" spans="1:32" x14ac:dyDescent="0.25">
      <c r="A382" s="1" t="s">
        <v>32</v>
      </c>
      <c r="B382" s="1" t="s">
        <v>33</v>
      </c>
      <c r="C382" s="1" t="s">
        <v>34</v>
      </c>
      <c r="D382" s="1" t="s">
        <v>42</v>
      </c>
      <c r="E382" s="1" t="s">
        <v>271</v>
      </c>
      <c r="F382" s="2">
        <v>46279</v>
      </c>
      <c r="G382" s="1" t="s">
        <v>272</v>
      </c>
      <c r="H382" s="3">
        <v>46279.416666666701</v>
      </c>
      <c r="I382" s="1" t="s">
        <v>38</v>
      </c>
      <c r="J382" s="2">
        <v>46279</v>
      </c>
      <c r="K382" s="3">
        <v>46279.416666666701</v>
      </c>
      <c r="L382" s="1" t="s">
        <v>39</v>
      </c>
      <c r="M382" s="1" t="s">
        <v>40</v>
      </c>
      <c r="N382" s="1" t="s">
        <v>41</v>
      </c>
      <c r="O382" s="1" t="s">
        <v>42</v>
      </c>
      <c r="Q382" s="1" t="s">
        <v>42</v>
      </c>
      <c r="R382" s="1" t="s">
        <v>189</v>
      </c>
      <c r="S382" s="1" t="s">
        <v>190</v>
      </c>
      <c r="T382" s="4">
        <v>31.68</v>
      </c>
      <c r="U382" s="4">
        <v>31.68</v>
      </c>
      <c r="V382" s="4">
        <v>31.68</v>
      </c>
      <c r="Z382" s="1" t="s">
        <v>42</v>
      </c>
      <c r="AD382" s="1" t="s">
        <v>42</v>
      </c>
      <c r="AF382" s="1" t="s">
        <v>42</v>
      </c>
    </row>
    <row r="383" spans="1:32" x14ac:dyDescent="0.25">
      <c r="A383" s="1" t="s">
        <v>32</v>
      </c>
      <c r="B383" s="1" t="s">
        <v>33</v>
      </c>
      <c r="C383" s="1" t="s">
        <v>34</v>
      </c>
      <c r="D383" s="1" t="s">
        <v>42</v>
      </c>
      <c r="E383" s="1" t="s">
        <v>271</v>
      </c>
      <c r="F383" s="2">
        <v>46279</v>
      </c>
      <c r="G383" s="1" t="s">
        <v>272</v>
      </c>
      <c r="H383" s="3">
        <v>46279.416666666701</v>
      </c>
      <c r="I383" s="1" t="s">
        <v>38</v>
      </c>
      <c r="J383" s="2">
        <v>46279</v>
      </c>
      <c r="K383" s="3">
        <v>46279.416666666701</v>
      </c>
      <c r="L383" s="1" t="s">
        <v>39</v>
      </c>
      <c r="M383" s="1" t="s">
        <v>40</v>
      </c>
      <c r="N383" s="1" t="s">
        <v>41</v>
      </c>
      <c r="O383" s="1" t="s">
        <v>42</v>
      </c>
      <c r="Q383" s="1" t="s">
        <v>42</v>
      </c>
      <c r="R383" s="1" t="s">
        <v>191</v>
      </c>
      <c r="S383" s="1" t="s">
        <v>192</v>
      </c>
      <c r="T383" s="4">
        <v>19.2</v>
      </c>
      <c r="U383" s="4">
        <v>19.2</v>
      </c>
      <c r="V383" s="4">
        <v>19.2</v>
      </c>
      <c r="Z383" s="1" t="s">
        <v>42</v>
      </c>
      <c r="AD383" s="1" t="s">
        <v>42</v>
      </c>
      <c r="AF383" s="1" t="s">
        <v>42</v>
      </c>
    </row>
    <row r="384" spans="1:32" x14ac:dyDescent="0.25">
      <c r="A384" s="1" t="s">
        <v>32</v>
      </c>
      <c r="B384" s="1" t="s">
        <v>33</v>
      </c>
      <c r="C384" s="1" t="s">
        <v>34</v>
      </c>
      <c r="D384" s="1" t="s">
        <v>42</v>
      </c>
      <c r="E384" s="1" t="s">
        <v>271</v>
      </c>
      <c r="F384" s="2">
        <v>46279</v>
      </c>
      <c r="G384" s="1" t="s">
        <v>272</v>
      </c>
      <c r="H384" s="3">
        <v>46279.416666666701</v>
      </c>
      <c r="I384" s="1" t="s">
        <v>38</v>
      </c>
      <c r="J384" s="2">
        <v>46279</v>
      </c>
      <c r="K384" s="3">
        <v>46279.416666666701</v>
      </c>
      <c r="L384" s="1" t="s">
        <v>39</v>
      </c>
      <c r="M384" s="1" t="s">
        <v>40</v>
      </c>
      <c r="N384" s="1" t="s">
        <v>41</v>
      </c>
      <c r="O384" s="1" t="s">
        <v>42</v>
      </c>
      <c r="Q384" s="1" t="s">
        <v>42</v>
      </c>
      <c r="R384" s="1" t="s">
        <v>193</v>
      </c>
      <c r="S384" s="1" t="s">
        <v>194</v>
      </c>
      <c r="T384" s="4">
        <v>36</v>
      </c>
      <c r="W384" s="4">
        <v>-36</v>
      </c>
      <c r="X384" s="1" t="s">
        <v>67</v>
      </c>
      <c r="Y384" s="1" t="s">
        <v>68</v>
      </c>
      <c r="Z384" s="1" t="s">
        <v>42</v>
      </c>
      <c r="AD384" s="1" t="s">
        <v>42</v>
      </c>
      <c r="AF384" s="1" t="s">
        <v>42</v>
      </c>
    </row>
    <row r="385" spans="1:32" x14ac:dyDescent="0.25">
      <c r="A385" s="1" t="s">
        <v>32</v>
      </c>
      <c r="B385" s="1" t="s">
        <v>33</v>
      </c>
      <c r="C385" s="1" t="s">
        <v>34</v>
      </c>
      <c r="D385" s="1" t="s">
        <v>42</v>
      </c>
      <c r="E385" s="1" t="s">
        <v>271</v>
      </c>
      <c r="F385" s="2">
        <v>46279</v>
      </c>
      <c r="G385" s="1" t="s">
        <v>272</v>
      </c>
      <c r="H385" s="3">
        <v>46279.416666666701</v>
      </c>
      <c r="I385" s="1" t="s">
        <v>38</v>
      </c>
      <c r="J385" s="2">
        <v>46279</v>
      </c>
      <c r="K385" s="3">
        <v>46279.416666666701</v>
      </c>
      <c r="L385" s="1" t="s">
        <v>39</v>
      </c>
      <c r="M385" s="1" t="s">
        <v>40</v>
      </c>
      <c r="N385" s="1" t="s">
        <v>41</v>
      </c>
      <c r="O385" s="1" t="s">
        <v>42</v>
      </c>
      <c r="Q385" s="1" t="s">
        <v>42</v>
      </c>
      <c r="R385" s="1" t="s">
        <v>279</v>
      </c>
      <c r="S385" s="1" t="s">
        <v>280</v>
      </c>
      <c r="T385" s="4">
        <v>14.4</v>
      </c>
      <c r="U385" s="4">
        <v>14.4</v>
      </c>
      <c r="V385" s="4">
        <v>14.4</v>
      </c>
      <c r="Z385" s="1" t="s">
        <v>42</v>
      </c>
      <c r="AD385" s="1" t="s">
        <v>42</v>
      </c>
      <c r="AF385" s="1" t="s">
        <v>42</v>
      </c>
    </row>
    <row r="386" spans="1:32" x14ac:dyDescent="0.25">
      <c r="A386" s="1" t="s">
        <v>32</v>
      </c>
      <c r="B386" s="1" t="s">
        <v>33</v>
      </c>
      <c r="C386" s="1" t="s">
        <v>34</v>
      </c>
      <c r="D386" s="1" t="s">
        <v>42</v>
      </c>
      <c r="E386" s="1" t="s">
        <v>281</v>
      </c>
      <c r="F386" s="2">
        <v>46279</v>
      </c>
      <c r="G386" s="1" t="s">
        <v>282</v>
      </c>
      <c r="H386" s="3">
        <v>46279.416666666701</v>
      </c>
      <c r="I386" s="1" t="s">
        <v>254</v>
      </c>
      <c r="J386" s="2">
        <v>46279</v>
      </c>
      <c r="K386" s="3">
        <v>46279.416666666701</v>
      </c>
      <c r="L386" s="1" t="s">
        <v>255</v>
      </c>
      <c r="M386" s="1" t="s">
        <v>40</v>
      </c>
      <c r="N386" s="1" t="s">
        <v>41</v>
      </c>
      <c r="O386" s="1" t="s">
        <v>42</v>
      </c>
      <c r="Q386" s="1" t="s">
        <v>42</v>
      </c>
      <c r="R386" s="1" t="s">
        <v>195</v>
      </c>
      <c r="S386" s="1" t="s">
        <v>196</v>
      </c>
      <c r="T386" s="4">
        <v>140.4</v>
      </c>
      <c r="U386" s="4">
        <v>140.4</v>
      </c>
      <c r="V386" s="4">
        <v>140.4</v>
      </c>
      <c r="Z386" s="1" t="s">
        <v>42</v>
      </c>
      <c r="AD386" s="1" t="s">
        <v>42</v>
      </c>
      <c r="AF386" s="1" t="s">
        <v>42</v>
      </c>
    </row>
    <row r="387" spans="1:32" x14ac:dyDescent="0.25">
      <c r="A387" s="1" t="s">
        <v>32</v>
      </c>
      <c r="B387" s="1" t="s">
        <v>33</v>
      </c>
      <c r="C387" s="1" t="s">
        <v>34</v>
      </c>
      <c r="D387" s="1" t="s">
        <v>42</v>
      </c>
      <c r="E387" s="1" t="s">
        <v>281</v>
      </c>
      <c r="F387" s="2">
        <v>46279</v>
      </c>
      <c r="G387" s="1" t="s">
        <v>282</v>
      </c>
      <c r="H387" s="3">
        <v>46279.416666666701</v>
      </c>
      <c r="I387" s="1" t="s">
        <v>254</v>
      </c>
      <c r="J387" s="2">
        <v>46279</v>
      </c>
      <c r="K387" s="3">
        <v>46279.416666666701</v>
      </c>
      <c r="L387" s="1" t="s">
        <v>255</v>
      </c>
      <c r="M387" s="1" t="s">
        <v>40</v>
      </c>
      <c r="N387" s="1" t="s">
        <v>41</v>
      </c>
      <c r="O387" s="1" t="s">
        <v>42</v>
      </c>
      <c r="Q387" s="1" t="s">
        <v>42</v>
      </c>
      <c r="R387" s="1" t="s">
        <v>228</v>
      </c>
      <c r="S387" s="1" t="s">
        <v>229</v>
      </c>
      <c r="T387" s="4">
        <v>33.6</v>
      </c>
      <c r="U387" s="4">
        <v>33.6</v>
      </c>
      <c r="V387" s="4">
        <v>33.6</v>
      </c>
      <c r="Z387" s="1" t="s">
        <v>42</v>
      </c>
      <c r="AD387" s="1" t="s">
        <v>42</v>
      </c>
      <c r="AF387" s="1" t="s">
        <v>42</v>
      </c>
    </row>
    <row r="388" spans="1:32" x14ac:dyDescent="0.25">
      <c r="A388" s="1" t="s">
        <v>32</v>
      </c>
      <c r="B388" s="1" t="s">
        <v>33</v>
      </c>
      <c r="C388" s="1" t="s">
        <v>34</v>
      </c>
      <c r="D388" s="1" t="s">
        <v>42</v>
      </c>
      <c r="E388" s="1" t="s">
        <v>281</v>
      </c>
      <c r="F388" s="2">
        <v>46279</v>
      </c>
      <c r="G388" s="1" t="s">
        <v>282</v>
      </c>
      <c r="H388" s="3">
        <v>46279.416666666701</v>
      </c>
      <c r="I388" s="1" t="s">
        <v>254</v>
      </c>
      <c r="J388" s="2">
        <v>46279</v>
      </c>
      <c r="K388" s="3">
        <v>46279.416666666701</v>
      </c>
      <c r="L388" s="1" t="s">
        <v>255</v>
      </c>
      <c r="M388" s="1" t="s">
        <v>40</v>
      </c>
      <c r="N388" s="1" t="s">
        <v>41</v>
      </c>
      <c r="O388" s="1" t="s">
        <v>42</v>
      </c>
      <c r="Q388" s="1" t="s">
        <v>42</v>
      </c>
      <c r="R388" s="1" t="s">
        <v>201</v>
      </c>
      <c r="S388" s="1" t="s">
        <v>202</v>
      </c>
      <c r="T388" s="4">
        <v>86.4</v>
      </c>
      <c r="U388" s="4">
        <v>86.4</v>
      </c>
      <c r="V388" s="4">
        <v>86.4</v>
      </c>
      <c r="Z388" s="1" t="s">
        <v>42</v>
      </c>
      <c r="AD388" s="1" t="s">
        <v>42</v>
      </c>
      <c r="AF388" s="1" t="s">
        <v>42</v>
      </c>
    </row>
    <row r="389" spans="1:32" x14ac:dyDescent="0.25">
      <c r="A389" s="1" t="s">
        <v>32</v>
      </c>
      <c r="B389" s="1" t="s">
        <v>33</v>
      </c>
      <c r="C389" s="1" t="s">
        <v>34</v>
      </c>
      <c r="D389" s="1" t="s">
        <v>42</v>
      </c>
      <c r="E389" s="1" t="s">
        <v>281</v>
      </c>
      <c r="F389" s="2">
        <v>46279</v>
      </c>
      <c r="G389" s="1" t="s">
        <v>282</v>
      </c>
      <c r="H389" s="3">
        <v>46279.416666666701</v>
      </c>
      <c r="I389" s="1" t="s">
        <v>254</v>
      </c>
      <c r="J389" s="2">
        <v>46279</v>
      </c>
      <c r="K389" s="3">
        <v>46279.416666666701</v>
      </c>
      <c r="L389" s="1" t="s">
        <v>255</v>
      </c>
      <c r="M389" s="1" t="s">
        <v>40</v>
      </c>
      <c r="N389" s="1" t="s">
        <v>41</v>
      </c>
      <c r="O389" s="1" t="s">
        <v>42</v>
      </c>
      <c r="Q389" s="1" t="s">
        <v>42</v>
      </c>
      <c r="R389" s="1" t="s">
        <v>45</v>
      </c>
      <c r="S389" s="1" t="s">
        <v>46</v>
      </c>
      <c r="T389" s="4">
        <v>4</v>
      </c>
      <c r="U389" s="4">
        <v>4</v>
      </c>
      <c r="V389" s="4">
        <v>4</v>
      </c>
      <c r="Z389" s="1" t="s">
        <v>42</v>
      </c>
      <c r="AD389" s="1" t="s">
        <v>42</v>
      </c>
      <c r="AF389" s="1" t="s">
        <v>42</v>
      </c>
    </row>
    <row r="390" spans="1:32" x14ac:dyDescent="0.25">
      <c r="A390" s="1" t="s">
        <v>32</v>
      </c>
      <c r="B390" s="1" t="s">
        <v>33</v>
      </c>
      <c r="C390" s="1" t="s">
        <v>34</v>
      </c>
      <c r="D390" s="1" t="s">
        <v>42</v>
      </c>
      <c r="E390" s="1" t="s">
        <v>281</v>
      </c>
      <c r="F390" s="2">
        <v>46279</v>
      </c>
      <c r="G390" s="1" t="s">
        <v>282</v>
      </c>
      <c r="H390" s="3">
        <v>46279.416666666701</v>
      </c>
      <c r="I390" s="1" t="s">
        <v>254</v>
      </c>
      <c r="J390" s="2">
        <v>46279</v>
      </c>
      <c r="K390" s="3">
        <v>46279.416666666701</v>
      </c>
      <c r="L390" s="1" t="s">
        <v>255</v>
      </c>
      <c r="M390" s="1" t="s">
        <v>40</v>
      </c>
      <c r="N390" s="1" t="s">
        <v>41</v>
      </c>
      <c r="O390" s="1" t="s">
        <v>42</v>
      </c>
      <c r="Q390" s="1" t="s">
        <v>42</v>
      </c>
      <c r="R390" s="1" t="s">
        <v>256</v>
      </c>
      <c r="S390" s="1" t="s">
        <v>257</v>
      </c>
      <c r="T390" s="4">
        <v>90</v>
      </c>
      <c r="U390" s="4">
        <v>90</v>
      </c>
      <c r="V390" s="4">
        <v>90</v>
      </c>
      <c r="Z390" s="1" t="s">
        <v>42</v>
      </c>
      <c r="AD390" s="1" t="s">
        <v>42</v>
      </c>
      <c r="AF390" s="1" t="s">
        <v>42</v>
      </c>
    </row>
    <row r="391" spans="1:32" x14ac:dyDescent="0.25">
      <c r="A391" s="1" t="s">
        <v>32</v>
      </c>
      <c r="B391" s="1" t="s">
        <v>33</v>
      </c>
      <c r="C391" s="1" t="s">
        <v>34</v>
      </c>
      <c r="D391" s="1" t="s">
        <v>42</v>
      </c>
      <c r="E391" s="1" t="s">
        <v>281</v>
      </c>
      <c r="F391" s="2">
        <v>46279</v>
      </c>
      <c r="G391" s="1" t="s">
        <v>282</v>
      </c>
      <c r="H391" s="3">
        <v>46279.416666666701</v>
      </c>
      <c r="I391" s="1" t="s">
        <v>254</v>
      </c>
      <c r="J391" s="2">
        <v>46279</v>
      </c>
      <c r="K391" s="3">
        <v>46279.416666666701</v>
      </c>
      <c r="L391" s="1" t="s">
        <v>255</v>
      </c>
      <c r="M391" s="1" t="s">
        <v>40</v>
      </c>
      <c r="N391" s="1" t="s">
        <v>41</v>
      </c>
      <c r="O391" s="1" t="s">
        <v>42</v>
      </c>
      <c r="Q391" s="1" t="s">
        <v>42</v>
      </c>
      <c r="R391" s="1" t="s">
        <v>47</v>
      </c>
      <c r="S391" s="1" t="s">
        <v>48</v>
      </c>
      <c r="T391" s="4">
        <v>156</v>
      </c>
      <c r="U391" s="4">
        <v>156</v>
      </c>
      <c r="V391" s="4">
        <v>156</v>
      </c>
      <c r="Z391" s="1" t="s">
        <v>42</v>
      </c>
      <c r="AD391" s="1" t="s">
        <v>42</v>
      </c>
      <c r="AF391" s="1" t="s">
        <v>42</v>
      </c>
    </row>
    <row r="392" spans="1:32" x14ac:dyDescent="0.25">
      <c r="A392" s="1" t="s">
        <v>32</v>
      </c>
      <c r="B392" s="1" t="s">
        <v>33</v>
      </c>
      <c r="C392" s="1" t="s">
        <v>34</v>
      </c>
      <c r="D392" s="1" t="s">
        <v>42</v>
      </c>
      <c r="E392" s="1" t="s">
        <v>281</v>
      </c>
      <c r="F392" s="2">
        <v>46279</v>
      </c>
      <c r="G392" s="1" t="s">
        <v>282</v>
      </c>
      <c r="H392" s="3">
        <v>46279.416666666701</v>
      </c>
      <c r="I392" s="1" t="s">
        <v>254</v>
      </c>
      <c r="J392" s="2">
        <v>46279</v>
      </c>
      <c r="K392" s="3">
        <v>46279.416666666701</v>
      </c>
      <c r="L392" s="1" t="s">
        <v>255</v>
      </c>
      <c r="M392" s="1" t="s">
        <v>40</v>
      </c>
      <c r="N392" s="1" t="s">
        <v>41</v>
      </c>
      <c r="O392" s="1" t="s">
        <v>42</v>
      </c>
      <c r="Q392" s="1" t="s">
        <v>42</v>
      </c>
      <c r="R392" s="1" t="s">
        <v>49</v>
      </c>
      <c r="S392" s="1" t="s">
        <v>50</v>
      </c>
      <c r="T392" s="4">
        <v>259.2</v>
      </c>
      <c r="U392" s="4">
        <v>259.2</v>
      </c>
      <c r="V392" s="4">
        <v>259.2</v>
      </c>
      <c r="Z392" s="1" t="s">
        <v>42</v>
      </c>
      <c r="AD392" s="1" t="s">
        <v>42</v>
      </c>
      <c r="AF392" s="1" t="s">
        <v>42</v>
      </c>
    </row>
    <row r="393" spans="1:32" x14ac:dyDescent="0.25">
      <c r="A393" s="1" t="s">
        <v>32</v>
      </c>
      <c r="B393" s="1" t="s">
        <v>33</v>
      </c>
      <c r="C393" s="1" t="s">
        <v>34</v>
      </c>
      <c r="D393" s="1" t="s">
        <v>42</v>
      </c>
      <c r="E393" s="1" t="s">
        <v>281</v>
      </c>
      <c r="F393" s="2">
        <v>46279</v>
      </c>
      <c r="G393" s="1" t="s">
        <v>282</v>
      </c>
      <c r="H393" s="3">
        <v>46279.416666666701</v>
      </c>
      <c r="I393" s="1" t="s">
        <v>254</v>
      </c>
      <c r="J393" s="2">
        <v>46279</v>
      </c>
      <c r="K393" s="3">
        <v>46279.416666666701</v>
      </c>
      <c r="L393" s="1" t="s">
        <v>255</v>
      </c>
      <c r="M393" s="1" t="s">
        <v>40</v>
      </c>
      <c r="N393" s="1" t="s">
        <v>41</v>
      </c>
      <c r="O393" s="1" t="s">
        <v>42</v>
      </c>
      <c r="Q393" s="1" t="s">
        <v>42</v>
      </c>
      <c r="R393" s="1" t="s">
        <v>51</v>
      </c>
      <c r="S393" s="1" t="s">
        <v>52</v>
      </c>
      <c r="T393" s="4">
        <v>243</v>
      </c>
      <c r="U393" s="4">
        <v>243</v>
      </c>
      <c r="V393" s="4">
        <v>243</v>
      </c>
      <c r="Z393" s="1" t="s">
        <v>42</v>
      </c>
      <c r="AD393" s="1" t="s">
        <v>42</v>
      </c>
      <c r="AF393" s="1" t="s">
        <v>42</v>
      </c>
    </row>
    <row r="394" spans="1:32" x14ac:dyDescent="0.25">
      <c r="A394" s="1" t="s">
        <v>32</v>
      </c>
      <c r="B394" s="1" t="s">
        <v>33</v>
      </c>
      <c r="C394" s="1" t="s">
        <v>34</v>
      </c>
      <c r="D394" s="1" t="s">
        <v>42</v>
      </c>
      <c r="E394" s="1" t="s">
        <v>281</v>
      </c>
      <c r="F394" s="2">
        <v>46279</v>
      </c>
      <c r="G394" s="1" t="s">
        <v>282</v>
      </c>
      <c r="H394" s="3">
        <v>46279.416666666701</v>
      </c>
      <c r="I394" s="1" t="s">
        <v>254</v>
      </c>
      <c r="J394" s="2">
        <v>46279</v>
      </c>
      <c r="K394" s="3">
        <v>46279.416666666701</v>
      </c>
      <c r="L394" s="1" t="s">
        <v>255</v>
      </c>
      <c r="M394" s="1" t="s">
        <v>40</v>
      </c>
      <c r="N394" s="1" t="s">
        <v>41</v>
      </c>
      <c r="O394" s="1" t="s">
        <v>42</v>
      </c>
      <c r="Q394" s="1" t="s">
        <v>42</v>
      </c>
      <c r="R394" s="1" t="s">
        <v>53</v>
      </c>
      <c r="S394" s="1" t="s">
        <v>54</v>
      </c>
      <c r="T394" s="4">
        <v>340.2</v>
      </c>
      <c r="U394" s="4">
        <v>340.2</v>
      </c>
      <c r="V394" s="4">
        <v>340.2</v>
      </c>
      <c r="Z394" s="1" t="s">
        <v>42</v>
      </c>
      <c r="AD394" s="1" t="s">
        <v>42</v>
      </c>
      <c r="AF394" s="1" t="s">
        <v>42</v>
      </c>
    </row>
    <row r="395" spans="1:32" x14ac:dyDescent="0.25">
      <c r="A395" s="1" t="s">
        <v>32</v>
      </c>
      <c r="B395" s="1" t="s">
        <v>33</v>
      </c>
      <c r="C395" s="1" t="s">
        <v>34</v>
      </c>
      <c r="D395" s="1" t="s">
        <v>42</v>
      </c>
      <c r="E395" s="1" t="s">
        <v>281</v>
      </c>
      <c r="F395" s="2">
        <v>46279</v>
      </c>
      <c r="G395" s="1" t="s">
        <v>282</v>
      </c>
      <c r="H395" s="3">
        <v>46279.416666666701</v>
      </c>
      <c r="I395" s="1" t="s">
        <v>254</v>
      </c>
      <c r="J395" s="2">
        <v>46279</v>
      </c>
      <c r="K395" s="3">
        <v>46279.416666666701</v>
      </c>
      <c r="L395" s="1" t="s">
        <v>255</v>
      </c>
      <c r="M395" s="1" t="s">
        <v>40</v>
      </c>
      <c r="N395" s="1" t="s">
        <v>41</v>
      </c>
      <c r="O395" s="1" t="s">
        <v>42</v>
      </c>
      <c r="Q395" s="1" t="s">
        <v>42</v>
      </c>
      <c r="R395" s="1" t="s">
        <v>205</v>
      </c>
      <c r="S395" s="1" t="s">
        <v>206</v>
      </c>
      <c r="T395" s="4">
        <v>10.8</v>
      </c>
      <c r="U395" s="4">
        <v>10.8</v>
      </c>
      <c r="V395" s="4">
        <v>10.8</v>
      </c>
      <c r="Z395" s="1" t="s">
        <v>42</v>
      </c>
      <c r="AD395" s="1" t="s">
        <v>42</v>
      </c>
      <c r="AF395" s="1" t="s">
        <v>42</v>
      </c>
    </row>
    <row r="396" spans="1:32" x14ac:dyDescent="0.25">
      <c r="A396" s="1" t="s">
        <v>32</v>
      </c>
      <c r="B396" s="1" t="s">
        <v>33</v>
      </c>
      <c r="C396" s="1" t="s">
        <v>34</v>
      </c>
      <c r="D396" s="1" t="s">
        <v>42</v>
      </c>
      <c r="E396" s="1" t="s">
        <v>281</v>
      </c>
      <c r="F396" s="2">
        <v>46279</v>
      </c>
      <c r="G396" s="1" t="s">
        <v>282</v>
      </c>
      <c r="H396" s="3">
        <v>46279.416666666701</v>
      </c>
      <c r="I396" s="1" t="s">
        <v>254</v>
      </c>
      <c r="J396" s="2">
        <v>46279</v>
      </c>
      <c r="K396" s="3">
        <v>46279.416666666701</v>
      </c>
      <c r="L396" s="1" t="s">
        <v>255</v>
      </c>
      <c r="M396" s="1" t="s">
        <v>40</v>
      </c>
      <c r="N396" s="1" t="s">
        <v>41</v>
      </c>
      <c r="O396" s="1" t="s">
        <v>42</v>
      </c>
      <c r="Q396" s="1" t="s">
        <v>42</v>
      </c>
      <c r="R396" s="1" t="s">
        <v>283</v>
      </c>
      <c r="S396" s="1" t="s">
        <v>284</v>
      </c>
      <c r="T396" s="4">
        <v>7.26</v>
      </c>
      <c r="U396" s="4">
        <v>7.26</v>
      </c>
      <c r="V396" s="4">
        <v>7.26</v>
      </c>
      <c r="Z396" s="1" t="s">
        <v>42</v>
      </c>
      <c r="AD396" s="1" t="s">
        <v>42</v>
      </c>
      <c r="AF396" s="1" t="s">
        <v>42</v>
      </c>
    </row>
    <row r="397" spans="1:32" x14ac:dyDescent="0.25">
      <c r="A397" s="1" t="s">
        <v>32</v>
      </c>
      <c r="B397" s="1" t="s">
        <v>33</v>
      </c>
      <c r="C397" s="1" t="s">
        <v>34</v>
      </c>
      <c r="D397" s="1" t="s">
        <v>42</v>
      </c>
      <c r="E397" s="1" t="s">
        <v>281</v>
      </c>
      <c r="F397" s="2">
        <v>46279</v>
      </c>
      <c r="G397" s="1" t="s">
        <v>282</v>
      </c>
      <c r="H397" s="3">
        <v>46279.416666666701</v>
      </c>
      <c r="I397" s="1" t="s">
        <v>254</v>
      </c>
      <c r="J397" s="2">
        <v>46279</v>
      </c>
      <c r="K397" s="3">
        <v>46279.416666666701</v>
      </c>
      <c r="L397" s="1" t="s">
        <v>255</v>
      </c>
      <c r="M397" s="1" t="s">
        <v>40</v>
      </c>
      <c r="N397" s="1" t="s">
        <v>41</v>
      </c>
      <c r="O397" s="1" t="s">
        <v>42</v>
      </c>
      <c r="Q397" s="1" t="s">
        <v>42</v>
      </c>
      <c r="R397" s="1" t="s">
        <v>207</v>
      </c>
      <c r="S397" s="1" t="s">
        <v>208</v>
      </c>
      <c r="T397" s="4">
        <v>121.5</v>
      </c>
      <c r="U397" s="4">
        <v>121.5</v>
      </c>
      <c r="V397" s="4">
        <v>121.5</v>
      </c>
      <c r="Z397" s="1" t="s">
        <v>42</v>
      </c>
      <c r="AD397" s="1" t="s">
        <v>42</v>
      </c>
      <c r="AF397" s="1" t="s">
        <v>42</v>
      </c>
    </row>
    <row r="398" spans="1:32" x14ac:dyDescent="0.25">
      <c r="A398" s="1" t="s">
        <v>32</v>
      </c>
      <c r="B398" s="1" t="s">
        <v>33</v>
      </c>
      <c r="C398" s="1" t="s">
        <v>34</v>
      </c>
      <c r="D398" s="1" t="s">
        <v>42</v>
      </c>
      <c r="E398" s="1" t="s">
        <v>281</v>
      </c>
      <c r="F398" s="2">
        <v>46279</v>
      </c>
      <c r="G398" s="1" t="s">
        <v>282</v>
      </c>
      <c r="H398" s="3">
        <v>46279.416666666701</v>
      </c>
      <c r="I398" s="1" t="s">
        <v>254</v>
      </c>
      <c r="J398" s="2">
        <v>46279</v>
      </c>
      <c r="K398" s="3">
        <v>46279.416666666701</v>
      </c>
      <c r="L398" s="1" t="s">
        <v>255</v>
      </c>
      <c r="M398" s="1" t="s">
        <v>40</v>
      </c>
      <c r="N398" s="1" t="s">
        <v>41</v>
      </c>
      <c r="O398" s="1" t="s">
        <v>42</v>
      </c>
      <c r="Q398" s="1" t="s">
        <v>42</v>
      </c>
      <c r="R398" s="1" t="s">
        <v>285</v>
      </c>
      <c r="S398" s="1" t="s">
        <v>286</v>
      </c>
      <c r="T398" s="4">
        <v>54</v>
      </c>
      <c r="U398" s="4">
        <v>54</v>
      </c>
      <c r="V398" s="4">
        <v>54</v>
      </c>
      <c r="Z398" s="1" t="s">
        <v>42</v>
      </c>
      <c r="AD398" s="1" t="s">
        <v>42</v>
      </c>
      <c r="AF398" s="1" t="s">
        <v>42</v>
      </c>
    </row>
    <row r="399" spans="1:32" x14ac:dyDescent="0.25">
      <c r="A399" s="1" t="s">
        <v>32</v>
      </c>
      <c r="B399" s="1" t="s">
        <v>33</v>
      </c>
      <c r="C399" s="1" t="s">
        <v>34</v>
      </c>
      <c r="D399" s="1" t="s">
        <v>42</v>
      </c>
      <c r="E399" s="1" t="s">
        <v>281</v>
      </c>
      <c r="F399" s="2">
        <v>46279</v>
      </c>
      <c r="G399" s="1" t="s">
        <v>282</v>
      </c>
      <c r="H399" s="3">
        <v>46279.416666666701</v>
      </c>
      <c r="I399" s="1" t="s">
        <v>254</v>
      </c>
      <c r="J399" s="2">
        <v>46279</v>
      </c>
      <c r="K399" s="3">
        <v>46279.416666666701</v>
      </c>
      <c r="L399" s="1" t="s">
        <v>255</v>
      </c>
      <c r="M399" s="1" t="s">
        <v>40</v>
      </c>
      <c r="N399" s="1" t="s">
        <v>41</v>
      </c>
      <c r="O399" s="1" t="s">
        <v>42</v>
      </c>
      <c r="Q399" s="1" t="s">
        <v>42</v>
      </c>
      <c r="R399" s="1" t="s">
        <v>287</v>
      </c>
      <c r="S399" s="1" t="s">
        <v>288</v>
      </c>
      <c r="T399" s="4">
        <v>33.6</v>
      </c>
      <c r="U399" s="4">
        <v>33.6</v>
      </c>
      <c r="V399" s="4">
        <v>33.6</v>
      </c>
      <c r="Z399" s="1" t="s">
        <v>42</v>
      </c>
      <c r="AD399" s="1" t="s">
        <v>42</v>
      </c>
      <c r="AF399" s="1" t="s">
        <v>42</v>
      </c>
    </row>
    <row r="400" spans="1:32" x14ac:dyDescent="0.25">
      <c r="A400" s="1" t="s">
        <v>32</v>
      </c>
      <c r="B400" s="1" t="s">
        <v>33</v>
      </c>
      <c r="C400" s="1" t="s">
        <v>34</v>
      </c>
      <c r="D400" s="1" t="s">
        <v>42</v>
      </c>
      <c r="E400" s="1" t="s">
        <v>281</v>
      </c>
      <c r="F400" s="2">
        <v>46279</v>
      </c>
      <c r="G400" s="1" t="s">
        <v>282</v>
      </c>
      <c r="H400" s="3">
        <v>46279.416666666701</v>
      </c>
      <c r="I400" s="1" t="s">
        <v>254</v>
      </c>
      <c r="J400" s="2">
        <v>46279</v>
      </c>
      <c r="K400" s="3">
        <v>46279.416666666701</v>
      </c>
      <c r="L400" s="1" t="s">
        <v>255</v>
      </c>
      <c r="M400" s="1" t="s">
        <v>40</v>
      </c>
      <c r="N400" s="1" t="s">
        <v>41</v>
      </c>
      <c r="O400" s="1" t="s">
        <v>42</v>
      </c>
      <c r="Q400" s="1" t="s">
        <v>42</v>
      </c>
      <c r="R400" s="1" t="s">
        <v>59</v>
      </c>
      <c r="S400" s="1" t="s">
        <v>60</v>
      </c>
      <c r="T400" s="4">
        <v>51.48</v>
      </c>
      <c r="U400" s="4">
        <v>51.48</v>
      </c>
      <c r="V400" s="4">
        <v>51.48</v>
      </c>
      <c r="Z400" s="1" t="s">
        <v>42</v>
      </c>
      <c r="AD400" s="1" t="s">
        <v>42</v>
      </c>
      <c r="AF400" s="1" t="s">
        <v>42</v>
      </c>
    </row>
    <row r="401" spans="1:32" x14ac:dyDescent="0.25">
      <c r="A401" s="1" t="s">
        <v>32</v>
      </c>
      <c r="B401" s="1" t="s">
        <v>33</v>
      </c>
      <c r="C401" s="1" t="s">
        <v>34</v>
      </c>
      <c r="D401" s="1" t="s">
        <v>42</v>
      </c>
      <c r="E401" s="1" t="s">
        <v>281</v>
      </c>
      <c r="F401" s="2">
        <v>46279</v>
      </c>
      <c r="G401" s="1" t="s">
        <v>282</v>
      </c>
      <c r="H401" s="3">
        <v>46279.416666666701</v>
      </c>
      <c r="I401" s="1" t="s">
        <v>254</v>
      </c>
      <c r="J401" s="2">
        <v>46279</v>
      </c>
      <c r="K401" s="3">
        <v>46279.416666666701</v>
      </c>
      <c r="L401" s="1" t="s">
        <v>255</v>
      </c>
      <c r="M401" s="1" t="s">
        <v>40</v>
      </c>
      <c r="N401" s="1" t="s">
        <v>41</v>
      </c>
      <c r="O401" s="1" t="s">
        <v>42</v>
      </c>
      <c r="Q401" s="1" t="s">
        <v>42</v>
      </c>
      <c r="R401" s="1" t="s">
        <v>258</v>
      </c>
      <c r="S401" s="1" t="s">
        <v>259</v>
      </c>
      <c r="T401" s="4">
        <v>57.6</v>
      </c>
      <c r="W401" s="4">
        <v>-57.6</v>
      </c>
      <c r="X401" s="1" t="s">
        <v>273</v>
      </c>
      <c r="Y401" s="1" t="s">
        <v>274</v>
      </c>
      <c r="Z401" s="1" t="s">
        <v>42</v>
      </c>
      <c r="AD401" s="1" t="s">
        <v>42</v>
      </c>
      <c r="AF401" s="1" t="s">
        <v>42</v>
      </c>
    </row>
    <row r="402" spans="1:32" x14ac:dyDescent="0.25">
      <c r="A402" s="1" t="s">
        <v>32</v>
      </c>
      <c r="B402" s="1" t="s">
        <v>33</v>
      </c>
      <c r="C402" s="1" t="s">
        <v>34</v>
      </c>
      <c r="D402" s="1" t="s">
        <v>42</v>
      </c>
      <c r="E402" s="1" t="s">
        <v>281</v>
      </c>
      <c r="F402" s="2">
        <v>46279</v>
      </c>
      <c r="G402" s="1" t="s">
        <v>282</v>
      </c>
      <c r="H402" s="3">
        <v>46279.416666666701</v>
      </c>
      <c r="I402" s="1" t="s">
        <v>254</v>
      </c>
      <c r="J402" s="2">
        <v>46279</v>
      </c>
      <c r="K402" s="3">
        <v>46279.416666666701</v>
      </c>
      <c r="L402" s="1" t="s">
        <v>255</v>
      </c>
      <c r="M402" s="1" t="s">
        <v>40</v>
      </c>
      <c r="N402" s="1" t="s">
        <v>41</v>
      </c>
      <c r="O402" s="1" t="s">
        <v>42</v>
      </c>
      <c r="Q402" s="1" t="s">
        <v>42</v>
      </c>
      <c r="R402" s="1" t="s">
        <v>61</v>
      </c>
      <c r="S402" s="1" t="s">
        <v>62</v>
      </c>
      <c r="T402" s="4">
        <v>78.400000000000006</v>
      </c>
      <c r="W402" s="4">
        <v>-78.400000000000006</v>
      </c>
      <c r="X402" s="1" t="s">
        <v>273</v>
      </c>
      <c r="Y402" s="1" t="s">
        <v>274</v>
      </c>
      <c r="Z402" s="1" t="s">
        <v>42</v>
      </c>
      <c r="AD402" s="1" t="s">
        <v>42</v>
      </c>
      <c r="AF402" s="1" t="s">
        <v>42</v>
      </c>
    </row>
    <row r="403" spans="1:32" x14ac:dyDescent="0.25">
      <c r="A403" s="1" t="s">
        <v>32</v>
      </c>
      <c r="B403" s="1" t="s">
        <v>33</v>
      </c>
      <c r="C403" s="1" t="s">
        <v>34</v>
      </c>
      <c r="D403" s="1" t="s">
        <v>42</v>
      </c>
      <c r="E403" s="1" t="s">
        <v>281</v>
      </c>
      <c r="F403" s="2">
        <v>46279</v>
      </c>
      <c r="G403" s="1" t="s">
        <v>282</v>
      </c>
      <c r="H403" s="3">
        <v>46279.416666666701</v>
      </c>
      <c r="I403" s="1" t="s">
        <v>254</v>
      </c>
      <c r="J403" s="2">
        <v>46279</v>
      </c>
      <c r="K403" s="3">
        <v>46279.416666666701</v>
      </c>
      <c r="L403" s="1" t="s">
        <v>255</v>
      </c>
      <c r="M403" s="1" t="s">
        <v>40</v>
      </c>
      <c r="N403" s="1" t="s">
        <v>41</v>
      </c>
      <c r="O403" s="1" t="s">
        <v>42</v>
      </c>
      <c r="Q403" s="1" t="s">
        <v>42</v>
      </c>
      <c r="R403" s="1" t="s">
        <v>63</v>
      </c>
      <c r="S403" s="1" t="s">
        <v>64</v>
      </c>
      <c r="T403" s="4">
        <v>60.72</v>
      </c>
      <c r="W403" s="4">
        <v>-60.72</v>
      </c>
      <c r="X403" s="1" t="s">
        <v>273</v>
      </c>
      <c r="Y403" s="1" t="s">
        <v>274</v>
      </c>
      <c r="Z403" s="1" t="s">
        <v>42</v>
      </c>
      <c r="AD403" s="1" t="s">
        <v>42</v>
      </c>
      <c r="AF403" s="1" t="s">
        <v>42</v>
      </c>
    </row>
    <row r="404" spans="1:32" x14ac:dyDescent="0.25">
      <c r="A404" s="1" t="s">
        <v>32</v>
      </c>
      <c r="B404" s="1" t="s">
        <v>33</v>
      </c>
      <c r="C404" s="1" t="s">
        <v>34</v>
      </c>
      <c r="D404" s="1" t="s">
        <v>42</v>
      </c>
      <c r="E404" s="1" t="s">
        <v>281</v>
      </c>
      <c r="F404" s="2">
        <v>46279</v>
      </c>
      <c r="G404" s="1" t="s">
        <v>282</v>
      </c>
      <c r="H404" s="3">
        <v>46279.416666666701</v>
      </c>
      <c r="I404" s="1" t="s">
        <v>254</v>
      </c>
      <c r="J404" s="2">
        <v>46279</v>
      </c>
      <c r="K404" s="3">
        <v>46279.416666666701</v>
      </c>
      <c r="L404" s="1" t="s">
        <v>255</v>
      </c>
      <c r="M404" s="1" t="s">
        <v>40</v>
      </c>
      <c r="N404" s="1" t="s">
        <v>41</v>
      </c>
      <c r="O404" s="1" t="s">
        <v>42</v>
      </c>
      <c r="Q404" s="1" t="s">
        <v>42</v>
      </c>
      <c r="R404" s="1" t="s">
        <v>238</v>
      </c>
      <c r="S404" s="1" t="s">
        <v>239</v>
      </c>
      <c r="T404" s="4">
        <v>24</v>
      </c>
      <c r="U404" s="4">
        <v>24</v>
      </c>
      <c r="V404" s="4">
        <v>24</v>
      </c>
      <c r="Z404" s="1" t="s">
        <v>42</v>
      </c>
      <c r="AD404" s="1" t="s">
        <v>42</v>
      </c>
      <c r="AF404" s="1" t="s">
        <v>42</v>
      </c>
    </row>
    <row r="405" spans="1:32" x14ac:dyDescent="0.25">
      <c r="A405" s="1" t="s">
        <v>32</v>
      </c>
      <c r="B405" s="1" t="s">
        <v>33</v>
      </c>
      <c r="C405" s="1" t="s">
        <v>34</v>
      </c>
      <c r="D405" s="1" t="s">
        <v>42</v>
      </c>
      <c r="E405" s="1" t="s">
        <v>281</v>
      </c>
      <c r="F405" s="2">
        <v>46279</v>
      </c>
      <c r="G405" s="1" t="s">
        <v>282</v>
      </c>
      <c r="H405" s="3">
        <v>46279.416666666701</v>
      </c>
      <c r="I405" s="1" t="s">
        <v>254</v>
      </c>
      <c r="J405" s="2">
        <v>46279</v>
      </c>
      <c r="K405" s="3">
        <v>46279.416666666701</v>
      </c>
      <c r="L405" s="1" t="s">
        <v>255</v>
      </c>
      <c r="M405" s="1" t="s">
        <v>40</v>
      </c>
      <c r="N405" s="1" t="s">
        <v>41</v>
      </c>
      <c r="O405" s="1" t="s">
        <v>42</v>
      </c>
      <c r="Q405" s="1" t="s">
        <v>42</v>
      </c>
      <c r="R405" s="1" t="s">
        <v>65</v>
      </c>
      <c r="S405" s="1" t="s">
        <v>66</v>
      </c>
      <c r="T405" s="4">
        <v>63</v>
      </c>
      <c r="W405" s="4">
        <v>-63</v>
      </c>
      <c r="X405" s="1" t="s">
        <v>67</v>
      </c>
      <c r="Y405" s="1" t="s">
        <v>68</v>
      </c>
      <c r="Z405" s="1" t="s">
        <v>42</v>
      </c>
      <c r="AD405" s="1" t="s">
        <v>42</v>
      </c>
      <c r="AF405" s="1" t="s">
        <v>42</v>
      </c>
    </row>
    <row r="406" spans="1:32" x14ac:dyDescent="0.25">
      <c r="A406" s="1" t="s">
        <v>32</v>
      </c>
      <c r="B406" s="1" t="s">
        <v>33</v>
      </c>
      <c r="C406" s="1" t="s">
        <v>34</v>
      </c>
      <c r="D406" s="1" t="s">
        <v>42</v>
      </c>
      <c r="E406" s="1" t="s">
        <v>281</v>
      </c>
      <c r="F406" s="2">
        <v>46279</v>
      </c>
      <c r="G406" s="1" t="s">
        <v>282</v>
      </c>
      <c r="H406" s="3">
        <v>46279.416666666701</v>
      </c>
      <c r="I406" s="1" t="s">
        <v>254</v>
      </c>
      <c r="J406" s="2">
        <v>46279</v>
      </c>
      <c r="K406" s="3">
        <v>46279.416666666701</v>
      </c>
      <c r="L406" s="1" t="s">
        <v>255</v>
      </c>
      <c r="M406" s="1" t="s">
        <v>40</v>
      </c>
      <c r="N406" s="1" t="s">
        <v>41</v>
      </c>
      <c r="O406" s="1" t="s">
        <v>42</v>
      </c>
      <c r="Q406" s="1" t="s">
        <v>42</v>
      </c>
      <c r="R406" s="1" t="s">
        <v>70</v>
      </c>
      <c r="S406" s="1" t="s">
        <v>71</v>
      </c>
      <c r="T406" s="4">
        <v>31.5</v>
      </c>
      <c r="U406" s="4">
        <v>31.5</v>
      </c>
      <c r="V406" s="4">
        <v>31.5</v>
      </c>
      <c r="Z406" s="1" t="s">
        <v>42</v>
      </c>
      <c r="AD406" s="1" t="s">
        <v>42</v>
      </c>
      <c r="AF406" s="1" t="s">
        <v>42</v>
      </c>
    </row>
    <row r="407" spans="1:32" x14ac:dyDescent="0.25">
      <c r="A407" s="1" t="s">
        <v>32</v>
      </c>
      <c r="B407" s="1" t="s">
        <v>33</v>
      </c>
      <c r="C407" s="1" t="s">
        <v>34</v>
      </c>
      <c r="D407" s="1" t="s">
        <v>42</v>
      </c>
      <c r="E407" s="1" t="s">
        <v>281</v>
      </c>
      <c r="F407" s="2">
        <v>46279</v>
      </c>
      <c r="G407" s="1" t="s">
        <v>282</v>
      </c>
      <c r="H407" s="3">
        <v>46279.416666666701</v>
      </c>
      <c r="I407" s="1" t="s">
        <v>254</v>
      </c>
      <c r="J407" s="2">
        <v>46279</v>
      </c>
      <c r="K407" s="3">
        <v>46279.416666666701</v>
      </c>
      <c r="L407" s="1" t="s">
        <v>255</v>
      </c>
      <c r="M407" s="1" t="s">
        <v>40</v>
      </c>
      <c r="N407" s="1" t="s">
        <v>41</v>
      </c>
      <c r="O407" s="1" t="s">
        <v>42</v>
      </c>
      <c r="Q407" s="1" t="s">
        <v>42</v>
      </c>
      <c r="R407" s="1" t="s">
        <v>74</v>
      </c>
      <c r="S407" s="1" t="s">
        <v>75</v>
      </c>
      <c r="T407" s="4">
        <v>101.5</v>
      </c>
      <c r="U407" s="4">
        <v>101.5</v>
      </c>
      <c r="V407" s="4">
        <v>101.5</v>
      </c>
      <c r="Z407" s="1" t="s">
        <v>42</v>
      </c>
      <c r="AD407" s="1" t="s">
        <v>42</v>
      </c>
      <c r="AF407" s="1" t="s">
        <v>42</v>
      </c>
    </row>
    <row r="408" spans="1:32" x14ac:dyDescent="0.25">
      <c r="A408" s="1" t="s">
        <v>32</v>
      </c>
      <c r="B408" s="1" t="s">
        <v>33</v>
      </c>
      <c r="C408" s="1" t="s">
        <v>34</v>
      </c>
      <c r="D408" s="1" t="s">
        <v>42</v>
      </c>
      <c r="E408" s="1" t="s">
        <v>281</v>
      </c>
      <c r="F408" s="2">
        <v>46279</v>
      </c>
      <c r="G408" s="1" t="s">
        <v>282</v>
      </c>
      <c r="H408" s="3">
        <v>46279.416666666701</v>
      </c>
      <c r="I408" s="1" t="s">
        <v>254</v>
      </c>
      <c r="J408" s="2">
        <v>46279</v>
      </c>
      <c r="K408" s="3">
        <v>46279.416666666701</v>
      </c>
      <c r="L408" s="1" t="s">
        <v>255</v>
      </c>
      <c r="M408" s="1" t="s">
        <v>40</v>
      </c>
      <c r="N408" s="1" t="s">
        <v>41</v>
      </c>
      <c r="O408" s="1" t="s">
        <v>42</v>
      </c>
      <c r="Q408" s="1" t="s">
        <v>42</v>
      </c>
      <c r="R408" s="1" t="s">
        <v>76</v>
      </c>
      <c r="S408" s="1" t="s">
        <v>77</v>
      </c>
      <c r="T408" s="4">
        <v>42</v>
      </c>
      <c r="U408" s="4">
        <v>42</v>
      </c>
      <c r="V408" s="4">
        <v>42</v>
      </c>
      <c r="Z408" s="1" t="s">
        <v>42</v>
      </c>
      <c r="AD408" s="1" t="s">
        <v>42</v>
      </c>
      <c r="AF408" s="1" t="s">
        <v>42</v>
      </c>
    </row>
    <row r="409" spans="1:32" x14ac:dyDescent="0.25">
      <c r="A409" s="1" t="s">
        <v>32</v>
      </c>
      <c r="B409" s="1" t="s">
        <v>33</v>
      </c>
      <c r="C409" s="1" t="s">
        <v>34</v>
      </c>
      <c r="D409" s="1" t="s">
        <v>42</v>
      </c>
      <c r="E409" s="1" t="s">
        <v>281</v>
      </c>
      <c r="F409" s="2">
        <v>46279</v>
      </c>
      <c r="G409" s="1" t="s">
        <v>282</v>
      </c>
      <c r="H409" s="3">
        <v>46279.416666666701</v>
      </c>
      <c r="I409" s="1" t="s">
        <v>254</v>
      </c>
      <c r="J409" s="2">
        <v>46279</v>
      </c>
      <c r="K409" s="3">
        <v>46279.416666666701</v>
      </c>
      <c r="L409" s="1" t="s">
        <v>255</v>
      </c>
      <c r="M409" s="1" t="s">
        <v>40</v>
      </c>
      <c r="N409" s="1" t="s">
        <v>41</v>
      </c>
      <c r="O409" s="1" t="s">
        <v>42</v>
      </c>
      <c r="Q409" s="1" t="s">
        <v>42</v>
      </c>
      <c r="R409" s="1" t="s">
        <v>242</v>
      </c>
      <c r="S409" s="1" t="s">
        <v>243</v>
      </c>
      <c r="T409" s="4">
        <v>3.6</v>
      </c>
      <c r="U409" s="4">
        <v>3.6</v>
      </c>
      <c r="V409" s="4">
        <v>3.6</v>
      </c>
      <c r="Z409" s="1" t="s">
        <v>42</v>
      </c>
      <c r="AD409" s="1" t="s">
        <v>42</v>
      </c>
      <c r="AF409" s="1" t="s">
        <v>42</v>
      </c>
    </row>
    <row r="410" spans="1:32" x14ac:dyDescent="0.25">
      <c r="A410" s="1" t="s">
        <v>32</v>
      </c>
      <c r="B410" s="1" t="s">
        <v>33</v>
      </c>
      <c r="C410" s="1" t="s">
        <v>34</v>
      </c>
      <c r="D410" s="1" t="s">
        <v>42</v>
      </c>
      <c r="E410" s="1" t="s">
        <v>281</v>
      </c>
      <c r="F410" s="2">
        <v>46279</v>
      </c>
      <c r="G410" s="1" t="s">
        <v>282</v>
      </c>
      <c r="H410" s="3">
        <v>46279.416666666701</v>
      </c>
      <c r="I410" s="1" t="s">
        <v>254</v>
      </c>
      <c r="J410" s="2">
        <v>46279</v>
      </c>
      <c r="K410" s="3">
        <v>46279.416666666701</v>
      </c>
      <c r="L410" s="1" t="s">
        <v>255</v>
      </c>
      <c r="M410" s="1" t="s">
        <v>40</v>
      </c>
      <c r="N410" s="1" t="s">
        <v>41</v>
      </c>
      <c r="O410" s="1" t="s">
        <v>42</v>
      </c>
      <c r="Q410" s="1" t="s">
        <v>42</v>
      </c>
      <c r="R410" s="1" t="s">
        <v>78</v>
      </c>
      <c r="S410" s="1" t="s">
        <v>79</v>
      </c>
      <c r="T410" s="4">
        <v>43.68</v>
      </c>
      <c r="U410" s="4">
        <v>43.68</v>
      </c>
      <c r="V410" s="4">
        <v>43.68</v>
      </c>
      <c r="Z410" s="1" t="s">
        <v>42</v>
      </c>
      <c r="AD410" s="1" t="s">
        <v>42</v>
      </c>
      <c r="AF410" s="1" t="s">
        <v>42</v>
      </c>
    </row>
    <row r="411" spans="1:32" x14ac:dyDescent="0.25">
      <c r="A411" s="1" t="s">
        <v>32</v>
      </c>
      <c r="B411" s="1" t="s">
        <v>33</v>
      </c>
      <c r="C411" s="1" t="s">
        <v>34</v>
      </c>
      <c r="D411" s="1" t="s">
        <v>42</v>
      </c>
      <c r="E411" s="1" t="s">
        <v>281</v>
      </c>
      <c r="F411" s="2">
        <v>46279</v>
      </c>
      <c r="G411" s="1" t="s">
        <v>282</v>
      </c>
      <c r="H411" s="3">
        <v>46279.416666666701</v>
      </c>
      <c r="I411" s="1" t="s">
        <v>254</v>
      </c>
      <c r="J411" s="2">
        <v>46279</v>
      </c>
      <c r="K411" s="3">
        <v>46279.416666666701</v>
      </c>
      <c r="L411" s="1" t="s">
        <v>255</v>
      </c>
      <c r="M411" s="1" t="s">
        <v>40</v>
      </c>
      <c r="N411" s="1" t="s">
        <v>41</v>
      </c>
      <c r="O411" s="1" t="s">
        <v>42</v>
      </c>
      <c r="Q411" s="1" t="s">
        <v>42</v>
      </c>
      <c r="R411" s="1" t="s">
        <v>81</v>
      </c>
      <c r="S411" s="1" t="s">
        <v>82</v>
      </c>
      <c r="T411" s="4">
        <v>42</v>
      </c>
      <c r="U411" s="4">
        <v>42</v>
      </c>
      <c r="V411" s="4">
        <v>42</v>
      </c>
      <c r="Z411" s="1" t="s">
        <v>42</v>
      </c>
      <c r="AD411" s="1" t="s">
        <v>42</v>
      </c>
      <c r="AF411" s="1" t="s">
        <v>42</v>
      </c>
    </row>
    <row r="412" spans="1:32" x14ac:dyDescent="0.25">
      <c r="A412" s="1" t="s">
        <v>32</v>
      </c>
      <c r="B412" s="1" t="s">
        <v>33</v>
      </c>
      <c r="C412" s="1" t="s">
        <v>34</v>
      </c>
      <c r="D412" s="1" t="s">
        <v>42</v>
      </c>
      <c r="E412" s="1" t="s">
        <v>281</v>
      </c>
      <c r="F412" s="2">
        <v>46279</v>
      </c>
      <c r="G412" s="1" t="s">
        <v>282</v>
      </c>
      <c r="H412" s="3">
        <v>46279.416666666701</v>
      </c>
      <c r="I412" s="1" t="s">
        <v>254</v>
      </c>
      <c r="J412" s="2">
        <v>46279</v>
      </c>
      <c r="K412" s="3">
        <v>46279.416666666701</v>
      </c>
      <c r="L412" s="1" t="s">
        <v>255</v>
      </c>
      <c r="M412" s="1" t="s">
        <v>40</v>
      </c>
      <c r="N412" s="1" t="s">
        <v>41</v>
      </c>
      <c r="O412" s="1" t="s">
        <v>42</v>
      </c>
      <c r="Q412" s="1" t="s">
        <v>42</v>
      </c>
      <c r="R412" s="1" t="s">
        <v>83</v>
      </c>
      <c r="S412" s="1" t="s">
        <v>84</v>
      </c>
      <c r="T412" s="4">
        <v>21</v>
      </c>
      <c r="U412" s="4">
        <v>21</v>
      </c>
      <c r="V412" s="4">
        <v>21</v>
      </c>
      <c r="Z412" s="1" t="s">
        <v>42</v>
      </c>
      <c r="AD412" s="1" t="s">
        <v>42</v>
      </c>
      <c r="AF412" s="1" t="s">
        <v>42</v>
      </c>
    </row>
    <row r="413" spans="1:32" x14ac:dyDescent="0.25">
      <c r="A413" s="1" t="s">
        <v>32</v>
      </c>
      <c r="B413" s="1" t="s">
        <v>33</v>
      </c>
      <c r="C413" s="1" t="s">
        <v>34</v>
      </c>
      <c r="D413" s="1" t="s">
        <v>42</v>
      </c>
      <c r="E413" s="1" t="s">
        <v>281</v>
      </c>
      <c r="F413" s="2">
        <v>46279</v>
      </c>
      <c r="G413" s="1" t="s">
        <v>282</v>
      </c>
      <c r="H413" s="3">
        <v>46279.416666666701</v>
      </c>
      <c r="I413" s="1" t="s">
        <v>254</v>
      </c>
      <c r="J413" s="2">
        <v>46279</v>
      </c>
      <c r="K413" s="3">
        <v>46279.416666666701</v>
      </c>
      <c r="L413" s="1" t="s">
        <v>255</v>
      </c>
      <c r="M413" s="1" t="s">
        <v>40</v>
      </c>
      <c r="N413" s="1" t="s">
        <v>41</v>
      </c>
      <c r="O413" s="1" t="s">
        <v>42</v>
      </c>
      <c r="Q413" s="1" t="s">
        <v>42</v>
      </c>
      <c r="R413" s="1" t="s">
        <v>85</v>
      </c>
      <c r="S413" s="1" t="s">
        <v>86</v>
      </c>
      <c r="T413" s="4">
        <v>50.4</v>
      </c>
      <c r="U413" s="4">
        <v>50.4</v>
      </c>
      <c r="V413" s="4">
        <v>50.4</v>
      </c>
      <c r="Z413" s="1" t="s">
        <v>42</v>
      </c>
      <c r="AD413" s="1" t="s">
        <v>42</v>
      </c>
      <c r="AF413" s="1" t="s">
        <v>42</v>
      </c>
    </row>
    <row r="414" spans="1:32" x14ac:dyDescent="0.25">
      <c r="A414" s="1" t="s">
        <v>32</v>
      </c>
      <c r="B414" s="1" t="s">
        <v>33</v>
      </c>
      <c r="C414" s="1" t="s">
        <v>34</v>
      </c>
      <c r="D414" s="1" t="s">
        <v>42</v>
      </c>
      <c r="E414" s="1" t="s">
        <v>281</v>
      </c>
      <c r="F414" s="2">
        <v>46279</v>
      </c>
      <c r="G414" s="1" t="s">
        <v>282</v>
      </c>
      <c r="H414" s="3">
        <v>46279.416666666701</v>
      </c>
      <c r="I414" s="1" t="s">
        <v>254</v>
      </c>
      <c r="J414" s="2">
        <v>46279</v>
      </c>
      <c r="K414" s="3">
        <v>46279.416666666701</v>
      </c>
      <c r="L414" s="1" t="s">
        <v>255</v>
      </c>
      <c r="M414" s="1" t="s">
        <v>40</v>
      </c>
      <c r="N414" s="1" t="s">
        <v>41</v>
      </c>
      <c r="O414" s="1" t="s">
        <v>42</v>
      </c>
      <c r="Q414" s="1" t="s">
        <v>42</v>
      </c>
      <c r="R414" s="1" t="s">
        <v>87</v>
      </c>
      <c r="S414" s="1" t="s">
        <v>88</v>
      </c>
      <c r="T414" s="4">
        <v>8</v>
      </c>
      <c r="U414" s="4">
        <v>8</v>
      </c>
      <c r="V414" s="4">
        <v>8</v>
      </c>
      <c r="Z414" s="1" t="s">
        <v>42</v>
      </c>
      <c r="AD414" s="1" t="s">
        <v>42</v>
      </c>
      <c r="AF414" s="1" t="s">
        <v>42</v>
      </c>
    </row>
    <row r="415" spans="1:32" x14ac:dyDescent="0.25">
      <c r="A415" s="1" t="s">
        <v>32</v>
      </c>
      <c r="B415" s="1" t="s">
        <v>33</v>
      </c>
      <c r="C415" s="1" t="s">
        <v>34</v>
      </c>
      <c r="D415" s="1" t="s">
        <v>42</v>
      </c>
      <c r="E415" s="1" t="s">
        <v>281</v>
      </c>
      <c r="F415" s="2">
        <v>46279</v>
      </c>
      <c r="G415" s="1" t="s">
        <v>282</v>
      </c>
      <c r="H415" s="3">
        <v>46279.416666666701</v>
      </c>
      <c r="I415" s="1" t="s">
        <v>254</v>
      </c>
      <c r="J415" s="2">
        <v>46279</v>
      </c>
      <c r="K415" s="3">
        <v>46279.416666666701</v>
      </c>
      <c r="L415" s="1" t="s">
        <v>255</v>
      </c>
      <c r="M415" s="1" t="s">
        <v>40</v>
      </c>
      <c r="N415" s="1" t="s">
        <v>41</v>
      </c>
      <c r="O415" s="1" t="s">
        <v>42</v>
      </c>
      <c r="Q415" s="1" t="s">
        <v>42</v>
      </c>
      <c r="R415" s="1" t="s">
        <v>89</v>
      </c>
      <c r="S415" s="1" t="s">
        <v>90</v>
      </c>
      <c r="T415" s="4">
        <v>8.4</v>
      </c>
      <c r="U415" s="4">
        <v>8.4</v>
      </c>
      <c r="V415" s="4">
        <v>8.4</v>
      </c>
      <c r="Z415" s="1" t="s">
        <v>42</v>
      </c>
      <c r="AD415" s="1" t="s">
        <v>42</v>
      </c>
      <c r="AF415" s="1" t="s">
        <v>42</v>
      </c>
    </row>
    <row r="416" spans="1:32" x14ac:dyDescent="0.25">
      <c r="A416" s="1" t="s">
        <v>32</v>
      </c>
      <c r="B416" s="1" t="s">
        <v>33</v>
      </c>
      <c r="C416" s="1" t="s">
        <v>34</v>
      </c>
      <c r="D416" s="1" t="s">
        <v>42</v>
      </c>
      <c r="E416" s="1" t="s">
        <v>281</v>
      </c>
      <c r="F416" s="2">
        <v>46279</v>
      </c>
      <c r="G416" s="1" t="s">
        <v>282</v>
      </c>
      <c r="H416" s="3">
        <v>46279.416666666701</v>
      </c>
      <c r="I416" s="1" t="s">
        <v>254</v>
      </c>
      <c r="J416" s="2">
        <v>46279</v>
      </c>
      <c r="K416" s="3">
        <v>46279.416666666701</v>
      </c>
      <c r="L416" s="1" t="s">
        <v>255</v>
      </c>
      <c r="M416" s="1" t="s">
        <v>40</v>
      </c>
      <c r="N416" s="1" t="s">
        <v>41</v>
      </c>
      <c r="O416" s="1" t="s">
        <v>42</v>
      </c>
      <c r="Q416" s="1" t="s">
        <v>42</v>
      </c>
      <c r="R416" s="1" t="s">
        <v>91</v>
      </c>
      <c r="S416" s="1" t="s">
        <v>92</v>
      </c>
      <c r="T416" s="4">
        <v>12.6</v>
      </c>
      <c r="W416" s="4">
        <v>-12.6</v>
      </c>
      <c r="X416" s="1" t="s">
        <v>93</v>
      </c>
      <c r="Z416" s="1" t="s">
        <v>42</v>
      </c>
      <c r="AD416" s="1" t="s">
        <v>42</v>
      </c>
      <c r="AF416" s="1" t="s">
        <v>42</v>
      </c>
    </row>
    <row r="417" spans="1:32" x14ac:dyDescent="0.25">
      <c r="A417" s="1" t="s">
        <v>32</v>
      </c>
      <c r="B417" s="1" t="s">
        <v>33</v>
      </c>
      <c r="C417" s="1" t="s">
        <v>34</v>
      </c>
      <c r="D417" s="1" t="s">
        <v>42</v>
      </c>
      <c r="E417" s="1" t="s">
        <v>281</v>
      </c>
      <c r="F417" s="2">
        <v>46279</v>
      </c>
      <c r="G417" s="1" t="s">
        <v>282</v>
      </c>
      <c r="H417" s="3">
        <v>46279.416666666701</v>
      </c>
      <c r="I417" s="1" t="s">
        <v>254</v>
      </c>
      <c r="J417" s="2">
        <v>46279</v>
      </c>
      <c r="K417" s="3">
        <v>46279.416666666701</v>
      </c>
      <c r="L417" s="1" t="s">
        <v>255</v>
      </c>
      <c r="M417" s="1" t="s">
        <v>40</v>
      </c>
      <c r="N417" s="1" t="s">
        <v>41</v>
      </c>
      <c r="O417" s="1" t="s">
        <v>42</v>
      </c>
      <c r="Q417" s="1" t="s">
        <v>42</v>
      </c>
      <c r="R417" s="1" t="s">
        <v>94</v>
      </c>
      <c r="S417" s="1" t="s">
        <v>95</v>
      </c>
      <c r="T417" s="4">
        <v>3.2</v>
      </c>
      <c r="U417" s="4">
        <v>3.2</v>
      </c>
      <c r="V417" s="4">
        <v>3.2</v>
      </c>
      <c r="Z417" s="1" t="s">
        <v>42</v>
      </c>
      <c r="AD417" s="1" t="s">
        <v>42</v>
      </c>
      <c r="AF417" s="1" t="s">
        <v>42</v>
      </c>
    </row>
    <row r="418" spans="1:32" x14ac:dyDescent="0.25">
      <c r="A418" s="1" t="s">
        <v>32</v>
      </c>
      <c r="B418" s="1" t="s">
        <v>33</v>
      </c>
      <c r="C418" s="1" t="s">
        <v>34</v>
      </c>
      <c r="D418" s="1" t="s">
        <v>42</v>
      </c>
      <c r="E418" s="1" t="s">
        <v>281</v>
      </c>
      <c r="F418" s="2">
        <v>46279</v>
      </c>
      <c r="G418" s="1" t="s">
        <v>282</v>
      </c>
      <c r="H418" s="3">
        <v>46279.416666666701</v>
      </c>
      <c r="I418" s="1" t="s">
        <v>254</v>
      </c>
      <c r="J418" s="2">
        <v>46279</v>
      </c>
      <c r="K418" s="3">
        <v>46279.416666666701</v>
      </c>
      <c r="L418" s="1" t="s">
        <v>255</v>
      </c>
      <c r="M418" s="1" t="s">
        <v>40</v>
      </c>
      <c r="N418" s="1" t="s">
        <v>41</v>
      </c>
      <c r="O418" s="1" t="s">
        <v>42</v>
      </c>
      <c r="Q418" s="1" t="s">
        <v>42</v>
      </c>
      <c r="R418" s="1" t="s">
        <v>96</v>
      </c>
      <c r="S418" s="1" t="s">
        <v>97</v>
      </c>
      <c r="T418" s="4">
        <v>86.1</v>
      </c>
      <c r="W418" s="4">
        <v>-86.1</v>
      </c>
      <c r="X418" s="1" t="s">
        <v>67</v>
      </c>
      <c r="Y418" s="1" t="s">
        <v>68</v>
      </c>
      <c r="Z418" s="1" t="s">
        <v>42</v>
      </c>
      <c r="AD418" s="1" t="s">
        <v>42</v>
      </c>
      <c r="AF418" s="1" t="s">
        <v>42</v>
      </c>
    </row>
    <row r="419" spans="1:32" x14ac:dyDescent="0.25">
      <c r="A419" s="1" t="s">
        <v>32</v>
      </c>
      <c r="B419" s="1" t="s">
        <v>33</v>
      </c>
      <c r="C419" s="1" t="s">
        <v>34</v>
      </c>
      <c r="D419" s="1" t="s">
        <v>42</v>
      </c>
      <c r="E419" s="1" t="s">
        <v>281</v>
      </c>
      <c r="F419" s="2">
        <v>46279</v>
      </c>
      <c r="G419" s="1" t="s">
        <v>282</v>
      </c>
      <c r="H419" s="3">
        <v>46279.416666666701</v>
      </c>
      <c r="I419" s="1" t="s">
        <v>254</v>
      </c>
      <c r="J419" s="2">
        <v>46279</v>
      </c>
      <c r="K419" s="3">
        <v>46279.416666666701</v>
      </c>
      <c r="L419" s="1" t="s">
        <v>255</v>
      </c>
      <c r="M419" s="1" t="s">
        <v>40</v>
      </c>
      <c r="N419" s="1" t="s">
        <v>41</v>
      </c>
      <c r="O419" s="1" t="s">
        <v>42</v>
      </c>
      <c r="Q419" s="1" t="s">
        <v>42</v>
      </c>
      <c r="R419" s="1" t="s">
        <v>98</v>
      </c>
      <c r="S419" s="1" t="s">
        <v>99</v>
      </c>
      <c r="T419" s="4">
        <v>5.04</v>
      </c>
      <c r="W419" s="4">
        <v>-5.04</v>
      </c>
      <c r="X419" s="1" t="s">
        <v>273</v>
      </c>
      <c r="Y419" s="1" t="s">
        <v>274</v>
      </c>
      <c r="Z419" s="1" t="s">
        <v>42</v>
      </c>
      <c r="AD419" s="1" t="s">
        <v>42</v>
      </c>
      <c r="AF419" s="1" t="s">
        <v>42</v>
      </c>
    </row>
    <row r="420" spans="1:32" x14ac:dyDescent="0.25">
      <c r="A420" s="1" t="s">
        <v>32</v>
      </c>
      <c r="B420" s="1" t="s">
        <v>33</v>
      </c>
      <c r="C420" s="1" t="s">
        <v>34</v>
      </c>
      <c r="D420" s="1" t="s">
        <v>42</v>
      </c>
      <c r="E420" s="1" t="s">
        <v>281</v>
      </c>
      <c r="F420" s="2">
        <v>46279</v>
      </c>
      <c r="G420" s="1" t="s">
        <v>282</v>
      </c>
      <c r="H420" s="3">
        <v>46279.416666666701</v>
      </c>
      <c r="I420" s="1" t="s">
        <v>254</v>
      </c>
      <c r="J420" s="2">
        <v>46279</v>
      </c>
      <c r="K420" s="3">
        <v>46279.416666666701</v>
      </c>
      <c r="L420" s="1" t="s">
        <v>255</v>
      </c>
      <c r="M420" s="1" t="s">
        <v>40</v>
      </c>
      <c r="N420" s="1" t="s">
        <v>41</v>
      </c>
      <c r="O420" s="1" t="s">
        <v>42</v>
      </c>
      <c r="Q420" s="1" t="s">
        <v>42</v>
      </c>
      <c r="R420" s="1" t="s">
        <v>100</v>
      </c>
      <c r="S420" s="1" t="s">
        <v>101</v>
      </c>
      <c r="T420" s="4">
        <v>7.56</v>
      </c>
      <c r="W420" s="4">
        <v>-7.56</v>
      </c>
      <c r="X420" s="1" t="s">
        <v>273</v>
      </c>
      <c r="Y420" s="1" t="s">
        <v>274</v>
      </c>
      <c r="Z420" s="1" t="s">
        <v>42</v>
      </c>
      <c r="AD420" s="1" t="s">
        <v>42</v>
      </c>
      <c r="AF420" s="1" t="s">
        <v>42</v>
      </c>
    </row>
    <row r="421" spans="1:32" x14ac:dyDescent="0.25">
      <c r="A421" s="1" t="s">
        <v>32</v>
      </c>
      <c r="B421" s="1" t="s">
        <v>33</v>
      </c>
      <c r="C421" s="1" t="s">
        <v>34</v>
      </c>
      <c r="D421" s="1" t="s">
        <v>42</v>
      </c>
      <c r="E421" s="1" t="s">
        <v>281</v>
      </c>
      <c r="F421" s="2">
        <v>46279</v>
      </c>
      <c r="G421" s="1" t="s">
        <v>282</v>
      </c>
      <c r="H421" s="3">
        <v>46279.416666666701</v>
      </c>
      <c r="I421" s="1" t="s">
        <v>254</v>
      </c>
      <c r="J421" s="2">
        <v>46279</v>
      </c>
      <c r="K421" s="3">
        <v>46279.416666666701</v>
      </c>
      <c r="L421" s="1" t="s">
        <v>255</v>
      </c>
      <c r="M421" s="1" t="s">
        <v>40</v>
      </c>
      <c r="N421" s="1" t="s">
        <v>41</v>
      </c>
      <c r="O421" s="1" t="s">
        <v>42</v>
      </c>
      <c r="Q421" s="1" t="s">
        <v>42</v>
      </c>
      <c r="R421" s="1" t="s">
        <v>209</v>
      </c>
      <c r="S421" s="1" t="s">
        <v>210</v>
      </c>
      <c r="T421" s="4">
        <v>10.08</v>
      </c>
      <c r="W421" s="4">
        <v>-10.08</v>
      </c>
      <c r="X421" s="1" t="s">
        <v>273</v>
      </c>
      <c r="Y421" s="1" t="s">
        <v>274</v>
      </c>
      <c r="Z421" s="1" t="s">
        <v>42</v>
      </c>
      <c r="AD421" s="1" t="s">
        <v>42</v>
      </c>
      <c r="AF421" s="1" t="s">
        <v>42</v>
      </c>
    </row>
    <row r="422" spans="1:32" x14ac:dyDescent="0.25">
      <c r="A422" s="1" t="s">
        <v>32</v>
      </c>
      <c r="B422" s="1" t="s">
        <v>33</v>
      </c>
      <c r="C422" s="1" t="s">
        <v>34</v>
      </c>
      <c r="D422" s="1" t="s">
        <v>42</v>
      </c>
      <c r="E422" s="1" t="s">
        <v>281</v>
      </c>
      <c r="F422" s="2">
        <v>46279</v>
      </c>
      <c r="G422" s="1" t="s">
        <v>282</v>
      </c>
      <c r="H422" s="3">
        <v>46279.416666666701</v>
      </c>
      <c r="I422" s="1" t="s">
        <v>254</v>
      </c>
      <c r="J422" s="2">
        <v>46279</v>
      </c>
      <c r="K422" s="3">
        <v>46279.416666666701</v>
      </c>
      <c r="L422" s="1" t="s">
        <v>255</v>
      </c>
      <c r="M422" s="1" t="s">
        <v>40</v>
      </c>
      <c r="N422" s="1" t="s">
        <v>41</v>
      </c>
      <c r="O422" s="1" t="s">
        <v>42</v>
      </c>
      <c r="Q422" s="1" t="s">
        <v>42</v>
      </c>
      <c r="R422" s="1" t="s">
        <v>102</v>
      </c>
      <c r="S422" s="1" t="s">
        <v>103</v>
      </c>
      <c r="T422" s="4">
        <v>43.2</v>
      </c>
      <c r="W422" s="4">
        <v>-43.2</v>
      </c>
      <c r="X422" s="1" t="s">
        <v>67</v>
      </c>
      <c r="Y422" s="1" t="s">
        <v>68</v>
      </c>
      <c r="Z422" s="1" t="s">
        <v>42</v>
      </c>
      <c r="AD422" s="1" t="s">
        <v>42</v>
      </c>
      <c r="AF422" s="1" t="s">
        <v>42</v>
      </c>
    </row>
    <row r="423" spans="1:32" x14ac:dyDescent="0.25">
      <c r="A423" s="1" t="s">
        <v>32</v>
      </c>
      <c r="B423" s="1" t="s">
        <v>33</v>
      </c>
      <c r="C423" s="1" t="s">
        <v>34</v>
      </c>
      <c r="D423" s="1" t="s">
        <v>42</v>
      </c>
      <c r="E423" s="1" t="s">
        <v>281</v>
      </c>
      <c r="F423" s="2">
        <v>46279</v>
      </c>
      <c r="G423" s="1" t="s">
        <v>282</v>
      </c>
      <c r="H423" s="3">
        <v>46279.416666666701</v>
      </c>
      <c r="I423" s="1" t="s">
        <v>254</v>
      </c>
      <c r="J423" s="2">
        <v>46279</v>
      </c>
      <c r="K423" s="3">
        <v>46279.416666666701</v>
      </c>
      <c r="L423" s="1" t="s">
        <v>255</v>
      </c>
      <c r="M423" s="1" t="s">
        <v>40</v>
      </c>
      <c r="N423" s="1" t="s">
        <v>41</v>
      </c>
      <c r="O423" s="1" t="s">
        <v>42</v>
      </c>
      <c r="Q423" s="1" t="s">
        <v>42</v>
      </c>
      <c r="R423" s="1" t="s">
        <v>104</v>
      </c>
      <c r="S423" s="1" t="s">
        <v>105</v>
      </c>
      <c r="T423" s="4">
        <v>102.6</v>
      </c>
      <c r="W423" s="4">
        <v>-102.6</v>
      </c>
      <c r="X423" s="1" t="s">
        <v>67</v>
      </c>
      <c r="Y423" s="1" t="s">
        <v>68</v>
      </c>
      <c r="Z423" s="1" t="s">
        <v>42</v>
      </c>
      <c r="AD423" s="1" t="s">
        <v>42</v>
      </c>
      <c r="AF423" s="1" t="s">
        <v>42</v>
      </c>
    </row>
    <row r="424" spans="1:32" x14ac:dyDescent="0.25">
      <c r="A424" s="1" t="s">
        <v>32</v>
      </c>
      <c r="B424" s="1" t="s">
        <v>33</v>
      </c>
      <c r="C424" s="1" t="s">
        <v>34</v>
      </c>
      <c r="D424" s="1" t="s">
        <v>42</v>
      </c>
      <c r="E424" s="1" t="s">
        <v>281</v>
      </c>
      <c r="F424" s="2">
        <v>46279</v>
      </c>
      <c r="G424" s="1" t="s">
        <v>282</v>
      </c>
      <c r="H424" s="3">
        <v>46279.416666666701</v>
      </c>
      <c r="I424" s="1" t="s">
        <v>254</v>
      </c>
      <c r="J424" s="2">
        <v>46279</v>
      </c>
      <c r="K424" s="3">
        <v>46279.416666666701</v>
      </c>
      <c r="L424" s="1" t="s">
        <v>255</v>
      </c>
      <c r="M424" s="1" t="s">
        <v>40</v>
      </c>
      <c r="N424" s="1" t="s">
        <v>41</v>
      </c>
      <c r="O424" s="1" t="s">
        <v>42</v>
      </c>
      <c r="Q424" s="1" t="s">
        <v>42</v>
      </c>
      <c r="R424" s="1" t="s">
        <v>106</v>
      </c>
      <c r="S424" s="1" t="s">
        <v>107</v>
      </c>
      <c r="T424" s="4">
        <v>302.39999999999998</v>
      </c>
      <c r="U424" s="4">
        <v>302.39999999999998</v>
      </c>
      <c r="V424" s="4">
        <v>302.39999999999998</v>
      </c>
      <c r="Z424" s="1" t="s">
        <v>42</v>
      </c>
      <c r="AD424" s="1" t="s">
        <v>42</v>
      </c>
      <c r="AF424" s="1" t="s">
        <v>42</v>
      </c>
    </row>
    <row r="425" spans="1:32" x14ac:dyDescent="0.25">
      <c r="A425" s="1" t="s">
        <v>32</v>
      </c>
      <c r="B425" s="1" t="s">
        <v>33</v>
      </c>
      <c r="C425" s="1" t="s">
        <v>34</v>
      </c>
      <c r="D425" s="1" t="s">
        <v>42</v>
      </c>
      <c r="E425" s="1" t="s">
        <v>281</v>
      </c>
      <c r="F425" s="2">
        <v>46279</v>
      </c>
      <c r="G425" s="1" t="s">
        <v>282</v>
      </c>
      <c r="H425" s="3">
        <v>46279.416666666701</v>
      </c>
      <c r="I425" s="1" t="s">
        <v>254</v>
      </c>
      <c r="J425" s="2">
        <v>46279</v>
      </c>
      <c r="K425" s="3">
        <v>46279.416666666701</v>
      </c>
      <c r="L425" s="1" t="s">
        <v>255</v>
      </c>
      <c r="M425" s="1" t="s">
        <v>40</v>
      </c>
      <c r="N425" s="1" t="s">
        <v>41</v>
      </c>
      <c r="O425" s="1" t="s">
        <v>42</v>
      </c>
      <c r="Q425" s="1" t="s">
        <v>42</v>
      </c>
      <c r="R425" s="1" t="s">
        <v>108</v>
      </c>
      <c r="S425" s="1" t="s">
        <v>109</v>
      </c>
      <c r="T425" s="4">
        <v>124.2</v>
      </c>
      <c r="W425" s="4">
        <v>-124.2</v>
      </c>
      <c r="X425" s="1" t="s">
        <v>67</v>
      </c>
      <c r="Y425" s="1" t="s">
        <v>68</v>
      </c>
      <c r="Z425" s="1" t="s">
        <v>42</v>
      </c>
      <c r="AD425" s="1" t="s">
        <v>42</v>
      </c>
      <c r="AF425" s="1" t="s">
        <v>42</v>
      </c>
    </row>
    <row r="426" spans="1:32" x14ac:dyDescent="0.25">
      <c r="A426" s="1" t="s">
        <v>32</v>
      </c>
      <c r="B426" s="1" t="s">
        <v>33</v>
      </c>
      <c r="C426" s="1" t="s">
        <v>34</v>
      </c>
      <c r="D426" s="1" t="s">
        <v>42</v>
      </c>
      <c r="E426" s="1" t="s">
        <v>281</v>
      </c>
      <c r="F426" s="2">
        <v>46279</v>
      </c>
      <c r="G426" s="1" t="s">
        <v>282</v>
      </c>
      <c r="H426" s="3">
        <v>46279.416666666701</v>
      </c>
      <c r="I426" s="1" t="s">
        <v>254</v>
      </c>
      <c r="J426" s="2">
        <v>46279</v>
      </c>
      <c r="K426" s="3">
        <v>46279.416666666701</v>
      </c>
      <c r="L426" s="1" t="s">
        <v>255</v>
      </c>
      <c r="M426" s="1" t="s">
        <v>40</v>
      </c>
      <c r="N426" s="1" t="s">
        <v>41</v>
      </c>
      <c r="O426" s="1" t="s">
        <v>42</v>
      </c>
      <c r="Q426" s="1" t="s">
        <v>42</v>
      </c>
      <c r="R426" s="1" t="s">
        <v>110</v>
      </c>
      <c r="S426" s="1" t="s">
        <v>111</v>
      </c>
      <c r="T426" s="4">
        <v>18</v>
      </c>
      <c r="U426" s="4">
        <v>18</v>
      </c>
      <c r="V426" s="4">
        <v>18</v>
      </c>
      <c r="Z426" s="1" t="s">
        <v>42</v>
      </c>
      <c r="AD426" s="1" t="s">
        <v>42</v>
      </c>
      <c r="AF426" s="1" t="s">
        <v>42</v>
      </c>
    </row>
    <row r="427" spans="1:32" x14ac:dyDescent="0.25">
      <c r="A427" s="1" t="s">
        <v>32</v>
      </c>
      <c r="B427" s="1" t="s">
        <v>33</v>
      </c>
      <c r="C427" s="1" t="s">
        <v>34</v>
      </c>
      <c r="D427" s="1" t="s">
        <v>42</v>
      </c>
      <c r="E427" s="1" t="s">
        <v>281</v>
      </c>
      <c r="F427" s="2">
        <v>46279</v>
      </c>
      <c r="G427" s="1" t="s">
        <v>282</v>
      </c>
      <c r="H427" s="3">
        <v>46279.416666666701</v>
      </c>
      <c r="I427" s="1" t="s">
        <v>254</v>
      </c>
      <c r="J427" s="2">
        <v>46279</v>
      </c>
      <c r="K427" s="3">
        <v>46279.416666666701</v>
      </c>
      <c r="L427" s="1" t="s">
        <v>255</v>
      </c>
      <c r="M427" s="1" t="s">
        <v>40</v>
      </c>
      <c r="N427" s="1" t="s">
        <v>41</v>
      </c>
      <c r="O427" s="1" t="s">
        <v>42</v>
      </c>
      <c r="Q427" s="1" t="s">
        <v>42</v>
      </c>
      <c r="R427" s="1" t="s">
        <v>112</v>
      </c>
      <c r="S427" s="1" t="s">
        <v>113</v>
      </c>
      <c r="T427" s="4">
        <v>18</v>
      </c>
      <c r="W427" s="4">
        <v>-18</v>
      </c>
      <c r="X427" s="1" t="s">
        <v>67</v>
      </c>
      <c r="Y427" s="1" t="s">
        <v>68</v>
      </c>
      <c r="Z427" s="1" t="s">
        <v>42</v>
      </c>
      <c r="AD427" s="1" t="s">
        <v>42</v>
      </c>
      <c r="AF427" s="1" t="s">
        <v>42</v>
      </c>
    </row>
    <row r="428" spans="1:32" x14ac:dyDescent="0.25">
      <c r="A428" s="1" t="s">
        <v>32</v>
      </c>
      <c r="B428" s="1" t="s">
        <v>33</v>
      </c>
      <c r="C428" s="1" t="s">
        <v>34</v>
      </c>
      <c r="D428" s="1" t="s">
        <v>42</v>
      </c>
      <c r="E428" s="1" t="s">
        <v>281</v>
      </c>
      <c r="F428" s="2">
        <v>46279</v>
      </c>
      <c r="G428" s="1" t="s">
        <v>282</v>
      </c>
      <c r="H428" s="3">
        <v>46279.416666666701</v>
      </c>
      <c r="I428" s="1" t="s">
        <v>254</v>
      </c>
      <c r="J428" s="2">
        <v>46279</v>
      </c>
      <c r="K428" s="3">
        <v>46279.416666666701</v>
      </c>
      <c r="L428" s="1" t="s">
        <v>255</v>
      </c>
      <c r="M428" s="1" t="s">
        <v>40</v>
      </c>
      <c r="N428" s="1" t="s">
        <v>41</v>
      </c>
      <c r="O428" s="1" t="s">
        <v>42</v>
      </c>
      <c r="Q428" s="1" t="s">
        <v>42</v>
      </c>
      <c r="R428" s="1" t="s">
        <v>114</v>
      </c>
      <c r="S428" s="1" t="s">
        <v>115</v>
      </c>
      <c r="T428" s="4">
        <v>12.6</v>
      </c>
      <c r="U428" s="4">
        <v>12.6</v>
      </c>
      <c r="V428" s="4">
        <v>12.6</v>
      </c>
      <c r="Z428" s="1" t="s">
        <v>42</v>
      </c>
      <c r="AD428" s="1" t="s">
        <v>42</v>
      </c>
      <c r="AF428" s="1" t="s">
        <v>42</v>
      </c>
    </row>
    <row r="429" spans="1:32" x14ac:dyDescent="0.25">
      <c r="A429" s="1" t="s">
        <v>32</v>
      </c>
      <c r="B429" s="1" t="s">
        <v>33</v>
      </c>
      <c r="C429" s="1" t="s">
        <v>34</v>
      </c>
      <c r="D429" s="1" t="s">
        <v>42</v>
      </c>
      <c r="E429" s="1" t="s">
        <v>281</v>
      </c>
      <c r="F429" s="2">
        <v>46279</v>
      </c>
      <c r="G429" s="1" t="s">
        <v>282</v>
      </c>
      <c r="H429" s="3">
        <v>46279.416666666701</v>
      </c>
      <c r="I429" s="1" t="s">
        <v>254</v>
      </c>
      <c r="J429" s="2">
        <v>46279</v>
      </c>
      <c r="K429" s="3">
        <v>46279.416666666701</v>
      </c>
      <c r="L429" s="1" t="s">
        <v>255</v>
      </c>
      <c r="M429" s="1" t="s">
        <v>40</v>
      </c>
      <c r="N429" s="1" t="s">
        <v>41</v>
      </c>
      <c r="O429" s="1" t="s">
        <v>42</v>
      </c>
      <c r="Q429" s="1" t="s">
        <v>42</v>
      </c>
      <c r="R429" s="1" t="s">
        <v>116</v>
      </c>
      <c r="S429" s="1" t="s">
        <v>117</v>
      </c>
      <c r="T429" s="4">
        <v>153.9</v>
      </c>
      <c r="U429" s="4">
        <v>153.9</v>
      </c>
      <c r="V429" s="4">
        <v>153.9</v>
      </c>
      <c r="Z429" s="1" t="s">
        <v>42</v>
      </c>
      <c r="AD429" s="1" t="s">
        <v>42</v>
      </c>
      <c r="AF429" s="1" t="s">
        <v>42</v>
      </c>
    </row>
    <row r="430" spans="1:32" x14ac:dyDescent="0.25">
      <c r="A430" s="1" t="s">
        <v>32</v>
      </c>
      <c r="B430" s="1" t="s">
        <v>33</v>
      </c>
      <c r="C430" s="1" t="s">
        <v>34</v>
      </c>
      <c r="D430" s="1" t="s">
        <v>42</v>
      </c>
      <c r="E430" s="1" t="s">
        <v>281</v>
      </c>
      <c r="F430" s="2">
        <v>46279</v>
      </c>
      <c r="G430" s="1" t="s">
        <v>282</v>
      </c>
      <c r="H430" s="3">
        <v>46279.416666666701</v>
      </c>
      <c r="I430" s="1" t="s">
        <v>254</v>
      </c>
      <c r="J430" s="2">
        <v>46279</v>
      </c>
      <c r="K430" s="3">
        <v>46279.416666666701</v>
      </c>
      <c r="L430" s="1" t="s">
        <v>255</v>
      </c>
      <c r="M430" s="1" t="s">
        <v>40</v>
      </c>
      <c r="N430" s="1" t="s">
        <v>41</v>
      </c>
      <c r="O430" s="1" t="s">
        <v>42</v>
      </c>
      <c r="Q430" s="1" t="s">
        <v>42</v>
      </c>
      <c r="R430" s="1" t="s">
        <v>118</v>
      </c>
      <c r="S430" s="1" t="s">
        <v>119</v>
      </c>
      <c r="T430" s="4">
        <v>234.9</v>
      </c>
      <c r="W430" s="4">
        <v>-234.9</v>
      </c>
      <c r="X430" s="1" t="s">
        <v>67</v>
      </c>
      <c r="Y430" s="1" t="s">
        <v>68</v>
      </c>
      <c r="Z430" s="1" t="s">
        <v>42</v>
      </c>
      <c r="AD430" s="1" t="s">
        <v>42</v>
      </c>
      <c r="AF430" s="1" t="s">
        <v>42</v>
      </c>
    </row>
    <row r="431" spans="1:32" x14ac:dyDescent="0.25">
      <c r="A431" s="1" t="s">
        <v>32</v>
      </c>
      <c r="B431" s="1" t="s">
        <v>33</v>
      </c>
      <c r="C431" s="1" t="s">
        <v>34</v>
      </c>
      <c r="D431" s="1" t="s">
        <v>42</v>
      </c>
      <c r="E431" s="1" t="s">
        <v>281</v>
      </c>
      <c r="F431" s="2">
        <v>46279</v>
      </c>
      <c r="G431" s="1" t="s">
        <v>282</v>
      </c>
      <c r="H431" s="3">
        <v>46279.416666666701</v>
      </c>
      <c r="I431" s="1" t="s">
        <v>254</v>
      </c>
      <c r="J431" s="2">
        <v>46279</v>
      </c>
      <c r="K431" s="3">
        <v>46279.416666666701</v>
      </c>
      <c r="L431" s="1" t="s">
        <v>255</v>
      </c>
      <c r="M431" s="1" t="s">
        <v>40</v>
      </c>
      <c r="N431" s="1" t="s">
        <v>41</v>
      </c>
      <c r="O431" s="1" t="s">
        <v>42</v>
      </c>
      <c r="Q431" s="1" t="s">
        <v>42</v>
      </c>
      <c r="R431" s="1" t="s">
        <v>120</v>
      </c>
      <c r="S431" s="1" t="s">
        <v>121</v>
      </c>
      <c r="T431" s="4">
        <v>26.1</v>
      </c>
      <c r="U431" s="4">
        <v>26.1</v>
      </c>
      <c r="V431" s="4">
        <v>26.1</v>
      </c>
      <c r="Z431" s="1" t="s">
        <v>42</v>
      </c>
      <c r="AD431" s="1" t="s">
        <v>42</v>
      </c>
      <c r="AF431" s="1" t="s">
        <v>42</v>
      </c>
    </row>
    <row r="432" spans="1:32" x14ac:dyDescent="0.25">
      <c r="A432" s="1" t="s">
        <v>32</v>
      </c>
      <c r="B432" s="1" t="s">
        <v>33</v>
      </c>
      <c r="C432" s="1" t="s">
        <v>34</v>
      </c>
      <c r="D432" s="1" t="s">
        <v>42</v>
      </c>
      <c r="E432" s="1" t="s">
        <v>281</v>
      </c>
      <c r="F432" s="2">
        <v>46279</v>
      </c>
      <c r="G432" s="1" t="s">
        <v>282</v>
      </c>
      <c r="H432" s="3">
        <v>46279.416666666701</v>
      </c>
      <c r="I432" s="1" t="s">
        <v>254</v>
      </c>
      <c r="J432" s="2">
        <v>46279</v>
      </c>
      <c r="K432" s="3">
        <v>46279.416666666701</v>
      </c>
      <c r="L432" s="1" t="s">
        <v>255</v>
      </c>
      <c r="M432" s="1" t="s">
        <v>40</v>
      </c>
      <c r="N432" s="1" t="s">
        <v>41</v>
      </c>
      <c r="O432" s="1" t="s">
        <v>42</v>
      </c>
      <c r="Q432" s="1" t="s">
        <v>42</v>
      </c>
      <c r="R432" s="1" t="s">
        <v>212</v>
      </c>
      <c r="S432" s="1" t="s">
        <v>213</v>
      </c>
      <c r="T432" s="4">
        <v>180</v>
      </c>
      <c r="U432" s="4">
        <v>180</v>
      </c>
      <c r="V432" s="4">
        <v>180</v>
      </c>
      <c r="Z432" s="1" t="s">
        <v>42</v>
      </c>
      <c r="AD432" s="1" t="s">
        <v>42</v>
      </c>
      <c r="AF432" s="1" t="s">
        <v>42</v>
      </c>
    </row>
    <row r="433" spans="1:32" x14ac:dyDescent="0.25">
      <c r="A433" s="1" t="s">
        <v>32</v>
      </c>
      <c r="B433" s="1" t="s">
        <v>33</v>
      </c>
      <c r="C433" s="1" t="s">
        <v>34</v>
      </c>
      <c r="D433" s="1" t="s">
        <v>42</v>
      </c>
      <c r="E433" s="1" t="s">
        <v>281</v>
      </c>
      <c r="F433" s="2">
        <v>46279</v>
      </c>
      <c r="G433" s="1" t="s">
        <v>282</v>
      </c>
      <c r="H433" s="3">
        <v>46279.416666666701</v>
      </c>
      <c r="I433" s="1" t="s">
        <v>254</v>
      </c>
      <c r="J433" s="2">
        <v>46279</v>
      </c>
      <c r="K433" s="3">
        <v>46279.416666666701</v>
      </c>
      <c r="L433" s="1" t="s">
        <v>255</v>
      </c>
      <c r="M433" s="1" t="s">
        <v>40</v>
      </c>
      <c r="N433" s="1" t="s">
        <v>41</v>
      </c>
      <c r="O433" s="1" t="s">
        <v>42</v>
      </c>
      <c r="Q433" s="1" t="s">
        <v>42</v>
      </c>
      <c r="R433" s="1" t="s">
        <v>122</v>
      </c>
      <c r="S433" s="1" t="s">
        <v>123</v>
      </c>
      <c r="T433" s="4">
        <v>400.8</v>
      </c>
      <c r="U433" s="4">
        <v>400.8</v>
      </c>
      <c r="V433" s="4">
        <v>400.8</v>
      </c>
      <c r="Z433" s="1" t="s">
        <v>42</v>
      </c>
      <c r="AD433" s="1" t="s">
        <v>42</v>
      </c>
      <c r="AF433" s="1" t="s">
        <v>42</v>
      </c>
    </row>
    <row r="434" spans="1:32" x14ac:dyDescent="0.25">
      <c r="A434" s="1" t="s">
        <v>32</v>
      </c>
      <c r="B434" s="1" t="s">
        <v>33</v>
      </c>
      <c r="C434" s="1" t="s">
        <v>34</v>
      </c>
      <c r="D434" s="1" t="s">
        <v>42</v>
      </c>
      <c r="E434" s="1" t="s">
        <v>281</v>
      </c>
      <c r="F434" s="2">
        <v>46279</v>
      </c>
      <c r="G434" s="1" t="s">
        <v>282</v>
      </c>
      <c r="H434" s="3">
        <v>46279.416666666701</v>
      </c>
      <c r="I434" s="1" t="s">
        <v>254</v>
      </c>
      <c r="J434" s="2">
        <v>46279</v>
      </c>
      <c r="K434" s="3">
        <v>46279.416666666701</v>
      </c>
      <c r="L434" s="1" t="s">
        <v>255</v>
      </c>
      <c r="M434" s="1" t="s">
        <v>40</v>
      </c>
      <c r="N434" s="1" t="s">
        <v>41</v>
      </c>
      <c r="O434" s="1" t="s">
        <v>42</v>
      </c>
      <c r="Q434" s="1" t="s">
        <v>42</v>
      </c>
      <c r="R434" s="1" t="s">
        <v>124</v>
      </c>
      <c r="S434" s="1" t="s">
        <v>125</v>
      </c>
      <c r="T434" s="4">
        <v>170.4</v>
      </c>
      <c r="U434" s="4">
        <v>170.4</v>
      </c>
      <c r="V434" s="4">
        <v>170.4</v>
      </c>
      <c r="Z434" s="1" t="s">
        <v>42</v>
      </c>
      <c r="AD434" s="1" t="s">
        <v>42</v>
      </c>
      <c r="AF434" s="1" t="s">
        <v>42</v>
      </c>
    </row>
    <row r="435" spans="1:32" x14ac:dyDescent="0.25">
      <c r="A435" s="1" t="s">
        <v>32</v>
      </c>
      <c r="B435" s="1" t="s">
        <v>33</v>
      </c>
      <c r="C435" s="1" t="s">
        <v>34</v>
      </c>
      <c r="D435" s="1" t="s">
        <v>42</v>
      </c>
      <c r="E435" s="1" t="s">
        <v>281</v>
      </c>
      <c r="F435" s="2">
        <v>46279</v>
      </c>
      <c r="G435" s="1" t="s">
        <v>282</v>
      </c>
      <c r="H435" s="3">
        <v>46279.416666666701</v>
      </c>
      <c r="I435" s="1" t="s">
        <v>254</v>
      </c>
      <c r="J435" s="2">
        <v>46279</v>
      </c>
      <c r="K435" s="3">
        <v>46279.416666666701</v>
      </c>
      <c r="L435" s="1" t="s">
        <v>255</v>
      </c>
      <c r="M435" s="1" t="s">
        <v>40</v>
      </c>
      <c r="N435" s="1" t="s">
        <v>41</v>
      </c>
      <c r="O435" s="1" t="s">
        <v>42</v>
      </c>
      <c r="Q435" s="1" t="s">
        <v>42</v>
      </c>
      <c r="R435" s="1" t="s">
        <v>126</v>
      </c>
      <c r="S435" s="1" t="s">
        <v>127</v>
      </c>
      <c r="T435" s="4">
        <v>100.8</v>
      </c>
      <c r="U435" s="4">
        <v>100.8</v>
      </c>
      <c r="V435" s="4">
        <v>100.8</v>
      </c>
      <c r="Z435" s="1" t="s">
        <v>42</v>
      </c>
      <c r="AD435" s="1" t="s">
        <v>42</v>
      </c>
      <c r="AF435" s="1" t="s">
        <v>42</v>
      </c>
    </row>
    <row r="436" spans="1:32" x14ac:dyDescent="0.25">
      <c r="A436" s="1" t="s">
        <v>32</v>
      </c>
      <c r="B436" s="1" t="s">
        <v>33</v>
      </c>
      <c r="C436" s="1" t="s">
        <v>34</v>
      </c>
      <c r="D436" s="1" t="s">
        <v>42</v>
      </c>
      <c r="E436" s="1" t="s">
        <v>281</v>
      </c>
      <c r="F436" s="2">
        <v>46279</v>
      </c>
      <c r="G436" s="1" t="s">
        <v>282</v>
      </c>
      <c r="H436" s="3">
        <v>46279.416666666701</v>
      </c>
      <c r="I436" s="1" t="s">
        <v>254</v>
      </c>
      <c r="J436" s="2">
        <v>46279</v>
      </c>
      <c r="K436" s="3">
        <v>46279.416666666701</v>
      </c>
      <c r="L436" s="1" t="s">
        <v>255</v>
      </c>
      <c r="M436" s="1" t="s">
        <v>40</v>
      </c>
      <c r="N436" s="1" t="s">
        <v>41</v>
      </c>
      <c r="O436" s="1" t="s">
        <v>42</v>
      </c>
      <c r="Q436" s="1" t="s">
        <v>42</v>
      </c>
      <c r="R436" s="1" t="s">
        <v>128</v>
      </c>
      <c r="S436" s="1" t="s">
        <v>129</v>
      </c>
      <c r="T436" s="4">
        <v>139.19999999999999</v>
      </c>
      <c r="U436" s="4">
        <v>139.19999999999999</v>
      </c>
      <c r="V436" s="4">
        <v>139.19999999999999</v>
      </c>
      <c r="Z436" s="1" t="s">
        <v>42</v>
      </c>
      <c r="AD436" s="1" t="s">
        <v>42</v>
      </c>
      <c r="AF436" s="1" t="s">
        <v>42</v>
      </c>
    </row>
    <row r="437" spans="1:32" x14ac:dyDescent="0.25">
      <c r="A437" s="1" t="s">
        <v>32</v>
      </c>
      <c r="B437" s="1" t="s">
        <v>33</v>
      </c>
      <c r="C437" s="1" t="s">
        <v>34</v>
      </c>
      <c r="D437" s="1" t="s">
        <v>42</v>
      </c>
      <c r="E437" s="1" t="s">
        <v>281</v>
      </c>
      <c r="F437" s="2">
        <v>46279</v>
      </c>
      <c r="G437" s="1" t="s">
        <v>282</v>
      </c>
      <c r="H437" s="3">
        <v>46279.416666666701</v>
      </c>
      <c r="I437" s="1" t="s">
        <v>254</v>
      </c>
      <c r="J437" s="2">
        <v>46279</v>
      </c>
      <c r="K437" s="3">
        <v>46279.416666666701</v>
      </c>
      <c r="L437" s="1" t="s">
        <v>255</v>
      </c>
      <c r="M437" s="1" t="s">
        <v>40</v>
      </c>
      <c r="N437" s="1" t="s">
        <v>41</v>
      </c>
      <c r="O437" s="1" t="s">
        <v>42</v>
      </c>
      <c r="Q437" s="1" t="s">
        <v>42</v>
      </c>
      <c r="R437" s="1" t="s">
        <v>130</v>
      </c>
      <c r="S437" s="1" t="s">
        <v>131</v>
      </c>
      <c r="T437" s="4">
        <v>16.8</v>
      </c>
      <c r="U437" s="4">
        <v>16.8</v>
      </c>
      <c r="V437" s="4">
        <v>16.8</v>
      </c>
      <c r="Z437" s="1" t="s">
        <v>42</v>
      </c>
      <c r="AD437" s="1" t="s">
        <v>42</v>
      </c>
      <c r="AF437" s="1" t="s">
        <v>42</v>
      </c>
    </row>
    <row r="438" spans="1:32" x14ac:dyDescent="0.25">
      <c r="A438" s="1" t="s">
        <v>32</v>
      </c>
      <c r="B438" s="1" t="s">
        <v>33</v>
      </c>
      <c r="C438" s="1" t="s">
        <v>34</v>
      </c>
      <c r="D438" s="1" t="s">
        <v>42</v>
      </c>
      <c r="E438" s="1" t="s">
        <v>281</v>
      </c>
      <c r="F438" s="2">
        <v>46279</v>
      </c>
      <c r="G438" s="1" t="s">
        <v>282</v>
      </c>
      <c r="H438" s="3">
        <v>46279.416666666701</v>
      </c>
      <c r="I438" s="1" t="s">
        <v>254</v>
      </c>
      <c r="J438" s="2">
        <v>46279</v>
      </c>
      <c r="K438" s="3">
        <v>46279.416666666701</v>
      </c>
      <c r="L438" s="1" t="s">
        <v>255</v>
      </c>
      <c r="M438" s="1" t="s">
        <v>40</v>
      </c>
      <c r="N438" s="1" t="s">
        <v>41</v>
      </c>
      <c r="O438" s="1" t="s">
        <v>42</v>
      </c>
      <c r="Q438" s="1" t="s">
        <v>42</v>
      </c>
      <c r="R438" s="1" t="s">
        <v>132</v>
      </c>
      <c r="S438" s="1" t="s">
        <v>133</v>
      </c>
      <c r="T438" s="4">
        <v>12</v>
      </c>
      <c r="U438" s="4">
        <v>12</v>
      </c>
      <c r="V438" s="4">
        <v>12</v>
      </c>
      <c r="Z438" s="1" t="s">
        <v>42</v>
      </c>
      <c r="AD438" s="1" t="s">
        <v>42</v>
      </c>
      <c r="AF438" s="1" t="s">
        <v>42</v>
      </c>
    </row>
    <row r="439" spans="1:32" x14ac:dyDescent="0.25">
      <c r="A439" s="1" t="s">
        <v>32</v>
      </c>
      <c r="B439" s="1" t="s">
        <v>33</v>
      </c>
      <c r="C439" s="1" t="s">
        <v>34</v>
      </c>
      <c r="D439" s="1" t="s">
        <v>42</v>
      </c>
      <c r="E439" s="1" t="s">
        <v>281</v>
      </c>
      <c r="F439" s="2">
        <v>46279</v>
      </c>
      <c r="G439" s="1" t="s">
        <v>282</v>
      </c>
      <c r="H439" s="3">
        <v>46279.416666666701</v>
      </c>
      <c r="I439" s="1" t="s">
        <v>254</v>
      </c>
      <c r="J439" s="2">
        <v>46279</v>
      </c>
      <c r="K439" s="3">
        <v>46279.416666666701</v>
      </c>
      <c r="L439" s="1" t="s">
        <v>255</v>
      </c>
      <c r="M439" s="1" t="s">
        <v>40</v>
      </c>
      <c r="N439" s="1" t="s">
        <v>41</v>
      </c>
      <c r="O439" s="1" t="s">
        <v>42</v>
      </c>
      <c r="Q439" s="1" t="s">
        <v>42</v>
      </c>
      <c r="R439" s="1" t="s">
        <v>137</v>
      </c>
      <c r="S439" s="1" t="s">
        <v>138</v>
      </c>
      <c r="T439" s="4">
        <v>3.6</v>
      </c>
      <c r="U439" s="4">
        <v>3.6</v>
      </c>
      <c r="V439" s="4">
        <v>3.6</v>
      </c>
      <c r="Z439" s="1" t="s">
        <v>42</v>
      </c>
      <c r="AD439" s="1" t="s">
        <v>42</v>
      </c>
      <c r="AF439" s="1" t="s">
        <v>42</v>
      </c>
    </row>
    <row r="440" spans="1:32" x14ac:dyDescent="0.25">
      <c r="A440" s="1" t="s">
        <v>32</v>
      </c>
      <c r="B440" s="1" t="s">
        <v>33</v>
      </c>
      <c r="C440" s="1" t="s">
        <v>34</v>
      </c>
      <c r="D440" s="1" t="s">
        <v>42</v>
      </c>
      <c r="E440" s="1" t="s">
        <v>281</v>
      </c>
      <c r="F440" s="2">
        <v>46279</v>
      </c>
      <c r="G440" s="1" t="s">
        <v>282</v>
      </c>
      <c r="H440" s="3">
        <v>46279.416666666701</v>
      </c>
      <c r="I440" s="1" t="s">
        <v>254</v>
      </c>
      <c r="J440" s="2">
        <v>46279</v>
      </c>
      <c r="K440" s="3">
        <v>46279.416666666701</v>
      </c>
      <c r="L440" s="1" t="s">
        <v>255</v>
      </c>
      <c r="M440" s="1" t="s">
        <v>40</v>
      </c>
      <c r="N440" s="1" t="s">
        <v>41</v>
      </c>
      <c r="O440" s="1" t="s">
        <v>42</v>
      </c>
      <c r="Q440" s="1" t="s">
        <v>42</v>
      </c>
      <c r="R440" s="1" t="s">
        <v>139</v>
      </c>
      <c r="S440" s="1" t="s">
        <v>140</v>
      </c>
      <c r="T440" s="4">
        <v>40.799999999999997</v>
      </c>
      <c r="U440" s="4">
        <v>40.799999999999997</v>
      </c>
      <c r="V440" s="4">
        <v>40.799999999999997</v>
      </c>
      <c r="Z440" s="1" t="s">
        <v>42</v>
      </c>
      <c r="AD440" s="1" t="s">
        <v>42</v>
      </c>
      <c r="AF440" s="1" t="s">
        <v>42</v>
      </c>
    </row>
    <row r="441" spans="1:32" x14ac:dyDescent="0.25">
      <c r="A441" s="1" t="s">
        <v>32</v>
      </c>
      <c r="B441" s="1" t="s">
        <v>33</v>
      </c>
      <c r="C441" s="1" t="s">
        <v>34</v>
      </c>
      <c r="D441" s="1" t="s">
        <v>42</v>
      </c>
      <c r="E441" s="1" t="s">
        <v>281</v>
      </c>
      <c r="F441" s="2">
        <v>46279</v>
      </c>
      <c r="G441" s="1" t="s">
        <v>282</v>
      </c>
      <c r="H441" s="3">
        <v>46279.416666666701</v>
      </c>
      <c r="I441" s="1" t="s">
        <v>254</v>
      </c>
      <c r="J441" s="2">
        <v>46279</v>
      </c>
      <c r="K441" s="3">
        <v>46279.416666666701</v>
      </c>
      <c r="L441" s="1" t="s">
        <v>255</v>
      </c>
      <c r="M441" s="1" t="s">
        <v>40</v>
      </c>
      <c r="N441" s="1" t="s">
        <v>41</v>
      </c>
      <c r="O441" s="1" t="s">
        <v>42</v>
      </c>
      <c r="Q441" s="1" t="s">
        <v>42</v>
      </c>
      <c r="R441" s="1" t="s">
        <v>214</v>
      </c>
      <c r="S441" s="1" t="s">
        <v>215</v>
      </c>
      <c r="T441" s="4">
        <v>103.2</v>
      </c>
      <c r="U441" s="4">
        <v>103.2</v>
      </c>
      <c r="V441" s="4">
        <v>103.2</v>
      </c>
      <c r="Z441" s="1" t="s">
        <v>42</v>
      </c>
      <c r="AD441" s="1" t="s">
        <v>42</v>
      </c>
      <c r="AF441" s="1" t="s">
        <v>42</v>
      </c>
    </row>
    <row r="442" spans="1:32" x14ac:dyDescent="0.25">
      <c r="A442" s="1" t="s">
        <v>32</v>
      </c>
      <c r="B442" s="1" t="s">
        <v>33</v>
      </c>
      <c r="C442" s="1" t="s">
        <v>34</v>
      </c>
      <c r="D442" s="1" t="s">
        <v>42</v>
      </c>
      <c r="E442" s="1" t="s">
        <v>281</v>
      </c>
      <c r="F442" s="2">
        <v>46279</v>
      </c>
      <c r="G442" s="1" t="s">
        <v>282</v>
      </c>
      <c r="H442" s="3">
        <v>46279.416666666701</v>
      </c>
      <c r="I442" s="1" t="s">
        <v>254</v>
      </c>
      <c r="J442" s="2">
        <v>46279</v>
      </c>
      <c r="K442" s="3">
        <v>46279.416666666701</v>
      </c>
      <c r="L442" s="1" t="s">
        <v>255</v>
      </c>
      <c r="M442" s="1" t="s">
        <v>40</v>
      </c>
      <c r="N442" s="1" t="s">
        <v>41</v>
      </c>
      <c r="O442" s="1" t="s">
        <v>42</v>
      </c>
      <c r="Q442" s="1" t="s">
        <v>42</v>
      </c>
      <c r="R442" s="1" t="s">
        <v>141</v>
      </c>
      <c r="S442" s="1" t="s">
        <v>142</v>
      </c>
      <c r="T442" s="4">
        <v>7.8</v>
      </c>
      <c r="U442" s="4">
        <v>7.8</v>
      </c>
      <c r="V442" s="4">
        <v>7.8</v>
      </c>
      <c r="Z442" s="1" t="s">
        <v>42</v>
      </c>
      <c r="AD442" s="1" t="s">
        <v>42</v>
      </c>
      <c r="AF442" s="1" t="s">
        <v>42</v>
      </c>
    </row>
    <row r="443" spans="1:32" x14ac:dyDescent="0.25">
      <c r="A443" s="1" t="s">
        <v>32</v>
      </c>
      <c r="B443" s="1" t="s">
        <v>33</v>
      </c>
      <c r="C443" s="1" t="s">
        <v>34</v>
      </c>
      <c r="D443" s="1" t="s">
        <v>42</v>
      </c>
      <c r="E443" s="1" t="s">
        <v>281</v>
      </c>
      <c r="F443" s="2">
        <v>46279</v>
      </c>
      <c r="G443" s="1" t="s">
        <v>282</v>
      </c>
      <c r="H443" s="3">
        <v>46279.416666666701</v>
      </c>
      <c r="I443" s="1" t="s">
        <v>254</v>
      </c>
      <c r="J443" s="2">
        <v>46279</v>
      </c>
      <c r="K443" s="3">
        <v>46279.416666666701</v>
      </c>
      <c r="L443" s="1" t="s">
        <v>255</v>
      </c>
      <c r="M443" s="1" t="s">
        <v>40</v>
      </c>
      <c r="N443" s="1" t="s">
        <v>41</v>
      </c>
      <c r="O443" s="1" t="s">
        <v>42</v>
      </c>
      <c r="Q443" s="1" t="s">
        <v>42</v>
      </c>
      <c r="R443" s="1" t="s">
        <v>216</v>
      </c>
      <c r="S443" s="1" t="s">
        <v>217</v>
      </c>
      <c r="T443" s="4">
        <v>452.4</v>
      </c>
      <c r="U443" s="4">
        <v>452.4</v>
      </c>
      <c r="V443" s="4">
        <v>452.4</v>
      </c>
      <c r="Z443" s="1" t="s">
        <v>42</v>
      </c>
      <c r="AD443" s="1" t="s">
        <v>42</v>
      </c>
      <c r="AF443" s="1" t="s">
        <v>42</v>
      </c>
    </row>
    <row r="444" spans="1:32" x14ac:dyDescent="0.25">
      <c r="A444" s="1" t="s">
        <v>32</v>
      </c>
      <c r="B444" s="1" t="s">
        <v>33</v>
      </c>
      <c r="C444" s="1" t="s">
        <v>34</v>
      </c>
      <c r="D444" s="1" t="s">
        <v>42</v>
      </c>
      <c r="E444" s="1" t="s">
        <v>281</v>
      </c>
      <c r="F444" s="2">
        <v>46279</v>
      </c>
      <c r="G444" s="1" t="s">
        <v>282</v>
      </c>
      <c r="H444" s="3">
        <v>46279.416666666701</v>
      </c>
      <c r="I444" s="1" t="s">
        <v>254</v>
      </c>
      <c r="J444" s="2">
        <v>46279</v>
      </c>
      <c r="K444" s="3">
        <v>46279.416666666701</v>
      </c>
      <c r="L444" s="1" t="s">
        <v>255</v>
      </c>
      <c r="M444" s="1" t="s">
        <v>40</v>
      </c>
      <c r="N444" s="1" t="s">
        <v>41</v>
      </c>
      <c r="O444" s="1" t="s">
        <v>42</v>
      </c>
      <c r="Q444" s="1" t="s">
        <v>42</v>
      </c>
      <c r="R444" s="1" t="s">
        <v>143</v>
      </c>
      <c r="S444" s="1" t="s">
        <v>144</v>
      </c>
      <c r="T444" s="4">
        <v>85.8</v>
      </c>
      <c r="U444" s="4">
        <v>85.8</v>
      </c>
      <c r="V444" s="4">
        <v>85.8</v>
      </c>
      <c r="Z444" s="1" t="s">
        <v>42</v>
      </c>
      <c r="AD444" s="1" t="s">
        <v>42</v>
      </c>
      <c r="AF444" s="1" t="s">
        <v>42</v>
      </c>
    </row>
    <row r="445" spans="1:32" x14ac:dyDescent="0.25">
      <c r="A445" s="1" t="s">
        <v>32</v>
      </c>
      <c r="B445" s="1" t="s">
        <v>33</v>
      </c>
      <c r="C445" s="1" t="s">
        <v>34</v>
      </c>
      <c r="D445" s="1" t="s">
        <v>42</v>
      </c>
      <c r="E445" s="1" t="s">
        <v>281</v>
      </c>
      <c r="F445" s="2">
        <v>46279</v>
      </c>
      <c r="G445" s="1" t="s">
        <v>282</v>
      </c>
      <c r="H445" s="3">
        <v>46279.416666666701</v>
      </c>
      <c r="I445" s="1" t="s">
        <v>254</v>
      </c>
      <c r="J445" s="2">
        <v>46279</v>
      </c>
      <c r="K445" s="3">
        <v>46279.416666666701</v>
      </c>
      <c r="L445" s="1" t="s">
        <v>255</v>
      </c>
      <c r="M445" s="1" t="s">
        <v>40</v>
      </c>
      <c r="N445" s="1" t="s">
        <v>41</v>
      </c>
      <c r="O445" s="1" t="s">
        <v>42</v>
      </c>
      <c r="Q445" s="1" t="s">
        <v>42</v>
      </c>
      <c r="R445" s="1" t="s">
        <v>145</v>
      </c>
      <c r="S445" s="1" t="s">
        <v>146</v>
      </c>
      <c r="T445" s="4">
        <v>25.2</v>
      </c>
      <c r="U445" s="4">
        <v>25.2</v>
      </c>
      <c r="V445" s="4">
        <v>25.2</v>
      </c>
      <c r="Z445" s="1" t="s">
        <v>42</v>
      </c>
      <c r="AD445" s="1" t="s">
        <v>42</v>
      </c>
      <c r="AF445" s="1" t="s">
        <v>42</v>
      </c>
    </row>
    <row r="446" spans="1:32" x14ac:dyDescent="0.25">
      <c r="A446" s="1" t="s">
        <v>32</v>
      </c>
      <c r="B446" s="1" t="s">
        <v>33</v>
      </c>
      <c r="C446" s="1" t="s">
        <v>34</v>
      </c>
      <c r="D446" s="1" t="s">
        <v>42</v>
      </c>
      <c r="E446" s="1" t="s">
        <v>281</v>
      </c>
      <c r="F446" s="2">
        <v>46279</v>
      </c>
      <c r="G446" s="1" t="s">
        <v>282</v>
      </c>
      <c r="H446" s="3">
        <v>46279.416666666701</v>
      </c>
      <c r="I446" s="1" t="s">
        <v>254</v>
      </c>
      <c r="J446" s="2">
        <v>46279</v>
      </c>
      <c r="K446" s="3">
        <v>46279.416666666701</v>
      </c>
      <c r="L446" s="1" t="s">
        <v>255</v>
      </c>
      <c r="M446" s="1" t="s">
        <v>40</v>
      </c>
      <c r="N446" s="1" t="s">
        <v>41</v>
      </c>
      <c r="O446" s="1" t="s">
        <v>42</v>
      </c>
      <c r="Q446" s="1" t="s">
        <v>42</v>
      </c>
      <c r="R446" s="1" t="s">
        <v>218</v>
      </c>
      <c r="S446" s="1" t="s">
        <v>219</v>
      </c>
      <c r="T446" s="4">
        <v>25.2</v>
      </c>
      <c r="U446" s="4">
        <v>25.2</v>
      </c>
      <c r="V446" s="4">
        <v>25.2</v>
      </c>
      <c r="Z446" s="1" t="s">
        <v>42</v>
      </c>
      <c r="AD446" s="1" t="s">
        <v>42</v>
      </c>
      <c r="AF446" s="1" t="s">
        <v>42</v>
      </c>
    </row>
    <row r="447" spans="1:32" x14ac:dyDescent="0.25">
      <c r="A447" s="1" t="s">
        <v>32</v>
      </c>
      <c r="B447" s="1" t="s">
        <v>33</v>
      </c>
      <c r="C447" s="1" t="s">
        <v>34</v>
      </c>
      <c r="D447" s="1" t="s">
        <v>42</v>
      </c>
      <c r="E447" s="1" t="s">
        <v>281</v>
      </c>
      <c r="F447" s="2">
        <v>46279</v>
      </c>
      <c r="G447" s="1" t="s">
        <v>282</v>
      </c>
      <c r="H447" s="3">
        <v>46279.416666666701</v>
      </c>
      <c r="I447" s="1" t="s">
        <v>254</v>
      </c>
      <c r="J447" s="2">
        <v>46279</v>
      </c>
      <c r="K447" s="3">
        <v>46279.416666666701</v>
      </c>
      <c r="L447" s="1" t="s">
        <v>255</v>
      </c>
      <c r="M447" s="1" t="s">
        <v>40</v>
      </c>
      <c r="N447" s="1" t="s">
        <v>41</v>
      </c>
      <c r="O447" s="1" t="s">
        <v>42</v>
      </c>
      <c r="Q447" s="1" t="s">
        <v>42</v>
      </c>
      <c r="R447" s="1" t="s">
        <v>147</v>
      </c>
      <c r="S447" s="1" t="s">
        <v>148</v>
      </c>
      <c r="T447" s="4">
        <v>304.2</v>
      </c>
      <c r="U447" s="4">
        <v>304.2</v>
      </c>
      <c r="V447" s="4">
        <v>304.2</v>
      </c>
      <c r="Z447" s="1" t="s">
        <v>42</v>
      </c>
      <c r="AD447" s="1" t="s">
        <v>42</v>
      </c>
      <c r="AF447" s="1" t="s">
        <v>42</v>
      </c>
    </row>
    <row r="448" spans="1:32" x14ac:dyDescent="0.25">
      <c r="A448" s="1" t="s">
        <v>32</v>
      </c>
      <c r="B448" s="1" t="s">
        <v>33</v>
      </c>
      <c r="C448" s="1" t="s">
        <v>34</v>
      </c>
      <c r="D448" s="1" t="s">
        <v>42</v>
      </c>
      <c r="E448" s="1" t="s">
        <v>281</v>
      </c>
      <c r="F448" s="2">
        <v>46279</v>
      </c>
      <c r="G448" s="1" t="s">
        <v>282</v>
      </c>
      <c r="H448" s="3">
        <v>46279.416666666701</v>
      </c>
      <c r="I448" s="1" t="s">
        <v>254</v>
      </c>
      <c r="J448" s="2">
        <v>46279</v>
      </c>
      <c r="K448" s="3">
        <v>46279.416666666701</v>
      </c>
      <c r="L448" s="1" t="s">
        <v>255</v>
      </c>
      <c r="M448" s="1" t="s">
        <v>40</v>
      </c>
      <c r="N448" s="1" t="s">
        <v>41</v>
      </c>
      <c r="O448" s="1" t="s">
        <v>42</v>
      </c>
      <c r="Q448" s="1" t="s">
        <v>42</v>
      </c>
      <c r="R448" s="1" t="s">
        <v>149</v>
      </c>
      <c r="S448" s="1" t="s">
        <v>150</v>
      </c>
      <c r="T448" s="4">
        <v>84</v>
      </c>
      <c r="U448" s="4">
        <v>84</v>
      </c>
      <c r="V448" s="4">
        <v>84</v>
      </c>
      <c r="Z448" s="1" t="s">
        <v>42</v>
      </c>
      <c r="AD448" s="1" t="s">
        <v>42</v>
      </c>
      <c r="AF448" s="1" t="s">
        <v>42</v>
      </c>
    </row>
    <row r="449" spans="1:32" x14ac:dyDescent="0.25">
      <c r="A449" s="1" t="s">
        <v>32</v>
      </c>
      <c r="B449" s="1" t="s">
        <v>33</v>
      </c>
      <c r="C449" s="1" t="s">
        <v>34</v>
      </c>
      <c r="D449" s="1" t="s">
        <v>42</v>
      </c>
      <c r="E449" s="1" t="s">
        <v>281</v>
      </c>
      <c r="F449" s="2">
        <v>46279</v>
      </c>
      <c r="G449" s="1" t="s">
        <v>282</v>
      </c>
      <c r="H449" s="3">
        <v>46279.416666666701</v>
      </c>
      <c r="I449" s="1" t="s">
        <v>254</v>
      </c>
      <c r="J449" s="2">
        <v>46279</v>
      </c>
      <c r="K449" s="3">
        <v>46279.416666666701</v>
      </c>
      <c r="L449" s="1" t="s">
        <v>255</v>
      </c>
      <c r="M449" s="1" t="s">
        <v>40</v>
      </c>
      <c r="N449" s="1" t="s">
        <v>41</v>
      </c>
      <c r="O449" s="1" t="s">
        <v>42</v>
      </c>
      <c r="Q449" s="1" t="s">
        <v>42</v>
      </c>
      <c r="R449" s="1" t="s">
        <v>289</v>
      </c>
      <c r="S449" s="1" t="s">
        <v>290</v>
      </c>
      <c r="T449" s="4">
        <v>36.479999999999997</v>
      </c>
      <c r="U449" s="4">
        <v>36.479999999999997</v>
      </c>
      <c r="V449" s="4">
        <v>36.479999999999997</v>
      </c>
      <c r="Z449" s="1" t="s">
        <v>42</v>
      </c>
      <c r="AD449" s="1" t="s">
        <v>42</v>
      </c>
      <c r="AF449" s="1" t="s">
        <v>42</v>
      </c>
    </row>
    <row r="450" spans="1:32" x14ac:dyDescent="0.25">
      <c r="A450" s="1" t="s">
        <v>32</v>
      </c>
      <c r="B450" s="1" t="s">
        <v>33</v>
      </c>
      <c r="C450" s="1" t="s">
        <v>34</v>
      </c>
      <c r="D450" s="1" t="s">
        <v>42</v>
      </c>
      <c r="E450" s="1" t="s">
        <v>281</v>
      </c>
      <c r="F450" s="2">
        <v>46279</v>
      </c>
      <c r="G450" s="1" t="s">
        <v>282</v>
      </c>
      <c r="H450" s="3">
        <v>46279.416666666701</v>
      </c>
      <c r="I450" s="1" t="s">
        <v>254</v>
      </c>
      <c r="J450" s="2">
        <v>46279</v>
      </c>
      <c r="K450" s="3">
        <v>46279.416666666701</v>
      </c>
      <c r="L450" s="1" t="s">
        <v>255</v>
      </c>
      <c r="M450" s="1" t="s">
        <v>40</v>
      </c>
      <c r="N450" s="1" t="s">
        <v>41</v>
      </c>
      <c r="O450" s="1" t="s">
        <v>42</v>
      </c>
      <c r="Q450" s="1" t="s">
        <v>42</v>
      </c>
      <c r="R450" s="1" t="s">
        <v>246</v>
      </c>
      <c r="S450" s="1" t="s">
        <v>247</v>
      </c>
      <c r="T450" s="4">
        <v>9.1199999999999992</v>
      </c>
      <c r="U450" s="4">
        <v>9.1199999999999992</v>
      </c>
      <c r="V450" s="4">
        <v>9.1199999999999992</v>
      </c>
      <c r="Z450" s="1" t="s">
        <v>42</v>
      </c>
      <c r="AD450" s="1" t="s">
        <v>42</v>
      </c>
      <c r="AF450" s="1" t="s">
        <v>42</v>
      </c>
    </row>
    <row r="451" spans="1:32" x14ac:dyDescent="0.25">
      <c r="A451" s="1" t="s">
        <v>32</v>
      </c>
      <c r="B451" s="1" t="s">
        <v>33</v>
      </c>
      <c r="C451" s="1" t="s">
        <v>34</v>
      </c>
      <c r="D451" s="1" t="s">
        <v>42</v>
      </c>
      <c r="E451" s="1" t="s">
        <v>281</v>
      </c>
      <c r="F451" s="2">
        <v>46279</v>
      </c>
      <c r="G451" s="1" t="s">
        <v>282</v>
      </c>
      <c r="H451" s="3">
        <v>46279.416666666701</v>
      </c>
      <c r="I451" s="1" t="s">
        <v>254</v>
      </c>
      <c r="J451" s="2">
        <v>46279</v>
      </c>
      <c r="K451" s="3">
        <v>46279.416666666701</v>
      </c>
      <c r="L451" s="1" t="s">
        <v>255</v>
      </c>
      <c r="M451" s="1" t="s">
        <v>40</v>
      </c>
      <c r="N451" s="1" t="s">
        <v>41</v>
      </c>
      <c r="O451" s="1" t="s">
        <v>42</v>
      </c>
      <c r="Q451" s="1" t="s">
        <v>42</v>
      </c>
      <c r="R451" s="1" t="s">
        <v>260</v>
      </c>
      <c r="S451" s="1" t="s">
        <v>261</v>
      </c>
      <c r="T451" s="4">
        <v>25.5</v>
      </c>
      <c r="U451" s="4">
        <v>25.5</v>
      </c>
      <c r="V451" s="4">
        <v>25.5</v>
      </c>
      <c r="Z451" s="1" t="s">
        <v>42</v>
      </c>
      <c r="AD451" s="1" t="s">
        <v>42</v>
      </c>
      <c r="AF451" s="1" t="s">
        <v>42</v>
      </c>
    </row>
    <row r="452" spans="1:32" x14ac:dyDescent="0.25">
      <c r="A452" s="1" t="s">
        <v>32</v>
      </c>
      <c r="B452" s="1" t="s">
        <v>33</v>
      </c>
      <c r="C452" s="1" t="s">
        <v>34</v>
      </c>
      <c r="D452" s="1" t="s">
        <v>42</v>
      </c>
      <c r="E452" s="1" t="s">
        <v>281</v>
      </c>
      <c r="F452" s="2">
        <v>46279</v>
      </c>
      <c r="G452" s="1" t="s">
        <v>282</v>
      </c>
      <c r="H452" s="3">
        <v>46279.416666666701</v>
      </c>
      <c r="I452" s="1" t="s">
        <v>254</v>
      </c>
      <c r="J452" s="2">
        <v>46279</v>
      </c>
      <c r="K452" s="3">
        <v>46279.416666666701</v>
      </c>
      <c r="L452" s="1" t="s">
        <v>255</v>
      </c>
      <c r="M452" s="1" t="s">
        <v>40</v>
      </c>
      <c r="N452" s="1" t="s">
        <v>41</v>
      </c>
      <c r="O452" s="1" t="s">
        <v>42</v>
      </c>
      <c r="Q452" s="1" t="s">
        <v>42</v>
      </c>
      <c r="R452" s="1" t="s">
        <v>250</v>
      </c>
      <c r="S452" s="1" t="s">
        <v>251</v>
      </c>
      <c r="T452" s="4">
        <v>8</v>
      </c>
      <c r="U452" s="4">
        <v>8</v>
      </c>
      <c r="V452" s="4">
        <v>8</v>
      </c>
      <c r="Z452" s="1" t="s">
        <v>42</v>
      </c>
      <c r="AD452" s="1" t="s">
        <v>42</v>
      </c>
      <c r="AF452" s="1" t="s">
        <v>42</v>
      </c>
    </row>
    <row r="453" spans="1:32" x14ac:dyDescent="0.25">
      <c r="A453" s="1" t="s">
        <v>32</v>
      </c>
      <c r="B453" s="1" t="s">
        <v>33</v>
      </c>
      <c r="C453" s="1" t="s">
        <v>34</v>
      </c>
      <c r="D453" s="1" t="s">
        <v>42</v>
      </c>
      <c r="E453" s="1" t="s">
        <v>281</v>
      </c>
      <c r="F453" s="2">
        <v>46279</v>
      </c>
      <c r="G453" s="1" t="s">
        <v>282</v>
      </c>
      <c r="H453" s="3">
        <v>46279.416666666701</v>
      </c>
      <c r="I453" s="1" t="s">
        <v>254</v>
      </c>
      <c r="J453" s="2">
        <v>46279</v>
      </c>
      <c r="K453" s="3">
        <v>46279.416666666701</v>
      </c>
      <c r="L453" s="1" t="s">
        <v>255</v>
      </c>
      <c r="M453" s="1" t="s">
        <v>40</v>
      </c>
      <c r="N453" s="1" t="s">
        <v>41</v>
      </c>
      <c r="O453" s="1" t="s">
        <v>42</v>
      </c>
      <c r="Q453" s="1" t="s">
        <v>42</v>
      </c>
      <c r="R453" s="1" t="s">
        <v>153</v>
      </c>
      <c r="S453" s="1" t="s">
        <v>154</v>
      </c>
      <c r="T453" s="4">
        <v>6</v>
      </c>
      <c r="U453" s="4">
        <v>6</v>
      </c>
      <c r="V453" s="4">
        <v>6</v>
      </c>
      <c r="Z453" s="1" t="s">
        <v>42</v>
      </c>
      <c r="AD453" s="1" t="s">
        <v>42</v>
      </c>
      <c r="AF453" s="1" t="s">
        <v>42</v>
      </c>
    </row>
    <row r="454" spans="1:32" x14ac:dyDescent="0.25">
      <c r="A454" s="1" t="s">
        <v>32</v>
      </c>
      <c r="B454" s="1" t="s">
        <v>33</v>
      </c>
      <c r="C454" s="1" t="s">
        <v>34</v>
      </c>
      <c r="D454" s="1" t="s">
        <v>42</v>
      </c>
      <c r="E454" s="1" t="s">
        <v>281</v>
      </c>
      <c r="F454" s="2">
        <v>46279</v>
      </c>
      <c r="G454" s="1" t="s">
        <v>282</v>
      </c>
      <c r="H454" s="3">
        <v>46279.416666666701</v>
      </c>
      <c r="I454" s="1" t="s">
        <v>254</v>
      </c>
      <c r="J454" s="2">
        <v>46279</v>
      </c>
      <c r="K454" s="3">
        <v>46279.416666666701</v>
      </c>
      <c r="L454" s="1" t="s">
        <v>255</v>
      </c>
      <c r="M454" s="1" t="s">
        <v>40</v>
      </c>
      <c r="N454" s="1" t="s">
        <v>41</v>
      </c>
      <c r="O454" s="1" t="s">
        <v>42</v>
      </c>
      <c r="Q454" s="1" t="s">
        <v>42</v>
      </c>
      <c r="R454" s="1" t="s">
        <v>262</v>
      </c>
      <c r="S454" s="1" t="s">
        <v>263</v>
      </c>
      <c r="T454" s="4">
        <v>117</v>
      </c>
      <c r="U454" s="4">
        <v>117</v>
      </c>
      <c r="V454" s="4">
        <v>117</v>
      </c>
      <c r="Z454" s="1" t="s">
        <v>42</v>
      </c>
      <c r="AD454" s="1" t="s">
        <v>42</v>
      </c>
      <c r="AF454" s="1" t="s">
        <v>42</v>
      </c>
    </row>
    <row r="455" spans="1:32" x14ac:dyDescent="0.25">
      <c r="A455" s="1" t="s">
        <v>32</v>
      </c>
      <c r="B455" s="1" t="s">
        <v>33</v>
      </c>
      <c r="C455" s="1" t="s">
        <v>34</v>
      </c>
      <c r="D455" s="1" t="s">
        <v>42</v>
      </c>
      <c r="E455" s="1" t="s">
        <v>281</v>
      </c>
      <c r="F455" s="2">
        <v>46279</v>
      </c>
      <c r="G455" s="1" t="s">
        <v>282</v>
      </c>
      <c r="H455" s="3">
        <v>46279.416666666701</v>
      </c>
      <c r="I455" s="1" t="s">
        <v>254</v>
      </c>
      <c r="J455" s="2">
        <v>46279</v>
      </c>
      <c r="K455" s="3">
        <v>46279.416666666701</v>
      </c>
      <c r="L455" s="1" t="s">
        <v>255</v>
      </c>
      <c r="M455" s="1" t="s">
        <v>40</v>
      </c>
      <c r="N455" s="1" t="s">
        <v>41</v>
      </c>
      <c r="O455" s="1" t="s">
        <v>42</v>
      </c>
      <c r="Q455" s="1" t="s">
        <v>42</v>
      </c>
      <c r="R455" s="1" t="s">
        <v>291</v>
      </c>
      <c r="S455" s="1" t="s">
        <v>292</v>
      </c>
      <c r="T455" s="4">
        <v>35.1</v>
      </c>
      <c r="U455" s="4">
        <v>35.1</v>
      </c>
      <c r="V455" s="4">
        <v>35.1</v>
      </c>
      <c r="Z455" s="1" t="s">
        <v>42</v>
      </c>
      <c r="AD455" s="1" t="s">
        <v>42</v>
      </c>
      <c r="AF455" s="1" t="s">
        <v>42</v>
      </c>
    </row>
    <row r="456" spans="1:32" x14ac:dyDescent="0.25">
      <c r="A456" s="1" t="s">
        <v>32</v>
      </c>
      <c r="B456" s="1" t="s">
        <v>33</v>
      </c>
      <c r="C456" s="1" t="s">
        <v>34</v>
      </c>
      <c r="D456" s="1" t="s">
        <v>42</v>
      </c>
      <c r="E456" s="1" t="s">
        <v>281</v>
      </c>
      <c r="F456" s="2">
        <v>46279</v>
      </c>
      <c r="G456" s="1" t="s">
        <v>282</v>
      </c>
      <c r="H456" s="3">
        <v>46279.416666666701</v>
      </c>
      <c r="I456" s="1" t="s">
        <v>254</v>
      </c>
      <c r="J456" s="2">
        <v>46279</v>
      </c>
      <c r="K456" s="3">
        <v>46279.416666666701</v>
      </c>
      <c r="L456" s="1" t="s">
        <v>255</v>
      </c>
      <c r="M456" s="1" t="s">
        <v>40</v>
      </c>
      <c r="N456" s="1" t="s">
        <v>41</v>
      </c>
      <c r="O456" s="1" t="s">
        <v>42</v>
      </c>
      <c r="Q456" s="1" t="s">
        <v>42</v>
      </c>
      <c r="R456" s="1" t="s">
        <v>155</v>
      </c>
      <c r="S456" s="1" t="s">
        <v>156</v>
      </c>
      <c r="T456" s="4">
        <v>177</v>
      </c>
      <c r="U456" s="4">
        <v>177</v>
      </c>
      <c r="V456" s="4">
        <v>177</v>
      </c>
      <c r="Z456" s="1" t="s">
        <v>42</v>
      </c>
      <c r="AD456" s="1" t="s">
        <v>42</v>
      </c>
      <c r="AF456" s="1" t="s">
        <v>42</v>
      </c>
    </row>
    <row r="457" spans="1:32" x14ac:dyDescent="0.25">
      <c r="A457" s="1" t="s">
        <v>32</v>
      </c>
      <c r="B457" s="1" t="s">
        <v>33</v>
      </c>
      <c r="C457" s="1" t="s">
        <v>34</v>
      </c>
      <c r="D457" s="1" t="s">
        <v>42</v>
      </c>
      <c r="E457" s="1" t="s">
        <v>281</v>
      </c>
      <c r="F457" s="2">
        <v>46279</v>
      </c>
      <c r="G457" s="1" t="s">
        <v>282</v>
      </c>
      <c r="H457" s="3">
        <v>46279.416666666701</v>
      </c>
      <c r="I457" s="1" t="s">
        <v>254</v>
      </c>
      <c r="J457" s="2">
        <v>46279</v>
      </c>
      <c r="K457" s="3">
        <v>46279.416666666701</v>
      </c>
      <c r="L457" s="1" t="s">
        <v>255</v>
      </c>
      <c r="M457" s="1" t="s">
        <v>40</v>
      </c>
      <c r="N457" s="1" t="s">
        <v>41</v>
      </c>
      <c r="O457" s="1" t="s">
        <v>42</v>
      </c>
      <c r="Q457" s="1" t="s">
        <v>42</v>
      </c>
      <c r="R457" s="1" t="s">
        <v>157</v>
      </c>
      <c r="S457" s="1" t="s">
        <v>158</v>
      </c>
      <c r="T457" s="4">
        <v>23.1</v>
      </c>
      <c r="U457" s="4">
        <v>23.1</v>
      </c>
      <c r="V457" s="4">
        <v>23.1</v>
      </c>
      <c r="Z457" s="1" t="s">
        <v>42</v>
      </c>
      <c r="AD457" s="1" t="s">
        <v>42</v>
      </c>
      <c r="AF457" s="1" t="s">
        <v>42</v>
      </c>
    </row>
    <row r="458" spans="1:32" x14ac:dyDescent="0.25">
      <c r="A458" s="1" t="s">
        <v>32</v>
      </c>
      <c r="B458" s="1" t="s">
        <v>33</v>
      </c>
      <c r="C458" s="1" t="s">
        <v>34</v>
      </c>
      <c r="D458" s="1" t="s">
        <v>42</v>
      </c>
      <c r="E458" s="1" t="s">
        <v>281</v>
      </c>
      <c r="F458" s="2">
        <v>46279</v>
      </c>
      <c r="G458" s="1" t="s">
        <v>282</v>
      </c>
      <c r="H458" s="3">
        <v>46279.416666666701</v>
      </c>
      <c r="I458" s="1" t="s">
        <v>254</v>
      </c>
      <c r="J458" s="2">
        <v>46279</v>
      </c>
      <c r="K458" s="3">
        <v>46279.416666666701</v>
      </c>
      <c r="L458" s="1" t="s">
        <v>255</v>
      </c>
      <c r="M458" s="1" t="s">
        <v>40</v>
      </c>
      <c r="N458" s="1" t="s">
        <v>41</v>
      </c>
      <c r="O458" s="1" t="s">
        <v>42</v>
      </c>
      <c r="Q458" s="1" t="s">
        <v>42</v>
      </c>
      <c r="R458" s="1" t="s">
        <v>159</v>
      </c>
      <c r="S458" s="1" t="s">
        <v>160</v>
      </c>
      <c r="T458" s="4">
        <v>8.4</v>
      </c>
      <c r="W458" s="4">
        <v>-8.4</v>
      </c>
      <c r="X458" s="1" t="s">
        <v>67</v>
      </c>
      <c r="Y458" s="1" t="s">
        <v>68</v>
      </c>
      <c r="Z458" s="1" t="s">
        <v>42</v>
      </c>
      <c r="AD458" s="1" t="s">
        <v>42</v>
      </c>
      <c r="AF458" s="1" t="s">
        <v>42</v>
      </c>
    </row>
    <row r="459" spans="1:32" x14ac:dyDescent="0.25">
      <c r="A459" s="1" t="s">
        <v>32</v>
      </c>
      <c r="B459" s="1" t="s">
        <v>33</v>
      </c>
      <c r="C459" s="1" t="s">
        <v>34</v>
      </c>
      <c r="D459" s="1" t="s">
        <v>42</v>
      </c>
      <c r="E459" s="1" t="s">
        <v>281</v>
      </c>
      <c r="F459" s="2">
        <v>46279</v>
      </c>
      <c r="G459" s="1" t="s">
        <v>282</v>
      </c>
      <c r="H459" s="3">
        <v>46279.416666666701</v>
      </c>
      <c r="I459" s="1" t="s">
        <v>254</v>
      </c>
      <c r="J459" s="2">
        <v>46279</v>
      </c>
      <c r="K459" s="3">
        <v>46279.416666666701</v>
      </c>
      <c r="L459" s="1" t="s">
        <v>255</v>
      </c>
      <c r="M459" s="1" t="s">
        <v>40</v>
      </c>
      <c r="N459" s="1" t="s">
        <v>41</v>
      </c>
      <c r="O459" s="1" t="s">
        <v>42</v>
      </c>
      <c r="Q459" s="1" t="s">
        <v>42</v>
      </c>
      <c r="R459" s="1" t="s">
        <v>264</v>
      </c>
      <c r="S459" s="1" t="s">
        <v>265</v>
      </c>
      <c r="T459" s="4">
        <v>75</v>
      </c>
      <c r="U459" s="4">
        <v>75</v>
      </c>
      <c r="V459" s="4">
        <v>75</v>
      </c>
      <c r="Z459" s="1" t="s">
        <v>42</v>
      </c>
      <c r="AD459" s="1" t="s">
        <v>42</v>
      </c>
      <c r="AF459" s="1" t="s">
        <v>42</v>
      </c>
    </row>
    <row r="460" spans="1:32" x14ac:dyDescent="0.25">
      <c r="A460" s="1" t="s">
        <v>32</v>
      </c>
      <c r="B460" s="1" t="s">
        <v>33</v>
      </c>
      <c r="C460" s="1" t="s">
        <v>34</v>
      </c>
      <c r="D460" s="1" t="s">
        <v>42</v>
      </c>
      <c r="E460" s="1" t="s">
        <v>281</v>
      </c>
      <c r="F460" s="2">
        <v>46279</v>
      </c>
      <c r="G460" s="1" t="s">
        <v>282</v>
      </c>
      <c r="H460" s="3">
        <v>46279.416666666701</v>
      </c>
      <c r="I460" s="1" t="s">
        <v>254</v>
      </c>
      <c r="J460" s="2">
        <v>46279</v>
      </c>
      <c r="K460" s="3">
        <v>46279.416666666701</v>
      </c>
      <c r="L460" s="1" t="s">
        <v>255</v>
      </c>
      <c r="M460" s="1" t="s">
        <v>40</v>
      </c>
      <c r="N460" s="1" t="s">
        <v>41</v>
      </c>
      <c r="O460" s="1" t="s">
        <v>42</v>
      </c>
      <c r="Q460" s="1" t="s">
        <v>42</v>
      </c>
      <c r="R460" s="1" t="s">
        <v>161</v>
      </c>
      <c r="S460" s="1" t="s">
        <v>162</v>
      </c>
      <c r="T460" s="4">
        <v>690</v>
      </c>
      <c r="U460" s="4">
        <v>690</v>
      </c>
      <c r="V460" s="4">
        <v>690</v>
      </c>
      <c r="Z460" s="1" t="s">
        <v>42</v>
      </c>
      <c r="AD460" s="1" t="s">
        <v>42</v>
      </c>
      <c r="AF460" s="1" t="s">
        <v>42</v>
      </c>
    </row>
    <row r="461" spans="1:32" x14ac:dyDescent="0.25">
      <c r="A461" s="1" t="s">
        <v>32</v>
      </c>
      <c r="B461" s="1" t="s">
        <v>33</v>
      </c>
      <c r="C461" s="1" t="s">
        <v>34</v>
      </c>
      <c r="D461" s="1" t="s">
        <v>42</v>
      </c>
      <c r="E461" s="1" t="s">
        <v>281</v>
      </c>
      <c r="F461" s="2">
        <v>46279</v>
      </c>
      <c r="G461" s="1" t="s">
        <v>282</v>
      </c>
      <c r="H461" s="3">
        <v>46279.416666666701</v>
      </c>
      <c r="I461" s="1" t="s">
        <v>254</v>
      </c>
      <c r="J461" s="2">
        <v>46279</v>
      </c>
      <c r="K461" s="3">
        <v>46279.416666666701</v>
      </c>
      <c r="L461" s="1" t="s">
        <v>255</v>
      </c>
      <c r="M461" s="1" t="s">
        <v>40</v>
      </c>
      <c r="N461" s="1" t="s">
        <v>41</v>
      </c>
      <c r="O461" s="1" t="s">
        <v>42</v>
      </c>
      <c r="Q461" s="1" t="s">
        <v>42</v>
      </c>
      <c r="R461" s="1" t="s">
        <v>163</v>
      </c>
      <c r="S461" s="1" t="s">
        <v>164</v>
      </c>
      <c r="T461" s="4">
        <v>285</v>
      </c>
      <c r="U461" s="4">
        <v>285</v>
      </c>
      <c r="V461" s="4">
        <v>285</v>
      </c>
      <c r="Z461" s="1" t="s">
        <v>42</v>
      </c>
      <c r="AD461" s="1" t="s">
        <v>42</v>
      </c>
      <c r="AF461" s="1" t="s">
        <v>42</v>
      </c>
    </row>
    <row r="462" spans="1:32" x14ac:dyDescent="0.25">
      <c r="A462" s="1" t="s">
        <v>32</v>
      </c>
      <c r="B462" s="1" t="s">
        <v>33</v>
      </c>
      <c r="C462" s="1" t="s">
        <v>34</v>
      </c>
      <c r="D462" s="1" t="s">
        <v>42</v>
      </c>
      <c r="E462" s="1" t="s">
        <v>281</v>
      </c>
      <c r="F462" s="2">
        <v>46279</v>
      </c>
      <c r="G462" s="1" t="s">
        <v>282</v>
      </c>
      <c r="H462" s="3">
        <v>46279.416666666701</v>
      </c>
      <c r="I462" s="1" t="s">
        <v>254</v>
      </c>
      <c r="J462" s="2">
        <v>46279</v>
      </c>
      <c r="K462" s="3">
        <v>46279.416666666701</v>
      </c>
      <c r="L462" s="1" t="s">
        <v>255</v>
      </c>
      <c r="M462" s="1" t="s">
        <v>40</v>
      </c>
      <c r="N462" s="1" t="s">
        <v>41</v>
      </c>
      <c r="O462" s="1" t="s">
        <v>42</v>
      </c>
      <c r="Q462" s="1" t="s">
        <v>42</v>
      </c>
      <c r="R462" s="1" t="s">
        <v>165</v>
      </c>
      <c r="S462" s="1" t="s">
        <v>166</v>
      </c>
      <c r="T462" s="4">
        <v>375</v>
      </c>
      <c r="U462" s="4">
        <v>375</v>
      </c>
      <c r="V462" s="4">
        <v>375</v>
      </c>
      <c r="Z462" s="1" t="s">
        <v>42</v>
      </c>
      <c r="AD462" s="1" t="s">
        <v>42</v>
      </c>
      <c r="AF462" s="1" t="s">
        <v>42</v>
      </c>
    </row>
    <row r="463" spans="1:32" x14ac:dyDescent="0.25">
      <c r="A463" s="1" t="s">
        <v>32</v>
      </c>
      <c r="B463" s="1" t="s">
        <v>33</v>
      </c>
      <c r="C463" s="1" t="s">
        <v>34</v>
      </c>
      <c r="D463" s="1" t="s">
        <v>42</v>
      </c>
      <c r="E463" s="1" t="s">
        <v>281</v>
      </c>
      <c r="F463" s="2">
        <v>46279</v>
      </c>
      <c r="G463" s="1" t="s">
        <v>282</v>
      </c>
      <c r="H463" s="3">
        <v>46279.416666666701</v>
      </c>
      <c r="I463" s="1" t="s">
        <v>254</v>
      </c>
      <c r="J463" s="2">
        <v>46279</v>
      </c>
      <c r="K463" s="3">
        <v>46279.416666666701</v>
      </c>
      <c r="L463" s="1" t="s">
        <v>255</v>
      </c>
      <c r="M463" s="1" t="s">
        <v>40</v>
      </c>
      <c r="N463" s="1" t="s">
        <v>41</v>
      </c>
      <c r="O463" s="1" t="s">
        <v>42</v>
      </c>
      <c r="Q463" s="1" t="s">
        <v>42</v>
      </c>
      <c r="R463" s="1" t="s">
        <v>169</v>
      </c>
      <c r="S463" s="1" t="s">
        <v>170</v>
      </c>
      <c r="T463" s="4">
        <v>60</v>
      </c>
      <c r="U463" s="4">
        <v>60</v>
      </c>
      <c r="V463" s="4">
        <v>60</v>
      </c>
      <c r="Z463" s="1" t="s">
        <v>42</v>
      </c>
      <c r="AD463" s="1" t="s">
        <v>42</v>
      </c>
      <c r="AF463" s="1" t="s">
        <v>42</v>
      </c>
    </row>
    <row r="464" spans="1:32" x14ac:dyDescent="0.25">
      <c r="A464" s="1" t="s">
        <v>32</v>
      </c>
      <c r="B464" s="1" t="s">
        <v>33</v>
      </c>
      <c r="C464" s="1" t="s">
        <v>34</v>
      </c>
      <c r="D464" s="1" t="s">
        <v>42</v>
      </c>
      <c r="E464" s="1" t="s">
        <v>281</v>
      </c>
      <c r="F464" s="2">
        <v>46279</v>
      </c>
      <c r="G464" s="1" t="s">
        <v>282</v>
      </c>
      <c r="H464" s="3">
        <v>46279.416666666701</v>
      </c>
      <c r="I464" s="1" t="s">
        <v>254</v>
      </c>
      <c r="J464" s="2">
        <v>46279</v>
      </c>
      <c r="K464" s="3">
        <v>46279.416666666701</v>
      </c>
      <c r="L464" s="1" t="s">
        <v>255</v>
      </c>
      <c r="M464" s="1" t="s">
        <v>40</v>
      </c>
      <c r="N464" s="1" t="s">
        <v>41</v>
      </c>
      <c r="O464" s="1" t="s">
        <v>42</v>
      </c>
      <c r="Q464" s="1" t="s">
        <v>42</v>
      </c>
      <c r="R464" s="1" t="s">
        <v>275</v>
      </c>
      <c r="S464" s="1" t="s">
        <v>276</v>
      </c>
      <c r="T464" s="4">
        <v>150</v>
      </c>
      <c r="U464" s="4">
        <v>150</v>
      </c>
      <c r="V464" s="4">
        <v>150</v>
      </c>
      <c r="Z464" s="1" t="s">
        <v>42</v>
      </c>
      <c r="AD464" s="1" t="s">
        <v>42</v>
      </c>
      <c r="AF464" s="1" t="s">
        <v>42</v>
      </c>
    </row>
    <row r="465" spans="1:32" x14ac:dyDescent="0.25">
      <c r="A465" s="1" t="s">
        <v>32</v>
      </c>
      <c r="B465" s="1" t="s">
        <v>33</v>
      </c>
      <c r="C465" s="1" t="s">
        <v>34</v>
      </c>
      <c r="D465" s="1" t="s">
        <v>42</v>
      </c>
      <c r="E465" s="1" t="s">
        <v>281</v>
      </c>
      <c r="F465" s="2">
        <v>46279</v>
      </c>
      <c r="G465" s="1" t="s">
        <v>282</v>
      </c>
      <c r="H465" s="3">
        <v>46279.416666666701</v>
      </c>
      <c r="I465" s="1" t="s">
        <v>254</v>
      </c>
      <c r="J465" s="2">
        <v>46279</v>
      </c>
      <c r="K465" s="3">
        <v>46279.416666666701</v>
      </c>
      <c r="L465" s="1" t="s">
        <v>255</v>
      </c>
      <c r="M465" s="1" t="s">
        <v>40</v>
      </c>
      <c r="N465" s="1" t="s">
        <v>41</v>
      </c>
      <c r="O465" s="1" t="s">
        <v>42</v>
      </c>
      <c r="Q465" s="1" t="s">
        <v>42</v>
      </c>
      <c r="R465" s="1" t="s">
        <v>277</v>
      </c>
      <c r="S465" s="1" t="s">
        <v>278</v>
      </c>
      <c r="T465" s="4">
        <v>27</v>
      </c>
      <c r="U465" s="4">
        <v>27</v>
      </c>
      <c r="V465" s="4">
        <v>27</v>
      </c>
      <c r="Z465" s="1" t="s">
        <v>42</v>
      </c>
      <c r="AD465" s="1" t="s">
        <v>42</v>
      </c>
      <c r="AF465" s="1" t="s">
        <v>42</v>
      </c>
    </row>
    <row r="466" spans="1:32" x14ac:dyDescent="0.25">
      <c r="A466" s="1" t="s">
        <v>32</v>
      </c>
      <c r="B466" s="1" t="s">
        <v>33</v>
      </c>
      <c r="C466" s="1" t="s">
        <v>34</v>
      </c>
      <c r="D466" s="1" t="s">
        <v>42</v>
      </c>
      <c r="E466" s="1" t="s">
        <v>281</v>
      </c>
      <c r="F466" s="2">
        <v>46279</v>
      </c>
      <c r="G466" s="1" t="s">
        <v>282</v>
      </c>
      <c r="H466" s="3">
        <v>46279.416666666701</v>
      </c>
      <c r="I466" s="1" t="s">
        <v>254</v>
      </c>
      <c r="J466" s="2">
        <v>46279</v>
      </c>
      <c r="K466" s="3">
        <v>46279.416666666701</v>
      </c>
      <c r="L466" s="1" t="s">
        <v>255</v>
      </c>
      <c r="M466" s="1" t="s">
        <v>40</v>
      </c>
      <c r="N466" s="1" t="s">
        <v>41</v>
      </c>
      <c r="O466" s="1" t="s">
        <v>42</v>
      </c>
      <c r="Q466" s="1" t="s">
        <v>42</v>
      </c>
      <c r="R466" s="1" t="s">
        <v>173</v>
      </c>
      <c r="S466" s="1" t="s">
        <v>174</v>
      </c>
      <c r="T466" s="4">
        <v>603</v>
      </c>
      <c r="U466" s="4">
        <v>603</v>
      </c>
      <c r="V466" s="4">
        <v>603</v>
      </c>
      <c r="Z466" s="1" t="s">
        <v>42</v>
      </c>
      <c r="AD466" s="1" t="s">
        <v>42</v>
      </c>
      <c r="AF466" s="1" t="s">
        <v>42</v>
      </c>
    </row>
    <row r="467" spans="1:32" x14ac:dyDescent="0.25">
      <c r="A467" s="1" t="s">
        <v>32</v>
      </c>
      <c r="B467" s="1" t="s">
        <v>33</v>
      </c>
      <c r="C467" s="1" t="s">
        <v>34</v>
      </c>
      <c r="D467" s="1" t="s">
        <v>42</v>
      </c>
      <c r="E467" s="1" t="s">
        <v>281</v>
      </c>
      <c r="F467" s="2">
        <v>46279</v>
      </c>
      <c r="G467" s="1" t="s">
        <v>282</v>
      </c>
      <c r="H467" s="3">
        <v>46279.416666666701</v>
      </c>
      <c r="I467" s="1" t="s">
        <v>254</v>
      </c>
      <c r="J467" s="2">
        <v>46279</v>
      </c>
      <c r="K467" s="3">
        <v>46279.416666666701</v>
      </c>
      <c r="L467" s="1" t="s">
        <v>255</v>
      </c>
      <c r="M467" s="1" t="s">
        <v>40</v>
      </c>
      <c r="N467" s="1" t="s">
        <v>41</v>
      </c>
      <c r="O467" s="1" t="s">
        <v>42</v>
      </c>
      <c r="Q467" s="1" t="s">
        <v>42</v>
      </c>
      <c r="R467" s="1" t="s">
        <v>175</v>
      </c>
      <c r="S467" s="1" t="s">
        <v>176</v>
      </c>
      <c r="T467" s="4">
        <v>33.6</v>
      </c>
      <c r="W467" s="4">
        <v>-33.6</v>
      </c>
      <c r="X467" s="1" t="s">
        <v>67</v>
      </c>
      <c r="Y467" s="1" t="s">
        <v>68</v>
      </c>
      <c r="Z467" s="1" t="s">
        <v>42</v>
      </c>
      <c r="AD467" s="1" t="s">
        <v>42</v>
      </c>
      <c r="AF467" s="1" t="s">
        <v>42</v>
      </c>
    </row>
    <row r="468" spans="1:32" x14ac:dyDescent="0.25">
      <c r="A468" s="1" t="s">
        <v>32</v>
      </c>
      <c r="B468" s="1" t="s">
        <v>33</v>
      </c>
      <c r="C468" s="1" t="s">
        <v>34</v>
      </c>
      <c r="D468" s="1" t="s">
        <v>42</v>
      </c>
      <c r="E468" s="1" t="s">
        <v>281</v>
      </c>
      <c r="F468" s="2">
        <v>46279</v>
      </c>
      <c r="G468" s="1" t="s">
        <v>282</v>
      </c>
      <c r="H468" s="3">
        <v>46279.416666666701</v>
      </c>
      <c r="I468" s="1" t="s">
        <v>254</v>
      </c>
      <c r="J468" s="2">
        <v>46279</v>
      </c>
      <c r="K468" s="3">
        <v>46279.416666666701</v>
      </c>
      <c r="L468" s="1" t="s">
        <v>255</v>
      </c>
      <c r="M468" s="1" t="s">
        <v>40</v>
      </c>
      <c r="N468" s="1" t="s">
        <v>41</v>
      </c>
      <c r="O468" s="1" t="s">
        <v>42</v>
      </c>
      <c r="Q468" s="1" t="s">
        <v>42</v>
      </c>
      <c r="R468" s="1" t="s">
        <v>177</v>
      </c>
      <c r="S468" s="1" t="s">
        <v>178</v>
      </c>
      <c r="T468" s="4">
        <v>59.4</v>
      </c>
      <c r="W468" s="4">
        <v>-59.4</v>
      </c>
      <c r="X468" s="1" t="s">
        <v>67</v>
      </c>
      <c r="Y468" s="1" t="s">
        <v>68</v>
      </c>
      <c r="Z468" s="1" t="s">
        <v>42</v>
      </c>
      <c r="AD468" s="1" t="s">
        <v>42</v>
      </c>
      <c r="AF468" s="1" t="s">
        <v>42</v>
      </c>
    </row>
    <row r="469" spans="1:32" x14ac:dyDescent="0.25">
      <c r="A469" s="1" t="s">
        <v>32</v>
      </c>
      <c r="B469" s="1" t="s">
        <v>33</v>
      </c>
      <c r="C469" s="1" t="s">
        <v>34</v>
      </c>
      <c r="D469" s="1" t="s">
        <v>42</v>
      </c>
      <c r="E469" s="1" t="s">
        <v>281</v>
      </c>
      <c r="F469" s="2">
        <v>46279</v>
      </c>
      <c r="G469" s="1" t="s">
        <v>282</v>
      </c>
      <c r="H469" s="3">
        <v>46279.416666666701</v>
      </c>
      <c r="I469" s="1" t="s">
        <v>254</v>
      </c>
      <c r="J469" s="2">
        <v>46279</v>
      </c>
      <c r="K469" s="3">
        <v>46279.416666666701</v>
      </c>
      <c r="L469" s="1" t="s">
        <v>255</v>
      </c>
      <c r="M469" s="1" t="s">
        <v>40</v>
      </c>
      <c r="N469" s="1" t="s">
        <v>41</v>
      </c>
      <c r="O469" s="1" t="s">
        <v>42</v>
      </c>
      <c r="Q469" s="1" t="s">
        <v>42</v>
      </c>
      <c r="R469" s="1" t="s">
        <v>266</v>
      </c>
      <c r="S469" s="1" t="s">
        <v>267</v>
      </c>
      <c r="T469" s="4">
        <v>162</v>
      </c>
      <c r="U469" s="4">
        <v>35</v>
      </c>
      <c r="V469" s="4">
        <v>35</v>
      </c>
      <c r="W469" s="4">
        <v>-127</v>
      </c>
      <c r="X469" s="1" t="s">
        <v>67</v>
      </c>
      <c r="Y469" s="1" t="s">
        <v>68</v>
      </c>
      <c r="Z469" s="1" t="s">
        <v>42</v>
      </c>
      <c r="AD469" s="1" t="s">
        <v>42</v>
      </c>
      <c r="AF469" s="1" t="s">
        <v>42</v>
      </c>
    </row>
    <row r="470" spans="1:32" x14ac:dyDescent="0.25">
      <c r="A470" s="1" t="s">
        <v>32</v>
      </c>
      <c r="B470" s="1" t="s">
        <v>33</v>
      </c>
      <c r="C470" s="1" t="s">
        <v>34</v>
      </c>
      <c r="D470" s="1" t="s">
        <v>42</v>
      </c>
      <c r="E470" s="1" t="s">
        <v>281</v>
      </c>
      <c r="F470" s="2">
        <v>46279</v>
      </c>
      <c r="G470" s="1" t="s">
        <v>282</v>
      </c>
      <c r="H470" s="3">
        <v>46279.416666666701</v>
      </c>
      <c r="I470" s="1" t="s">
        <v>254</v>
      </c>
      <c r="J470" s="2">
        <v>46279</v>
      </c>
      <c r="K470" s="3">
        <v>46279.416666666701</v>
      </c>
      <c r="L470" s="1" t="s">
        <v>255</v>
      </c>
      <c r="M470" s="1" t="s">
        <v>40</v>
      </c>
      <c r="N470" s="1" t="s">
        <v>41</v>
      </c>
      <c r="O470" s="1" t="s">
        <v>42</v>
      </c>
      <c r="Q470" s="1" t="s">
        <v>42</v>
      </c>
      <c r="R470" s="1" t="s">
        <v>179</v>
      </c>
      <c r="S470" s="1" t="s">
        <v>180</v>
      </c>
      <c r="T470" s="4">
        <v>26.4</v>
      </c>
      <c r="U470" s="4">
        <v>26.4</v>
      </c>
      <c r="V470" s="4">
        <v>26.4</v>
      </c>
      <c r="Z470" s="1" t="s">
        <v>42</v>
      </c>
      <c r="AD470" s="1" t="s">
        <v>42</v>
      </c>
      <c r="AF470" s="1" t="s">
        <v>42</v>
      </c>
    </row>
    <row r="471" spans="1:32" x14ac:dyDescent="0.25">
      <c r="A471" s="1" t="s">
        <v>32</v>
      </c>
      <c r="B471" s="1" t="s">
        <v>33</v>
      </c>
      <c r="C471" s="1" t="s">
        <v>34</v>
      </c>
      <c r="D471" s="1" t="s">
        <v>42</v>
      </c>
      <c r="E471" s="1" t="s">
        <v>281</v>
      </c>
      <c r="F471" s="2">
        <v>46279</v>
      </c>
      <c r="G471" s="1" t="s">
        <v>282</v>
      </c>
      <c r="H471" s="3">
        <v>46279.416666666701</v>
      </c>
      <c r="I471" s="1" t="s">
        <v>254</v>
      </c>
      <c r="J471" s="2">
        <v>46279</v>
      </c>
      <c r="K471" s="3">
        <v>46279.416666666701</v>
      </c>
      <c r="L471" s="1" t="s">
        <v>255</v>
      </c>
      <c r="M471" s="1" t="s">
        <v>40</v>
      </c>
      <c r="N471" s="1" t="s">
        <v>41</v>
      </c>
      <c r="O471" s="1" t="s">
        <v>42</v>
      </c>
      <c r="Q471" s="1" t="s">
        <v>42</v>
      </c>
      <c r="R471" s="1" t="s">
        <v>181</v>
      </c>
      <c r="S471" s="1" t="s">
        <v>182</v>
      </c>
      <c r="T471" s="4">
        <v>36.96</v>
      </c>
      <c r="U471" s="4">
        <v>36.96</v>
      </c>
      <c r="V471" s="4">
        <v>36.96</v>
      </c>
      <c r="Z471" s="1" t="s">
        <v>42</v>
      </c>
      <c r="AD471" s="1" t="s">
        <v>42</v>
      </c>
      <c r="AF471" s="1" t="s">
        <v>42</v>
      </c>
    </row>
    <row r="472" spans="1:32" x14ac:dyDescent="0.25">
      <c r="A472" s="1" t="s">
        <v>32</v>
      </c>
      <c r="B472" s="1" t="s">
        <v>33</v>
      </c>
      <c r="C472" s="1" t="s">
        <v>34</v>
      </c>
      <c r="D472" s="1" t="s">
        <v>42</v>
      </c>
      <c r="E472" s="1" t="s">
        <v>281</v>
      </c>
      <c r="F472" s="2">
        <v>46279</v>
      </c>
      <c r="G472" s="1" t="s">
        <v>282</v>
      </c>
      <c r="H472" s="3">
        <v>46279.416666666701</v>
      </c>
      <c r="I472" s="1" t="s">
        <v>254</v>
      </c>
      <c r="J472" s="2">
        <v>46279</v>
      </c>
      <c r="K472" s="3">
        <v>46279.416666666701</v>
      </c>
      <c r="L472" s="1" t="s">
        <v>255</v>
      </c>
      <c r="M472" s="1" t="s">
        <v>40</v>
      </c>
      <c r="N472" s="1" t="s">
        <v>41</v>
      </c>
      <c r="O472" s="1" t="s">
        <v>42</v>
      </c>
      <c r="Q472" s="1" t="s">
        <v>42</v>
      </c>
      <c r="R472" s="1" t="s">
        <v>183</v>
      </c>
      <c r="S472" s="1" t="s">
        <v>184</v>
      </c>
      <c r="T472" s="4">
        <v>116.16</v>
      </c>
      <c r="U472" s="4">
        <v>116.16</v>
      </c>
      <c r="V472" s="4">
        <v>116.16</v>
      </c>
      <c r="Z472" s="1" t="s">
        <v>42</v>
      </c>
      <c r="AD472" s="1" t="s">
        <v>42</v>
      </c>
      <c r="AF472" s="1" t="s">
        <v>42</v>
      </c>
    </row>
    <row r="473" spans="1:32" x14ac:dyDescent="0.25">
      <c r="A473" s="1" t="s">
        <v>32</v>
      </c>
      <c r="B473" s="1" t="s">
        <v>33</v>
      </c>
      <c r="C473" s="1" t="s">
        <v>34</v>
      </c>
      <c r="D473" s="1" t="s">
        <v>42</v>
      </c>
      <c r="E473" s="1" t="s">
        <v>281</v>
      </c>
      <c r="F473" s="2">
        <v>46279</v>
      </c>
      <c r="G473" s="1" t="s">
        <v>282</v>
      </c>
      <c r="H473" s="3">
        <v>46279.416666666701</v>
      </c>
      <c r="I473" s="1" t="s">
        <v>254</v>
      </c>
      <c r="J473" s="2">
        <v>46279</v>
      </c>
      <c r="K473" s="3">
        <v>46279.416666666701</v>
      </c>
      <c r="L473" s="1" t="s">
        <v>255</v>
      </c>
      <c r="M473" s="1" t="s">
        <v>40</v>
      </c>
      <c r="N473" s="1" t="s">
        <v>41</v>
      </c>
      <c r="O473" s="1" t="s">
        <v>42</v>
      </c>
      <c r="Q473" s="1" t="s">
        <v>42</v>
      </c>
      <c r="R473" s="1" t="s">
        <v>185</v>
      </c>
      <c r="S473" s="1" t="s">
        <v>186</v>
      </c>
      <c r="T473" s="4">
        <v>195.36</v>
      </c>
      <c r="U473" s="4">
        <v>195.36</v>
      </c>
      <c r="V473" s="4">
        <v>195.36</v>
      </c>
      <c r="Z473" s="1" t="s">
        <v>42</v>
      </c>
      <c r="AD473" s="1" t="s">
        <v>42</v>
      </c>
      <c r="AF473" s="1" t="s">
        <v>42</v>
      </c>
    </row>
    <row r="474" spans="1:32" x14ac:dyDescent="0.25">
      <c r="A474" s="1" t="s">
        <v>32</v>
      </c>
      <c r="B474" s="1" t="s">
        <v>33</v>
      </c>
      <c r="C474" s="1" t="s">
        <v>34</v>
      </c>
      <c r="D474" s="1" t="s">
        <v>42</v>
      </c>
      <c r="E474" s="1" t="s">
        <v>281</v>
      </c>
      <c r="F474" s="2">
        <v>46279</v>
      </c>
      <c r="G474" s="1" t="s">
        <v>282</v>
      </c>
      <c r="H474" s="3">
        <v>46279.416666666701</v>
      </c>
      <c r="I474" s="1" t="s">
        <v>254</v>
      </c>
      <c r="J474" s="2">
        <v>46279</v>
      </c>
      <c r="K474" s="3">
        <v>46279.416666666701</v>
      </c>
      <c r="L474" s="1" t="s">
        <v>255</v>
      </c>
      <c r="M474" s="1" t="s">
        <v>40</v>
      </c>
      <c r="N474" s="1" t="s">
        <v>41</v>
      </c>
      <c r="O474" s="1" t="s">
        <v>42</v>
      </c>
      <c r="Q474" s="1" t="s">
        <v>42</v>
      </c>
      <c r="R474" s="1" t="s">
        <v>187</v>
      </c>
      <c r="S474" s="1" t="s">
        <v>188</v>
      </c>
      <c r="T474" s="4">
        <v>100.32</v>
      </c>
      <c r="U474" s="4">
        <v>100.32</v>
      </c>
      <c r="V474" s="4">
        <v>100.32</v>
      </c>
      <c r="Z474" s="1" t="s">
        <v>42</v>
      </c>
      <c r="AD474" s="1" t="s">
        <v>42</v>
      </c>
      <c r="AF474" s="1" t="s">
        <v>42</v>
      </c>
    </row>
    <row r="475" spans="1:32" x14ac:dyDescent="0.25">
      <c r="A475" s="1" t="s">
        <v>32</v>
      </c>
      <c r="B475" s="1" t="s">
        <v>33</v>
      </c>
      <c r="C475" s="1" t="s">
        <v>34</v>
      </c>
      <c r="D475" s="1" t="s">
        <v>42</v>
      </c>
      <c r="E475" s="1" t="s">
        <v>281</v>
      </c>
      <c r="F475" s="2">
        <v>46279</v>
      </c>
      <c r="G475" s="1" t="s">
        <v>282</v>
      </c>
      <c r="H475" s="3">
        <v>46279.416666666701</v>
      </c>
      <c r="I475" s="1" t="s">
        <v>254</v>
      </c>
      <c r="J475" s="2">
        <v>46279</v>
      </c>
      <c r="K475" s="3">
        <v>46279.416666666701</v>
      </c>
      <c r="L475" s="1" t="s">
        <v>255</v>
      </c>
      <c r="M475" s="1" t="s">
        <v>40</v>
      </c>
      <c r="N475" s="1" t="s">
        <v>41</v>
      </c>
      <c r="O475" s="1" t="s">
        <v>42</v>
      </c>
      <c r="Q475" s="1" t="s">
        <v>42</v>
      </c>
      <c r="R475" s="1" t="s">
        <v>232</v>
      </c>
      <c r="S475" s="1" t="s">
        <v>233</v>
      </c>
      <c r="T475" s="4">
        <v>179.52</v>
      </c>
      <c r="U475" s="4">
        <v>179.52</v>
      </c>
      <c r="V475" s="4">
        <v>179.52</v>
      </c>
      <c r="Z475" s="1" t="s">
        <v>42</v>
      </c>
      <c r="AD475" s="1" t="s">
        <v>42</v>
      </c>
      <c r="AF475" s="1" t="s">
        <v>42</v>
      </c>
    </row>
    <row r="476" spans="1:32" x14ac:dyDescent="0.25">
      <c r="A476" s="1" t="s">
        <v>32</v>
      </c>
      <c r="B476" s="1" t="s">
        <v>33</v>
      </c>
      <c r="C476" s="1" t="s">
        <v>34</v>
      </c>
      <c r="D476" s="1" t="s">
        <v>42</v>
      </c>
      <c r="E476" s="1" t="s">
        <v>281</v>
      </c>
      <c r="F476" s="2">
        <v>46279</v>
      </c>
      <c r="G476" s="1" t="s">
        <v>282</v>
      </c>
      <c r="H476" s="3">
        <v>46279.416666666701</v>
      </c>
      <c r="I476" s="1" t="s">
        <v>254</v>
      </c>
      <c r="J476" s="2">
        <v>46279</v>
      </c>
      <c r="K476" s="3">
        <v>46279.416666666701</v>
      </c>
      <c r="L476" s="1" t="s">
        <v>255</v>
      </c>
      <c r="M476" s="1" t="s">
        <v>40</v>
      </c>
      <c r="N476" s="1" t="s">
        <v>41</v>
      </c>
      <c r="O476" s="1" t="s">
        <v>42</v>
      </c>
      <c r="Q476" s="1" t="s">
        <v>42</v>
      </c>
      <c r="R476" s="1" t="s">
        <v>220</v>
      </c>
      <c r="S476" s="1" t="s">
        <v>221</v>
      </c>
      <c r="T476" s="4">
        <v>100.32</v>
      </c>
      <c r="U476" s="4">
        <v>100.32</v>
      </c>
      <c r="V476" s="4">
        <v>100.32</v>
      </c>
      <c r="Z476" s="1" t="s">
        <v>42</v>
      </c>
      <c r="AD476" s="1" t="s">
        <v>42</v>
      </c>
      <c r="AF476" s="1" t="s">
        <v>42</v>
      </c>
    </row>
    <row r="477" spans="1:32" x14ac:dyDescent="0.25">
      <c r="A477" s="1" t="s">
        <v>32</v>
      </c>
      <c r="B477" s="1" t="s">
        <v>33</v>
      </c>
      <c r="C477" s="1" t="s">
        <v>34</v>
      </c>
      <c r="D477" s="1" t="s">
        <v>42</v>
      </c>
      <c r="E477" s="1" t="s">
        <v>281</v>
      </c>
      <c r="F477" s="2">
        <v>46279</v>
      </c>
      <c r="G477" s="1" t="s">
        <v>282</v>
      </c>
      <c r="H477" s="3">
        <v>46279.416666666701</v>
      </c>
      <c r="I477" s="1" t="s">
        <v>254</v>
      </c>
      <c r="J477" s="2">
        <v>46279</v>
      </c>
      <c r="K477" s="3">
        <v>46279.416666666701</v>
      </c>
      <c r="L477" s="1" t="s">
        <v>255</v>
      </c>
      <c r="M477" s="1" t="s">
        <v>40</v>
      </c>
      <c r="N477" s="1" t="s">
        <v>41</v>
      </c>
      <c r="O477" s="1" t="s">
        <v>42</v>
      </c>
      <c r="Q477" s="1" t="s">
        <v>42</v>
      </c>
      <c r="R477" s="1" t="s">
        <v>189</v>
      </c>
      <c r="S477" s="1" t="s">
        <v>190</v>
      </c>
      <c r="T477" s="4">
        <v>100.32</v>
      </c>
      <c r="U477" s="4">
        <v>100.32</v>
      </c>
      <c r="V477" s="4">
        <v>100.32</v>
      </c>
      <c r="Z477" s="1" t="s">
        <v>42</v>
      </c>
      <c r="AD477" s="1" t="s">
        <v>42</v>
      </c>
      <c r="AF477" s="1" t="s">
        <v>42</v>
      </c>
    </row>
    <row r="478" spans="1:32" x14ac:dyDescent="0.25">
      <c r="A478" s="1" t="s">
        <v>32</v>
      </c>
      <c r="B478" s="1" t="s">
        <v>33</v>
      </c>
      <c r="C478" s="1" t="s">
        <v>34</v>
      </c>
      <c r="D478" s="1" t="s">
        <v>42</v>
      </c>
      <c r="E478" s="1" t="s">
        <v>281</v>
      </c>
      <c r="F478" s="2">
        <v>46279</v>
      </c>
      <c r="G478" s="1" t="s">
        <v>282</v>
      </c>
      <c r="H478" s="3">
        <v>46279.416666666701</v>
      </c>
      <c r="I478" s="1" t="s">
        <v>254</v>
      </c>
      <c r="J478" s="2">
        <v>46279</v>
      </c>
      <c r="K478" s="3">
        <v>46279.416666666701</v>
      </c>
      <c r="L478" s="1" t="s">
        <v>255</v>
      </c>
      <c r="M478" s="1" t="s">
        <v>40</v>
      </c>
      <c r="N478" s="1" t="s">
        <v>41</v>
      </c>
      <c r="O478" s="1" t="s">
        <v>42</v>
      </c>
      <c r="Q478" s="1" t="s">
        <v>42</v>
      </c>
      <c r="R478" s="1" t="s">
        <v>193</v>
      </c>
      <c r="S478" s="1" t="s">
        <v>194</v>
      </c>
      <c r="T478" s="4">
        <v>81</v>
      </c>
      <c r="W478" s="4">
        <v>-81</v>
      </c>
      <c r="X478" s="1" t="s">
        <v>67</v>
      </c>
      <c r="Y478" s="1" t="s">
        <v>68</v>
      </c>
      <c r="Z478" s="1" t="s">
        <v>42</v>
      </c>
      <c r="AD478" s="1" t="s">
        <v>42</v>
      </c>
      <c r="AF478" s="1" t="s">
        <v>42</v>
      </c>
    </row>
    <row r="479" spans="1:32" x14ac:dyDescent="0.25">
      <c r="A479" s="1" t="s">
        <v>32</v>
      </c>
      <c r="B479" s="1" t="s">
        <v>33</v>
      </c>
      <c r="C479" s="1" t="s">
        <v>34</v>
      </c>
      <c r="D479" s="1" t="s">
        <v>42</v>
      </c>
      <c r="E479" s="1" t="s">
        <v>281</v>
      </c>
      <c r="F479" s="2">
        <v>46279</v>
      </c>
      <c r="G479" s="1" t="s">
        <v>282</v>
      </c>
      <c r="H479" s="3">
        <v>46279.416666666701</v>
      </c>
      <c r="I479" s="1" t="s">
        <v>254</v>
      </c>
      <c r="J479" s="2">
        <v>46279</v>
      </c>
      <c r="K479" s="3">
        <v>46279.416666666701</v>
      </c>
      <c r="L479" s="1" t="s">
        <v>255</v>
      </c>
      <c r="M479" s="1" t="s">
        <v>40</v>
      </c>
      <c r="N479" s="1" t="s">
        <v>41</v>
      </c>
      <c r="O479" s="1" t="s">
        <v>42</v>
      </c>
      <c r="Q479" s="1" t="s">
        <v>42</v>
      </c>
      <c r="R479" s="1" t="s">
        <v>279</v>
      </c>
      <c r="S479" s="1" t="s">
        <v>280</v>
      </c>
      <c r="T479" s="4">
        <v>43.2</v>
      </c>
      <c r="U479" s="4">
        <v>43.2</v>
      </c>
      <c r="V479" s="4">
        <v>43.2</v>
      </c>
      <c r="Z479" s="1" t="s">
        <v>42</v>
      </c>
      <c r="AD479" s="1" t="s">
        <v>42</v>
      </c>
      <c r="AF479" s="1" t="s">
        <v>42</v>
      </c>
    </row>
    <row r="480" spans="1:32" x14ac:dyDescent="0.25">
      <c r="A480" s="1" t="s">
        <v>32</v>
      </c>
      <c r="B480" s="1" t="s">
        <v>33</v>
      </c>
      <c r="C480" s="1" t="s">
        <v>34</v>
      </c>
      <c r="D480" s="1" t="s">
        <v>42</v>
      </c>
      <c r="E480" s="1" t="s">
        <v>293</v>
      </c>
      <c r="F480" s="2">
        <v>46279</v>
      </c>
      <c r="G480" s="1" t="s">
        <v>294</v>
      </c>
      <c r="H480" s="3">
        <v>46279.458333333299</v>
      </c>
      <c r="I480" s="1" t="s">
        <v>236</v>
      </c>
      <c r="J480" s="2">
        <v>46279</v>
      </c>
      <c r="K480" s="3">
        <v>46279.458333333299</v>
      </c>
      <c r="L480" s="1" t="s">
        <v>237</v>
      </c>
      <c r="M480" s="1" t="s">
        <v>40</v>
      </c>
      <c r="N480" s="1" t="s">
        <v>41</v>
      </c>
      <c r="O480" s="1" t="s">
        <v>42</v>
      </c>
      <c r="Q480" s="1" t="s">
        <v>42</v>
      </c>
      <c r="R480" s="1" t="s">
        <v>195</v>
      </c>
      <c r="S480" s="1" t="s">
        <v>196</v>
      </c>
      <c r="T480" s="4">
        <v>702</v>
      </c>
      <c r="U480" s="4">
        <v>702</v>
      </c>
      <c r="V480" s="4">
        <v>702</v>
      </c>
      <c r="Z480" s="1" t="s">
        <v>42</v>
      </c>
      <c r="AD480" s="1" t="s">
        <v>42</v>
      </c>
      <c r="AF480" s="1" t="s">
        <v>42</v>
      </c>
    </row>
    <row r="481" spans="1:32" x14ac:dyDescent="0.25">
      <c r="A481" s="1" t="s">
        <v>32</v>
      </c>
      <c r="B481" s="1" t="s">
        <v>33</v>
      </c>
      <c r="C481" s="1" t="s">
        <v>34</v>
      </c>
      <c r="D481" s="1" t="s">
        <v>42</v>
      </c>
      <c r="E481" s="1" t="s">
        <v>293</v>
      </c>
      <c r="F481" s="2">
        <v>46279</v>
      </c>
      <c r="G481" s="1" t="s">
        <v>294</v>
      </c>
      <c r="H481" s="3">
        <v>46279.458333333299</v>
      </c>
      <c r="I481" s="1" t="s">
        <v>236</v>
      </c>
      <c r="J481" s="2">
        <v>46279</v>
      </c>
      <c r="K481" s="3">
        <v>46279.458333333299</v>
      </c>
      <c r="L481" s="1" t="s">
        <v>237</v>
      </c>
      <c r="M481" s="1" t="s">
        <v>40</v>
      </c>
      <c r="N481" s="1" t="s">
        <v>41</v>
      </c>
      <c r="O481" s="1" t="s">
        <v>42</v>
      </c>
      <c r="Q481" s="1" t="s">
        <v>42</v>
      </c>
      <c r="R481" s="1" t="s">
        <v>43</v>
      </c>
      <c r="S481" s="1" t="s">
        <v>44</v>
      </c>
      <c r="T481" s="4">
        <v>4</v>
      </c>
      <c r="U481" s="4">
        <v>4</v>
      </c>
      <c r="V481" s="4">
        <v>4</v>
      </c>
      <c r="Z481" s="1" t="s">
        <v>42</v>
      </c>
      <c r="AD481" s="1" t="s">
        <v>42</v>
      </c>
      <c r="AF481" s="1" t="s">
        <v>42</v>
      </c>
    </row>
    <row r="482" spans="1:32" x14ac:dyDescent="0.25">
      <c r="A482" s="1" t="s">
        <v>32</v>
      </c>
      <c r="B482" s="1" t="s">
        <v>33</v>
      </c>
      <c r="C482" s="1" t="s">
        <v>34</v>
      </c>
      <c r="D482" s="1" t="s">
        <v>42</v>
      </c>
      <c r="E482" s="1" t="s">
        <v>293</v>
      </c>
      <c r="F482" s="2">
        <v>46279</v>
      </c>
      <c r="G482" s="1" t="s">
        <v>294</v>
      </c>
      <c r="H482" s="3">
        <v>46279.458333333299</v>
      </c>
      <c r="I482" s="1" t="s">
        <v>236</v>
      </c>
      <c r="J482" s="2">
        <v>46279</v>
      </c>
      <c r="K482" s="3">
        <v>46279.458333333299</v>
      </c>
      <c r="L482" s="1" t="s">
        <v>237</v>
      </c>
      <c r="M482" s="1" t="s">
        <v>40</v>
      </c>
      <c r="N482" s="1" t="s">
        <v>41</v>
      </c>
      <c r="O482" s="1" t="s">
        <v>42</v>
      </c>
      <c r="Q482" s="1" t="s">
        <v>42</v>
      </c>
      <c r="R482" s="1" t="s">
        <v>228</v>
      </c>
      <c r="S482" s="1" t="s">
        <v>229</v>
      </c>
      <c r="T482" s="4">
        <v>33.6</v>
      </c>
      <c r="U482" s="4">
        <v>33.6</v>
      </c>
      <c r="V482" s="4">
        <v>33.6</v>
      </c>
      <c r="Z482" s="1" t="s">
        <v>42</v>
      </c>
      <c r="AD482" s="1" t="s">
        <v>42</v>
      </c>
      <c r="AF482" s="1" t="s">
        <v>42</v>
      </c>
    </row>
    <row r="483" spans="1:32" x14ac:dyDescent="0.25">
      <c r="A483" s="1" t="s">
        <v>32</v>
      </c>
      <c r="B483" s="1" t="s">
        <v>33</v>
      </c>
      <c r="C483" s="1" t="s">
        <v>34</v>
      </c>
      <c r="D483" s="1" t="s">
        <v>42</v>
      </c>
      <c r="E483" s="1" t="s">
        <v>293</v>
      </c>
      <c r="F483" s="2">
        <v>46279</v>
      </c>
      <c r="G483" s="1" t="s">
        <v>294</v>
      </c>
      <c r="H483" s="3">
        <v>46279.458333333299</v>
      </c>
      <c r="I483" s="1" t="s">
        <v>236</v>
      </c>
      <c r="J483" s="2">
        <v>46279</v>
      </c>
      <c r="K483" s="3">
        <v>46279.458333333299</v>
      </c>
      <c r="L483" s="1" t="s">
        <v>237</v>
      </c>
      <c r="M483" s="1" t="s">
        <v>40</v>
      </c>
      <c r="N483" s="1" t="s">
        <v>41</v>
      </c>
      <c r="O483" s="1" t="s">
        <v>42</v>
      </c>
      <c r="Q483" s="1" t="s">
        <v>42</v>
      </c>
      <c r="R483" s="1" t="s">
        <v>201</v>
      </c>
      <c r="S483" s="1" t="s">
        <v>202</v>
      </c>
      <c r="T483" s="4">
        <v>572.4</v>
      </c>
      <c r="U483" s="4">
        <v>572.4</v>
      </c>
      <c r="V483" s="4">
        <v>572.4</v>
      </c>
      <c r="Z483" s="1" t="s">
        <v>42</v>
      </c>
      <c r="AD483" s="1" t="s">
        <v>42</v>
      </c>
      <c r="AF483" s="1" t="s">
        <v>42</v>
      </c>
    </row>
    <row r="484" spans="1:32" x14ac:dyDescent="0.25">
      <c r="A484" s="1" t="s">
        <v>32</v>
      </c>
      <c r="B484" s="1" t="s">
        <v>33</v>
      </c>
      <c r="C484" s="1" t="s">
        <v>34</v>
      </c>
      <c r="D484" s="1" t="s">
        <v>42</v>
      </c>
      <c r="E484" s="1" t="s">
        <v>293</v>
      </c>
      <c r="F484" s="2">
        <v>46279</v>
      </c>
      <c r="G484" s="1" t="s">
        <v>294</v>
      </c>
      <c r="H484" s="3">
        <v>46279.458333333299</v>
      </c>
      <c r="I484" s="1" t="s">
        <v>236</v>
      </c>
      <c r="J484" s="2">
        <v>46279</v>
      </c>
      <c r="K484" s="3">
        <v>46279.458333333299</v>
      </c>
      <c r="L484" s="1" t="s">
        <v>237</v>
      </c>
      <c r="M484" s="1" t="s">
        <v>40</v>
      </c>
      <c r="N484" s="1" t="s">
        <v>41</v>
      </c>
      <c r="O484" s="1" t="s">
        <v>42</v>
      </c>
      <c r="Q484" s="1" t="s">
        <v>42</v>
      </c>
      <c r="R484" s="1" t="s">
        <v>230</v>
      </c>
      <c r="S484" s="1" t="s">
        <v>231</v>
      </c>
      <c r="T484" s="4">
        <v>75.599999999999994</v>
      </c>
      <c r="U484" s="4">
        <v>75.599999999999994</v>
      </c>
      <c r="V484" s="4">
        <v>75.599999999999994</v>
      </c>
      <c r="Z484" s="1" t="s">
        <v>42</v>
      </c>
      <c r="AD484" s="1" t="s">
        <v>42</v>
      </c>
      <c r="AF484" s="1" t="s">
        <v>42</v>
      </c>
    </row>
    <row r="485" spans="1:32" x14ac:dyDescent="0.25">
      <c r="A485" s="1" t="s">
        <v>32</v>
      </c>
      <c r="B485" s="1" t="s">
        <v>33</v>
      </c>
      <c r="C485" s="1" t="s">
        <v>34</v>
      </c>
      <c r="D485" s="1" t="s">
        <v>42</v>
      </c>
      <c r="E485" s="1" t="s">
        <v>293</v>
      </c>
      <c r="F485" s="2">
        <v>46279</v>
      </c>
      <c r="G485" s="1" t="s">
        <v>294</v>
      </c>
      <c r="H485" s="3">
        <v>46279.458333333299</v>
      </c>
      <c r="I485" s="1" t="s">
        <v>236</v>
      </c>
      <c r="J485" s="2">
        <v>46279</v>
      </c>
      <c r="K485" s="3">
        <v>46279.458333333299</v>
      </c>
      <c r="L485" s="1" t="s">
        <v>237</v>
      </c>
      <c r="M485" s="1" t="s">
        <v>40</v>
      </c>
      <c r="N485" s="1" t="s">
        <v>41</v>
      </c>
      <c r="O485" s="1" t="s">
        <v>42</v>
      </c>
      <c r="Q485" s="1" t="s">
        <v>42</v>
      </c>
      <c r="R485" s="1" t="s">
        <v>49</v>
      </c>
      <c r="S485" s="1" t="s">
        <v>50</v>
      </c>
      <c r="T485" s="4">
        <v>496.8</v>
      </c>
      <c r="U485" s="4">
        <v>496.8</v>
      </c>
      <c r="V485" s="4">
        <v>496.8</v>
      </c>
      <c r="Z485" s="1" t="s">
        <v>42</v>
      </c>
      <c r="AD485" s="1" t="s">
        <v>42</v>
      </c>
      <c r="AF485" s="1" t="s">
        <v>42</v>
      </c>
    </row>
    <row r="486" spans="1:32" x14ac:dyDescent="0.25">
      <c r="A486" s="1" t="s">
        <v>32</v>
      </c>
      <c r="B486" s="1" t="s">
        <v>33</v>
      </c>
      <c r="C486" s="1" t="s">
        <v>34</v>
      </c>
      <c r="D486" s="1" t="s">
        <v>42</v>
      </c>
      <c r="E486" s="1" t="s">
        <v>293</v>
      </c>
      <c r="F486" s="2">
        <v>46279</v>
      </c>
      <c r="G486" s="1" t="s">
        <v>294</v>
      </c>
      <c r="H486" s="3">
        <v>46279.458333333299</v>
      </c>
      <c r="I486" s="1" t="s">
        <v>236</v>
      </c>
      <c r="J486" s="2">
        <v>46279</v>
      </c>
      <c r="K486" s="3">
        <v>46279.458333333299</v>
      </c>
      <c r="L486" s="1" t="s">
        <v>237</v>
      </c>
      <c r="M486" s="1" t="s">
        <v>40</v>
      </c>
      <c r="N486" s="1" t="s">
        <v>41</v>
      </c>
      <c r="O486" s="1" t="s">
        <v>42</v>
      </c>
      <c r="Q486" s="1" t="s">
        <v>42</v>
      </c>
      <c r="R486" s="1" t="s">
        <v>203</v>
      </c>
      <c r="S486" s="1" t="s">
        <v>204</v>
      </c>
      <c r="T486" s="4">
        <v>108</v>
      </c>
      <c r="U486" s="4">
        <v>108</v>
      </c>
      <c r="V486" s="4">
        <v>108</v>
      </c>
      <c r="Z486" s="1" t="s">
        <v>42</v>
      </c>
      <c r="AD486" s="1" t="s">
        <v>42</v>
      </c>
      <c r="AF486" s="1" t="s">
        <v>42</v>
      </c>
    </row>
    <row r="487" spans="1:32" x14ac:dyDescent="0.25">
      <c r="A487" s="1" t="s">
        <v>32</v>
      </c>
      <c r="B487" s="1" t="s">
        <v>33</v>
      </c>
      <c r="C487" s="1" t="s">
        <v>34</v>
      </c>
      <c r="D487" s="1" t="s">
        <v>42</v>
      </c>
      <c r="E487" s="1" t="s">
        <v>293</v>
      </c>
      <c r="F487" s="2">
        <v>46279</v>
      </c>
      <c r="G487" s="1" t="s">
        <v>294</v>
      </c>
      <c r="H487" s="3">
        <v>46279.458333333299</v>
      </c>
      <c r="I487" s="1" t="s">
        <v>236</v>
      </c>
      <c r="J487" s="2">
        <v>46279</v>
      </c>
      <c r="K487" s="3">
        <v>46279.458333333299</v>
      </c>
      <c r="L487" s="1" t="s">
        <v>237</v>
      </c>
      <c r="M487" s="1" t="s">
        <v>40</v>
      </c>
      <c r="N487" s="1" t="s">
        <v>41</v>
      </c>
      <c r="O487" s="1" t="s">
        <v>42</v>
      </c>
      <c r="Q487" s="1" t="s">
        <v>42</v>
      </c>
      <c r="R487" s="1" t="s">
        <v>53</v>
      </c>
      <c r="S487" s="1" t="s">
        <v>54</v>
      </c>
      <c r="T487" s="4">
        <v>1587.6</v>
      </c>
      <c r="U487" s="4">
        <v>1587.6</v>
      </c>
      <c r="V487" s="4">
        <v>1587.6</v>
      </c>
      <c r="Z487" s="1" t="s">
        <v>42</v>
      </c>
      <c r="AD487" s="1" t="s">
        <v>42</v>
      </c>
      <c r="AF487" s="1" t="s">
        <v>42</v>
      </c>
    </row>
    <row r="488" spans="1:32" x14ac:dyDescent="0.25">
      <c r="A488" s="1" t="s">
        <v>32</v>
      </c>
      <c r="B488" s="1" t="s">
        <v>33</v>
      </c>
      <c r="C488" s="1" t="s">
        <v>34</v>
      </c>
      <c r="D488" s="1" t="s">
        <v>42</v>
      </c>
      <c r="E488" s="1" t="s">
        <v>293</v>
      </c>
      <c r="F488" s="2">
        <v>46279</v>
      </c>
      <c r="G488" s="1" t="s">
        <v>294</v>
      </c>
      <c r="H488" s="3">
        <v>46279.458333333299</v>
      </c>
      <c r="I488" s="1" t="s">
        <v>236</v>
      </c>
      <c r="J488" s="2">
        <v>46279</v>
      </c>
      <c r="K488" s="3">
        <v>46279.458333333299</v>
      </c>
      <c r="L488" s="1" t="s">
        <v>237</v>
      </c>
      <c r="M488" s="1" t="s">
        <v>40</v>
      </c>
      <c r="N488" s="1" t="s">
        <v>41</v>
      </c>
      <c r="O488" s="1" t="s">
        <v>42</v>
      </c>
      <c r="Q488" s="1" t="s">
        <v>42</v>
      </c>
      <c r="R488" s="1" t="s">
        <v>205</v>
      </c>
      <c r="S488" s="1" t="s">
        <v>206</v>
      </c>
      <c r="T488" s="4">
        <v>334.8</v>
      </c>
      <c r="U488" s="4">
        <v>334.8</v>
      </c>
      <c r="V488" s="4">
        <v>334.8</v>
      </c>
      <c r="Z488" s="1" t="s">
        <v>42</v>
      </c>
      <c r="AD488" s="1" t="s">
        <v>42</v>
      </c>
      <c r="AF488" s="1" t="s">
        <v>42</v>
      </c>
    </row>
    <row r="489" spans="1:32" x14ac:dyDescent="0.25">
      <c r="A489" s="1" t="s">
        <v>32</v>
      </c>
      <c r="B489" s="1" t="s">
        <v>33</v>
      </c>
      <c r="C489" s="1" t="s">
        <v>34</v>
      </c>
      <c r="D489" s="1" t="s">
        <v>42</v>
      </c>
      <c r="E489" s="1" t="s">
        <v>293</v>
      </c>
      <c r="F489" s="2">
        <v>46279</v>
      </c>
      <c r="G489" s="1" t="s">
        <v>294</v>
      </c>
      <c r="H489" s="3">
        <v>46279.458333333299</v>
      </c>
      <c r="I489" s="1" t="s">
        <v>236</v>
      </c>
      <c r="J489" s="2">
        <v>46279</v>
      </c>
      <c r="K489" s="3">
        <v>46279.458333333299</v>
      </c>
      <c r="L489" s="1" t="s">
        <v>237</v>
      </c>
      <c r="M489" s="1" t="s">
        <v>40</v>
      </c>
      <c r="N489" s="1" t="s">
        <v>41</v>
      </c>
      <c r="O489" s="1" t="s">
        <v>42</v>
      </c>
      <c r="Q489" s="1" t="s">
        <v>42</v>
      </c>
      <c r="R489" s="1" t="s">
        <v>287</v>
      </c>
      <c r="S489" s="1" t="s">
        <v>288</v>
      </c>
      <c r="T489" s="4">
        <v>2.4</v>
      </c>
      <c r="U489" s="4">
        <v>2.4</v>
      </c>
      <c r="V489" s="4">
        <v>2.4</v>
      </c>
      <c r="Z489" s="1" t="s">
        <v>42</v>
      </c>
      <c r="AD489" s="1" t="s">
        <v>42</v>
      </c>
      <c r="AF489" s="1" t="s">
        <v>42</v>
      </c>
    </row>
    <row r="490" spans="1:32" x14ac:dyDescent="0.25">
      <c r="A490" s="1" t="s">
        <v>32</v>
      </c>
      <c r="B490" s="1" t="s">
        <v>33</v>
      </c>
      <c r="C490" s="1" t="s">
        <v>34</v>
      </c>
      <c r="D490" s="1" t="s">
        <v>42</v>
      </c>
      <c r="E490" s="1" t="s">
        <v>293</v>
      </c>
      <c r="F490" s="2">
        <v>46279</v>
      </c>
      <c r="G490" s="1" t="s">
        <v>294</v>
      </c>
      <c r="H490" s="3">
        <v>46279.458333333299</v>
      </c>
      <c r="I490" s="1" t="s">
        <v>236</v>
      </c>
      <c r="J490" s="2">
        <v>46279</v>
      </c>
      <c r="K490" s="3">
        <v>46279.458333333299</v>
      </c>
      <c r="L490" s="1" t="s">
        <v>237</v>
      </c>
      <c r="M490" s="1" t="s">
        <v>40</v>
      </c>
      <c r="N490" s="1" t="s">
        <v>41</v>
      </c>
      <c r="O490" s="1" t="s">
        <v>42</v>
      </c>
      <c r="Q490" s="1" t="s">
        <v>42</v>
      </c>
      <c r="R490" s="1" t="s">
        <v>61</v>
      </c>
      <c r="S490" s="1" t="s">
        <v>62</v>
      </c>
      <c r="T490" s="4">
        <v>16.8</v>
      </c>
      <c r="W490" s="4">
        <v>-16.8</v>
      </c>
      <c r="X490" s="1" t="s">
        <v>273</v>
      </c>
      <c r="Y490" s="1" t="s">
        <v>274</v>
      </c>
      <c r="Z490" s="1" t="s">
        <v>42</v>
      </c>
      <c r="AD490" s="1" t="s">
        <v>42</v>
      </c>
      <c r="AF490" s="1" t="s">
        <v>42</v>
      </c>
    </row>
    <row r="491" spans="1:32" x14ac:dyDescent="0.25">
      <c r="A491" s="1" t="s">
        <v>32</v>
      </c>
      <c r="B491" s="1" t="s">
        <v>33</v>
      </c>
      <c r="C491" s="1" t="s">
        <v>34</v>
      </c>
      <c r="D491" s="1" t="s">
        <v>42</v>
      </c>
      <c r="E491" s="1" t="s">
        <v>293</v>
      </c>
      <c r="F491" s="2">
        <v>46279</v>
      </c>
      <c r="G491" s="1" t="s">
        <v>294</v>
      </c>
      <c r="H491" s="3">
        <v>46279.458333333299</v>
      </c>
      <c r="I491" s="1" t="s">
        <v>236</v>
      </c>
      <c r="J491" s="2">
        <v>46279</v>
      </c>
      <c r="K491" s="3">
        <v>46279.458333333299</v>
      </c>
      <c r="L491" s="1" t="s">
        <v>237</v>
      </c>
      <c r="M491" s="1" t="s">
        <v>40</v>
      </c>
      <c r="N491" s="1" t="s">
        <v>41</v>
      </c>
      <c r="O491" s="1" t="s">
        <v>42</v>
      </c>
      <c r="Q491" s="1" t="s">
        <v>42</v>
      </c>
      <c r="R491" s="1" t="s">
        <v>238</v>
      </c>
      <c r="S491" s="1" t="s">
        <v>239</v>
      </c>
      <c r="T491" s="4">
        <v>18</v>
      </c>
      <c r="U491" s="4">
        <v>18</v>
      </c>
      <c r="V491" s="4">
        <v>18</v>
      </c>
      <c r="Z491" s="1" t="s">
        <v>42</v>
      </c>
      <c r="AD491" s="1" t="s">
        <v>42</v>
      </c>
      <c r="AF491" s="1" t="s">
        <v>42</v>
      </c>
    </row>
    <row r="492" spans="1:32" x14ac:dyDescent="0.25">
      <c r="A492" s="1" t="s">
        <v>32</v>
      </c>
      <c r="B492" s="1" t="s">
        <v>33</v>
      </c>
      <c r="C492" s="1" t="s">
        <v>34</v>
      </c>
      <c r="D492" s="1" t="s">
        <v>42</v>
      </c>
      <c r="E492" s="1" t="s">
        <v>293</v>
      </c>
      <c r="F492" s="2">
        <v>46279</v>
      </c>
      <c r="G492" s="1" t="s">
        <v>294</v>
      </c>
      <c r="H492" s="3">
        <v>46279.458333333299</v>
      </c>
      <c r="I492" s="1" t="s">
        <v>236</v>
      </c>
      <c r="J492" s="2">
        <v>46279</v>
      </c>
      <c r="K492" s="3">
        <v>46279.458333333299</v>
      </c>
      <c r="L492" s="1" t="s">
        <v>237</v>
      </c>
      <c r="M492" s="1" t="s">
        <v>40</v>
      </c>
      <c r="N492" s="1" t="s">
        <v>41</v>
      </c>
      <c r="O492" s="1" t="s">
        <v>42</v>
      </c>
      <c r="Q492" s="1" t="s">
        <v>42</v>
      </c>
      <c r="R492" s="1" t="s">
        <v>65</v>
      </c>
      <c r="S492" s="1" t="s">
        <v>66</v>
      </c>
      <c r="T492" s="4">
        <v>52.5</v>
      </c>
      <c r="W492" s="4">
        <v>-52.5</v>
      </c>
      <c r="X492" s="1" t="s">
        <v>67</v>
      </c>
      <c r="Y492" s="1" t="s">
        <v>68</v>
      </c>
      <c r="Z492" s="1" t="s">
        <v>42</v>
      </c>
      <c r="AD492" s="1" t="s">
        <v>42</v>
      </c>
      <c r="AF492" s="1" t="s">
        <v>42</v>
      </c>
    </row>
    <row r="493" spans="1:32" x14ac:dyDescent="0.25">
      <c r="A493" s="1" t="s">
        <v>32</v>
      </c>
      <c r="B493" s="1" t="s">
        <v>33</v>
      </c>
      <c r="C493" s="1" t="s">
        <v>34</v>
      </c>
      <c r="D493" s="1" t="s">
        <v>42</v>
      </c>
      <c r="E493" s="1" t="s">
        <v>293</v>
      </c>
      <c r="F493" s="2">
        <v>46279</v>
      </c>
      <c r="G493" s="1" t="s">
        <v>294</v>
      </c>
      <c r="H493" s="3">
        <v>46279.458333333299</v>
      </c>
      <c r="I493" s="1" t="s">
        <v>236</v>
      </c>
      <c r="J493" s="2">
        <v>46279</v>
      </c>
      <c r="K493" s="3">
        <v>46279.458333333299</v>
      </c>
      <c r="L493" s="1" t="s">
        <v>237</v>
      </c>
      <c r="M493" s="1" t="s">
        <v>40</v>
      </c>
      <c r="N493" s="1" t="s">
        <v>41</v>
      </c>
      <c r="O493" s="1" t="s">
        <v>42</v>
      </c>
      <c r="Q493" s="1" t="s">
        <v>42</v>
      </c>
      <c r="R493" s="1" t="s">
        <v>70</v>
      </c>
      <c r="S493" s="1" t="s">
        <v>71</v>
      </c>
      <c r="T493" s="4">
        <v>129.5</v>
      </c>
      <c r="U493" s="4">
        <v>129.5</v>
      </c>
      <c r="V493" s="4">
        <v>129.5</v>
      </c>
      <c r="Z493" s="1" t="s">
        <v>42</v>
      </c>
      <c r="AD493" s="1" t="s">
        <v>42</v>
      </c>
      <c r="AF493" s="1" t="s">
        <v>42</v>
      </c>
    </row>
    <row r="494" spans="1:32" x14ac:dyDescent="0.25">
      <c r="A494" s="1" t="s">
        <v>32</v>
      </c>
      <c r="B494" s="1" t="s">
        <v>33</v>
      </c>
      <c r="C494" s="1" t="s">
        <v>34</v>
      </c>
      <c r="D494" s="1" t="s">
        <v>42</v>
      </c>
      <c r="E494" s="1" t="s">
        <v>293</v>
      </c>
      <c r="F494" s="2">
        <v>46279</v>
      </c>
      <c r="G494" s="1" t="s">
        <v>294</v>
      </c>
      <c r="H494" s="3">
        <v>46279.458333333299</v>
      </c>
      <c r="I494" s="1" t="s">
        <v>236</v>
      </c>
      <c r="J494" s="2">
        <v>46279</v>
      </c>
      <c r="K494" s="3">
        <v>46279.458333333299</v>
      </c>
      <c r="L494" s="1" t="s">
        <v>237</v>
      </c>
      <c r="M494" s="1" t="s">
        <v>40</v>
      </c>
      <c r="N494" s="1" t="s">
        <v>41</v>
      </c>
      <c r="O494" s="1" t="s">
        <v>42</v>
      </c>
      <c r="Q494" s="1" t="s">
        <v>42</v>
      </c>
      <c r="R494" s="1" t="s">
        <v>74</v>
      </c>
      <c r="S494" s="1" t="s">
        <v>75</v>
      </c>
      <c r="T494" s="4">
        <v>112</v>
      </c>
      <c r="U494" s="4">
        <v>112</v>
      </c>
      <c r="V494" s="4">
        <v>112</v>
      </c>
      <c r="Z494" s="1" t="s">
        <v>42</v>
      </c>
      <c r="AD494" s="1" t="s">
        <v>42</v>
      </c>
      <c r="AF494" s="1" t="s">
        <v>42</v>
      </c>
    </row>
    <row r="495" spans="1:32" x14ac:dyDescent="0.25">
      <c r="A495" s="1" t="s">
        <v>32</v>
      </c>
      <c r="B495" s="1" t="s">
        <v>33</v>
      </c>
      <c r="C495" s="1" t="s">
        <v>34</v>
      </c>
      <c r="D495" s="1" t="s">
        <v>42</v>
      </c>
      <c r="E495" s="1" t="s">
        <v>293</v>
      </c>
      <c r="F495" s="2">
        <v>46279</v>
      </c>
      <c r="G495" s="1" t="s">
        <v>294</v>
      </c>
      <c r="H495" s="3">
        <v>46279.458333333299</v>
      </c>
      <c r="I495" s="1" t="s">
        <v>236</v>
      </c>
      <c r="J495" s="2">
        <v>46279</v>
      </c>
      <c r="K495" s="3">
        <v>46279.458333333299</v>
      </c>
      <c r="L495" s="1" t="s">
        <v>237</v>
      </c>
      <c r="M495" s="1" t="s">
        <v>40</v>
      </c>
      <c r="N495" s="1" t="s">
        <v>41</v>
      </c>
      <c r="O495" s="1" t="s">
        <v>42</v>
      </c>
      <c r="Q495" s="1" t="s">
        <v>42</v>
      </c>
      <c r="R495" s="1" t="s">
        <v>76</v>
      </c>
      <c r="S495" s="1" t="s">
        <v>77</v>
      </c>
      <c r="T495" s="4">
        <v>28.56</v>
      </c>
      <c r="U495" s="4">
        <v>28.56</v>
      </c>
      <c r="V495" s="4">
        <v>28.56</v>
      </c>
      <c r="Z495" s="1" t="s">
        <v>42</v>
      </c>
      <c r="AD495" s="1" t="s">
        <v>42</v>
      </c>
      <c r="AF495" s="1" t="s">
        <v>42</v>
      </c>
    </row>
    <row r="496" spans="1:32" x14ac:dyDescent="0.25">
      <c r="A496" s="1" t="s">
        <v>32</v>
      </c>
      <c r="B496" s="1" t="s">
        <v>33</v>
      </c>
      <c r="C496" s="1" t="s">
        <v>34</v>
      </c>
      <c r="D496" s="1" t="s">
        <v>42</v>
      </c>
      <c r="E496" s="1" t="s">
        <v>293</v>
      </c>
      <c r="F496" s="2">
        <v>46279</v>
      </c>
      <c r="G496" s="1" t="s">
        <v>294</v>
      </c>
      <c r="H496" s="3">
        <v>46279.458333333299</v>
      </c>
      <c r="I496" s="1" t="s">
        <v>236</v>
      </c>
      <c r="J496" s="2">
        <v>46279</v>
      </c>
      <c r="K496" s="3">
        <v>46279.458333333299</v>
      </c>
      <c r="L496" s="1" t="s">
        <v>237</v>
      </c>
      <c r="M496" s="1" t="s">
        <v>40</v>
      </c>
      <c r="N496" s="1" t="s">
        <v>41</v>
      </c>
      <c r="O496" s="1" t="s">
        <v>42</v>
      </c>
      <c r="Q496" s="1" t="s">
        <v>42</v>
      </c>
      <c r="R496" s="1" t="s">
        <v>242</v>
      </c>
      <c r="S496" s="1" t="s">
        <v>243</v>
      </c>
      <c r="T496" s="4">
        <v>23.4</v>
      </c>
      <c r="U496" s="4">
        <v>23.4</v>
      </c>
      <c r="V496" s="4">
        <v>23.4</v>
      </c>
      <c r="Z496" s="1" t="s">
        <v>42</v>
      </c>
      <c r="AD496" s="1" t="s">
        <v>42</v>
      </c>
      <c r="AF496" s="1" t="s">
        <v>42</v>
      </c>
    </row>
    <row r="497" spans="1:32" x14ac:dyDescent="0.25">
      <c r="A497" s="1" t="s">
        <v>32</v>
      </c>
      <c r="B497" s="1" t="s">
        <v>33</v>
      </c>
      <c r="C497" s="1" t="s">
        <v>34</v>
      </c>
      <c r="D497" s="1" t="s">
        <v>42</v>
      </c>
      <c r="E497" s="1" t="s">
        <v>293</v>
      </c>
      <c r="F497" s="2">
        <v>46279</v>
      </c>
      <c r="G497" s="1" t="s">
        <v>294</v>
      </c>
      <c r="H497" s="3">
        <v>46279.458333333299</v>
      </c>
      <c r="I497" s="1" t="s">
        <v>236</v>
      </c>
      <c r="J497" s="2">
        <v>46279</v>
      </c>
      <c r="K497" s="3">
        <v>46279.458333333299</v>
      </c>
      <c r="L497" s="1" t="s">
        <v>237</v>
      </c>
      <c r="M497" s="1" t="s">
        <v>40</v>
      </c>
      <c r="N497" s="1" t="s">
        <v>41</v>
      </c>
      <c r="O497" s="1" t="s">
        <v>42</v>
      </c>
      <c r="Q497" s="1" t="s">
        <v>42</v>
      </c>
      <c r="R497" s="1" t="s">
        <v>78</v>
      </c>
      <c r="S497" s="1" t="s">
        <v>79</v>
      </c>
      <c r="T497" s="4">
        <v>8.4</v>
      </c>
      <c r="U497" s="4">
        <v>8.4</v>
      </c>
      <c r="V497" s="4">
        <v>8.4</v>
      </c>
      <c r="Z497" s="1" t="s">
        <v>42</v>
      </c>
      <c r="AD497" s="1" t="s">
        <v>42</v>
      </c>
      <c r="AF497" s="1" t="s">
        <v>42</v>
      </c>
    </row>
    <row r="498" spans="1:32" x14ac:dyDescent="0.25">
      <c r="A498" s="1" t="s">
        <v>32</v>
      </c>
      <c r="B498" s="1" t="s">
        <v>33</v>
      </c>
      <c r="C498" s="1" t="s">
        <v>34</v>
      </c>
      <c r="D498" s="1" t="s">
        <v>42</v>
      </c>
      <c r="E498" s="1" t="s">
        <v>293</v>
      </c>
      <c r="F498" s="2">
        <v>46279</v>
      </c>
      <c r="G498" s="1" t="s">
        <v>294</v>
      </c>
      <c r="H498" s="3">
        <v>46279.458333333299</v>
      </c>
      <c r="I498" s="1" t="s">
        <v>236</v>
      </c>
      <c r="J498" s="2">
        <v>46279</v>
      </c>
      <c r="K498" s="3">
        <v>46279.458333333299</v>
      </c>
      <c r="L498" s="1" t="s">
        <v>237</v>
      </c>
      <c r="M498" s="1" t="s">
        <v>40</v>
      </c>
      <c r="N498" s="1" t="s">
        <v>41</v>
      </c>
      <c r="O498" s="1" t="s">
        <v>42</v>
      </c>
      <c r="Q498" s="1" t="s">
        <v>42</v>
      </c>
      <c r="R498" s="1" t="s">
        <v>81</v>
      </c>
      <c r="S498" s="1" t="s">
        <v>82</v>
      </c>
      <c r="T498" s="4">
        <v>84</v>
      </c>
      <c r="U498" s="4">
        <v>84</v>
      </c>
      <c r="V498" s="4">
        <v>84</v>
      </c>
      <c r="Z498" s="1" t="s">
        <v>42</v>
      </c>
      <c r="AD498" s="1" t="s">
        <v>42</v>
      </c>
      <c r="AF498" s="1" t="s">
        <v>42</v>
      </c>
    </row>
    <row r="499" spans="1:32" x14ac:dyDescent="0.25">
      <c r="A499" s="1" t="s">
        <v>32</v>
      </c>
      <c r="B499" s="1" t="s">
        <v>33</v>
      </c>
      <c r="C499" s="1" t="s">
        <v>34</v>
      </c>
      <c r="D499" s="1" t="s">
        <v>42</v>
      </c>
      <c r="E499" s="1" t="s">
        <v>293</v>
      </c>
      <c r="F499" s="2">
        <v>46279</v>
      </c>
      <c r="G499" s="1" t="s">
        <v>294</v>
      </c>
      <c r="H499" s="3">
        <v>46279.458333333299</v>
      </c>
      <c r="I499" s="1" t="s">
        <v>236</v>
      </c>
      <c r="J499" s="2">
        <v>46279</v>
      </c>
      <c r="K499" s="3">
        <v>46279.458333333299</v>
      </c>
      <c r="L499" s="1" t="s">
        <v>237</v>
      </c>
      <c r="M499" s="1" t="s">
        <v>40</v>
      </c>
      <c r="N499" s="1" t="s">
        <v>41</v>
      </c>
      <c r="O499" s="1" t="s">
        <v>42</v>
      </c>
      <c r="Q499" s="1" t="s">
        <v>42</v>
      </c>
      <c r="R499" s="1" t="s">
        <v>85</v>
      </c>
      <c r="S499" s="1" t="s">
        <v>86</v>
      </c>
      <c r="T499" s="4">
        <v>8.4</v>
      </c>
      <c r="U499" s="4">
        <v>8.4</v>
      </c>
      <c r="V499" s="4">
        <v>8.4</v>
      </c>
      <c r="Z499" s="1" t="s">
        <v>42</v>
      </c>
      <c r="AD499" s="1" t="s">
        <v>42</v>
      </c>
      <c r="AF499" s="1" t="s">
        <v>42</v>
      </c>
    </row>
    <row r="500" spans="1:32" x14ac:dyDescent="0.25">
      <c r="A500" s="1" t="s">
        <v>32</v>
      </c>
      <c r="B500" s="1" t="s">
        <v>33</v>
      </c>
      <c r="C500" s="1" t="s">
        <v>34</v>
      </c>
      <c r="D500" s="1" t="s">
        <v>42</v>
      </c>
      <c r="E500" s="1" t="s">
        <v>293</v>
      </c>
      <c r="F500" s="2">
        <v>46279</v>
      </c>
      <c r="G500" s="1" t="s">
        <v>294</v>
      </c>
      <c r="H500" s="3">
        <v>46279.458333333299</v>
      </c>
      <c r="I500" s="1" t="s">
        <v>236</v>
      </c>
      <c r="J500" s="2">
        <v>46279</v>
      </c>
      <c r="K500" s="3">
        <v>46279.458333333299</v>
      </c>
      <c r="L500" s="1" t="s">
        <v>237</v>
      </c>
      <c r="M500" s="1" t="s">
        <v>40</v>
      </c>
      <c r="N500" s="1" t="s">
        <v>41</v>
      </c>
      <c r="O500" s="1" t="s">
        <v>42</v>
      </c>
      <c r="Q500" s="1" t="s">
        <v>42</v>
      </c>
      <c r="R500" s="1" t="s">
        <v>87</v>
      </c>
      <c r="S500" s="1" t="s">
        <v>88</v>
      </c>
      <c r="T500" s="4">
        <v>25.6</v>
      </c>
      <c r="U500" s="4">
        <v>25.6</v>
      </c>
      <c r="V500" s="4">
        <v>25.6</v>
      </c>
      <c r="Z500" s="1" t="s">
        <v>42</v>
      </c>
      <c r="AD500" s="1" t="s">
        <v>42</v>
      </c>
      <c r="AF500" s="1" t="s">
        <v>42</v>
      </c>
    </row>
    <row r="501" spans="1:32" x14ac:dyDescent="0.25">
      <c r="A501" s="1" t="s">
        <v>32</v>
      </c>
      <c r="B501" s="1" t="s">
        <v>33</v>
      </c>
      <c r="C501" s="1" t="s">
        <v>34</v>
      </c>
      <c r="D501" s="1" t="s">
        <v>42</v>
      </c>
      <c r="E501" s="1" t="s">
        <v>293</v>
      </c>
      <c r="F501" s="2">
        <v>46279</v>
      </c>
      <c r="G501" s="1" t="s">
        <v>294</v>
      </c>
      <c r="H501" s="3">
        <v>46279.458333333299</v>
      </c>
      <c r="I501" s="1" t="s">
        <v>236</v>
      </c>
      <c r="J501" s="2">
        <v>46279</v>
      </c>
      <c r="K501" s="3">
        <v>46279.458333333299</v>
      </c>
      <c r="L501" s="1" t="s">
        <v>237</v>
      </c>
      <c r="M501" s="1" t="s">
        <v>40</v>
      </c>
      <c r="N501" s="1" t="s">
        <v>41</v>
      </c>
      <c r="O501" s="1" t="s">
        <v>42</v>
      </c>
      <c r="Q501" s="1" t="s">
        <v>42</v>
      </c>
      <c r="R501" s="1" t="s">
        <v>91</v>
      </c>
      <c r="S501" s="1" t="s">
        <v>92</v>
      </c>
      <c r="T501" s="4">
        <v>7.2</v>
      </c>
      <c r="W501" s="4">
        <v>-7.2</v>
      </c>
      <c r="X501" s="1" t="s">
        <v>93</v>
      </c>
      <c r="Z501" s="1" t="s">
        <v>42</v>
      </c>
      <c r="AD501" s="1" t="s">
        <v>42</v>
      </c>
      <c r="AF501" s="1" t="s">
        <v>42</v>
      </c>
    </row>
    <row r="502" spans="1:32" x14ac:dyDescent="0.25">
      <c r="A502" s="1" t="s">
        <v>32</v>
      </c>
      <c r="B502" s="1" t="s">
        <v>33</v>
      </c>
      <c r="C502" s="1" t="s">
        <v>34</v>
      </c>
      <c r="D502" s="1" t="s">
        <v>42</v>
      </c>
      <c r="E502" s="1" t="s">
        <v>293</v>
      </c>
      <c r="F502" s="2">
        <v>46279</v>
      </c>
      <c r="G502" s="1" t="s">
        <v>294</v>
      </c>
      <c r="H502" s="3">
        <v>46279.458333333299</v>
      </c>
      <c r="I502" s="1" t="s">
        <v>236</v>
      </c>
      <c r="J502" s="2">
        <v>46279</v>
      </c>
      <c r="K502" s="3">
        <v>46279.458333333299</v>
      </c>
      <c r="L502" s="1" t="s">
        <v>237</v>
      </c>
      <c r="M502" s="1" t="s">
        <v>40</v>
      </c>
      <c r="N502" s="1" t="s">
        <v>41</v>
      </c>
      <c r="O502" s="1" t="s">
        <v>42</v>
      </c>
      <c r="Q502" s="1" t="s">
        <v>42</v>
      </c>
      <c r="R502" s="1" t="s">
        <v>94</v>
      </c>
      <c r="S502" s="1" t="s">
        <v>95</v>
      </c>
      <c r="T502" s="4">
        <v>19.2</v>
      </c>
      <c r="U502" s="4">
        <v>19.2</v>
      </c>
      <c r="V502" s="4">
        <v>19.2</v>
      </c>
      <c r="Z502" s="1" t="s">
        <v>42</v>
      </c>
      <c r="AD502" s="1" t="s">
        <v>42</v>
      </c>
      <c r="AF502" s="1" t="s">
        <v>42</v>
      </c>
    </row>
    <row r="503" spans="1:32" x14ac:dyDescent="0.25">
      <c r="A503" s="1" t="s">
        <v>32</v>
      </c>
      <c r="B503" s="1" t="s">
        <v>33</v>
      </c>
      <c r="C503" s="1" t="s">
        <v>34</v>
      </c>
      <c r="D503" s="1" t="s">
        <v>42</v>
      </c>
      <c r="E503" s="1" t="s">
        <v>293</v>
      </c>
      <c r="F503" s="2">
        <v>46279</v>
      </c>
      <c r="G503" s="1" t="s">
        <v>294</v>
      </c>
      <c r="H503" s="3">
        <v>46279.458333333299</v>
      </c>
      <c r="I503" s="1" t="s">
        <v>236</v>
      </c>
      <c r="J503" s="2">
        <v>46279</v>
      </c>
      <c r="K503" s="3">
        <v>46279.458333333299</v>
      </c>
      <c r="L503" s="1" t="s">
        <v>237</v>
      </c>
      <c r="M503" s="1" t="s">
        <v>40</v>
      </c>
      <c r="N503" s="1" t="s">
        <v>41</v>
      </c>
      <c r="O503" s="1" t="s">
        <v>42</v>
      </c>
      <c r="Q503" s="1" t="s">
        <v>42</v>
      </c>
      <c r="R503" s="1" t="s">
        <v>96</v>
      </c>
      <c r="S503" s="1" t="s">
        <v>97</v>
      </c>
      <c r="T503" s="4">
        <v>123.9</v>
      </c>
      <c r="W503" s="4">
        <v>-123.9</v>
      </c>
      <c r="X503" s="1" t="s">
        <v>67</v>
      </c>
      <c r="Y503" s="1" t="s">
        <v>68</v>
      </c>
      <c r="Z503" s="1" t="s">
        <v>42</v>
      </c>
      <c r="AD503" s="1" t="s">
        <v>42</v>
      </c>
      <c r="AF503" s="1" t="s">
        <v>42</v>
      </c>
    </row>
    <row r="504" spans="1:32" x14ac:dyDescent="0.25">
      <c r="A504" s="1" t="s">
        <v>32</v>
      </c>
      <c r="B504" s="1" t="s">
        <v>33</v>
      </c>
      <c r="C504" s="1" t="s">
        <v>34</v>
      </c>
      <c r="D504" s="1" t="s">
        <v>42</v>
      </c>
      <c r="E504" s="1" t="s">
        <v>293</v>
      </c>
      <c r="F504" s="2">
        <v>46279</v>
      </c>
      <c r="G504" s="1" t="s">
        <v>294</v>
      </c>
      <c r="H504" s="3">
        <v>46279.458333333299</v>
      </c>
      <c r="I504" s="1" t="s">
        <v>236</v>
      </c>
      <c r="J504" s="2">
        <v>46279</v>
      </c>
      <c r="K504" s="3">
        <v>46279.458333333299</v>
      </c>
      <c r="L504" s="1" t="s">
        <v>237</v>
      </c>
      <c r="M504" s="1" t="s">
        <v>40</v>
      </c>
      <c r="N504" s="1" t="s">
        <v>41</v>
      </c>
      <c r="O504" s="1" t="s">
        <v>42</v>
      </c>
      <c r="Q504" s="1" t="s">
        <v>42</v>
      </c>
      <c r="R504" s="1" t="s">
        <v>100</v>
      </c>
      <c r="S504" s="1" t="s">
        <v>101</v>
      </c>
      <c r="T504" s="4">
        <v>16.38</v>
      </c>
      <c r="W504" s="4">
        <v>-16.38</v>
      </c>
      <c r="X504" s="1" t="s">
        <v>273</v>
      </c>
      <c r="Y504" s="1" t="s">
        <v>274</v>
      </c>
      <c r="Z504" s="1" t="s">
        <v>42</v>
      </c>
      <c r="AD504" s="1" t="s">
        <v>42</v>
      </c>
      <c r="AF504" s="1" t="s">
        <v>42</v>
      </c>
    </row>
    <row r="505" spans="1:32" x14ac:dyDescent="0.25">
      <c r="A505" s="1" t="s">
        <v>32</v>
      </c>
      <c r="B505" s="1" t="s">
        <v>33</v>
      </c>
      <c r="C505" s="1" t="s">
        <v>34</v>
      </c>
      <c r="D505" s="1" t="s">
        <v>42</v>
      </c>
      <c r="E505" s="1" t="s">
        <v>293</v>
      </c>
      <c r="F505" s="2">
        <v>46279</v>
      </c>
      <c r="G505" s="1" t="s">
        <v>294</v>
      </c>
      <c r="H505" s="3">
        <v>46279.458333333299</v>
      </c>
      <c r="I505" s="1" t="s">
        <v>236</v>
      </c>
      <c r="J505" s="2">
        <v>46279</v>
      </c>
      <c r="K505" s="3">
        <v>46279.458333333299</v>
      </c>
      <c r="L505" s="1" t="s">
        <v>237</v>
      </c>
      <c r="M505" s="1" t="s">
        <v>40</v>
      </c>
      <c r="N505" s="1" t="s">
        <v>41</v>
      </c>
      <c r="O505" s="1" t="s">
        <v>42</v>
      </c>
      <c r="Q505" s="1" t="s">
        <v>42</v>
      </c>
      <c r="R505" s="1" t="s">
        <v>209</v>
      </c>
      <c r="S505" s="1" t="s">
        <v>210</v>
      </c>
      <c r="T505" s="4">
        <v>5.04</v>
      </c>
      <c r="W505" s="4">
        <v>-5.04</v>
      </c>
      <c r="X505" s="1" t="s">
        <v>273</v>
      </c>
      <c r="Y505" s="1" t="s">
        <v>274</v>
      </c>
      <c r="Z505" s="1" t="s">
        <v>42</v>
      </c>
      <c r="AD505" s="1" t="s">
        <v>42</v>
      </c>
      <c r="AF505" s="1" t="s">
        <v>42</v>
      </c>
    </row>
    <row r="506" spans="1:32" x14ac:dyDescent="0.25">
      <c r="A506" s="1" t="s">
        <v>32</v>
      </c>
      <c r="B506" s="1" t="s">
        <v>33</v>
      </c>
      <c r="C506" s="1" t="s">
        <v>34</v>
      </c>
      <c r="D506" s="1" t="s">
        <v>42</v>
      </c>
      <c r="E506" s="1" t="s">
        <v>293</v>
      </c>
      <c r="F506" s="2">
        <v>46279</v>
      </c>
      <c r="G506" s="1" t="s">
        <v>294</v>
      </c>
      <c r="H506" s="3">
        <v>46279.458333333299</v>
      </c>
      <c r="I506" s="1" t="s">
        <v>236</v>
      </c>
      <c r="J506" s="2">
        <v>46279</v>
      </c>
      <c r="K506" s="3">
        <v>46279.458333333299</v>
      </c>
      <c r="L506" s="1" t="s">
        <v>237</v>
      </c>
      <c r="M506" s="1" t="s">
        <v>40</v>
      </c>
      <c r="N506" s="1" t="s">
        <v>41</v>
      </c>
      <c r="O506" s="1" t="s">
        <v>42</v>
      </c>
      <c r="Q506" s="1" t="s">
        <v>42</v>
      </c>
      <c r="R506" s="1" t="s">
        <v>104</v>
      </c>
      <c r="S506" s="1" t="s">
        <v>105</v>
      </c>
      <c r="T506" s="4">
        <v>151.19999999999999</v>
      </c>
      <c r="W506" s="4">
        <v>-151.19999999999999</v>
      </c>
      <c r="X506" s="1" t="s">
        <v>67</v>
      </c>
      <c r="Y506" s="1" t="s">
        <v>68</v>
      </c>
      <c r="Z506" s="1" t="s">
        <v>42</v>
      </c>
      <c r="AD506" s="1" t="s">
        <v>42</v>
      </c>
      <c r="AF506" s="1" t="s">
        <v>42</v>
      </c>
    </row>
    <row r="507" spans="1:32" x14ac:dyDescent="0.25">
      <c r="A507" s="1" t="s">
        <v>32</v>
      </c>
      <c r="B507" s="1" t="s">
        <v>33</v>
      </c>
      <c r="C507" s="1" t="s">
        <v>34</v>
      </c>
      <c r="D507" s="1" t="s">
        <v>42</v>
      </c>
      <c r="E507" s="1" t="s">
        <v>293</v>
      </c>
      <c r="F507" s="2">
        <v>46279</v>
      </c>
      <c r="G507" s="1" t="s">
        <v>294</v>
      </c>
      <c r="H507" s="3">
        <v>46279.458333333299</v>
      </c>
      <c r="I507" s="1" t="s">
        <v>236</v>
      </c>
      <c r="J507" s="2">
        <v>46279</v>
      </c>
      <c r="K507" s="3">
        <v>46279.458333333299</v>
      </c>
      <c r="L507" s="1" t="s">
        <v>237</v>
      </c>
      <c r="M507" s="1" t="s">
        <v>40</v>
      </c>
      <c r="N507" s="1" t="s">
        <v>41</v>
      </c>
      <c r="O507" s="1" t="s">
        <v>42</v>
      </c>
      <c r="Q507" s="1" t="s">
        <v>42</v>
      </c>
      <c r="R507" s="1" t="s">
        <v>106</v>
      </c>
      <c r="S507" s="1" t="s">
        <v>107</v>
      </c>
      <c r="T507" s="4">
        <v>253.8</v>
      </c>
      <c r="U507" s="4">
        <v>253.8</v>
      </c>
      <c r="V507" s="4">
        <v>253.8</v>
      </c>
      <c r="Z507" s="1" t="s">
        <v>42</v>
      </c>
      <c r="AD507" s="1" t="s">
        <v>42</v>
      </c>
      <c r="AF507" s="1" t="s">
        <v>42</v>
      </c>
    </row>
    <row r="508" spans="1:32" x14ac:dyDescent="0.25">
      <c r="A508" s="1" t="s">
        <v>32</v>
      </c>
      <c r="B508" s="1" t="s">
        <v>33</v>
      </c>
      <c r="C508" s="1" t="s">
        <v>34</v>
      </c>
      <c r="D508" s="1" t="s">
        <v>42</v>
      </c>
      <c r="E508" s="1" t="s">
        <v>293</v>
      </c>
      <c r="F508" s="2">
        <v>46279</v>
      </c>
      <c r="G508" s="1" t="s">
        <v>294</v>
      </c>
      <c r="H508" s="3">
        <v>46279.458333333299</v>
      </c>
      <c r="I508" s="1" t="s">
        <v>236</v>
      </c>
      <c r="J508" s="2">
        <v>46279</v>
      </c>
      <c r="K508" s="3">
        <v>46279.458333333299</v>
      </c>
      <c r="L508" s="1" t="s">
        <v>237</v>
      </c>
      <c r="M508" s="1" t="s">
        <v>40</v>
      </c>
      <c r="N508" s="1" t="s">
        <v>41</v>
      </c>
      <c r="O508" s="1" t="s">
        <v>42</v>
      </c>
      <c r="Q508" s="1" t="s">
        <v>42</v>
      </c>
      <c r="R508" s="1" t="s">
        <v>108</v>
      </c>
      <c r="S508" s="1" t="s">
        <v>109</v>
      </c>
      <c r="T508" s="4">
        <v>64.8</v>
      </c>
      <c r="W508" s="4">
        <v>-64.8</v>
      </c>
      <c r="X508" s="1" t="s">
        <v>67</v>
      </c>
      <c r="Y508" s="1" t="s">
        <v>68</v>
      </c>
      <c r="Z508" s="1" t="s">
        <v>42</v>
      </c>
      <c r="AD508" s="1" t="s">
        <v>42</v>
      </c>
      <c r="AF508" s="1" t="s">
        <v>42</v>
      </c>
    </row>
    <row r="509" spans="1:32" x14ac:dyDescent="0.25">
      <c r="A509" s="1" t="s">
        <v>32</v>
      </c>
      <c r="B509" s="1" t="s">
        <v>33</v>
      </c>
      <c r="C509" s="1" t="s">
        <v>34</v>
      </c>
      <c r="D509" s="1" t="s">
        <v>42</v>
      </c>
      <c r="E509" s="1" t="s">
        <v>293</v>
      </c>
      <c r="F509" s="2">
        <v>46279</v>
      </c>
      <c r="G509" s="1" t="s">
        <v>294</v>
      </c>
      <c r="H509" s="3">
        <v>46279.458333333299</v>
      </c>
      <c r="I509" s="1" t="s">
        <v>236</v>
      </c>
      <c r="J509" s="2">
        <v>46279</v>
      </c>
      <c r="K509" s="3">
        <v>46279.458333333299</v>
      </c>
      <c r="L509" s="1" t="s">
        <v>237</v>
      </c>
      <c r="M509" s="1" t="s">
        <v>40</v>
      </c>
      <c r="N509" s="1" t="s">
        <v>41</v>
      </c>
      <c r="O509" s="1" t="s">
        <v>42</v>
      </c>
      <c r="Q509" s="1" t="s">
        <v>42</v>
      </c>
      <c r="R509" s="1" t="s">
        <v>110</v>
      </c>
      <c r="S509" s="1" t="s">
        <v>111</v>
      </c>
      <c r="T509" s="4">
        <v>50.4</v>
      </c>
      <c r="U509" s="4">
        <v>50.4</v>
      </c>
      <c r="V509" s="4">
        <v>50.4</v>
      </c>
      <c r="Z509" s="1" t="s">
        <v>42</v>
      </c>
      <c r="AD509" s="1" t="s">
        <v>42</v>
      </c>
      <c r="AF509" s="1" t="s">
        <v>42</v>
      </c>
    </row>
    <row r="510" spans="1:32" x14ac:dyDescent="0.25">
      <c r="A510" s="1" t="s">
        <v>32</v>
      </c>
      <c r="B510" s="1" t="s">
        <v>33</v>
      </c>
      <c r="C510" s="1" t="s">
        <v>34</v>
      </c>
      <c r="D510" s="1" t="s">
        <v>42</v>
      </c>
      <c r="E510" s="1" t="s">
        <v>293</v>
      </c>
      <c r="F510" s="2">
        <v>46279</v>
      </c>
      <c r="G510" s="1" t="s">
        <v>294</v>
      </c>
      <c r="H510" s="3">
        <v>46279.458333333299</v>
      </c>
      <c r="I510" s="1" t="s">
        <v>236</v>
      </c>
      <c r="J510" s="2">
        <v>46279</v>
      </c>
      <c r="K510" s="3">
        <v>46279.458333333299</v>
      </c>
      <c r="L510" s="1" t="s">
        <v>237</v>
      </c>
      <c r="M510" s="1" t="s">
        <v>40</v>
      </c>
      <c r="N510" s="1" t="s">
        <v>41</v>
      </c>
      <c r="O510" s="1" t="s">
        <v>42</v>
      </c>
      <c r="Q510" s="1" t="s">
        <v>42</v>
      </c>
      <c r="R510" s="1" t="s">
        <v>112</v>
      </c>
      <c r="S510" s="1" t="s">
        <v>113</v>
      </c>
      <c r="T510" s="4">
        <v>9</v>
      </c>
      <c r="W510" s="4">
        <v>-9</v>
      </c>
      <c r="X510" s="1" t="s">
        <v>67</v>
      </c>
      <c r="Y510" s="1" t="s">
        <v>68</v>
      </c>
      <c r="Z510" s="1" t="s">
        <v>42</v>
      </c>
      <c r="AD510" s="1" t="s">
        <v>42</v>
      </c>
      <c r="AF510" s="1" t="s">
        <v>42</v>
      </c>
    </row>
    <row r="511" spans="1:32" x14ac:dyDescent="0.25">
      <c r="A511" s="1" t="s">
        <v>32</v>
      </c>
      <c r="B511" s="1" t="s">
        <v>33</v>
      </c>
      <c r="C511" s="1" t="s">
        <v>34</v>
      </c>
      <c r="D511" s="1" t="s">
        <v>42</v>
      </c>
      <c r="E511" s="1" t="s">
        <v>293</v>
      </c>
      <c r="F511" s="2">
        <v>46279</v>
      </c>
      <c r="G511" s="1" t="s">
        <v>294</v>
      </c>
      <c r="H511" s="3">
        <v>46279.458333333299</v>
      </c>
      <c r="I511" s="1" t="s">
        <v>236</v>
      </c>
      <c r="J511" s="2">
        <v>46279</v>
      </c>
      <c r="K511" s="3">
        <v>46279.458333333299</v>
      </c>
      <c r="L511" s="1" t="s">
        <v>237</v>
      </c>
      <c r="M511" s="1" t="s">
        <v>40</v>
      </c>
      <c r="N511" s="1" t="s">
        <v>41</v>
      </c>
      <c r="O511" s="1" t="s">
        <v>42</v>
      </c>
      <c r="Q511" s="1" t="s">
        <v>42</v>
      </c>
      <c r="R511" s="1" t="s">
        <v>114</v>
      </c>
      <c r="S511" s="1" t="s">
        <v>115</v>
      </c>
      <c r="T511" s="4">
        <v>16.2</v>
      </c>
      <c r="U511" s="4">
        <v>16.2</v>
      </c>
      <c r="V511" s="4">
        <v>16.2</v>
      </c>
      <c r="Z511" s="1" t="s">
        <v>42</v>
      </c>
      <c r="AD511" s="1" t="s">
        <v>42</v>
      </c>
      <c r="AF511" s="1" t="s">
        <v>42</v>
      </c>
    </row>
    <row r="512" spans="1:32" x14ac:dyDescent="0.25">
      <c r="A512" s="1" t="s">
        <v>32</v>
      </c>
      <c r="B512" s="1" t="s">
        <v>33</v>
      </c>
      <c r="C512" s="1" t="s">
        <v>34</v>
      </c>
      <c r="D512" s="1" t="s">
        <v>42</v>
      </c>
      <c r="E512" s="1" t="s">
        <v>293</v>
      </c>
      <c r="F512" s="2">
        <v>46279</v>
      </c>
      <c r="G512" s="1" t="s">
        <v>294</v>
      </c>
      <c r="H512" s="3">
        <v>46279.458333333299</v>
      </c>
      <c r="I512" s="1" t="s">
        <v>236</v>
      </c>
      <c r="J512" s="2">
        <v>46279</v>
      </c>
      <c r="K512" s="3">
        <v>46279.458333333299</v>
      </c>
      <c r="L512" s="1" t="s">
        <v>237</v>
      </c>
      <c r="M512" s="1" t="s">
        <v>40</v>
      </c>
      <c r="N512" s="1" t="s">
        <v>41</v>
      </c>
      <c r="O512" s="1" t="s">
        <v>42</v>
      </c>
      <c r="Q512" s="1" t="s">
        <v>42</v>
      </c>
      <c r="R512" s="1" t="s">
        <v>116</v>
      </c>
      <c r="S512" s="1" t="s">
        <v>117</v>
      </c>
      <c r="T512" s="4">
        <v>380.7</v>
      </c>
      <c r="U512" s="4">
        <v>380.7</v>
      </c>
      <c r="V512" s="4">
        <v>380.7</v>
      </c>
      <c r="Z512" s="1" t="s">
        <v>42</v>
      </c>
      <c r="AD512" s="1" t="s">
        <v>42</v>
      </c>
      <c r="AF512" s="1" t="s">
        <v>42</v>
      </c>
    </row>
    <row r="513" spans="1:32" x14ac:dyDescent="0.25">
      <c r="A513" s="1" t="s">
        <v>32</v>
      </c>
      <c r="B513" s="1" t="s">
        <v>33</v>
      </c>
      <c r="C513" s="1" t="s">
        <v>34</v>
      </c>
      <c r="D513" s="1" t="s">
        <v>42</v>
      </c>
      <c r="E513" s="1" t="s">
        <v>293</v>
      </c>
      <c r="F513" s="2">
        <v>46279</v>
      </c>
      <c r="G513" s="1" t="s">
        <v>294</v>
      </c>
      <c r="H513" s="3">
        <v>46279.458333333299</v>
      </c>
      <c r="I513" s="1" t="s">
        <v>236</v>
      </c>
      <c r="J513" s="2">
        <v>46279</v>
      </c>
      <c r="K513" s="3">
        <v>46279.458333333299</v>
      </c>
      <c r="L513" s="1" t="s">
        <v>237</v>
      </c>
      <c r="M513" s="1" t="s">
        <v>40</v>
      </c>
      <c r="N513" s="1" t="s">
        <v>41</v>
      </c>
      <c r="O513" s="1" t="s">
        <v>42</v>
      </c>
      <c r="Q513" s="1" t="s">
        <v>42</v>
      </c>
      <c r="R513" s="1" t="s">
        <v>118</v>
      </c>
      <c r="S513" s="1" t="s">
        <v>119</v>
      </c>
      <c r="T513" s="4">
        <v>72.900000000000006</v>
      </c>
      <c r="U513" s="4">
        <v>31</v>
      </c>
      <c r="V513" s="4">
        <v>31</v>
      </c>
      <c r="W513" s="4">
        <v>-41.9</v>
      </c>
      <c r="X513" s="1" t="s">
        <v>67</v>
      </c>
      <c r="Y513" s="1" t="s">
        <v>68</v>
      </c>
      <c r="Z513" s="1" t="s">
        <v>42</v>
      </c>
      <c r="AD513" s="1" t="s">
        <v>42</v>
      </c>
      <c r="AF513" s="1" t="s">
        <v>42</v>
      </c>
    </row>
    <row r="514" spans="1:32" x14ac:dyDescent="0.25">
      <c r="A514" s="1" t="s">
        <v>32</v>
      </c>
      <c r="B514" s="1" t="s">
        <v>33</v>
      </c>
      <c r="C514" s="1" t="s">
        <v>34</v>
      </c>
      <c r="D514" s="1" t="s">
        <v>42</v>
      </c>
      <c r="E514" s="1" t="s">
        <v>293</v>
      </c>
      <c r="F514" s="2">
        <v>46279</v>
      </c>
      <c r="G514" s="1" t="s">
        <v>294</v>
      </c>
      <c r="H514" s="3">
        <v>46279.458333333299</v>
      </c>
      <c r="I514" s="1" t="s">
        <v>236</v>
      </c>
      <c r="J514" s="2">
        <v>46279</v>
      </c>
      <c r="K514" s="3">
        <v>46279.458333333299</v>
      </c>
      <c r="L514" s="1" t="s">
        <v>237</v>
      </c>
      <c r="M514" s="1" t="s">
        <v>40</v>
      </c>
      <c r="N514" s="1" t="s">
        <v>41</v>
      </c>
      <c r="O514" s="1" t="s">
        <v>42</v>
      </c>
      <c r="Q514" s="1" t="s">
        <v>42</v>
      </c>
      <c r="R514" s="1" t="s">
        <v>120</v>
      </c>
      <c r="S514" s="1" t="s">
        <v>121</v>
      </c>
      <c r="T514" s="4">
        <v>34.799999999999997</v>
      </c>
      <c r="U514" s="4">
        <v>34.799999999999997</v>
      </c>
      <c r="V514" s="4">
        <v>34.799999999999997</v>
      </c>
      <c r="Z514" s="1" t="s">
        <v>42</v>
      </c>
      <c r="AD514" s="1" t="s">
        <v>42</v>
      </c>
      <c r="AF514" s="1" t="s">
        <v>42</v>
      </c>
    </row>
    <row r="515" spans="1:32" x14ac:dyDescent="0.25">
      <c r="A515" s="1" t="s">
        <v>32</v>
      </c>
      <c r="B515" s="1" t="s">
        <v>33</v>
      </c>
      <c r="C515" s="1" t="s">
        <v>34</v>
      </c>
      <c r="D515" s="1" t="s">
        <v>42</v>
      </c>
      <c r="E515" s="1" t="s">
        <v>293</v>
      </c>
      <c r="F515" s="2">
        <v>46279</v>
      </c>
      <c r="G515" s="1" t="s">
        <v>294</v>
      </c>
      <c r="H515" s="3">
        <v>46279.458333333299</v>
      </c>
      <c r="I515" s="1" t="s">
        <v>236</v>
      </c>
      <c r="J515" s="2">
        <v>46279</v>
      </c>
      <c r="K515" s="3">
        <v>46279.458333333299</v>
      </c>
      <c r="L515" s="1" t="s">
        <v>237</v>
      </c>
      <c r="M515" s="1" t="s">
        <v>40</v>
      </c>
      <c r="N515" s="1" t="s">
        <v>41</v>
      </c>
      <c r="O515" s="1" t="s">
        <v>42</v>
      </c>
      <c r="Q515" s="1" t="s">
        <v>42</v>
      </c>
      <c r="R515" s="1" t="s">
        <v>212</v>
      </c>
      <c r="S515" s="1" t="s">
        <v>213</v>
      </c>
      <c r="T515" s="4">
        <v>60</v>
      </c>
      <c r="U515" s="4">
        <v>60</v>
      </c>
      <c r="V515" s="4">
        <v>60</v>
      </c>
      <c r="Z515" s="1" t="s">
        <v>42</v>
      </c>
      <c r="AD515" s="1" t="s">
        <v>42</v>
      </c>
      <c r="AF515" s="1" t="s">
        <v>42</v>
      </c>
    </row>
    <row r="516" spans="1:32" x14ac:dyDescent="0.25">
      <c r="A516" s="1" t="s">
        <v>32</v>
      </c>
      <c r="B516" s="1" t="s">
        <v>33</v>
      </c>
      <c r="C516" s="1" t="s">
        <v>34</v>
      </c>
      <c r="D516" s="1" t="s">
        <v>42</v>
      </c>
      <c r="E516" s="1" t="s">
        <v>293</v>
      </c>
      <c r="F516" s="2">
        <v>46279</v>
      </c>
      <c r="G516" s="1" t="s">
        <v>294</v>
      </c>
      <c r="H516" s="3">
        <v>46279.458333333299</v>
      </c>
      <c r="I516" s="1" t="s">
        <v>236</v>
      </c>
      <c r="J516" s="2">
        <v>46279</v>
      </c>
      <c r="K516" s="3">
        <v>46279.458333333299</v>
      </c>
      <c r="L516" s="1" t="s">
        <v>237</v>
      </c>
      <c r="M516" s="1" t="s">
        <v>40</v>
      </c>
      <c r="N516" s="1" t="s">
        <v>41</v>
      </c>
      <c r="O516" s="1" t="s">
        <v>42</v>
      </c>
      <c r="Q516" s="1" t="s">
        <v>42</v>
      </c>
      <c r="R516" s="1" t="s">
        <v>122</v>
      </c>
      <c r="S516" s="1" t="s">
        <v>123</v>
      </c>
      <c r="T516" s="4">
        <v>801.6</v>
      </c>
      <c r="U516" s="4">
        <v>801.6</v>
      </c>
      <c r="V516" s="4">
        <v>801.6</v>
      </c>
      <c r="Z516" s="1" t="s">
        <v>42</v>
      </c>
      <c r="AD516" s="1" t="s">
        <v>42</v>
      </c>
      <c r="AF516" s="1" t="s">
        <v>42</v>
      </c>
    </row>
    <row r="517" spans="1:32" x14ac:dyDescent="0.25">
      <c r="A517" s="1" t="s">
        <v>32</v>
      </c>
      <c r="B517" s="1" t="s">
        <v>33</v>
      </c>
      <c r="C517" s="1" t="s">
        <v>34</v>
      </c>
      <c r="D517" s="1" t="s">
        <v>42</v>
      </c>
      <c r="E517" s="1" t="s">
        <v>293</v>
      </c>
      <c r="F517" s="2">
        <v>46279</v>
      </c>
      <c r="G517" s="1" t="s">
        <v>294</v>
      </c>
      <c r="H517" s="3">
        <v>46279.458333333299</v>
      </c>
      <c r="I517" s="1" t="s">
        <v>236</v>
      </c>
      <c r="J517" s="2">
        <v>46279</v>
      </c>
      <c r="K517" s="3">
        <v>46279.458333333299</v>
      </c>
      <c r="L517" s="1" t="s">
        <v>237</v>
      </c>
      <c r="M517" s="1" t="s">
        <v>40</v>
      </c>
      <c r="N517" s="1" t="s">
        <v>41</v>
      </c>
      <c r="O517" s="1" t="s">
        <v>42</v>
      </c>
      <c r="Q517" s="1" t="s">
        <v>42</v>
      </c>
      <c r="R517" s="1" t="s">
        <v>124</v>
      </c>
      <c r="S517" s="1" t="s">
        <v>125</v>
      </c>
      <c r="T517" s="4">
        <v>199.2</v>
      </c>
      <c r="U517" s="4">
        <v>199.2</v>
      </c>
      <c r="V517" s="4">
        <v>199.2</v>
      </c>
      <c r="Z517" s="1" t="s">
        <v>42</v>
      </c>
      <c r="AD517" s="1" t="s">
        <v>42</v>
      </c>
      <c r="AF517" s="1" t="s">
        <v>42</v>
      </c>
    </row>
    <row r="518" spans="1:32" x14ac:dyDescent="0.25">
      <c r="A518" s="1" t="s">
        <v>32</v>
      </c>
      <c r="B518" s="1" t="s">
        <v>33</v>
      </c>
      <c r="C518" s="1" t="s">
        <v>34</v>
      </c>
      <c r="D518" s="1" t="s">
        <v>42</v>
      </c>
      <c r="E518" s="1" t="s">
        <v>293</v>
      </c>
      <c r="F518" s="2">
        <v>46279</v>
      </c>
      <c r="G518" s="1" t="s">
        <v>294</v>
      </c>
      <c r="H518" s="3">
        <v>46279.458333333299</v>
      </c>
      <c r="I518" s="1" t="s">
        <v>236</v>
      </c>
      <c r="J518" s="2">
        <v>46279</v>
      </c>
      <c r="K518" s="3">
        <v>46279.458333333299</v>
      </c>
      <c r="L518" s="1" t="s">
        <v>237</v>
      </c>
      <c r="M518" s="1" t="s">
        <v>40</v>
      </c>
      <c r="N518" s="1" t="s">
        <v>41</v>
      </c>
      <c r="O518" s="1" t="s">
        <v>42</v>
      </c>
      <c r="Q518" s="1" t="s">
        <v>42</v>
      </c>
      <c r="R518" s="1" t="s">
        <v>126</v>
      </c>
      <c r="S518" s="1" t="s">
        <v>127</v>
      </c>
      <c r="T518" s="4">
        <v>31.2</v>
      </c>
      <c r="U518" s="4">
        <v>31.2</v>
      </c>
      <c r="V518" s="4">
        <v>31.2</v>
      </c>
      <c r="Z518" s="1" t="s">
        <v>42</v>
      </c>
      <c r="AD518" s="1" t="s">
        <v>42</v>
      </c>
      <c r="AF518" s="1" t="s">
        <v>42</v>
      </c>
    </row>
    <row r="519" spans="1:32" x14ac:dyDescent="0.25">
      <c r="A519" s="1" t="s">
        <v>32</v>
      </c>
      <c r="B519" s="1" t="s">
        <v>33</v>
      </c>
      <c r="C519" s="1" t="s">
        <v>34</v>
      </c>
      <c r="D519" s="1" t="s">
        <v>42</v>
      </c>
      <c r="E519" s="1" t="s">
        <v>293</v>
      </c>
      <c r="F519" s="2">
        <v>46279</v>
      </c>
      <c r="G519" s="1" t="s">
        <v>294</v>
      </c>
      <c r="H519" s="3">
        <v>46279.458333333299</v>
      </c>
      <c r="I519" s="1" t="s">
        <v>236</v>
      </c>
      <c r="J519" s="2">
        <v>46279</v>
      </c>
      <c r="K519" s="3">
        <v>46279.458333333299</v>
      </c>
      <c r="L519" s="1" t="s">
        <v>237</v>
      </c>
      <c r="M519" s="1" t="s">
        <v>40</v>
      </c>
      <c r="N519" s="1" t="s">
        <v>41</v>
      </c>
      <c r="O519" s="1" t="s">
        <v>42</v>
      </c>
      <c r="Q519" s="1" t="s">
        <v>42</v>
      </c>
      <c r="R519" s="1" t="s">
        <v>137</v>
      </c>
      <c r="S519" s="1" t="s">
        <v>138</v>
      </c>
      <c r="T519" s="4">
        <v>5.4</v>
      </c>
      <c r="U519" s="4">
        <v>5.4</v>
      </c>
      <c r="V519" s="4">
        <v>5.4</v>
      </c>
      <c r="Z519" s="1" t="s">
        <v>42</v>
      </c>
      <c r="AD519" s="1" t="s">
        <v>42</v>
      </c>
      <c r="AF519" s="1" t="s">
        <v>42</v>
      </c>
    </row>
    <row r="520" spans="1:32" x14ac:dyDescent="0.25">
      <c r="A520" s="1" t="s">
        <v>32</v>
      </c>
      <c r="B520" s="1" t="s">
        <v>33</v>
      </c>
      <c r="C520" s="1" t="s">
        <v>34</v>
      </c>
      <c r="D520" s="1" t="s">
        <v>42</v>
      </c>
      <c r="E520" s="1" t="s">
        <v>293</v>
      </c>
      <c r="F520" s="2">
        <v>46279</v>
      </c>
      <c r="G520" s="1" t="s">
        <v>294</v>
      </c>
      <c r="H520" s="3">
        <v>46279.458333333299</v>
      </c>
      <c r="I520" s="1" t="s">
        <v>236</v>
      </c>
      <c r="J520" s="2">
        <v>46279</v>
      </c>
      <c r="K520" s="3">
        <v>46279.458333333299</v>
      </c>
      <c r="L520" s="1" t="s">
        <v>237</v>
      </c>
      <c r="M520" s="1" t="s">
        <v>40</v>
      </c>
      <c r="N520" s="1" t="s">
        <v>41</v>
      </c>
      <c r="O520" s="1" t="s">
        <v>42</v>
      </c>
      <c r="Q520" s="1" t="s">
        <v>42</v>
      </c>
      <c r="R520" s="1" t="s">
        <v>139</v>
      </c>
      <c r="S520" s="1" t="s">
        <v>140</v>
      </c>
      <c r="T520" s="4">
        <v>60</v>
      </c>
      <c r="U520" s="4">
        <v>60</v>
      </c>
      <c r="V520" s="4">
        <v>60</v>
      </c>
      <c r="Z520" s="1" t="s">
        <v>42</v>
      </c>
      <c r="AD520" s="1" t="s">
        <v>42</v>
      </c>
      <c r="AF520" s="1" t="s">
        <v>42</v>
      </c>
    </row>
    <row r="521" spans="1:32" x14ac:dyDescent="0.25">
      <c r="A521" s="1" t="s">
        <v>32</v>
      </c>
      <c r="B521" s="1" t="s">
        <v>33</v>
      </c>
      <c r="C521" s="1" t="s">
        <v>34</v>
      </c>
      <c r="D521" s="1" t="s">
        <v>42</v>
      </c>
      <c r="E521" s="1" t="s">
        <v>293</v>
      </c>
      <c r="F521" s="2">
        <v>46279</v>
      </c>
      <c r="G521" s="1" t="s">
        <v>294</v>
      </c>
      <c r="H521" s="3">
        <v>46279.458333333299</v>
      </c>
      <c r="I521" s="1" t="s">
        <v>236</v>
      </c>
      <c r="J521" s="2">
        <v>46279</v>
      </c>
      <c r="K521" s="3">
        <v>46279.458333333299</v>
      </c>
      <c r="L521" s="1" t="s">
        <v>237</v>
      </c>
      <c r="M521" s="1" t="s">
        <v>40</v>
      </c>
      <c r="N521" s="1" t="s">
        <v>41</v>
      </c>
      <c r="O521" s="1" t="s">
        <v>42</v>
      </c>
      <c r="Q521" s="1" t="s">
        <v>42</v>
      </c>
      <c r="R521" s="1" t="s">
        <v>214</v>
      </c>
      <c r="S521" s="1" t="s">
        <v>215</v>
      </c>
      <c r="T521" s="4">
        <v>120</v>
      </c>
      <c r="U521" s="4">
        <v>120</v>
      </c>
      <c r="V521" s="4">
        <v>120</v>
      </c>
      <c r="Z521" s="1" t="s">
        <v>42</v>
      </c>
      <c r="AD521" s="1" t="s">
        <v>42</v>
      </c>
      <c r="AF521" s="1" t="s">
        <v>42</v>
      </c>
    </row>
    <row r="522" spans="1:32" x14ac:dyDescent="0.25">
      <c r="A522" s="1" t="s">
        <v>32</v>
      </c>
      <c r="B522" s="1" t="s">
        <v>33</v>
      </c>
      <c r="C522" s="1" t="s">
        <v>34</v>
      </c>
      <c r="D522" s="1" t="s">
        <v>42</v>
      </c>
      <c r="E522" s="1" t="s">
        <v>293</v>
      </c>
      <c r="F522" s="2">
        <v>46279</v>
      </c>
      <c r="G522" s="1" t="s">
        <v>294</v>
      </c>
      <c r="H522" s="3">
        <v>46279.458333333299</v>
      </c>
      <c r="I522" s="1" t="s">
        <v>236</v>
      </c>
      <c r="J522" s="2">
        <v>46279</v>
      </c>
      <c r="K522" s="3">
        <v>46279.458333333299</v>
      </c>
      <c r="L522" s="1" t="s">
        <v>237</v>
      </c>
      <c r="M522" s="1" t="s">
        <v>40</v>
      </c>
      <c r="N522" s="1" t="s">
        <v>41</v>
      </c>
      <c r="O522" s="1" t="s">
        <v>42</v>
      </c>
      <c r="Q522" s="1" t="s">
        <v>42</v>
      </c>
      <c r="R522" s="1" t="s">
        <v>141</v>
      </c>
      <c r="S522" s="1" t="s">
        <v>142</v>
      </c>
      <c r="T522" s="4">
        <v>23.4</v>
      </c>
      <c r="U522" s="4">
        <v>23.4</v>
      </c>
      <c r="V522" s="4">
        <v>23.4</v>
      </c>
      <c r="Z522" s="1" t="s">
        <v>42</v>
      </c>
      <c r="AD522" s="1" t="s">
        <v>42</v>
      </c>
      <c r="AF522" s="1" t="s">
        <v>42</v>
      </c>
    </row>
    <row r="523" spans="1:32" x14ac:dyDescent="0.25">
      <c r="A523" s="1" t="s">
        <v>32</v>
      </c>
      <c r="B523" s="1" t="s">
        <v>33</v>
      </c>
      <c r="C523" s="1" t="s">
        <v>34</v>
      </c>
      <c r="D523" s="1" t="s">
        <v>42</v>
      </c>
      <c r="E523" s="1" t="s">
        <v>293</v>
      </c>
      <c r="F523" s="2">
        <v>46279</v>
      </c>
      <c r="G523" s="1" t="s">
        <v>294</v>
      </c>
      <c r="H523" s="3">
        <v>46279.458333333299</v>
      </c>
      <c r="I523" s="1" t="s">
        <v>236</v>
      </c>
      <c r="J523" s="2">
        <v>46279</v>
      </c>
      <c r="K523" s="3">
        <v>46279.458333333299</v>
      </c>
      <c r="L523" s="1" t="s">
        <v>237</v>
      </c>
      <c r="M523" s="1" t="s">
        <v>40</v>
      </c>
      <c r="N523" s="1" t="s">
        <v>41</v>
      </c>
      <c r="O523" s="1" t="s">
        <v>42</v>
      </c>
      <c r="Q523" s="1" t="s">
        <v>42</v>
      </c>
      <c r="R523" s="1" t="s">
        <v>216</v>
      </c>
      <c r="S523" s="1" t="s">
        <v>217</v>
      </c>
      <c r="T523" s="4">
        <v>351</v>
      </c>
      <c r="U523" s="4">
        <v>351</v>
      </c>
      <c r="V523" s="4">
        <v>351</v>
      </c>
      <c r="Z523" s="1" t="s">
        <v>42</v>
      </c>
      <c r="AD523" s="1" t="s">
        <v>42</v>
      </c>
      <c r="AF523" s="1" t="s">
        <v>42</v>
      </c>
    </row>
    <row r="524" spans="1:32" x14ac:dyDescent="0.25">
      <c r="A524" s="1" t="s">
        <v>32</v>
      </c>
      <c r="B524" s="1" t="s">
        <v>33</v>
      </c>
      <c r="C524" s="1" t="s">
        <v>34</v>
      </c>
      <c r="D524" s="1" t="s">
        <v>42</v>
      </c>
      <c r="E524" s="1" t="s">
        <v>293</v>
      </c>
      <c r="F524" s="2">
        <v>46279</v>
      </c>
      <c r="G524" s="1" t="s">
        <v>294</v>
      </c>
      <c r="H524" s="3">
        <v>46279.458333333299</v>
      </c>
      <c r="I524" s="1" t="s">
        <v>236</v>
      </c>
      <c r="J524" s="2">
        <v>46279</v>
      </c>
      <c r="K524" s="3">
        <v>46279.458333333299</v>
      </c>
      <c r="L524" s="1" t="s">
        <v>237</v>
      </c>
      <c r="M524" s="1" t="s">
        <v>40</v>
      </c>
      <c r="N524" s="1" t="s">
        <v>41</v>
      </c>
      <c r="O524" s="1" t="s">
        <v>42</v>
      </c>
      <c r="Q524" s="1" t="s">
        <v>42</v>
      </c>
      <c r="R524" s="1" t="s">
        <v>143</v>
      </c>
      <c r="S524" s="1" t="s">
        <v>144</v>
      </c>
      <c r="T524" s="4">
        <v>70.2</v>
      </c>
      <c r="U524" s="4">
        <v>70.2</v>
      </c>
      <c r="V524" s="4">
        <v>70.2</v>
      </c>
      <c r="Z524" s="1" t="s">
        <v>42</v>
      </c>
      <c r="AD524" s="1" t="s">
        <v>42</v>
      </c>
      <c r="AF524" s="1" t="s">
        <v>42</v>
      </c>
    </row>
    <row r="525" spans="1:32" x14ac:dyDescent="0.25">
      <c r="A525" s="1" t="s">
        <v>32</v>
      </c>
      <c r="B525" s="1" t="s">
        <v>33</v>
      </c>
      <c r="C525" s="1" t="s">
        <v>34</v>
      </c>
      <c r="D525" s="1" t="s">
        <v>42</v>
      </c>
      <c r="E525" s="1" t="s">
        <v>293</v>
      </c>
      <c r="F525" s="2">
        <v>46279</v>
      </c>
      <c r="G525" s="1" t="s">
        <v>294</v>
      </c>
      <c r="H525" s="3">
        <v>46279.458333333299</v>
      </c>
      <c r="I525" s="1" t="s">
        <v>236</v>
      </c>
      <c r="J525" s="2">
        <v>46279</v>
      </c>
      <c r="K525" s="3">
        <v>46279.458333333299</v>
      </c>
      <c r="L525" s="1" t="s">
        <v>237</v>
      </c>
      <c r="M525" s="1" t="s">
        <v>40</v>
      </c>
      <c r="N525" s="1" t="s">
        <v>41</v>
      </c>
      <c r="O525" s="1" t="s">
        <v>42</v>
      </c>
      <c r="Q525" s="1" t="s">
        <v>42</v>
      </c>
      <c r="R525" s="1" t="s">
        <v>295</v>
      </c>
      <c r="S525" s="1" t="s">
        <v>296</v>
      </c>
      <c r="T525" s="4">
        <v>21.6</v>
      </c>
      <c r="U525" s="4">
        <v>21.6</v>
      </c>
      <c r="V525" s="4">
        <v>21.6</v>
      </c>
      <c r="Z525" s="1" t="s">
        <v>42</v>
      </c>
      <c r="AD525" s="1" t="s">
        <v>42</v>
      </c>
      <c r="AF525" s="1" t="s">
        <v>42</v>
      </c>
    </row>
    <row r="526" spans="1:32" x14ac:dyDescent="0.25">
      <c r="A526" s="1" t="s">
        <v>32</v>
      </c>
      <c r="B526" s="1" t="s">
        <v>33</v>
      </c>
      <c r="C526" s="1" t="s">
        <v>34</v>
      </c>
      <c r="D526" s="1" t="s">
        <v>42</v>
      </c>
      <c r="E526" s="1" t="s">
        <v>293</v>
      </c>
      <c r="F526" s="2">
        <v>46279</v>
      </c>
      <c r="G526" s="1" t="s">
        <v>294</v>
      </c>
      <c r="H526" s="3">
        <v>46279.458333333299</v>
      </c>
      <c r="I526" s="1" t="s">
        <v>236</v>
      </c>
      <c r="J526" s="2">
        <v>46279</v>
      </c>
      <c r="K526" s="3">
        <v>46279.458333333299</v>
      </c>
      <c r="L526" s="1" t="s">
        <v>237</v>
      </c>
      <c r="M526" s="1" t="s">
        <v>40</v>
      </c>
      <c r="N526" s="1" t="s">
        <v>41</v>
      </c>
      <c r="O526" s="1" t="s">
        <v>42</v>
      </c>
      <c r="Q526" s="1" t="s">
        <v>42</v>
      </c>
      <c r="R526" s="1" t="s">
        <v>297</v>
      </c>
      <c r="S526" s="1" t="s">
        <v>298</v>
      </c>
      <c r="T526" s="4">
        <v>21</v>
      </c>
      <c r="U526" s="4">
        <v>21</v>
      </c>
      <c r="V526" s="4">
        <v>21</v>
      </c>
      <c r="Z526" s="1" t="s">
        <v>42</v>
      </c>
      <c r="AD526" s="1" t="s">
        <v>42</v>
      </c>
      <c r="AF526" s="1" t="s">
        <v>42</v>
      </c>
    </row>
    <row r="527" spans="1:32" x14ac:dyDescent="0.25">
      <c r="A527" s="1" t="s">
        <v>32</v>
      </c>
      <c r="B527" s="1" t="s">
        <v>33</v>
      </c>
      <c r="C527" s="1" t="s">
        <v>34</v>
      </c>
      <c r="D527" s="1" t="s">
        <v>42</v>
      </c>
      <c r="E527" s="1" t="s">
        <v>293</v>
      </c>
      <c r="F527" s="2">
        <v>46279</v>
      </c>
      <c r="G527" s="1" t="s">
        <v>294</v>
      </c>
      <c r="H527" s="3">
        <v>46279.458333333299</v>
      </c>
      <c r="I527" s="1" t="s">
        <v>236</v>
      </c>
      <c r="J527" s="2">
        <v>46279</v>
      </c>
      <c r="K527" s="3">
        <v>46279.458333333299</v>
      </c>
      <c r="L527" s="1" t="s">
        <v>237</v>
      </c>
      <c r="M527" s="1" t="s">
        <v>40</v>
      </c>
      <c r="N527" s="1" t="s">
        <v>41</v>
      </c>
      <c r="O527" s="1" t="s">
        <v>42</v>
      </c>
      <c r="Q527" s="1" t="s">
        <v>42</v>
      </c>
      <c r="R527" s="1" t="s">
        <v>145</v>
      </c>
      <c r="S527" s="1" t="s">
        <v>146</v>
      </c>
      <c r="T527" s="4">
        <v>7.2</v>
      </c>
      <c r="U527" s="4">
        <v>7.2</v>
      </c>
      <c r="V527" s="4">
        <v>7.2</v>
      </c>
      <c r="Z527" s="1" t="s">
        <v>42</v>
      </c>
      <c r="AD527" s="1" t="s">
        <v>42</v>
      </c>
      <c r="AF527" s="1" t="s">
        <v>42</v>
      </c>
    </row>
    <row r="528" spans="1:32" x14ac:dyDescent="0.25">
      <c r="A528" s="1" t="s">
        <v>32</v>
      </c>
      <c r="B528" s="1" t="s">
        <v>33</v>
      </c>
      <c r="C528" s="1" t="s">
        <v>34</v>
      </c>
      <c r="D528" s="1" t="s">
        <v>42</v>
      </c>
      <c r="E528" s="1" t="s">
        <v>293</v>
      </c>
      <c r="F528" s="2">
        <v>46279</v>
      </c>
      <c r="G528" s="1" t="s">
        <v>294</v>
      </c>
      <c r="H528" s="3">
        <v>46279.458333333299</v>
      </c>
      <c r="I528" s="1" t="s">
        <v>236</v>
      </c>
      <c r="J528" s="2">
        <v>46279</v>
      </c>
      <c r="K528" s="3">
        <v>46279.458333333299</v>
      </c>
      <c r="L528" s="1" t="s">
        <v>237</v>
      </c>
      <c r="M528" s="1" t="s">
        <v>40</v>
      </c>
      <c r="N528" s="1" t="s">
        <v>41</v>
      </c>
      <c r="O528" s="1" t="s">
        <v>42</v>
      </c>
      <c r="Q528" s="1" t="s">
        <v>42</v>
      </c>
      <c r="R528" s="1" t="s">
        <v>246</v>
      </c>
      <c r="S528" s="1" t="s">
        <v>247</v>
      </c>
      <c r="T528" s="4">
        <v>6.08</v>
      </c>
      <c r="U528" s="4">
        <v>6.08</v>
      </c>
      <c r="V528" s="4">
        <v>6.08</v>
      </c>
      <c r="Z528" s="1" t="s">
        <v>42</v>
      </c>
      <c r="AD528" s="1" t="s">
        <v>42</v>
      </c>
      <c r="AF528" s="1" t="s">
        <v>42</v>
      </c>
    </row>
    <row r="529" spans="1:32" x14ac:dyDescent="0.25">
      <c r="A529" s="1" t="s">
        <v>32</v>
      </c>
      <c r="B529" s="1" t="s">
        <v>33</v>
      </c>
      <c r="C529" s="1" t="s">
        <v>34</v>
      </c>
      <c r="D529" s="1" t="s">
        <v>42</v>
      </c>
      <c r="E529" s="1" t="s">
        <v>293</v>
      </c>
      <c r="F529" s="2">
        <v>46279</v>
      </c>
      <c r="G529" s="1" t="s">
        <v>294</v>
      </c>
      <c r="H529" s="3">
        <v>46279.458333333299</v>
      </c>
      <c r="I529" s="1" t="s">
        <v>236</v>
      </c>
      <c r="J529" s="2">
        <v>46279</v>
      </c>
      <c r="K529" s="3">
        <v>46279.458333333299</v>
      </c>
      <c r="L529" s="1" t="s">
        <v>237</v>
      </c>
      <c r="M529" s="1" t="s">
        <v>40</v>
      </c>
      <c r="N529" s="1" t="s">
        <v>41</v>
      </c>
      <c r="O529" s="1" t="s">
        <v>42</v>
      </c>
      <c r="Q529" s="1" t="s">
        <v>42</v>
      </c>
      <c r="R529" s="1" t="s">
        <v>260</v>
      </c>
      <c r="S529" s="1" t="s">
        <v>261</v>
      </c>
      <c r="T529" s="4">
        <v>20.399999999999999</v>
      </c>
      <c r="U529" s="4">
        <v>20.399999999999999</v>
      </c>
      <c r="V529" s="4">
        <v>20.399999999999999</v>
      </c>
      <c r="Z529" s="1" t="s">
        <v>42</v>
      </c>
      <c r="AD529" s="1" t="s">
        <v>42</v>
      </c>
      <c r="AF529" s="1" t="s">
        <v>42</v>
      </c>
    </row>
    <row r="530" spans="1:32" x14ac:dyDescent="0.25">
      <c r="A530" s="1" t="s">
        <v>32</v>
      </c>
      <c r="B530" s="1" t="s">
        <v>33</v>
      </c>
      <c r="C530" s="1" t="s">
        <v>34</v>
      </c>
      <c r="D530" s="1" t="s">
        <v>42</v>
      </c>
      <c r="E530" s="1" t="s">
        <v>293</v>
      </c>
      <c r="F530" s="2">
        <v>46279</v>
      </c>
      <c r="G530" s="1" t="s">
        <v>294</v>
      </c>
      <c r="H530" s="3">
        <v>46279.458333333299</v>
      </c>
      <c r="I530" s="1" t="s">
        <v>236</v>
      </c>
      <c r="J530" s="2">
        <v>46279</v>
      </c>
      <c r="K530" s="3">
        <v>46279.458333333299</v>
      </c>
      <c r="L530" s="1" t="s">
        <v>237</v>
      </c>
      <c r="M530" s="1" t="s">
        <v>40</v>
      </c>
      <c r="N530" s="1" t="s">
        <v>41</v>
      </c>
      <c r="O530" s="1" t="s">
        <v>42</v>
      </c>
      <c r="Q530" s="1" t="s">
        <v>42</v>
      </c>
      <c r="R530" s="1" t="s">
        <v>157</v>
      </c>
      <c r="S530" s="1" t="s">
        <v>158</v>
      </c>
      <c r="T530" s="4">
        <v>54.6</v>
      </c>
      <c r="U530" s="4">
        <v>54.6</v>
      </c>
      <c r="V530" s="4">
        <v>54.6</v>
      </c>
      <c r="Z530" s="1" t="s">
        <v>42</v>
      </c>
      <c r="AD530" s="1" t="s">
        <v>42</v>
      </c>
      <c r="AF530" s="1" t="s">
        <v>42</v>
      </c>
    </row>
    <row r="531" spans="1:32" x14ac:dyDescent="0.25">
      <c r="A531" s="1" t="s">
        <v>32</v>
      </c>
      <c r="B531" s="1" t="s">
        <v>33</v>
      </c>
      <c r="C531" s="1" t="s">
        <v>34</v>
      </c>
      <c r="D531" s="1" t="s">
        <v>42</v>
      </c>
      <c r="E531" s="1" t="s">
        <v>293</v>
      </c>
      <c r="F531" s="2">
        <v>46279</v>
      </c>
      <c r="G531" s="1" t="s">
        <v>294</v>
      </c>
      <c r="H531" s="3">
        <v>46279.458333333299</v>
      </c>
      <c r="I531" s="1" t="s">
        <v>236</v>
      </c>
      <c r="J531" s="2">
        <v>46279</v>
      </c>
      <c r="K531" s="3">
        <v>46279.458333333299</v>
      </c>
      <c r="L531" s="1" t="s">
        <v>237</v>
      </c>
      <c r="M531" s="1" t="s">
        <v>40</v>
      </c>
      <c r="N531" s="1" t="s">
        <v>41</v>
      </c>
      <c r="O531" s="1" t="s">
        <v>42</v>
      </c>
      <c r="Q531" s="1" t="s">
        <v>42</v>
      </c>
      <c r="R531" s="1" t="s">
        <v>159</v>
      </c>
      <c r="S531" s="1" t="s">
        <v>160</v>
      </c>
      <c r="T531" s="4">
        <v>29.4</v>
      </c>
      <c r="W531" s="4">
        <v>-29.4</v>
      </c>
      <c r="X531" s="1" t="s">
        <v>67</v>
      </c>
      <c r="Y531" s="1" t="s">
        <v>68</v>
      </c>
      <c r="Z531" s="1" t="s">
        <v>42</v>
      </c>
      <c r="AD531" s="1" t="s">
        <v>42</v>
      </c>
      <c r="AF531" s="1" t="s">
        <v>42</v>
      </c>
    </row>
    <row r="532" spans="1:32" x14ac:dyDescent="0.25">
      <c r="A532" s="1" t="s">
        <v>32</v>
      </c>
      <c r="B532" s="1" t="s">
        <v>33</v>
      </c>
      <c r="C532" s="1" t="s">
        <v>34</v>
      </c>
      <c r="D532" s="1" t="s">
        <v>42</v>
      </c>
      <c r="E532" s="1" t="s">
        <v>293</v>
      </c>
      <c r="F532" s="2">
        <v>46279</v>
      </c>
      <c r="G532" s="1" t="s">
        <v>294</v>
      </c>
      <c r="H532" s="3">
        <v>46279.458333333299</v>
      </c>
      <c r="I532" s="1" t="s">
        <v>236</v>
      </c>
      <c r="J532" s="2">
        <v>46279</v>
      </c>
      <c r="K532" s="3">
        <v>46279.458333333299</v>
      </c>
      <c r="L532" s="1" t="s">
        <v>237</v>
      </c>
      <c r="M532" s="1" t="s">
        <v>40</v>
      </c>
      <c r="N532" s="1" t="s">
        <v>41</v>
      </c>
      <c r="O532" s="1" t="s">
        <v>42</v>
      </c>
      <c r="Q532" s="1" t="s">
        <v>42</v>
      </c>
      <c r="R532" s="1" t="s">
        <v>264</v>
      </c>
      <c r="S532" s="1" t="s">
        <v>265</v>
      </c>
      <c r="T532" s="4">
        <v>30</v>
      </c>
      <c r="U532" s="4">
        <v>30</v>
      </c>
      <c r="V532" s="4">
        <v>30</v>
      </c>
      <c r="Z532" s="1" t="s">
        <v>42</v>
      </c>
      <c r="AD532" s="1" t="s">
        <v>42</v>
      </c>
      <c r="AF532" s="1" t="s">
        <v>42</v>
      </c>
    </row>
    <row r="533" spans="1:32" x14ac:dyDescent="0.25">
      <c r="A533" s="1" t="s">
        <v>32</v>
      </c>
      <c r="B533" s="1" t="s">
        <v>33</v>
      </c>
      <c r="C533" s="1" t="s">
        <v>34</v>
      </c>
      <c r="D533" s="1" t="s">
        <v>42</v>
      </c>
      <c r="E533" s="1" t="s">
        <v>293</v>
      </c>
      <c r="F533" s="2">
        <v>46279</v>
      </c>
      <c r="G533" s="1" t="s">
        <v>294</v>
      </c>
      <c r="H533" s="3">
        <v>46279.458333333299</v>
      </c>
      <c r="I533" s="1" t="s">
        <v>236</v>
      </c>
      <c r="J533" s="2">
        <v>46279</v>
      </c>
      <c r="K533" s="3">
        <v>46279.458333333299</v>
      </c>
      <c r="L533" s="1" t="s">
        <v>237</v>
      </c>
      <c r="M533" s="1" t="s">
        <v>40</v>
      </c>
      <c r="N533" s="1" t="s">
        <v>41</v>
      </c>
      <c r="O533" s="1" t="s">
        <v>42</v>
      </c>
      <c r="Q533" s="1" t="s">
        <v>42</v>
      </c>
      <c r="R533" s="1" t="s">
        <v>163</v>
      </c>
      <c r="S533" s="1" t="s">
        <v>164</v>
      </c>
      <c r="T533" s="4">
        <v>570</v>
      </c>
      <c r="U533" s="4">
        <v>570</v>
      </c>
      <c r="V533" s="4">
        <v>570</v>
      </c>
      <c r="Z533" s="1" t="s">
        <v>42</v>
      </c>
      <c r="AD533" s="1" t="s">
        <v>42</v>
      </c>
      <c r="AF533" s="1" t="s">
        <v>42</v>
      </c>
    </row>
    <row r="534" spans="1:32" x14ac:dyDescent="0.25">
      <c r="A534" s="1" t="s">
        <v>32</v>
      </c>
      <c r="B534" s="1" t="s">
        <v>33</v>
      </c>
      <c r="C534" s="1" t="s">
        <v>34</v>
      </c>
      <c r="D534" s="1" t="s">
        <v>42</v>
      </c>
      <c r="E534" s="1" t="s">
        <v>293</v>
      </c>
      <c r="F534" s="2">
        <v>46279</v>
      </c>
      <c r="G534" s="1" t="s">
        <v>294</v>
      </c>
      <c r="H534" s="3">
        <v>46279.458333333299</v>
      </c>
      <c r="I534" s="1" t="s">
        <v>236</v>
      </c>
      <c r="J534" s="2">
        <v>46279</v>
      </c>
      <c r="K534" s="3">
        <v>46279.458333333299</v>
      </c>
      <c r="L534" s="1" t="s">
        <v>237</v>
      </c>
      <c r="M534" s="1" t="s">
        <v>40</v>
      </c>
      <c r="N534" s="1" t="s">
        <v>41</v>
      </c>
      <c r="O534" s="1" t="s">
        <v>42</v>
      </c>
      <c r="Q534" s="1" t="s">
        <v>42</v>
      </c>
      <c r="R534" s="1" t="s">
        <v>165</v>
      </c>
      <c r="S534" s="1" t="s">
        <v>166</v>
      </c>
      <c r="T534" s="4">
        <v>465</v>
      </c>
      <c r="U534" s="4">
        <v>465</v>
      </c>
      <c r="V534" s="4">
        <v>465</v>
      </c>
      <c r="Z534" s="1" t="s">
        <v>42</v>
      </c>
      <c r="AD534" s="1" t="s">
        <v>42</v>
      </c>
      <c r="AF534" s="1" t="s">
        <v>42</v>
      </c>
    </row>
    <row r="535" spans="1:32" x14ac:dyDescent="0.25">
      <c r="A535" s="1" t="s">
        <v>32</v>
      </c>
      <c r="B535" s="1" t="s">
        <v>33</v>
      </c>
      <c r="C535" s="1" t="s">
        <v>34</v>
      </c>
      <c r="D535" s="1" t="s">
        <v>42</v>
      </c>
      <c r="E535" s="1" t="s">
        <v>293</v>
      </c>
      <c r="F535" s="2">
        <v>46279</v>
      </c>
      <c r="G535" s="1" t="s">
        <v>294</v>
      </c>
      <c r="H535" s="3">
        <v>46279.458333333299</v>
      </c>
      <c r="I535" s="1" t="s">
        <v>236</v>
      </c>
      <c r="J535" s="2">
        <v>46279</v>
      </c>
      <c r="K535" s="3">
        <v>46279.458333333299</v>
      </c>
      <c r="L535" s="1" t="s">
        <v>237</v>
      </c>
      <c r="M535" s="1" t="s">
        <v>40</v>
      </c>
      <c r="N535" s="1" t="s">
        <v>41</v>
      </c>
      <c r="O535" s="1" t="s">
        <v>42</v>
      </c>
      <c r="Q535" s="1" t="s">
        <v>42</v>
      </c>
      <c r="R535" s="1" t="s">
        <v>167</v>
      </c>
      <c r="S535" s="1" t="s">
        <v>168</v>
      </c>
      <c r="T535" s="4">
        <v>540</v>
      </c>
      <c r="U535" s="4">
        <v>540</v>
      </c>
      <c r="V535" s="4">
        <v>540</v>
      </c>
      <c r="Z535" s="1" t="s">
        <v>42</v>
      </c>
      <c r="AD535" s="1" t="s">
        <v>42</v>
      </c>
      <c r="AF535" s="1" t="s">
        <v>42</v>
      </c>
    </row>
    <row r="536" spans="1:32" x14ac:dyDescent="0.25">
      <c r="A536" s="1" t="s">
        <v>32</v>
      </c>
      <c r="B536" s="1" t="s">
        <v>33</v>
      </c>
      <c r="C536" s="1" t="s">
        <v>34</v>
      </c>
      <c r="D536" s="1" t="s">
        <v>42</v>
      </c>
      <c r="E536" s="1" t="s">
        <v>293</v>
      </c>
      <c r="F536" s="2">
        <v>46279</v>
      </c>
      <c r="G536" s="1" t="s">
        <v>294</v>
      </c>
      <c r="H536" s="3">
        <v>46279.458333333299</v>
      </c>
      <c r="I536" s="1" t="s">
        <v>236</v>
      </c>
      <c r="J536" s="2">
        <v>46279</v>
      </c>
      <c r="K536" s="3">
        <v>46279.458333333299</v>
      </c>
      <c r="L536" s="1" t="s">
        <v>237</v>
      </c>
      <c r="M536" s="1" t="s">
        <v>40</v>
      </c>
      <c r="N536" s="1" t="s">
        <v>41</v>
      </c>
      <c r="O536" s="1" t="s">
        <v>42</v>
      </c>
      <c r="Q536" s="1" t="s">
        <v>42</v>
      </c>
      <c r="R536" s="1" t="s">
        <v>169</v>
      </c>
      <c r="S536" s="1" t="s">
        <v>170</v>
      </c>
      <c r="T536" s="4">
        <v>2565</v>
      </c>
      <c r="U536" s="4">
        <v>2565</v>
      </c>
      <c r="V536" s="4">
        <v>2565</v>
      </c>
      <c r="Z536" s="1" t="s">
        <v>42</v>
      </c>
      <c r="AD536" s="1" t="s">
        <v>42</v>
      </c>
      <c r="AF536" s="1" t="s">
        <v>42</v>
      </c>
    </row>
    <row r="537" spans="1:32" x14ac:dyDescent="0.25">
      <c r="A537" s="1" t="s">
        <v>32</v>
      </c>
      <c r="B537" s="1" t="s">
        <v>33</v>
      </c>
      <c r="C537" s="1" t="s">
        <v>34</v>
      </c>
      <c r="D537" s="1" t="s">
        <v>42</v>
      </c>
      <c r="E537" s="1" t="s">
        <v>293</v>
      </c>
      <c r="F537" s="2">
        <v>46279</v>
      </c>
      <c r="G537" s="1" t="s">
        <v>294</v>
      </c>
      <c r="H537" s="3">
        <v>46279.458333333299</v>
      </c>
      <c r="I537" s="1" t="s">
        <v>236</v>
      </c>
      <c r="J537" s="2">
        <v>46279</v>
      </c>
      <c r="K537" s="3">
        <v>46279.458333333299</v>
      </c>
      <c r="L537" s="1" t="s">
        <v>237</v>
      </c>
      <c r="M537" s="1" t="s">
        <v>40</v>
      </c>
      <c r="N537" s="1" t="s">
        <v>41</v>
      </c>
      <c r="O537" s="1" t="s">
        <v>42</v>
      </c>
      <c r="Q537" s="1" t="s">
        <v>42</v>
      </c>
      <c r="R537" s="1" t="s">
        <v>173</v>
      </c>
      <c r="S537" s="1" t="s">
        <v>174</v>
      </c>
      <c r="T537" s="4">
        <v>1008</v>
      </c>
      <c r="U537" s="4">
        <v>1008</v>
      </c>
      <c r="V537" s="4">
        <v>1008</v>
      </c>
      <c r="Z537" s="1" t="s">
        <v>42</v>
      </c>
      <c r="AD537" s="1" t="s">
        <v>42</v>
      </c>
      <c r="AF537" s="1" t="s">
        <v>42</v>
      </c>
    </row>
    <row r="538" spans="1:32" x14ac:dyDescent="0.25">
      <c r="A538" s="1" t="s">
        <v>32</v>
      </c>
      <c r="B538" s="1" t="s">
        <v>33</v>
      </c>
      <c r="C538" s="1" t="s">
        <v>34</v>
      </c>
      <c r="D538" s="1" t="s">
        <v>42</v>
      </c>
      <c r="E538" s="1" t="s">
        <v>293</v>
      </c>
      <c r="F538" s="2">
        <v>46279</v>
      </c>
      <c r="G538" s="1" t="s">
        <v>294</v>
      </c>
      <c r="H538" s="3">
        <v>46279.458333333299</v>
      </c>
      <c r="I538" s="1" t="s">
        <v>236</v>
      </c>
      <c r="J538" s="2">
        <v>46279</v>
      </c>
      <c r="K538" s="3">
        <v>46279.458333333299</v>
      </c>
      <c r="L538" s="1" t="s">
        <v>237</v>
      </c>
      <c r="M538" s="1" t="s">
        <v>40</v>
      </c>
      <c r="N538" s="1" t="s">
        <v>41</v>
      </c>
      <c r="O538" s="1" t="s">
        <v>42</v>
      </c>
      <c r="Q538" s="1" t="s">
        <v>42</v>
      </c>
      <c r="R538" s="1" t="s">
        <v>175</v>
      </c>
      <c r="S538" s="1" t="s">
        <v>176</v>
      </c>
      <c r="T538" s="4">
        <v>81.599999999999994</v>
      </c>
      <c r="W538" s="4">
        <v>-81.599999999999994</v>
      </c>
      <c r="X538" s="1" t="s">
        <v>67</v>
      </c>
      <c r="Y538" s="1" t="s">
        <v>68</v>
      </c>
      <c r="Z538" s="1" t="s">
        <v>42</v>
      </c>
      <c r="AD538" s="1" t="s">
        <v>42</v>
      </c>
      <c r="AF538" s="1" t="s">
        <v>42</v>
      </c>
    </row>
    <row r="539" spans="1:32" x14ac:dyDescent="0.25">
      <c r="A539" s="1" t="s">
        <v>32</v>
      </c>
      <c r="B539" s="1" t="s">
        <v>33</v>
      </c>
      <c r="C539" s="1" t="s">
        <v>34</v>
      </c>
      <c r="D539" s="1" t="s">
        <v>42</v>
      </c>
      <c r="E539" s="1" t="s">
        <v>293</v>
      </c>
      <c r="F539" s="2">
        <v>46279</v>
      </c>
      <c r="G539" s="1" t="s">
        <v>294</v>
      </c>
      <c r="H539" s="3">
        <v>46279.458333333299</v>
      </c>
      <c r="I539" s="1" t="s">
        <v>236</v>
      </c>
      <c r="J539" s="2">
        <v>46279</v>
      </c>
      <c r="K539" s="3">
        <v>46279.458333333299</v>
      </c>
      <c r="L539" s="1" t="s">
        <v>237</v>
      </c>
      <c r="M539" s="1" t="s">
        <v>40</v>
      </c>
      <c r="N539" s="1" t="s">
        <v>41</v>
      </c>
      <c r="O539" s="1" t="s">
        <v>42</v>
      </c>
      <c r="Q539" s="1" t="s">
        <v>42</v>
      </c>
      <c r="R539" s="1" t="s">
        <v>183</v>
      </c>
      <c r="S539" s="1" t="s">
        <v>184</v>
      </c>
      <c r="T539" s="4">
        <v>121.44</v>
      </c>
      <c r="U539" s="4">
        <v>121.44</v>
      </c>
      <c r="V539" s="4">
        <v>121.44</v>
      </c>
      <c r="Z539" s="1" t="s">
        <v>42</v>
      </c>
      <c r="AD539" s="1" t="s">
        <v>42</v>
      </c>
      <c r="AF539" s="1" t="s">
        <v>42</v>
      </c>
    </row>
    <row r="540" spans="1:32" x14ac:dyDescent="0.25">
      <c r="A540" s="1" t="s">
        <v>32</v>
      </c>
      <c r="B540" s="1" t="s">
        <v>33</v>
      </c>
      <c r="C540" s="1" t="s">
        <v>34</v>
      </c>
      <c r="D540" s="1" t="s">
        <v>42</v>
      </c>
      <c r="E540" s="1" t="s">
        <v>293</v>
      </c>
      <c r="F540" s="2">
        <v>46279</v>
      </c>
      <c r="G540" s="1" t="s">
        <v>294</v>
      </c>
      <c r="H540" s="3">
        <v>46279.458333333299</v>
      </c>
      <c r="I540" s="1" t="s">
        <v>236</v>
      </c>
      <c r="J540" s="2">
        <v>46279</v>
      </c>
      <c r="K540" s="3">
        <v>46279.458333333299</v>
      </c>
      <c r="L540" s="1" t="s">
        <v>237</v>
      </c>
      <c r="M540" s="1" t="s">
        <v>40</v>
      </c>
      <c r="N540" s="1" t="s">
        <v>41</v>
      </c>
      <c r="O540" s="1" t="s">
        <v>42</v>
      </c>
      <c r="Q540" s="1" t="s">
        <v>42</v>
      </c>
      <c r="R540" s="1" t="s">
        <v>185</v>
      </c>
      <c r="S540" s="1" t="s">
        <v>186</v>
      </c>
      <c r="T540" s="4">
        <v>1589.28</v>
      </c>
      <c r="U540" s="4">
        <v>1589.28</v>
      </c>
      <c r="V540" s="4">
        <v>1589.28</v>
      </c>
      <c r="Z540" s="1" t="s">
        <v>42</v>
      </c>
      <c r="AD540" s="1" t="s">
        <v>42</v>
      </c>
      <c r="AF540" s="1" t="s">
        <v>42</v>
      </c>
    </row>
    <row r="541" spans="1:32" x14ac:dyDescent="0.25">
      <c r="A541" s="1" t="s">
        <v>32</v>
      </c>
      <c r="B541" s="1" t="s">
        <v>33</v>
      </c>
      <c r="C541" s="1" t="s">
        <v>34</v>
      </c>
      <c r="D541" s="1" t="s">
        <v>42</v>
      </c>
      <c r="E541" s="1" t="s">
        <v>293</v>
      </c>
      <c r="F541" s="2">
        <v>46279</v>
      </c>
      <c r="G541" s="1" t="s">
        <v>294</v>
      </c>
      <c r="H541" s="3">
        <v>46279.458333333299</v>
      </c>
      <c r="I541" s="1" t="s">
        <v>236</v>
      </c>
      <c r="J541" s="2">
        <v>46279</v>
      </c>
      <c r="K541" s="3">
        <v>46279.458333333299</v>
      </c>
      <c r="L541" s="1" t="s">
        <v>237</v>
      </c>
      <c r="M541" s="1" t="s">
        <v>40</v>
      </c>
      <c r="N541" s="1" t="s">
        <v>41</v>
      </c>
      <c r="O541" s="1" t="s">
        <v>42</v>
      </c>
      <c r="Q541" s="1" t="s">
        <v>42</v>
      </c>
      <c r="R541" s="1" t="s">
        <v>299</v>
      </c>
      <c r="S541" s="1" t="s">
        <v>300</v>
      </c>
      <c r="T541" s="4">
        <v>1027.2</v>
      </c>
      <c r="U541" s="4">
        <v>1027.2</v>
      </c>
      <c r="V541" s="4">
        <v>1027.2</v>
      </c>
      <c r="Z541" s="1" t="s">
        <v>42</v>
      </c>
      <c r="AD541" s="1" t="s">
        <v>42</v>
      </c>
      <c r="AF541" s="1" t="s">
        <v>42</v>
      </c>
    </row>
    <row r="542" spans="1:32" x14ac:dyDescent="0.25">
      <c r="A542" s="1" t="s">
        <v>32</v>
      </c>
      <c r="B542" s="1" t="s">
        <v>33</v>
      </c>
      <c r="C542" s="1" t="s">
        <v>34</v>
      </c>
      <c r="D542" s="1" t="s">
        <v>42</v>
      </c>
      <c r="E542" s="1" t="s">
        <v>293</v>
      </c>
      <c r="F542" s="2">
        <v>46279</v>
      </c>
      <c r="G542" s="1" t="s">
        <v>294</v>
      </c>
      <c r="H542" s="3">
        <v>46279.458333333299</v>
      </c>
      <c r="I542" s="1" t="s">
        <v>236</v>
      </c>
      <c r="J542" s="2">
        <v>46279</v>
      </c>
      <c r="K542" s="3">
        <v>46279.458333333299</v>
      </c>
      <c r="L542" s="1" t="s">
        <v>237</v>
      </c>
      <c r="M542" s="1" t="s">
        <v>40</v>
      </c>
      <c r="N542" s="1" t="s">
        <v>41</v>
      </c>
      <c r="O542" s="1" t="s">
        <v>42</v>
      </c>
      <c r="Q542" s="1" t="s">
        <v>42</v>
      </c>
      <c r="R542" s="1" t="s">
        <v>301</v>
      </c>
      <c r="S542" s="1" t="s">
        <v>302</v>
      </c>
      <c r="T542" s="4">
        <v>67.2</v>
      </c>
      <c r="U542" s="4">
        <v>67.2</v>
      </c>
      <c r="V542" s="4">
        <v>67.2</v>
      </c>
      <c r="Z542" s="1" t="s">
        <v>42</v>
      </c>
      <c r="AD542" s="1" t="s">
        <v>42</v>
      </c>
      <c r="AF542" s="1" t="s">
        <v>42</v>
      </c>
    </row>
    <row r="543" spans="1:32" x14ac:dyDescent="0.25">
      <c r="A543" s="1" t="s">
        <v>32</v>
      </c>
      <c r="B543" s="1" t="s">
        <v>33</v>
      </c>
      <c r="C543" s="1" t="s">
        <v>34</v>
      </c>
      <c r="D543" s="1" t="s">
        <v>42</v>
      </c>
      <c r="E543" s="1" t="s">
        <v>293</v>
      </c>
      <c r="F543" s="2">
        <v>46279</v>
      </c>
      <c r="G543" s="1" t="s">
        <v>294</v>
      </c>
      <c r="H543" s="3">
        <v>46279.458333333299</v>
      </c>
      <c r="I543" s="1" t="s">
        <v>236</v>
      </c>
      <c r="J543" s="2">
        <v>46279</v>
      </c>
      <c r="K543" s="3">
        <v>46279.458333333299</v>
      </c>
      <c r="L543" s="1" t="s">
        <v>237</v>
      </c>
      <c r="M543" s="1" t="s">
        <v>40</v>
      </c>
      <c r="N543" s="1" t="s">
        <v>41</v>
      </c>
      <c r="O543" s="1" t="s">
        <v>42</v>
      </c>
      <c r="Q543" s="1" t="s">
        <v>42</v>
      </c>
      <c r="R543" s="1" t="s">
        <v>187</v>
      </c>
      <c r="S543" s="1" t="s">
        <v>188</v>
      </c>
      <c r="T543" s="4">
        <v>654.72</v>
      </c>
      <c r="U543" s="4">
        <v>654.72</v>
      </c>
      <c r="V543" s="4">
        <v>654.72</v>
      </c>
      <c r="Z543" s="1" t="s">
        <v>42</v>
      </c>
      <c r="AD543" s="1" t="s">
        <v>42</v>
      </c>
      <c r="AF543" s="1" t="s">
        <v>42</v>
      </c>
    </row>
    <row r="544" spans="1:32" x14ac:dyDescent="0.25">
      <c r="A544" s="1" t="s">
        <v>32</v>
      </c>
      <c r="B544" s="1" t="s">
        <v>33</v>
      </c>
      <c r="C544" s="1" t="s">
        <v>34</v>
      </c>
      <c r="D544" s="1" t="s">
        <v>42</v>
      </c>
      <c r="E544" s="1" t="s">
        <v>293</v>
      </c>
      <c r="F544" s="2">
        <v>46279</v>
      </c>
      <c r="G544" s="1" t="s">
        <v>294</v>
      </c>
      <c r="H544" s="3">
        <v>46279.458333333299</v>
      </c>
      <c r="I544" s="1" t="s">
        <v>236</v>
      </c>
      <c r="J544" s="2">
        <v>46279</v>
      </c>
      <c r="K544" s="3">
        <v>46279.458333333299</v>
      </c>
      <c r="L544" s="1" t="s">
        <v>237</v>
      </c>
      <c r="M544" s="1" t="s">
        <v>40</v>
      </c>
      <c r="N544" s="1" t="s">
        <v>41</v>
      </c>
      <c r="O544" s="1" t="s">
        <v>42</v>
      </c>
      <c r="Q544" s="1" t="s">
        <v>42</v>
      </c>
      <c r="R544" s="1" t="s">
        <v>303</v>
      </c>
      <c r="S544" s="1" t="s">
        <v>304</v>
      </c>
      <c r="T544" s="4">
        <v>4.8</v>
      </c>
      <c r="U544" s="4">
        <v>4.8</v>
      </c>
      <c r="V544" s="4">
        <v>4.8</v>
      </c>
      <c r="Z544" s="1" t="s">
        <v>42</v>
      </c>
      <c r="AD544" s="1" t="s">
        <v>42</v>
      </c>
      <c r="AF544" s="1" t="s">
        <v>42</v>
      </c>
    </row>
    <row r="545" spans="1:32" x14ac:dyDescent="0.25">
      <c r="A545" s="1" t="s">
        <v>32</v>
      </c>
      <c r="B545" s="1" t="s">
        <v>33</v>
      </c>
      <c r="C545" s="1" t="s">
        <v>34</v>
      </c>
      <c r="D545" s="1" t="s">
        <v>42</v>
      </c>
      <c r="E545" s="1" t="s">
        <v>293</v>
      </c>
      <c r="F545" s="2">
        <v>46279</v>
      </c>
      <c r="G545" s="1" t="s">
        <v>294</v>
      </c>
      <c r="H545" s="3">
        <v>46279.458333333299</v>
      </c>
      <c r="I545" s="1" t="s">
        <v>236</v>
      </c>
      <c r="J545" s="2">
        <v>46279</v>
      </c>
      <c r="K545" s="3">
        <v>46279.458333333299</v>
      </c>
      <c r="L545" s="1" t="s">
        <v>237</v>
      </c>
      <c r="M545" s="1" t="s">
        <v>40</v>
      </c>
      <c r="N545" s="1" t="s">
        <v>41</v>
      </c>
      <c r="O545" s="1" t="s">
        <v>42</v>
      </c>
      <c r="Q545" s="1" t="s">
        <v>42</v>
      </c>
      <c r="R545" s="1" t="s">
        <v>232</v>
      </c>
      <c r="S545" s="1" t="s">
        <v>233</v>
      </c>
      <c r="T545" s="4">
        <v>454.08</v>
      </c>
      <c r="U545" s="4">
        <v>454.08</v>
      </c>
      <c r="V545" s="4">
        <v>454.08</v>
      </c>
      <c r="Z545" s="1" t="s">
        <v>42</v>
      </c>
      <c r="AD545" s="1" t="s">
        <v>42</v>
      </c>
      <c r="AF545" s="1" t="s">
        <v>42</v>
      </c>
    </row>
    <row r="546" spans="1:32" x14ac:dyDescent="0.25">
      <c r="A546" s="1" t="s">
        <v>32</v>
      </c>
      <c r="B546" s="1" t="s">
        <v>33</v>
      </c>
      <c r="C546" s="1" t="s">
        <v>34</v>
      </c>
      <c r="D546" s="1" t="s">
        <v>42</v>
      </c>
      <c r="E546" s="1" t="s">
        <v>293</v>
      </c>
      <c r="F546" s="2">
        <v>46279</v>
      </c>
      <c r="G546" s="1" t="s">
        <v>294</v>
      </c>
      <c r="H546" s="3">
        <v>46279.458333333299</v>
      </c>
      <c r="I546" s="1" t="s">
        <v>236</v>
      </c>
      <c r="J546" s="2">
        <v>46279</v>
      </c>
      <c r="K546" s="3">
        <v>46279.458333333299</v>
      </c>
      <c r="L546" s="1" t="s">
        <v>237</v>
      </c>
      <c r="M546" s="1" t="s">
        <v>40</v>
      </c>
      <c r="N546" s="1" t="s">
        <v>41</v>
      </c>
      <c r="O546" s="1" t="s">
        <v>42</v>
      </c>
      <c r="Q546" s="1" t="s">
        <v>42</v>
      </c>
      <c r="R546" s="1" t="s">
        <v>220</v>
      </c>
      <c r="S546" s="1" t="s">
        <v>221</v>
      </c>
      <c r="T546" s="4">
        <v>253.44</v>
      </c>
      <c r="U546" s="4">
        <v>253.44</v>
      </c>
      <c r="V546" s="4">
        <v>253.44</v>
      </c>
      <c r="Z546" s="1" t="s">
        <v>42</v>
      </c>
      <c r="AD546" s="1" t="s">
        <v>42</v>
      </c>
      <c r="AF546" s="1" t="s">
        <v>42</v>
      </c>
    </row>
    <row r="547" spans="1:32" x14ac:dyDescent="0.25">
      <c r="A547" s="1" t="s">
        <v>32</v>
      </c>
      <c r="B547" s="1" t="s">
        <v>33</v>
      </c>
      <c r="C547" s="1" t="s">
        <v>34</v>
      </c>
      <c r="D547" s="1" t="s">
        <v>42</v>
      </c>
      <c r="E547" s="1" t="s">
        <v>293</v>
      </c>
      <c r="F547" s="2">
        <v>46279</v>
      </c>
      <c r="G547" s="1" t="s">
        <v>294</v>
      </c>
      <c r="H547" s="3">
        <v>46279.458333333299</v>
      </c>
      <c r="I547" s="1" t="s">
        <v>236</v>
      </c>
      <c r="J547" s="2">
        <v>46279</v>
      </c>
      <c r="K547" s="3">
        <v>46279.458333333299</v>
      </c>
      <c r="L547" s="1" t="s">
        <v>237</v>
      </c>
      <c r="M547" s="1" t="s">
        <v>40</v>
      </c>
      <c r="N547" s="1" t="s">
        <v>41</v>
      </c>
      <c r="O547" s="1" t="s">
        <v>42</v>
      </c>
      <c r="Q547" s="1" t="s">
        <v>42</v>
      </c>
      <c r="R547" s="1" t="s">
        <v>189</v>
      </c>
      <c r="S547" s="1" t="s">
        <v>190</v>
      </c>
      <c r="T547" s="4">
        <v>644.16</v>
      </c>
      <c r="U547" s="4">
        <v>644.16</v>
      </c>
      <c r="V547" s="4">
        <v>644.16</v>
      </c>
      <c r="Z547" s="1" t="s">
        <v>42</v>
      </c>
      <c r="AD547" s="1" t="s">
        <v>42</v>
      </c>
      <c r="AF547" s="1" t="s">
        <v>42</v>
      </c>
    </row>
    <row r="548" spans="1:32" x14ac:dyDescent="0.25">
      <c r="A548" s="1" t="s">
        <v>32</v>
      </c>
      <c r="B548" s="1" t="s">
        <v>33</v>
      </c>
      <c r="C548" s="1" t="s">
        <v>34</v>
      </c>
      <c r="D548" s="1" t="s">
        <v>42</v>
      </c>
      <c r="E548" s="1" t="s">
        <v>293</v>
      </c>
      <c r="F548" s="2">
        <v>46279</v>
      </c>
      <c r="G548" s="1" t="s">
        <v>294</v>
      </c>
      <c r="H548" s="3">
        <v>46279.458333333299</v>
      </c>
      <c r="I548" s="1" t="s">
        <v>236</v>
      </c>
      <c r="J548" s="2">
        <v>46279</v>
      </c>
      <c r="K548" s="3">
        <v>46279.458333333299</v>
      </c>
      <c r="L548" s="1" t="s">
        <v>237</v>
      </c>
      <c r="M548" s="1" t="s">
        <v>40</v>
      </c>
      <c r="N548" s="1" t="s">
        <v>41</v>
      </c>
      <c r="O548" s="1" t="s">
        <v>42</v>
      </c>
      <c r="Q548" s="1" t="s">
        <v>42</v>
      </c>
      <c r="R548" s="1" t="s">
        <v>222</v>
      </c>
      <c r="S548" s="1" t="s">
        <v>223</v>
      </c>
      <c r="T548" s="4">
        <v>5.4</v>
      </c>
      <c r="U548" s="4">
        <v>5.4</v>
      </c>
      <c r="V548" s="4">
        <v>5.4</v>
      </c>
      <c r="Z548" s="1" t="s">
        <v>42</v>
      </c>
      <c r="AD548" s="1" t="s">
        <v>42</v>
      </c>
      <c r="AF548" s="1" t="s">
        <v>42</v>
      </c>
    </row>
    <row r="549" spans="1:32" x14ac:dyDescent="0.25">
      <c r="A549" s="1" t="s">
        <v>32</v>
      </c>
      <c r="B549" s="1" t="s">
        <v>33</v>
      </c>
      <c r="C549" s="1" t="s">
        <v>34</v>
      </c>
      <c r="D549" s="1" t="s">
        <v>42</v>
      </c>
      <c r="E549" s="1" t="s">
        <v>305</v>
      </c>
      <c r="F549" s="2">
        <v>46279</v>
      </c>
      <c r="G549" s="1" t="s">
        <v>306</v>
      </c>
      <c r="H549" s="3">
        <v>46279.5</v>
      </c>
      <c r="I549" s="1" t="s">
        <v>199</v>
      </c>
      <c r="J549" s="2">
        <v>46279</v>
      </c>
      <c r="K549" s="3">
        <v>46279.5</v>
      </c>
      <c r="L549" s="1" t="s">
        <v>200</v>
      </c>
      <c r="M549" s="1" t="s">
        <v>40</v>
      </c>
      <c r="N549" s="1" t="s">
        <v>41</v>
      </c>
      <c r="O549" s="1" t="s">
        <v>42</v>
      </c>
      <c r="Q549" s="1" t="s">
        <v>42</v>
      </c>
      <c r="R549" s="1" t="s">
        <v>222</v>
      </c>
      <c r="S549" s="1" t="s">
        <v>223</v>
      </c>
      <c r="T549" s="4">
        <v>61.2</v>
      </c>
      <c r="U549" s="4">
        <v>61.2</v>
      </c>
      <c r="V549" s="4">
        <v>61.2</v>
      </c>
      <c r="Z549" s="1" t="s">
        <v>42</v>
      </c>
      <c r="AD549" s="1" t="s">
        <v>42</v>
      </c>
      <c r="AF549" s="1" t="s">
        <v>42</v>
      </c>
    </row>
    <row r="550" spans="1:32" x14ac:dyDescent="0.25">
      <c r="A550" s="1" t="s">
        <v>32</v>
      </c>
      <c r="B550" s="1" t="s">
        <v>33</v>
      </c>
      <c r="C550" s="1" t="s">
        <v>34</v>
      </c>
      <c r="D550" s="1" t="s">
        <v>42</v>
      </c>
      <c r="E550" s="1" t="s">
        <v>305</v>
      </c>
      <c r="F550" s="2">
        <v>46279</v>
      </c>
      <c r="G550" s="1" t="s">
        <v>306</v>
      </c>
      <c r="H550" s="3">
        <v>46279.5</v>
      </c>
      <c r="I550" s="1" t="s">
        <v>199</v>
      </c>
      <c r="J550" s="2">
        <v>46279</v>
      </c>
      <c r="K550" s="3">
        <v>46279.5</v>
      </c>
      <c r="L550" s="1" t="s">
        <v>200</v>
      </c>
      <c r="M550" s="1" t="s">
        <v>40</v>
      </c>
      <c r="N550" s="1" t="s">
        <v>41</v>
      </c>
      <c r="O550" s="1" t="s">
        <v>42</v>
      </c>
      <c r="Q550" s="1" t="s">
        <v>42</v>
      </c>
      <c r="R550" s="1" t="s">
        <v>195</v>
      </c>
      <c r="S550" s="1" t="s">
        <v>196</v>
      </c>
      <c r="T550" s="4">
        <v>1296</v>
      </c>
      <c r="U550" s="4">
        <v>1296</v>
      </c>
      <c r="V550" s="4">
        <v>1296</v>
      </c>
      <c r="Z550" s="1" t="s">
        <v>42</v>
      </c>
      <c r="AD550" s="1" t="s">
        <v>42</v>
      </c>
      <c r="AF550" s="1" t="s">
        <v>42</v>
      </c>
    </row>
    <row r="551" spans="1:32" x14ac:dyDescent="0.25">
      <c r="A551" s="1" t="s">
        <v>32</v>
      </c>
      <c r="B551" s="1" t="s">
        <v>33</v>
      </c>
      <c r="C551" s="1" t="s">
        <v>34</v>
      </c>
      <c r="D551" s="1" t="s">
        <v>42</v>
      </c>
      <c r="E551" s="1" t="s">
        <v>305</v>
      </c>
      <c r="F551" s="2">
        <v>46279</v>
      </c>
      <c r="G551" s="1" t="s">
        <v>306</v>
      </c>
      <c r="H551" s="3">
        <v>46279.5</v>
      </c>
      <c r="I551" s="1" t="s">
        <v>199</v>
      </c>
      <c r="J551" s="2">
        <v>46279</v>
      </c>
      <c r="K551" s="3">
        <v>46279.5</v>
      </c>
      <c r="L551" s="1" t="s">
        <v>200</v>
      </c>
      <c r="M551" s="1" t="s">
        <v>40</v>
      </c>
      <c r="N551" s="1" t="s">
        <v>41</v>
      </c>
      <c r="O551" s="1" t="s">
        <v>42</v>
      </c>
      <c r="Q551" s="1" t="s">
        <v>42</v>
      </c>
      <c r="R551" s="1" t="s">
        <v>307</v>
      </c>
      <c r="S551" s="1" t="s">
        <v>308</v>
      </c>
      <c r="T551" s="4">
        <v>66.599999999999994</v>
      </c>
      <c r="U551" s="4">
        <v>66.599999999999994</v>
      </c>
      <c r="V551" s="4">
        <v>66.599999999999994</v>
      </c>
      <c r="Z551" s="1" t="s">
        <v>42</v>
      </c>
      <c r="AD551" s="1" t="s">
        <v>42</v>
      </c>
      <c r="AF551" s="1" t="s">
        <v>42</v>
      </c>
    </row>
    <row r="552" spans="1:32" x14ac:dyDescent="0.25">
      <c r="A552" s="1" t="s">
        <v>32</v>
      </c>
      <c r="B552" s="1" t="s">
        <v>33</v>
      </c>
      <c r="C552" s="1" t="s">
        <v>34</v>
      </c>
      <c r="D552" s="1" t="s">
        <v>42</v>
      </c>
      <c r="E552" s="1" t="s">
        <v>305</v>
      </c>
      <c r="F552" s="2">
        <v>46279</v>
      </c>
      <c r="G552" s="1" t="s">
        <v>306</v>
      </c>
      <c r="H552" s="3">
        <v>46279.5</v>
      </c>
      <c r="I552" s="1" t="s">
        <v>199</v>
      </c>
      <c r="J552" s="2">
        <v>46279</v>
      </c>
      <c r="K552" s="3">
        <v>46279.5</v>
      </c>
      <c r="L552" s="1" t="s">
        <v>200</v>
      </c>
      <c r="M552" s="1" t="s">
        <v>40</v>
      </c>
      <c r="N552" s="1" t="s">
        <v>41</v>
      </c>
      <c r="O552" s="1" t="s">
        <v>42</v>
      </c>
      <c r="Q552" s="1" t="s">
        <v>42</v>
      </c>
      <c r="R552" s="1" t="s">
        <v>228</v>
      </c>
      <c r="S552" s="1" t="s">
        <v>229</v>
      </c>
      <c r="T552" s="4">
        <v>179.2</v>
      </c>
      <c r="U552" s="4">
        <v>179.2</v>
      </c>
      <c r="V552" s="4">
        <v>179.2</v>
      </c>
      <c r="Z552" s="1" t="s">
        <v>42</v>
      </c>
      <c r="AD552" s="1" t="s">
        <v>42</v>
      </c>
      <c r="AF552" s="1" t="s">
        <v>42</v>
      </c>
    </row>
    <row r="553" spans="1:32" x14ac:dyDescent="0.25">
      <c r="A553" s="1" t="s">
        <v>32</v>
      </c>
      <c r="B553" s="1" t="s">
        <v>33</v>
      </c>
      <c r="C553" s="1" t="s">
        <v>34</v>
      </c>
      <c r="D553" s="1" t="s">
        <v>42</v>
      </c>
      <c r="E553" s="1" t="s">
        <v>305</v>
      </c>
      <c r="F553" s="2">
        <v>46279</v>
      </c>
      <c r="G553" s="1" t="s">
        <v>306</v>
      </c>
      <c r="H553" s="3">
        <v>46279.5</v>
      </c>
      <c r="I553" s="1" t="s">
        <v>199</v>
      </c>
      <c r="J553" s="2">
        <v>46279</v>
      </c>
      <c r="K553" s="3">
        <v>46279.5</v>
      </c>
      <c r="L553" s="1" t="s">
        <v>200</v>
      </c>
      <c r="M553" s="1" t="s">
        <v>40</v>
      </c>
      <c r="N553" s="1" t="s">
        <v>41</v>
      </c>
      <c r="O553" s="1" t="s">
        <v>42</v>
      </c>
      <c r="Q553" s="1" t="s">
        <v>42</v>
      </c>
      <c r="R553" s="1" t="s">
        <v>201</v>
      </c>
      <c r="S553" s="1" t="s">
        <v>202</v>
      </c>
      <c r="T553" s="4">
        <v>237.6</v>
      </c>
      <c r="U553" s="4">
        <v>237.6</v>
      </c>
      <c r="V553" s="4">
        <v>237.6</v>
      </c>
      <c r="Z553" s="1" t="s">
        <v>42</v>
      </c>
      <c r="AD553" s="1" t="s">
        <v>42</v>
      </c>
      <c r="AF553" s="1" t="s">
        <v>42</v>
      </c>
    </row>
    <row r="554" spans="1:32" x14ac:dyDescent="0.25">
      <c r="A554" s="1" t="s">
        <v>32</v>
      </c>
      <c r="B554" s="1" t="s">
        <v>33</v>
      </c>
      <c r="C554" s="1" t="s">
        <v>34</v>
      </c>
      <c r="D554" s="1" t="s">
        <v>42</v>
      </c>
      <c r="E554" s="1" t="s">
        <v>305</v>
      </c>
      <c r="F554" s="2">
        <v>46279</v>
      </c>
      <c r="G554" s="1" t="s">
        <v>306</v>
      </c>
      <c r="H554" s="3">
        <v>46279.5</v>
      </c>
      <c r="I554" s="1" t="s">
        <v>199</v>
      </c>
      <c r="J554" s="2">
        <v>46279</v>
      </c>
      <c r="K554" s="3">
        <v>46279.5</v>
      </c>
      <c r="L554" s="1" t="s">
        <v>200</v>
      </c>
      <c r="M554" s="1" t="s">
        <v>40</v>
      </c>
      <c r="N554" s="1" t="s">
        <v>41</v>
      </c>
      <c r="O554" s="1" t="s">
        <v>42</v>
      </c>
      <c r="Q554" s="1" t="s">
        <v>42</v>
      </c>
      <c r="R554" s="1" t="s">
        <v>45</v>
      </c>
      <c r="S554" s="1" t="s">
        <v>46</v>
      </c>
      <c r="T554" s="4">
        <v>56</v>
      </c>
      <c r="U554" s="4">
        <v>56</v>
      </c>
      <c r="V554" s="4">
        <v>56</v>
      </c>
      <c r="Z554" s="1" t="s">
        <v>42</v>
      </c>
      <c r="AD554" s="1" t="s">
        <v>42</v>
      </c>
      <c r="AF554" s="1" t="s">
        <v>42</v>
      </c>
    </row>
    <row r="555" spans="1:32" x14ac:dyDescent="0.25">
      <c r="A555" s="1" t="s">
        <v>32</v>
      </c>
      <c r="B555" s="1" t="s">
        <v>33</v>
      </c>
      <c r="C555" s="1" t="s">
        <v>34</v>
      </c>
      <c r="D555" s="1" t="s">
        <v>42</v>
      </c>
      <c r="E555" s="1" t="s">
        <v>305</v>
      </c>
      <c r="F555" s="2">
        <v>46279</v>
      </c>
      <c r="G555" s="1" t="s">
        <v>306</v>
      </c>
      <c r="H555" s="3">
        <v>46279.5</v>
      </c>
      <c r="I555" s="1" t="s">
        <v>199</v>
      </c>
      <c r="J555" s="2">
        <v>46279</v>
      </c>
      <c r="K555" s="3">
        <v>46279.5</v>
      </c>
      <c r="L555" s="1" t="s">
        <v>200</v>
      </c>
      <c r="M555" s="1" t="s">
        <v>40</v>
      </c>
      <c r="N555" s="1" t="s">
        <v>41</v>
      </c>
      <c r="O555" s="1" t="s">
        <v>42</v>
      </c>
      <c r="Q555" s="1" t="s">
        <v>42</v>
      </c>
      <c r="R555" s="1" t="s">
        <v>256</v>
      </c>
      <c r="S555" s="1" t="s">
        <v>257</v>
      </c>
      <c r="T555" s="4">
        <v>13.5</v>
      </c>
      <c r="U555" s="4">
        <v>13.5</v>
      </c>
      <c r="V555" s="4">
        <v>13.5</v>
      </c>
      <c r="Z555" s="1" t="s">
        <v>42</v>
      </c>
      <c r="AD555" s="1" t="s">
        <v>42</v>
      </c>
      <c r="AF555" s="1" t="s">
        <v>42</v>
      </c>
    </row>
    <row r="556" spans="1:32" x14ac:dyDescent="0.25">
      <c r="A556" s="1" t="s">
        <v>32</v>
      </c>
      <c r="B556" s="1" t="s">
        <v>33</v>
      </c>
      <c r="C556" s="1" t="s">
        <v>34</v>
      </c>
      <c r="D556" s="1" t="s">
        <v>42</v>
      </c>
      <c r="E556" s="1" t="s">
        <v>305</v>
      </c>
      <c r="F556" s="2">
        <v>46279</v>
      </c>
      <c r="G556" s="1" t="s">
        <v>306</v>
      </c>
      <c r="H556" s="3">
        <v>46279.5</v>
      </c>
      <c r="I556" s="1" t="s">
        <v>199</v>
      </c>
      <c r="J556" s="2">
        <v>46279</v>
      </c>
      <c r="K556" s="3">
        <v>46279.5</v>
      </c>
      <c r="L556" s="1" t="s">
        <v>200</v>
      </c>
      <c r="M556" s="1" t="s">
        <v>40</v>
      </c>
      <c r="N556" s="1" t="s">
        <v>41</v>
      </c>
      <c r="O556" s="1" t="s">
        <v>42</v>
      </c>
      <c r="Q556" s="1" t="s">
        <v>42</v>
      </c>
      <c r="R556" s="1" t="s">
        <v>230</v>
      </c>
      <c r="S556" s="1" t="s">
        <v>231</v>
      </c>
      <c r="T556" s="4">
        <v>140.4</v>
      </c>
      <c r="U556" s="4">
        <v>140.4</v>
      </c>
      <c r="V556" s="4">
        <v>140.4</v>
      </c>
      <c r="Z556" s="1" t="s">
        <v>42</v>
      </c>
      <c r="AD556" s="1" t="s">
        <v>42</v>
      </c>
      <c r="AF556" s="1" t="s">
        <v>42</v>
      </c>
    </row>
    <row r="557" spans="1:32" x14ac:dyDescent="0.25">
      <c r="A557" s="1" t="s">
        <v>32</v>
      </c>
      <c r="B557" s="1" t="s">
        <v>33</v>
      </c>
      <c r="C557" s="1" t="s">
        <v>34</v>
      </c>
      <c r="D557" s="1" t="s">
        <v>42</v>
      </c>
      <c r="E557" s="1" t="s">
        <v>305</v>
      </c>
      <c r="F557" s="2">
        <v>46279</v>
      </c>
      <c r="G557" s="1" t="s">
        <v>306</v>
      </c>
      <c r="H557" s="3">
        <v>46279.5</v>
      </c>
      <c r="I557" s="1" t="s">
        <v>199</v>
      </c>
      <c r="J557" s="2">
        <v>46279</v>
      </c>
      <c r="K557" s="3">
        <v>46279.5</v>
      </c>
      <c r="L557" s="1" t="s">
        <v>200</v>
      </c>
      <c r="M557" s="1" t="s">
        <v>40</v>
      </c>
      <c r="N557" s="1" t="s">
        <v>41</v>
      </c>
      <c r="O557" s="1" t="s">
        <v>42</v>
      </c>
      <c r="Q557" s="1" t="s">
        <v>42</v>
      </c>
      <c r="R557" s="1" t="s">
        <v>47</v>
      </c>
      <c r="S557" s="1" t="s">
        <v>48</v>
      </c>
      <c r="T557" s="4">
        <v>101.4</v>
      </c>
      <c r="U557" s="4">
        <v>101.4</v>
      </c>
      <c r="V557" s="4">
        <v>101.4</v>
      </c>
      <c r="Z557" s="1" t="s">
        <v>42</v>
      </c>
      <c r="AD557" s="1" t="s">
        <v>42</v>
      </c>
      <c r="AF557" s="1" t="s">
        <v>42</v>
      </c>
    </row>
    <row r="558" spans="1:32" x14ac:dyDescent="0.25">
      <c r="A558" s="1" t="s">
        <v>32</v>
      </c>
      <c r="B558" s="1" t="s">
        <v>33</v>
      </c>
      <c r="C558" s="1" t="s">
        <v>34</v>
      </c>
      <c r="D558" s="1" t="s">
        <v>42</v>
      </c>
      <c r="E558" s="1" t="s">
        <v>305</v>
      </c>
      <c r="F558" s="2">
        <v>46279</v>
      </c>
      <c r="G558" s="1" t="s">
        <v>306</v>
      </c>
      <c r="H558" s="3">
        <v>46279.5</v>
      </c>
      <c r="I558" s="1" t="s">
        <v>199</v>
      </c>
      <c r="J558" s="2">
        <v>46279</v>
      </c>
      <c r="K558" s="3">
        <v>46279.5</v>
      </c>
      <c r="L558" s="1" t="s">
        <v>200</v>
      </c>
      <c r="M558" s="1" t="s">
        <v>40</v>
      </c>
      <c r="N558" s="1" t="s">
        <v>41</v>
      </c>
      <c r="O558" s="1" t="s">
        <v>42</v>
      </c>
      <c r="Q558" s="1" t="s">
        <v>42</v>
      </c>
      <c r="R558" s="1" t="s">
        <v>49</v>
      </c>
      <c r="S558" s="1" t="s">
        <v>50</v>
      </c>
      <c r="T558" s="4">
        <v>237.6</v>
      </c>
      <c r="U558" s="4">
        <v>237.6</v>
      </c>
      <c r="V558" s="4">
        <v>237.6</v>
      </c>
      <c r="Z558" s="1" t="s">
        <v>42</v>
      </c>
      <c r="AD558" s="1" t="s">
        <v>42</v>
      </c>
      <c r="AF558" s="1" t="s">
        <v>42</v>
      </c>
    </row>
    <row r="559" spans="1:32" x14ac:dyDescent="0.25">
      <c r="A559" s="1" t="s">
        <v>32</v>
      </c>
      <c r="B559" s="1" t="s">
        <v>33</v>
      </c>
      <c r="C559" s="1" t="s">
        <v>34</v>
      </c>
      <c r="D559" s="1" t="s">
        <v>42</v>
      </c>
      <c r="E559" s="1" t="s">
        <v>305</v>
      </c>
      <c r="F559" s="2">
        <v>46279</v>
      </c>
      <c r="G559" s="1" t="s">
        <v>306</v>
      </c>
      <c r="H559" s="3">
        <v>46279.5</v>
      </c>
      <c r="I559" s="1" t="s">
        <v>199</v>
      </c>
      <c r="J559" s="2">
        <v>46279</v>
      </c>
      <c r="K559" s="3">
        <v>46279.5</v>
      </c>
      <c r="L559" s="1" t="s">
        <v>200</v>
      </c>
      <c r="M559" s="1" t="s">
        <v>40</v>
      </c>
      <c r="N559" s="1" t="s">
        <v>41</v>
      </c>
      <c r="O559" s="1" t="s">
        <v>42</v>
      </c>
      <c r="Q559" s="1" t="s">
        <v>42</v>
      </c>
      <c r="R559" s="1" t="s">
        <v>309</v>
      </c>
      <c r="S559" s="1" t="s">
        <v>310</v>
      </c>
      <c r="T559" s="4">
        <v>3.4</v>
      </c>
      <c r="U559" s="4">
        <v>3.4</v>
      </c>
      <c r="V559" s="4">
        <v>3.4</v>
      </c>
      <c r="Z559" s="1" t="s">
        <v>42</v>
      </c>
      <c r="AD559" s="1" t="s">
        <v>42</v>
      </c>
      <c r="AF559" s="1" t="s">
        <v>42</v>
      </c>
    </row>
    <row r="560" spans="1:32" x14ac:dyDescent="0.25">
      <c r="A560" s="1" t="s">
        <v>32</v>
      </c>
      <c r="B560" s="1" t="s">
        <v>33</v>
      </c>
      <c r="C560" s="1" t="s">
        <v>34</v>
      </c>
      <c r="D560" s="1" t="s">
        <v>42</v>
      </c>
      <c r="E560" s="1" t="s">
        <v>305</v>
      </c>
      <c r="F560" s="2">
        <v>46279</v>
      </c>
      <c r="G560" s="1" t="s">
        <v>306</v>
      </c>
      <c r="H560" s="3">
        <v>46279.5</v>
      </c>
      <c r="I560" s="1" t="s">
        <v>199</v>
      </c>
      <c r="J560" s="2">
        <v>46279</v>
      </c>
      <c r="K560" s="3">
        <v>46279.5</v>
      </c>
      <c r="L560" s="1" t="s">
        <v>200</v>
      </c>
      <c r="M560" s="1" t="s">
        <v>40</v>
      </c>
      <c r="N560" s="1" t="s">
        <v>41</v>
      </c>
      <c r="O560" s="1" t="s">
        <v>42</v>
      </c>
      <c r="Q560" s="1" t="s">
        <v>42</v>
      </c>
      <c r="R560" s="1" t="s">
        <v>203</v>
      </c>
      <c r="S560" s="1" t="s">
        <v>204</v>
      </c>
      <c r="T560" s="4">
        <v>54</v>
      </c>
      <c r="U560" s="4">
        <v>54</v>
      </c>
      <c r="V560" s="4">
        <v>54</v>
      </c>
      <c r="Z560" s="1" t="s">
        <v>42</v>
      </c>
      <c r="AD560" s="1" t="s">
        <v>42</v>
      </c>
      <c r="AF560" s="1" t="s">
        <v>42</v>
      </c>
    </row>
    <row r="561" spans="1:32" x14ac:dyDescent="0.25">
      <c r="A561" s="1" t="s">
        <v>32</v>
      </c>
      <c r="B561" s="1" t="s">
        <v>33</v>
      </c>
      <c r="C561" s="1" t="s">
        <v>34</v>
      </c>
      <c r="D561" s="1" t="s">
        <v>42</v>
      </c>
      <c r="E561" s="1" t="s">
        <v>305</v>
      </c>
      <c r="F561" s="2">
        <v>46279</v>
      </c>
      <c r="G561" s="1" t="s">
        <v>306</v>
      </c>
      <c r="H561" s="3">
        <v>46279.5</v>
      </c>
      <c r="I561" s="1" t="s">
        <v>199</v>
      </c>
      <c r="J561" s="2">
        <v>46279</v>
      </c>
      <c r="K561" s="3">
        <v>46279.5</v>
      </c>
      <c r="L561" s="1" t="s">
        <v>200</v>
      </c>
      <c r="M561" s="1" t="s">
        <v>40</v>
      </c>
      <c r="N561" s="1" t="s">
        <v>41</v>
      </c>
      <c r="O561" s="1" t="s">
        <v>42</v>
      </c>
      <c r="Q561" s="1" t="s">
        <v>42</v>
      </c>
      <c r="R561" s="1" t="s">
        <v>51</v>
      </c>
      <c r="S561" s="1" t="s">
        <v>52</v>
      </c>
      <c r="T561" s="4">
        <v>234.9</v>
      </c>
      <c r="U561" s="4">
        <v>234.9</v>
      </c>
      <c r="V561" s="4">
        <v>234.9</v>
      </c>
      <c r="Z561" s="1" t="s">
        <v>42</v>
      </c>
      <c r="AD561" s="1" t="s">
        <v>42</v>
      </c>
      <c r="AF561" s="1" t="s">
        <v>42</v>
      </c>
    </row>
    <row r="562" spans="1:32" x14ac:dyDescent="0.25">
      <c r="A562" s="1" t="s">
        <v>32</v>
      </c>
      <c r="B562" s="1" t="s">
        <v>33</v>
      </c>
      <c r="C562" s="1" t="s">
        <v>34</v>
      </c>
      <c r="D562" s="1" t="s">
        <v>42</v>
      </c>
      <c r="E562" s="1" t="s">
        <v>305</v>
      </c>
      <c r="F562" s="2">
        <v>46279</v>
      </c>
      <c r="G562" s="1" t="s">
        <v>306</v>
      </c>
      <c r="H562" s="3">
        <v>46279.5</v>
      </c>
      <c r="I562" s="1" t="s">
        <v>199</v>
      </c>
      <c r="J562" s="2">
        <v>46279</v>
      </c>
      <c r="K562" s="3">
        <v>46279.5</v>
      </c>
      <c r="L562" s="1" t="s">
        <v>200</v>
      </c>
      <c r="M562" s="1" t="s">
        <v>40</v>
      </c>
      <c r="N562" s="1" t="s">
        <v>41</v>
      </c>
      <c r="O562" s="1" t="s">
        <v>42</v>
      </c>
      <c r="Q562" s="1" t="s">
        <v>42</v>
      </c>
      <c r="R562" s="1" t="s">
        <v>53</v>
      </c>
      <c r="S562" s="1" t="s">
        <v>54</v>
      </c>
      <c r="T562" s="4">
        <v>67.5</v>
      </c>
      <c r="U562" s="4">
        <v>67.5</v>
      </c>
      <c r="V562" s="4">
        <v>67.5</v>
      </c>
      <c r="Z562" s="1" t="s">
        <v>42</v>
      </c>
      <c r="AD562" s="1" t="s">
        <v>42</v>
      </c>
      <c r="AF562" s="1" t="s">
        <v>42</v>
      </c>
    </row>
    <row r="563" spans="1:32" x14ac:dyDescent="0.25">
      <c r="A563" s="1" t="s">
        <v>32</v>
      </c>
      <c r="B563" s="1" t="s">
        <v>33</v>
      </c>
      <c r="C563" s="1" t="s">
        <v>34</v>
      </c>
      <c r="D563" s="1" t="s">
        <v>42</v>
      </c>
      <c r="E563" s="1" t="s">
        <v>305</v>
      </c>
      <c r="F563" s="2">
        <v>46279</v>
      </c>
      <c r="G563" s="1" t="s">
        <v>306</v>
      </c>
      <c r="H563" s="3">
        <v>46279.5</v>
      </c>
      <c r="I563" s="1" t="s">
        <v>199</v>
      </c>
      <c r="J563" s="2">
        <v>46279</v>
      </c>
      <c r="K563" s="3">
        <v>46279.5</v>
      </c>
      <c r="L563" s="1" t="s">
        <v>200</v>
      </c>
      <c r="M563" s="1" t="s">
        <v>40</v>
      </c>
      <c r="N563" s="1" t="s">
        <v>41</v>
      </c>
      <c r="O563" s="1" t="s">
        <v>42</v>
      </c>
      <c r="Q563" s="1" t="s">
        <v>42</v>
      </c>
      <c r="R563" s="1" t="s">
        <v>205</v>
      </c>
      <c r="S563" s="1" t="s">
        <v>206</v>
      </c>
      <c r="T563" s="4">
        <v>280.8</v>
      </c>
      <c r="U563" s="4">
        <v>280.8</v>
      </c>
      <c r="V563" s="4">
        <v>280.8</v>
      </c>
      <c r="Z563" s="1" t="s">
        <v>42</v>
      </c>
      <c r="AD563" s="1" t="s">
        <v>42</v>
      </c>
      <c r="AF563" s="1" t="s">
        <v>42</v>
      </c>
    </row>
    <row r="564" spans="1:32" x14ac:dyDescent="0.25">
      <c r="A564" s="1" t="s">
        <v>32</v>
      </c>
      <c r="B564" s="1" t="s">
        <v>33</v>
      </c>
      <c r="C564" s="1" t="s">
        <v>34</v>
      </c>
      <c r="D564" s="1" t="s">
        <v>42</v>
      </c>
      <c r="E564" s="1" t="s">
        <v>305</v>
      </c>
      <c r="F564" s="2">
        <v>46279</v>
      </c>
      <c r="G564" s="1" t="s">
        <v>306</v>
      </c>
      <c r="H564" s="3">
        <v>46279.5</v>
      </c>
      <c r="I564" s="1" t="s">
        <v>199</v>
      </c>
      <c r="J564" s="2">
        <v>46279</v>
      </c>
      <c r="K564" s="3">
        <v>46279.5</v>
      </c>
      <c r="L564" s="1" t="s">
        <v>200</v>
      </c>
      <c r="M564" s="1" t="s">
        <v>40</v>
      </c>
      <c r="N564" s="1" t="s">
        <v>41</v>
      </c>
      <c r="O564" s="1" t="s">
        <v>42</v>
      </c>
      <c r="Q564" s="1" t="s">
        <v>42</v>
      </c>
      <c r="R564" s="1" t="s">
        <v>207</v>
      </c>
      <c r="S564" s="1" t="s">
        <v>208</v>
      </c>
      <c r="T564" s="4">
        <v>99</v>
      </c>
      <c r="U564" s="4">
        <v>99</v>
      </c>
      <c r="V564" s="4">
        <v>99</v>
      </c>
      <c r="Z564" s="1" t="s">
        <v>42</v>
      </c>
      <c r="AD564" s="1" t="s">
        <v>42</v>
      </c>
      <c r="AF564" s="1" t="s">
        <v>42</v>
      </c>
    </row>
    <row r="565" spans="1:32" x14ac:dyDescent="0.25">
      <c r="A565" s="1" t="s">
        <v>32</v>
      </c>
      <c r="B565" s="1" t="s">
        <v>33</v>
      </c>
      <c r="C565" s="1" t="s">
        <v>34</v>
      </c>
      <c r="D565" s="1" t="s">
        <v>42</v>
      </c>
      <c r="E565" s="1" t="s">
        <v>305</v>
      </c>
      <c r="F565" s="2">
        <v>46279</v>
      </c>
      <c r="G565" s="1" t="s">
        <v>306</v>
      </c>
      <c r="H565" s="3">
        <v>46279.5</v>
      </c>
      <c r="I565" s="1" t="s">
        <v>199</v>
      </c>
      <c r="J565" s="2">
        <v>46279</v>
      </c>
      <c r="K565" s="3">
        <v>46279.5</v>
      </c>
      <c r="L565" s="1" t="s">
        <v>200</v>
      </c>
      <c r="M565" s="1" t="s">
        <v>40</v>
      </c>
      <c r="N565" s="1" t="s">
        <v>41</v>
      </c>
      <c r="O565" s="1" t="s">
        <v>42</v>
      </c>
      <c r="Q565" s="1" t="s">
        <v>42</v>
      </c>
      <c r="R565" s="1" t="s">
        <v>311</v>
      </c>
      <c r="S565" s="1" t="s">
        <v>312</v>
      </c>
      <c r="T565" s="4">
        <v>1</v>
      </c>
      <c r="W565" s="4">
        <v>-1</v>
      </c>
      <c r="X565" s="1" t="s">
        <v>93</v>
      </c>
      <c r="Z565" s="1" t="s">
        <v>42</v>
      </c>
      <c r="AD565" s="1" t="s">
        <v>42</v>
      </c>
      <c r="AF565" s="1" t="s">
        <v>42</v>
      </c>
    </row>
    <row r="566" spans="1:32" x14ac:dyDescent="0.25">
      <c r="A566" s="1" t="s">
        <v>32</v>
      </c>
      <c r="B566" s="1" t="s">
        <v>33</v>
      </c>
      <c r="C566" s="1" t="s">
        <v>34</v>
      </c>
      <c r="D566" s="1" t="s">
        <v>42</v>
      </c>
      <c r="E566" s="1" t="s">
        <v>305</v>
      </c>
      <c r="F566" s="2">
        <v>46279</v>
      </c>
      <c r="G566" s="1" t="s">
        <v>306</v>
      </c>
      <c r="H566" s="3">
        <v>46279.5</v>
      </c>
      <c r="I566" s="1" t="s">
        <v>199</v>
      </c>
      <c r="J566" s="2">
        <v>46279</v>
      </c>
      <c r="K566" s="3">
        <v>46279.5</v>
      </c>
      <c r="L566" s="1" t="s">
        <v>200</v>
      </c>
      <c r="M566" s="1" t="s">
        <v>40</v>
      </c>
      <c r="N566" s="1" t="s">
        <v>41</v>
      </c>
      <c r="O566" s="1" t="s">
        <v>42</v>
      </c>
      <c r="Q566" s="1" t="s">
        <v>42</v>
      </c>
      <c r="R566" s="1" t="s">
        <v>287</v>
      </c>
      <c r="S566" s="1" t="s">
        <v>288</v>
      </c>
      <c r="T566" s="4">
        <v>24</v>
      </c>
      <c r="U566" s="4">
        <v>24</v>
      </c>
      <c r="V566" s="4">
        <v>24</v>
      </c>
      <c r="Z566" s="1" t="s">
        <v>42</v>
      </c>
      <c r="AD566" s="1" t="s">
        <v>42</v>
      </c>
      <c r="AF566" s="1" t="s">
        <v>42</v>
      </c>
    </row>
    <row r="567" spans="1:32" x14ac:dyDescent="0.25">
      <c r="A567" s="1" t="s">
        <v>32</v>
      </c>
      <c r="B567" s="1" t="s">
        <v>33</v>
      </c>
      <c r="C567" s="1" t="s">
        <v>34</v>
      </c>
      <c r="D567" s="1" t="s">
        <v>42</v>
      </c>
      <c r="E567" s="1" t="s">
        <v>305</v>
      </c>
      <c r="F567" s="2">
        <v>46279</v>
      </c>
      <c r="G567" s="1" t="s">
        <v>306</v>
      </c>
      <c r="H567" s="3">
        <v>46279.5</v>
      </c>
      <c r="I567" s="1" t="s">
        <v>199</v>
      </c>
      <c r="J567" s="2">
        <v>46279</v>
      </c>
      <c r="K567" s="3">
        <v>46279.5</v>
      </c>
      <c r="L567" s="1" t="s">
        <v>200</v>
      </c>
      <c r="M567" s="1" t="s">
        <v>40</v>
      </c>
      <c r="N567" s="1" t="s">
        <v>41</v>
      </c>
      <c r="O567" s="1" t="s">
        <v>42</v>
      </c>
      <c r="Q567" s="1" t="s">
        <v>42</v>
      </c>
      <c r="R567" s="1" t="s">
        <v>55</v>
      </c>
      <c r="S567" s="1" t="s">
        <v>56</v>
      </c>
      <c r="T567" s="4">
        <v>550.79999999999995</v>
      </c>
      <c r="U567" s="4">
        <v>550.79999999999995</v>
      </c>
      <c r="V567" s="4">
        <v>550.79999999999995</v>
      </c>
      <c r="Z567" s="1" t="s">
        <v>42</v>
      </c>
      <c r="AD567" s="1" t="s">
        <v>42</v>
      </c>
      <c r="AF567" s="1" t="s">
        <v>42</v>
      </c>
    </row>
    <row r="568" spans="1:32" x14ac:dyDescent="0.25">
      <c r="A568" s="1" t="s">
        <v>32</v>
      </c>
      <c r="B568" s="1" t="s">
        <v>33</v>
      </c>
      <c r="C568" s="1" t="s">
        <v>34</v>
      </c>
      <c r="D568" s="1" t="s">
        <v>42</v>
      </c>
      <c r="E568" s="1" t="s">
        <v>305</v>
      </c>
      <c r="F568" s="2">
        <v>46279</v>
      </c>
      <c r="G568" s="1" t="s">
        <v>306</v>
      </c>
      <c r="H568" s="3">
        <v>46279.5</v>
      </c>
      <c r="I568" s="1" t="s">
        <v>199</v>
      </c>
      <c r="J568" s="2">
        <v>46279</v>
      </c>
      <c r="K568" s="3">
        <v>46279.5</v>
      </c>
      <c r="L568" s="1" t="s">
        <v>200</v>
      </c>
      <c r="M568" s="1" t="s">
        <v>40</v>
      </c>
      <c r="N568" s="1" t="s">
        <v>41</v>
      </c>
      <c r="O568" s="1" t="s">
        <v>42</v>
      </c>
      <c r="Q568" s="1" t="s">
        <v>42</v>
      </c>
      <c r="R568" s="1" t="s">
        <v>57</v>
      </c>
      <c r="S568" s="1" t="s">
        <v>58</v>
      </c>
      <c r="T568" s="4">
        <v>140.4</v>
      </c>
      <c r="U568" s="4">
        <v>140.4</v>
      </c>
      <c r="V568" s="4">
        <v>140.4</v>
      </c>
      <c r="Z568" s="1" t="s">
        <v>42</v>
      </c>
      <c r="AD568" s="1" t="s">
        <v>42</v>
      </c>
      <c r="AF568" s="1" t="s">
        <v>42</v>
      </c>
    </row>
    <row r="569" spans="1:32" x14ac:dyDescent="0.25">
      <c r="A569" s="1" t="s">
        <v>32</v>
      </c>
      <c r="B569" s="1" t="s">
        <v>33</v>
      </c>
      <c r="C569" s="1" t="s">
        <v>34</v>
      </c>
      <c r="D569" s="1" t="s">
        <v>42</v>
      </c>
      <c r="E569" s="1" t="s">
        <v>305</v>
      </c>
      <c r="F569" s="2">
        <v>46279</v>
      </c>
      <c r="G569" s="1" t="s">
        <v>306</v>
      </c>
      <c r="H569" s="3">
        <v>46279.5</v>
      </c>
      <c r="I569" s="1" t="s">
        <v>199</v>
      </c>
      <c r="J569" s="2">
        <v>46279</v>
      </c>
      <c r="K569" s="3">
        <v>46279.5</v>
      </c>
      <c r="L569" s="1" t="s">
        <v>200</v>
      </c>
      <c r="M569" s="1" t="s">
        <v>40</v>
      </c>
      <c r="N569" s="1" t="s">
        <v>41</v>
      </c>
      <c r="O569" s="1" t="s">
        <v>42</v>
      </c>
      <c r="Q569" s="1" t="s">
        <v>42</v>
      </c>
      <c r="R569" s="1" t="s">
        <v>258</v>
      </c>
      <c r="S569" s="1" t="s">
        <v>259</v>
      </c>
      <c r="T569" s="4">
        <v>25.6</v>
      </c>
      <c r="W569" s="4">
        <v>-25.6</v>
      </c>
      <c r="X569" s="1" t="s">
        <v>273</v>
      </c>
      <c r="Y569" s="1" t="s">
        <v>274</v>
      </c>
      <c r="Z569" s="1" t="s">
        <v>42</v>
      </c>
      <c r="AD569" s="1" t="s">
        <v>42</v>
      </c>
      <c r="AF569" s="1" t="s">
        <v>42</v>
      </c>
    </row>
    <row r="570" spans="1:32" x14ac:dyDescent="0.25">
      <c r="A570" s="1" t="s">
        <v>32</v>
      </c>
      <c r="B570" s="1" t="s">
        <v>33</v>
      </c>
      <c r="C570" s="1" t="s">
        <v>34</v>
      </c>
      <c r="D570" s="1" t="s">
        <v>42</v>
      </c>
      <c r="E570" s="1" t="s">
        <v>305</v>
      </c>
      <c r="F570" s="2">
        <v>46279</v>
      </c>
      <c r="G570" s="1" t="s">
        <v>306</v>
      </c>
      <c r="H570" s="3">
        <v>46279.5</v>
      </c>
      <c r="I570" s="1" t="s">
        <v>199</v>
      </c>
      <c r="J570" s="2">
        <v>46279</v>
      </c>
      <c r="K570" s="3">
        <v>46279.5</v>
      </c>
      <c r="L570" s="1" t="s">
        <v>200</v>
      </c>
      <c r="M570" s="1" t="s">
        <v>40</v>
      </c>
      <c r="N570" s="1" t="s">
        <v>41</v>
      </c>
      <c r="O570" s="1" t="s">
        <v>42</v>
      </c>
      <c r="Q570" s="1" t="s">
        <v>42</v>
      </c>
      <c r="R570" s="1" t="s">
        <v>61</v>
      </c>
      <c r="S570" s="1" t="s">
        <v>62</v>
      </c>
      <c r="T570" s="4">
        <v>44.8</v>
      </c>
      <c r="W570" s="4">
        <v>-44.8</v>
      </c>
      <c r="X570" s="1" t="s">
        <v>273</v>
      </c>
      <c r="Y570" s="1" t="s">
        <v>274</v>
      </c>
      <c r="Z570" s="1" t="s">
        <v>42</v>
      </c>
      <c r="AD570" s="1" t="s">
        <v>42</v>
      </c>
      <c r="AF570" s="1" t="s">
        <v>42</v>
      </c>
    </row>
    <row r="571" spans="1:32" x14ac:dyDescent="0.25">
      <c r="A571" s="1" t="s">
        <v>32</v>
      </c>
      <c r="B571" s="1" t="s">
        <v>33</v>
      </c>
      <c r="C571" s="1" t="s">
        <v>34</v>
      </c>
      <c r="D571" s="1" t="s">
        <v>42</v>
      </c>
      <c r="E571" s="1" t="s">
        <v>305</v>
      </c>
      <c r="F571" s="2">
        <v>46279</v>
      </c>
      <c r="G571" s="1" t="s">
        <v>306</v>
      </c>
      <c r="H571" s="3">
        <v>46279.5</v>
      </c>
      <c r="I571" s="1" t="s">
        <v>199</v>
      </c>
      <c r="J571" s="2">
        <v>46279</v>
      </c>
      <c r="K571" s="3">
        <v>46279.5</v>
      </c>
      <c r="L571" s="1" t="s">
        <v>200</v>
      </c>
      <c r="M571" s="1" t="s">
        <v>40</v>
      </c>
      <c r="N571" s="1" t="s">
        <v>41</v>
      </c>
      <c r="O571" s="1" t="s">
        <v>42</v>
      </c>
      <c r="Q571" s="1" t="s">
        <v>42</v>
      </c>
      <c r="R571" s="1" t="s">
        <v>238</v>
      </c>
      <c r="S571" s="1" t="s">
        <v>239</v>
      </c>
      <c r="T571" s="4">
        <v>132</v>
      </c>
      <c r="U571" s="4">
        <v>132</v>
      </c>
      <c r="V571" s="4">
        <v>132</v>
      </c>
      <c r="Z571" s="1" t="s">
        <v>42</v>
      </c>
      <c r="AD571" s="1" t="s">
        <v>42</v>
      </c>
      <c r="AF571" s="1" t="s">
        <v>42</v>
      </c>
    </row>
    <row r="572" spans="1:32" x14ac:dyDescent="0.25">
      <c r="A572" s="1" t="s">
        <v>32</v>
      </c>
      <c r="B572" s="1" t="s">
        <v>33</v>
      </c>
      <c r="C572" s="1" t="s">
        <v>34</v>
      </c>
      <c r="D572" s="1" t="s">
        <v>42</v>
      </c>
      <c r="E572" s="1" t="s">
        <v>305</v>
      </c>
      <c r="F572" s="2">
        <v>46279</v>
      </c>
      <c r="G572" s="1" t="s">
        <v>306</v>
      </c>
      <c r="H572" s="3">
        <v>46279.5</v>
      </c>
      <c r="I572" s="1" t="s">
        <v>199</v>
      </c>
      <c r="J572" s="2">
        <v>46279</v>
      </c>
      <c r="K572" s="3">
        <v>46279.5</v>
      </c>
      <c r="L572" s="1" t="s">
        <v>200</v>
      </c>
      <c r="M572" s="1" t="s">
        <v>40</v>
      </c>
      <c r="N572" s="1" t="s">
        <v>41</v>
      </c>
      <c r="O572" s="1" t="s">
        <v>42</v>
      </c>
      <c r="Q572" s="1" t="s">
        <v>42</v>
      </c>
      <c r="R572" s="1" t="s">
        <v>65</v>
      </c>
      <c r="S572" s="1" t="s">
        <v>66</v>
      </c>
      <c r="T572" s="4">
        <v>150.5</v>
      </c>
      <c r="W572" s="4">
        <v>-150.5</v>
      </c>
      <c r="X572" s="1" t="s">
        <v>67</v>
      </c>
      <c r="Y572" s="1" t="s">
        <v>68</v>
      </c>
      <c r="Z572" s="1" t="s">
        <v>42</v>
      </c>
      <c r="AD572" s="1" t="s">
        <v>42</v>
      </c>
      <c r="AF572" s="1" t="s">
        <v>42</v>
      </c>
    </row>
    <row r="573" spans="1:32" x14ac:dyDescent="0.25">
      <c r="A573" s="1" t="s">
        <v>32</v>
      </c>
      <c r="B573" s="1" t="s">
        <v>33</v>
      </c>
      <c r="C573" s="1" t="s">
        <v>34</v>
      </c>
      <c r="D573" s="1" t="s">
        <v>42</v>
      </c>
      <c r="E573" s="1" t="s">
        <v>305</v>
      </c>
      <c r="F573" s="2">
        <v>46279</v>
      </c>
      <c r="G573" s="1" t="s">
        <v>306</v>
      </c>
      <c r="H573" s="3">
        <v>46279.5</v>
      </c>
      <c r="I573" s="1" t="s">
        <v>199</v>
      </c>
      <c r="J573" s="2">
        <v>46279</v>
      </c>
      <c r="K573" s="3">
        <v>46279.5</v>
      </c>
      <c r="L573" s="1" t="s">
        <v>200</v>
      </c>
      <c r="M573" s="1" t="s">
        <v>40</v>
      </c>
      <c r="N573" s="1" t="s">
        <v>41</v>
      </c>
      <c r="O573" s="1" t="s">
        <v>42</v>
      </c>
      <c r="Q573" s="1" t="s">
        <v>42</v>
      </c>
      <c r="R573" s="1" t="s">
        <v>70</v>
      </c>
      <c r="S573" s="1" t="s">
        <v>71</v>
      </c>
      <c r="T573" s="4">
        <v>182</v>
      </c>
      <c r="U573" s="4">
        <v>182</v>
      </c>
      <c r="V573" s="4">
        <v>182</v>
      </c>
      <c r="Z573" s="1" t="s">
        <v>42</v>
      </c>
      <c r="AD573" s="1" t="s">
        <v>42</v>
      </c>
      <c r="AF573" s="1" t="s">
        <v>42</v>
      </c>
    </row>
    <row r="574" spans="1:32" x14ac:dyDescent="0.25">
      <c r="A574" s="1" t="s">
        <v>32</v>
      </c>
      <c r="B574" s="1" t="s">
        <v>33</v>
      </c>
      <c r="C574" s="1" t="s">
        <v>34</v>
      </c>
      <c r="D574" s="1" t="s">
        <v>42</v>
      </c>
      <c r="E574" s="1" t="s">
        <v>305</v>
      </c>
      <c r="F574" s="2">
        <v>46279</v>
      </c>
      <c r="G574" s="1" t="s">
        <v>306</v>
      </c>
      <c r="H574" s="3">
        <v>46279.5</v>
      </c>
      <c r="I574" s="1" t="s">
        <v>199</v>
      </c>
      <c r="J574" s="2">
        <v>46279</v>
      </c>
      <c r="K574" s="3">
        <v>46279.5</v>
      </c>
      <c r="L574" s="1" t="s">
        <v>200</v>
      </c>
      <c r="M574" s="1" t="s">
        <v>40</v>
      </c>
      <c r="N574" s="1" t="s">
        <v>41</v>
      </c>
      <c r="O574" s="1" t="s">
        <v>42</v>
      </c>
      <c r="Q574" s="1" t="s">
        <v>42</v>
      </c>
      <c r="R574" s="1" t="s">
        <v>74</v>
      </c>
      <c r="S574" s="1" t="s">
        <v>75</v>
      </c>
      <c r="T574" s="4">
        <v>150.5</v>
      </c>
      <c r="U574" s="4">
        <v>150.5</v>
      </c>
      <c r="V574" s="4">
        <v>150.5</v>
      </c>
      <c r="Z574" s="1" t="s">
        <v>42</v>
      </c>
      <c r="AD574" s="1" t="s">
        <v>42</v>
      </c>
      <c r="AF574" s="1" t="s">
        <v>42</v>
      </c>
    </row>
    <row r="575" spans="1:32" x14ac:dyDescent="0.25">
      <c r="A575" s="1" t="s">
        <v>32</v>
      </c>
      <c r="B575" s="1" t="s">
        <v>33</v>
      </c>
      <c r="C575" s="1" t="s">
        <v>34</v>
      </c>
      <c r="D575" s="1" t="s">
        <v>42</v>
      </c>
      <c r="E575" s="1" t="s">
        <v>305</v>
      </c>
      <c r="F575" s="2">
        <v>46279</v>
      </c>
      <c r="G575" s="1" t="s">
        <v>306</v>
      </c>
      <c r="H575" s="3">
        <v>46279.5</v>
      </c>
      <c r="I575" s="1" t="s">
        <v>199</v>
      </c>
      <c r="J575" s="2">
        <v>46279</v>
      </c>
      <c r="K575" s="3">
        <v>46279.5</v>
      </c>
      <c r="L575" s="1" t="s">
        <v>200</v>
      </c>
      <c r="M575" s="1" t="s">
        <v>40</v>
      </c>
      <c r="N575" s="1" t="s">
        <v>41</v>
      </c>
      <c r="O575" s="1" t="s">
        <v>42</v>
      </c>
      <c r="Q575" s="1" t="s">
        <v>42</v>
      </c>
      <c r="R575" s="1" t="s">
        <v>240</v>
      </c>
      <c r="S575" s="1" t="s">
        <v>241</v>
      </c>
      <c r="T575" s="4">
        <v>3.6</v>
      </c>
      <c r="U575" s="4">
        <v>3.6</v>
      </c>
      <c r="V575" s="4">
        <v>3.6</v>
      </c>
      <c r="Z575" s="1" t="s">
        <v>42</v>
      </c>
      <c r="AD575" s="1" t="s">
        <v>42</v>
      </c>
      <c r="AF575" s="1" t="s">
        <v>42</v>
      </c>
    </row>
    <row r="576" spans="1:32" x14ac:dyDescent="0.25">
      <c r="A576" s="1" t="s">
        <v>32</v>
      </c>
      <c r="B576" s="1" t="s">
        <v>33</v>
      </c>
      <c r="C576" s="1" t="s">
        <v>34</v>
      </c>
      <c r="D576" s="1" t="s">
        <v>42</v>
      </c>
      <c r="E576" s="1" t="s">
        <v>305</v>
      </c>
      <c r="F576" s="2">
        <v>46279</v>
      </c>
      <c r="G576" s="1" t="s">
        <v>306</v>
      </c>
      <c r="H576" s="3">
        <v>46279.5</v>
      </c>
      <c r="I576" s="1" t="s">
        <v>199</v>
      </c>
      <c r="J576" s="2">
        <v>46279</v>
      </c>
      <c r="K576" s="3">
        <v>46279.5</v>
      </c>
      <c r="L576" s="1" t="s">
        <v>200</v>
      </c>
      <c r="M576" s="1" t="s">
        <v>40</v>
      </c>
      <c r="N576" s="1" t="s">
        <v>41</v>
      </c>
      <c r="O576" s="1" t="s">
        <v>42</v>
      </c>
      <c r="Q576" s="1" t="s">
        <v>42</v>
      </c>
      <c r="R576" s="1" t="s">
        <v>242</v>
      </c>
      <c r="S576" s="1" t="s">
        <v>243</v>
      </c>
      <c r="T576" s="4">
        <v>11.7</v>
      </c>
      <c r="U576" s="4">
        <v>11.7</v>
      </c>
      <c r="V576" s="4">
        <v>11.7</v>
      </c>
      <c r="Z576" s="1" t="s">
        <v>42</v>
      </c>
      <c r="AD576" s="1" t="s">
        <v>42</v>
      </c>
      <c r="AF576" s="1" t="s">
        <v>42</v>
      </c>
    </row>
    <row r="577" spans="1:32" x14ac:dyDescent="0.25">
      <c r="A577" s="1" t="s">
        <v>32</v>
      </c>
      <c r="B577" s="1" t="s">
        <v>33</v>
      </c>
      <c r="C577" s="1" t="s">
        <v>34</v>
      </c>
      <c r="D577" s="1" t="s">
        <v>42</v>
      </c>
      <c r="E577" s="1" t="s">
        <v>305</v>
      </c>
      <c r="F577" s="2">
        <v>46279</v>
      </c>
      <c r="G577" s="1" t="s">
        <v>306</v>
      </c>
      <c r="H577" s="3">
        <v>46279.5</v>
      </c>
      <c r="I577" s="1" t="s">
        <v>199</v>
      </c>
      <c r="J577" s="2">
        <v>46279</v>
      </c>
      <c r="K577" s="3">
        <v>46279.5</v>
      </c>
      <c r="L577" s="1" t="s">
        <v>200</v>
      </c>
      <c r="M577" s="1" t="s">
        <v>40</v>
      </c>
      <c r="N577" s="1" t="s">
        <v>41</v>
      </c>
      <c r="O577" s="1" t="s">
        <v>42</v>
      </c>
      <c r="Q577" s="1" t="s">
        <v>42</v>
      </c>
      <c r="R577" s="1" t="s">
        <v>81</v>
      </c>
      <c r="S577" s="1" t="s">
        <v>82</v>
      </c>
      <c r="T577" s="4">
        <v>28.56</v>
      </c>
      <c r="U577" s="4">
        <v>28.56</v>
      </c>
      <c r="V577" s="4">
        <v>28.56</v>
      </c>
      <c r="Z577" s="1" t="s">
        <v>42</v>
      </c>
      <c r="AD577" s="1" t="s">
        <v>42</v>
      </c>
      <c r="AF577" s="1" t="s">
        <v>42</v>
      </c>
    </row>
    <row r="578" spans="1:32" x14ac:dyDescent="0.25">
      <c r="A578" s="1" t="s">
        <v>32</v>
      </c>
      <c r="B578" s="1" t="s">
        <v>33</v>
      </c>
      <c r="C578" s="1" t="s">
        <v>34</v>
      </c>
      <c r="D578" s="1" t="s">
        <v>42</v>
      </c>
      <c r="E578" s="1" t="s">
        <v>305</v>
      </c>
      <c r="F578" s="2">
        <v>46279</v>
      </c>
      <c r="G578" s="1" t="s">
        <v>306</v>
      </c>
      <c r="H578" s="3">
        <v>46279.5</v>
      </c>
      <c r="I578" s="1" t="s">
        <v>199</v>
      </c>
      <c r="J578" s="2">
        <v>46279</v>
      </c>
      <c r="K578" s="3">
        <v>46279.5</v>
      </c>
      <c r="L578" s="1" t="s">
        <v>200</v>
      </c>
      <c r="M578" s="1" t="s">
        <v>40</v>
      </c>
      <c r="N578" s="1" t="s">
        <v>41</v>
      </c>
      <c r="O578" s="1" t="s">
        <v>42</v>
      </c>
      <c r="Q578" s="1" t="s">
        <v>42</v>
      </c>
      <c r="R578" s="1" t="s">
        <v>83</v>
      </c>
      <c r="S578" s="1" t="s">
        <v>84</v>
      </c>
      <c r="T578" s="4">
        <v>21</v>
      </c>
      <c r="U578" s="4">
        <v>21</v>
      </c>
      <c r="V578" s="4">
        <v>21</v>
      </c>
      <c r="Z578" s="1" t="s">
        <v>42</v>
      </c>
      <c r="AD578" s="1" t="s">
        <v>42</v>
      </c>
      <c r="AF578" s="1" t="s">
        <v>42</v>
      </c>
    </row>
    <row r="579" spans="1:32" x14ac:dyDescent="0.25">
      <c r="A579" s="1" t="s">
        <v>32</v>
      </c>
      <c r="B579" s="1" t="s">
        <v>33</v>
      </c>
      <c r="C579" s="1" t="s">
        <v>34</v>
      </c>
      <c r="D579" s="1" t="s">
        <v>42</v>
      </c>
      <c r="E579" s="1" t="s">
        <v>305</v>
      </c>
      <c r="F579" s="2">
        <v>46279</v>
      </c>
      <c r="G579" s="1" t="s">
        <v>306</v>
      </c>
      <c r="H579" s="3">
        <v>46279.5</v>
      </c>
      <c r="I579" s="1" t="s">
        <v>199</v>
      </c>
      <c r="J579" s="2">
        <v>46279</v>
      </c>
      <c r="K579" s="3">
        <v>46279.5</v>
      </c>
      <c r="L579" s="1" t="s">
        <v>200</v>
      </c>
      <c r="M579" s="1" t="s">
        <v>40</v>
      </c>
      <c r="N579" s="1" t="s">
        <v>41</v>
      </c>
      <c r="O579" s="1" t="s">
        <v>42</v>
      </c>
      <c r="Q579" s="1" t="s">
        <v>42</v>
      </c>
      <c r="R579" s="1" t="s">
        <v>87</v>
      </c>
      <c r="S579" s="1" t="s">
        <v>88</v>
      </c>
      <c r="T579" s="4">
        <v>12</v>
      </c>
      <c r="U579" s="4">
        <v>12</v>
      </c>
      <c r="V579" s="4">
        <v>12</v>
      </c>
      <c r="Z579" s="1" t="s">
        <v>42</v>
      </c>
      <c r="AD579" s="1" t="s">
        <v>42</v>
      </c>
      <c r="AF579" s="1" t="s">
        <v>42</v>
      </c>
    </row>
    <row r="580" spans="1:32" x14ac:dyDescent="0.25">
      <c r="A580" s="1" t="s">
        <v>32</v>
      </c>
      <c r="B580" s="1" t="s">
        <v>33</v>
      </c>
      <c r="C580" s="1" t="s">
        <v>34</v>
      </c>
      <c r="D580" s="1" t="s">
        <v>42</v>
      </c>
      <c r="E580" s="1" t="s">
        <v>305</v>
      </c>
      <c r="F580" s="2">
        <v>46279</v>
      </c>
      <c r="G580" s="1" t="s">
        <v>306</v>
      </c>
      <c r="H580" s="3">
        <v>46279.5</v>
      </c>
      <c r="I580" s="1" t="s">
        <v>199</v>
      </c>
      <c r="J580" s="2">
        <v>46279</v>
      </c>
      <c r="K580" s="3">
        <v>46279.5</v>
      </c>
      <c r="L580" s="1" t="s">
        <v>200</v>
      </c>
      <c r="M580" s="1" t="s">
        <v>40</v>
      </c>
      <c r="N580" s="1" t="s">
        <v>41</v>
      </c>
      <c r="O580" s="1" t="s">
        <v>42</v>
      </c>
      <c r="Q580" s="1" t="s">
        <v>42</v>
      </c>
      <c r="R580" s="1" t="s">
        <v>91</v>
      </c>
      <c r="S580" s="1" t="s">
        <v>92</v>
      </c>
      <c r="T580" s="4">
        <v>30.6</v>
      </c>
      <c r="W580" s="4">
        <v>-30.6</v>
      </c>
      <c r="X580" s="1" t="s">
        <v>93</v>
      </c>
      <c r="Z580" s="1" t="s">
        <v>42</v>
      </c>
      <c r="AD580" s="1" t="s">
        <v>42</v>
      </c>
      <c r="AF580" s="1" t="s">
        <v>42</v>
      </c>
    </row>
    <row r="581" spans="1:32" x14ac:dyDescent="0.25">
      <c r="A581" s="1" t="s">
        <v>32</v>
      </c>
      <c r="B581" s="1" t="s">
        <v>33</v>
      </c>
      <c r="C581" s="1" t="s">
        <v>34</v>
      </c>
      <c r="D581" s="1" t="s">
        <v>42</v>
      </c>
      <c r="E581" s="1" t="s">
        <v>305</v>
      </c>
      <c r="F581" s="2">
        <v>46279</v>
      </c>
      <c r="G581" s="1" t="s">
        <v>306</v>
      </c>
      <c r="H581" s="3">
        <v>46279.5</v>
      </c>
      <c r="I581" s="1" t="s">
        <v>199</v>
      </c>
      <c r="J581" s="2">
        <v>46279</v>
      </c>
      <c r="K581" s="3">
        <v>46279.5</v>
      </c>
      <c r="L581" s="1" t="s">
        <v>200</v>
      </c>
      <c r="M581" s="1" t="s">
        <v>40</v>
      </c>
      <c r="N581" s="1" t="s">
        <v>41</v>
      </c>
      <c r="O581" s="1" t="s">
        <v>42</v>
      </c>
      <c r="Q581" s="1" t="s">
        <v>42</v>
      </c>
      <c r="R581" s="1" t="s">
        <v>94</v>
      </c>
      <c r="S581" s="1" t="s">
        <v>95</v>
      </c>
      <c r="T581" s="4">
        <v>12</v>
      </c>
      <c r="U581" s="4">
        <v>12</v>
      </c>
      <c r="V581" s="4">
        <v>12</v>
      </c>
      <c r="Z581" s="1" t="s">
        <v>42</v>
      </c>
      <c r="AD581" s="1" t="s">
        <v>42</v>
      </c>
      <c r="AF581" s="1" t="s">
        <v>42</v>
      </c>
    </row>
    <row r="582" spans="1:32" x14ac:dyDescent="0.25">
      <c r="A582" s="1" t="s">
        <v>32</v>
      </c>
      <c r="B582" s="1" t="s">
        <v>33</v>
      </c>
      <c r="C582" s="1" t="s">
        <v>34</v>
      </c>
      <c r="D582" s="1" t="s">
        <v>42</v>
      </c>
      <c r="E582" s="1" t="s">
        <v>305</v>
      </c>
      <c r="F582" s="2">
        <v>46279</v>
      </c>
      <c r="G582" s="1" t="s">
        <v>306</v>
      </c>
      <c r="H582" s="3">
        <v>46279.5</v>
      </c>
      <c r="I582" s="1" t="s">
        <v>199</v>
      </c>
      <c r="J582" s="2">
        <v>46279</v>
      </c>
      <c r="K582" s="3">
        <v>46279.5</v>
      </c>
      <c r="L582" s="1" t="s">
        <v>200</v>
      </c>
      <c r="M582" s="1" t="s">
        <v>40</v>
      </c>
      <c r="N582" s="1" t="s">
        <v>41</v>
      </c>
      <c r="O582" s="1" t="s">
        <v>42</v>
      </c>
      <c r="Q582" s="1" t="s">
        <v>42</v>
      </c>
      <c r="R582" s="1" t="s">
        <v>96</v>
      </c>
      <c r="S582" s="1" t="s">
        <v>97</v>
      </c>
      <c r="T582" s="4">
        <v>210</v>
      </c>
      <c r="W582" s="4">
        <v>-210</v>
      </c>
      <c r="X582" s="1" t="s">
        <v>67</v>
      </c>
      <c r="Y582" s="1" t="s">
        <v>68</v>
      </c>
      <c r="Z582" s="1" t="s">
        <v>42</v>
      </c>
      <c r="AD582" s="1" t="s">
        <v>42</v>
      </c>
      <c r="AF582" s="1" t="s">
        <v>42</v>
      </c>
    </row>
    <row r="583" spans="1:32" x14ac:dyDescent="0.25">
      <c r="A583" s="1" t="s">
        <v>32</v>
      </c>
      <c r="B583" s="1" t="s">
        <v>33</v>
      </c>
      <c r="C583" s="1" t="s">
        <v>34</v>
      </c>
      <c r="D583" s="1" t="s">
        <v>42</v>
      </c>
      <c r="E583" s="1" t="s">
        <v>305</v>
      </c>
      <c r="F583" s="2">
        <v>46279</v>
      </c>
      <c r="G583" s="1" t="s">
        <v>306</v>
      </c>
      <c r="H583" s="3">
        <v>46279.5</v>
      </c>
      <c r="I583" s="1" t="s">
        <v>199</v>
      </c>
      <c r="J583" s="2">
        <v>46279</v>
      </c>
      <c r="K583" s="3">
        <v>46279.5</v>
      </c>
      <c r="L583" s="1" t="s">
        <v>200</v>
      </c>
      <c r="M583" s="1" t="s">
        <v>40</v>
      </c>
      <c r="N583" s="1" t="s">
        <v>41</v>
      </c>
      <c r="O583" s="1" t="s">
        <v>42</v>
      </c>
      <c r="Q583" s="1" t="s">
        <v>42</v>
      </c>
      <c r="R583" s="1" t="s">
        <v>209</v>
      </c>
      <c r="S583" s="1" t="s">
        <v>210</v>
      </c>
      <c r="T583" s="4">
        <v>5.04</v>
      </c>
      <c r="W583" s="4">
        <v>-5.04</v>
      </c>
      <c r="X583" s="1" t="s">
        <v>273</v>
      </c>
      <c r="Y583" s="1" t="s">
        <v>274</v>
      </c>
      <c r="Z583" s="1" t="s">
        <v>42</v>
      </c>
      <c r="AD583" s="1" t="s">
        <v>42</v>
      </c>
      <c r="AF583" s="1" t="s">
        <v>42</v>
      </c>
    </row>
    <row r="584" spans="1:32" x14ac:dyDescent="0.25">
      <c r="A584" s="1" t="s">
        <v>32</v>
      </c>
      <c r="B584" s="1" t="s">
        <v>33</v>
      </c>
      <c r="C584" s="1" t="s">
        <v>34</v>
      </c>
      <c r="D584" s="1" t="s">
        <v>42</v>
      </c>
      <c r="E584" s="1" t="s">
        <v>305</v>
      </c>
      <c r="F584" s="2">
        <v>46279</v>
      </c>
      <c r="G584" s="1" t="s">
        <v>306</v>
      </c>
      <c r="H584" s="3">
        <v>46279.5</v>
      </c>
      <c r="I584" s="1" t="s">
        <v>199</v>
      </c>
      <c r="J584" s="2">
        <v>46279</v>
      </c>
      <c r="K584" s="3">
        <v>46279.5</v>
      </c>
      <c r="L584" s="1" t="s">
        <v>200</v>
      </c>
      <c r="M584" s="1" t="s">
        <v>40</v>
      </c>
      <c r="N584" s="1" t="s">
        <v>41</v>
      </c>
      <c r="O584" s="1" t="s">
        <v>42</v>
      </c>
      <c r="Q584" s="1" t="s">
        <v>42</v>
      </c>
      <c r="R584" s="1" t="s">
        <v>102</v>
      </c>
      <c r="S584" s="1" t="s">
        <v>103</v>
      </c>
      <c r="T584" s="4">
        <v>54</v>
      </c>
      <c r="W584" s="4">
        <v>-54</v>
      </c>
      <c r="X584" s="1" t="s">
        <v>67</v>
      </c>
      <c r="Y584" s="1" t="s">
        <v>68</v>
      </c>
      <c r="Z584" s="1" t="s">
        <v>42</v>
      </c>
      <c r="AD584" s="1" t="s">
        <v>42</v>
      </c>
      <c r="AF584" s="1" t="s">
        <v>42</v>
      </c>
    </row>
    <row r="585" spans="1:32" x14ac:dyDescent="0.25">
      <c r="A585" s="1" t="s">
        <v>32</v>
      </c>
      <c r="B585" s="1" t="s">
        <v>33</v>
      </c>
      <c r="C585" s="1" t="s">
        <v>34</v>
      </c>
      <c r="D585" s="1" t="s">
        <v>42</v>
      </c>
      <c r="E585" s="1" t="s">
        <v>305</v>
      </c>
      <c r="F585" s="2">
        <v>46279</v>
      </c>
      <c r="G585" s="1" t="s">
        <v>306</v>
      </c>
      <c r="H585" s="3">
        <v>46279.5</v>
      </c>
      <c r="I585" s="1" t="s">
        <v>199</v>
      </c>
      <c r="J585" s="2">
        <v>46279</v>
      </c>
      <c r="K585" s="3">
        <v>46279.5</v>
      </c>
      <c r="L585" s="1" t="s">
        <v>200</v>
      </c>
      <c r="M585" s="1" t="s">
        <v>40</v>
      </c>
      <c r="N585" s="1" t="s">
        <v>41</v>
      </c>
      <c r="O585" s="1" t="s">
        <v>42</v>
      </c>
      <c r="Q585" s="1" t="s">
        <v>42</v>
      </c>
      <c r="R585" s="1" t="s">
        <v>104</v>
      </c>
      <c r="S585" s="1" t="s">
        <v>105</v>
      </c>
      <c r="T585" s="4">
        <v>151.19999999999999</v>
      </c>
      <c r="W585" s="4">
        <v>-151.19999999999999</v>
      </c>
      <c r="X585" s="1" t="s">
        <v>67</v>
      </c>
      <c r="Y585" s="1" t="s">
        <v>68</v>
      </c>
      <c r="Z585" s="1" t="s">
        <v>42</v>
      </c>
      <c r="AD585" s="1" t="s">
        <v>42</v>
      </c>
      <c r="AF585" s="1" t="s">
        <v>42</v>
      </c>
    </row>
    <row r="586" spans="1:32" x14ac:dyDescent="0.25">
      <c r="A586" s="1" t="s">
        <v>32</v>
      </c>
      <c r="B586" s="1" t="s">
        <v>33</v>
      </c>
      <c r="C586" s="1" t="s">
        <v>34</v>
      </c>
      <c r="D586" s="1" t="s">
        <v>42</v>
      </c>
      <c r="E586" s="1" t="s">
        <v>305</v>
      </c>
      <c r="F586" s="2">
        <v>46279</v>
      </c>
      <c r="G586" s="1" t="s">
        <v>306</v>
      </c>
      <c r="H586" s="3">
        <v>46279.5</v>
      </c>
      <c r="I586" s="1" t="s">
        <v>199</v>
      </c>
      <c r="J586" s="2">
        <v>46279</v>
      </c>
      <c r="K586" s="3">
        <v>46279.5</v>
      </c>
      <c r="L586" s="1" t="s">
        <v>200</v>
      </c>
      <c r="M586" s="1" t="s">
        <v>40</v>
      </c>
      <c r="N586" s="1" t="s">
        <v>41</v>
      </c>
      <c r="O586" s="1" t="s">
        <v>42</v>
      </c>
      <c r="Q586" s="1" t="s">
        <v>42</v>
      </c>
      <c r="R586" s="1" t="s">
        <v>106</v>
      </c>
      <c r="S586" s="1" t="s">
        <v>107</v>
      </c>
      <c r="T586" s="4">
        <v>302.39999999999998</v>
      </c>
      <c r="U586" s="4">
        <v>302.39999999999998</v>
      </c>
      <c r="V586" s="4">
        <v>302.39999999999998</v>
      </c>
      <c r="Z586" s="1" t="s">
        <v>42</v>
      </c>
      <c r="AD586" s="1" t="s">
        <v>42</v>
      </c>
      <c r="AF586" s="1" t="s">
        <v>42</v>
      </c>
    </row>
    <row r="587" spans="1:32" x14ac:dyDescent="0.25">
      <c r="A587" s="1" t="s">
        <v>32</v>
      </c>
      <c r="B587" s="1" t="s">
        <v>33</v>
      </c>
      <c r="C587" s="1" t="s">
        <v>34</v>
      </c>
      <c r="D587" s="1" t="s">
        <v>42</v>
      </c>
      <c r="E587" s="1" t="s">
        <v>305</v>
      </c>
      <c r="F587" s="2">
        <v>46279</v>
      </c>
      <c r="G587" s="1" t="s">
        <v>306</v>
      </c>
      <c r="H587" s="3">
        <v>46279.5</v>
      </c>
      <c r="I587" s="1" t="s">
        <v>199</v>
      </c>
      <c r="J587" s="2">
        <v>46279</v>
      </c>
      <c r="K587" s="3">
        <v>46279.5</v>
      </c>
      <c r="L587" s="1" t="s">
        <v>200</v>
      </c>
      <c r="M587" s="1" t="s">
        <v>40</v>
      </c>
      <c r="N587" s="1" t="s">
        <v>41</v>
      </c>
      <c r="O587" s="1" t="s">
        <v>42</v>
      </c>
      <c r="Q587" s="1" t="s">
        <v>42</v>
      </c>
      <c r="R587" s="1" t="s">
        <v>108</v>
      </c>
      <c r="S587" s="1" t="s">
        <v>109</v>
      </c>
      <c r="T587" s="4">
        <v>151.19999999999999</v>
      </c>
      <c r="W587" s="4">
        <v>-151.19999999999999</v>
      </c>
      <c r="X587" s="1" t="s">
        <v>67</v>
      </c>
      <c r="Y587" s="1" t="s">
        <v>68</v>
      </c>
      <c r="Z587" s="1" t="s">
        <v>42</v>
      </c>
      <c r="AD587" s="1" t="s">
        <v>42</v>
      </c>
      <c r="AF587" s="1" t="s">
        <v>42</v>
      </c>
    </row>
    <row r="588" spans="1:32" x14ac:dyDescent="0.25">
      <c r="A588" s="1" t="s">
        <v>32</v>
      </c>
      <c r="B588" s="1" t="s">
        <v>33</v>
      </c>
      <c r="C588" s="1" t="s">
        <v>34</v>
      </c>
      <c r="D588" s="1" t="s">
        <v>42</v>
      </c>
      <c r="E588" s="1" t="s">
        <v>305</v>
      </c>
      <c r="F588" s="2">
        <v>46279</v>
      </c>
      <c r="G588" s="1" t="s">
        <v>306</v>
      </c>
      <c r="H588" s="3">
        <v>46279.5</v>
      </c>
      <c r="I588" s="1" t="s">
        <v>199</v>
      </c>
      <c r="J588" s="2">
        <v>46279</v>
      </c>
      <c r="K588" s="3">
        <v>46279.5</v>
      </c>
      <c r="L588" s="1" t="s">
        <v>200</v>
      </c>
      <c r="M588" s="1" t="s">
        <v>40</v>
      </c>
      <c r="N588" s="1" t="s">
        <v>41</v>
      </c>
      <c r="O588" s="1" t="s">
        <v>42</v>
      </c>
      <c r="Q588" s="1" t="s">
        <v>42</v>
      </c>
      <c r="R588" s="1" t="s">
        <v>110</v>
      </c>
      <c r="S588" s="1" t="s">
        <v>111</v>
      </c>
      <c r="T588" s="4">
        <v>30.6</v>
      </c>
      <c r="U588" s="4">
        <v>30.6</v>
      </c>
      <c r="V588" s="4">
        <v>30.6</v>
      </c>
      <c r="Z588" s="1" t="s">
        <v>42</v>
      </c>
      <c r="AD588" s="1" t="s">
        <v>42</v>
      </c>
      <c r="AF588" s="1" t="s">
        <v>42</v>
      </c>
    </row>
    <row r="589" spans="1:32" x14ac:dyDescent="0.25">
      <c r="A589" s="1" t="s">
        <v>32</v>
      </c>
      <c r="B589" s="1" t="s">
        <v>33</v>
      </c>
      <c r="C589" s="1" t="s">
        <v>34</v>
      </c>
      <c r="D589" s="1" t="s">
        <v>42</v>
      </c>
      <c r="E589" s="1" t="s">
        <v>305</v>
      </c>
      <c r="F589" s="2">
        <v>46279</v>
      </c>
      <c r="G589" s="1" t="s">
        <v>306</v>
      </c>
      <c r="H589" s="3">
        <v>46279.5</v>
      </c>
      <c r="I589" s="1" t="s">
        <v>199</v>
      </c>
      <c r="J589" s="2">
        <v>46279</v>
      </c>
      <c r="K589" s="3">
        <v>46279.5</v>
      </c>
      <c r="L589" s="1" t="s">
        <v>200</v>
      </c>
      <c r="M589" s="1" t="s">
        <v>40</v>
      </c>
      <c r="N589" s="1" t="s">
        <v>41</v>
      </c>
      <c r="O589" s="1" t="s">
        <v>42</v>
      </c>
      <c r="Q589" s="1" t="s">
        <v>42</v>
      </c>
      <c r="R589" s="1" t="s">
        <v>112</v>
      </c>
      <c r="S589" s="1" t="s">
        <v>113</v>
      </c>
      <c r="T589" s="4">
        <v>12.6</v>
      </c>
      <c r="W589" s="4">
        <v>-12.6</v>
      </c>
      <c r="X589" s="1" t="s">
        <v>67</v>
      </c>
      <c r="Y589" s="1" t="s">
        <v>68</v>
      </c>
      <c r="Z589" s="1" t="s">
        <v>42</v>
      </c>
      <c r="AD589" s="1" t="s">
        <v>42</v>
      </c>
      <c r="AF589" s="1" t="s">
        <v>42</v>
      </c>
    </row>
    <row r="590" spans="1:32" x14ac:dyDescent="0.25">
      <c r="A590" s="1" t="s">
        <v>32</v>
      </c>
      <c r="B590" s="1" t="s">
        <v>33</v>
      </c>
      <c r="C590" s="1" t="s">
        <v>34</v>
      </c>
      <c r="D590" s="1" t="s">
        <v>42</v>
      </c>
      <c r="E590" s="1" t="s">
        <v>305</v>
      </c>
      <c r="F590" s="2">
        <v>46279</v>
      </c>
      <c r="G590" s="1" t="s">
        <v>306</v>
      </c>
      <c r="H590" s="3">
        <v>46279.5</v>
      </c>
      <c r="I590" s="1" t="s">
        <v>199</v>
      </c>
      <c r="J590" s="2">
        <v>46279</v>
      </c>
      <c r="K590" s="3">
        <v>46279.5</v>
      </c>
      <c r="L590" s="1" t="s">
        <v>200</v>
      </c>
      <c r="M590" s="1" t="s">
        <v>40</v>
      </c>
      <c r="N590" s="1" t="s">
        <v>41</v>
      </c>
      <c r="O590" s="1" t="s">
        <v>42</v>
      </c>
      <c r="Q590" s="1" t="s">
        <v>42</v>
      </c>
      <c r="R590" s="1" t="s">
        <v>114</v>
      </c>
      <c r="S590" s="1" t="s">
        <v>115</v>
      </c>
      <c r="T590" s="4">
        <v>12.6</v>
      </c>
      <c r="U590" s="4">
        <v>12.6</v>
      </c>
      <c r="V590" s="4">
        <v>12.6</v>
      </c>
      <c r="Z590" s="1" t="s">
        <v>42</v>
      </c>
      <c r="AD590" s="1" t="s">
        <v>42</v>
      </c>
      <c r="AF590" s="1" t="s">
        <v>42</v>
      </c>
    </row>
    <row r="591" spans="1:32" x14ac:dyDescent="0.25">
      <c r="A591" s="1" t="s">
        <v>32</v>
      </c>
      <c r="B591" s="1" t="s">
        <v>33</v>
      </c>
      <c r="C591" s="1" t="s">
        <v>34</v>
      </c>
      <c r="D591" s="1" t="s">
        <v>42</v>
      </c>
      <c r="E591" s="1" t="s">
        <v>305</v>
      </c>
      <c r="F591" s="2">
        <v>46279</v>
      </c>
      <c r="G591" s="1" t="s">
        <v>306</v>
      </c>
      <c r="H591" s="3">
        <v>46279.5</v>
      </c>
      <c r="I591" s="1" t="s">
        <v>199</v>
      </c>
      <c r="J591" s="2">
        <v>46279</v>
      </c>
      <c r="K591" s="3">
        <v>46279.5</v>
      </c>
      <c r="L591" s="1" t="s">
        <v>200</v>
      </c>
      <c r="M591" s="1" t="s">
        <v>40</v>
      </c>
      <c r="N591" s="1" t="s">
        <v>41</v>
      </c>
      <c r="O591" s="1" t="s">
        <v>42</v>
      </c>
      <c r="Q591" s="1" t="s">
        <v>42</v>
      </c>
      <c r="R591" s="1" t="s">
        <v>116</v>
      </c>
      <c r="S591" s="1" t="s">
        <v>117</v>
      </c>
      <c r="T591" s="4">
        <v>405</v>
      </c>
      <c r="U591" s="4">
        <v>405</v>
      </c>
      <c r="V591" s="4">
        <v>405</v>
      </c>
      <c r="Z591" s="1" t="s">
        <v>42</v>
      </c>
      <c r="AD591" s="1" t="s">
        <v>42</v>
      </c>
      <c r="AF591" s="1" t="s">
        <v>42</v>
      </c>
    </row>
    <row r="592" spans="1:32" x14ac:dyDescent="0.25">
      <c r="A592" s="1" t="s">
        <v>32</v>
      </c>
      <c r="B592" s="1" t="s">
        <v>33</v>
      </c>
      <c r="C592" s="1" t="s">
        <v>34</v>
      </c>
      <c r="D592" s="1" t="s">
        <v>42</v>
      </c>
      <c r="E592" s="1" t="s">
        <v>305</v>
      </c>
      <c r="F592" s="2">
        <v>46279</v>
      </c>
      <c r="G592" s="1" t="s">
        <v>306</v>
      </c>
      <c r="H592" s="3">
        <v>46279.5</v>
      </c>
      <c r="I592" s="1" t="s">
        <v>199</v>
      </c>
      <c r="J592" s="2">
        <v>46279</v>
      </c>
      <c r="K592" s="3">
        <v>46279.5</v>
      </c>
      <c r="L592" s="1" t="s">
        <v>200</v>
      </c>
      <c r="M592" s="1" t="s">
        <v>40</v>
      </c>
      <c r="N592" s="1" t="s">
        <v>41</v>
      </c>
      <c r="O592" s="1" t="s">
        <v>42</v>
      </c>
      <c r="Q592" s="1" t="s">
        <v>42</v>
      </c>
      <c r="R592" s="1" t="s">
        <v>118</v>
      </c>
      <c r="S592" s="1" t="s">
        <v>119</v>
      </c>
      <c r="T592" s="4">
        <v>251.1</v>
      </c>
      <c r="W592" s="4">
        <v>-251.1</v>
      </c>
      <c r="X592" s="1" t="s">
        <v>67</v>
      </c>
      <c r="Y592" s="1" t="s">
        <v>68</v>
      </c>
      <c r="Z592" s="1" t="s">
        <v>42</v>
      </c>
      <c r="AD592" s="1" t="s">
        <v>42</v>
      </c>
      <c r="AF592" s="1" t="s">
        <v>42</v>
      </c>
    </row>
    <row r="593" spans="1:32" x14ac:dyDescent="0.25">
      <c r="A593" s="1" t="s">
        <v>32</v>
      </c>
      <c r="B593" s="1" t="s">
        <v>33</v>
      </c>
      <c r="C593" s="1" t="s">
        <v>34</v>
      </c>
      <c r="D593" s="1" t="s">
        <v>42</v>
      </c>
      <c r="E593" s="1" t="s">
        <v>305</v>
      </c>
      <c r="F593" s="2">
        <v>46279</v>
      </c>
      <c r="G593" s="1" t="s">
        <v>306</v>
      </c>
      <c r="H593" s="3">
        <v>46279.5</v>
      </c>
      <c r="I593" s="1" t="s">
        <v>199</v>
      </c>
      <c r="J593" s="2">
        <v>46279</v>
      </c>
      <c r="K593" s="3">
        <v>46279.5</v>
      </c>
      <c r="L593" s="1" t="s">
        <v>200</v>
      </c>
      <c r="M593" s="1" t="s">
        <v>40</v>
      </c>
      <c r="N593" s="1" t="s">
        <v>41</v>
      </c>
      <c r="O593" s="1" t="s">
        <v>42</v>
      </c>
      <c r="Q593" s="1" t="s">
        <v>42</v>
      </c>
      <c r="R593" s="1" t="s">
        <v>120</v>
      </c>
      <c r="S593" s="1" t="s">
        <v>121</v>
      </c>
      <c r="T593" s="4">
        <v>26.1</v>
      </c>
      <c r="U593" s="4">
        <v>26.1</v>
      </c>
      <c r="V593" s="4">
        <v>26.1</v>
      </c>
      <c r="Z593" s="1" t="s">
        <v>42</v>
      </c>
      <c r="AD593" s="1" t="s">
        <v>42</v>
      </c>
      <c r="AF593" s="1" t="s">
        <v>42</v>
      </c>
    </row>
    <row r="594" spans="1:32" x14ac:dyDescent="0.25">
      <c r="A594" s="1" t="s">
        <v>32</v>
      </c>
      <c r="B594" s="1" t="s">
        <v>33</v>
      </c>
      <c r="C594" s="1" t="s">
        <v>34</v>
      </c>
      <c r="D594" s="1" t="s">
        <v>42</v>
      </c>
      <c r="E594" s="1" t="s">
        <v>305</v>
      </c>
      <c r="F594" s="2">
        <v>46279</v>
      </c>
      <c r="G594" s="1" t="s">
        <v>306</v>
      </c>
      <c r="H594" s="3">
        <v>46279.5</v>
      </c>
      <c r="I594" s="1" t="s">
        <v>199</v>
      </c>
      <c r="J594" s="2">
        <v>46279</v>
      </c>
      <c r="K594" s="3">
        <v>46279.5</v>
      </c>
      <c r="L594" s="1" t="s">
        <v>200</v>
      </c>
      <c r="M594" s="1" t="s">
        <v>40</v>
      </c>
      <c r="N594" s="1" t="s">
        <v>41</v>
      </c>
      <c r="O594" s="1" t="s">
        <v>42</v>
      </c>
      <c r="Q594" s="1" t="s">
        <v>42</v>
      </c>
      <c r="R594" s="1" t="s">
        <v>212</v>
      </c>
      <c r="S594" s="1" t="s">
        <v>213</v>
      </c>
      <c r="T594" s="4">
        <v>261.60000000000002</v>
      </c>
      <c r="U594" s="4">
        <v>261.60000000000002</v>
      </c>
      <c r="V594" s="4">
        <v>261.60000000000002</v>
      </c>
      <c r="Z594" s="1" t="s">
        <v>42</v>
      </c>
      <c r="AD594" s="1" t="s">
        <v>42</v>
      </c>
      <c r="AF594" s="1" t="s">
        <v>42</v>
      </c>
    </row>
    <row r="595" spans="1:32" x14ac:dyDescent="0.25">
      <c r="A595" s="1" t="s">
        <v>32</v>
      </c>
      <c r="B595" s="1" t="s">
        <v>33</v>
      </c>
      <c r="C595" s="1" t="s">
        <v>34</v>
      </c>
      <c r="D595" s="1" t="s">
        <v>42</v>
      </c>
      <c r="E595" s="1" t="s">
        <v>305</v>
      </c>
      <c r="F595" s="2">
        <v>46279</v>
      </c>
      <c r="G595" s="1" t="s">
        <v>306</v>
      </c>
      <c r="H595" s="3">
        <v>46279.5</v>
      </c>
      <c r="I595" s="1" t="s">
        <v>199</v>
      </c>
      <c r="J595" s="2">
        <v>46279</v>
      </c>
      <c r="K595" s="3">
        <v>46279.5</v>
      </c>
      <c r="L595" s="1" t="s">
        <v>200</v>
      </c>
      <c r="M595" s="1" t="s">
        <v>40</v>
      </c>
      <c r="N595" s="1" t="s">
        <v>41</v>
      </c>
      <c r="O595" s="1" t="s">
        <v>42</v>
      </c>
      <c r="Q595" s="1" t="s">
        <v>42</v>
      </c>
      <c r="R595" s="1" t="s">
        <v>122</v>
      </c>
      <c r="S595" s="1" t="s">
        <v>123</v>
      </c>
      <c r="T595" s="4">
        <v>720</v>
      </c>
      <c r="U595" s="4">
        <v>720</v>
      </c>
      <c r="V595" s="4">
        <v>720</v>
      </c>
      <c r="Z595" s="1" t="s">
        <v>42</v>
      </c>
      <c r="AD595" s="1" t="s">
        <v>42</v>
      </c>
      <c r="AF595" s="1" t="s">
        <v>42</v>
      </c>
    </row>
    <row r="596" spans="1:32" x14ac:dyDescent="0.25">
      <c r="A596" s="1" t="s">
        <v>32</v>
      </c>
      <c r="B596" s="1" t="s">
        <v>33</v>
      </c>
      <c r="C596" s="1" t="s">
        <v>34</v>
      </c>
      <c r="D596" s="1" t="s">
        <v>42</v>
      </c>
      <c r="E596" s="1" t="s">
        <v>305</v>
      </c>
      <c r="F596" s="2">
        <v>46279</v>
      </c>
      <c r="G596" s="1" t="s">
        <v>306</v>
      </c>
      <c r="H596" s="3">
        <v>46279.5</v>
      </c>
      <c r="I596" s="1" t="s">
        <v>199</v>
      </c>
      <c r="J596" s="2">
        <v>46279</v>
      </c>
      <c r="K596" s="3">
        <v>46279.5</v>
      </c>
      <c r="L596" s="1" t="s">
        <v>200</v>
      </c>
      <c r="M596" s="1" t="s">
        <v>40</v>
      </c>
      <c r="N596" s="1" t="s">
        <v>41</v>
      </c>
      <c r="O596" s="1" t="s">
        <v>42</v>
      </c>
      <c r="Q596" s="1" t="s">
        <v>42</v>
      </c>
      <c r="R596" s="1" t="s">
        <v>124</v>
      </c>
      <c r="S596" s="1" t="s">
        <v>125</v>
      </c>
      <c r="T596" s="4">
        <v>223.2</v>
      </c>
      <c r="U596" s="4">
        <v>223.2</v>
      </c>
      <c r="V596" s="4">
        <v>223.2</v>
      </c>
      <c r="Z596" s="1" t="s">
        <v>42</v>
      </c>
      <c r="AD596" s="1" t="s">
        <v>42</v>
      </c>
      <c r="AF596" s="1" t="s">
        <v>42</v>
      </c>
    </row>
    <row r="597" spans="1:32" x14ac:dyDescent="0.25">
      <c r="A597" s="1" t="s">
        <v>32</v>
      </c>
      <c r="B597" s="1" t="s">
        <v>33</v>
      </c>
      <c r="C597" s="1" t="s">
        <v>34</v>
      </c>
      <c r="D597" s="1" t="s">
        <v>42</v>
      </c>
      <c r="E597" s="1" t="s">
        <v>305</v>
      </c>
      <c r="F597" s="2">
        <v>46279</v>
      </c>
      <c r="G597" s="1" t="s">
        <v>306</v>
      </c>
      <c r="H597" s="3">
        <v>46279.5</v>
      </c>
      <c r="I597" s="1" t="s">
        <v>199</v>
      </c>
      <c r="J597" s="2">
        <v>46279</v>
      </c>
      <c r="K597" s="3">
        <v>46279.5</v>
      </c>
      <c r="L597" s="1" t="s">
        <v>200</v>
      </c>
      <c r="M597" s="1" t="s">
        <v>40</v>
      </c>
      <c r="N597" s="1" t="s">
        <v>41</v>
      </c>
      <c r="O597" s="1" t="s">
        <v>42</v>
      </c>
      <c r="Q597" s="1" t="s">
        <v>42</v>
      </c>
      <c r="R597" s="1" t="s">
        <v>126</v>
      </c>
      <c r="S597" s="1" t="s">
        <v>127</v>
      </c>
      <c r="T597" s="4">
        <v>160.80000000000001</v>
      </c>
      <c r="U597" s="4">
        <v>160.80000000000001</v>
      </c>
      <c r="V597" s="4">
        <v>160.80000000000001</v>
      </c>
      <c r="Z597" s="1" t="s">
        <v>42</v>
      </c>
      <c r="AD597" s="1" t="s">
        <v>42</v>
      </c>
      <c r="AF597" s="1" t="s">
        <v>42</v>
      </c>
    </row>
    <row r="598" spans="1:32" x14ac:dyDescent="0.25">
      <c r="A598" s="1" t="s">
        <v>32</v>
      </c>
      <c r="B598" s="1" t="s">
        <v>33</v>
      </c>
      <c r="C598" s="1" t="s">
        <v>34</v>
      </c>
      <c r="D598" s="1" t="s">
        <v>42</v>
      </c>
      <c r="E598" s="1" t="s">
        <v>305</v>
      </c>
      <c r="F598" s="2">
        <v>46279</v>
      </c>
      <c r="G598" s="1" t="s">
        <v>306</v>
      </c>
      <c r="H598" s="3">
        <v>46279.5</v>
      </c>
      <c r="I598" s="1" t="s">
        <v>199</v>
      </c>
      <c r="J598" s="2">
        <v>46279</v>
      </c>
      <c r="K598" s="3">
        <v>46279.5</v>
      </c>
      <c r="L598" s="1" t="s">
        <v>200</v>
      </c>
      <c r="M598" s="1" t="s">
        <v>40</v>
      </c>
      <c r="N598" s="1" t="s">
        <v>41</v>
      </c>
      <c r="O598" s="1" t="s">
        <v>42</v>
      </c>
      <c r="Q598" s="1" t="s">
        <v>42</v>
      </c>
      <c r="R598" s="1" t="s">
        <v>128</v>
      </c>
      <c r="S598" s="1" t="s">
        <v>129</v>
      </c>
      <c r="T598" s="4">
        <v>72</v>
      </c>
      <c r="U598" s="4">
        <v>72</v>
      </c>
      <c r="V598" s="4">
        <v>72</v>
      </c>
      <c r="Z598" s="1" t="s">
        <v>42</v>
      </c>
      <c r="AD598" s="1" t="s">
        <v>42</v>
      </c>
      <c r="AF598" s="1" t="s">
        <v>42</v>
      </c>
    </row>
    <row r="599" spans="1:32" x14ac:dyDescent="0.25">
      <c r="A599" s="1" t="s">
        <v>32</v>
      </c>
      <c r="B599" s="1" t="s">
        <v>33</v>
      </c>
      <c r="C599" s="1" t="s">
        <v>34</v>
      </c>
      <c r="D599" s="1" t="s">
        <v>42</v>
      </c>
      <c r="E599" s="1" t="s">
        <v>305</v>
      </c>
      <c r="F599" s="2">
        <v>46279</v>
      </c>
      <c r="G599" s="1" t="s">
        <v>306</v>
      </c>
      <c r="H599" s="3">
        <v>46279.5</v>
      </c>
      <c r="I599" s="1" t="s">
        <v>199</v>
      </c>
      <c r="J599" s="2">
        <v>46279</v>
      </c>
      <c r="K599" s="3">
        <v>46279.5</v>
      </c>
      <c r="L599" s="1" t="s">
        <v>200</v>
      </c>
      <c r="M599" s="1" t="s">
        <v>40</v>
      </c>
      <c r="N599" s="1" t="s">
        <v>41</v>
      </c>
      <c r="O599" s="1" t="s">
        <v>42</v>
      </c>
      <c r="Q599" s="1" t="s">
        <v>42</v>
      </c>
      <c r="R599" s="1" t="s">
        <v>132</v>
      </c>
      <c r="S599" s="1" t="s">
        <v>133</v>
      </c>
      <c r="T599" s="4">
        <v>21.6</v>
      </c>
      <c r="U599" s="4">
        <v>21.6</v>
      </c>
      <c r="V599" s="4">
        <v>21.6</v>
      </c>
      <c r="Z599" s="1" t="s">
        <v>42</v>
      </c>
      <c r="AD599" s="1" t="s">
        <v>42</v>
      </c>
      <c r="AF599" s="1" t="s">
        <v>42</v>
      </c>
    </row>
    <row r="600" spans="1:32" x14ac:dyDescent="0.25">
      <c r="A600" s="1" t="s">
        <v>32</v>
      </c>
      <c r="B600" s="1" t="s">
        <v>33</v>
      </c>
      <c r="C600" s="1" t="s">
        <v>34</v>
      </c>
      <c r="D600" s="1" t="s">
        <v>42</v>
      </c>
      <c r="E600" s="1" t="s">
        <v>305</v>
      </c>
      <c r="F600" s="2">
        <v>46279</v>
      </c>
      <c r="G600" s="1" t="s">
        <v>306</v>
      </c>
      <c r="H600" s="3">
        <v>46279.5</v>
      </c>
      <c r="I600" s="1" t="s">
        <v>199</v>
      </c>
      <c r="J600" s="2">
        <v>46279</v>
      </c>
      <c r="K600" s="3">
        <v>46279.5</v>
      </c>
      <c r="L600" s="1" t="s">
        <v>200</v>
      </c>
      <c r="M600" s="1" t="s">
        <v>40</v>
      </c>
      <c r="N600" s="1" t="s">
        <v>41</v>
      </c>
      <c r="O600" s="1" t="s">
        <v>42</v>
      </c>
      <c r="Q600" s="1" t="s">
        <v>42</v>
      </c>
      <c r="R600" s="1" t="s">
        <v>313</v>
      </c>
      <c r="S600" s="1" t="s">
        <v>314</v>
      </c>
      <c r="T600" s="4">
        <v>8</v>
      </c>
      <c r="U600" s="4">
        <v>8</v>
      </c>
      <c r="V600" s="4">
        <v>8</v>
      </c>
      <c r="Z600" s="1" t="s">
        <v>42</v>
      </c>
      <c r="AD600" s="1" t="s">
        <v>42</v>
      </c>
      <c r="AF600" s="1" t="s">
        <v>42</v>
      </c>
    </row>
    <row r="601" spans="1:32" x14ac:dyDescent="0.25">
      <c r="A601" s="1" t="s">
        <v>32</v>
      </c>
      <c r="B601" s="1" t="s">
        <v>33</v>
      </c>
      <c r="C601" s="1" t="s">
        <v>34</v>
      </c>
      <c r="D601" s="1" t="s">
        <v>42</v>
      </c>
      <c r="E601" s="1" t="s">
        <v>305</v>
      </c>
      <c r="F601" s="2">
        <v>46279</v>
      </c>
      <c r="G601" s="1" t="s">
        <v>306</v>
      </c>
      <c r="H601" s="3">
        <v>46279.5</v>
      </c>
      <c r="I601" s="1" t="s">
        <v>199</v>
      </c>
      <c r="J601" s="2">
        <v>46279</v>
      </c>
      <c r="K601" s="3">
        <v>46279.5</v>
      </c>
      <c r="L601" s="1" t="s">
        <v>200</v>
      </c>
      <c r="M601" s="1" t="s">
        <v>40</v>
      </c>
      <c r="N601" s="1" t="s">
        <v>41</v>
      </c>
      <c r="O601" s="1" t="s">
        <v>42</v>
      </c>
      <c r="Q601" s="1" t="s">
        <v>42</v>
      </c>
      <c r="R601" s="1" t="s">
        <v>137</v>
      </c>
      <c r="S601" s="1" t="s">
        <v>138</v>
      </c>
      <c r="T601" s="4">
        <v>5.4</v>
      </c>
      <c r="U601" s="4">
        <v>5.4</v>
      </c>
      <c r="V601" s="4">
        <v>5.4</v>
      </c>
      <c r="Z601" s="1" t="s">
        <v>42</v>
      </c>
      <c r="AD601" s="1" t="s">
        <v>42</v>
      </c>
      <c r="AF601" s="1" t="s">
        <v>42</v>
      </c>
    </row>
    <row r="602" spans="1:32" x14ac:dyDescent="0.25">
      <c r="A602" s="1" t="s">
        <v>32</v>
      </c>
      <c r="B602" s="1" t="s">
        <v>33</v>
      </c>
      <c r="C602" s="1" t="s">
        <v>34</v>
      </c>
      <c r="D602" s="1" t="s">
        <v>42</v>
      </c>
      <c r="E602" s="1" t="s">
        <v>305</v>
      </c>
      <c r="F602" s="2">
        <v>46279</v>
      </c>
      <c r="G602" s="1" t="s">
        <v>306</v>
      </c>
      <c r="H602" s="3">
        <v>46279.5</v>
      </c>
      <c r="I602" s="1" t="s">
        <v>199</v>
      </c>
      <c r="J602" s="2">
        <v>46279</v>
      </c>
      <c r="K602" s="3">
        <v>46279.5</v>
      </c>
      <c r="L602" s="1" t="s">
        <v>200</v>
      </c>
      <c r="M602" s="1" t="s">
        <v>40</v>
      </c>
      <c r="N602" s="1" t="s">
        <v>41</v>
      </c>
      <c r="O602" s="1" t="s">
        <v>42</v>
      </c>
      <c r="Q602" s="1" t="s">
        <v>42</v>
      </c>
      <c r="R602" s="1" t="s">
        <v>139</v>
      </c>
      <c r="S602" s="1" t="s">
        <v>140</v>
      </c>
      <c r="T602" s="4">
        <v>100.8</v>
      </c>
      <c r="U602" s="4">
        <v>100.8</v>
      </c>
      <c r="V602" s="4">
        <v>100.8</v>
      </c>
      <c r="Z602" s="1" t="s">
        <v>42</v>
      </c>
      <c r="AD602" s="1" t="s">
        <v>42</v>
      </c>
      <c r="AF602" s="1" t="s">
        <v>42</v>
      </c>
    </row>
    <row r="603" spans="1:32" x14ac:dyDescent="0.25">
      <c r="A603" s="1" t="s">
        <v>32</v>
      </c>
      <c r="B603" s="1" t="s">
        <v>33</v>
      </c>
      <c r="C603" s="1" t="s">
        <v>34</v>
      </c>
      <c r="D603" s="1" t="s">
        <v>42</v>
      </c>
      <c r="E603" s="1" t="s">
        <v>305</v>
      </c>
      <c r="F603" s="2">
        <v>46279</v>
      </c>
      <c r="G603" s="1" t="s">
        <v>306</v>
      </c>
      <c r="H603" s="3">
        <v>46279.5</v>
      </c>
      <c r="I603" s="1" t="s">
        <v>199</v>
      </c>
      <c r="J603" s="2">
        <v>46279</v>
      </c>
      <c r="K603" s="3">
        <v>46279.5</v>
      </c>
      <c r="L603" s="1" t="s">
        <v>200</v>
      </c>
      <c r="M603" s="1" t="s">
        <v>40</v>
      </c>
      <c r="N603" s="1" t="s">
        <v>41</v>
      </c>
      <c r="O603" s="1" t="s">
        <v>42</v>
      </c>
      <c r="Q603" s="1" t="s">
        <v>42</v>
      </c>
      <c r="R603" s="1" t="s">
        <v>214</v>
      </c>
      <c r="S603" s="1" t="s">
        <v>215</v>
      </c>
      <c r="T603" s="4">
        <v>40.799999999999997</v>
      </c>
      <c r="U603" s="4">
        <v>40.799999999999997</v>
      </c>
      <c r="V603" s="4">
        <v>40.799999999999997</v>
      </c>
      <c r="Z603" s="1" t="s">
        <v>42</v>
      </c>
      <c r="AD603" s="1" t="s">
        <v>42</v>
      </c>
      <c r="AF603" s="1" t="s">
        <v>42</v>
      </c>
    </row>
    <row r="604" spans="1:32" x14ac:dyDescent="0.25">
      <c r="A604" s="1" t="s">
        <v>32</v>
      </c>
      <c r="B604" s="1" t="s">
        <v>33</v>
      </c>
      <c r="C604" s="1" t="s">
        <v>34</v>
      </c>
      <c r="D604" s="1" t="s">
        <v>42</v>
      </c>
      <c r="E604" s="1" t="s">
        <v>305</v>
      </c>
      <c r="F604" s="2">
        <v>46279</v>
      </c>
      <c r="G604" s="1" t="s">
        <v>306</v>
      </c>
      <c r="H604" s="3">
        <v>46279.5</v>
      </c>
      <c r="I604" s="1" t="s">
        <v>199</v>
      </c>
      <c r="J604" s="2">
        <v>46279</v>
      </c>
      <c r="K604" s="3">
        <v>46279.5</v>
      </c>
      <c r="L604" s="1" t="s">
        <v>200</v>
      </c>
      <c r="M604" s="1" t="s">
        <v>40</v>
      </c>
      <c r="N604" s="1" t="s">
        <v>41</v>
      </c>
      <c r="O604" s="1" t="s">
        <v>42</v>
      </c>
      <c r="Q604" s="1" t="s">
        <v>42</v>
      </c>
      <c r="R604" s="1" t="s">
        <v>141</v>
      </c>
      <c r="S604" s="1" t="s">
        <v>142</v>
      </c>
      <c r="T604" s="4">
        <v>140.4</v>
      </c>
      <c r="U604" s="4">
        <v>140.4</v>
      </c>
      <c r="V604" s="4">
        <v>140.4</v>
      </c>
      <c r="Z604" s="1" t="s">
        <v>42</v>
      </c>
      <c r="AD604" s="1" t="s">
        <v>42</v>
      </c>
      <c r="AF604" s="1" t="s">
        <v>42</v>
      </c>
    </row>
    <row r="605" spans="1:32" x14ac:dyDescent="0.25">
      <c r="A605" s="1" t="s">
        <v>32</v>
      </c>
      <c r="B605" s="1" t="s">
        <v>33</v>
      </c>
      <c r="C605" s="1" t="s">
        <v>34</v>
      </c>
      <c r="D605" s="1" t="s">
        <v>42</v>
      </c>
      <c r="E605" s="1" t="s">
        <v>305</v>
      </c>
      <c r="F605" s="2">
        <v>46279</v>
      </c>
      <c r="G605" s="1" t="s">
        <v>306</v>
      </c>
      <c r="H605" s="3">
        <v>46279.5</v>
      </c>
      <c r="I605" s="1" t="s">
        <v>199</v>
      </c>
      <c r="J605" s="2">
        <v>46279</v>
      </c>
      <c r="K605" s="3">
        <v>46279.5</v>
      </c>
      <c r="L605" s="1" t="s">
        <v>200</v>
      </c>
      <c r="M605" s="1" t="s">
        <v>40</v>
      </c>
      <c r="N605" s="1" t="s">
        <v>41</v>
      </c>
      <c r="O605" s="1" t="s">
        <v>42</v>
      </c>
      <c r="Q605" s="1" t="s">
        <v>42</v>
      </c>
      <c r="R605" s="1" t="s">
        <v>216</v>
      </c>
      <c r="S605" s="1" t="s">
        <v>217</v>
      </c>
      <c r="T605" s="4">
        <v>179.4</v>
      </c>
      <c r="U605" s="4">
        <v>179.4</v>
      </c>
      <c r="V605" s="4">
        <v>179.4</v>
      </c>
      <c r="Z605" s="1" t="s">
        <v>42</v>
      </c>
      <c r="AD605" s="1" t="s">
        <v>42</v>
      </c>
      <c r="AF605" s="1" t="s">
        <v>42</v>
      </c>
    </row>
    <row r="606" spans="1:32" x14ac:dyDescent="0.25">
      <c r="A606" s="1" t="s">
        <v>32</v>
      </c>
      <c r="B606" s="1" t="s">
        <v>33</v>
      </c>
      <c r="C606" s="1" t="s">
        <v>34</v>
      </c>
      <c r="D606" s="1" t="s">
        <v>42</v>
      </c>
      <c r="E606" s="1" t="s">
        <v>305</v>
      </c>
      <c r="F606" s="2">
        <v>46279</v>
      </c>
      <c r="G606" s="1" t="s">
        <v>306</v>
      </c>
      <c r="H606" s="3">
        <v>46279.5</v>
      </c>
      <c r="I606" s="1" t="s">
        <v>199</v>
      </c>
      <c r="J606" s="2">
        <v>46279</v>
      </c>
      <c r="K606" s="3">
        <v>46279.5</v>
      </c>
      <c r="L606" s="1" t="s">
        <v>200</v>
      </c>
      <c r="M606" s="1" t="s">
        <v>40</v>
      </c>
      <c r="N606" s="1" t="s">
        <v>41</v>
      </c>
      <c r="O606" s="1" t="s">
        <v>42</v>
      </c>
      <c r="Q606" s="1" t="s">
        <v>42</v>
      </c>
      <c r="R606" s="1" t="s">
        <v>143</v>
      </c>
      <c r="S606" s="1" t="s">
        <v>144</v>
      </c>
      <c r="T606" s="4">
        <v>109.2</v>
      </c>
      <c r="U606" s="4">
        <v>109.2</v>
      </c>
      <c r="V606" s="4">
        <v>109.2</v>
      </c>
      <c r="Z606" s="1" t="s">
        <v>42</v>
      </c>
      <c r="AD606" s="1" t="s">
        <v>42</v>
      </c>
      <c r="AF606" s="1" t="s">
        <v>42</v>
      </c>
    </row>
    <row r="607" spans="1:32" x14ac:dyDescent="0.25">
      <c r="A607" s="1" t="s">
        <v>32</v>
      </c>
      <c r="B607" s="1" t="s">
        <v>33</v>
      </c>
      <c r="C607" s="1" t="s">
        <v>34</v>
      </c>
      <c r="D607" s="1" t="s">
        <v>42</v>
      </c>
      <c r="E607" s="1" t="s">
        <v>305</v>
      </c>
      <c r="F607" s="2">
        <v>46279</v>
      </c>
      <c r="G607" s="1" t="s">
        <v>306</v>
      </c>
      <c r="H607" s="3">
        <v>46279.5</v>
      </c>
      <c r="I607" s="1" t="s">
        <v>199</v>
      </c>
      <c r="J607" s="2">
        <v>46279</v>
      </c>
      <c r="K607" s="3">
        <v>46279.5</v>
      </c>
      <c r="L607" s="1" t="s">
        <v>200</v>
      </c>
      <c r="M607" s="1" t="s">
        <v>40</v>
      </c>
      <c r="N607" s="1" t="s">
        <v>41</v>
      </c>
      <c r="O607" s="1" t="s">
        <v>42</v>
      </c>
      <c r="Q607" s="1" t="s">
        <v>42</v>
      </c>
      <c r="R607" s="1" t="s">
        <v>297</v>
      </c>
      <c r="S607" s="1" t="s">
        <v>298</v>
      </c>
      <c r="T607" s="4">
        <v>121.8</v>
      </c>
      <c r="U607" s="4">
        <v>121.8</v>
      </c>
      <c r="V607" s="4">
        <v>121.8</v>
      </c>
      <c r="Z607" s="1" t="s">
        <v>42</v>
      </c>
      <c r="AD607" s="1" t="s">
        <v>42</v>
      </c>
      <c r="AF607" s="1" t="s">
        <v>42</v>
      </c>
    </row>
    <row r="608" spans="1:32" x14ac:dyDescent="0.25">
      <c r="A608" s="1" t="s">
        <v>32</v>
      </c>
      <c r="B608" s="1" t="s">
        <v>33</v>
      </c>
      <c r="C608" s="1" t="s">
        <v>34</v>
      </c>
      <c r="D608" s="1" t="s">
        <v>42</v>
      </c>
      <c r="E608" s="1" t="s">
        <v>305</v>
      </c>
      <c r="F608" s="2">
        <v>46279</v>
      </c>
      <c r="G608" s="1" t="s">
        <v>306</v>
      </c>
      <c r="H608" s="3">
        <v>46279.5</v>
      </c>
      <c r="I608" s="1" t="s">
        <v>199</v>
      </c>
      <c r="J608" s="2">
        <v>46279</v>
      </c>
      <c r="K608" s="3">
        <v>46279.5</v>
      </c>
      <c r="L608" s="1" t="s">
        <v>200</v>
      </c>
      <c r="M608" s="1" t="s">
        <v>40</v>
      </c>
      <c r="N608" s="1" t="s">
        <v>41</v>
      </c>
      <c r="O608" s="1" t="s">
        <v>42</v>
      </c>
      <c r="Q608" s="1" t="s">
        <v>42</v>
      </c>
      <c r="R608" s="1" t="s">
        <v>145</v>
      </c>
      <c r="S608" s="1" t="s">
        <v>146</v>
      </c>
      <c r="T608" s="4">
        <v>30.6</v>
      </c>
      <c r="U608" s="4">
        <v>30.6</v>
      </c>
      <c r="V608" s="4">
        <v>30.6</v>
      </c>
      <c r="Z608" s="1" t="s">
        <v>42</v>
      </c>
      <c r="AD608" s="1" t="s">
        <v>42</v>
      </c>
      <c r="AF608" s="1" t="s">
        <v>42</v>
      </c>
    </row>
    <row r="609" spans="1:32" x14ac:dyDescent="0.25">
      <c r="A609" s="1" t="s">
        <v>32</v>
      </c>
      <c r="B609" s="1" t="s">
        <v>33</v>
      </c>
      <c r="C609" s="1" t="s">
        <v>34</v>
      </c>
      <c r="D609" s="1" t="s">
        <v>42</v>
      </c>
      <c r="E609" s="1" t="s">
        <v>305</v>
      </c>
      <c r="F609" s="2">
        <v>46279</v>
      </c>
      <c r="G609" s="1" t="s">
        <v>306</v>
      </c>
      <c r="H609" s="3">
        <v>46279.5</v>
      </c>
      <c r="I609" s="1" t="s">
        <v>199</v>
      </c>
      <c r="J609" s="2">
        <v>46279</v>
      </c>
      <c r="K609" s="3">
        <v>46279.5</v>
      </c>
      <c r="L609" s="1" t="s">
        <v>200</v>
      </c>
      <c r="M609" s="1" t="s">
        <v>40</v>
      </c>
      <c r="N609" s="1" t="s">
        <v>41</v>
      </c>
      <c r="O609" s="1" t="s">
        <v>42</v>
      </c>
      <c r="Q609" s="1" t="s">
        <v>42</v>
      </c>
      <c r="R609" s="1" t="s">
        <v>218</v>
      </c>
      <c r="S609" s="1" t="s">
        <v>219</v>
      </c>
      <c r="T609" s="4">
        <v>100.8</v>
      </c>
      <c r="U609" s="4">
        <v>100.8</v>
      </c>
      <c r="V609" s="4">
        <v>100.8</v>
      </c>
      <c r="Z609" s="1" t="s">
        <v>42</v>
      </c>
      <c r="AD609" s="1" t="s">
        <v>42</v>
      </c>
      <c r="AF609" s="1" t="s">
        <v>42</v>
      </c>
    </row>
    <row r="610" spans="1:32" x14ac:dyDescent="0.25">
      <c r="A610" s="1" t="s">
        <v>32</v>
      </c>
      <c r="B610" s="1" t="s">
        <v>33</v>
      </c>
      <c r="C610" s="1" t="s">
        <v>34</v>
      </c>
      <c r="D610" s="1" t="s">
        <v>42</v>
      </c>
      <c r="E610" s="1" t="s">
        <v>305</v>
      </c>
      <c r="F610" s="2">
        <v>46279</v>
      </c>
      <c r="G610" s="1" t="s">
        <v>306</v>
      </c>
      <c r="H610" s="3">
        <v>46279.5</v>
      </c>
      <c r="I610" s="1" t="s">
        <v>199</v>
      </c>
      <c r="J610" s="2">
        <v>46279</v>
      </c>
      <c r="K610" s="3">
        <v>46279.5</v>
      </c>
      <c r="L610" s="1" t="s">
        <v>200</v>
      </c>
      <c r="M610" s="1" t="s">
        <v>40</v>
      </c>
      <c r="N610" s="1" t="s">
        <v>41</v>
      </c>
      <c r="O610" s="1" t="s">
        <v>42</v>
      </c>
      <c r="Q610" s="1" t="s">
        <v>42</v>
      </c>
      <c r="R610" s="1" t="s">
        <v>147</v>
      </c>
      <c r="S610" s="1" t="s">
        <v>148</v>
      </c>
      <c r="T610" s="4">
        <v>686.4</v>
      </c>
      <c r="U610" s="4">
        <v>686.4</v>
      </c>
      <c r="V610" s="4">
        <v>686.4</v>
      </c>
      <c r="Z610" s="1" t="s">
        <v>42</v>
      </c>
      <c r="AD610" s="1" t="s">
        <v>42</v>
      </c>
      <c r="AF610" s="1" t="s">
        <v>42</v>
      </c>
    </row>
    <row r="611" spans="1:32" x14ac:dyDescent="0.25">
      <c r="A611" s="1" t="s">
        <v>32</v>
      </c>
      <c r="B611" s="1" t="s">
        <v>33</v>
      </c>
      <c r="C611" s="1" t="s">
        <v>34</v>
      </c>
      <c r="D611" s="1" t="s">
        <v>42</v>
      </c>
      <c r="E611" s="1" t="s">
        <v>305</v>
      </c>
      <c r="F611" s="2">
        <v>46279</v>
      </c>
      <c r="G611" s="1" t="s">
        <v>306</v>
      </c>
      <c r="H611" s="3">
        <v>46279.5</v>
      </c>
      <c r="I611" s="1" t="s">
        <v>199</v>
      </c>
      <c r="J611" s="2">
        <v>46279</v>
      </c>
      <c r="K611" s="3">
        <v>46279.5</v>
      </c>
      <c r="L611" s="1" t="s">
        <v>200</v>
      </c>
      <c r="M611" s="1" t="s">
        <v>40</v>
      </c>
      <c r="N611" s="1" t="s">
        <v>41</v>
      </c>
      <c r="O611" s="1" t="s">
        <v>42</v>
      </c>
      <c r="Q611" s="1" t="s">
        <v>42</v>
      </c>
      <c r="R611" s="1" t="s">
        <v>149</v>
      </c>
      <c r="S611" s="1" t="s">
        <v>150</v>
      </c>
      <c r="T611" s="4">
        <v>109.2</v>
      </c>
      <c r="U611" s="4">
        <v>109.2</v>
      </c>
      <c r="V611" s="4">
        <v>109.2</v>
      </c>
      <c r="Z611" s="1" t="s">
        <v>42</v>
      </c>
      <c r="AD611" s="1" t="s">
        <v>42</v>
      </c>
      <c r="AF611" s="1" t="s">
        <v>42</v>
      </c>
    </row>
    <row r="612" spans="1:32" x14ac:dyDescent="0.25">
      <c r="A612" s="1" t="s">
        <v>32</v>
      </c>
      <c r="B612" s="1" t="s">
        <v>33</v>
      </c>
      <c r="C612" s="1" t="s">
        <v>34</v>
      </c>
      <c r="D612" s="1" t="s">
        <v>42</v>
      </c>
      <c r="E612" s="1" t="s">
        <v>305</v>
      </c>
      <c r="F612" s="2">
        <v>46279</v>
      </c>
      <c r="G612" s="1" t="s">
        <v>306</v>
      </c>
      <c r="H612" s="3">
        <v>46279.5</v>
      </c>
      <c r="I612" s="1" t="s">
        <v>199</v>
      </c>
      <c r="J612" s="2">
        <v>46279</v>
      </c>
      <c r="K612" s="3">
        <v>46279.5</v>
      </c>
      <c r="L612" s="1" t="s">
        <v>200</v>
      </c>
      <c r="M612" s="1" t="s">
        <v>40</v>
      </c>
      <c r="N612" s="1" t="s">
        <v>41</v>
      </c>
      <c r="O612" s="1" t="s">
        <v>42</v>
      </c>
      <c r="Q612" s="1" t="s">
        <v>42</v>
      </c>
      <c r="R612" s="1" t="s">
        <v>248</v>
      </c>
      <c r="S612" s="1" t="s">
        <v>249</v>
      </c>
      <c r="T612" s="4">
        <v>17.850000000000001</v>
      </c>
      <c r="U612" s="4">
        <v>17.850000000000001</v>
      </c>
      <c r="V612" s="4">
        <v>17.850000000000001</v>
      </c>
      <c r="Z612" s="1" t="s">
        <v>42</v>
      </c>
      <c r="AD612" s="1" t="s">
        <v>42</v>
      </c>
      <c r="AF612" s="1" t="s">
        <v>42</v>
      </c>
    </row>
    <row r="613" spans="1:32" x14ac:dyDescent="0.25">
      <c r="A613" s="1" t="s">
        <v>32</v>
      </c>
      <c r="B613" s="1" t="s">
        <v>33</v>
      </c>
      <c r="C613" s="1" t="s">
        <v>34</v>
      </c>
      <c r="D613" s="1" t="s">
        <v>42</v>
      </c>
      <c r="E613" s="1" t="s">
        <v>305</v>
      </c>
      <c r="F613" s="2">
        <v>46279</v>
      </c>
      <c r="G613" s="1" t="s">
        <v>306</v>
      </c>
      <c r="H613" s="3">
        <v>46279.5</v>
      </c>
      <c r="I613" s="1" t="s">
        <v>199</v>
      </c>
      <c r="J613" s="2">
        <v>46279</v>
      </c>
      <c r="K613" s="3">
        <v>46279.5</v>
      </c>
      <c r="L613" s="1" t="s">
        <v>200</v>
      </c>
      <c r="M613" s="1" t="s">
        <v>40</v>
      </c>
      <c r="N613" s="1" t="s">
        <v>41</v>
      </c>
      <c r="O613" s="1" t="s">
        <v>42</v>
      </c>
      <c r="Q613" s="1" t="s">
        <v>42</v>
      </c>
      <c r="R613" s="1" t="s">
        <v>260</v>
      </c>
      <c r="S613" s="1" t="s">
        <v>261</v>
      </c>
      <c r="T613" s="4">
        <v>10.199999999999999</v>
      </c>
      <c r="U613" s="4">
        <v>10.199999999999999</v>
      </c>
      <c r="V613" s="4">
        <v>10.199999999999999</v>
      </c>
      <c r="Z613" s="1" t="s">
        <v>42</v>
      </c>
      <c r="AD613" s="1" t="s">
        <v>42</v>
      </c>
      <c r="AF613" s="1" t="s">
        <v>42</v>
      </c>
    </row>
    <row r="614" spans="1:32" x14ac:dyDescent="0.25">
      <c r="A614" s="1" t="s">
        <v>32</v>
      </c>
      <c r="B614" s="1" t="s">
        <v>33</v>
      </c>
      <c r="C614" s="1" t="s">
        <v>34</v>
      </c>
      <c r="D614" s="1" t="s">
        <v>42</v>
      </c>
      <c r="E614" s="1" t="s">
        <v>305</v>
      </c>
      <c r="F614" s="2">
        <v>46279</v>
      </c>
      <c r="G614" s="1" t="s">
        <v>306</v>
      </c>
      <c r="H614" s="3">
        <v>46279.5</v>
      </c>
      <c r="I614" s="1" t="s">
        <v>199</v>
      </c>
      <c r="J614" s="2">
        <v>46279</v>
      </c>
      <c r="K614" s="3">
        <v>46279.5</v>
      </c>
      <c r="L614" s="1" t="s">
        <v>200</v>
      </c>
      <c r="M614" s="1" t="s">
        <v>40</v>
      </c>
      <c r="N614" s="1" t="s">
        <v>41</v>
      </c>
      <c r="O614" s="1" t="s">
        <v>42</v>
      </c>
      <c r="Q614" s="1" t="s">
        <v>42</v>
      </c>
      <c r="R614" s="1" t="s">
        <v>250</v>
      </c>
      <c r="S614" s="1" t="s">
        <v>251</v>
      </c>
      <c r="T614" s="4">
        <v>16</v>
      </c>
      <c r="U614" s="4">
        <v>16</v>
      </c>
      <c r="V614" s="4">
        <v>16</v>
      </c>
      <c r="Z614" s="1" t="s">
        <v>42</v>
      </c>
      <c r="AD614" s="1" t="s">
        <v>42</v>
      </c>
      <c r="AF614" s="1" t="s">
        <v>42</v>
      </c>
    </row>
    <row r="615" spans="1:32" x14ac:dyDescent="0.25">
      <c r="A615" s="1" t="s">
        <v>32</v>
      </c>
      <c r="B615" s="1" t="s">
        <v>33</v>
      </c>
      <c r="C615" s="1" t="s">
        <v>34</v>
      </c>
      <c r="D615" s="1" t="s">
        <v>42</v>
      </c>
      <c r="E615" s="1" t="s">
        <v>305</v>
      </c>
      <c r="F615" s="2">
        <v>46279</v>
      </c>
      <c r="G615" s="1" t="s">
        <v>306</v>
      </c>
      <c r="H615" s="3">
        <v>46279.5</v>
      </c>
      <c r="I615" s="1" t="s">
        <v>199</v>
      </c>
      <c r="J615" s="2">
        <v>46279</v>
      </c>
      <c r="K615" s="3">
        <v>46279.5</v>
      </c>
      <c r="L615" s="1" t="s">
        <v>200</v>
      </c>
      <c r="M615" s="1" t="s">
        <v>40</v>
      </c>
      <c r="N615" s="1" t="s">
        <v>41</v>
      </c>
      <c r="O615" s="1" t="s">
        <v>42</v>
      </c>
      <c r="Q615" s="1" t="s">
        <v>42</v>
      </c>
      <c r="R615" s="1" t="s">
        <v>151</v>
      </c>
      <c r="S615" s="1" t="s">
        <v>152</v>
      </c>
      <c r="T615" s="4">
        <v>16</v>
      </c>
      <c r="U615" s="4">
        <v>16</v>
      </c>
      <c r="V615" s="4">
        <v>16</v>
      </c>
      <c r="Z615" s="1" t="s">
        <v>42</v>
      </c>
      <c r="AD615" s="1" t="s">
        <v>42</v>
      </c>
      <c r="AF615" s="1" t="s">
        <v>42</v>
      </c>
    </row>
    <row r="616" spans="1:32" x14ac:dyDescent="0.25">
      <c r="A616" s="1" t="s">
        <v>32</v>
      </c>
      <c r="B616" s="1" t="s">
        <v>33</v>
      </c>
      <c r="C616" s="1" t="s">
        <v>34</v>
      </c>
      <c r="D616" s="1" t="s">
        <v>42</v>
      </c>
      <c r="E616" s="1" t="s">
        <v>305</v>
      </c>
      <c r="F616" s="2">
        <v>46279</v>
      </c>
      <c r="G616" s="1" t="s">
        <v>306</v>
      </c>
      <c r="H616" s="3">
        <v>46279.5</v>
      </c>
      <c r="I616" s="1" t="s">
        <v>199</v>
      </c>
      <c r="J616" s="2">
        <v>46279</v>
      </c>
      <c r="K616" s="3">
        <v>46279.5</v>
      </c>
      <c r="L616" s="1" t="s">
        <v>200</v>
      </c>
      <c r="M616" s="1" t="s">
        <v>40</v>
      </c>
      <c r="N616" s="1" t="s">
        <v>41</v>
      </c>
      <c r="O616" s="1" t="s">
        <v>42</v>
      </c>
      <c r="Q616" s="1" t="s">
        <v>42</v>
      </c>
      <c r="R616" s="1" t="s">
        <v>153</v>
      </c>
      <c r="S616" s="1" t="s">
        <v>154</v>
      </c>
      <c r="T616" s="4">
        <v>12</v>
      </c>
      <c r="U616" s="4">
        <v>12</v>
      </c>
      <c r="V616" s="4">
        <v>12</v>
      </c>
      <c r="Z616" s="1" t="s">
        <v>42</v>
      </c>
      <c r="AD616" s="1" t="s">
        <v>42</v>
      </c>
      <c r="AF616" s="1" t="s">
        <v>42</v>
      </c>
    </row>
    <row r="617" spans="1:32" x14ac:dyDescent="0.25">
      <c r="A617" s="1" t="s">
        <v>32</v>
      </c>
      <c r="B617" s="1" t="s">
        <v>33</v>
      </c>
      <c r="C617" s="1" t="s">
        <v>34</v>
      </c>
      <c r="D617" s="1" t="s">
        <v>42</v>
      </c>
      <c r="E617" s="1" t="s">
        <v>305</v>
      </c>
      <c r="F617" s="2">
        <v>46279</v>
      </c>
      <c r="G617" s="1" t="s">
        <v>306</v>
      </c>
      <c r="H617" s="3">
        <v>46279.5</v>
      </c>
      <c r="I617" s="1" t="s">
        <v>199</v>
      </c>
      <c r="J617" s="2">
        <v>46279</v>
      </c>
      <c r="K617" s="3">
        <v>46279.5</v>
      </c>
      <c r="L617" s="1" t="s">
        <v>200</v>
      </c>
      <c r="M617" s="1" t="s">
        <v>40</v>
      </c>
      <c r="N617" s="1" t="s">
        <v>41</v>
      </c>
      <c r="O617" s="1" t="s">
        <v>42</v>
      </c>
      <c r="Q617" s="1" t="s">
        <v>42</v>
      </c>
      <c r="R617" s="1" t="s">
        <v>157</v>
      </c>
      <c r="S617" s="1" t="s">
        <v>158</v>
      </c>
      <c r="T617" s="4">
        <v>29.4</v>
      </c>
      <c r="U617" s="4">
        <v>29.4</v>
      </c>
      <c r="V617" s="4">
        <v>29.4</v>
      </c>
      <c r="Z617" s="1" t="s">
        <v>42</v>
      </c>
      <c r="AD617" s="1" t="s">
        <v>42</v>
      </c>
      <c r="AF617" s="1" t="s">
        <v>42</v>
      </c>
    </row>
    <row r="618" spans="1:32" x14ac:dyDescent="0.25">
      <c r="A618" s="1" t="s">
        <v>32</v>
      </c>
      <c r="B618" s="1" t="s">
        <v>33</v>
      </c>
      <c r="C618" s="1" t="s">
        <v>34</v>
      </c>
      <c r="D618" s="1" t="s">
        <v>42</v>
      </c>
      <c r="E618" s="1" t="s">
        <v>305</v>
      </c>
      <c r="F618" s="2">
        <v>46279</v>
      </c>
      <c r="G618" s="1" t="s">
        <v>306</v>
      </c>
      <c r="H618" s="3">
        <v>46279.5</v>
      </c>
      <c r="I618" s="1" t="s">
        <v>199</v>
      </c>
      <c r="J618" s="2">
        <v>46279</v>
      </c>
      <c r="K618" s="3">
        <v>46279.5</v>
      </c>
      <c r="L618" s="1" t="s">
        <v>200</v>
      </c>
      <c r="M618" s="1" t="s">
        <v>40</v>
      </c>
      <c r="N618" s="1" t="s">
        <v>41</v>
      </c>
      <c r="O618" s="1" t="s">
        <v>42</v>
      </c>
      <c r="Q618" s="1" t="s">
        <v>42</v>
      </c>
      <c r="R618" s="1" t="s">
        <v>159</v>
      </c>
      <c r="S618" s="1" t="s">
        <v>160</v>
      </c>
      <c r="T618" s="4">
        <v>18.899999999999999</v>
      </c>
      <c r="W618" s="4">
        <v>-18.899999999999999</v>
      </c>
      <c r="X618" s="1" t="s">
        <v>67</v>
      </c>
      <c r="Y618" s="1" t="s">
        <v>68</v>
      </c>
      <c r="Z618" s="1" t="s">
        <v>42</v>
      </c>
      <c r="AD618" s="1" t="s">
        <v>42</v>
      </c>
      <c r="AF618" s="1" t="s">
        <v>42</v>
      </c>
    </row>
    <row r="619" spans="1:32" x14ac:dyDescent="0.25">
      <c r="A619" s="1" t="s">
        <v>32</v>
      </c>
      <c r="B619" s="1" t="s">
        <v>33</v>
      </c>
      <c r="C619" s="1" t="s">
        <v>34</v>
      </c>
      <c r="D619" s="1" t="s">
        <v>42</v>
      </c>
      <c r="E619" s="1" t="s">
        <v>305</v>
      </c>
      <c r="F619" s="2">
        <v>46279</v>
      </c>
      <c r="G619" s="1" t="s">
        <v>306</v>
      </c>
      <c r="H619" s="3">
        <v>46279.5</v>
      </c>
      <c r="I619" s="1" t="s">
        <v>199</v>
      </c>
      <c r="J619" s="2">
        <v>46279</v>
      </c>
      <c r="K619" s="3">
        <v>46279.5</v>
      </c>
      <c r="L619" s="1" t="s">
        <v>200</v>
      </c>
      <c r="M619" s="1" t="s">
        <v>40</v>
      </c>
      <c r="N619" s="1" t="s">
        <v>41</v>
      </c>
      <c r="O619" s="1" t="s">
        <v>42</v>
      </c>
      <c r="Q619" s="1" t="s">
        <v>42</v>
      </c>
      <c r="R619" s="1" t="s">
        <v>161</v>
      </c>
      <c r="S619" s="1" t="s">
        <v>162</v>
      </c>
      <c r="T619" s="4">
        <v>915</v>
      </c>
      <c r="U619" s="4">
        <v>915</v>
      </c>
      <c r="V619" s="4">
        <v>915</v>
      </c>
      <c r="Z619" s="1" t="s">
        <v>42</v>
      </c>
      <c r="AD619" s="1" t="s">
        <v>42</v>
      </c>
      <c r="AF619" s="1" t="s">
        <v>42</v>
      </c>
    </row>
    <row r="620" spans="1:32" x14ac:dyDescent="0.25">
      <c r="A620" s="1" t="s">
        <v>32</v>
      </c>
      <c r="B620" s="1" t="s">
        <v>33</v>
      </c>
      <c r="C620" s="1" t="s">
        <v>34</v>
      </c>
      <c r="D620" s="1" t="s">
        <v>42</v>
      </c>
      <c r="E620" s="1" t="s">
        <v>305</v>
      </c>
      <c r="F620" s="2">
        <v>46279</v>
      </c>
      <c r="G620" s="1" t="s">
        <v>306</v>
      </c>
      <c r="H620" s="3">
        <v>46279.5</v>
      </c>
      <c r="I620" s="1" t="s">
        <v>199</v>
      </c>
      <c r="J620" s="2">
        <v>46279</v>
      </c>
      <c r="K620" s="3">
        <v>46279.5</v>
      </c>
      <c r="L620" s="1" t="s">
        <v>200</v>
      </c>
      <c r="M620" s="1" t="s">
        <v>40</v>
      </c>
      <c r="N620" s="1" t="s">
        <v>41</v>
      </c>
      <c r="O620" s="1" t="s">
        <v>42</v>
      </c>
      <c r="Q620" s="1" t="s">
        <v>42</v>
      </c>
      <c r="R620" s="1" t="s">
        <v>163</v>
      </c>
      <c r="S620" s="1" t="s">
        <v>164</v>
      </c>
      <c r="T620" s="4">
        <v>915</v>
      </c>
      <c r="U620" s="4">
        <v>915</v>
      </c>
      <c r="V620" s="4">
        <v>915</v>
      </c>
      <c r="Z620" s="1" t="s">
        <v>42</v>
      </c>
      <c r="AD620" s="1" t="s">
        <v>42</v>
      </c>
      <c r="AF620" s="1" t="s">
        <v>42</v>
      </c>
    </row>
    <row r="621" spans="1:32" x14ac:dyDescent="0.25">
      <c r="A621" s="1" t="s">
        <v>32</v>
      </c>
      <c r="B621" s="1" t="s">
        <v>33</v>
      </c>
      <c r="C621" s="1" t="s">
        <v>34</v>
      </c>
      <c r="D621" s="1" t="s">
        <v>42</v>
      </c>
      <c r="E621" s="1" t="s">
        <v>305</v>
      </c>
      <c r="F621" s="2">
        <v>46279</v>
      </c>
      <c r="G621" s="1" t="s">
        <v>306</v>
      </c>
      <c r="H621" s="3">
        <v>46279.5</v>
      </c>
      <c r="I621" s="1" t="s">
        <v>199</v>
      </c>
      <c r="J621" s="2">
        <v>46279</v>
      </c>
      <c r="K621" s="3">
        <v>46279.5</v>
      </c>
      <c r="L621" s="1" t="s">
        <v>200</v>
      </c>
      <c r="M621" s="1" t="s">
        <v>40</v>
      </c>
      <c r="N621" s="1" t="s">
        <v>41</v>
      </c>
      <c r="O621" s="1" t="s">
        <v>42</v>
      </c>
      <c r="Q621" s="1" t="s">
        <v>42</v>
      </c>
      <c r="R621" s="1" t="s">
        <v>165</v>
      </c>
      <c r="S621" s="1" t="s">
        <v>166</v>
      </c>
      <c r="T621" s="4">
        <v>780</v>
      </c>
      <c r="U621" s="4">
        <v>780</v>
      </c>
      <c r="V621" s="4">
        <v>780</v>
      </c>
      <c r="Z621" s="1" t="s">
        <v>42</v>
      </c>
      <c r="AD621" s="1" t="s">
        <v>42</v>
      </c>
      <c r="AF621" s="1" t="s">
        <v>42</v>
      </c>
    </row>
    <row r="622" spans="1:32" x14ac:dyDescent="0.25">
      <c r="A622" s="1" t="s">
        <v>32</v>
      </c>
      <c r="B622" s="1" t="s">
        <v>33</v>
      </c>
      <c r="C622" s="1" t="s">
        <v>34</v>
      </c>
      <c r="D622" s="1" t="s">
        <v>42</v>
      </c>
      <c r="E622" s="1" t="s">
        <v>305</v>
      </c>
      <c r="F622" s="2">
        <v>46279</v>
      </c>
      <c r="G622" s="1" t="s">
        <v>306</v>
      </c>
      <c r="H622" s="3">
        <v>46279.5</v>
      </c>
      <c r="I622" s="1" t="s">
        <v>199</v>
      </c>
      <c r="J622" s="2">
        <v>46279</v>
      </c>
      <c r="K622" s="3">
        <v>46279.5</v>
      </c>
      <c r="L622" s="1" t="s">
        <v>200</v>
      </c>
      <c r="M622" s="1" t="s">
        <v>40</v>
      </c>
      <c r="N622" s="1" t="s">
        <v>41</v>
      </c>
      <c r="O622" s="1" t="s">
        <v>42</v>
      </c>
      <c r="Q622" s="1" t="s">
        <v>42</v>
      </c>
      <c r="R622" s="1" t="s">
        <v>167</v>
      </c>
      <c r="S622" s="1" t="s">
        <v>168</v>
      </c>
      <c r="T622" s="4">
        <v>570</v>
      </c>
      <c r="U622" s="4">
        <v>570</v>
      </c>
      <c r="V622" s="4">
        <v>570</v>
      </c>
      <c r="Z622" s="1" t="s">
        <v>42</v>
      </c>
      <c r="AD622" s="1" t="s">
        <v>42</v>
      </c>
      <c r="AF622" s="1" t="s">
        <v>42</v>
      </c>
    </row>
    <row r="623" spans="1:32" x14ac:dyDescent="0.25">
      <c r="A623" s="1" t="s">
        <v>32</v>
      </c>
      <c r="B623" s="1" t="s">
        <v>33</v>
      </c>
      <c r="C623" s="1" t="s">
        <v>34</v>
      </c>
      <c r="D623" s="1" t="s">
        <v>42</v>
      </c>
      <c r="E623" s="1" t="s">
        <v>305</v>
      </c>
      <c r="F623" s="2">
        <v>46279</v>
      </c>
      <c r="G623" s="1" t="s">
        <v>306</v>
      </c>
      <c r="H623" s="3">
        <v>46279.5</v>
      </c>
      <c r="I623" s="1" t="s">
        <v>199</v>
      </c>
      <c r="J623" s="2">
        <v>46279</v>
      </c>
      <c r="K623" s="3">
        <v>46279.5</v>
      </c>
      <c r="L623" s="1" t="s">
        <v>200</v>
      </c>
      <c r="M623" s="1" t="s">
        <v>40</v>
      </c>
      <c r="N623" s="1" t="s">
        <v>41</v>
      </c>
      <c r="O623" s="1" t="s">
        <v>42</v>
      </c>
      <c r="Q623" s="1" t="s">
        <v>42</v>
      </c>
      <c r="R623" s="1" t="s">
        <v>169</v>
      </c>
      <c r="S623" s="1" t="s">
        <v>170</v>
      </c>
      <c r="T623" s="4">
        <v>1095</v>
      </c>
      <c r="U623" s="4">
        <v>1095</v>
      </c>
      <c r="V623" s="4">
        <v>1095</v>
      </c>
      <c r="Z623" s="1" t="s">
        <v>42</v>
      </c>
      <c r="AD623" s="1" t="s">
        <v>42</v>
      </c>
      <c r="AF623" s="1" t="s">
        <v>42</v>
      </c>
    </row>
    <row r="624" spans="1:32" x14ac:dyDescent="0.25">
      <c r="A624" s="1" t="s">
        <v>32</v>
      </c>
      <c r="B624" s="1" t="s">
        <v>33</v>
      </c>
      <c r="C624" s="1" t="s">
        <v>34</v>
      </c>
      <c r="D624" s="1" t="s">
        <v>42</v>
      </c>
      <c r="E624" s="1" t="s">
        <v>305</v>
      </c>
      <c r="F624" s="2">
        <v>46279</v>
      </c>
      <c r="G624" s="1" t="s">
        <v>306</v>
      </c>
      <c r="H624" s="3">
        <v>46279.5</v>
      </c>
      <c r="I624" s="1" t="s">
        <v>199</v>
      </c>
      <c r="J624" s="2">
        <v>46279</v>
      </c>
      <c r="K624" s="3">
        <v>46279.5</v>
      </c>
      <c r="L624" s="1" t="s">
        <v>200</v>
      </c>
      <c r="M624" s="1" t="s">
        <v>40</v>
      </c>
      <c r="N624" s="1" t="s">
        <v>41</v>
      </c>
      <c r="O624" s="1" t="s">
        <v>42</v>
      </c>
      <c r="Q624" s="1" t="s">
        <v>42</v>
      </c>
      <c r="R624" s="1" t="s">
        <v>171</v>
      </c>
      <c r="S624" s="1" t="s">
        <v>172</v>
      </c>
      <c r="T624" s="4">
        <v>108</v>
      </c>
      <c r="U624" s="4">
        <v>108</v>
      </c>
      <c r="V624" s="4">
        <v>108</v>
      </c>
      <c r="Z624" s="1" t="s">
        <v>42</v>
      </c>
      <c r="AD624" s="1" t="s">
        <v>42</v>
      </c>
      <c r="AF624" s="1" t="s">
        <v>42</v>
      </c>
    </row>
    <row r="625" spans="1:32" x14ac:dyDescent="0.25">
      <c r="A625" s="1" t="s">
        <v>32</v>
      </c>
      <c r="B625" s="1" t="s">
        <v>33</v>
      </c>
      <c r="C625" s="1" t="s">
        <v>34</v>
      </c>
      <c r="D625" s="1" t="s">
        <v>42</v>
      </c>
      <c r="E625" s="1" t="s">
        <v>305</v>
      </c>
      <c r="F625" s="2">
        <v>46279</v>
      </c>
      <c r="G625" s="1" t="s">
        <v>306</v>
      </c>
      <c r="H625" s="3">
        <v>46279.5</v>
      </c>
      <c r="I625" s="1" t="s">
        <v>199</v>
      </c>
      <c r="J625" s="2">
        <v>46279</v>
      </c>
      <c r="K625" s="3">
        <v>46279.5</v>
      </c>
      <c r="L625" s="1" t="s">
        <v>200</v>
      </c>
      <c r="M625" s="1" t="s">
        <v>40</v>
      </c>
      <c r="N625" s="1" t="s">
        <v>41</v>
      </c>
      <c r="O625" s="1" t="s">
        <v>42</v>
      </c>
      <c r="Q625" s="1" t="s">
        <v>42</v>
      </c>
      <c r="R625" s="1" t="s">
        <v>173</v>
      </c>
      <c r="S625" s="1" t="s">
        <v>174</v>
      </c>
      <c r="T625" s="4">
        <v>1206</v>
      </c>
      <c r="U625" s="4">
        <v>1206</v>
      </c>
      <c r="V625" s="4">
        <v>1206</v>
      </c>
      <c r="Z625" s="1" t="s">
        <v>42</v>
      </c>
      <c r="AD625" s="1" t="s">
        <v>42</v>
      </c>
      <c r="AF625" s="1" t="s">
        <v>42</v>
      </c>
    </row>
    <row r="626" spans="1:32" x14ac:dyDescent="0.25">
      <c r="A626" s="1" t="s">
        <v>32</v>
      </c>
      <c r="B626" s="1" t="s">
        <v>33</v>
      </c>
      <c r="C626" s="1" t="s">
        <v>34</v>
      </c>
      <c r="D626" s="1" t="s">
        <v>42</v>
      </c>
      <c r="E626" s="1" t="s">
        <v>305</v>
      </c>
      <c r="F626" s="2">
        <v>46279</v>
      </c>
      <c r="G626" s="1" t="s">
        <v>306</v>
      </c>
      <c r="H626" s="3">
        <v>46279.5</v>
      </c>
      <c r="I626" s="1" t="s">
        <v>199</v>
      </c>
      <c r="J626" s="2">
        <v>46279</v>
      </c>
      <c r="K626" s="3">
        <v>46279.5</v>
      </c>
      <c r="L626" s="1" t="s">
        <v>200</v>
      </c>
      <c r="M626" s="1" t="s">
        <v>40</v>
      </c>
      <c r="N626" s="1" t="s">
        <v>41</v>
      </c>
      <c r="O626" s="1" t="s">
        <v>42</v>
      </c>
      <c r="Q626" s="1" t="s">
        <v>42</v>
      </c>
      <c r="R626" s="1" t="s">
        <v>175</v>
      </c>
      <c r="S626" s="1" t="s">
        <v>176</v>
      </c>
      <c r="T626" s="4">
        <v>9.6</v>
      </c>
      <c r="W626" s="4">
        <v>-9.6</v>
      </c>
      <c r="X626" s="1" t="s">
        <v>67</v>
      </c>
      <c r="Y626" s="1" t="s">
        <v>68</v>
      </c>
      <c r="Z626" s="1" t="s">
        <v>42</v>
      </c>
      <c r="AD626" s="1" t="s">
        <v>42</v>
      </c>
      <c r="AF626" s="1" t="s">
        <v>42</v>
      </c>
    </row>
    <row r="627" spans="1:32" x14ac:dyDescent="0.25">
      <c r="A627" s="1" t="s">
        <v>32</v>
      </c>
      <c r="B627" s="1" t="s">
        <v>33</v>
      </c>
      <c r="C627" s="1" t="s">
        <v>34</v>
      </c>
      <c r="D627" s="1" t="s">
        <v>42</v>
      </c>
      <c r="E627" s="1" t="s">
        <v>305</v>
      </c>
      <c r="F627" s="2">
        <v>46279</v>
      </c>
      <c r="G627" s="1" t="s">
        <v>306</v>
      </c>
      <c r="H627" s="3">
        <v>46279.5</v>
      </c>
      <c r="I627" s="1" t="s">
        <v>199</v>
      </c>
      <c r="J627" s="2">
        <v>46279</v>
      </c>
      <c r="K627" s="3">
        <v>46279.5</v>
      </c>
      <c r="L627" s="1" t="s">
        <v>200</v>
      </c>
      <c r="M627" s="1" t="s">
        <v>40</v>
      </c>
      <c r="N627" s="1" t="s">
        <v>41</v>
      </c>
      <c r="O627" s="1" t="s">
        <v>42</v>
      </c>
      <c r="Q627" s="1" t="s">
        <v>42</v>
      </c>
      <c r="R627" s="1" t="s">
        <v>179</v>
      </c>
      <c r="S627" s="1" t="s">
        <v>180</v>
      </c>
      <c r="T627" s="4">
        <v>79.2</v>
      </c>
      <c r="U627" s="4">
        <v>79.2</v>
      </c>
      <c r="V627" s="4">
        <v>79.2</v>
      </c>
      <c r="Z627" s="1" t="s">
        <v>42</v>
      </c>
      <c r="AD627" s="1" t="s">
        <v>42</v>
      </c>
      <c r="AF627" s="1" t="s">
        <v>42</v>
      </c>
    </row>
    <row r="628" spans="1:32" x14ac:dyDescent="0.25">
      <c r="A628" s="1" t="s">
        <v>32</v>
      </c>
      <c r="B628" s="1" t="s">
        <v>33</v>
      </c>
      <c r="C628" s="1" t="s">
        <v>34</v>
      </c>
      <c r="D628" s="1" t="s">
        <v>42</v>
      </c>
      <c r="E628" s="1" t="s">
        <v>305</v>
      </c>
      <c r="F628" s="2">
        <v>46279</v>
      </c>
      <c r="G628" s="1" t="s">
        <v>306</v>
      </c>
      <c r="H628" s="3">
        <v>46279.5</v>
      </c>
      <c r="I628" s="1" t="s">
        <v>199</v>
      </c>
      <c r="J628" s="2">
        <v>46279</v>
      </c>
      <c r="K628" s="3">
        <v>46279.5</v>
      </c>
      <c r="L628" s="1" t="s">
        <v>200</v>
      </c>
      <c r="M628" s="1" t="s">
        <v>40</v>
      </c>
      <c r="N628" s="1" t="s">
        <v>41</v>
      </c>
      <c r="O628" s="1" t="s">
        <v>42</v>
      </c>
      <c r="Q628" s="1" t="s">
        <v>42</v>
      </c>
      <c r="R628" s="1" t="s">
        <v>181</v>
      </c>
      <c r="S628" s="1" t="s">
        <v>182</v>
      </c>
      <c r="T628" s="4">
        <v>84.48</v>
      </c>
      <c r="U628" s="4">
        <v>84.48</v>
      </c>
      <c r="V628" s="4">
        <v>84.48</v>
      </c>
      <c r="Z628" s="1" t="s">
        <v>42</v>
      </c>
      <c r="AD628" s="1" t="s">
        <v>42</v>
      </c>
      <c r="AF628" s="1" t="s">
        <v>42</v>
      </c>
    </row>
    <row r="629" spans="1:32" x14ac:dyDescent="0.25">
      <c r="A629" s="1" t="s">
        <v>32</v>
      </c>
      <c r="B629" s="1" t="s">
        <v>33</v>
      </c>
      <c r="C629" s="1" t="s">
        <v>34</v>
      </c>
      <c r="D629" s="1" t="s">
        <v>42</v>
      </c>
      <c r="E629" s="1" t="s">
        <v>305</v>
      </c>
      <c r="F629" s="2">
        <v>46279</v>
      </c>
      <c r="G629" s="1" t="s">
        <v>306</v>
      </c>
      <c r="H629" s="3">
        <v>46279.5</v>
      </c>
      <c r="I629" s="1" t="s">
        <v>199</v>
      </c>
      <c r="J629" s="2">
        <v>46279</v>
      </c>
      <c r="K629" s="3">
        <v>46279.5</v>
      </c>
      <c r="L629" s="1" t="s">
        <v>200</v>
      </c>
      <c r="M629" s="1" t="s">
        <v>40</v>
      </c>
      <c r="N629" s="1" t="s">
        <v>41</v>
      </c>
      <c r="O629" s="1" t="s">
        <v>42</v>
      </c>
      <c r="Q629" s="1" t="s">
        <v>42</v>
      </c>
      <c r="R629" s="1" t="s">
        <v>183</v>
      </c>
      <c r="S629" s="1" t="s">
        <v>184</v>
      </c>
      <c r="T629" s="4">
        <v>216.48</v>
      </c>
      <c r="U629" s="4">
        <v>216.48</v>
      </c>
      <c r="V629" s="4">
        <v>216.48</v>
      </c>
      <c r="Z629" s="1" t="s">
        <v>42</v>
      </c>
      <c r="AD629" s="1" t="s">
        <v>42</v>
      </c>
      <c r="AF629" s="1" t="s">
        <v>42</v>
      </c>
    </row>
    <row r="630" spans="1:32" x14ac:dyDescent="0.25">
      <c r="A630" s="1" t="s">
        <v>32</v>
      </c>
      <c r="B630" s="1" t="s">
        <v>33</v>
      </c>
      <c r="C630" s="1" t="s">
        <v>34</v>
      </c>
      <c r="D630" s="1" t="s">
        <v>42</v>
      </c>
      <c r="E630" s="1" t="s">
        <v>305</v>
      </c>
      <c r="F630" s="2">
        <v>46279</v>
      </c>
      <c r="G630" s="1" t="s">
        <v>306</v>
      </c>
      <c r="H630" s="3">
        <v>46279.5</v>
      </c>
      <c r="I630" s="1" t="s">
        <v>199</v>
      </c>
      <c r="J630" s="2">
        <v>46279</v>
      </c>
      <c r="K630" s="3">
        <v>46279.5</v>
      </c>
      <c r="L630" s="1" t="s">
        <v>200</v>
      </c>
      <c r="M630" s="1" t="s">
        <v>40</v>
      </c>
      <c r="N630" s="1" t="s">
        <v>41</v>
      </c>
      <c r="O630" s="1" t="s">
        <v>42</v>
      </c>
      <c r="Q630" s="1" t="s">
        <v>42</v>
      </c>
      <c r="R630" s="1" t="s">
        <v>185</v>
      </c>
      <c r="S630" s="1" t="s">
        <v>186</v>
      </c>
      <c r="T630" s="4">
        <v>332.64</v>
      </c>
      <c r="U630" s="4">
        <v>332.64</v>
      </c>
      <c r="V630" s="4">
        <v>332.64</v>
      </c>
      <c r="Z630" s="1" t="s">
        <v>42</v>
      </c>
      <c r="AD630" s="1" t="s">
        <v>42</v>
      </c>
      <c r="AF630" s="1" t="s">
        <v>42</v>
      </c>
    </row>
    <row r="631" spans="1:32" x14ac:dyDescent="0.25">
      <c r="A631" s="1" t="s">
        <v>32</v>
      </c>
      <c r="B631" s="1" t="s">
        <v>33</v>
      </c>
      <c r="C631" s="1" t="s">
        <v>34</v>
      </c>
      <c r="D631" s="1" t="s">
        <v>42</v>
      </c>
      <c r="E631" s="1" t="s">
        <v>305</v>
      </c>
      <c r="F631" s="2">
        <v>46279</v>
      </c>
      <c r="G631" s="1" t="s">
        <v>306</v>
      </c>
      <c r="H631" s="3">
        <v>46279.5</v>
      </c>
      <c r="I631" s="1" t="s">
        <v>199</v>
      </c>
      <c r="J631" s="2">
        <v>46279</v>
      </c>
      <c r="K631" s="3">
        <v>46279.5</v>
      </c>
      <c r="L631" s="1" t="s">
        <v>200</v>
      </c>
      <c r="M631" s="1" t="s">
        <v>40</v>
      </c>
      <c r="N631" s="1" t="s">
        <v>41</v>
      </c>
      <c r="O631" s="1" t="s">
        <v>42</v>
      </c>
      <c r="Q631" s="1" t="s">
        <v>42</v>
      </c>
      <c r="R631" s="1" t="s">
        <v>299</v>
      </c>
      <c r="S631" s="1" t="s">
        <v>300</v>
      </c>
      <c r="T631" s="4">
        <v>38.4</v>
      </c>
      <c r="U631" s="4">
        <v>38.4</v>
      </c>
      <c r="V631" s="4">
        <v>38.4</v>
      </c>
      <c r="Z631" s="1" t="s">
        <v>42</v>
      </c>
      <c r="AD631" s="1" t="s">
        <v>42</v>
      </c>
      <c r="AF631" s="1" t="s">
        <v>42</v>
      </c>
    </row>
    <row r="632" spans="1:32" x14ac:dyDescent="0.25">
      <c r="A632" s="1" t="s">
        <v>32</v>
      </c>
      <c r="B632" s="1" t="s">
        <v>33</v>
      </c>
      <c r="C632" s="1" t="s">
        <v>34</v>
      </c>
      <c r="D632" s="1" t="s">
        <v>42</v>
      </c>
      <c r="E632" s="1" t="s">
        <v>305</v>
      </c>
      <c r="F632" s="2">
        <v>46279</v>
      </c>
      <c r="G632" s="1" t="s">
        <v>306</v>
      </c>
      <c r="H632" s="3">
        <v>46279.5</v>
      </c>
      <c r="I632" s="1" t="s">
        <v>199</v>
      </c>
      <c r="J632" s="2">
        <v>46279</v>
      </c>
      <c r="K632" s="3">
        <v>46279.5</v>
      </c>
      <c r="L632" s="1" t="s">
        <v>200</v>
      </c>
      <c r="M632" s="1" t="s">
        <v>40</v>
      </c>
      <c r="N632" s="1" t="s">
        <v>41</v>
      </c>
      <c r="O632" s="1" t="s">
        <v>42</v>
      </c>
      <c r="Q632" s="1" t="s">
        <v>42</v>
      </c>
      <c r="R632" s="1" t="s">
        <v>187</v>
      </c>
      <c r="S632" s="1" t="s">
        <v>188</v>
      </c>
      <c r="T632" s="4">
        <v>850.08</v>
      </c>
      <c r="U632" s="4">
        <v>850.08</v>
      </c>
      <c r="V632" s="4">
        <v>850.08</v>
      </c>
      <c r="Z632" s="1" t="s">
        <v>42</v>
      </c>
      <c r="AD632" s="1" t="s">
        <v>42</v>
      </c>
      <c r="AF632" s="1" t="s">
        <v>42</v>
      </c>
    </row>
    <row r="633" spans="1:32" x14ac:dyDescent="0.25">
      <c r="A633" s="1" t="s">
        <v>32</v>
      </c>
      <c r="B633" s="1" t="s">
        <v>33</v>
      </c>
      <c r="C633" s="1" t="s">
        <v>34</v>
      </c>
      <c r="D633" s="1" t="s">
        <v>42</v>
      </c>
      <c r="E633" s="1" t="s">
        <v>305</v>
      </c>
      <c r="F633" s="2">
        <v>46279</v>
      </c>
      <c r="G633" s="1" t="s">
        <v>306</v>
      </c>
      <c r="H633" s="3">
        <v>46279.5</v>
      </c>
      <c r="I633" s="1" t="s">
        <v>199</v>
      </c>
      <c r="J633" s="2">
        <v>46279</v>
      </c>
      <c r="K633" s="3">
        <v>46279.5</v>
      </c>
      <c r="L633" s="1" t="s">
        <v>200</v>
      </c>
      <c r="M633" s="1" t="s">
        <v>40</v>
      </c>
      <c r="N633" s="1" t="s">
        <v>41</v>
      </c>
      <c r="O633" s="1" t="s">
        <v>42</v>
      </c>
      <c r="Q633" s="1" t="s">
        <v>42</v>
      </c>
      <c r="R633" s="1" t="s">
        <v>303</v>
      </c>
      <c r="S633" s="1" t="s">
        <v>304</v>
      </c>
      <c r="T633" s="4">
        <v>72</v>
      </c>
      <c r="U633" s="4">
        <v>72</v>
      </c>
      <c r="V633" s="4">
        <v>72</v>
      </c>
      <c r="Z633" s="1" t="s">
        <v>42</v>
      </c>
      <c r="AD633" s="1" t="s">
        <v>42</v>
      </c>
      <c r="AF633" s="1" t="s">
        <v>42</v>
      </c>
    </row>
    <row r="634" spans="1:32" x14ac:dyDescent="0.25">
      <c r="A634" s="1" t="s">
        <v>32</v>
      </c>
      <c r="B634" s="1" t="s">
        <v>33</v>
      </c>
      <c r="C634" s="1" t="s">
        <v>34</v>
      </c>
      <c r="D634" s="1" t="s">
        <v>42</v>
      </c>
      <c r="E634" s="1" t="s">
        <v>305</v>
      </c>
      <c r="F634" s="2">
        <v>46279</v>
      </c>
      <c r="G634" s="1" t="s">
        <v>306</v>
      </c>
      <c r="H634" s="3">
        <v>46279.5</v>
      </c>
      <c r="I634" s="1" t="s">
        <v>199</v>
      </c>
      <c r="J634" s="2">
        <v>46279</v>
      </c>
      <c r="K634" s="3">
        <v>46279.5</v>
      </c>
      <c r="L634" s="1" t="s">
        <v>200</v>
      </c>
      <c r="M634" s="1" t="s">
        <v>40</v>
      </c>
      <c r="N634" s="1" t="s">
        <v>41</v>
      </c>
      <c r="O634" s="1" t="s">
        <v>42</v>
      </c>
      <c r="Q634" s="1" t="s">
        <v>42</v>
      </c>
      <c r="R634" s="1" t="s">
        <v>232</v>
      </c>
      <c r="S634" s="1" t="s">
        <v>233</v>
      </c>
      <c r="T634" s="4">
        <v>121.44</v>
      </c>
      <c r="U634" s="4">
        <v>121.44</v>
      </c>
      <c r="V634" s="4">
        <v>121.44</v>
      </c>
      <c r="Z634" s="1" t="s">
        <v>42</v>
      </c>
      <c r="AD634" s="1" t="s">
        <v>42</v>
      </c>
      <c r="AF634" s="1" t="s">
        <v>42</v>
      </c>
    </row>
    <row r="635" spans="1:32" x14ac:dyDescent="0.25">
      <c r="A635" s="1" t="s">
        <v>32</v>
      </c>
      <c r="B635" s="1" t="s">
        <v>33</v>
      </c>
      <c r="C635" s="1" t="s">
        <v>34</v>
      </c>
      <c r="D635" s="1" t="s">
        <v>42</v>
      </c>
      <c r="E635" s="1" t="s">
        <v>305</v>
      </c>
      <c r="F635" s="2">
        <v>46279</v>
      </c>
      <c r="G635" s="1" t="s">
        <v>306</v>
      </c>
      <c r="H635" s="3">
        <v>46279.5</v>
      </c>
      <c r="I635" s="1" t="s">
        <v>199</v>
      </c>
      <c r="J635" s="2">
        <v>46279</v>
      </c>
      <c r="K635" s="3">
        <v>46279.5</v>
      </c>
      <c r="L635" s="1" t="s">
        <v>200</v>
      </c>
      <c r="M635" s="1" t="s">
        <v>40</v>
      </c>
      <c r="N635" s="1" t="s">
        <v>41</v>
      </c>
      <c r="O635" s="1" t="s">
        <v>42</v>
      </c>
      <c r="Q635" s="1" t="s">
        <v>42</v>
      </c>
      <c r="R635" s="1" t="s">
        <v>220</v>
      </c>
      <c r="S635" s="1" t="s">
        <v>221</v>
      </c>
      <c r="T635" s="4">
        <v>401.28</v>
      </c>
      <c r="U635" s="4">
        <v>401.28</v>
      </c>
      <c r="V635" s="4">
        <v>401.28</v>
      </c>
      <c r="Z635" s="1" t="s">
        <v>42</v>
      </c>
      <c r="AD635" s="1" t="s">
        <v>42</v>
      </c>
      <c r="AF635" s="1" t="s">
        <v>42</v>
      </c>
    </row>
    <row r="636" spans="1:32" x14ac:dyDescent="0.25">
      <c r="A636" s="1" t="s">
        <v>32</v>
      </c>
      <c r="B636" s="1" t="s">
        <v>33</v>
      </c>
      <c r="C636" s="1" t="s">
        <v>34</v>
      </c>
      <c r="D636" s="1" t="s">
        <v>42</v>
      </c>
      <c r="E636" s="1" t="s">
        <v>305</v>
      </c>
      <c r="F636" s="2">
        <v>46279</v>
      </c>
      <c r="G636" s="1" t="s">
        <v>306</v>
      </c>
      <c r="H636" s="3">
        <v>46279.5</v>
      </c>
      <c r="I636" s="1" t="s">
        <v>199</v>
      </c>
      <c r="J636" s="2">
        <v>46279</v>
      </c>
      <c r="K636" s="3">
        <v>46279.5</v>
      </c>
      <c r="L636" s="1" t="s">
        <v>200</v>
      </c>
      <c r="M636" s="1" t="s">
        <v>40</v>
      </c>
      <c r="N636" s="1" t="s">
        <v>41</v>
      </c>
      <c r="O636" s="1" t="s">
        <v>42</v>
      </c>
      <c r="Q636" s="1" t="s">
        <v>42</v>
      </c>
      <c r="R636" s="1" t="s">
        <v>189</v>
      </c>
      <c r="S636" s="1" t="s">
        <v>190</v>
      </c>
      <c r="T636" s="4">
        <v>501.6</v>
      </c>
      <c r="U636" s="4">
        <v>501.6</v>
      </c>
      <c r="V636" s="4">
        <v>501.6</v>
      </c>
      <c r="Z636" s="1" t="s">
        <v>42</v>
      </c>
      <c r="AD636" s="1" t="s">
        <v>42</v>
      </c>
      <c r="AF636" s="1" t="s">
        <v>42</v>
      </c>
    </row>
    <row r="637" spans="1:32" x14ac:dyDescent="0.25">
      <c r="A637" s="1" t="s">
        <v>32</v>
      </c>
      <c r="B637" s="1" t="s">
        <v>33</v>
      </c>
      <c r="C637" s="1" t="s">
        <v>34</v>
      </c>
      <c r="D637" s="1" t="s">
        <v>42</v>
      </c>
      <c r="E637" s="1" t="s">
        <v>305</v>
      </c>
      <c r="F637" s="2">
        <v>46279</v>
      </c>
      <c r="G637" s="1" t="s">
        <v>306</v>
      </c>
      <c r="H637" s="3">
        <v>46279.5</v>
      </c>
      <c r="I637" s="1" t="s">
        <v>199</v>
      </c>
      <c r="J637" s="2">
        <v>46279</v>
      </c>
      <c r="K637" s="3">
        <v>46279.5</v>
      </c>
      <c r="L637" s="1" t="s">
        <v>200</v>
      </c>
      <c r="M637" s="1" t="s">
        <v>40</v>
      </c>
      <c r="N637" s="1" t="s">
        <v>41</v>
      </c>
      <c r="O637" s="1" t="s">
        <v>42</v>
      </c>
      <c r="Q637" s="1" t="s">
        <v>42</v>
      </c>
      <c r="R637" s="1" t="s">
        <v>193</v>
      </c>
      <c r="S637" s="1" t="s">
        <v>194</v>
      </c>
      <c r="T637" s="4">
        <v>27</v>
      </c>
      <c r="W637" s="4">
        <v>-27</v>
      </c>
      <c r="X637" s="1" t="s">
        <v>67</v>
      </c>
      <c r="Y637" s="1" t="s">
        <v>68</v>
      </c>
      <c r="Z637" s="1" t="s">
        <v>42</v>
      </c>
      <c r="AD637" s="1" t="s">
        <v>42</v>
      </c>
      <c r="AF637" s="1" t="s">
        <v>42</v>
      </c>
    </row>
    <row r="638" spans="1:32" x14ac:dyDescent="0.25">
      <c r="A638" s="1" t="s">
        <v>32</v>
      </c>
      <c r="B638" s="1" t="s">
        <v>33</v>
      </c>
      <c r="C638" s="1" t="s">
        <v>34</v>
      </c>
      <c r="D638" s="1" t="s">
        <v>42</v>
      </c>
      <c r="E638" s="1" t="s">
        <v>305</v>
      </c>
      <c r="F638" s="2">
        <v>46279</v>
      </c>
      <c r="G638" s="1" t="s">
        <v>306</v>
      </c>
      <c r="H638" s="3">
        <v>46279.5</v>
      </c>
      <c r="I638" s="1" t="s">
        <v>199</v>
      </c>
      <c r="J638" s="2">
        <v>46279</v>
      </c>
      <c r="K638" s="3">
        <v>46279.5</v>
      </c>
      <c r="L638" s="1" t="s">
        <v>200</v>
      </c>
      <c r="M638" s="1" t="s">
        <v>40</v>
      </c>
      <c r="N638" s="1" t="s">
        <v>41</v>
      </c>
      <c r="O638" s="1" t="s">
        <v>42</v>
      </c>
      <c r="Q638" s="1" t="s">
        <v>42</v>
      </c>
      <c r="R638" s="1" t="s">
        <v>279</v>
      </c>
      <c r="S638" s="1" t="s">
        <v>280</v>
      </c>
      <c r="T638" s="4">
        <v>18</v>
      </c>
      <c r="U638" s="4">
        <v>18</v>
      </c>
      <c r="V638" s="4">
        <v>18</v>
      </c>
      <c r="Z638" s="1" t="s">
        <v>42</v>
      </c>
      <c r="AD638" s="1" t="s">
        <v>42</v>
      </c>
      <c r="AF638" s="1" t="s">
        <v>42</v>
      </c>
    </row>
    <row r="639" spans="1:32" x14ac:dyDescent="0.25">
      <c r="A639" s="1" t="s">
        <v>32</v>
      </c>
      <c r="B639" s="1" t="s">
        <v>33</v>
      </c>
      <c r="C639" s="1" t="s">
        <v>34</v>
      </c>
      <c r="D639" s="1" t="s">
        <v>42</v>
      </c>
      <c r="E639" s="1" t="s">
        <v>315</v>
      </c>
      <c r="F639" s="2">
        <v>46279</v>
      </c>
      <c r="H639" s="3">
        <v>46279.416666666701</v>
      </c>
      <c r="I639" s="1" t="s">
        <v>236</v>
      </c>
      <c r="J639" s="2">
        <v>46279</v>
      </c>
      <c r="K639" s="3">
        <v>46279.416666666701</v>
      </c>
      <c r="L639" s="1" t="s">
        <v>237</v>
      </c>
      <c r="M639" s="1" t="s">
        <v>40</v>
      </c>
      <c r="N639" s="1" t="s">
        <v>41</v>
      </c>
      <c r="O639" s="1" t="s">
        <v>42</v>
      </c>
      <c r="Q639" s="1" t="s">
        <v>42</v>
      </c>
      <c r="R639" s="1" t="s">
        <v>169</v>
      </c>
      <c r="S639" s="1" t="s">
        <v>170</v>
      </c>
      <c r="T639" s="4">
        <v>795</v>
      </c>
      <c r="W639" s="4">
        <v>-795</v>
      </c>
      <c r="X639" s="1" t="s">
        <v>316</v>
      </c>
      <c r="Y639" s="1" t="s">
        <v>73</v>
      </c>
      <c r="Z639" s="1" t="s">
        <v>42</v>
      </c>
      <c r="AD639" s="1" t="s">
        <v>42</v>
      </c>
      <c r="AF639" s="1" t="s">
        <v>42</v>
      </c>
    </row>
    <row r="640" spans="1:32" x14ac:dyDescent="0.25">
      <c r="A640" s="1" t="s">
        <v>32</v>
      </c>
      <c r="B640" s="1" t="s">
        <v>33</v>
      </c>
      <c r="C640" s="1" t="s">
        <v>34</v>
      </c>
      <c r="D640" s="1" t="s">
        <v>42</v>
      </c>
      <c r="E640" s="1" t="s">
        <v>317</v>
      </c>
      <c r="F640" s="2">
        <v>46279</v>
      </c>
      <c r="H640" s="3">
        <v>46279.416666666701</v>
      </c>
      <c r="I640" s="1" t="s">
        <v>199</v>
      </c>
      <c r="J640" s="2">
        <v>46279</v>
      </c>
      <c r="K640" s="3">
        <v>46279.416666666701</v>
      </c>
      <c r="L640" s="1" t="s">
        <v>200</v>
      </c>
      <c r="M640" s="1" t="s">
        <v>40</v>
      </c>
      <c r="N640" s="1" t="s">
        <v>41</v>
      </c>
      <c r="O640" s="1" t="s">
        <v>42</v>
      </c>
      <c r="Q640" s="1" t="s">
        <v>42</v>
      </c>
      <c r="R640" s="1" t="s">
        <v>165</v>
      </c>
      <c r="S640" s="1" t="s">
        <v>166</v>
      </c>
      <c r="T640" s="4">
        <v>405</v>
      </c>
      <c r="W640" s="4">
        <v>-405</v>
      </c>
      <c r="X640" s="1" t="s">
        <v>316</v>
      </c>
      <c r="Y640" s="1" t="s">
        <v>73</v>
      </c>
      <c r="Z640" s="1" t="s">
        <v>42</v>
      </c>
      <c r="AD640" s="1" t="s">
        <v>42</v>
      </c>
      <c r="AF640" s="1" t="s">
        <v>42</v>
      </c>
    </row>
    <row r="641" spans="1:32" x14ac:dyDescent="0.25">
      <c r="A641" s="1" t="s">
        <v>32</v>
      </c>
      <c r="B641" s="1" t="s">
        <v>33</v>
      </c>
      <c r="C641" s="1" t="s">
        <v>34</v>
      </c>
      <c r="D641" s="1" t="s">
        <v>42</v>
      </c>
      <c r="E641" s="1" t="s">
        <v>317</v>
      </c>
      <c r="F641" s="2">
        <v>46279</v>
      </c>
      <c r="H641" s="3">
        <v>46279.416666666701</v>
      </c>
      <c r="I641" s="1" t="s">
        <v>199</v>
      </c>
      <c r="J641" s="2">
        <v>46279</v>
      </c>
      <c r="K641" s="3">
        <v>46279.416666666701</v>
      </c>
      <c r="L641" s="1" t="s">
        <v>200</v>
      </c>
      <c r="M641" s="1" t="s">
        <v>40</v>
      </c>
      <c r="N641" s="1" t="s">
        <v>41</v>
      </c>
      <c r="O641" s="1" t="s">
        <v>42</v>
      </c>
      <c r="Q641" s="1" t="s">
        <v>42</v>
      </c>
      <c r="R641" s="1" t="s">
        <v>161</v>
      </c>
      <c r="S641" s="1" t="s">
        <v>162</v>
      </c>
      <c r="T641" s="4">
        <v>405</v>
      </c>
      <c r="W641" s="4">
        <v>-405</v>
      </c>
      <c r="X641" s="1" t="s">
        <v>316</v>
      </c>
      <c r="Y641" s="1" t="s">
        <v>73</v>
      </c>
      <c r="Z641" s="1" t="s">
        <v>42</v>
      </c>
      <c r="AD641" s="1" t="s">
        <v>42</v>
      </c>
      <c r="AF641" s="1" t="s">
        <v>42</v>
      </c>
    </row>
    <row r="642" spans="1:32" x14ac:dyDescent="0.25">
      <c r="A642" s="1" t="s">
        <v>32</v>
      </c>
      <c r="B642" s="1" t="s">
        <v>33</v>
      </c>
      <c r="C642" s="1" t="s">
        <v>34</v>
      </c>
      <c r="D642" s="1" t="s">
        <v>35</v>
      </c>
      <c r="E642" s="1" t="s">
        <v>318</v>
      </c>
      <c r="F642" s="2">
        <v>46279</v>
      </c>
      <c r="G642" s="1" t="s">
        <v>319</v>
      </c>
      <c r="H642" s="3">
        <v>46279.375</v>
      </c>
      <c r="I642" s="1" t="s">
        <v>38</v>
      </c>
      <c r="J642" s="2">
        <v>46279</v>
      </c>
      <c r="K642" s="3">
        <v>46279.375</v>
      </c>
      <c r="L642" s="1" t="s">
        <v>39</v>
      </c>
      <c r="M642" s="1" t="s">
        <v>40</v>
      </c>
      <c r="N642" s="1" t="s">
        <v>41</v>
      </c>
      <c r="O642" s="1" t="s">
        <v>42</v>
      </c>
      <c r="Q642" s="1" t="s">
        <v>42</v>
      </c>
      <c r="R642" s="1" t="s">
        <v>165</v>
      </c>
      <c r="S642" s="1" t="s">
        <v>166</v>
      </c>
      <c r="T642" s="4">
        <v>270</v>
      </c>
      <c r="U642" s="4">
        <v>270</v>
      </c>
      <c r="V642" s="4">
        <v>270</v>
      </c>
      <c r="Z642" s="1" t="s">
        <v>42</v>
      </c>
      <c r="AD642" s="1" t="s">
        <v>42</v>
      </c>
      <c r="AF642" s="1" t="s">
        <v>42</v>
      </c>
    </row>
    <row r="643" spans="1:32" x14ac:dyDescent="0.25">
      <c r="A643" s="1" t="s">
        <v>32</v>
      </c>
      <c r="B643" s="1" t="s">
        <v>33</v>
      </c>
      <c r="C643" s="1" t="s">
        <v>34</v>
      </c>
      <c r="D643" s="1" t="s">
        <v>35</v>
      </c>
      <c r="E643" s="1" t="s">
        <v>318</v>
      </c>
      <c r="F643" s="2">
        <v>46279</v>
      </c>
      <c r="G643" s="1" t="s">
        <v>319</v>
      </c>
      <c r="H643" s="3">
        <v>46279.375</v>
      </c>
      <c r="I643" s="1" t="s">
        <v>38</v>
      </c>
      <c r="J643" s="2">
        <v>46279</v>
      </c>
      <c r="K643" s="3">
        <v>46279.375</v>
      </c>
      <c r="L643" s="1" t="s">
        <v>39</v>
      </c>
      <c r="M643" s="1" t="s">
        <v>40</v>
      </c>
      <c r="N643" s="1" t="s">
        <v>41</v>
      </c>
      <c r="O643" s="1" t="s">
        <v>42</v>
      </c>
      <c r="Q643" s="1" t="s">
        <v>42</v>
      </c>
      <c r="R643" s="1" t="s">
        <v>161</v>
      </c>
      <c r="S643" s="1" t="s">
        <v>162</v>
      </c>
      <c r="T643" s="4">
        <v>405</v>
      </c>
      <c r="U643" s="4">
        <v>405</v>
      </c>
      <c r="V643" s="4">
        <v>405</v>
      </c>
      <c r="Z643" s="1" t="s">
        <v>42</v>
      </c>
      <c r="AD643" s="1" t="s">
        <v>42</v>
      </c>
      <c r="AF643" s="1" t="s">
        <v>42</v>
      </c>
    </row>
    <row r="644" spans="1:32" x14ac:dyDescent="0.25">
      <c r="A644" s="1" t="s">
        <v>32</v>
      </c>
      <c r="B644" s="1" t="s">
        <v>33</v>
      </c>
      <c r="C644" s="1" t="s">
        <v>34</v>
      </c>
      <c r="D644" s="1" t="s">
        <v>35</v>
      </c>
      <c r="E644" s="1" t="s">
        <v>320</v>
      </c>
      <c r="F644" s="2">
        <v>46279</v>
      </c>
      <c r="G644" s="1" t="s">
        <v>321</v>
      </c>
      <c r="H644" s="3">
        <v>46279.375</v>
      </c>
      <c r="I644" s="1" t="s">
        <v>199</v>
      </c>
      <c r="J644" s="2">
        <v>46279</v>
      </c>
      <c r="K644" s="3">
        <v>46279.375</v>
      </c>
      <c r="L644" s="1" t="s">
        <v>200</v>
      </c>
      <c r="M644" s="1" t="s">
        <v>40</v>
      </c>
      <c r="N644" s="1" t="s">
        <v>41</v>
      </c>
      <c r="O644" s="1" t="s">
        <v>42</v>
      </c>
      <c r="Q644" s="1" t="s">
        <v>42</v>
      </c>
      <c r="R644" s="1" t="s">
        <v>169</v>
      </c>
      <c r="S644" s="1" t="s">
        <v>170</v>
      </c>
      <c r="T644" s="4">
        <v>810</v>
      </c>
      <c r="U644" s="4">
        <v>810</v>
      </c>
      <c r="V644" s="4">
        <v>810</v>
      </c>
      <c r="Z644" s="1" t="s">
        <v>42</v>
      </c>
      <c r="AD644" s="1" t="s">
        <v>42</v>
      </c>
      <c r="AF644" s="1" t="s">
        <v>42</v>
      </c>
    </row>
    <row r="645" spans="1:32" x14ac:dyDescent="0.25">
      <c r="A645" s="1" t="s">
        <v>32</v>
      </c>
      <c r="B645" s="1" t="s">
        <v>33</v>
      </c>
      <c r="C645" s="1" t="s">
        <v>34</v>
      </c>
      <c r="D645" s="1" t="s">
        <v>35</v>
      </c>
      <c r="E645" s="1" t="s">
        <v>322</v>
      </c>
      <c r="F645" s="2">
        <v>46279</v>
      </c>
      <c r="G645" s="1" t="s">
        <v>323</v>
      </c>
      <c r="H645" s="3">
        <v>46279.375</v>
      </c>
      <c r="I645" s="1" t="s">
        <v>236</v>
      </c>
      <c r="J645" s="2">
        <v>46279</v>
      </c>
      <c r="K645" s="3">
        <v>46279.375</v>
      </c>
      <c r="L645" s="1" t="s">
        <v>237</v>
      </c>
      <c r="M645" s="1" t="s">
        <v>40</v>
      </c>
      <c r="N645" s="1" t="s">
        <v>41</v>
      </c>
      <c r="O645" s="1" t="s">
        <v>42</v>
      </c>
      <c r="Q645" s="1" t="s">
        <v>42</v>
      </c>
      <c r="R645" s="1" t="s">
        <v>165</v>
      </c>
      <c r="S645" s="1" t="s">
        <v>166</v>
      </c>
      <c r="T645" s="4">
        <v>300</v>
      </c>
      <c r="U645" s="4">
        <v>300</v>
      </c>
      <c r="V645" s="4">
        <v>300</v>
      </c>
      <c r="Z645" s="1" t="s">
        <v>42</v>
      </c>
      <c r="AD645" s="1" t="s">
        <v>42</v>
      </c>
      <c r="AF645" s="1" t="s">
        <v>42</v>
      </c>
    </row>
    <row r="646" spans="1:32" x14ac:dyDescent="0.25">
      <c r="A646" s="1" t="s">
        <v>32</v>
      </c>
      <c r="B646" s="1" t="s">
        <v>33</v>
      </c>
      <c r="C646" s="1" t="s">
        <v>34</v>
      </c>
      <c r="D646" s="1" t="s">
        <v>35</v>
      </c>
      <c r="E646" s="1" t="s">
        <v>322</v>
      </c>
      <c r="F646" s="2">
        <v>46279</v>
      </c>
      <c r="G646" s="1" t="s">
        <v>323</v>
      </c>
      <c r="H646" s="3">
        <v>46279.375</v>
      </c>
      <c r="I646" s="1" t="s">
        <v>236</v>
      </c>
      <c r="J646" s="2">
        <v>46279</v>
      </c>
      <c r="K646" s="3">
        <v>46279.375</v>
      </c>
      <c r="L646" s="1" t="s">
        <v>237</v>
      </c>
      <c r="M646" s="1" t="s">
        <v>40</v>
      </c>
      <c r="N646" s="1" t="s">
        <v>41</v>
      </c>
      <c r="O646" s="1" t="s">
        <v>42</v>
      </c>
      <c r="Q646" s="1" t="s">
        <v>42</v>
      </c>
      <c r="R646" s="1" t="s">
        <v>163</v>
      </c>
      <c r="S646" s="1" t="s">
        <v>164</v>
      </c>
      <c r="T646" s="4">
        <v>300</v>
      </c>
      <c r="U646" s="4">
        <v>300</v>
      </c>
      <c r="V646" s="4">
        <v>300</v>
      </c>
      <c r="Z646" s="1" t="s">
        <v>42</v>
      </c>
      <c r="AD646" s="1" t="s">
        <v>42</v>
      </c>
      <c r="AF646" s="1" t="s">
        <v>42</v>
      </c>
    </row>
    <row r="647" spans="1:32" x14ac:dyDescent="0.25">
      <c r="A647" s="1" t="s">
        <v>32</v>
      </c>
      <c r="B647" s="1" t="s">
        <v>33</v>
      </c>
      <c r="C647" s="1" t="s">
        <v>34</v>
      </c>
      <c r="D647" s="1" t="s">
        <v>35</v>
      </c>
      <c r="E647" s="1" t="s">
        <v>324</v>
      </c>
      <c r="F647" s="2">
        <v>46279</v>
      </c>
      <c r="G647" s="1" t="s">
        <v>325</v>
      </c>
      <c r="H647" s="3">
        <v>46279.375</v>
      </c>
      <c r="I647" s="1" t="s">
        <v>254</v>
      </c>
      <c r="J647" s="2">
        <v>46279</v>
      </c>
      <c r="K647" s="3">
        <v>46279.375</v>
      </c>
      <c r="L647" s="1" t="s">
        <v>255</v>
      </c>
      <c r="M647" s="1" t="s">
        <v>40</v>
      </c>
      <c r="N647" s="1" t="s">
        <v>41</v>
      </c>
      <c r="O647" s="1" t="s">
        <v>42</v>
      </c>
      <c r="Q647" s="1" t="s">
        <v>42</v>
      </c>
      <c r="R647" s="1" t="s">
        <v>165</v>
      </c>
      <c r="S647" s="1" t="s">
        <v>166</v>
      </c>
      <c r="T647" s="4">
        <v>210</v>
      </c>
      <c r="U647" s="4">
        <v>210</v>
      </c>
      <c r="V647" s="4">
        <v>210</v>
      </c>
      <c r="Z647" s="1" t="s">
        <v>42</v>
      </c>
      <c r="AD647" s="1" t="s">
        <v>42</v>
      </c>
      <c r="AF647" s="1" t="s">
        <v>42</v>
      </c>
    </row>
    <row r="648" spans="1:32" x14ac:dyDescent="0.25">
      <c r="A648" s="1" t="s">
        <v>32</v>
      </c>
      <c r="B648" s="1" t="s">
        <v>33</v>
      </c>
      <c r="C648" s="1" t="s">
        <v>34</v>
      </c>
      <c r="D648" s="1" t="s">
        <v>35</v>
      </c>
      <c r="E648" s="1" t="s">
        <v>324</v>
      </c>
      <c r="F648" s="2">
        <v>46279</v>
      </c>
      <c r="G648" s="1" t="s">
        <v>325</v>
      </c>
      <c r="H648" s="3">
        <v>46279.375</v>
      </c>
      <c r="I648" s="1" t="s">
        <v>254</v>
      </c>
      <c r="J648" s="2">
        <v>46279</v>
      </c>
      <c r="K648" s="3">
        <v>46279.375</v>
      </c>
      <c r="L648" s="1" t="s">
        <v>255</v>
      </c>
      <c r="M648" s="1" t="s">
        <v>40</v>
      </c>
      <c r="N648" s="1" t="s">
        <v>41</v>
      </c>
      <c r="O648" s="1" t="s">
        <v>42</v>
      </c>
      <c r="Q648" s="1" t="s">
        <v>42</v>
      </c>
      <c r="R648" s="1" t="s">
        <v>161</v>
      </c>
      <c r="S648" s="1" t="s">
        <v>162</v>
      </c>
      <c r="T648" s="4">
        <v>300</v>
      </c>
      <c r="U648" s="4">
        <v>300</v>
      </c>
      <c r="V648" s="4">
        <v>300</v>
      </c>
      <c r="Z648" s="1" t="s">
        <v>42</v>
      </c>
      <c r="AD648" s="1" t="s">
        <v>42</v>
      </c>
      <c r="AF648" s="1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2026-09-15T07:47:29Z</dcterms:modified>
</cp:coreProperties>
</file>