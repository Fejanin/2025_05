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CC1160BD-9DD5-45D4-A9BD-30F6DF1140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горуз 30,08" sheetId="2" r:id="rId2"/>
  </sheets>
  <externalReferences>
    <externalReference r:id="rId3"/>
  </externalReferences>
  <definedNames>
    <definedName name="_xlnm._FilterDatabase" localSheetId="0" hidden="1">Sheet!$A$3:$AK$134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7" i="1" l="1"/>
  <c r="S5" i="1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1" i="2"/>
  <c r="Z134" i="1" l="1"/>
  <c r="W134" i="1"/>
  <c r="AK134" i="1" s="1"/>
  <c r="U134" i="1"/>
  <c r="Y134" i="1" s="1"/>
  <c r="L134" i="1"/>
  <c r="Z133" i="1"/>
  <c r="W133" i="1"/>
  <c r="X133" i="1" s="1"/>
  <c r="U133" i="1"/>
  <c r="Y133" i="1" s="1"/>
  <c r="L133" i="1"/>
  <c r="Z132" i="1"/>
  <c r="W132" i="1"/>
  <c r="AK132" i="1" s="1"/>
  <c r="U132" i="1"/>
  <c r="Y132" i="1" s="1"/>
  <c r="L132" i="1"/>
  <c r="Z131" i="1"/>
  <c r="U131" i="1"/>
  <c r="W131" i="1" s="1"/>
  <c r="L131" i="1"/>
  <c r="Z130" i="1"/>
  <c r="W130" i="1"/>
  <c r="U130" i="1"/>
  <c r="Y130" i="1" s="1"/>
  <c r="L130" i="1"/>
  <c r="Z129" i="1"/>
  <c r="W129" i="1"/>
  <c r="AK129" i="1" s="1"/>
  <c r="U129" i="1"/>
  <c r="Y129" i="1" s="1"/>
  <c r="L129" i="1"/>
  <c r="Z128" i="1"/>
  <c r="W128" i="1"/>
  <c r="AK128" i="1" s="1"/>
  <c r="U128" i="1"/>
  <c r="Y128" i="1" s="1"/>
  <c r="L128" i="1"/>
  <c r="Z127" i="1"/>
  <c r="W127" i="1"/>
  <c r="AK127" i="1" s="1"/>
  <c r="F127" i="1"/>
  <c r="F5" i="1" s="1"/>
  <c r="E127" i="1"/>
  <c r="L127" i="1" s="1"/>
  <c r="Z126" i="1"/>
  <c r="W126" i="1"/>
  <c r="U126" i="1"/>
  <c r="Y126" i="1" s="1"/>
  <c r="L126" i="1"/>
  <c r="Z125" i="1"/>
  <c r="U125" i="1"/>
  <c r="Y125" i="1" s="1"/>
  <c r="L125" i="1"/>
  <c r="Z124" i="1"/>
  <c r="U124" i="1"/>
  <c r="Y124" i="1" s="1"/>
  <c r="L124" i="1"/>
  <c r="Z123" i="1"/>
  <c r="U123" i="1"/>
  <c r="Y123" i="1" s="1"/>
  <c r="L123" i="1"/>
  <c r="Z122" i="1"/>
  <c r="U122" i="1"/>
  <c r="Y122" i="1" s="1"/>
  <c r="L122" i="1"/>
  <c r="Z121" i="1"/>
  <c r="W121" i="1"/>
  <c r="AK121" i="1" s="1"/>
  <c r="U121" i="1"/>
  <c r="Y121" i="1" s="1"/>
  <c r="L121" i="1"/>
  <c r="Z120" i="1"/>
  <c r="U120" i="1"/>
  <c r="W120" i="1" s="1"/>
  <c r="L120" i="1"/>
  <c r="Z119" i="1"/>
  <c r="W119" i="1"/>
  <c r="U119" i="1"/>
  <c r="Y119" i="1" s="1"/>
  <c r="L119" i="1"/>
  <c r="Z118" i="1"/>
  <c r="U118" i="1"/>
  <c r="Y118" i="1" s="1"/>
  <c r="L118" i="1"/>
  <c r="Z117" i="1"/>
  <c r="U117" i="1"/>
  <c r="Y117" i="1" s="1"/>
  <c r="L117" i="1"/>
  <c r="Z116" i="1"/>
  <c r="W116" i="1"/>
  <c r="AK116" i="1" s="1"/>
  <c r="U116" i="1"/>
  <c r="Y116" i="1" s="1"/>
  <c r="L116" i="1"/>
  <c r="Z115" i="1"/>
  <c r="W115" i="1"/>
  <c r="U115" i="1"/>
  <c r="Y115" i="1" s="1"/>
  <c r="L115" i="1"/>
  <c r="Z114" i="1"/>
  <c r="W114" i="1"/>
  <c r="AK114" i="1" s="1"/>
  <c r="U114" i="1"/>
  <c r="Y114" i="1" s="1"/>
  <c r="L114" i="1"/>
  <c r="Z113" i="1"/>
  <c r="U113" i="1"/>
  <c r="W113" i="1" s="1"/>
  <c r="L113" i="1"/>
  <c r="Z112" i="1"/>
  <c r="W112" i="1"/>
  <c r="U112" i="1"/>
  <c r="Y112" i="1" s="1"/>
  <c r="L112" i="1"/>
  <c r="Z111" i="1"/>
  <c r="W111" i="1"/>
  <c r="AK111" i="1" s="1"/>
  <c r="U111" i="1"/>
  <c r="Y111" i="1" s="1"/>
  <c r="L111" i="1"/>
  <c r="Z110" i="1"/>
  <c r="W110" i="1"/>
  <c r="AK110" i="1" s="1"/>
  <c r="U110" i="1"/>
  <c r="Y110" i="1" s="1"/>
  <c r="L110" i="1"/>
  <c r="Z109" i="1"/>
  <c r="W109" i="1"/>
  <c r="AK109" i="1" s="1"/>
  <c r="U109" i="1"/>
  <c r="Y109" i="1" s="1"/>
  <c r="L109" i="1"/>
  <c r="Z108" i="1"/>
  <c r="W108" i="1"/>
  <c r="U108" i="1"/>
  <c r="Y108" i="1" s="1"/>
  <c r="L108" i="1"/>
  <c r="Z107" i="1"/>
  <c r="U107" i="1"/>
  <c r="Y107" i="1" s="1"/>
  <c r="L107" i="1"/>
  <c r="Z106" i="1"/>
  <c r="U106" i="1"/>
  <c r="Y106" i="1" s="1"/>
  <c r="L106" i="1"/>
  <c r="Z105" i="1"/>
  <c r="W105" i="1"/>
  <c r="AK105" i="1" s="1"/>
  <c r="U105" i="1"/>
  <c r="Y105" i="1" s="1"/>
  <c r="L105" i="1"/>
  <c r="Z104" i="1"/>
  <c r="W104" i="1"/>
  <c r="AK104" i="1" s="1"/>
  <c r="U104" i="1"/>
  <c r="Y104" i="1" s="1"/>
  <c r="L104" i="1"/>
  <c r="Z103" i="1"/>
  <c r="W103" i="1"/>
  <c r="AK103" i="1" s="1"/>
  <c r="U103" i="1"/>
  <c r="Y103" i="1" s="1"/>
  <c r="L103" i="1"/>
  <c r="Z102" i="1"/>
  <c r="W102" i="1"/>
  <c r="U102" i="1"/>
  <c r="Y102" i="1" s="1"/>
  <c r="L102" i="1"/>
  <c r="Z101" i="1"/>
  <c r="W101" i="1"/>
  <c r="AK101" i="1" s="1"/>
  <c r="U101" i="1"/>
  <c r="Y101" i="1" s="1"/>
  <c r="L101" i="1"/>
  <c r="Z100" i="1"/>
  <c r="U100" i="1"/>
  <c r="W100" i="1" s="1"/>
  <c r="X100" i="1" s="1"/>
  <c r="L100" i="1"/>
  <c r="Z99" i="1"/>
  <c r="W99" i="1"/>
  <c r="AK99" i="1" s="1"/>
  <c r="U99" i="1"/>
  <c r="Y99" i="1" s="1"/>
  <c r="L99" i="1"/>
  <c r="Z98" i="1"/>
  <c r="W98" i="1"/>
  <c r="AK98" i="1" s="1"/>
  <c r="U98" i="1"/>
  <c r="Y98" i="1" s="1"/>
  <c r="L98" i="1"/>
  <c r="Z97" i="1"/>
  <c r="U97" i="1"/>
  <c r="W97" i="1" s="1"/>
  <c r="L97" i="1"/>
  <c r="Z96" i="1"/>
  <c r="W96" i="1"/>
  <c r="U96" i="1"/>
  <c r="Y96" i="1" s="1"/>
  <c r="L96" i="1"/>
  <c r="Z95" i="1"/>
  <c r="W95" i="1"/>
  <c r="AK95" i="1" s="1"/>
  <c r="U95" i="1"/>
  <c r="Y95" i="1" s="1"/>
  <c r="L95" i="1"/>
  <c r="Z94" i="1"/>
  <c r="U94" i="1"/>
  <c r="L94" i="1"/>
  <c r="Z93" i="1"/>
  <c r="W93" i="1"/>
  <c r="AK93" i="1" s="1"/>
  <c r="U93" i="1"/>
  <c r="Y93" i="1" s="1"/>
  <c r="L93" i="1"/>
  <c r="Z92" i="1"/>
  <c r="W92" i="1"/>
  <c r="AK92" i="1" s="1"/>
  <c r="U92" i="1"/>
  <c r="Y92" i="1" s="1"/>
  <c r="L92" i="1"/>
  <c r="Z91" i="1"/>
  <c r="W91" i="1"/>
  <c r="U91" i="1"/>
  <c r="Y91" i="1" s="1"/>
  <c r="L91" i="1"/>
  <c r="Z90" i="1"/>
  <c r="W90" i="1"/>
  <c r="AK90" i="1" s="1"/>
  <c r="U90" i="1"/>
  <c r="Y90" i="1" s="1"/>
  <c r="L90" i="1"/>
  <c r="Z89" i="1"/>
  <c r="U89" i="1"/>
  <c r="Y89" i="1" s="1"/>
  <c r="L89" i="1"/>
  <c r="Z88" i="1"/>
  <c r="U88" i="1"/>
  <c r="Y88" i="1" s="1"/>
  <c r="L88" i="1"/>
  <c r="Z87" i="1"/>
  <c r="W87" i="1"/>
  <c r="AK87" i="1" s="1"/>
  <c r="U87" i="1"/>
  <c r="Y87" i="1" s="1"/>
  <c r="L87" i="1"/>
  <c r="Z86" i="1"/>
  <c r="U86" i="1"/>
  <c r="W86" i="1" s="1"/>
  <c r="X86" i="1" s="1"/>
  <c r="L86" i="1"/>
  <c r="Z85" i="1"/>
  <c r="U85" i="1"/>
  <c r="W85" i="1" s="1"/>
  <c r="X85" i="1" s="1"/>
  <c r="L85" i="1"/>
  <c r="Z84" i="1"/>
  <c r="U84" i="1"/>
  <c r="W84" i="1" s="1"/>
  <c r="X84" i="1" s="1"/>
  <c r="L84" i="1"/>
  <c r="Z83" i="1"/>
  <c r="W83" i="1"/>
  <c r="AK83" i="1" s="1"/>
  <c r="U83" i="1"/>
  <c r="Y83" i="1" s="1"/>
  <c r="L83" i="1"/>
  <c r="Z82" i="1"/>
  <c r="U82" i="1"/>
  <c r="Y82" i="1" s="1"/>
  <c r="L82" i="1"/>
  <c r="Z81" i="1"/>
  <c r="W81" i="1"/>
  <c r="AK81" i="1" s="1"/>
  <c r="U81" i="1"/>
  <c r="Y81" i="1" s="1"/>
  <c r="L81" i="1"/>
  <c r="Z80" i="1"/>
  <c r="U80" i="1"/>
  <c r="W80" i="1" s="1"/>
  <c r="X80" i="1" s="1"/>
  <c r="L80" i="1"/>
  <c r="Z79" i="1"/>
  <c r="U79" i="1"/>
  <c r="W79" i="1" s="1"/>
  <c r="X79" i="1" s="1"/>
  <c r="L79" i="1"/>
  <c r="Z78" i="1"/>
  <c r="W78" i="1"/>
  <c r="AK78" i="1" s="1"/>
  <c r="U78" i="1"/>
  <c r="Y78" i="1" s="1"/>
  <c r="L78" i="1"/>
  <c r="Z77" i="1"/>
  <c r="U77" i="1"/>
  <c r="Y77" i="1" s="1"/>
  <c r="L77" i="1"/>
  <c r="Z76" i="1"/>
  <c r="U76" i="1"/>
  <c r="Y76" i="1" s="1"/>
  <c r="L76" i="1"/>
  <c r="Z75" i="1"/>
  <c r="U75" i="1"/>
  <c r="Y75" i="1" s="1"/>
  <c r="L75" i="1"/>
  <c r="Z74" i="1"/>
  <c r="U74" i="1"/>
  <c r="Y74" i="1" s="1"/>
  <c r="L74" i="1"/>
  <c r="Z73" i="1"/>
  <c r="U73" i="1"/>
  <c r="Y73" i="1" s="1"/>
  <c r="L73" i="1"/>
  <c r="Z72" i="1"/>
  <c r="U72" i="1"/>
  <c r="Y72" i="1" s="1"/>
  <c r="L72" i="1"/>
  <c r="Z71" i="1"/>
  <c r="W71" i="1"/>
  <c r="AK71" i="1" s="1"/>
  <c r="U71" i="1"/>
  <c r="Y71" i="1" s="1"/>
  <c r="L71" i="1"/>
  <c r="Z70" i="1"/>
  <c r="W70" i="1"/>
  <c r="U70" i="1"/>
  <c r="Y70" i="1" s="1"/>
  <c r="L70" i="1"/>
  <c r="Z69" i="1"/>
  <c r="W69" i="1"/>
  <c r="AK69" i="1" s="1"/>
  <c r="U69" i="1"/>
  <c r="Y69" i="1" s="1"/>
  <c r="L69" i="1"/>
  <c r="Z68" i="1"/>
  <c r="W68" i="1"/>
  <c r="AK68" i="1" s="1"/>
  <c r="U68" i="1"/>
  <c r="Y68" i="1" s="1"/>
  <c r="L68" i="1"/>
  <c r="Z67" i="1"/>
  <c r="U67" i="1"/>
  <c r="Y67" i="1" s="1"/>
  <c r="L67" i="1"/>
  <c r="Z66" i="1"/>
  <c r="W66" i="1"/>
  <c r="AK66" i="1" s="1"/>
  <c r="U66" i="1"/>
  <c r="Y66" i="1" s="1"/>
  <c r="L66" i="1"/>
  <c r="Z65" i="1"/>
  <c r="W65" i="1"/>
  <c r="AK65" i="1" s="1"/>
  <c r="U65" i="1"/>
  <c r="Y65" i="1" s="1"/>
  <c r="L65" i="1"/>
  <c r="Z64" i="1"/>
  <c r="U64" i="1"/>
  <c r="Y64" i="1" s="1"/>
  <c r="L64" i="1"/>
  <c r="Z63" i="1"/>
  <c r="U63" i="1"/>
  <c r="Y63" i="1" s="1"/>
  <c r="L63" i="1"/>
  <c r="Z62" i="1"/>
  <c r="U62" i="1"/>
  <c r="Y62" i="1" s="1"/>
  <c r="L62" i="1"/>
  <c r="Z61" i="1"/>
  <c r="U61" i="1"/>
  <c r="Y61" i="1" s="1"/>
  <c r="L61" i="1"/>
  <c r="Z60" i="1"/>
  <c r="U60" i="1"/>
  <c r="Y60" i="1" s="1"/>
  <c r="L60" i="1"/>
  <c r="Z59" i="1"/>
  <c r="U59" i="1"/>
  <c r="Y59" i="1" s="1"/>
  <c r="L59" i="1"/>
  <c r="Z58" i="1"/>
  <c r="W58" i="1"/>
  <c r="AK58" i="1" s="1"/>
  <c r="U58" i="1"/>
  <c r="Y58" i="1" s="1"/>
  <c r="L58" i="1"/>
  <c r="Z57" i="1"/>
  <c r="U57" i="1"/>
  <c r="W57" i="1" s="1"/>
  <c r="L57" i="1"/>
  <c r="Z56" i="1"/>
  <c r="W56" i="1"/>
  <c r="U56" i="1"/>
  <c r="Y56" i="1" s="1"/>
  <c r="L56" i="1"/>
  <c r="Z55" i="1"/>
  <c r="W55" i="1"/>
  <c r="AK55" i="1" s="1"/>
  <c r="U55" i="1"/>
  <c r="Y55" i="1" s="1"/>
  <c r="L55" i="1"/>
  <c r="Z54" i="1"/>
  <c r="U54" i="1"/>
  <c r="W54" i="1" s="1"/>
  <c r="X54" i="1" s="1"/>
  <c r="L54" i="1"/>
  <c r="Z53" i="1"/>
  <c r="U53" i="1"/>
  <c r="W53" i="1" s="1"/>
  <c r="X53" i="1" s="1"/>
  <c r="L53" i="1"/>
  <c r="Z52" i="1"/>
  <c r="W52" i="1"/>
  <c r="AK52" i="1" s="1"/>
  <c r="U52" i="1"/>
  <c r="Y52" i="1" s="1"/>
  <c r="L52" i="1"/>
  <c r="Z51" i="1"/>
  <c r="U51" i="1"/>
  <c r="Y51" i="1" s="1"/>
  <c r="L51" i="1"/>
  <c r="Z50" i="1"/>
  <c r="U50" i="1"/>
  <c r="Y50" i="1" s="1"/>
  <c r="L50" i="1"/>
  <c r="Z49" i="1"/>
  <c r="U49" i="1"/>
  <c r="Y49" i="1" s="1"/>
  <c r="L49" i="1"/>
  <c r="Z48" i="1"/>
  <c r="W48" i="1"/>
  <c r="AK48" i="1" s="1"/>
  <c r="U48" i="1"/>
  <c r="Y48" i="1" s="1"/>
  <c r="L48" i="1"/>
  <c r="Z47" i="1"/>
  <c r="W47" i="1"/>
  <c r="U47" i="1"/>
  <c r="Y47" i="1" s="1"/>
  <c r="L47" i="1"/>
  <c r="Z46" i="1"/>
  <c r="W46" i="1"/>
  <c r="AK46" i="1" s="1"/>
  <c r="U46" i="1"/>
  <c r="Y46" i="1" s="1"/>
  <c r="L46" i="1"/>
  <c r="Z45" i="1"/>
  <c r="W45" i="1"/>
  <c r="U45" i="1"/>
  <c r="Y45" i="1" s="1"/>
  <c r="L45" i="1"/>
  <c r="Z44" i="1"/>
  <c r="W44" i="1"/>
  <c r="AK44" i="1" s="1"/>
  <c r="U44" i="1"/>
  <c r="Y44" i="1" s="1"/>
  <c r="L44" i="1"/>
  <c r="Z43" i="1"/>
  <c r="W43" i="1"/>
  <c r="AK43" i="1" s="1"/>
  <c r="U43" i="1"/>
  <c r="Y43" i="1" s="1"/>
  <c r="L43" i="1"/>
  <c r="Z42" i="1"/>
  <c r="U42" i="1"/>
  <c r="Y42" i="1" s="1"/>
  <c r="L42" i="1"/>
  <c r="Z41" i="1"/>
  <c r="W41" i="1"/>
  <c r="AK41" i="1" s="1"/>
  <c r="U41" i="1"/>
  <c r="Y41" i="1" s="1"/>
  <c r="L41" i="1"/>
  <c r="Z40" i="1"/>
  <c r="W40" i="1"/>
  <c r="AK40" i="1" s="1"/>
  <c r="U40" i="1"/>
  <c r="Y40" i="1" s="1"/>
  <c r="L40" i="1"/>
  <c r="Z39" i="1"/>
  <c r="W39" i="1"/>
  <c r="AK39" i="1" s="1"/>
  <c r="U39" i="1"/>
  <c r="Y39" i="1" s="1"/>
  <c r="L39" i="1"/>
  <c r="Z38" i="1"/>
  <c r="U38" i="1"/>
  <c r="W38" i="1" s="1"/>
  <c r="L38" i="1"/>
  <c r="Z37" i="1"/>
  <c r="W37" i="1"/>
  <c r="U37" i="1"/>
  <c r="Y37" i="1" s="1"/>
  <c r="L37" i="1"/>
  <c r="Z36" i="1"/>
  <c r="W36" i="1"/>
  <c r="AK36" i="1" s="1"/>
  <c r="U36" i="1"/>
  <c r="Y36" i="1" s="1"/>
  <c r="L36" i="1"/>
  <c r="Z35" i="1"/>
  <c r="W35" i="1"/>
  <c r="U35" i="1"/>
  <c r="Y35" i="1" s="1"/>
  <c r="L35" i="1"/>
  <c r="Z34" i="1"/>
  <c r="W34" i="1"/>
  <c r="AK34" i="1" s="1"/>
  <c r="U34" i="1"/>
  <c r="Y34" i="1" s="1"/>
  <c r="L34" i="1"/>
  <c r="Z33" i="1"/>
  <c r="W33" i="1"/>
  <c r="U33" i="1"/>
  <c r="Y33" i="1" s="1"/>
  <c r="L33" i="1"/>
  <c r="Z32" i="1"/>
  <c r="U32" i="1"/>
  <c r="Y32" i="1" s="1"/>
  <c r="L32" i="1"/>
  <c r="Z31" i="1"/>
  <c r="W31" i="1"/>
  <c r="AK31" i="1" s="1"/>
  <c r="U31" i="1"/>
  <c r="Y31" i="1" s="1"/>
  <c r="L31" i="1"/>
  <c r="Z30" i="1"/>
  <c r="W30" i="1"/>
  <c r="U30" i="1"/>
  <c r="Y30" i="1" s="1"/>
  <c r="L30" i="1"/>
  <c r="Z29" i="1"/>
  <c r="W29" i="1"/>
  <c r="AK29" i="1" s="1"/>
  <c r="U29" i="1"/>
  <c r="Y29" i="1" s="1"/>
  <c r="L29" i="1"/>
  <c r="Z28" i="1"/>
  <c r="W28" i="1"/>
  <c r="AK28" i="1" s="1"/>
  <c r="U28" i="1"/>
  <c r="Y28" i="1" s="1"/>
  <c r="L28" i="1"/>
  <c r="Z27" i="1"/>
  <c r="U27" i="1"/>
  <c r="Y27" i="1" s="1"/>
  <c r="L27" i="1"/>
  <c r="Z26" i="1"/>
  <c r="W26" i="1"/>
  <c r="AK26" i="1" s="1"/>
  <c r="U26" i="1"/>
  <c r="Y26" i="1" s="1"/>
  <c r="L26" i="1"/>
  <c r="Z25" i="1"/>
  <c r="U25" i="1"/>
  <c r="W25" i="1" s="1"/>
  <c r="X25" i="1" s="1"/>
  <c r="L25" i="1"/>
  <c r="Z24" i="1"/>
  <c r="W24" i="1"/>
  <c r="U24" i="1"/>
  <c r="Y24" i="1" s="1"/>
  <c r="L24" i="1"/>
  <c r="Z23" i="1"/>
  <c r="U23" i="1"/>
  <c r="Y23" i="1" s="1"/>
  <c r="L23" i="1"/>
  <c r="Z22" i="1"/>
  <c r="U22" i="1"/>
  <c r="L22" i="1"/>
  <c r="Z21" i="1"/>
  <c r="U21" i="1"/>
  <c r="W21" i="1" s="1"/>
  <c r="X21" i="1" s="1"/>
  <c r="L21" i="1"/>
  <c r="Z20" i="1"/>
  <c r="W20" i="1"/>
  <c r="U20" i="1"/>
  <c r="Y20" i="1" s="1"/>
  <c r="L20" i="1"/>
  <c r="Z19" i="1"/>
  <c r="U19" i="1"/>
  <c r="Y19" i="1" s="1"/>
  <c r="L19" i="1"/>
  <c r="Z18" i="1"/>
  <c r="U18" i="1"/>
  <c r="Y18" i="1" s="1"/>
  <c r="L18" i="1"/>
  <c r="AK17" i="1"/>
  <c r="Z17" i="1"/>
  <c r="U17" i="1"/>
  <c r="L17" i="1"/>
  <c r="Z16" i="1"/>
  <c r="U16" i="1"/>
  <c r="W16" i="1" s="1"/>
  <c r="L16" i="1"/>
  <c r="Z15" i="1"/>
  <c r="W15" i="1"/>
  <c r="U15" i="1"/>
  <c r="Y15" i="1" s="1"/>
  <c r="L15" i="1"/>
  <c r="Z14" i="1"/>
  <c r="U14" i="1"/>
  <c r="Y14" i="1" s="1"/>
  <c r="L14" i="1"/>
  <c r="Z13" i="1"/>
  <c r="W13" i="1"/>
  <c r="AK13" i="1" s="1"/>
  <c r="U13" i="1"/>
  <c r="Y13" i="1" s="1"/>
  <c r="L13" i="1"/>
  <c r="Z12" i="1"/>
  <c r="U12" i="1"/>
  <c r="W12" i="1" s="1"/>
  <c r="L12" i="1"/>
  <c r="Z11" i="1"/>
  <c r="U11" i="1"/>
  <c r="W11" i="1" s="1"/>
  <c r="L11" i="1"/>
  <c r="Z10" i="1"/>
  <c r="U10" i="1"/>
  <c r="W10" i="1" s="1"/>
  <c r="L10" i="1"/>
  <c r="Z9" i="1"/>
  <c r="W9" i="1"/>
  <c r="AK9" i="1" s="1"/>
  <c r="U9" i="1"/>
  <c r="Y9" i="1" s="1"/>
  <c r="L9" i="1"/>
  <c r="Z8" i="1"/>
  <c r="U8" i="1"/>
  <c r="Y8" i="1" s="1"/>
  <c r="L8" i="1"/>
  <c r="Z7" i="1"/>
  <c r="U7" i="1"/>
  <c r="Y7" i="1" s="1"/>
  <c r="L7" i="1"/>
  <c r="Z6" i="1"/>
  <c r="U6" i="1"/>
  <c r="Y6" i="1" s="1"/>
  <c r="L6" i="1"/>
  <c r="AI5" i="1"/>
  <c r="AH5" i="1"/>
  <c r="AG5" i="1"/>
  <c r="AF5" i="1"/>
  <c r="AE5" i="1"/>
  <c r="AD5" i="1"/>
  <c r="AC5" i="1"/>
  <c r="AB5" i="1"/>
  <c r="AA5" i="1"/>
  <c r="T5" i="1"/>
  <c r="R5" i="1"/>
  <c r="Q5" i="1"/>
  <c r="P5" i="1"/>
  <c r="O5" i="1"/>
  <c r="N5" i="1"/>
  <c r="M5" i="1"/>
  <c r="K5" i="1"/>
  <c r="Y54" i="1" l="1"/>
  <c r="AK54" i="1"/>
  <c r="E5" i="1"/>
  <c r="L5" i="1"/>
  <c r="W6" i="1"/>
  <c r="AK6" i="1" s="1"/>
  <c r="W7" i="1"/>
  <c r="AK7" i="1" s="1"/>
  <c r="X20" i="1"/>
  <c r="W23" i="1"/>
  <c r="X23" i="1" s="1"/>
  <c r="X24" i="1"/>
  <c r="Y25" i="1"/>
  <c r="AK25" i="1"/>
  <c r="Y85" i="1"/>
  <c r="AK85" i="1"/>
  <c r="W88" i="1"/>
  <c r="AK88" i="1" s="1"/>
  <c r="W89" i="1"/>
  <c r="X89" i="1" s="1"/>
  <c r="W14" i="1"/>
  <c r="AK14" i="1" s="1"/>
  <c r="X15" i="1"/>
  <c r="W32" i="1"/>
  <c r="AK32" i="1" s="1"/>
  <c r="X35" i="1"/>
  <c r="X47" i="1"/>
  <c r="W49" i="1"/>
  <c r="AK49" i="1" s="1"/>
  <c r="W50" i="1"/>
  <c r="AK50" i="1" s="1"/>
  <c r="W59" i="1"/>
  <c r="AK59" i="1" s="1"/>
  <c r="W62" i="1"/>
  <c r="X62" i="1" s="1"/>
  <c r="W63" i="1"/>
  <c r="AK63" i="1" s="1"/>
  <c r="W72" i="1"/>
  <c r="AK72" i="1" s="1"/>
  <c r="W75" i="1"/>
  <c r="X75" i="1" s="1"/>
  <c r="W76" i="1"/>
  <c r="AK76" i="1" s="1"/>
  <c r="X115" i="1"/>
  <c r="W117" i="1"/>
  <c r="X117" i="1" s="1"/>
  <c r="W118" i="1"/>
  <c r="AK118" i="1" s="1"/>
  <c r="W122" i="1"/>
  <c r="AK122" i="1" s="1"/>
  <c r="W125" i="1"/>
  <c r="X125" i="1" s="1"/>
  <c r="X126" i="1"/>
  <c r="U127" i="1"/>
  <c r="U5" i="1" s="1"/>
  <c r="Z5" i="1"/>
  <c r="W8" i="1"/>
  <c r="AK8" i="1" s="1"/>
  <c r="X9" i="1"/>
  <c r="AK15" i="1"/>
  <c r="W18" i="1"/>
  <c r="AK18" i="1" s="1"/>
  <c r="W19" i="1"/>
  <c r="AK24" i="1"/>
  <c r="W27" i="1"/>
  <c r="X27" i="1" s="1"/>
  <c r="X28" i="1"/>
  <c r="AK35" i="1"/>
  <c r="X40" i="1"/>
  <c r="W42" i="1"/>
  <c r="AK42" i="1" s="1"/>
  <c r="X43" i="1"/>
  <c r="AK47" i="1"/>
  <c r="W51" i="1"/>
  <c r="AK51" i="1" s="1"/>
  <c r="X52" i="1"/>
  <c r="W60" i="1"/>
  <c r="AK60" i="1" s="1"/>
  <c r="W61" i="1"/>
  <c r="W64" i="1"/>
  <c r="X64" i="1" s="1"/>
  <c r="X65" i="1"/>
  <c r="W67" i="1"/>
  <c r="AK67" i="1" s="1"/>
  <c r="X68" i="1"/>
  <c r="W73" i="1"/>
  <c r="X73" i="1" s="1"/>
  <c r="W74" i="1"/>
  <c r="W77" i="1"/>
  <c r="X77" i="1" s="1"/>
  <c r="X78" i="1"/>
  <c r="Y79" i="1"/>
  <c r="AK79" i="1"/>
  <c r="W82" i="1"/>
  <c r="X82" i="1" s="1"/>
  <c r="X83" i="1"/>
  <c r="X93" i="1"/>
  <c r="X99" i="1"/>
  <c r="Y100" i="1"/>
  <c r="AK100" i="1"/>
  <c r="X104" i="1"/>
  <c r="W106" i="1"/>
  <c r="AK106" i="1" s="1"/>
  <c r="W107" i="1"/>
  <c r="X110" i="1"/>
  <c r="AK115" i="1"/>
  <c r="W123" i="1"/>
  <c r="AK123" i="1" s="1"/>
  <c r="W124" i="1"/>
  <c r="AK126" i="1"/>
  <c r="X128" i="1"/>
  <c r="AK133" i="1"/>
  <c r="X10" i="1"/>
  <c r="AK10" i="1"/>
  <c r="X12" i="1"/>
  <c r="AK12" i="1"/>
  <c r="X11" i="1"/>
  <c r="AK11" i="1"/>
  <c r="X16" i="1"/>
  <c r="AK16" i="1"/>
  <c r="Y10" i="1"/>
  <c r="Y11" i="1"/>
  <c r="Y12" i="1"/>
  <c r="X13" i="1"/>
  <c r="Y16" i="1"/>
  <c r="Y17" i="1"/>
  <c r="X26" i="1"/>
  <c r="X38" i="1"/>
  <c r="AK38" i="1"/>
  <c r="X44" i="1"/>
  <c r="X45" i="1"/>
  <c r="AK45" i="1"/>
  <c r="X48" i="1"/>
  <c r="X49" i="1"/>
  <c r="X55" i="1"/>
  <c r="X56" i="1"/>
  <c r="AK56" i="1"/>
  <c r="X69" i="1"/>
  <c r="X70" i="1"/>
  <c r="AK70" i="1"/>
  <c r="X90" i="1"/>
  <c r="X91" i="1"/>
  <c r="AK91" i="1"/>
  <c r="W94" i="1"/>
  <c r="Y94" i="1"/>
  <c r="X113" i="1"/>
  <c r="AK113" i="1"/>
  <c r="X131" i="1"/>
  <c r="AK131" i="1"/>
  <c r="X6" i="1"/>
  <c r="AK20" i="1"/>
  <c r="Y21" i="1"/>
  <c r="AK21" i="1"/>
  <c r="Y22" i="1"/>
  <c r="W22" i="1"/>
  <c r="X29" i="1"/>
  <c r="X30" i="1"/>
  <c r="AK30" i="1"/>
  <c r="X33" i="1"/>
  <c r="AK33" i="1"/>
  <c r="X36" i="1"/>
  <c r="X37" i="1"/>
  <c r="AK37" i="1"/>
  <c r="X41" i="1"/>
  <c r="X42" i="1"/>
  <c r="Y53" i="1"/>
  <c r="AK53" i="1"/>
  <c r="X57" i="1"/>
  <c r="AK57" i="1"/>
  <c r="X66" i="1"/>
  <c r="Y80" i="1"/>
  <c r="AK80" i="1"/>
  <c r="X81" i="1"/>
  <c r="Y84" i="1"/>
  <c r="AK84" i="1"/>
  <c r="Y86" i="1"/>
  <c r="AK86" i="1"/>
  <c r="X87" i="1"/>
  <c r="X97" i="1"/>
  <c r="AK97" i="1"/>
  <c r="X101" i="1"/>
  <c r="X102" i="1"/>
  <c r="AK102" i="1"/>
  <c r="X105" i="1"/>
  <c r="X106" i="1"/>
  <c r="X119" i="1"/>
  <c r="AK119" i="1"/>
  <c r="Y127" i="1"/>
  <c r="X127" i="1"/>
  <c r="X31" i="1"/>
  <c r="X34" i="1"/>
  <c r="Y38" i="1"/>
  <c r="X39" i="1"/>
  <c r="X46" i="1"/>
  <c r="Y57" i="1"/>
  <c r="X58" i="1"/>
  <c r="X71" i="1"/>
  <c r="X95" i="1"/>
  <c r="X96" i="1"/>
  <c r="AK96" i="1"/>
  <c r="X108" i="1"/>
  <c r="AK108" i="1"/>
  <c r="X111" i="1"/>
  <c r="X112" i="1"/>
  <c r="AK112" i="1"/>
  <c r="X116" i="1"/>
  <c r="AK117" i="1"/>
  <c r="X120" i="1"/>
  <c r="AK120" i="1"/>
  <c r="X129" i="1"/>
  <c r="X130" i="1"/>
  <c r="AK130" i="1"/>
  <c r="X134" i="1"/>
  <c r="X92" i="1"/>
  <c r="Y97" i="1"/>
  <c r="X98" i="1"/>
  <c r="X103" i="1"/>
  <c r="X109" i="1"/>
  <c r="Y113" i="1"/>
  <c r="X114" i="1"/>
  <c r="Y120" i="1"/>
  <c r="X121" i="1"/>
  <c r="Y131" i="1"/>
  <c r="X132" i="1"/>
  <c r="X67" i="1" l="1"/>
  <c r="X51" i="1"/>
  <c r="AK77" i="1"/>
  <c r="AK64" i="1"/>
  <c r="X88" i="1"/>
  <c r="X50" i="1"/>
  <c r="X32" i="1"/>
  <c r="AK125" i="1"/>
  <c r="AK82" i="1"/>
  <c r="AK75" i="1"/>
  <c r="AK73" i="1"/>
  <c r="X63" i="1"/>
  <c r="X123" i="1"/>
  <c r="X8" i="1"/>
  <c r="X118" i="1"/>
  <c r="AK89" i="1"/>
  <c r="X59" i="1"/>
  <c r="X18" i="1"/>
  <c r="AK23" i="1"/>
  <c r="AK62" i="1"/>
  <c r="W5" i="1"/>
  <c r="X60" i="1"/>
  <c r="AK27" i="1"/>
  <c r="X122" i="1"/>
  <c r="X76" i="1"/>
  <c r="X7" i="1"/>
  <c r="X14" i="1"/>
  <c r="X72" i="1"/>
  <c r="AK124" i="1"/>
  <c r="X124" i="1"/>
  <c r="AK107" i="1"/>
  <c r="X107" i="1"/>
  <c r="AK19" i="1"/>
  <c r="X19" i="1"/>
  <c r="V5" i="1"/>
  <c r="AK74" i="1"/>
  <c r="X74" i="1"/>
  <c r="AK61" i="1"/>
  <c r="X61" i="1"/>
  <c r="AK22" i="1"/>
  <c r="X22" i="1"/>
  <c r="X94" i="1"/>
  <c r="AK94" i="1"/>
  <c r="AK5" i="1" l="1"/>
  <c r="AK1" i="1" s="1"/>
</calcChain>
</file>

<file path=xl/sharedStrings.xml><?xml version="1.0" encoding="utf-8"?>
<sst xmlns="http://schemas.openxmlformats.org/spreadsheetml/2006/main" count="735" uniqueCount="403">
  <si>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</si>
  <si>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</si>
  <si>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</si>
  <si>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</si>
  <si>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</si>
  <si>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</si>
  <si>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</si>
  <si>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</si>
  <si>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</si>
  <si>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</si>
  <si>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</si>
  <si>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</si>
  <si>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</si>
  <si>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</si>
  <si>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</si>
  <si>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</si>
  <si>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</si>
  <si>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</si>
  <si>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</si>
  <si>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</si>
  <si>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</si>
  <si>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</si>
  <si>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</si>
  <si>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</si>
  <si>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</si>
  <si>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</si>
  <si>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</si>
  <si>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30,08,</t>
  </si>
  <si>
    <t>30,08,доз</t>
  </si>
  <si>
    <t>27,08,</t>
  </si>
  <si>
    <t>31,08,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</si>
  <si>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</si>
  <si>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</si>
  <si>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</si>
  <si>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</si>
  <si>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</si>
  <si>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</si>
  <si>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</si>
  <si>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</si>
  <si>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</si>
  <si>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</si>
  <si>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</si>
  <si>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</si>
  <si>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</si>
  <si>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</si>
  <si>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</si>
  <si>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</si>
  <si>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</si>
  <si>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</si>
  <si>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</si>
  <si>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</si>
  <si>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</si>
  <si>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</si>
  <si>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</si>
  <si>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</si>
  <si>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</si>
  <si>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</si>
  <si>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</si>
  <si>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</si>
  <si>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</si>
  <si>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</si>
  <si>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</si>
  <si>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</si>
  <si>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</si>
  <si>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</si>
  <si>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</si>
  <si>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</si>
  <si>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</si>
  <si>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</si>
  <si>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</si>
  <si>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</si>
  <si>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</si>
  <si>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</si>
  <si>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</si>
  <si>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</si>
  <si>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</si>
  <si>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</si>
  <si>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</si>
  <si>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</si>
  <si>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</si>
  <si>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</si>
  <si>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</si>
  <si>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</si>
  <si>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</si>
  <si>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</si>
  <si>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</si>
  <si>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</si>
  <si>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</si>
  <si>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</si>
  <si>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</si>
  <si>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</si>
  <si>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</si>
  <si>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</si>
  <si>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</si>
  <si>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</si>
  <si>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</si>
  <si>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</si>
  <si>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</si>
  <si>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</si>
  <si>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</si>
  <si>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</si>
  <si>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</si>
  <si>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</si>
  <si>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</si>
  <si>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</si>
  <si>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</si>
  <si>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</si>
  <si>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</si>
  <si>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</si>
  <si>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</si>
  <si>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</si>
  <si>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</si>
  <si>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</si>
  <si>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</si>
  <si>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</si>
  <si>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</si>
  <si>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</si>
  <si>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</si>
  <si>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</si>
  <si>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</si>
  <si>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</si>
  <si>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</si>
  <si>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</si>
  <si>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</si>
  <si>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</si>
  <si>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</si>
  <si>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</si>
  <si>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</si>
  <si>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</si>
  <si>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</si>
  <si>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</si>
  <si>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</si>
  <si>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</si>
  <si>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</si>
  <si>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</si>
  <si>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</si>
  <si>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</si>
  <si>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</si>
  <si>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</si>
  <si>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нужно увеличить продажи!!!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</si>
  <si>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</si>
  <si>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</si>
  <si>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</si>
  <si>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</si>
  <si>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</si>
  <si>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</si>
  <si>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</si>
  <si>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</si>
  <si>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</si>
  <si>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</si>
  <si>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</si>
  <si>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</si>
  <si>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</si>
  <si>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</si>
  <si>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</si>
  <si>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</si>
  <si>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</si>
  <si>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</si>
  <si>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</si>
  <si>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</si>
  <si>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</si>
  <si>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</si>
  <si>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</si>
  <si>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</si>
  <si>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</si>
  <si>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</si>
  <si>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</si>
  <si>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</si>
  <si>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</si>
  <si>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</si>
  <si>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</si>
  <si>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</si>
  <si>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</si>
  <si>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</si>
  <si>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</si>
  <si>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</si>
  <si>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</si>
  <si>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</si>
  <si>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</si>
  <si>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</si>
  <si>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</si>
  <si>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</si>
  <si>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</si>
  <si>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</si>
  <si>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</si>
  <si>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</si>
  <si>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</si>
  <si>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</si>
  <si>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</si>
  <si>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</si>
  <si>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</si>
  <si>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</si>
  <si>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</si>
  <si>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</si>
  <si>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</si>
  <si>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</si>
  <si>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</si>
  <si>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</si>
  <si>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</si>
  <si>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</si>
  <si>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</si>
  <si>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</si>
  <si>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</si>
  <si>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</si>
  <si>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</si>
  <si>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</si>
  <si>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</si>
  <si>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</si>
  <si>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</si>
  <si>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</si>
  <si>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</si>
  <si>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</si>
  <si>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</si>
  <si>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</si>
  <si>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</si>
  <si>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</si>
  <si>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</si>
  <si>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</si>
  <si>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</si>
  <si>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</si>
  <si>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</si>
  <si>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</si>
  <si>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</si>
  <si>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</si>
  <si>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</si>
  <si>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</si>
  <si>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</si>
  <si>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</si>
  <si>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</si>
  <si>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</si>
  <si>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</si>
  <si>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</si>
  <si>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</si>
  <si>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</si>
  <si>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</si>
  <si>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</si>
  <si>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</si>
  <si>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</si>
  <si>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</si>
  <si>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</si>
  <si>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</si>
  <si>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</si>
  <si>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</si>
  <si>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</si>
  <si>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</si>
  <si>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</si>
  <si>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</si>
  <si>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</si>
  <si>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</si>
  <si>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</si>
  <si>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</si>
  <si>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</si>
  <si>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</si>
  <si>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</si>
  <si>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</si>
  <si>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</si>
  <si>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</si>
  <si>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</si>
  <si>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</si>
  <si>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</si>
  <si>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</si>
  <si>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</si>
  <si>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</si>
  <si>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</si>
  <si>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</si>
  <si>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</si>
  <si>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</si>
  <si>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</si>
  <si>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</si>
  <si>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</si>
  <si>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</si>
  <si>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</si>
  <si>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</si>
  <si>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</si>
  <si>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</si>
  <si>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</si>
  <si>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</si>
  <si>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</si>
  <si>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</si>
  <si>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</si>
  <si>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</si>
  <si>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</si>
  <si>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</si>
  <si>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</si>
  <si>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</si>
  <si>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</si>
  <si>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</si>
  <si>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</si>
  <si>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</si>
  <si>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</si>
  <si>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</si>
  <si>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</si>
  <si>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</si>
  <si>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</si>
  <si>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</si>
  <si>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</si>
  <si>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</si>
  <si>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</si>
  <si>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</si>
  <si>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</si>
  <si>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</si>
  <si>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</si>
  <si>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</si>
  <si>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</si>
  <si>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</si>
  <si>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</si>
  <si>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</si>
  <si>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</si>
  <si>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</si>
  <si>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</si>
  <si>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</si>
  <si>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</si>
  <si>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</si>
  <si>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SU001051 </t>
  </si>
  <si>
    <t> Сардельки «Нежные» Весовые NDX мгс ТМ «Стародворье» </t>
  </si>
  <si>
    <t> 252 </t>
  </si>
  <si>
    <t> 0 </t>
  </si>
  <si>
    <t> -252 </t>
  </si>
  <si>
    <t> SU002205 </t>
  </si>
  <si>
    <t> Сосиски «Молочные для завтрака» Фикс.вес 0,4 П/а мгс ТМ «Особый рецепт» </t>
  </si>
  <si>
    <t> 5 </t>
  </si>
  <si>
    <t> -5 </t>
  </si>
  <si>
    <t> SU002287 </t>
  </si>
  <si>
    <t> Сардельки «Сочные» Весовой п/а ТМ «Особый рецепт» </t>
  </si>
  <si>
    <t> 108 </t>
  </si>
  <si>
    <t> -108 </t>
  </si>
  <si>
    <t> SU002356 </t>
  </si>
  <si>
    <t> Ветчины «Сливушка с индейкой» Фикс.вес 0,1 нарезка ТМ «Вязанка» </t>
  </si>
  <si>
    <t> 2 </t>
  </si>
  <si>
    <t> -2 </t>
  </si>
  <si>
    <t> SU002655 </t>
  </si>
  <si>
    <t> Сосиски «Датские» Весовой п/а ТМ «Зареченские продукты» </t>
  </si>
  <si>
    <t> 27 </t>
  </si>
  <si>
    <t> -27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</si>
  <si>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</si>
  <si>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</si>
  <si>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</si>
  <si>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</si>
  <si>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SU002725 </t>
  </si>
  <si>
    <t> Сосиски «Сочинки» Весовой п/а ТМ «Стародворье» </t>
  </si>
  <si>
    <t> 218 </t>
  </si>
  <si>
    <t> 77 </t>
  </si>
  <si>
    <t> -141 </t>
  </si>
  <si>
    <t> SU002758 </t>
  </si>
  <si>
    <t> Сардельки «Сочинки» Фикс.вес 0,4 п/а ТМ «Стародворье» </t>
  </si>
  <si>
    <t> 34 </t>
  </si>
  <si>
    <t> -34 </t>
  </si>
  <si>
    <t> SU002941 </t>
  </si>
  <si>
    <t> В/к колбасы «Сочинка по-европейски с сочной грудинкой» Весовой фиброуз ТМ «Стародворье» </t>
  </si>
  <si>
    <t> 151 </t>
  </si>
  <si>
    <t> -151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</si>
  <si>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</si>
  <si>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</si>
  <si>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</si>
  <si>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</si>
  <si>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SU002943 </t>
  </si>
  <si>
    <t> В/к колбасы «Сочинка по-фински с сочным окороком» Весовой фиброуз ТМ «Стародворье» </t>
  </si>
  <si>
    <t> 205 </t>
  </si>
  <si>
    <t> -205 </t>
  </si>
  <si>
    <t> SU002944 </t>
  </si>
  <si>
    <t> В/к колбасы «Сочинка по-европейски с сочной грудинкой» срез Фикс.вес 0,3 фиброуз ТМ «Стародворье» </t>
  </si>
  <si>
    <t> 61 </t>
  </si>
  <si>
    <t> -61 </t>
  </si>
  <si>
    <t> SU002945 </t>
  </si>
  <si>
    <t> П/к колбасы «Сочинка зернистая с сочной грудинкой» Весовой фиброуз ТМ «Стародворье» </t>
  </si>
  <si>
    <t> 351 </t>
  </si>
  <si>
    <t> -351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</si>
  <si>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</si>
  <si>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</si>
  <si>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</si>
  <si>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</si>
  <si>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SU002984 </t>
  </si>
  <si>
    <t> Сосиски Восточные халяль ТМ Вязанка полиамид в/у ф/в 0,33 кг Казахстан АК </t>
  </si>
  <si>
    <t> 13 </t>
  </si>
  <si>
    <t> -13 </t>
  </si>
  <si>
    <t> SU002985 </t>
  </si>
  <si>
    <t> П/к колбасы «Аль-Ислами халяль» ф/в 0,35 фиброуз ТМ «Вязанка» </t>
  </si>
  <si>
    <t> 14 </t>
  </si>
  <si>
    <t> -14 </t>
  </si>
  <si>
    <t> SU003168 </t>
  </si>
  <si>
    <t> Сосиски «Баварские с сыром» Фикс.вес 0,35 п/а ТМ «Стародворье» </t>
  </si>
  <si>
    <t> SU003178 </t>
  </si>
  <si>
    <t> Копченые колбасы «Сервелат Мясорубский» Фикс.вес 0,08 нарезка ТМ «Стародворье» </t>
  </si>
  <si>
    <t> 16 </t>
  </si>
  <si>
    <t> -16 </t>
  </si>
  <si>
    <t> SU003753 </t>
  </si>
  <si>
    <t> Копченые колбасы «Балыковая » Фикс.вес 0,09 нарезка ТМ «Вязанка» </t>
  </si>
  <si>
    <t> 7 </t>
  </si>
  <si>
    <t> -7 </t>
  </si>
  <si>
    <t> SU003829 </t>
  </si>
  <si>
    <t> Копченые колбасы «Сервелат Мясорубский Делюкс» Фикс.вес 0,3 фиброуз ТМ «Стародворье» </t>
  </si>
  <si>
    <t> SU004041 </t>
  </si>
  <si>
    <t> Копченые колбасы «Балыковая» Весовой фиброуз ТМ «Вязанка» </t>
  </si>
  <si>
    <t> 203 </t>
  </si>
  <si>
    <t> -203 </t>
  </si>
  <si>
    <t> SU004044 </t>
  </si>
  <si>
    <t> Копченые колбасы «Сервелат Ореховый» Весовой фиброуз ТМ «Вязанка» </t>
  </si>
  <si>
    <t> SU004157 </t>
  </si>
  <si>
    <t> Вареные колбасы «Мясная Классическая» Весовой п/а ТМ «Вязанка» </t>
  </si>
  <si>
    <t> 84 </t>
  </si>
  <si>
    <t> 30 </t>
  </si>
  <si>
    <t> -54 </t>
  </si>
  <si>
    <t>30,08,недогр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</si>
</sst>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0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6" fillId="0" borderId="1" xfId="1" applyNumberFormat="1"/>
    <xf numFmtId="165" fontId="1" fillId="0" borderId="1" xfId="1" applyNumberFormat="1" applyFont="1"/>
    <xf numFmtId="0" fontId="0" fillId="0" borderId="1" xfId="0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едогруз 25,08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</row>
        <row r="4">
          <cell r="O4" t="str">
            <v>24,08,</v>
          </cell>
          <cell r="P4" t="str">
            <v>24,08,недогр</v>
          </cell>
          <cell r="Q4" t="str">
            <v>24,08,доз</v>
          </cell>
          <cell r="R4" t="str">
            <v>25,08,</v>
          </cell>
          <cell r="S4" t="str">
            <v>25,08,недогр</v>
          </cell>
          <cell r="T4" t="str">
            <v>25,08,доз</v>
          </cell>
          <cell r="U4" t="str">
            <v>25,08,</v>
          </cell>
        </row>
        <row r="5">
          <cell r="E5">
            <v>48413.407000000014</v>
          </cell>
          <cell r="F5">
            <v>59784.636999999995</v>
          </cell>
          <cell r="K5">
            <v>52922.44000000001</v>
          </cell>
          <cell r="L5">
            <v>-4509.0330000000004</v>
          </cell>
          <cell r="M5">
            <v>0</v>
          </cell>
          <cell r="N5">
            <v>0</v>
          </cell>
          <cell r="O5">
            <v>23887.401539912011</v>
          </cell>
          <cell r="P5">
            <v>-6030.4400000000005</v>
          </cell>
          <cell r="Q5">
            <v>3550</v>
          </cell>
          <cell r="R5">
            <v>22089.980531287998</v>
          </cell>
          <cell r="S5">
            <v>-2381.6190476190477</v>
          </cell>
          <cell r="T5">
            <v>400</v>
          </cell>
          <cell r="U5">
            <v>9682.6813999999977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4580.0889999999999</v>
          </cell>
          <cell r="D6">
            <v>1720.039</v>
          </cell>
          <cell r="E6">
            <v>2418.4059999999999</v>
          </cell>
          <cell r="F6">
            <v>3662.5189999999998</v>
          </cell>
          <cell r="G6">
            <v>1</v>
          </cell>
          <cell r="H6">
            <v>50</v>
          </cell>
          <cell r="I6" t="str">
            <v>матрица</v>
          </cell>
          <cell r="K6">
            <v>2368.4</v>
          </cell>
          <cell r="L6">
            <v>50.005999999999858</v>
          </cell>
          <cell r="O6">
            <v>814.79933519600013</v>
          </cell>
          <cell r="R6">
            <v>1301.5625744040001</v>
          </cell>
          <cell r="U6">
            <v>483.68119999999999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1369.104</v>
          </cell>
          <cell r="D7">
            <v>2284.0160000000001</v>
          </cell>
          <cell r="E7">
            <v>1535.645</v>
          </cell>
          <cell r="F7">
            <v>1948.2929999999999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1459.35</v>
          </cell>
          <cell r="L7">
            <v>76.295000000000073</v>
          </cell>
          <cell r="O7">
            <v>460.05157452099991</v>
          </cell>
          <cell r="R7">
            <v>734.8875800789998</v>
          </cell>
          <cell r="U7">
            <v>307.12900000000002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1446.5070000000001</v>
          </cell>
          <cell r="D8">
            <v>1691.0450000000001</v>
          </cell>
          <cell r="E8">
            <v>1274.2619999999999</v>
          </cell>
          <cell r="F8">
            <v>1732.6379999999999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1242.9079999999999</v>
          </cell>
          <cell r="L8">
            <v>31.354000000000042</v>
          </cell>
          <cell r="O8">
            <v>333.15501888900019</v>
          </cell>
          <cell r="R8">
            <v>532.18269251100014</v>
          </cell>
          <cell r="U8">
            <v>254.85239999999999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U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789</v>
          </cell>
          <cell r="D10">
            <v>604</v>
          </cell>
          <cell r="E10">
            <v>613</v>
          </cell>
          <cell r="F10">
            <v>643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661</v>
          </cell>
          <cell r="L10">
            <v>-48</v>
          </cell>
          <cell r="O10">
            <v>182.61012000000011</v>
          </cell>
          <cell r="Q10">
            <v>100</v>
          </cell>
          <cell r="R10">
            <v>291.70188000000007</v>
          </cell>
          <cell r="U10">
            <v>122.6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1220.76</v>
          </cell>
          <cell r="D11">
            <v>1558</v>
          </cell>
          <cell r="E11">
            <v>1241</v>
          </cell>
          <cell r="F11">
            <v>1365.76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1295</v>
          </cell>
          <cell r="L11">
            <v>-54</v>
          </cell>
          <cell r="O11">
            <v>455.98345099999949</v>
          </cell>
          <cell r="R11">
            <v>728.38914899999929</v>
          </cell>
          <cell r="U11">
            <v>248.2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78</v>
          </cell>
          <cell r="D12">
            <v>150</v>
          </cell>
          <cell r="E12">
            <v>64</v>
          </cell>
          <cell r="F12">
            <v>157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65</v>
          </cell>
          <cell r="L12">
            <v>-1</v>
          </cell>
          <cell r="O12">
            <v>23.199999999999989</v>
          </cell>
          <cell r="U12">
            <v>12.8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102</v>
          </cell>
          <cell r="E13">
            <v>96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102</v>
          </cell>
          <cell r="L13">
            <v>-6</v>
          </cell>
          <cell r="O13">
            <v>96.199999999999989</v>
          </cell>
          <cell r="P13">
            <v>-102</v>
          </cell>
          <cell r="U13">
            <v>19.2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244</v>
          </cell>
          <cell r="D14">
            <v>450</v>
          </cell>
          <cell r="E14">
            <v>238</v>
          </cell>
          <cell r="F14">
            <v>443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240</v>
          </cell>
          <cell r="L14">
            <v>-2</v>
          </cell>
          <cell r="O14">
            <v>137.85980000000009</v>
          </cell>
          <cell r="U14">
            <v>47.6</v>
          </cell>
        </row>
        <row r="15">
          <cell r="A15" t="str">
            <v xml:space="preserve"> 104  Сосиски Молочные по-стародворски, амицел МГС 0.45кг, ТМ Стародворье    ПОКОМ</v>
          </cell>
          <cell r="B15" t="str">
            <v>шт</v>
          </cell>
          <cell r="C15">
            <v>-1</v>
          </cell>
          <cell r="F15">
            <v>-1</v>
          </cell>
          <cell r="G15">
            <v>0</v>
          </cell>
          <cell r="I15" t="str">
            <v>не в матрице</v>
          </cell>
          <cell r="L15">
            <v>0</v>
          </cell>
          <cell r="O15">
            <v>0</v>
          </cell>
          <cell r="U15">
            <v>0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2079.9659999999999</v>
          </cell>
          <cell r="D16">
            <v>1649.509</v>
          </cell>
          <cell r="E16">
            <v>1087.087</v>
          </cell>
          <cell r="F16">
            <v>2563.2689999999998</v>
          </cell>
          <cell r="G16">
            <v>1</v>
          </cell>
          <cell r="H16">
            <v>70</v>
          </cell>
          <cell r="I16" t="str">
            <v>матрица</v>
          </cell>
          <cell r="K16">
            <v>1043.93</v>
          </cell>
          <cell r="L16">
            <v>43.156999999999925</v>
          </cell>
          <cell r="O16">
            <v>183.105692</v>
          </cell>
          <cell r="R16">
            <v>292.49350800000008</v>
          </cell>
          <cell r="U16">
            <v>217.41739999999999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4629.2709999999997</v>
          </cell>
          <cell r="D17">
            <v>4206.0649999999996</v>
          </cell>
          <cell r="E17">
            <v>3371.9540000000002</v>
          </cell>
          <cell r="F17">
            <v>5211.3649999999998</v>
          </cell>
          <cell r="G17">
            <v>1</v>
          </cell>
          <cell r="H17">
            <v>50</v>
          </cell>
          <cell r="I17" t="str">
            <v>матрица</v>
          </cell>
          <cell r="K17">
            <v>3404.65</v>
          </cell>
          <cell r="L17">
            <v>-32.695999999999913</v>
          </cell>
          <cell r="O17">
            <v>1195.840950304</v>
          </cell>
          <cell r="Q17">
            <v>700</v>
          </cell>
          <cell r="R17">
            <v>1910.239440095999</v>
          </cell>
          <cell r="U17">
            <v>674.39080000000001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151.46199999999999</v>
          </cell>
          <cell r="D18">
            <v>126.76600000000001</v>
          </cell>
          <cell r="E18">
            <v>99.350999999999999</v>
          </cell>
          <cell r="F18">
            <v>167.381</v>
          </cell>
          <cell r="G18">
            <v>1</v>
          </cell>
          <cell r="H18">
            <v>60</v>
          </cell>
          <cell r="I18" t="str">
            <v>матрица</v>
          </cell>
          <cell r="K18">
            <v>96.55</v>
          </cell>
          <cell r="L18">
            <v>2.8010000000000019</v>
          </cell>
          <cell r="O18">
            <v>56.141199999999913</v>
          </cell>
          <cell r="U18">
            <v>19.870200000000001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111.029</v>
          </cell>
          <cell r="D19">
            <v>106.857</v>
          </cell>
          <cell r="E19">
            <v>81.727000000000004</v>
          </cell>
          <cell r="F19">
            <v>127.283</v>
          </cell>
          <cell r="G19">
            <v>1</v>
          </cell>
          <cell r="H19">
            <v>60</v>
          </cell>
          <cell r="I19" t="str">
            <v>матрица</v>
          </cell>
          <cell r="K19">
            <v>77.819999999999993</v>
          </cell>
          <cell r="L19">
            <v>3.9070000000000107</v>
          </cell>
          <cell r="O19">
            <v>65.074000000000012</v>
          </cell>
          <cell r="U19">
            <v>16.345400000000001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22.62</v>
          </cell>
          <cell r="E20">
            <v>6.8289999999999997</v>
          </cell>
          <cell r="F20">
            <v>14.704000000000001</v>
          </cell>
          <cell r="G20">
            <v>1</v>
          </cell>
          <cell r="H20">
            <v>180</v>
          </cell>
          <cell r="I20" t="str">
            <v>матрица</v>
          </cell>
          <cell r="K20">
            <v>6.43</v>
          </cell>
          <cell r="L20">
            <v>0.39900000000000002</v>
          </cell>
          <cell r="O20">
            <v>4.6648000000000032</v>
          </cell>
          <cell r="U20">
            <v>1.3657999999999999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2299.8850000000002</v>
          </cell>
          <cell r="D21">
            <v>876.35799999999995</v>
          </cell>
          <cell r="E21">
            <v>1267.3779999999999</v>
          </cell>
          <cell r="F21">
            <v>1798.991</v>
          </cell>
          <cell r="G21">
            <v>1</v>
          </cell>
          <cell r="H21">
            <v>60</v>
          </cell>
          <cell r="I21" t="str">
            <v>матрица</v>
          </cell>
          <cell r="K21">
            <v>1220.5650000000001</v>
          </cell>
          <cell r="L21">
            <v>46.812999999999874</v>
          </cell>
          <cell r="O21">
            <v>445.24414465300009</v>
          </cell>
          <cell r="R21">
            <v>711.23415314700014</v>
          </cell>
          <cell r="U21">
            <v>253.47559999999999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152.535</v>
          </cell>
          <cell r="D22">
            <v>395.72</v>
          </cell>
          <cell r="E22">
            <v>181.85</v>
          </cell>
          <cell r="F22">
            <v>355.95699999999999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179.24</v>
          </cell>
          <cell r="L22">
            <v>2.6099999999999852</v>
          </cell>
          <cell r="O22">
            <v>133.12663260000011</v>
          </cell>
          <cell r="U22">
            <v>36.369999999999997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476.41</v>
          </cell>
          <cell r="D23">
            <v>511.62299999999999</v>
          </cell>
          <cell r="E23">
            <v>382.06299999999999</v>
          </cell>
          <cell r="F23">
            <v>576.572</v>
          </cell>
          <cell r="G23">
            <v>1</v>
          </cell>
          <cell r="H23">
            <v>70</v>
          </cell>
          <cell r="I23" t="str">
            <v>НЕДОГРУЗ / матрица</v>
          </cell>
          <cell r="K23">
            <v>371.31</v>
          </cell>
          <cell r="L23">
            <v>10.752999999999986</v>
          </cell>
          <cell r="O23">
            <v>151.28117027100009</v>
          </cell>
          <cell r="P23">
            <v>-153.12</v>
          </cell>
          <cell r="R23">
            <v>241.65693432900011</v>
          </cell>
          <cell r="U23">
            <v>76.412599999999998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U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537.89</v>
          </cell>
          <cell r="D25">
            <v>1013.914</v>
          </cell>
          <cell r="E25">
            <v>587.94799999999998</v>
          </cell>
          <cell r="F25">
            <v>912.00699999999995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574.54999999999995</v>
          </cell>
          <cell r="L25">
            <v>13.398000000000025</v>
          </cell>
          <cell r="O25">
            <v>230.85687886800011</v>
          </cell>
          <cell r="P25">
            <v>-232.32</v>
          </cell>
          <cell r="R25">
            <v>368.77137793200018</v>
          </cell>
          <cell r="U25">
            <v>117.58959999999999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50.189</v>
          </cell>
          <cell r="D26">
            <v>52.578000000000003</v>
          </cell>
          <cell r="E26">
            <v>94.475999999999999</v>
          </cell>
          <cell r="F26">
            <v>8.2910000000000004</v>
          </cell>
          <cell r="G26">
            <v>1</v>
          </cell>
          <cell r="H26">
            <v>40</v>
          </cell>
          <cell r="I26" t="str">
            <v>НЕДОГРУЗ / матрица</v>
          </cell>
          <cell r="K26">
            <v>133.80000000000001</v>
          </cell>
          <cell r="L26">
            <v>-39.324000000000012</v>
          </cell>
          <cell r="O26">
            <v>90</v>
          </cell>
          <cell r="P26">
            <v>-92.4</v>
          </cell>
          <cell r="R26">
            <v>45</v>
          </cell>
          <cell r="U26">
            <v>18.895199999999999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233.703</v>
          </cell>
          <cell r="D27">
            <v>435.22300000000001</v>
          </cell>
          <cell r="E27">
            <v>315.73099999999999</v>
          </cell>
          <cell r="F27">
            <v>313.36599999999999</v>
          </cell>
          <cell r="G27">
            <v>1</v>
          </cell>
          <cell r="H27">
            <v>30</v>
          </cell>
          <cell r="I27" t="str">
            <v>матрица</v>
          </cell>
          <cell r="K27">
            <v>320.8</v>
          </cell>
          <cell r="L27">
            <v>-5.0690000000000168</v>
          </cell>
          <cell r="O27">
            <v>129.891086</v>
          </cell>
          <cell r="U27">
            <v>63.1462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0.23499999999999999</v>
          </cell>
          <cell r="E28">
            <v>-8.1959999999999997</v>
          </cell>
          <cell r="F28">
            <v>0.23499999999999999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52.1</v>
          </cell>
          <cell r="L28">
            <v>-60.295999999999999</v>
          </cell>
          <cell r="O28">
            <v>100</v>
          </cell>
          <cell r="P28">
            <v>-108</v>
          </cell>
          <cell r="R28">
            <v>50</v>
          </cell>
          <cell r="S28">
            <v>-54</v>
          </cell>
          <cell r="U28">
            <v>-1.6392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854.98400000000004</v>
          </cell>
          <cell r="D29">
            <v>2423.2469999999998</v>
          </cell>
          <cell r="E29">
            <v>2017.818</v>
          </cell>
          <cell r="F29">
            <v>998.03300000000002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2121.9810000000002</v>
          </cell>
          <cell r="L29">
            <v>-104.16300000000024</v>
          </cell>
          <cell r="O29">
            <v>1920.8209999999999</v>
          </cell>
          <cell r="P29">
            <v>-500.6</v>
          </cell>
          <cell r="R29">
            <v>960.41050000000018</v>
          </cell>
          <cell r="U29">
            <v>403.56360000000001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C30">
            <v>0.437</v>
          </cell>
          <cell r="F30">
            <v>0.437</v>
          </cell>
          <cell r="G30">
            <v>0</v>
          </cell>
          <cell r="H30">
            <v>45</v>
          </cell>
          <cell r="I30" t="str">
            <v>не в матрице</v>
          </cell>
          <cell r="K30">
            <v>5.2</v>
          </cell>
          <cell r="L30">
            <v>-5.2</v>
          </cell>
          <cell r="O30">
            <v>0</v>
          </cell>
          <cell r="U30">
            <v>0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-0.25700000000000001</v>
          </cell>
          <cell r="F31">
            <v>-0.25700000000000001</v>
          </cell>
          <cell r="G31">
            <v>0</v>
          </cell>
          <cell r="H31">
            <v>40</v>
          </cell>
          <cell r="I31" t="str">
            <v>не в матрице</v>
          </cell>
          <cell r="K31">
            <v>82.8</v>
          </cell>
          <cell r="L31">
            <v>-82.8</v>
          </cell>
          <cell r="O31">
            <v>0</v>
          </cell>
          <cell r="U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3.7480000000000002</v>
          </cell>
          <cell r="D32">
            <v>578.91899999999998</v>
          </cell>
          <cell r="E32">
            <v>582.471</v>
          </cell>
          <cell r="F32">
            <v>-6.8949999999999996</v>
          </cell>
          <cell r="G32">
            <v>1</v>
          </cell>
          <cell r="H32">
            <v>40</v>
          </cell>
          <cell r="I32" t="str">
            <v>НЕДОГРУЗ / матрица</v>
          </cell>
          <cell r="K32">
            <v>1025</v>
          </cell>
          <cell r="L32">
            <v>-442.529</v>
          </cell>
          <cell r="O32">
            <v>1000</v>
          </cell>
          <cell r="R32">
            <v>740</v>
          </cell>
          <cell r="U32">
            <v>116.49420000000001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U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142.81700000000001</v>
          </cell>
          <cell r="D34">
            <v>236.256</v>
          </cell>
          <cell r="E34">
            <v>157.18199999999999</v>
          </cell>
          <cell r="F34">
            <v>158.24299999999999</v>
          </cell>
          <cell r="G34">
            <v>1</v>
          </cell>
          <cell r="H34">
            <v>30</v>
          </cell>
          <cell r="I34" t="str">
            <v>НЕДОГРУЗ / матрица</v>
          </cell>
          <cell r="K34">
            <v>209.9</v>
          </cell>
          <cell r="L34">
            <v>-52.718000000000018</v>
          </cell>
          <cell r="O34">
            <v>150</v>
          </cell>
          <cell r="R34">
            <v>75</v>
          </cell>
          <cell r="U34">
            <v>31.436399999999999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O35">
            <v>0</v>
          </cell>
          <cell r="U35">
            <v>0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O36">
            <v>0</v>
          </cell>
          <cell r="U36">
            <v>0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-32.06</v>
          </cell>
          <cell r="D37">
            <v>6006</v>
          </cell>
          <cell r="E37">
            <v>3807</v>
          </cell>
          <cell r="F37">
            <v>1676.94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4145</v>
          </cell>
          <cell r="L37">
            <v>-338</v>
          </cell>
          <cell r="O37">
            <v>2000</v>
          </cell>
          <cell r="R37">
            <v>1000</v>
          </cell>
          <cell r="U37">
            <v>761.4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564</v>
          </cell>
          <cell r="D38">
            <v>580</v>
          </cell>
          <cell r="E38">
            <v>426</v>
          </cell>
          <cell r="F38">
            <v>636</v>
          </cell>
          <cell r="G38">
            <v>0.45</v>
          </cell>
          <cell r="H38">
            <v>50</v>
          </cell>
          <cell r="I38" t="str">
            <v>матрица</v>
          </cell>
          <cell r="K38">
            <v>437</v>
          </cell>
          <cell r="L38">
            <v>-11</v>
          </cell>
          <cell r="O38">
            <v>161.60860099999999</v>
          </cell>
          <cell r="R38">
            <v>258.153999</v>
          </cell>
          <cell r="U38">
            <v>85.2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-30</v>
          </cell>
          <cell r="E39">
            <v>-6</v>
          </cell>
          <cell r="F39">
            <v>-30</v>
          </cell>
          <cell r="G39">
            <v>0.4</v>
          </cell>
          <cell r="H39">
            <v>45</v>
          </cell>
          <cell r="I39" t="str">
            <v>НЕДОГРУЗ / матрица</v>
          </cell>
          <cell r="K39">
            <v>646</v>
          </cell>
          <cell r="L39">
            <v>-652</v>
          </cell>
          <cell r="O39">
            <v>400</v>
          </cell>
          <cell r="P39">
            <v>-402</v>
          </cell>
          <cell r="R39">
            <v>200</v>
          </cell>
          <cell r="U39">
            <v>-1.2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E40">
            <v>-1</v>
          </cell>
          <cell r="G40">
            <v>0.4</v>
          </cell>
          <cell r="H40">
            <v>40</v>
          </cell>
          <cell r="I40" t="str">
            <v>НЕДОГРУЗ / матрица</v>
          </cell>
          <cell r="K40">
            <v>2</v>
          </cell>
          <cell r="L40">
            <v>-3</v>
          </cell>
          <cell r="O40">
            <v>20</v>
          </cell>
          <cell r="P40">
            <v>-24</v>
          </cell>
          <cell r="R40">
            <v>10</v>
          </cell>
          <cell r="S40">
            <v>-12.5</v>
          </cell>
          <cell r="U40">
            <v>-0.2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185.74299999999999</v>
          </cell>
          <cell r="D41">
            <v>105.55500000000001</v>
          </cell>
          <cell r="E41">
            <v>283.36900000000003</v>
          </cell>
          <cell r="F41">
            <v>1.1639999999999999</v>
          </cell>
          <cell r="G41">
            <v>1</v>
          </cell>
          <cell r="H41">
            <v>45</v>
          </cell>
          <cell r="I41" t="str">
            <v>НЕДОГРУЗ / матрица</v>
          </cell>
          <cell r="K41">
            <v>282.8</v>
          </cell>
          <cell r="L41">
            <v>0.56900000000001683</v>
          </cell>
          <cell r="O41">
            <v>157.23543728199999</v>
          </cell>
          <cell r="R41">
            <v>251.16829591800001</v>
          </cell>
          <cell r="U41">
            <v>56.673800000000007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661</v>
          </cell>
          <cell r="D42">
            <v>80</v>
          </cell>
          <cell r="E42">
            <v>399</v>
          </cell>
          <cell r="F42">
            <v>313</v>
          </cell>
          <cell r="G42">
            <v>0.1</v>
          </cell>
          <cell r="H42">
            <v>731</v>
          </cell>
          <cell r="I42" t="str">
            <v>матрица</v>
          </cell>
          <cell r="K42">
            <v>399</v>
          </cell>
          <cell r="L42">
            <v>0</v>
          </cell>
          <cell r="O42">
            <v>198.2</v>
          </cell>
          <cell r="U42">
            <v>79.8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-1</v>
          </cell>
          <cell r="E43">
            <v>-9</v>
          </cell>
          <cell r="F43">
            <v>-1</v>
          </cell>
          <cell r="G43">
            <v>0.35</v>
          </cell>
          <cell r="H43">
            <v>40</v>
          </cell>
          <cell r="I43" t="str">
            <v>НЕДОГРУЗ / матрица</v>
          </cell>
          <cell r="K43">
            <v>64</v>
          </cell>
          <cell r="L43">
            <v>-73</v>
          </cell>
          <cell r="O43">
            <v>100</v>
          </cell>
          <cell r="P43">
            <v>-102</v>
          </cell>
          <cell r="R43">
            <v>50</v>
          </cell>
          <cell r="S43">
            <v>-54.285714285714292</v>
          </cell>
          <cell r="U43">
            <v>-1.8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9.0289999999999999</v>
          </cell>
          <cell r="D44">
            <v>35.006</v>
          </cell>
          <cell r="E44">
            <v>5.8140000000000001</v>
          </cell>
          <cell r="F44">
            <v>34.590000000000003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47.25</v>
          </cell>
          <cell r="L44">
            <v>-41.436</v>
          </cell>
          <cell r="O44">
            <v>30</v>
          </cell>
          <cell r="P44">
            <v>-33.6</v>
          </cell>
          <cell r="R44">
            <v>15</v>
          </cell>
          <cell r="S44">
            <v>-17</v>
          </cell>
          <cell r="U44">
            <v>1.1628000000000001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54</v>
          </cell>
          <cell r="D45">
            <v>207</v>
          </cell>
          <cell r="E45">
            <v>182</v>
          </cell>
          <cell r="F45">
            <v>32</v>
          </cell>
          <cell r="G45">
            <v>0.4</v>
          </cell>
          <cell r="H45">
            <v>40</v>
          </cell>
          <cell r="I45" t="str">
            <v>НЕДОГРУЗ / матрица</v>
          </cell>
          <cell r="K45">
            <v>264</v>
          </cell>
          <cell r="L45">
            <v>-82</v>
          </cell>
          <cell r="O45">
            <v>100</v>
          </cell>
          <cell r="R45">
            <v>50</v>
          </cell>
          <cell r="U45">
            <v>36.4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12</v>
          </cell>
          <cell r="D46">
            <v>150</v>
          </cell>
          <cell r="E46">
            <v>151</v>
          </cell>
          <cell r="F46">
            <v>9</v>
          </cell>
          <cell r="G46">
            <v>0.4</v>
          </cell>
          <cell r="H46">
            <v>45</v>
          </cell>
          <cell r="I46" t="str">
            <v>НЕДОГРУЗ / матрица</v>
          </cell>
          <cell r="K46">
            <v>284</v>
          </cell>
          <cell r="L46">
            <v>-133</v>
          </cell>
          <cell r="O46">
            <v>100</v>
          </cell>
          <cell r="R46">
            <v>50</v>
          </cell>
          <cell r="U46">
            <v>30.2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158.50700000000001</v>
          </cell>
          <cell r="D47">
            <v>57.231999999999999</v>
          </cell>
          <cell r="E47">
            <v>122.34099999999999</v>
          </cell>
          <cell r="F47">
            <v>76.164000000000001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135.65</v>
          </cell>
          <cell r="L47">
            <v>-13.309000000000012</v>
          </cell>
          <cell r="O47">
            <v>103.303</v>
          </cell>
          <cell r="P47">
            <v>-105</v>
          </cell>
          <cell r="U47">
            <v>24.4682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1227</v>
          </cell>
          <cell r="D48">
            <v>8</v>
          </cell>
          <cell r="E48">
            <v>1190</v>
          </cell>
          <cell r="F48">
            <v>-4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1531</v>
          </cell>
          <cell r="L48">
            <v>-341</v>
          </cell>
          <cell r="O48">
            <v>1500</v>
          </cell>
          <cell r="P48">
            <v>-1500</v>
          </cell>
          <cell r="R48">
            <v>750</v>
          </cell>
          <cell r="S48">
            <v>-757.14285714285722</v>
          </cell>
          <cell r="U48">
            <v>238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764</v>
          </cell>
          <cell r="D49">
            <v>986</v>
          </cell>
          <cell r="E49">
            <v>714</v>
          </cell>
          <cell r="F49">
            <v>984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721</v>
          </cell>
          <cell r="L49">
            <v>-7</v>
          </cell>
          <cell r="O49">
            <v>300</v>
          </cell>
          <cell r="R49">
            <v>150</v>
          </cell>
          <cell r="U49">
            <v>142.80000000000001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564.62400000000002</v>
          </cell>
          <cell r="D50">
            <v>468.11200000000002</v>
          </cell>
          <cell r="E50">
            <v>445.81700000000001</v>
          </cell>
          <cell r="F50">
            <v>548.02200000000005</v>
          </cell>
          <cell r="G50">
            <v>1</v>
          </cell>
          <cell r="H50">
            <v>50</v>
          </cell>
          <cell r="I50" t="str">
            <v>матрица</v>
          </cell>
          <cell r="K50">
            <v>440.75</v>
          </cell>
          <cell r="L50">
            <v>5.0670000000000073</v>
          </cell>
          <cell r="O50">
            <v>145.57927122199999</v>
          </cell>
          <cell r="R50">
            <v>232.54870597799999</v>
          </cell>
          <cell r="U50">
            <v>89.163399999999996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511.31200000000001</v>
          </cell>
          <cell r="D51">
            <v>869.04700000000003</v>
          </cell>
          <cell r="E51">
            <v>539.34199999999998</v>
          </cell>
          <cell r="F51">
            <v>787.40899999999999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532.45000000000005</v>
          </cell>
          <cell r="L51">
            <v>6.8919999999999391</v>
          </cell>
          <cell r="O51">
            <v>176.33687255800021</v>
          </cell>
          <cell r="R51">
            <v>281.68097824200021</v>
          </cell>
          <cell r="U51">
            <v>107.86839999999999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32.576000000000001</v>
          </cell>
          <cell r="F52">
            <v>32.576000000000001</v>
          </cell>
          <cell r="G52">
            <v>1</v>
          </cell>
          <cell r="H52">
            <v>45</v>
          </cell>
          <cell r="I52" t="str">
            <v>НЕДОГРУЗ / матрица</v>
          </cell>
          <cell r="K52">
            <v>98.7</v>
          </cell>
          <cell r="L52">
            <v>-98.7</v>
          </cell>
          <cell r="O52">
            <v>40</v>
          </cell>
          <cell r="P52">
            <v>-45</v>
          </cell>
          <cell r="R52">
            <v>20</v>
          </cell>
          <cell r="S52">
            <v>-27</v>
          </cell>
          <cell r="U52">
            <v>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283</v>
          </cell>
          <cell r="D53">
            <v>170</v>
          </cell>
          <cell r="E53">
            <v>182</v>
          </cell>
          <cell r="F53">
            <v>241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186</v>
          </cell>
          <cell r="L53">
            <v>-4</v>
          </cell>
          <cell r="O53">
            <v>0</v>
          </cell>
          <cell r="U53">
            <v>36.4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587</v>
          </cell>
          <cell r="D54">
            <v>581</v>
          </cell>
          <cell r="E54">
            <v>464</v>
          </cell>
          <cell r="F54">
            <v>626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484</v>
          </cell>
          <cell r="L54">
            <v>-20</v>
          </cell>
          <cell r="O54">
            <v>144.39632900000001</v>
          </cell>
          <cell r="R54">
            <v>230.65907100000001</v>
          </cell>
          <cell r="U54">
            <v>92.8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90</v>
          </cell>
          <cell r="E55">
            <v>87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125</v>
          </cell>
          <cell r="L55">
            <v>-38</v>
          </cell>
          <cell r="O55">
            <v>80</v>
          </cell>
          <cell r="P55">
            <v>-84</v>
          </cell>
          <cell r="R55">
            <v>40</v>
          </cell>
          <cell r="S55">
            <v>-42.5</v>
          </cell>
          <cell r="U55">
            <v>17.399999999999999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123</v>
          </cell>
          <cell r="D56">
            <v>51</v>
          </cell>
          <cell r="E56">
            <v>59</v>
          </cell>
          <cell r="F56">
            <v>101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82</v>
          </cell>
          <cell r="L56">
            <v>-23</v>
          </cell>
          <cell r="O56">
            <v>45.600000000000023</v>
          </cell>
          <cell r="R56">
            <v>22.800000000000011</v>
          </cell>
          <cell r="U56">
            <v>11.8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829.77</v>
          </cell>
          <cell r="D57">
            <v>756.27599999999995</v>
          </cell>
          <cell r="E57">
            <v>676.61099999999999</v>
          </cell>
          <cell r="F57">
            <v>833.15300000000002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655.15</v>
          </cell>
          <cell r="L57">
            <v>21.461000000000013</v>
          </cell>
          <cell r="O57">
            <v>227.27785765300001</v>
          </cell>
          <cell r="Q57">
            <v>150</v>
          </cell>
          <cell r="R57">
            <v>363.05424014699997</v>
          </cell>
          <cell r="U57">
            <v>135.32220000000001</v>
          </cell>
        </row>
        <row r="58">
          <cell r="A58" t="str">
            <v xml:space="preserve"> 333  Колбаса Балыковая, Вязанка фиброуз в/у, ВЕС ПОКОМ</v>
          </cell>
          <cell r="B58" t="str">
            <v>кг</v>
          </cell>
          <cell r="C58">
            <v>98.433000000000007</v>
          </cell>
          <cell r="D58">
            <v>637.24199999999996</v>
          </cell>
          <cell r="G58">
            <v>0</v>
          </cell>
          <cell r="I58" t="str">
            <v>дубль</v>
          </cell>
          <cell r="J58" t="str">
            <v xml:space="preserve"> 558  Колбаса Балыковая НОВАЯ ВЕС Вязанка фиброуз в/у ПОКОМ</v>
          </cell>
          <cell r="L58">
            <v>0</v>
          </cell>
          <cell r="O58">
            <v>0</v>
          </cell>
          <cell r="U58">
            <v>0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401</v>
          </cell>
          <cell r="D59">
            <v>105</v>
          </cell>
          <cell r="E59">
            <v>237</v>
          </cell>
          <cell r="F59">
            <v>242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242</v>
          </cell>
          <cell r="L59">
            <v>-5</v>
          </cell>
          <cell r="O59">
            <v>33.400000000000027</v>
          </cell>
          <cell r="U59">
            <v>47.4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899.22400000000005</v>
          </cell>
          <cell r="D60">
            <v>1217.6400000000001</v>
          </cell>
          <cell r="E60">
            <v>768.59699999999998</v>
          </cell>
          <cell r="F60">
            <v>1283.0989999999999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745.1</v>
          </cell>
          <cell r="L60">
            <v>23.496999999999957</v>
          </cell>
          <cell r="O60">
            <v>240.8067501839999</v>
          </cell>
          <cell r="R60">
            <v>384.66532821599981</v>
          </cell>
          <cell r="U60">
            <v>153.71940000000001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68.853999999999999</v>
          </cell>
          <cell r="D61">
            <v>162.59200000000001</v>
          </cell>
          <cell r="E61">
            <v>108.334</v>
          </cell>
          <cell r="F61">
            <v>114.979</v>
          </cell>
          <cell r="G61">
            <v>1</v>
          </cell>
          <cell r="H61">
            <v>55</v>
          </cell>
          <cell r="I61" t="str">
            <v>матрица</v>
          </cell>
          <cell r="K61">
            <v>104.45</v>
          </cell>
          <cell r="L61">
            <v>3.8840000000000003</v>
          </cell>
          <cell r="O61">
            <v>0</v>
          </cell>
          <cell r="U61">
            <v>21.666800000000002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313</v>
          </cell>
          <cell r="D62">
            <v>160</v>
          </cell>
          <cell r="E62">
            <v>190</v>
          </cell>
          <cell r="F62">
            <v>266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190</v>
          </cell>
          <cell r="L62">
            <v>0</v>
          </cell>
          <cell r="O62">
            <v>0</v>
          </cell>
          <cell r="U62">
            <v>38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369</v>
          </cell>
          <cell r="D63">
            <v>410</v>
          </cell>
          <cell r="E63">
            <v>317</v>
          </cell>
          <cell r="F63">
            <v>396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323</v>
          </cell>
          <cell r="L63">
            <v>-6</v>
          </cell>
          <cell r="O63">
            <v>83.519975000000017</v>
          </cell>
          <cell r="R63">
            <v>133.41502500000001</v>
          </cell>
          <cell r="U63">
            <v>63.4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21.271000000000001</v>
          </cell>
          <cell r="D64">
            <v>428.59399999999999</v>
          </cell>
          <cell r="E64">
            <v>28.062999999999999</v>
          </cell>
          <cell r="F64">
            <v>229.03200000000001</v>
          </cell>
          <cell r="G64">
            <v>1</v>
          </cell>
          <cell r="H64">
            <v>40</v>
          </cell>
          <cell r="I64" t="str">
            <v>матрица</v>
          </cell>
          <cell r="K64">
            <v>112.8</v>
          </cell>
          <cell r="L64">
            <v>-84.736999999999995</v>
          </cell>
          <cell r="O64">
            <v>310.30240972500002</v>
          </cell>
          <cell r="R64">
            <v>495.67787527499991</v>
          </cell>
          <cell r="U64">
            <v>5.6125999999999996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310.35399999999998</v>
          </cell>
          <cell r="E65">
            <v>307.67899999999997</v>
          </cell>
          <cell r="F65">
            <v>2.1059999999999999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416.39499999999998</v>
          </cell>
          <cell r="L65">
            <v>-108.71600000000001</v>
          </cell>
          <cell r="O65">
            <v>242.49232407400001</v>
          </cell>
          <cell r="R65">
            <v>387.35786832600007</v>
          </cell>
          <cell r="U65">
            <v>61.535799999999995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811</v>
          </cell>
          <cell r="D66">
            <v>2053</v>
          </cell>
          <cell r="E66">
            <v>1232</v>
          </cell>
          <cell r="F66">
            <v>1530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1304</v>
          </cell>
          <cell r="L66">
            <v>-72</v>
          </cell>
          <cell r="O66">
            <v>836.16802499999994</v>
          </cell>
          <cell r="R66">
            <v>1335.6969750000001</v>
          </cell>
          <cell r="U66">
            <v>246.4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15</v>
          </cell>
          <cell r="D67">
            <v>256</v>
          </cell>
          <cell r="E67">
            <v>247</v>
          </cell>
          <cell r="F67">
            <v>15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745</v>
          </cell>
          <cell r="L67">
            <v>-498</v>
          </cell>
          <cell r="O67">
            <v>300</v>
          </cell>
          <cell r="R67">
            <v>150</v>
          </cell>
          <cell r="U67">
            <v>49.4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148.893</v>
          </cell>
          <cell r="D68">
            <v>278.00200000000001</v>
          </cell>
          <cell r="E68">
            <v>307.73</v>
          </cell>
          <cell r="F68">
            <v>91.828999999999994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288.95</v>
          </cell>
          <cell r="L68">
            <v>18.78000000000003</v>
          </cell>
          <cell r="O68">
            <v>168.43632399999979</v>
          </cell>
          <cell r="P68">
            <v>-172.8</v>
          </cell>
          <cell r="R68">
            <v>84.218161999999921</v>
          </cell>
          <cell r="S68">
            <v>-86</v>
          </cell>
          <cell r="U68">
            <v>61.546000000000006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208.648</v>
          </cell>
          <cell r="D69">
            <v>256.137</v>
          </cell>
          <cell r="E69">
            <v>449.30399999999997</v>
          </cell>
          <cell r="F69">
            <v>-6.3570000000000002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428.05</v>
          </cell>
          <cell r="L69">
            <v>21.253999999999962</v>
          </cell>
          <cell r="O69">
            <v>50</v>
          </cell>
          <cell r="P69">
            <v>-54</v>
          </cell>
          <cell r="R69">
            <v>25</v>
          </cell>
          <cell r="S69">
            <v>-27</v>
          </cell>
          <cell r="U69">
            <v>89.860799999999998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506.947</v>
          </cell>
          <cell r="D70">
            <v>421.57600000000002</v>
          </cell>
          <cell r="E70">
            <v>771.12699999999995</v>
          </cell>
          <cell r="F70">
            <v>46.276000000000003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736.75</v>
          </cell>
          <cell r="L70">
            <v>34.376999999999953</v>
          </cell>
          <cell r="O70">
            <v>274.81192138400002</v>
          </cell>
          <cell r="P70">
            <v>-275.39999999999998</v>
          </cell>
          <cell r="R70">
            <v>438.98527701599988</v>
          </cell>
          <cell r="S70">
            <v>-443</v>
          </cell>
          <cell r="U70">
            <v>154.22539999999998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144.852</v>
          </cell>
          <cell r="D71">
            <v>217.34</v>
          </cell>
          <cell r="E71">
            <v>305.827</v>
          </cell>
          <cell r="F71">
            <v>22.751000000000001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312.10000000000002</v>
          </cell>
          <cell r="L71">
            <v>-6.2730000000000246</v>
          </cell>
          <cell r="O71">
            <v>151.28113899999971</v>
          </cell>
          <cell r="P71">
            <v>-151.19999999999999</v>
          </cell>
          <cell r="U71">
            <v>61.165399999999998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24</v>
          </cell>
          <cell r="D72">
            <v>16</v>
          </cell>
          <cell r="E72">
            <v>11</v>
          </cell>
          <cell r="F72">
            <v>29</v>
          </cell>
          <cell r="G72">
            <v>0.6</v>
          </cell>
          <cell r="H72">
            <v>70</v>
          </cell>
          <cell r="I72" t="str">
            <v>матрица</v>
          </cell>
          <cell r="K72">
            <v>11</v>
          </cell>
          <cell r="L72">
            <v>0</v>
          </cell>
          <cell r="O72">
            <v>0</v>
          </cell>
          <cell r="U72">
            <v>2.2000000000000002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327.94799999999998</v>
          </cell>
          <cell r="D73">
            <v>405.43599999999998</v>
          </cell>
          <cell r="E73">
            <v>298.774</v>
          </cell>
          <cell r="F73">
            <v>374.29599999999999</v>
          </cell>
          <cell r="G73">
            <v>1</v>
          </cell>
          <cell r="H73">
            <v>30</v>
          </cell>
          <cell r="I73" t="str">
            <v>матрица</v>
          </cell>
          <cell r="K73">
            <v>325.7</v>
          </cell>
          <cell r="L73">
            <v>-26.925999999999988</v>
          </cell>
          <cell r="O73">
            <v>179.3726337999999</v>
          </cell>
          <cell r="U73">
            <v>59.754800000000003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99</v>
          </cell>
          <cell r="D74">
            <v>216</v>
          </cell>
          <cell r="E74">
            <v>134</v>
          </cell>
          <cell r="F74">
            <v>170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141</v>
          </cell>
          <cell r="L74">
            <v>-7</v>
          </cell>
          <cell r="O74">
            <v>50.500000000000028</v>
          </cell>
          <cell r="U74">
            <v>26.8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20</v>
          </cell>
          <cell r="D75">
            <v>72</v>
          </cell>
          <cell r="E75">
            <v>32</v>
          </cell>
          <cell r="F75">
            <v>58</v>
          </cell>
          <cell r="G75">
            <v>0.6</v>
          </cell>
          <cell r="H75">
            <v>60</v>
          </cell>
          <cell r="I75" t="str">
            <v>матрица</v>
          </cell>
          <cell r="K75">
            <v>33</v>
          </cell>
          <cell r="L75">
            <v>-1</v>
          </cell>
          <cell r="O75">
            <v>14.59999999999998</v>
          </cell>
          <cell r="U75">
            <v>6.4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196</v>
          </cell>
          <cell r="D76">
            <v>40</v>
          </cell>
          <cell r="E76">
            <v>124</v>
          </cell>
          <cell r="F76">
            <v>100</v>
          </cell>
          <cell r="G76">
            <v>0.4</v>
          </cell>
          <cell r="H76">
            <v>90</v>
          </cell>
          <cell r="I76" t="str">
            <v>матрица</v>
          </cell>
          <cell r="K76">
            <v>130</v>
          </cell>
          <cell r="L76">
            <v>-6</v>
          </cell>
          <cell r="O76">
            <v>75.200000000000017</v>
          </cell>
          <cell r="U76">
            <v>24.8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234</v>
          </cell>
          <cell r="D77">
            <v>64</v>
          </cell>
          <cell r="E77">
            <v>135</v>
          </cell>
          <cell r="F77">
            <v>146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138</v>
          </cell>
          <cell r="L77">
            <v>-3</v>
          </cell>
          <cell r="O77">
            <v>113.4</v>
          </cell>
          <cell r="U77">
            <v>27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137</v>
          </cell>
          <cell r="D78">
            <v>120</v>
          </cell>
          <cell r="E78">
            <v>149</v>
          </cell>
          <cell r="F78">
            <v>96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155</v>
          </cell>
          <cell r="L78">
            <v>-6</v>
          </cell>
          <cell r="O78">
            <v>193.3</v>
          </cell>
          <cell r="U78">
            <v>29.8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477</v>
          </cell>
          <cell r="D79">
            <v>790</v>
          </cell>
          <cell r="E79">
            <v>468</v>
          </cell>
          <cell r="F79">
            <v>725</v>
          </cell>
          <cell r="G79">
            <v>0.37</v>
          </cell>
          <cell r="H79">
            <v>50</v>
          </cell>
          <cell r="I79" t="str">
            <v>матрица</v>
          </cell>
          <cell r="K79">
            <v>489</v>
          </cell>
          <cell r="L79">
            <v>-21</v>
          </cell>
          <cell r="O79">
            <v>164.83105099999989</v>
          </cell>
          <cell r="R79">
            <v>263.30154899999991</v>
          </cell>
          <cell r="U79">
            <v>93.6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146</v>
          </cell>
          <cell r="D80">
            <v>144</v>
          </cell>
          <cell r="E80">
            <v>131</v>
          </cell>
          <cell r="F80">
            <v>137</v>
          </cell>
          <cell r="G80">
            <v>0.6</v>
          </cell>
          <cell r="H80">
            <v>70</v>
          </cell>
          <cell r="I80" t="str">
            <v>матрица</v>
          </cell>
          <cell r="K80">
            <v>137</v>
          </cell>
          <cell r="L80">
            <v>-6</v>
          </cell>
          <cell r="O80">
            <v>95.19999999999996</v>
          </cell>
          <cell r="U80">
            <v>26.2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71</v>
          </cell>
          <cell r="D81">
            <v>12</v>
          </cell>
          <cell r="E81">
            <v>50</v>
          </cell>
          <cell r="F81">
            <v>33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70</v>
          </cell>
          <cell r="L81">
            <v>-20</v>
          </cell>
          <cell r="O81">
            <v>94.2</v>
          </cell>
          <cell r="U81">
            <v>10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286</v>
          </cell>
          <cell r="D82">
            <v>298</v>
          </cell>
          <cell r="E82">
            <v>287</v>
          </cell>
          <cell r="F82">
            <v>266</v>
          </cell>
          <cell r="G82">
            <v>0.4</v>
          </cell>
          <cell r="H82">
            <v>55</v>
          </cell>
          <cell r="I82" t="str">
            <v>матрица</v>
          </cell>
          <cell r="K82">
            <v>301</v>
          </cell>
          <cell r="L82">
            <v>-14</v>
          </cell>
          <cell r="O82">
            <v>84.779694999999947</v>
          </cell>
          <cell r="R82">
            <v>135.4273049999999</v>
          </cell>
          <cell r="U82">
            <v>57.4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146</v>
          </cell>
          <cell r="D83">
            <v>54</v>
          </cell>
          <cell r="E83">
            <v>156</v>
          </cell>
          <cell r="F83">
            <v>33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164</v>
          </cell>
          <cell r="L83">
            <v>-8</v>
          </cell>
          <cell r="O83">
            <v>50</v>
          </cell>
          <cell r="P83">
            <v>-54</v>
          </cell>
          <cell r="R83">
            <v>25</v>
          </cell>
          <cell r="S83">
            <v>-31.428571428571431</v>
          </cell>
          <cell r="U83">
            <v>31.2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332</v>
          </cell>
          <cell r="E84">
            <v>176</v>
          </cell>
          <cell r="F84">
            <v>147</v>
          </cell>
          <cell r="G84">
            <v>0.35</v>
          </cell>
          <cell r="H84">
            <v>45</v>
          </cell>
          <cell r="I84" t="str">
            <v>матрица</v>
          </cell>
          <cell r="K84">
            <v>177</v>
          </cell>
          <cell r="L84">
            <v>-1</v>
          </cell>
          <cell r="O84">
            <v>111.4</v>
          </cell>
          <cell r="U84">
            <v>35.200000000000003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267</v>
          </cell>
          <cell r="D85">
            <v>90</v>
          </cell>
          <cell r="E85">
            <v>120</v>
          </cell>
          <cell r="F85">
            <v>237</v>
          </cell>
          <cell r="G85">
            <v>0.4</v>
          </cell>
          <cell r="H85">
            <v>55</v>
          </cell>
          <cell r="I85" t="str">
            <v>матрица</v>
          </cell>
          <cell r="K85">
            <v>120</v>
          </cell>
          <cell r="L85">
            <v>0</v>
          </cell>
          <cell r="O85">
            <v>0</v>
          </cell>
          <cell r="U85">
            <v>24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71.266000000000005</v>
          </cell>
          <cell r="E86">
            <v>12.904</v>
          </cell>
          <cell r="F86">
            <v>46.64</v>
          </cell>
          <cell r="G86">
            <v>1</v>
          </cell>
          <cell r="H86">
            <v>55</v>
          </cell>
          <cell r="I86" t="str">
            <v>матрица</v>
          </cell>
          <cell r="K86">
            <v>11</v>
          </cell>
          <cell r="L86">
            <v>1.9039999999999999</v>
          </cell>
          <cell r="O86">
            <v>0</v>
          </cell>
          <cell r="U86">
            <v>2.5808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4</v>
          </cell>
          <cell r="F87">
            <v>3</v>
          </cell>
          <cell r="G87">
            <v>0</v>
          </cell>
          <cell r="H87">
            <v>55</v>
          </cell>
          <cell r="I87" t="str">
            <v>не в матрице</v>
          </cell>
          <cell r="K87">
            <v>12</v>
          </cell>
          <cell r="L87">
            <v>-12</v>
          </cell>
          <cell r="O87">
            <v>0</v>
          </cell>
          <cell r="U87">
            <v>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196.059</v>
          </cell>
          <cell r="D88">
            <v>357.23399999999998</v>
          </cell>
          <cell r="E88">
            <v>231.30799999999999</v>
          </cell>
          <cell r="F88">
            <v>261.42700000000002</v>
          </cell>
          <cell r="G88">
            <v>1</v>
          </cell>
          <cell r="H88">
            <v>55</v>
          </cell>
          <cell r="I88" t="str">
            <v>матрица</v>
          </cell>
          <cell r="K88">
            <v>221</v>
          </cell>
          <cell r="L88">
            <v>10.307999999999993</v>
          </cell>
          <cell r="O88">
            <v>96.141618650000083</v>
          </cell>
          <cell r="R88">
            <v>153.57687135000009</v>
          </cell>
          <cell r="U88">
            <v>46.261600000000001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1277.7809999999999</v>
          </cell>
          <cell r="D89">
            <v>546.93399999999997</v>
          </cell>
          <cell r="E89">
            <v>748.31500000000005</v>
          </cell>
          <cell r="F89">
            <v>1020.962</v>
          </cell>
          <cell r="G89">
            <v>1</v>
          </cell>
          <cell r="H89">
            <v>60</v>
          </cell>
          <cell r="I89" t="str">
            <v>матрица</v>
          </cell>
          <cell r="K89">
            <v>749.67</v>
          </cell>
          <cell r="L89">
            <v>-1.3549999999999045</v>
          </cell>
          <cell r="O89">
            <v>300.90726850799979</v>
          </cell>
          <cell r="Q89">
            <v>200</v>
          </cell>
          <cell r="R89">
            <v>480.6700522919997</v>
          </cell>
          <cell r="U89">
            <v>149.66300000000001</v>
          </cell>
        </row>
        <row r="90">
          <cell r="A90" t="str">
            <v xml:space="preserve"> 451 Сосиски Филейские ТМ Вязанка в оболочке целлофан 0,3 кг.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U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3953.5369999999998</v>
          </cell>
          <cell r="D91">
            <v>2638.1109999999999</v>
          </cell>
          <cell r="E91">
            <v>1991.2190000000001</v>
          </cell>
          <cell r="F91">
            <v>4463.9709999999995</v>
          </cell>
          <cell r="G91">
            <v>1</v>
          </cell>
          <cell r="H91">
            <v>60</v>
          </cell>
          <cell r="I91" t="str">
            <v>матрица</v>
          </cell>
          <cell r="K91">
            <v>1992.866</v>
          </cell>
          <cell r="L91">
            <v>-1.6469999999999345</v>
          </cell>
          <cell r="O91">
            <v>518.80449644100031</v>
          </cell>
          <cell r="Q91">
            <v>400</v>
          </cell>
          <cell r="R91">
            <v>828.73965015900035</v>
          </cell>
          <cell r="U91">
            <v>398.24380000000002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3377.0450000000001</v>
          </cell>
          <cell r="D92">
            <v>3256.2049999999999</v>
          </cell>
          <cell r="E92">
            <v>1886.808</v>
          </cell>
          <cell r="F92">
            <v>4553.5680000000002</v>
          </cell>
          <cell r="G92">
            <v>1</v>
          </cell>
          <cell r="H92">
            <v>60</v>
          </cell>
          <cell r="I92" t="str">
            <v>матрица</v>
          </cell>
          <cell r="K92">
            <v>1921.75</v>
          </cell>
          <cell r="L92">
            <v>-34.942000000000007</v>
          </cell>
          <cell r="O92">
            <v>427.99470182699997</v>
          </cell>
          <cell r="Q92">
            <v>500</v>
          </cell>
          <cell r="R92">
            <v>683.67984837299991</v>
          </cell>
          <cell r="U92">
            <v>377.36160000000001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5586.7780000000002</v>
          </cell>
          <cell r="D93">
            <v>2629.4789999999998</v>
          </cell>
          <cell r="E93">
            <v>2437.902</v>
          </cell>
          <cell r="F93">
            <v>5587.0039999999999</v>
          </cell>
          <cell r="G93">
            <v>1</v>
          </cell>
          <cell r="H93">
            <v>60</v>
          </cell>
          <cell r="I93" t="str">
            <v>матрица</v>
          </cell>
          <cell r="K93">
            <v>2478.5500000000002</v>
          </cell>
          <cell r="L93">
            <v>-40.648000000000138</v>
          </cell>
          <cell r="O93">
            <v>466.96834676800017</v>
          </cell>
          <cell r="Q93">
            <v>1200</v>
          </cell>
          <cell r="R93">
            <v>745.93645003200027</v>
          </cell>
          <cell r="T93">
            <v>400</v>
          </cell>
          <cell r="U93">
            <v>487.5804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B94" t="str">
            <v>кг</v>
          </cell>
          <cell r="C94">
            <v>63.777999999999999</v>
          </cell>
          <cell r="D94">
            <v>21.495999999999999</v>
          </cell>
          <cell r="E94">
            <v>42.4</v>
          </cell>
          <cell r="F94">
            <v>40.902999999999999</v>
          </cell>
          <cell r="G94">
            <v>1</v>
          </cell>
          <cell r="H94">
            <v>55</v>
          </cell>
          <cell r="I94" t="str">
            <v>матрица</v>
          </cell>
          <cell r="K94">
            <v>44.6</v>
          </cell>
          <cell r="L94">
            <v>-2.2000000000000028</v>
          </cell>
          <cell r="O94">
            <v>0</v>
          </cell>
          <cell r="U94">
            <v>8.48</v>
          </cell>
        </row>
        <row r="95">
          <cell r="A95" t="str">
            <v xml:space="preserve"> 469  Колбаса Филедворская по-стародворски ТМ Стародворье в оболочке полиамид.ВЕС  ПОКОМ </v>
          </cell>
          <cell r="B95" t="str">
            <v>кг</v>
          </cell>
          <cell r="C95">
            <v>4.125</v>
          </cell>
          <cell r="F95">
            <v>4.125</v>
          </cell>
          <cell r="G95">
            <v>0</v>
          </cell>
          <cell r="H95">
            <v>55</v>
          </cell>
          <cell r="I95" t="str">
            <v>не в матрице</v>
          </cell>
          <cell r="K95">
            <v>5.2</v>
          </cell>
          <cell r="L95">
            <v>-5.2</v>
          </cell>
          <cell r="O95">
            <v>0</v>
          </cell>
          <cell r="U95">
            <v>0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B96" t="str">
            <v>шт</v>
          </cell>
          <cell r="C96">
            <v>-7</v>
          </cell>
          <cell r="E96">
            <v>-9</v>
          </cell>
          <cell r="F96">
            <v>-9</v>
          </cell>
          <cell r="G96">
            <v>0.3</v>
          </cell>
          <cell r="H96">
            <v>40</v>
          </cell>
          <cell r="I96" t="str">
            <v>НЕДОГРУЗ / матрица</v>
          </cell>
          <cell r="K96">
            <v>7</v>
          </cell>
          <cell r="L96">
            <v>-16</v>
          </cell>
          <cell r="O96">
            <v>100</v>
          </cell>
          <cell r="P96">
            <v>-102</v>
          </cell>
          <cell r="R96">
            <v>50</v>
          </cell>
          <cell r="S96">
            <v>-53.333333333333343</v>
          </cell>
          <cell r="U96">
            <v>-1.8</v>
          </cell>
        </row>
        <row r="97">
          <cell r="A97" t="str">
            <v xml:space="preserve"> 517  Сосиски С сыром ТМ Ядрена копоть 0,3кг  ПОКОМ</v>
          </cell>
          <cell r="B97" t="str">
            <v>шт</v>
          </cell>
          <cell r="C97">
            <v>192</v>
          </cell>
          <cell r="D97">
            <v>312</v>
          </cell>
          <cell r="E97">
            <v>245</v>
          </cell>
          <cell r="F97">
            <v>248</v>
          </cell>
          <cell r="G97">
            <v>0.3</v>
          </cell>
          <cell r="H97">
            <v>40</v>
          </cell>
          <cell r="I97" t="str">
            <v>матрица</v>
          </cell>
          <cell r="K97">
            <v>249</v>
          </cell>
          <cell r="L97">
            <v>-4</v>
          </cell>
          <cell r="O97">
            <v>183.24999999999989</v>
          </cell>
          <cell r="U97">
            <v>49</v>
          </cell>
        </row>
        <row r="98">
          <cell r="A98" t="str">
            <v xml:space="preserve"> 523  Колбаса Сальчичон нарезка 0,07кг ТМ Стародворье  ПОКОМ 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U98">
            <v>0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 t="str">
            <v>шт</v>
          </cell>
          <cell r="C99">
            <v>19</v>
          </cell>
          <cell r="D99">
            <v>109</v>
          </cell>
          <cell r="E99">
            <v>20</v>
          </cell>
          <cell r="F99">
            <v>98</v>
          </cell>
          <cell r="G99">
            <v>7.0000000000000007E-2</v>
          </cell>
          <cell r="H99">
            <v>90</v>
          </cell>
          <cell r="I99" t="str">
            <v>НЕДОГРУЗ / матрица</v>
          </cell>
          <cell r="K99">
            <v>58</v>
          </cell>
          <cell r="L99">
            <v>-38</v>
          </cell>
          <cell r="O99">
            <v>100</v>
          </cell>
          <cell r="R99">
            <v>50</v>
          </cell>
          <cell r="S99">
            <v>-71.428571428571416</v>
          </cell>
          <cell r="U99">
            <v>4</v>
          </cell>
        </row>
        <row r="100">
          <cell r="A100" t="str">
            <v xml:space="preserve"> 525  Колбаса Фуэт нарезка 0,07кг ТМ Стародворье  ПОКОМ</v>
          </cell>
          <cell r="B100" t="str">
            <v>шт</v>
          </cell>
          <cell r="C100">
            <v>219</v>
          </cell>
          <cell r="D100">
            <v>145</v>
          </cell>
          <cell r="E100">
            <v>183</v>
          </cell>
          <cell r="F100">
            <v>169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186</v>
          </cell>
          <cell r="L100">
            <v>-3</v>
          </cell>
          <cell r="O100">
            <v>79.892119999999935</v>
          </cell>
          <cell r="R100">
            <v>127.6198799999999</v>
          </cell>
          <cell r="U100">
            <v>36.6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 t="str">
            <v>шт</v>
          </cell>
          <cell r="C101">
            <v>2</v>
          </cell>
          <cell r="E101">
            <v>-1</v>
          </cell>
          <cell r="F101">
            <v>2</v>
          </cell>
          <cell r="G101">
            <v>0</v>
          </cell>
          <cell r="H101">
            <v>90</v>
          </cell>
          <cell r="I101" t="str">
            <v>не в матрице</v>
          </cell>
          <cell r="K101">
            <v>39</v>
          </cell>
          <cell r="L101">
            <v>-40</v>
          </cell>
          <cell r="O101">
            <v>0</v>
          </cell>
          <cell r="U101">
            <v>-0.2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C102">
            <v>57</v>
          </cell>
          <cell r="D102">
            <v>156</v>
          </cell>
          <cell r="E102">
            <v>191</v>
          </cell>
          <cell r="F102">
            <v>16</v>
          </cell>
          <cell r="G102">
            <v>0.3</v>
          </cell>
          <cell r="H102">
            <v>40</v>
          </cell>
          <cell r="I102" t="str">
            <v>НЕДОГРУЗ / матрица</v>
          </cell>
          <cell r="K102">
            <v>203</v>
          </cell>
          <cell r="L102">
            <v>-12</v>
          </cell>
          <cell r="O102">
            <v>63.399999999999977</v>
          </cell>
          <cell r="P102">
            <v>-66</v>
          </cell>
          <cell r="U102">
            <v>38.200000000000003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C103">
            <v>100.89400000000001</v>
          </cell>
          <cell r="D103">
            <v>101.672</v>
          </cell>
          <cell r="E103">
            <v>108.69499999999999</v>
          </cell>
          <cell r="F103">
            <v>77.86</v>
          </cell>
          <cell r="G103">
            <v>1</v>
          </cell>
          <cell r="H103">
            <v>55</v>
          </cell>
          <cell r="I103" t="str">
            <v>НЕДОГРУЗ / матрица</v>
          </cell>
          <cell r="K103">
            <v>113.2</v>
          </cell>
          <cell r="L103">
            <v>-4.5050000000000097</v>
          </cell>
          <cell r="O103">
            <v>80</v>
          </cell>
          <cell r="R103">
            <v>40</v>
          </cell>
          <cell r="S103">
            <v>-42</v>
          </cell>
          <cell r="U103">
            <v>21.738999999999997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U104">
            <v>0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 t="str">
            <v>шт</v>
          </cell>
          <cell r="C105">
            <v>30</v>
          </cell>
          <cell r="D105">
            <v>5</v>
          </cell>
          <cell r="E105">
            <v>12</v>
          </cell>
          <cell r="G105">
            <v>0.1</v>
          </cell>
          <cell r="H105">
            <v>30</v>
          </cell>
          <cell r="I105" t="str">
            <v>матрица</v>
          </cell>
          <cell r="K105">
            <v>20</v>
          </cell>
          <cell r="L105">
            <v>-8</v>
          </cell>
          <cell r="O105">
            <v>26.6</v>
          </cell>
          <cell r="P105">
            <v>-30</v>
          </cell>
          <cell r="U105">
            <v>2.4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 t="str">
            <v>шт</v>
          </cell>
          <cell r="C106">
            <v>262</v>
          </cell>
          <cell r="D106">
            <v>402</v>
          </cell>
          <cell r="E106">
            <v>287</v>
          </cell>
          <cell r="F106">
            <v>327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293</v>
          </cell>
          <cell r="L106">
            <v>-6</v>
          </cell>
          <cell r="O106">
            <v>153.27559999999971</v>
          </cell>
          <cell r="U106">
            <v>57.4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 t="str">
            <v>шт</v>
          </cell>
          <cell r="C107">
            <v>210</v>
          </cell>
          <cell r="D107">
            <v>290</v>
          </cell>
          <cell r="E107">
            <v>271</v>
          </cell>
          <cell r="F107">
            <v>206</v>
          </cell>
          <cell r="G107">
            <v>0.08</v>
          </cell>
          <cell r="H107">
            <v>45</v>
          </cell>
          <cell r="I107" t="str">
            <v>матрица</v>
          </cell>
          <cell r="K107">
            <v>278</v>
          </cell>
          <cell r="L107">
            <v>-7</v>
          </cell>
          <cell r="O107">
            <v>190.98500000000001</v>
          </cell>
          <cell r="U107">
            <v>54.2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 t="str">
            <v>шт</v>
          </cell>
          <cell r="C108">
            <v>22</v>
          </cell>
          <cell r="E108">
            <v>7</v>
          </cell>
          <cell r="F108">
            <v>7</v>
          </cell>
          <cell r="G108">
            <v>0.17</v>
          </cell>
          <cell r="H108">
            <v>30</v>
          </cell>
          <cell r="I108" t="str">
            <v>матрица</v>
          </cell>
          <cell r="K108">
            <v>7</v>
          </cell>
          <cell r="L108">
            <v>0</v>
          </cell>
          <cell r="O108">
            <v>4.2000000000000028</v>
          </cell>
          <cell r="U108">
            <v>1.4</v>
          </cell>
        </row>
        <row r="109">
          <cell r="A109" t="str">
            <v xml:space="preserve"> 556  Колбаса Сервелат Ореховый ТМ Вязанка в оболочке фиброуз в вакуумной упаковке, ВЕС  ПОКОМ</v>
          </cell>
          <cell r="B109" t="str">
            <v>кг</v>
          </cell>
          <cell r="C109">
            <v>417.541</v>
          </cell>
          <cell r="D109">
            <v>0.71599999999999997</v>
          </cell>
          <cell r="E109">
            <v>404.762</v>
          </cell>
          <cell r="F109">
            <v>3.7490000000000001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540.02499999999998</v>
          </cell>
          <cell r="L109">
            <v>-135.26299999999998</v>
          </cell>
          <cell r="O109">
            <v>200</v>
          </cell>
          <cell r="P109">
            <v>-203</v>
          </cell>
          <cell r="R109">
            <v>100</v>
          </cell>
          <cell r="U109">
            <v>80.952399999999997</v>
          </cell>
        </row>
        <row r="110">
          <cell r="A110" t="str">
            <v xml:space="preserve"> 557  Колбаса Сервелат Финский ТМ Вязанка в оболочке фиброуз в вакуумной упаковке, ВЕС  ПОКОМ</v>
          </cell>
          <cell r="B110" t="str">
            <v>кг</v>
          </cell>
          <cell r="C110">
            <v>126.003</v>
          </cell>
          <cell r="D110">
            <v>202.05600000000001</v>
          </cell>
          <cell r="E110">
            <v>135.328</v>
          </cell>
          <cell r="F110">
            <v>147.97200000000001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190.8</v>
          </cell>
          <cell r="L110">
            <v>-55.472000000000008</v>
          </cell>
          <cell r="O110">
            <v>200</v>
          </cell>
          <cell r="R110">
            <v>100</v>
          </cell>
          <cell r="S110">
            <v>-102</v>
          </cell>
          <cell r="U110">
            <v>27.0656</v>
          </cell>
        </row>
        <row r="111">
          <cell r="A111" t="str">
            <v xml:space="preserve"> 558  Колбаса Балыковая НОВАЯ ВЕС Вязанка фиброуз в/у ПОКОМ</v>
          </cell>
          <cell r="B111" t="str">
            <v>кг</v>
          </cell>
          <cell r="C111">
            <v>78.088999999999999</v>
          </cell>
          <cell r="D111">
            <v>139.501</v>
          </cell>
          <cell r="E111">
            <v>192.28700000000001</v>
          </cell>
          <cell r="F111">
            <v>-25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252.8</v>
          </cell>
          <cell r="L111">
            <v>-60.513000000000005</v>
          </cell>
          <cell r="O111">
            <v>300</v>
          </cell>
          <cell r="P111">
            <v>-301</v>
          </cell>
          <cell r="R111">
            <v>150</v>
          </cell>
          <cell r="S111">
            <v>-151</v>
          </cell>
          <cell r="U111">
            <v>38.4574</v>
          </cell>
        </row>
        <row r="112">
          <cell r="A112" t="str">
            <v xml:space="preserve"> 564  Сосиски Сочные 0,3 кг ТМ Вязанка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U112">
            <v>0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14.536</v>
          </cell>
          <cell r="E113">
            <v>2.83</v>
          </cell>
          <cell r="F113">
            <v>9.0809999999999995</v>
          </cell>
          <cell r="G113">
            <v>1</v>
          </cell>
          <cell r="H113">
            <v>55</v>
          </cell>
          <cell r="I113" t="str">
            <v>матрица</v>
          </cell>
          <cell r="K113">
            <v>3.9</v>
          </cell>
          <cell r="L113">
            <v>-1.0699999999999998</v>
          </cell>
          <cell r="O113">
            <v>0</v>
          </cell>
          <cell r="U113">
            <v>0.56600000000000006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306</v>
          </cell>
          <cell r="D114">
            <v>7</v>
          </cell>
          <cell r="E114">
            <v>217</v>
          </cell>
          <cell r="F114">
            <v>71</v>
          </cell>
          <cell r="G114">
            <v>0.28000000000000003</v>
          </cell>
          <cell r="H114">
            <v>40</v>
          </cell>
          <cell r="I114" t="str">
            <v>матрица</v>
          </cell>
          <cell r="K114">
            <v>420</v>
          </cell>
          <cell r="L114">
            <v>-203</v>
          </cell>
          <cell r="O114">
            <v>137.154325</v>
          </cell>
          <cell r="P114">
            <v>-138</v>
          </cell>
          <cell r="R114">
            <v>219.09067499999989</v>
          </cell>
          <cell r="U114">
            <v>43.4</v>
          </cell>
        </row>
        <row r="115">
          <cell r="A115" t="str">
            <v xml:space="preserve"> 570  Колбаса Сервелат Финский ТМ Вязанка в оболочке фиброуз в вак. упаковке 0,28 кг срез  ПОКОМ</v>
          </cell>
          <cell r="B115" t="str">
            <v>шт</v>
          </cell>
          <cell r="G115">
            <v>0</v>
          </cell>
          <cell r="I115" t="str">
            <v>матрица</v>
          </cell>
          <cell r="L115">
            <v>0</v>
          </cell>
          <cell r="O115">
            <v>0</v>
          </cell>
          <cell r="U115">
            <v>0</v>
          </cell>
        </row>
        <row r="116">
          <cell r="A116" t="str">
            <v xml:space="preserve"> 571  Колбаса Сервелат Ореховый ТМ Вязанка в оболочке фиброуз в вак. упаковке 0,28 кг срез  ПОКОМ</v>
          </cell>
          <cell r="B116" t="str">
            <v>шт</v>
          </cell>
          <cell r="C116">
            <v>324</v>
          </cell>
          <cell r="D116">
            <v>1</v>
          </cell>
          <cell r="E116">
            <v>231</v>
          </cell>
          <cell r="F116">
            <v>81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395</v>
          </cell>
          <cell r="L116">
            <v>-164</v>
          </cell>
          <cell r="O116">
            <v>300</v>
          </cell>
          <cell r="P116">
            <v>-299.99999999999989</v>
          </cell>
          <cell r="R116">
            <v>150</v>
          </cell>
          <cell r="S116">
            <v>-150</v>
          </cell>
          <cell r="U116">
            <v>46.2</v>
          </cell>
        </row>
        <row r="117">
          <cell r="A117" t="str">
            <v xml:space="preserve"> 574  Колбаса Сервелат Финский ТМ Вязанка в упаковке скин 0,09 кг нарезка  ПОКОМ</v>
          </cell>
          <cell r="B117" t="str">
            <v>шт</v>
          </cell>
          <cell r="C117">
            <v>3</v>
          </cell>
          <cell r="D117">
            <v>90</v>
          </cell>
          <cell r="E117">
            <v>63</v>
          </cell>
          <cell r="F117">
            <v>23</v>
          </cell>
          <cell r="G117">
            <v>0.09</v>
          </cell>
          <cell r="I117" t="str">
            <v>матрица</v>
          </cell>
          <cell r="K117">
            <v>101</v>
          </cell>
          <cell r="L117">
            <v>-38</v>
          </cell>
          <cell r="O117">
            <v>0</v>
          </cell>
          <cell r="U117">
            <v>12.6</v>
          </cell>
        </row>
        <row r="118">
          <cell r="A118" t="str">
            <v xml:space="preserve"> 579  Колбаса Ветчинно-рубленая ТМ Особый рецепт в оболочке полиамид.ВЕС  ПОКОМ</v>
          </cell>
          <cell r="B118" t="str">
            <v>кг</v>
          </cell>
          <cell r="C118">
            <v>307.69600000000003</v>
          </cell>
          <cell r="E118">
            <v>216.696</v>
          </cell>
          <cell r="F118">
            <v>90.263999999999996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232.85</v>
          </cell>
          <cell r="L118">
            <v>-16.153999999999996</v>
          </cell>
          <cell r="O118">
            <v>9.6532000000000266</v>
          </cell>
          <cell r="U118">
            <v>43.339199999999998</v>
          </cell>
        </row>
        <row r="119">
          <cell r="A119" t="str">
            <v xml:space="preserve"> 580  Ветчина Нежная с индейкой ТМ Особый рецепт в оболочке полиамид.ВЕС  ПОКОМ</v>
          </cell>
          <cell r="B119" t="str">
            <v>кг</v>
          </cell>
          <cell r="C119">
            <v>82.09</v>
          </cell>
          <cell r="E119">
            <v>-1.1779999999999999</v>
          </cell>
          <cell r="F119">
            <v>82.09</v>
          </cell>
          <cell r="G119">
            <v>1</v>
          </cell>
          <cell r="H119">
            <v>50</v>
          </cell>
          <cell r="I119" t="str">
            <v>матрица</v>
          </cell>
          <cell r="K119">
            <v>42.5</v>
          </cell>
          <cell r="L119">
            <v>-43.677999999999997</v>
          </cell>
          <cell r="O119">
            <v>0</v>
          </cell>
          <cell r="U119">
            <v>-0.23559999999999998</v>
          </cell>
        </row>
        <row r="120">
          <cell r="A120" t="str">
            <v xml:space="preserve"> 583  Колбаса Балыковая ТМ Вязанка в упаковке скин 0,09 кг нарезка  ПОКОМ</v>
          </cell>
          <cell r="B120" t="str">
            <v>шт</v>
          </cell>
          <cell r="C120">
            <v>-1</v>
          </cell>
          <cell r="D120">
            <v>100</v>
          </cell>
          <cell r="E120">
            <v>63</v>
          </cell>
          <cell r="F120">
            <v>27</v>
          </cell>
          <cell r="G120">
            <v>0.09</v>
          </cell>
          <cell r="I120" t="str">
            <v>матрица</v>
          </cell>
          <cell r="K120">
            <v>74</v>
          </cell>
          <cell r="L120">
            <v>-11</v>
          </cell>
          <cell r="O120">
            <v>0</v>
          </cell>
          <cell r="U120">
            <v>12.6</v>
          </cell>
        </row>
        <row r="121">
          <cell r="A121" t="str">
            <v xml:space="preserve"> 584  Колбаса Сервелат Ореховый ТМ Вязанка в упаковке скин 0,09 кг нарезка 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L121">
            <v>0</v>
          </cell>
          <cell r="O121">
            <v>0</v>
          </cell>
          <cell r="U121">
            <v>0</v>
          </cell>
        </row>
        <row r="122">
          <cell r="A122" t="str">
            <v xml:space="preserve"> 585  Колбаса Молочная ТМ Стародворье в оболочке вектор НД ВЕС.  ПОКОМ</v>
          </cell>
          <cell r="B122" t="str">
            <v>кг</v>
          </cell>
          <cell r="C122">
            <v>248.17599999999999</v>
          </cell>
          <cell r="D122">
            <v>719.95799999999997</v>
          </cell>
          <cell r="E122">
            <v>351.44299999999998</v>
          </cell>
          <cell r="F122">
            <v>580.72799999999995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338.3</v>
          </cell>
          <cell r="L122">
            <v>13.142999999999972</v>
          </cell>
          <cell r="O122">
            <v>152.6804491999998</v>
          </cell>
          <cell r="U122">
            <v>70.288600000000002</v>
          </cell>
        </row>
        <row r="123">
          <cell r="A123" t="str">
            <v xml:space="preserve"> 586  Колбаса Мясная ТМ Стародворье в оболочке вектор НД ВЕС.  ПОКОМ</v>
          </cell>
          <cell r="B123" t="str">
            <v>кг</v>
          </cell>
          <cell r="C123">
            <v>406.09100000000001</v>
          </cell>
          <cell r="D123">
            <v>675.59199999999998</v>
          </cell>
          <cell r="E123">
            <v>467.98500000000001</v>
          </cell>
          <cell r="F123">
            <v>555.60599999999999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451.55</v>
          </cell>
          <cell r="L123">
            <v>16.435000000000002</v>
          </cell>
          <cell r="O123">
            <v>162.23177324200009</v>
          </cell>
          <cell r="R123">
            <v>259.14945595800009</v>
          </cell>
          <cell r="U123">
            <v>93.597000000000008</v>
          </cell>
        </row>
        <row r="124">
          <cell r="A124" t="str">
            <v xml:space="preserve"> 588 Колбаса Со шпиком ТМ Стародворье в оболочке вектор ВЕС  ПОКОМ</v>
          </cell>
          <cell r="B124" t="str">
            <v>кг</v>
          </cell>
          <cell r="C124">
            <v>112.03700000000001</v>
          </cell>
          <cell r="D124">
            <v>449.25299999999999</v>
          </cell>
          <cell r="E124">
            <v>157.76</v>
          </cell>
          <cell r="F124">
            <v>371.69200000000001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153.4</v>
          </cell>
          <cell r="L124">
            <v>4.3599999999999852</v>
          </cell>
          <cell r="O124">
            <v>77.063773400000002</v>
          </cell>
          <cell r="U124">
            <v>31.552</v>
          </cell>
        </row>
        <row r="125">
          <cell r="A125" t="str">
            <v xml:space="preserve"> 597  Колбаса Классическая ТМ Особый рецепт в оболочке полиамид ВЕС. ПОКОМ</v>
          </cell>
          <cell r="B125" t="str">
            <v>кг</v>
          </cell>
          <cell r="C125">
            <v>2800.511</v>
          </cell>
          <cell r="D125">
            <v>1315.9829999999999</v>
          </cell>
          <cell r="E125">
            <v>1581.307</v>
          </cell>
          <cell r="F125">
            <v>2412.2429999999999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1576.05</v>
          </cell>
          <cell r="L125">
            <v>5.2570000000000618</v>
          </cell>
          <cell r="O125">
            <v>371.27477702700003</v>
          </cell>
          <cell r="Q125">
            <v>300</v>
          </cell>
          <cell r="R125">
            <v>593.07529317300009</v>
          </cell>
          <cell r="U125">
            <v>316.26139999999998</v>
          </cell>
        </row>
        <row r="126">
          <cell r="A126" t="str">
            <v xml:space="preserve"> 614  Буженина в пряном маринаде 0,25 кг консервы из мяса индейки ТМ Стародворье  ПОКОМ</v>
          </cell>
          <cell r="B126" t="str">
            <v>шт</v>
          </cell>
          <cell r="C126">
            <v>206</v>
          </cell>
          <cell r="D126">
            <v>108</v>
          </cell>
          <cell r="E126">
            <v>40</v>
          </cell>
          <cell r="F126">
            <v>272</v>
          </cell>
          <cell r="G126">
            <v>0.25</v>
          </cell>
          <cell r="I126" t="str">
            <v>НЕДОГРУЗ / матрица</v>
          </cell>
          <cell r="K126">
            <v>40</v>
          </cell>
          <cell r="L126">
            <v>0</v>
          </cell>
          <cell r="O126">
            <v>100</v>
          </cell>
          <cell r="R126">
            <v>50</v>
          </cell>
          <cell r="U126">
            <v>8</v>
          </cell>
        </row>
        <row r="127">
          <cell r="A127" t="str">
            <v xml:space="preserve"> 615  Гречка по-купечески с говядиной и овощами 0,325кг ТМ Стародворье  ПОКОМ</v>
          </cell>
          <cell r="B127" t="str">
            <v>шт</v>
          </cell>
          <cell r="C127">
            <v>206</v>
          </cell>
          <cell r="D127">
            <v>315</v>
          </cell>
          <cell r="E127">
            <v>27</v>
          </cell>
          <cell r="F127">
            <v>492</v>
          </cell>
          <cell r="G127">
            <v>0.32500000000000001</v>
          </cell>
          <cell r="I127" t="str">
            <v>НЕДОГРУЗ / матрица</v>
          </cell>
          <cell r="K127">
            <v>25</v>
          </cell>
          <cell r="L127">
            <v>2</v>
          </cell>
          <cell r="O127">
            <v>0</v>
          </cell>
          <cell r="R127">
            <v>0</v>
          </cell>
          <cell r="U127">
            <v>5.4</v>
          </cell>
        </row>
        <row r="128">
          <cell r="A128" t="str">
            <v xml:space="preserve"> 616  Индейка томлёная в собственном соку 0,25кг ТМ Стародлворье Консервый из мяс.птицы  ПОКОМ</v>
          </cell>
          <cell r="B128" t="str">
            <v>шт</v>
          </cell>
          <cell r="C128">
            <v>149</v>
          </cell>
          <cell r="E128">
            <v>39</v>
          </cell>
          <cell r="F128">
            <v>108</v>
          </cell>
          <cell r="G128">
            <v>0.25</v>
          </cell>
          <cell r="I128" t="str">
            <v>матрица</v>
          </cell>
          <cell r="K128">
            <v>39</v>
          </cell>
          <cell r="L128">
            <v>0</v>
          </cell>
          <cell r="O128">
            <v>0</v>
          </cell>
          <cell r="U128">
            <v>7.8</v>
          </cell>
        </row>
        <row r="129">
          <cell r="A129" t="str">
            <v>495  Колбаса Сочинка по-европейски с сочной грудинкой 0,3кг ТМ Стародворье  ПОКОМ</v>
          </cell>
          <cell r="B129" t="str">
            <v>шт</v>
          </cell>
          <cell r="C129">
            <v>3</v>
          </cell>
          <cell r="E129">
            <v>-5</v>
          </cell>
          <cell r="F129">
            <v>1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136</v>
          </cell>
          <cell r="L129">
            <v>-141</v>
          </cell>
          <cell r="O129">
            <v>300</v>
          </cell>
          <cell r="P129">
            <v>-300</v>
          </cell>
          <cell r="R129">
            <v>150</v>
          </cell>
          <cell r="S129">
            <v>-150</v>
          </cell>
          <cell r="U129">
            <v>-1</v>
          </cell>
        </row>
        <row r="130">
          <cell r="A130" t="str">
            <v>496  Колбаса Сочинка по-фински с сочным окроком 0,3кг ТМ Стародворье  ПОКОМ</v>
          </cell>
          <cell r="B130" t="str">
            <v>шт</v>
          </cell>
          <cell r="C130">
            <v>-7</v>
          </cell>
          <cell r="E130">
            <v>-15</v>
          </cell>
          <cell r="F130">
            <v>-7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15</v>
          </cell>
          <cell r="L130">
            <v>-30</v>
          </cell>
          <cell r="O130">
            <v>150</v>
          </cell>
          <cell r="P130">
            <v>-150</v>
          </cell>
          <cell r="R130">
            <v>75</v>
          </cell>
          <cell r="S130">
            <v>-76.666666666666671</v>
          </cell>
          <cell r="U130">
            <v>-3</v>
          </cell>
        </row>
        <row r="131">
          <cell r="A131" t="str">
            <v>503 Колбаса Филейская со шпиком ТМ Вязанка в оболочке полиамид.ПОКОМ</v>
          </cell>
          <cell r="B131" t="str">
            <v>кг</v>
          </cell>
          <cell r="C131">
            <v>218.13800000000001</v>
          </cell>
          <cell r="D131">
            <v>466.64600000000002</v>
          </cell>
          <cell r="E131">
            <v>288.92500000000001</v>
          </cell>
          <cell r="F131">
            <v>364.53100000000001</v>
          </cell>
          <cell r="G131">
            <v>1</v>
          </cell>
          <cell r="H131">
            <v>50</v>
          </cell>
          <cell r="I131" t="str">
            <v>матрица</v>
          </cell>
          <cell r="K131">
            <v>292.10000000000002</v>
          </cell>
          <cell r="L131">
            <v>-3.1750000000000114</v>
          </cell>
          <cell r="O131">
            <v>93.27761866499992</v>
          </cell>
          <cell r="R131">
            <v>149.00191033499991</v>
          </cell>
          <cell r="U131">
            <v>57.785000000000004</v>
          </cell>
        </row>
        <row r="132">
          <cell r="A132" t="str">
            <v>515  Колбаса Сервелат Мясорубский Делюкс 0,3кг ТМ Стародворье  ПОКОМ</v>
          </cell>
          <cell r="B132" t="str">
            <v>шт</v>
          </cell>
          <cell r="C132">
            <v>213</v>
          </cell>
          <cell r="D132">
            <v>150</v>
          </cell>
          <cell r="E132">
            <v>223</v>
          </cell>
          <cell r="F132">
            <v>63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340</v>
          </cell>
          <cell r="L132">
            <v>-117</v>
          </cell>
          <cell r="O132">
            <v>200</v>
          </cell>
          <cell r="P132">
            <v>-204</v>
          </cell>
          <cell r="R132">
            <v>100</v>
          </cell>
          <cell r="U132">
            <v>44.6</v>
          </cell>
        </row>
        <row r="133">
          <cell r="A133" t="str">
            <v>519  Грудинка 0,12 кг нарезка ТМ Стародворье  ПОКОМ</v>
          </cell>
          <cell r="B133" t="str">
            <v>шт</v>
          </cell>
          <cell r="C133">
            <v>101</v>
          </cell>
          <cell r="D133">
            <v>76</v>
          </cell>
          <cell r="E133">
            <v>99</v>
          </cell>
          <cell r="F133">
            <v>58</v>
          </cell>
          <cell r="G133">
            <v>0.12</v>
          </cell>
          <cell r="H133">
            <v>45</v>
          </cell>
          <cell r="I133" t="str">
            <v>НЕДОГРУЗ / матрица</v>
          </cell>
          <cell r="K133">
            <v>108</v>
          </cell>
          <cell r="L133">
            <v>-9</v>
          </cell>
          <cell r="O133">
            <v>34.199999999999989</v>
          </cell>
          <cell r="P133">
            <v>-45.000000000000007</v>
          </cell>
          <cell r="R133">
            <v>17.099999999999991</v>
          </cell>
          <cell r="S133">
            <v>-33.333333333333343</v>
          </cell>
          <cell r="U133">
            <v>19.8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D134">
            <v>50</v>
          </cell>
          <cell r="E134">
            <v>2</v>
          </cell>
          <cell r="F134">
            <v>48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2</v>
          </cell>
          <cell r="L134">
            <v>0</v>
          </cell>
          <cell r="O134">
            <v>0</v>
          </cell>
          <cell r="U134">
            <v>0.4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2" sqref="T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9" customWidth="1"/>
    <col min="20" max="20" width="7" style="18" customWidth="1"/>
    <col min="21" max="23" width="7" customWidth="1"/>
    <col min="24" max="25" width="5" customWidth="1"/>
    <col min="26" max="35" width="6.5703125" customWidth="1"/>
    <col min="36" max="36" width="20.5703125" customWidth="1"/>
    <col min="37" max="37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7">
        <v>0.7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f>AK2-AK5</f>
        <v>-2</v>
      </c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17000</v>
      </c>
    </row>
    <row r="3" spans="1:3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402</v>
      </c>
      <c r="T4" s="1" t="s">
        <v>28</v>
      </c>
      <c r="U4" s="1" t="s">
        <v>29</v>
      </c>
      <c r="V4" s="1"/>
      <c r="W4" s="1" t="s">
        <v>30</v>
      </c>
      <c r="X4" s="1"/>
      <c r="Y4" s="1"/>
      <c r="Z4" s="1" t="s">
        <v>24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/>
      <c r="AK4" s="1"/>
    </row>
    <row r="5" spans="1:38" x14ac:dyDescent="0.25">
      <c r="A5" s="1"/>
      <c r="B5" s="1"/>
      <c r="C5" s="1"/>
      <c r="D5" s="1"/>
      <c r="E5" s="4">
        <f>SUM(E6:E500)</f>
        <v>48875.202000000012</v>
      </c>
      <c r="F5" s="4">
        <f>SUM(F6:F500)</f>
        <v>57879.210000000006</v>
      </c>
      <c r="G5" s="7"/>
      <c r="H5" s="1"/>
      <c r="I5" s="1"/>
      <c r="J5" s="1"/>
      <c r="K5" s="4">
        <f t="shared" ref="K5:W5" si="0">SUM(K6:K500)</f>
        <v>53862.364999999991</v>
      </c>
      <c r="L5" s="4">
        <f t="shared" si="0"/>
        <v>-4987.1630000000005</v>
      </c>
      <c r="M5" s="4">
        <f t="shared" si="0"/>
        <v>0</v>
      </c>
      <c r="N5" s="4">
        <f t="shared" si="0"/>
        <v>0</v>
      </c>
      <c r="O5" s="4">
        <f t="shared" si="0"/>
        <v>22089.980531287998</v>
      </c>
      <c r="P5" s="4">
        <f t="shared" si="0"/>
        <v>-2381.6190476190477</v>
      </c>
      <c r="Q5" s="4">
        <f t="shared" si="0"/>
        <v>400</v>
      </c>
      <c r="R5" s="4">
        <f t="shared" si="0"/>
        <v>16935.776642600002</v>
      </c>
      <c r="S5" s="4">
        <f t="shared" ref="S5" si="1">SUM(S6:S500)</f>
        <v>-3031.0526695526696</v>
      </c>
      <c r="T5" s="4">
        <f t="shared" si="0"/>
        <v>2811</v>
      </c>
      <c r="U5" s="4">
        <f t="shared" si="0"/>
        <v>9775.0403999999999</v>
      </c>
      <c r="V5" s="4">
        <f t="shared" si="0"/>
        <v>30844.371770536</v>
      </c>
      <c r="W5" s="4">
        <f t="shared" si="0"/>
        <v>25309.071904310298</v>
      </c>
      <c r="X5" s="1"/>
      <c r="Y5" s="1"/>
      <c r="Z5" s="4">
        <f t="shared" ref="Z5:AI5" si="2">SUM(Z6:Z500)</f>
        <v>9682.6813999999977</v>
      </c>
      <c r="AA5" s="4">
        <f t="shared" si="2"/>
        <v>10297.278999999999</v>
      </c>
      <c r="AB5" s="4">
        <f t="shared" si="2"/>
        <v>10547.457800000002</v>
      </c>
      <c r="AC5" s="4">
        <f t="shared" si="2"/>
        <v>10043.437000000002</v>
      </c>
      <c r="AD5" s="4">
        <f t="shared" si="2"/>
        <v>9948.0886000000064</v>
      </c>
      <c r="AE5" s="4">
        <f t="shared" si="2"/>
        <v>10809.313400000001</v>
      </c>
      <c r="AF5" s="4">
        <f t="shared" si="2"/>
        <v>10812.657399999995</v>
      </c>
      <c r="AG5" s="4">
        <f t="shared" si="2"/>
        <v>9813.4631999999983</v>
      </c>
      <c r="AH5" s="4">
        <f t="shared" si="2"/>
        <v>10672.152599999996</v>
      </c>
      <c r="AI5" s="4">
        <f t="shared" si="2"/>
        <v>11335.495599999991</v>
      </c>
      <c r="AJ5" s="1"/>
      <c r="AK5" s="4">
        <f>SUM(AK6:AK500)</f>
        <v>17002</v>
      </c>
    </row>
    <row r="6" spans="1:38" x14ac:dyDescent="0.25">
      <c r="A6" s="1" t="s">
        <v>40</v>
      </c>
      <c r="B6" s="1" t="s">
        <v>41</v>
      </c>
      <c r="C6" s="1">
        <v>4929.3</v>
      </c>
      <c r="D6" s="1">
        <v>1426.3820000000001</v>
      </c>
      <c r="E6" s="1">
        <v>2467.4850000000001</v>
      </c>
      <c r="F6" s="1">
        <v>3441.701</v>
      </c>
      <c r="G6" s="7">
        <v>1</v>
      </c>
      <c r="H6" s="1">
        <v>50</v>
      </c>
      <c r="I6" s="1" t="s">
        <v>42</v>
      </c>
      <c r="J6" s="1"/>
      <c r="K6" s="1">
        <v>2390.9499999999998</v>
      </c>
      <c r="L6" s="1">
        <f t="shared" ref="L6:L37" si="3">E6-K6</f>
        <v>76.535000000000309</v>
      </c>
      <c r="M6" s="1"/>
      <c r="N6" s="1"/>
      <c r="O6" s="1">
        <v>1301.5625744040001</v>
      </c>
      <c r="P6" s="1"/>
      <c r="Q6" s="1"/>
      <c r="R6" s="1">
        <v>0</v>
      </c>
      <c r="S6" s="1"/>
      <c r="T6" s="1"/>
      <c r="U6" s="1">
        <f t="shared" ref="U6:U37" si="4">E6/5</f>
        <v>493.49700000000001</v>
      </c>
      <c r="V6" s="5">
        <v>1178.7004255960001</v>
      </c>
      <c r="W6" s="5">
        <f>V6-300</f>
        <v>878.70042559600006</v>
      </c>
      <c r="X6" s="1">
        <f t="shared" ref="X6:X37" si="5">(F6+O6+P6+Q6+R6+W6)/U6</f>
        <v>11.392093568957865</v>
      </c>
      <c r="Y6" s="1">
        <f t="shared" ref="Y6:Y37" si="6">(F6+O6+P6+Q6+R6)/U6</f>
        <v>9.6115347700269709</v>
      </c>
      <c r="Z6" s="1">
        <f>VLOOKUP(A6,[1]Sheet!$A:$U,21,0)</f>
        <v>483.68119999999999</v>
      </c>
      <c r="AA6" s="1">
        <v>546.85760000000005</v>
      </c>
      <c r="AB6" s="1">
        <v>558.16419999999994</v>
      </c>
      <c r="AC6" s="1">
        <v>472.44099999999997</v>
      </c>
      <c r="AD6" s="1">
        <v>450.1</v>
      </c>
      <c r="AE6" s="1">
        <v>477.90280000000001</v>
      </c>
      <c r="AF6" s="1">
        <v>497.21940000000012</v>
      </c>
      <c r="AG6" s="1">
        <v>462.68740000000003</v>
      </c>
      <c r="AH6" s="1">
        <v>504.16359999999997</v>
      </c>
      <c r="AI6" s="1">
        <v>475.59160000000003</v>
      </c>
      <c r="AJ6" s="1"/>
      <c r="AK6" s="1">
        <f t="shared" ref="AK6:AK37" si="7">ROUND(G6*W6,0)</f>
        <v>879</v>
      </c>
      <c r="AL6" t="s">
        <v>43</v>
      </c>
    </row>
    <row r="7" spans="1:38" x14ac:dyDescent="0.25">
      <c r="A7" s="1" t="s">
        <v>44</v>
      </c>
      <c r="B7" s="1" t="s">
        <v>41</v>
      </c>
      <c r="C7" s="1">
        <v>2331.9929999999999</v>
      </c>
      <c r="D7" s="1">
        <v>1224.903</v>
      </c>
      <c r="E7" s="1">
        <v>1463.6079999999999</v>
      </c>
      <c r="F7" s="1">
        <v>1817.261</v>
      </c>
      <c r="G7" s="7">
        <v>1</v>
      </c>
      <c r="H7" s="1">
        <v>45</v>
      </c>
      <c r="I7" s="1" t="s">
        <v>42</v>
      </c>
      <c r="J7" s="1"/>
      <c r="K7" s="1">
        <v>1399.4</v>
      </c>
      <c r="L7" s="1">
        <f t="shared" si="3"/>
        <v>64.207999999999856</v>
      </c>
      <c r="M7" s="1"/>
      <c r="N7" s="1"/>
      <c r="O7" s="1">
        <v>734.8875800789998</v>
      </c>
      <c r="P7" s="1"/>
      <c r="Q7" s="1"/>
      <c r="R7" s="1">
        <v>542.31584540000074</v>
      </c>
      <c r="S7" s="1"/>
      <c r="T7" s="1"/>
      <c r="U7" s="1">
        <f t="shared" si="4"/>
        <v>292.72159999999997</v>
      </c>
      <c r="V7" s="5">
        <v>960.51061992099994</v>
      </c>
      <c r="W7" s="5">
        <f>V7-300</f>
        <v>660.51061992099994</v>
      </c>
      <c r="X7" s="1">
        <f t="shared" si="5"/>
        <v>12.827803091401526</v>
      </c>
      <c r="Y7" s="1">
        <f t="shared" si="6"/>
        <v>10.571356625131186</v>
      </c>
      <c r="Z7" s="1">
        <f>VLOOKUP(A7,[1]Sheet!$A:$U,21,0)</f>
        <v>307.12900000000002</v>
      </c>
      <c r="AA7" s="1">
        <v>307.71940000000001</v>
      </c>
      <c r="AB7" s="1">
        <v>321.26519999999999</v>
      </c>
      <c r="AC7" s="1">
        <v>300.10660000000001</v>
      </c>
      <c r="AD7" s="1">
        <v>262.36520000000002</v>
      </c>
      <c r="AE7" s="1">
        <v>266.33199999999999</v>
      </c>
      <c r="AF7" s="1">
        <v>285.43920000000003</v>
      </c>
      <c r="AG7" s="1">
        <v>272.41820000000001</v>
      </c>
      <c r="AH7" s="1">
        <v>253.45859999999999</v>
      </c>
      <c r="AI7" s="1">
        <v>242.8768</v>
      </c>
      <c r="AJ7" s="1"/>
      <c r="AK7" s="1">
        <f t="shared" si="7"/>
        <v>661</v>
      </c>
      <c r="AL7" t="s">
        <v>45</v>
      </c>
    </row>
    <row r="8" spans="1:38" x14ac:dyDescent="0.25">
      <c r="A8" s="1" t="s">
        <v>46</v>
      </c>
      <c r="B8" s="1" t="s">
        <v>41</v>
      </c>
      <c r="C8" s="1">
        <v>1909.857</v>
      </c>
      <c r="D8" s="1">
        <v>1173.527</v>
      </c>
      <c r="E8" s="1">
        <v>1306.433</v>
      </c>
      <c r="F8" s="1">
        <v>1501.4110000000001</v>
      </c>
      <c r="G8" s="7">
        <v>1</v>
      </c>
      <c r="H8" s="1">
        <v>45</v>
      </c>
      <c r="I8" s="1" t="s">
        <v>42</v>
      </c>
      <c r="J8" s="1"/>
      <c r="K8" s="1">
        <v>1277.558</v>
      </c>
      <c r="L8" s="1">
        <f t="shared" si="3"/>
        <v>28.875</v>
      </c>
      <c r="M8" s="1"/>
      <c r="N8" s="1"/>
      <c r="O8" s="1">
        <v>532.18269251100014</v>
      </c>
      <c r="P8" s="1"/>
      <c r="Q8" s="1"/>
      <c r="R8" s="1">
        <v>460.25308860000018</v>
      </c>
      <c r="S8" s="1"/>
      <c r="T8" s="1"/>
      <c r="U8" s="1">
        <f t="shared" si="4"/>
        <v>261.28660000000002</v>
      </c>
      <c r="V8" s="5">
        <v>1101.8455074889998</v>
      </c>
      <c r="W8" s="5">
        <f>V8-150</f>
        <v>951.84550748899983</v>
      </c>
      <c r="X8" s="1">
        <f t="shared" si="5"/>
        <v>13.187405280638195</v>
      </c>
      <c r="Y8" s="1">
        <f t="shared" si="6"/>
        <v>9.5444878578197283</v>
      </c>
      <c r="Z8" s="1">
        <f>VLOOKUP(A8,[1]Sheet!$A:$U,21,0)</f>
        <v>254.85239999999999</v>
      </c>
      <c r="AA8" s="1">
        <v>257.28680000000003</v>
      </c>
      <c r="AB8" s="1">
        <v>276.00380000000001</v>
      </c>
      <c r="AC8" s="1">
        <v>247.24520000000001</v>
      </c>
      <c r="AD8" s="1">
        <v>223.76159999999999</v>
      </c>
      <c r="AE8" s="1">
        <v>249.89080000000001</v>
      </c>
      <c r="AF8" s="1">
        <v>251.58420000000001</v>
      </c>
      <c r="AG8" s="1">
        <v>216.3372</v>
      </c>
      <c r="AH8" s="1">
        <v>214.10339999999999</v>
      </c>
      <c r="AI8" s="1">
        <v>227.751</v>
      </c>
      <c r="AJ8" s="1"/>
      <c r="AK8" s="1">
        <f t="shared" si="7"/>
        <v>952</v>
      </c>
      <c r="AL8" t="s">
        <v>47</v>
      </c>
    </row>
    <row r="9" spans="1:38" x14ac:dyDescent="0.25">
      <c r="A9" s="9" t="s">
        <v>48</v>
      </c>
      <c r="B9" s="9" t="s">
        <v>49</v>
      </c>
      <c r="C9" s="9"/>
      <c r="D9" s="9"/>
      <c r="E9" s="9"/>
      <c r="F9" s="9"/>
      <c r="G9" s="10">
        <v>0</v>
      </c>
      <c r="H9" s="9"/>
      <c r="I9" s="9" t="s">
        <v>42</v>
      </c>
      <c r="J9" s="9"/>
      <c r="K9" s="9"/>
      <c r="L9" s="9">
        <f t="shared" si="3"/>
        <v>0</v>
      </c>
      <c r="M9" s="9"/>
      <c r="N9" s="9"/>
      <c r="O9" s="9"/>
      <c r="P9" s="9"/>
      <c r="Q9" s="9"/>
      <c r="R9" s="9">
        <v>0</v>
      </c>
      <c r="S9" s="9"/>
      <c r="T9" s="9"/>
      <c r="U9" s="9">
        <f t="shared" si="4"/>
        <v>0</v>
      </c>
      <c r="V9" s="11"/>
      <c r="W9" s="5">
        <f>V9</f>
        <v>0</v>
      </c>
      <c r="X9" s="1" t="e">
        <f t="shared" si="5"/>
        <v>#DIV/0!</v>
      </c>
      <c r="Y9" s="9" t="e">
        <f t="shared" si="6"/>
        <v>#DIV/0!</v>
      </c>
      <c r="Z9" s="9">
        <f>VLOOKUP(A9,[1]Sheet!$A:$U,21,0)</f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 t="s">
        <v>50</v>
      </c>
      <c r="AK9" s="1">
        <f t="shared" si="7"/>
        <v>0</v>
      </c>
      <c r="AL9" t="s">
        <v>51</v>
      </c>
    </row>
    <row r="10" spans="1:38" x14ac:dyDescent="0.25">
      <c r="A10" s="1" t="s">
        <v>52</v>
      </c>
      <c r="B10" s="1" t="s">
        <v>49</v>
      </c>
      <c r="C10" s="1">
        <v>1100</v>
      </c>
      <c r="D10" s="1">
        <v>301</v>
      </c>
      <c r="E10" s="1">
        <v>605</v>
      </c>
      <c r="F10" s="1">
        <v>625</v>
      </c>
      <c r="G10" s="7">
        <v>0.45</v>
      </c>
      <c r="H10" s="1">
        <v>45</v>
      </c>
      <c r="I10" s="1" t="s">
        <v>42</v>
      </c>
      <c r="J10" s="1"/>
      <c r="K10" s="1">
        <v>647</v>
      </c>
      <c r="L10" s="1">
        <f t="shared" si="3"/>
        <v>-42</v>
      </c>
      <c r="M10" s="1"/>
      <c r="N10" s="1"/>
      <c r="O10" s="1">
        <v>291.70188000000007</v>
      </c>
      <c r="P10" s="1"/>
      <c r="Q10" s="1"/>
      <c r="R10" s="1">
        <v>253.88799999999981</v>
      </c>
      <c r="S10" s="1"/>
      <c r="T10" s="1"/>
      <c r="U10" s="1">
        <f t="shared" si="4"/>
        <v>121</v>
      </c>
      <c r="V10" s="5">
        <v>535.29811999999993</v>
      </c>
      <c r="W10" s="5">
        <f>V10-80</f>
        <v>455.29811999999993</v>
      </c>
      <c r="X10" s="1">
        <f t="shared" si="5"/>
        <v>13.437090909090909</v>
      </c>
      <c r="Y10" s="1">
        <f t="shared" si="6"/>
        <v>9.6742965289256198</v>
      </c>
      <c r="Z10" s="1">
        <f>VLOOKUP(A10,[1]Sheet!$A:$U,21,0)</f>
        <v>122.6</v>
      </c>
      <c r="AA10" s="1">
        <v>110.2</v>
      </c>
      <c r="AB10" s="1">
        <v>117.4</v>
      </c>
      <c r="AC10" s="1">
        <v>142.6</v>
      </c>
      <c r="AD10" s="1">
        <v>135.4</v>
      </c>
      <c r="AE10" s="1">
        <v>120.4</v>
      </c>
      <c r="AF10" s="1">
        <v>117.2</v>
      </c>
      <c r="AG10" s="1">
        <v>118.2</v>
      </c>
      <c r="AH10" s="1">
        <v>139</v>
      </c>
      <c r="AI10" s="1">
        <v>136.80000000000001</v>
      </c>
      <c r="AJ10" s="1"/>
      <c r="AK10" s="1">
        <f t="shared" si="7"/>
        <v>205</v>
      </c>
      <c r="AL10" t="s">
        <v>53</v>
      </c>
    </row>
    <row r="11" spans="1:38" x14ac:dyDescent="0.25">
      <c r="A11" s="1" t="s">
        <v>54</v>
      </c>
      <c r="B11" s="1" t="s">
        <v>49</v>
      </c>
      <c r="C11" s="1">
        <v>1578.76</v>
      </c>
      <c r="D11" s="1">
        <v>1201</v>
      </c>
      <c r="E11" s="1">
        <v>1198</v>
      </c>
      <c r="F11" s="1">
        <v>1230.76</v>
      </c>
      <c r="G11" s="7">
        <v>0.45</v>
      </c>
      <c r="H11" s="1">
        <v>45</v>
      </c>
      <c r="I11" s="1" t="s">
        <v>42</v>
      </c>
      <c r="J11" s="1"/>
      <c r="K11" s="1">
        <v>1247</v>
      </c>
      <c r="L11" s="1">
        <f t="shared" si="3"/>
        <v>-49</v>
      </c>
      <c r="M11" s="1"/>
      <c r="N11" s="1"/>
      <c r="O11" s="1">
        <v>728.38914899999929</v>
      </c>
      <c r="P11" s="1"/>
      <c r="Q11" s="1"/>
      <c r="R11" s="1">
        <v>428.26740000000098</v>
      </c>
      <c r="S11" s="1"/>
      <c r="T11" s="1"/>
      <c r="U11" s="1">
        <f t="shared" si="4"/>
        <v>239.6</v>
      </c>
      <c r="V11" s="5">
        <v>916.05085100000065</v>
      </c>
      <c r="W11" s="5">
        <f>V11-150</f>
        <v>766.05085100000065</v>
      </c>
      <c r="X11" s="1">
        <f t="shared" si="5"/>
        <v>13.161383138564279</v>
      </c>
      <c r="Y11" s="1">
        <f t="shared" si="6"/>
        <v>9.9641759140233752</v>
      </c>
      <c r="Z11" s="1">
        <f>VLOOKUP(A11,[1]Sheet!$A:$U,21,0)</f>
        <v>248.2</v>
      </c>
      <c r="AA11" s="1">
        <v>245.2</v>
      </c>
      <c r="AB11" s="1">
        <v>245.4</v>
      </c>
      <c r="AC11" s="1">
        <v>235.2</v>
      </c>
      <c r="AD11" s="1">
        <v>216.8</v>
      </c>
      <c r="AE11" s="1">
        <v>224.44800000000001</v>
      </c>
      <c r="AF11" s="1">
        <v>225.648</v>
      </c>
      <c r="AG11" s="1">
        <v>230.6</v>
      </c>
      <c r="AH11" s="1">
        <v>273.39999999999998</v>
      </c>
      <c r="AI11" s="1">
        <v>246.4</v>
      </c>
      <c r="AJ11" s="1"/>
      <c r="AK11" s="1">
        <f t="shared" si="7"/>
        <v>345</v>
      </c>
      <c r="AL11" t="s">
        <v>55</v>
      </c>
    </row>
    <row r="12" spans="1:38" x14ac:dyDescent="0.25">
      <c r="A12" s="1" t="s">
        <v>56</v>
      </c>
      <c r="B12" s="1" t="s">
        <v>49</v>
      </c>
      <c r="C12" s="1">
        <v>118</v>
      </c>
      <c r="D12" s="1">
        <v>120</v>
      </c>
      <c r="E12" s="1">
        <v>69</v>
      </c>
      <c r="F12" s="1">
        <v>134</v>
      </c>
      <c r="G12" s="7">
        <v>0.17</v>
      </c>
      <c r="H12" s="1">
        <v>180</v>
      </c>
      <c r="I12" s="1" t="s">
        <v>42</v>
      </c>
      <c r="J12" s="1"/>
      <c r="K12" s="1">
        <v>69</v>
      </c>
      <c r="L12" s="1">
        <f t="shared" si="3"/>
        <v>0</v>
      </c>
      <c r="M12" s="1"/>
      <c r="N12" s="1"/>
      <c r="O12" s="1"/>
      <c r="P12" s="1"/>
      <c r="Q12" s="1"/>
      <c r="R12" s="1">
        <v>0</v>
      </c>
      <c r="S12" s="1"/>
      <c r="T12" s="1"/>
      <c r="U12" s="1">
        <f t="shared" si="4"/>
        <v>13.8</v>
      </c>
      <c r="V12" s="5">
        <v>31.600000000000023</v>
      </c>
      <c r="W12" s="5">
        <f>V12</f>
        <v>31.600000000000023</v>
      </c>
      <c r="X12" s="1">
        <f t="shared" si="5"/>
        <v>12.000000000000002</v>
      </c>
      <c r="Y12" s="1">
        <f t="shared" si="6"/>
        <v>9.7101449275362306</v>
      </c>
      <c r="Z12" s="1">
        <f>VLOOKUP(A12,[1]Sheet!$A:$U,21,0)</f>
        <v>12.8</v>
      </c>
      <c r="AA12" s="1">
        <v>16.600000000000001</v>
      </c>
      <c r="AB12" s="1">
        <v>17.8</v>
      </c>
      <c r="AC12" s="1">
        <v>15.6</v>
      </c>
      <c r="AD12" s="1">
        <v>15</v>
      </c>
      <c r="AE12" s="1">
        <v>18.2</v>
      </c>
      <c r="AF12" s="1">
        <v>17.2</v>
      </c>
      <c r="AG12" s="1">
        <v>10.199999999999999</v>
      </c>
      <c r="AH12" s="1">
        <v>14.6</v>
      </c>
      <c r="AI12" s="1">
        <v>20.2</v>
      </c>
      <c r="AJ12" s="1"/>
      <c r="AK12" s="1">
        <f t="shared" si="7"/>
        <v>5</v>
      </c>
      <c r="AL12" t="s">
        <v>57</v>
      </c>
    </row>
    <row r="13" spans="1:38" x14ac:dyDescent="0.25">
      <c r="A13" s="1" t="s">
        <v>58</v>
      </c>
      <c r="B13" s="1" t="s">
        <v>49</v>
      </c>
      <c r="C13" s="1">
        <v>66</v>
      </c>
      <c r="D13" s="1"/>
      <c r="E13" s="1">
        <v>62</v>
      </c>
      <c r="F13" s="1"/>
      <c r="G13" s="7">
        <v>0.3</v>
      </c>
      <c r="H13" s="1">
        <v>40</v>
      </c>
      <c r="I13" s="13" t="s">
        <v>59</v>
      </c>
      <c r="J13" s="1"/>
      <c r="K13" s="1">
        <v>79</v>
      </c>
      <c r="L13" s="1">
        <f t="shared" si="3"/>
        <v>-17</v>
      </c>
      <c r="M13" s="1"/>
      <c r="N13" s="1"/>
      <c r="O13" s="1"/>
      <c r="P13" s="1"/>
      <c r="Q13" s="1"/>
      <c r="R13" s="1">
        <v>50</v>
      </c>
      <c r="S13" s="1"/>
      <c r="T13" s="1"/>
      <c r="U13" s="1">
        <f t="shared" si="4"/>
        <v>12.4</v>
      </c>
      <c r="V13" s="5">
        <v>30</v>
      </c>
      <c r="W13" s="5">
        <f>V13</f>
        <v>30</v>
      </c>
      <c r="X13" s="1">
        <f t="shared" si="5"/>
        <v>6.4516129032258061</v>
      </c>
      <c r="Y13" s="1">
        <f t="shared" si="6"/>
        <v>4.032258064516129</v>
      </c>
      <c r="Z13" s="1">
        <f>VLOOKUP(A13,[1]Sheet!$A:$U,21,0)</f>
        <v>19.2</v>
      </c>
      <c r="AA13" s="1">
        <v>21</v>
      </c>
      <c r="AB13" s="1">
        <v>17.8</v>
      </c>
      <c r="AC13" s="1">
        <v>10.6</v>
      </c>
      <c r="AD13" s="1">
        <v>10</v>
      </c>
      <c r="AE13" s="1">
        <v>19</v>
      </c>
      <c r="AF13" s="1">
        <v>21</v>
      </c>
      <c r="AG13" s="1">
        <v>22.2</v>
      </c>
      <c r="AH13" s="1">
        <v>22.8</v>
      </c>
      <c r="AI13" s="1">
        <v>17.600000000000001</v>
      </c>
      <c r="AJ13" s="1"/>
      <c r="AK13" s="1">
        <f t="shared" si="7"/>
        <v>9</v>
      </c>
      <c r="AL13" t="s">
        <v>60</v>
      </c>
    </row>
    <row r="14" spans="1:38" x14ac:dyDescent="0.25">
      <c r="A14" s="1" t="s">
        <v>61</v>
      </c>
      <c r="B14" s="1" t="s">
        <v>49</v>
      </c>
      <c r="C14" s="1">
        <v>318</v>
      </c>
      <c r="D14" s="1">
        <v>420</v>
      </c>
      <c r="E14" s="1">
        <v>229</v>
      </c>
      <c r="F14" s="1">
        <v>425</v>
      </c>
      <c r="G14" s="7">
        <v>0.17</v>
      </c>
      <c r="H14" s="1">
        <v>180</v>
      </c>
      <c r="I14" s="1" t="s">
        <v>42</v>
      </c>
      <c r="J14" s="1"/>
      <c r="K14" s="1">
        <v>231</v>
      </c>
      <c r="L14" s="1">
        <f t="shared" si="3"/>
        <v>-2</v>
      </c>
      <c r="M14" s="1"/>
      <c r="N14" s="1"/>
      <c r="O14" s="1"/>
      <c r="P14" s="1"/>
      <c r="Q14" s="1"/>
      <c r="R14" s="1">
        <v>0</v>
      </c>
      <c r="S14" s="1"/>
      <c r="T14" s="1"/>
      <c r="U14" s="1">
        <f t="shared" si="4"/>
        <v>45.8</v>
      </c>
      <c r="V14" s="5">
        <v>124.59999999999991</v>
      </c>
      <c r="W14" s="5">
        <f>V14</f>
        <v>124.59999999999991</v>
      </c>
      <c r="X14" s="1">
        <f t="shared" si="5"/>
        <v>11.999999999999998</v>
      </c>
      <c r="Y14" s="1">
        <f t="shared" si="6"/>
        <v>9.2794759825327517</v>
      </c>
      <c r="Z14" s="1">
        <f>VLOOKUP(A14,[1]Sheet!$A:$U,21,0)</f>
        <v>47.6</v>
      </c>
      <c r="AA14" s="1">
        <v>57.6</v>
      </c>
      <c r="AB14" s="1">
        <v>60.6</v>
      </c>
      <c r="AC14" s="1">
        <v>47.6</v>
      </c>
      <c r="AD14" s="1">
        <v>44.8</v>
      </c>
      <c r="AE14" s="1">
        <v>57.2</v>
      </c>
      <c r="AF14" s="1">
        <v>52.8</v>
      </c>
      <c r="AG14" s="1">
        <v>33.6</v>
      </c>
      <c r="AH14" s="1">
        <v>38.4</v>
      </c>
      <c r="AI14" s="1">
        <v>56</v>
      </c>
      <c r="AJ14" s="1"/>
      <c r="AK14" s="1">
        <f t="shared" si="7"/>
        <v>21</v>
      </c>
      <c r="AL14" t="s">
        <v>62</v>
      </c>
    </row>
    <row r="15" spans="1:38" x14ac:dyDescent="0.25">
      <c r="A15" s="9" t="s">
        <v>63</v>
      </c>
      <c r="B15" s="9" t="s">
        <v>49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64</v>
      </c>
      <c r="J15" s="9"/>
      <c r="K15" s="9"/>
      <c r="L15" s="9">
        <f t="shared" si="3"/>
        <v>0</v>
      </c>
      <c r="M15" s="9"/>
      <c r="N15" s="9"/>
      <c r="O15" s="9"/>
      <c r="P15" s="9"/>
      <c r="Q15" s="9"/>
      <c r="R15" s="9">
        <v>0</v>
      </c>
      <c r="S15" s="9"/>
      <c r="T15" s="9"/>
      <c r="U15" s="9">
        <f t="shared" si="4"/>
        <v>0</v>
      </c>
      <c r="V15" s="11"/>
      <c r="W15" s="5">
        <f>V15</f>
        <v>0</v>
      </c>
      <c r="X15" s="1" t="e">
        <f t="shared" si="5"/>
        <v>#DIV/0!</v>
      </c>
      <c r="Y15" s="9" t="e">
        <f t="shared" si="6"/>
        <v>#DIV/0!</v>
      </c>
      <c r="Z15" s="9">
        <f>VLOOKUP(A15,[1]Sheet!$A:$U,21,0)</f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0.2</v>
      </c>
      <c r="AG15" s="9">
        <v>0.2</v>
      </c>
      <c r="AH15" s="9">
        <v>0</v>
      </c>
      <c r="AI15" s="9">
        <v>0</v>
      </c>
      <c r="AJ15" s="9"/>
      <c r="AK15" s="1">
        <f t="shared" si="7"/>
        <v>0</v>
      </c>
      <c r="AL15" t="s">
        <v>65</v>
      </c>
    </row>
    <row r="16" spans="1:38" x14ac:dyDescent="0.25">
      <c r="A16" s="1" t="s">
        <v>66</v>
      </c>
      <c r="B16" s="1" t="s">
        <v>41</v>
      </c>
      <c r="C16" s="1">
        <v>2369.6860000000001</v>
      </c>
      <c r="D16" s="1">
        <v>1146.3389999999999</v>
      </c>
      <c r="E16" s="1">
        <v>1141.683</v>
      </c>
      <c r="F16" s="1">
        <v>2149.0540000000001</v>
      </c>
      <c r="G16" s="7">
        <v>1</v>
      </c>
      <c r="H16" s="1">
        <v>70</v>
      </c>
      <c r="I16" s="1" t="s">
        <v>42</v>
      </c>
      <c r="J16" s="1"/>
      <c r="K16" s="1">
        <v>1097.375</v>
      </c>
      <c r="L16" s="1">
        <f t="shared" si="3"/>
        <v>44.307999999999993</v>
      </c>
      <c r="M16" s="1"/>
      <c r="N16" s="1"/>
      <c r="O16" s="1">
        <v>292.49350800000008</v>
      </c>
      <c r="P16" s="1"/>
      <c r="Q16" s="1"/>
      <c r="R16" s="1">
        <v>0</v>
      </c>
      <c r="S16" s="1"/>
      <c r="T16" s="1"/>
      <c r="U16" s="1">
        <f t="shared" si="4"/>
        <v>228.3366</v>
      </c>
      <c r="V16" s="5">
        <v>298.49169200000006</v>
      </c>
      <c r="W16" s="5">
        <f>V16-50</f>
        <v>248.49169200000006</v>
      </c>
      <c r="X16" s="1">
        <f t="shared" si="5"/>
        <v>11.781025030590804</v>
      </c>
      <c r="Y16" s="1">
        <f t="shared" si="6"/>
        <v>10.692755817508013</v>
      </c>
      <c r="Z16" s="1">
        <f>VLOOKUP(A16,[1]Sheet!$A:$U,21,0)</f>
        <v>217.41739999999999</v>
      </c>
      <c r="AA16" s="1">
        <v>228.7406</v>
      </c>
      <c r="AB16" s="1">
        <v>230.5266</v>
      </c>
      <c r="AC16" s="1">
        <v>233.18360000000001</v>
      </c>
      <c r="AD16" s="1">
        <v>242.98320000000001</v>
      </c>
      <c r="AE16" s="1">
        <v>239.7028</v>
      </c>
      <c r="AF16" s="1">
        <v>236.7696</v>
      </c>
      <c r="AG16" s="1">
        <v>224.553</v>
      </c>
      <c r="AH16" s="1">
        <v>226.56899999999999</v>
      </c>
      <c r="AI16" s="1">
        <v>227.60939999999999</v>
      </c>
      <c r="AJ16" s="1"/>
      <c r="AK16" s="1">
        <f t="shared" si="7"/>
        <v>248</v>
      </c>
      <c r="AL16" t="s">
        <v>67</v>
      </c>
    </row>
    <row r="17" spans="1:38" x14ac:dyDescent="0.25">
      <c r="A17" s="1" t="s">
        <v>68</v>
      </c>
      <c r="B17" s="1" t="s">
        <v>41</v>
      </c>
      <c r="C17" s="1">
        <v>4864.6710000000003</v>
      </c>
      <c r="D17" s="1">
        <v>4689.8310000000001</v>
      </c>
      <c r="E17" s="1">
        <v>3334.2280000000001</v>
      </c>
      <c r="F17" s="1">
        <v>5545.8670000000002</v>
      </c>
      <c r="G17" s="7">
        <v>1</v>
      </c>
      <c r="H17" s="1">
        <v>50</v>
      </c>
      <c r="I17" s="1" t="s">
        <v>42</v>
      </c>
      <c r="J17" s="1"/>
      <c r="K17" s="1">
        <v>3364</v>
      </c>
      <c r="L17" s="1">
        <f t="shared" si="3"/>
        <v>-29.771999999999935</v>
      </c>
      <c r="M17" s="1"/>
      <c r="N17" s="1"/>
      <c r="O17" s="1">
        <v>1910.239440095999</v>
      </c>
      <c r="P17" s="1"/>
      <c r="Q17" s="1"/>
      <c r="R17" s="1">
        <v>0</v>
      </c>
      <c r="S17" s="1"/>
      <c r="T17" s="1">
        <v>1155</v>
      </c>
      <c r="U17" s="1">
        <f t="shared" si="4"/>
        <v>666.84559999999999</v>
      </c>
      <c r="V17" s="5">
        <v>546.04075990399997</v>
      </c>
      <c r="W17" s="5">
        <v>250</v>
      </c>
      <c r="X17" s="1">
        <f>(F17+O17+P17+Q17+R17+W17)/U17</f>
        <v>11.556058014172995</v>
      </c>
      <c r="Y17" s="1">
        <f t="shared" si="6"/>
        <v>11.181158637165783</v>
      </c>
      <c r="Z17" s="1">
        <f>VLOOKUP(A17,[1]Sheet!$A:$U,21,0)</f>
        <v>674.39080000000001</v>
      </c>
      <c r="AA17" s="1">
        <v>736.59320000000002</v>
      </c>
      <c r="AB17" s="1">
        <v>741.72680000000003</v>
      </c>
      <c r="AC17" s="1">
        <v>660.61159999999995</v>
      </c>
      <c r="AD17" s="1">
        <v>636.86320000000001</v>
      </c>
      <c r="AE17" s="1">
        <v>674.43259999999998</v>
      </c>
      <c r="AF17" s="1">
        <v>703.17060000000004</v>
      </c>
      <c r="AG17" s="1">
        <v>753.43720000000008</v>
      </c>
      <c r="AH17" s="1">
        <v>789.19159999999999</v>
      </c>
      <c r="AI17" s="1">
        <v>779.79539999999997</v>
      </c>
      <c r="AJ17" s="1"/>
      <c r="AK17" s="1">
        <f t="shared" si="7"/>
        <v>250</v>
      </c>
      <c r="AL17" t="s">
        <v>69</v>
      </c>
    </row>
    <row r="18" spans="1:38" x14ac:dyDescent="0.25">
      <c r="A18" s="1" t="s">
        <v>70</v>
      </c>
      <c r="B18" s="1" t="s">
        <v>41</v>
      </c>
      <c r="C18" s="1">
        <v>202.328</v>
      </c>
      <c r="D18" s="1">
        <v>90.325999999999993</v>
      </c>
      <c r="E18" s="1">
        <v>89.742000000000004</v>
      </c>
      <c r="F18" s="1">
        <v>184.482</v>
      </c>
      <c r="G18" s="7">
        <v>1</v>
      </c>
      <c r="H18" s="1">
        <v>60</v>
      </c>
      <c r="I18" s="1" t="s">
        <v>42</v>
      </c>
      <c r="J18" s="1"/>
      <c r="K18" s="1">
        <v>86.76</v>
      </c>
      <c r="L18" s="1">
        <f t="shared" si="3"/>
        <v>2.9819999999999993</v>
      </c>
      <c r="M18" s="1"/>
      <c r="N18" s="1"/>
      <c r="O18" s="1"/>
      <c r="P18" s="1"/>
      <c r="Q18" s="1"/>
      <c r="R18" s="1">
        <v>0</v>
      </c>
      <c r="S18" s="1"/>
      <c r="T18" s="1"/>
      <c r="U18" s="1">
        <f t="shared" si="4"/>
        <v>17.948399999999999</v>
      </c>
      <c r="V18" s="5">
        <v>30.898799999999994</v>
      </c>
      <c r="W18" s="5">
        <f>V18</f>
        <v>30.898799999999994</v>
      </c>
      <c r="X18" s="1">
        <f t="shared" si="5"/>
        <v>12</v>
      </c>
      <c r="Y18" s="1">
        <f t="shared" si="6"/>
        <v>10.278464932807381</v>
      </c>
      <c r="Z18" s="1">
        <f>VLOOKUP(A18,[1]Sheet!$A:$U,21,0)</f>
        <v>19.870200000000001</v>
      </c>
      <c r="AA18" s="1">
        <v>23.232600000000001</v>
      </c>
      <c r="AB18" s="1">
        <v>23.764399999999998</v>
      </c>
      <c r="AC18" s="1">
        <v>25.488199999999999</v>
      </c>
      <c r="AD18" s="1">
        <v>23.536200000000001</v>
      </c>
      <c r="AE18" s="1">
        <v>24.895399999999999</v>
      </c>
      <c r="AF18" s="1">
        <v>24.598400000000002</v>
      </c>
      <c r="AG18" s="1">
        <v>18.6858</v>
      </c>
      <c r="AH18" s="1">
        <v>21.406600000000001</v>
      </c>
      <c r="AI18" s="1">
        <v>20.923999999999999</v>
      </c>
      <c r="AJ18" s="1"/>
      <c r="AK18" s="1">
        <f t="shared" si="7"/>
        <v>31</v>
      </c>
      <c r="AL18" t="s">
        <v>71</v>
      </c>
    </row>
    <row r="19" spans="1:38" x14ac:dyDescent="0.25">
      <c r="A19" s="1" t="s">
        <v>72</v>
      </c>
      <c r="B19" s="1" t="s">
        <v>41</v>
      </c>
      <c r="C19" s="1">
        <v>113.15300000000001</v>
      </c>
      <c r="D19" s="1">
        <v>132.26300000000001</v>
      </c>
      <c r="E19" s="1">
        <v>75.930000000000007</v>
      </c>
      <c r="F19" s="1">
        <v>151.846</v>
      </c>
      <c r="G19" s="7">
        <v>1</v>
      </c>
      <c r="H19" s="1">
        <v>60</v>
      </c>
      <c r="I19" s="1" t="s">
        <v>42</v>
      </c>
      <c r="J19" s="1"/>
      <c r="K19" s="1">
        <v>72.290000000000006</v>
      </c>
      <c r="L19" s="1">
        <f t="shared" si="3"/>
        <v>3.6400000000000006</v>
      </c>
      <c r="M19" s="1"/>
      <c r="N19" s="1"/>
      <c r="O19" s="1"/>
      <c r="P19" s="1"/>
      <c r="Q19" s="1"/>
      <c r="R19" s="1">
        <v>0</v>
      </c>
      <c r="S19" s="1"/>
      <c r="T19" s="1"/>
      <c r="U19" s="1">
        <f t="shared" si="4"/>
        <v>15.186000000000002</v>
      </c>
      <c r="V19" s="5">
        <v>30.386000000000024</v>
      </c>
      <c r="W19" s="5">
        <f>V19</f>
        <v>30.386000000000024</v>
      </c>
      <c r="X19" s="1">
        <f t="shared" si="5"/>
        <v>12</v>
      </c>
      <c r="Y19" s="1">
        <f t="shared" si="6"/>
        <v>9.9990780982483862</v>
      </c>
      <c r="Z19" s="1">
        <f>VLOOKUP(A19,[1]Sheet!$A:$U,21,0)</f>
        <v>16.345400000000001</v>
      </c>
      <c r="AA19" s="1">
        <v>19.931799999999999</v>
      </c>
      <c r="AB19" s="1">
        <v>18.4558</v>
      </c>
      <c r="AC19" s="1">
        <v>16.866199999999999</v>
      </c>
      <c r="AD19" s="1">
        <v>17.227399999999999</v>
      </c>
      <c r="AE19" s="1">
        <v>14.844200000000001</v>
      </c>
      <c r="AF19" s="1">
        <v>17.3218</v>
      </c>
      <c r="AG19" s="1">
        <v>17.478400000000001</v>
      </c>
      <c r="AH19" s="1">
        <v>13.7256</v>
      </c>
      <c r="AI19" s="1">
        <v>14.416600000000001</v>
      </c>
      <c r="AJ19" s="1"/>
      <c r="AK19" s="1">
        <f t="shared" si="7"/>
        <v>30</v>
      </c>
      <c r="AL19" t="s">
        <v>73</v>
      </c>
    </row>
    <row r="20" spans="1:38" x14ac:dyDescent="0.25">
      <c r="A20" s="1" t="s">
        <v>74</v>
      </c>
      <c r="B20" s="1" t="s">
        <v>41</v>
      </c>
      <c r="C20" s="1">
        <v>18.291</v>
      </c>
      <c r="D20" s="1">
        <v>5.843</v>
      </c>
      <c r="E20" s="1">
        <v>5.3730000000000002</v>
      </c>
      <c r="F20" s="1">
        <v>13.69</v>
      </c>
      <c r="G20" s="7">
        <v>1</v>
      </c>
      <c r="H20" s="1">
        <v>180</v>
      </c>
      <c r="I20" s="1" t="s">
        <v>42</v>
      </c>
      <c r="J20" s="1"/>
      <c r="K20" s="1">
        <v>5.0179999999999998</v>
      </c>
      <c r="L20" s="1">
        <f t="shared" si="3"/>
        <v>0.35500000000000043</v>
      </c>
      <c r="M20" s="1"/>
      <c r="N20" s="1"/>
      <c r="O20" s="1"/>
      <c r="P20" s="1"/>
      <c r="Q20" s="1"/>
      <c r="R20" s="1">
        <v>0</v>
      </c>
      <c r="S20" s="1"/>
      <c r="T20" s="1"/>
      <c r="U20" s="1">
        <f t="shared" si="4"/>
        <v>1.0746</v>
      </c>
      <c r="V20" s="5"/>
      <c r="W20" s="5">
        <f>V20</f>
        <v>0</v>
      </c>
      <c r="X20" s="1">
        <f t="shared" si="5"/>
        <v>12.73962404615671</v>
      </c>
      <c r="Y20" s="1">
        <f t="shared" si="6"/>
        <v>12.73962404615671</v>
      </c>
      <c r="Z20" s="1">
        <f>VLOOKUP(A20,[1]Sheet!$A:$U,21,0)</f>
        <v>1.3657999999999999</v>
      </c>
      <c r="AA20" s="1">
        <v>1.7043999999999999</v>
      </c>
      <c r="AB20" s="1">
        <v>1.3306</v>
      </c>
      <c r="AC20" s="1">
        <v>0.62980000000000003</v>
      </c>
      <c r="AD20" s="1">
        <v>1.0427999999999999</v>
      </c>
      <c r="AE20" s="1">
        <v>2.0901999999999998</v>
      </c>
      <c r="AF20" s="1">
        <v>2.1625999999999999</v>
      </c>
      <c r="AG20" s="1">
        <v>1.7310000000000001</v>
      </c>
      <c r="AH20" s="1">
        <v>1.6870000000000001</v>
      </c>
      <c r="AI20" s="1">
        <v>1.4314</v>
      </c>
      <c r="AJ20" s="1"/>
      <c r="AK20" s="1">
        <f t="shared" si="7"/>
        <v>0</v>
      </c>
      <c r="AL20" t="s">
        <v>75</v>
      </c>
    </row>
    <row r="21" spans="1:38" x14ac:dyDescent="0.25">
      <c r="A21" s="1" t="s">
        <v>76</v>
      </c>
      <c r="B21" s="1" t="s">
        <v>41</v>
      </c>
      <c r="C21" s="1">
        <v>2028.1679999999999</v>
      </c>
      <c r="D21" s="1">
        <v>1089.836</v>
      </c>
      <c r="E21" s="1">
        <v>1269.6300000000001</v>
      </c>
      <c r="F21" s="1">
        <v>1549.403</v>
      </c>
      <c r="G21" s="7">
        <v>1</v>
      </c>
      <c r="H21" s="1">
        <v>60</v>
      </c>
      <c r="I21" s="1" t="s">
        <v>42</v>
      </c>
      <c r="J21" s="1"/>
      <c r="K21" s="1">
        <v>1220.8050000000001</v>
      </c>
      <c r="L21" s="1">
        <f t="shared" si="3"/>
        <v>48.825000000000045</v>
      </c>
      <c r="M21" s="1"/>
      <c r="N21" s="1"/>
      <c r="O21" s="1">
        <v>711.23415314700014</v>
      </c>
      <c r="P21" s="1"/>
      <c r="Q21" s="1"/>
      <c r="R21" s="1">
        <v>0</v>
      </c>
      <c r="S21" s="1"/>
      <c r="T21" s="1"/>
      <c r="U21" s="1">
        <f t="shared" si="4"/>
        <v>253.92600000000002</v>
      </c>
      <c r="V21" s="5">
        <v>786.47484685299992</v>
      </c>
      <c r="W21" s="5">
        <f>V21</f>
        <v>786.47484685299992</v>
      </c>
      <c r="X21" s="1">
        <f t="shared" si="5"/>
        <v>12</v>
      </c>
      <c r="Y21" s="1">
        <f t="shared" si="6"/>
        <v>8.9027399838811316</v>
      </c>
      <c r="Z21" s="1">
        <f>VLOOKUP(A21,[1]Sheet!$A:$U,21,0)</f>
        <v>253.47559999999999</v>
      </c>
      <c r="AA21" s="1">
        <v>272.93060000000003</v>
      </c>
      <c r="AB21" s="1">
        <v>280.49860000000001</v>
      </c>
      <c r="AC21" s="1">
        <v>283.15519999999998</v>
      </c>
      <c r="AD21" s="1">
        <v>289.96379999999999</v>
      </c>
      <c r="AE21" s="1">
        <v>276.86619999999999</v>
      </c>
      <c r="AF21" s="1">
        <v>268.45139999999998</v>
      </c>
      <c r="AG21" s="1">
        <v>275.91120000000001</v>
      </c>
      <c r="AH21" s="1">
        <v>284.72680000000003</v>
      </c>
      <c r="AI21" s="1">
        <v>282.6728</v>
      </c>
      <c r="AJ21" s="1"/>
      <c r="AK21" s="1">
        <f t="shared" si="7"/>
        <v>786</v>
      </c>
      <c r="AL21" t="s">
        <v>77</v>
      </c>
    </row>
    <row r="22" spans="1:38" x14ac:dyDescent="0.25">
      <c r="A22" s="1" t="s">
        <v>78</v>
      </c>
      <c r="B22" s="1" t="s">
        <v>41</v>
      </c>
      <c r="C22" s="1">
        <v>212.61699999999999</v>
      </c>
      <c r="D22" s="1">
        <v>406.36</v>
      </c>
      <c r="E22" s="1">
        <v>187.084</v>
      </c>
      <c r="F22" s="1">
        <v>401.03199999999998</v>
      </c>
      <c r="G22" s="7">
        <v>1</v>
      </c>
      <c r="H22" s="1">
        <v>70</v>
      </c>
      <c r="I22" s="1" t="s">
        <v>42</v>
      </c>
      <c r="J22" s="1"/>
      <c r="K22" s="1">
        <v>177.19</v>
      </c>
      <c r="L22" s="1">
        <f t="shared" si="3"/>
        <v>9.8940000000000055</v>
      </c>
      <c r="M22" s="1"/>
      <c r="N22" s="1"/>
      <c r="O22" s="1"/>
      <c r="P22" s="1"/>
      <c r="Q22" s="1"/>
      <c r="R22" s="1">
        <v>0</v>
      </c>
      <c r="S22" s="1"/>
      <c r="T22" s="1"/>
      <c r="U22" s="1">
        <f t="shared" si="4"/>
        <v>37.416800000000002</v>
      </c>
      <c r="V22" s="5">
        <v>47.969600000000071</v>
      </c>
      <c r="W22" s="5">
        <f>V22</f>
        <v>47.969600000000071</v>
      </c>
      <c r="X22" s="1">
        <f t="shared" si="5"/>
        <v>12</v>
      </c>
      <c r="Y22" s="1">
        <f t="shared" si="6"/>
        <v>10.717966261144726</v>
      </c>
      <c r="Z22" s="1">
        <f>VLOOKUP(A22,[1]Sheet!$A:$U,21,0)</f>
        <v>36.369999999999997</v>
      </c>
      <c r="AA22" s="1">
        <v>49.895400000000002</v>
      </c>
      <c r="AB22" s="1">
        <v>49.0822</v>
      </c>
      <c r="AC22" s="1">
        <v>37.723999999999997</v>
      </c>
      <c r="AD22" s="1">
        <v>35.753</v>
      </c>
      <c r="AE22" s="1">
        <v>35.983400000000003</v>
      </c>
      <c r="AF22" s="1">
        <v>37.6586</v>
      </c>
      <c r="AG22" s="1">
        <v>29.225200000000001</v>
      </c>
      <c r="AH22" s="1">
        <v>30.331199999999999</v>
      </c>
      <c r="AI22" s="1">
        <v>41.240400000000001</v>
      </c>
      <c r="AJ22" s="1"/>
      <c r="AK22" s="1">
        <f t="shared" si="7"/>
        <v>48</v>
      </c>
      <c r="AL22" t="s">
        <v>79</v>
      </c>
    </row>
    <row r="23" spans="1:38" x14ac:dyDescent="0.25">
      <c r="A23" s="1" t="s">
        <v>80</v>
      </c>
      <c r="B23" s="1" t="s">
        <v>41</v>
      </c>
      <c r="C23" s="1">
        <v>546.05100000000004</v>
      </c>
      <c r="D23" s="1">
        <v>269.858</v>
      </c>
      <c r="E23" s="1">
        <v>373.286</v>
      </c>
      <c r="F23" s="1">
        <v>336.82100000000003</v>
      </c>
      <c r="G23" s="7">
        <v>1</v>
      </c>
      <c r="H23" s="1">
        <v>70</v>
      </c>
      <c r="I23" s="13" t="s">
        <v>59</v>
      </c>
      <c r="J23" s="1"/>
      <c r="K23" s="1">
        <v>362.685</v>
      </c>
      <c r="L23" s="1">
        <f t="shared" si="3"/>
        <v>10.600999999999999</v>
      </c>
      <c r="M23" s="1"/>
      <c r="N23" s="1"/>
      <c r="O23" s="1">
        <v>241.65693432900011</v>
      </c>
      <c r="P23" s="1"/>
      <c r="Q23" s="1"/>
      <c r="R23" s="1">
        <v>24.148495399999771</v>
      </c>
      <c r="S23" s="1"/>
      <c r="T23" s="1"/>
      <c r="U23" s="1">
        <f t="shared" si="4"/>
        <v>74.657200000000003</v>
      </c>
      <c r="V23" s="5">
        <v>317.40846567099993</v>
      </c>
      <c r="W23" s="5">
        <f>V23*$W$1</f>
        <v>222.18592596969995</v>
      </c>
      <c r="X23" s="1">
        <f t="shared" si="5"/>
        <v>11.047994777445442</v>
      </c>
      <c r="Y23" s="1">
        <f t="shared" si="6"/>
        <v>8.0719130871369398</v>
      </c>
      <c r="Z23" s="1">
        <f>VLOOKUP(A23,[1]Sheet!$A:$U,21,0)</f>
        <v>76.412599999999998</v>
      </c>
      <c r="AA23" s="1">
        <v>86.384199999999993</v>
      </c>
      <c r="AB23" s="1">
        <v>84.844200000000001</v>
      </c>
      <c r="AC23" s="1">
        <v>79.9756</v>
      </c>
      <c r="AD23" s="1">
        <v>79.880200000000002</v>
      </c>
      <c r="AE23" s="1">
        <v>85.579599999999999</v>
      </c>
      <c r="AF23" s="1">
        <v>89.1798</v>
      </c>
      <c r="AG23" s="1">
        <v>90.862200000000001</v>
      </c>
      <c r="AH23" s="1">
        <v>89.53540000000001</v>
      </c>
      <c r="AI23" s="1">
        <v>90.167400000000001</v>
      </c>
      <c r="AJ23" s="1"/>
      <c r="AK23" s="1">
        <f t="shared" si="7"/>
        <v>222</v>
      </c>
      <c r="AL23" t="s">
        <v>81</v>
      </c>
    </row>
    <row r="24" spans="1:38" x14ac:dyDescent="0.25">
      <c r="A24" s="9" t="s">
        <v>82</v>
      </c>
      <c r="B24" s="9" t="s">
        <v>41</v>
      </c>
      <c r="C24" s="9"/>
      <c r="D24" s="9"/>
      <c r="E24" s="9"/>
      <c r="F24" s="9"/>
      <c r="G24" s="10">
        <v>0</v>
      </c>
      <c r="H24" s="9"/>
      <c r="I24" s="9" t="s">
        <v>42</v>
      </c>
      <c r="J24" s="9"/>
      <c r="K24" s="9"/>
      <c r="L24" s="9">
        <f t="shared" si="3"/>
        <v>0</v>
      </c>
      <c r="M24" s="9"/>
      <c r="N24" s="9"/>
      <c r="O24" s="9"/>
      <c r="P24" s="9"/>
      <c r="Q24" s="9"/>
      <c r="R24" s="9">
        <v>0</v>
      </c>
      <c r="S24" s="9"/>
      <c r="T24" s="9"/>
      <c r="U24" s="9">
        <f t="shared" si="4"/>
        <v>0</v>
      </c>
      <c r="V24" s="11"/>
      <c r="W24" s="5">
        <f>V24</f>
        <v>0</v>
      </c>
      <c r="X24" s="1" t="e">
        <f t="shared" si="5"/>
        <v>#DIV/0!</v>
      </c>
      <c r="Y24" s="9" t="e">
        <f t="shared" si="6"/>
        <v>#DIV/0!</v>
      </c>
      <c r="Z24" s="9">
        <f>VLOOKUP(A24,[1]Sheet!$A:$U,21,0)</f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 t="s">
        <v>50</v>
      </c>
      <c r="AK24" s="1">
        <f t="shared" si="7"/>
        <v>0</v>
      </c>
      <c r="AL24" t="s">
        <v>83</v>
      </c>
    </row>
    <row r="25" spans="1:38" x14ac:dyDescent="0.25">
      <c r="A25" s="1" t="s">
        <v>84</v>
      </c>
      <c r="B25" s="1" t="s">
        <v>41</v>
      </c>
      <c r="C25" s="1">
        <v>860.14599999999996</v>
      </c>
      <c r="D25" s="1">
        <v>447.37400000000002</v>
      </c>
      <c r="E25" s="1">
        <v>599.17399999999998</v>
      </c>
      <c r="F25" s="1">
        <v>558.14800000000002</v>
      </c>
      <c r="G25" s="7">
        <v>1</v>
      </c>
      <c r="H25" s="1">
        <v>70</v>
      </c>
      <c r="I25" s="13" t="s">
        <v>59</v>
      </c>
      <c r="J25" s="1"/>
      <c r="K25" s="1">
        <v>580.04999999999995</v>
      </c>
      <c r="L25" s="1">
        <f t="shared" si="3"/>
        <v>19.124000000000024</v>
      </c>
      <c r="M25" s="1"/>
      <c r="N25" s="1"/>
      <c r="O25" s="1">
        <v>368.77137793200018</v>
      </c>
      <c r="P25" s="1"/>
      <c r="Q25" s="1"/>
      <c r="R25" s="1">
        <v>14.17034319999971</v>
      </c>
      <c r="S25" s="1"/>
      <c r="T25" s="1"/>
      <c r="U25" s="1">
        <f t="shared" si="4"/>
        <v>119.8348</v>
      </c>
      <c r="V25" s="5">
        <v>511.09822206799993</v>
      </c>
      <c r="W25" s="5">
        <f>V25*$W$1</f>
        <v>357.76875544759991</v>
      </c>
      <c r="X25" s="1">
        <f t="shared" si="5"/>
        <v>10.838741972946089</v>
      </c>
      <c r="Y25" s="1">
        <f t="shared" si="6"/>
        <v>7.853225616698988</v>
      </c>
      <c r="Z25" s="1">
        <f>VLOOKUP(A25,[1]Sheet!$A:$U,21,0)</f>
        <v>117.58959999999999</v>
      </c>
      <c r="AA25" s="1">
        <v>135.84819999999999</v>
      </c>
      <c r="AB25" s="1">
        <v>138.06559999999999</v>
      </c>
      <c r="AC25" s="1">
        <v>123.43040000000001</v>
      </c>
      <c r="AD25" s="1">
        <v>120.05240000000001</v>
      </c>
      <c r="AE25" s="1">
        <v>127.38039999999999</v>
      </c>
      <c r="AF25" s="1">
        <v>123.4118</v>
      </c>
      <c r="AG25" s="1">
        <v>117.6122</v>
      </c>
      <c r="AH25" s="1">
        <v>125.7372</v>
      </c>
      <c r="AI25" s="1">
        <v>138.38999999999999</v>
      </c>
      <c r="AJ25" s="1"/>
      <c r="AK25" s="1">
        <f t="shared" si="7"/>
        <v>358</v>
      </c>
      <c r="AL25" t="s">
        <v>85</v>
      </c>
    </row>
    <row r="26" spans="1:38" x14ac:dyDescent="0.25">
      <c r="A26" s="1" t="s">
        <v>86</v>
      </c>
      <c r="B26" s="1" t="s">
        <v>41</v>
      </c>
      <c r="C26" s="1">
        <v>46.585999999999999</v>
      </c>
      <c r="D26" s="1">
        <v>52.578000000000003</v>
      </c>
      <c r="E26" s="1">
        <v>96.692999999999998</v>
      </c>
      <c r="F26" s="1">
        <v>2.4710000000000001</v>
      </c>
      <c r="G26" s="7">
        <v>1</v>
      </c>
      <c r="H26" s="1">
        <v>40</v>
      </c>
      <c r="I26" s="13" t="s">
        <v>59</v>
      </c>
      <c r="J26" s="1"/>
      <c r="K26" s="1">
        <v>132.9</v>
      </c>
      <c r="L26" s="1">
        <f t="shared" si="3"/>
        <v>-36.207000000000008</v>
      </c>
      <c r="M26" s="1"/>
      <c r="N26" s="1"/>
      <c r="O26" s="1">
        <v>45</v>
      </c>
      <c r="P26" s="1"/>
      <c r="Q26" s="1"/>
      <c r="R26" s="1">
        <v>80</v>
      </c>
      <c r="S26" s="1"/>
      <c r="T26" s="1"/>
      <c r="U26" s="1">
        <f t="shared" si="4"/>
        <v>19.3386</v>
      </c>
      <c r="V26" s="5">
        <v>100</v>
      </c>
      <c r="W26" s="5">
        <f>V26*$W$1</f>
        <v>70</v>
      </c>
      <c r="X26" s="1">
        <f t="shared" si="5"/>
        <v>10.211235559968147</v>
      </c>
      <c r="Y26" s="1">
        <f t="shared" si="6"/>
        <v>6.5915319619827706</v>
      </c>
      <c r="Z26" s="1">
        <f>VLOOKUP(A26,[1]Sheet!$A:$U,21,0)</f>
        <v>18.895199999999999</v>
      </c>
      <c r="AA26" s="1">
        <v>31.544799999999999</v>
      </c>
      <c r="AB26" s="1">
        <v>30.824200000000001</v>
      </c>
      <c r="AC26" s="1">
        <v>25.345600000000001</v>
      </c>
      <c r="AD26" s="1">
        <v>25.345600000000001</v>
      </c>
      <c r="AE26" s="1">
        <v>29.334199999999999</v>
      </c>
      <c r="AF26" s="1">
        <v>30.359200000000001</v>
      </c>
      <c r="AG26" s="1">
        <v>1.6180000000000001</v>
      </c>
      <c r="AH26" s="1">
        <v>0.88819999999999999</v>
      </c>
      <c r="AI26" s="1">
        <v>28.8462</v>
      </c>
      <c r="AJ26" s="1"/>
      <c r="AK26" s="1">
        <f t="shared" si="7"/>
        <v>70</v>
      </c>
      <c r="AL26" t="s">
        <v>87</v>
      </c>
    </row>
    <row r="27" spans="1:38" x14ac:dyDescent="0.25">
      <c r="A27" s="1" t="s">
        <v>88</v>
      </c>
      <c r="B27" s="1" t="s">
        <v>41</v>
      </c>
      <c r="C27" s="1">
        <v>356.3</v>
      </c>
      <c r="D27" s="1">
        <v>340.09699999999998</v>
      </c>
      <c r="E27" s="1">
        <v>322.40699999999998</v>
      </c>
      <c r="F27" s="1">
        <v>291.82600000000002</v>
      </c>
      <c r="G27" s="7">
        <v>1</v>
      </c>
      <c r="H27" s="1">
        <v>30</v>
      </c>
      <c r="I27" s="1" t="s">
        <v>42</v>
      </c>
      <c r="J27" s="1"/>
      <c r="K27" s="1">
        <v>317.7</v>
      </c>
      <c r="L27" s="1">
        <f t="shared" si="3"/>
        <v>4.7069999999999936</v>
      </c>
      <c r="M27" s="1"/>
      <c r="N27" s="1"/>
      <c r="O27" s="1"/>
      <c r="P27" s="1"/>
      <c r="Q27" s="1"/>
      <c r="R27" s="1">
        <v>251.35111400000011</v>
      </c>
      <c r="S27" s="1">
        <v>-252</v>
      </c>
      <c r="T27" s="1"/>
      <c r="U27" s="1">
        <f t="shared" si="4"/>
        <v>64.481399999999994</v>
      </c>
      <c r="V27" s="5">
        <v>481.95079999999984</v>
      </c>
      <c r="W27" s="5">
        <f>V27</f>
        <v>481.95079999999984</v>
      </c>
      <c r="X27" s="1">
        <f t="shared" si="5"/>
        <v>15.898040582245423</v>
      </c>
      <c r="Y27" s="1">
        <f t="shared" si="6"/>
        <v>8.4237797876596989</v>
      </c>
      <c r="Z27" s="1">
        <f>VLOOKUP(A27,[1]Sheet!$A:$U,21,0)</f>
        <v>63.1462</v>
      </c>
      <c r="AA27" s="1">
        <v>55.573599999999999</v>
      </c>
      <c r="AB27" s="1">
        <v>57.696000000000012</v>
      </c>
      <c r="AC27" s="1">
        <v>53.5364</v>
      </c>
      <c r="AD27" s="1">
        <v>46.989400000000003</v>
      </c>
      <c r="AE27" s="1">
        <v>50.754199999999997</v>
      </c>
      <c r="AF27" s="1">
        <v>52.681199999999997</v>
      </c>
      <c r="AG27" s="1">
        <v>61.315399999999997</v>
      </c>
      <c r="AH27" s="1">
        <v>65.999600000000001</v>
      </c>
      <c r="AI27" s="1">
        <v>56.640599999999992</v>
      </c>
      <c r="AJ27" s="1"/>
      <c r="AK27" s="1">
        <f t="shared" si="7"/>
        <v>482</v>
      </c>
      <c r="AL27" t="s">
        <v>89</v>
      </c>
    </row>
    <row r="28" spans="1:38" x14ac:dyDescent="0.25">
      <c r="A28" s="1" t="s">
        <v>90</v>
      </c>
      <c r="B28" s="1" t="s">
        <v>41</v>
      </c>
      <c r="C28" s="1">
        <v>0.23499999999999999</v>
      </c>
      <c r="D28" s="1"/>
      <c r="E28" s="1">
        <v>-7.4740000000000002</v>
      </c>
      <c r="F28" s="1">
        <v>0.23499999999999999</v>
      </c>
      <c r="G28" s="7">
        <v>1</v>
      </c>
      <c r="H28" s="1">
        <v>40</v>
      </c>
      <c r="I28" s="13" t="s">
        <v>59</v>
      </c>
      <c r="J28" s="1"/>
      <c r="K28" s="1">
        <v>49.5</v>
      </c>
      <c r="L28" s="1">
        <f t="shared" si="3"/>
        <v>-56.974000000000004</v>
      </c>
      <c r="M28" s="1"/>
      <c r="N28" s="1"/>
      <c r="O28" s="1">
        <v>50</v>
      </c>
      <c r="P28" s="1">
        <v>-54</v>
      </c>
      <c r="Q28" s="1"/>
      <c r="R28" s="1">
        <v>100</v>
      </c>
      <c r="S28" s="1">
        <v>-108</v>
      </c>
      <c r="T28" s="1"/>
      <c r="U28" s="1">
        <f t="shared" si="4"/>
        <v>-1.4948000000000001</v>
      </c>
      <c r="V28" s="5">
        <v>100</v>
      </c>
      <c r="W28" s="5">
        <f>V28*$W$1</f>
        <v>70</v>
      </c>
      <c r="X28" s="1">
        <f t="shared" si="5"/>
        <v>-111.2088573722237</v>
      </c>
      <c r="Y28" s="1">
        <f t="shared" si="6"/>
        <v>-64.379850147176867</v>
      </c>
      <c r="Z28" s="1">
        <f>VLOOKUP(A28,[1]Sheet!$A:$U,21,0)</f>
        <v>-1.6392</v>
      </c>
      <c r="AA28" s="1">
        <v>-1.9690000000000001</v>
      </c>
      <c r="AB28" s="1">
        <v>-1.5426</v>
      </c>
      <c r="AC28" s="1">
        <v>0.627</v>
      </c>
      <c r="AD28" s="1">
        <v>13.4148</v>
      </c>
      <c r="AE28" s="1">
        <v>42.743000000000002</v>
      </c>
      <c r="AF28" s="1">
        <v>41.494799999999998</v>
      </c>
      <c r="AG28" s="1">
        <v>42.447800000000001</v>
      </c>
      <c r="AH28" s="1">
        <v>46.859200000000001</v>
      </c>
      <c r="AI28" s="1">
        <v>44.1312</v>
      </c>
      <c r="AJ28" s="1"/>
      <c r="AK28" s="1">
        <f t="shared" si="7"/>
        <v>70</v>
      </c>
      <c r="AL28" t="s">
        <v>91</v>
      </c>
    </row>
    <row r="29" spans="1:38" x14ac:dyDescent="0.25">
      <c r="A29" s="1" t="s">
        <v>92</v>
      </c>
      <c r="B29" s="1" t="s">
        <v>41</v>
      </c>
      <c r="C29" s="1">
        <v>894.75300000000004</v>
      </c>
      <c r="D29" s="1">
        <v>2952.6979999999999</v>
      </c>
      <c r="E29" s="1">
        <v>1916.6420000000001</v>
      </c>
      <c r="F29" s="1">
        <v>1345.5740000000001</v>
      </c>
      <c r="G29" s="7">
        <v>1</v>
      </c>
      <c r="H29" s="1">
        <v>30</v>
      </c>
      <c r="I29" s="13" t="s">
        <v>59</v>
      </c>
      <c r="J29" s="1"/>
      <c r="K29" s="1">
        <v>2019.55</v>
      </c>
      <c r="L29" s="1">
        <f t="shared" si="3"/>
        <v>-102.9079999999999</v>
      </c>
      <c r="M29" s="1"/>
      <c r="N29" s="1"/>
      <c r="O29" s="1">
        <v>960.41050000000018</v>
      </c>
      <c r="P29" s="1"/>
      <c r="Q29" s="1"/>
      <c r="R29" s="1">
        <v>1060.5351000000001</v>
      </c>
      <c r="S29" s="1"/>
      <c r="T29" s="1"/>
      <c r="U29" s="1">
        <f t="shared" si="4"/>
        <v>383.32839999999999</v>
      </c>
      <c r="V29" s="5">
        <v>1500</v>
      </c>
      <c r="W29" s="5">
        <f>V29*$W$1</f>
        <v>1050</v>
      </c>
      <c r="X29" s="1">
        <f t="shared" si="5"/>
        <v>11.521503755004849</v>
      </c>
      <c r="Y29" s="1">
        <f t="shared" si="6"/>
        <v>8.7823380683507946</v>
      </c>
      <c r="Z29" s="1">
        <f>VLOOKUP(A29,[1]Sheet!$A:$U,21,0)</f>
        <v>403.56360000000001</v>
      </c>
      <c r="AA29" s="1">
        <v>375.65600000000001</v>
      </c>
      <c r="AB29" s="1">
        <v>362.08580000000001</v>
      </c>
      <c r="AC29" s="1">
        <v>409.18340000000001</v>
      </c>
      <c r="AD29" s="1">
        <v>406.64479999999998</v>
      </c>
      <c r="AE29" s="1">
        <v>471.33839999999998</v>
      </c>
      <c r="AF29" s="1">
        <v>480.87979999999999</v>
      </c>
      <c r="AG29" s="1">
        <v>213.43700000000001</v>
      </c>
      <c r="AH29" s="1">
        <v>215.16399999999999</v>
      </c>
      <c r="AI29" s="1">
        <v>450.7</v>
      </c>
      <c r="AJ29" s="1"/>
      <c r="AK29" s="1">
        <f t="shared" si="7"/>
        <v>1050</v>
      </c>
      <c r="AL29" t="s">
        <v>93</v>
      </c>
    </row>
    <row r="30" spans="1:38" x14ac:dyDescent="0.25">
      <c r="A30" s="9" t="s">
        <v>94</v>
      </c>
      <c r="B30" s="9" t="s">
        <v>41</v>
      </c>
      <c r="C30" s="9">
        <v>0.437</v>
      </c>
      <c r="D30" s="9"/>
      <c r="E30" s="9">
        <v>-1.306</v>
      </c>
      <c r="F30" s="9">
        <v>0.437</v>
      </c>
      <c r="G30" s="10">
        <v>0</v>
      </c>
      <c r="H30" s="9">
        <v>45</v>
      </c>
      <c r="I30" s="9" t="s">
        <v>64</v>
      </c>
      <c r="J30" s="9"/>
      <c r="K30" s="9">
        <v>7.8</v>
      </c>
      <c r="L30" s="9">
        <f t="shared" si="3"/>
        <v>-9.1059999999999999</v>
      </c>
      <c r="M30" s="9"/>
      <c r="N30" s="9"/>
      <c r="O30" s="9"/>
      <c r="P30" s="9"/>
      <c r="Q30" s="9"/>
      <c r="R30" s="9">
        <v>0</v>
      </c>
      <c r="S30" s="9"/>
      <c r="T30" s="9"/>
      <c r="U30" s="9">
        <f t="shared" si="4"/>
        <v>-0.26119999999999999</v>
      </c>
      <c r="V30" s="11"/>
      <c r="W30" s="5">
        <f>V30</f>
        <v>0</v>
      </c>
      <c r="X30" s="1">
        <f t="shared" si="5"/>
        <v>-1.6730474732006126</v>
      </c>
      <c r="Y30" s="9">
        <f t="shared" si="6"/>
        <v>-1.6730474732006126</v>
      </c>
      <c r="Z30" s="9">
        <f>VLOOKUP(A30,[1]Sheet!$A:$U,21,0)</f>
        <v>0</v>
      </c>
      <c r="AA30" s="9">
        <v>0</v>
      </c>
      <c r="AB30" s="9">
        <v>0</v>
      </c>
      <c r="AC30" s="9">
        <v>0</v>
      </c>
      <c r="AD30" s="9">
        <v>0.26</v>
      </c>
      <c r="AE30" s="9">
        <v>1.5546</v>
      </c>
      <c r="AF30" s="9">
        <v>4.6036000000000001</v>
      </c>
      <c r="AG30" s="9">
        <v>4.6284000000000001</v>
      </c>
      <c r="AH30" s="9">
        <v>3.6878000000000002</v>
      </c>
      <c r="AI30" s="9">
        <v>5.8213999999999997</v>
      </c>
      <c r="AJ30" s="9"/>
      <c r="AK30" s="1">
        <f t="shared" si="7"/>
        <v>0</v>
      </c>
      <c r="AL30" t="s">
        <v>95</v>
      </c>
    </row>
    <row r="31" spans="1:38" x14ac:dyDescent="0.25">
      <c r="A31" s="9" t="s">
        <v>96</v>
      </c>
      <c r="B31" s="9" t="s">
        <v>41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64</v>
      </c>
      <c r="J31" s="9"/>
      <c r="K31" s="9">
        <v>82.8</v>
      </c>
      <c r="L31" s="9">
        <f t="shared" si="3"/>
        <v>-82.8</v>
      </c>
      <c r="M31" s="9"/>
      <c r="N31" s="9"/>
      <c r="O31" s="9"/>
      <c r="P31" s="9"/>
      <c r="Q31" s="9"/>
      <c r="R31" s="9">
        <v>0</v>
      </c>
      <c r="S31" s="9"/>
      <c r="T31" s="9"/>
      <c r="U31" s="9">
        <f t="shared" si="4"/>
        <v>0</v>
      </c>
      <c r="V31" s="11"/>
      <c r="W31" s="5">
        <f>V31</f>
        <v>0</v>
      </c>
      <c r="X31" s="1" t="e">
        <f t="shared" si="5"/>
        <v>#DIV/0!</v>
      </c>
      <c r="Y31" s="9" t="e">
        <f t="shared" si="6"/>
        <v>#DIV/0!</v>
      </c>
      <c r="Z31" s="9">
        <f>VLOOKUP(A31,[1]Sheet!$A:$U,21,0)</f>
        <v>0</v>
      </c>
      <c r="AA31" s="9">
        <v>0</v>
      </c>
      <c r="AB31" s="9">
        <v>0</v>
      </c>
      <c r="AC31" s="9">
        <v>0</v>
      </c>
      <c r="AD31" s="9">
        <v>0</v>
      </c>
      <c r="AE31" s="9">
        <v>0.73980000000000001</v>
      </c>
      <c r="AF31" s="9">
        <v>1.2958000000000001</v>
      </c>
      <c r="AG31" s="9">
        <v>12.6168</v>
      </c>
      <c r="AH31" s="9">
        <v>11.9848</v>
      </c>
      <c r="AI31" s="9">
        <v>17.542200000000001</v>
      </c>
      <c r="AJ31" s="9"/>
      <c r="AK31" s="1">
        <f t="shared" si="7"/>
        <v>0</v>
      </c>
      <c r="AL31" t="s">
        <v>97</v>
      </c>
    </row>
    <row r="32" spans="1:38" x14ac:dyDescent="0.25">
      <c r="A32" s="1" t="s">
        <v>98</v>
      </c>
      <c r="B32" s="1" t="s">
        <v>41</v>
      </c>
      <c r="C32" s="1">
        <v>3.7480000000000002</v>
      </c>
      <c r="D32" s="1">
        <v>1588.6569999999999</v>
      </c>
      <c r="E32" s="1">
        <v>1437.35</v>
      </c>
      <c r="F32" s="1">
        <v>3.0830000000000002</v>
      </c>
      <c r="G32" s="7">
        <v>1</v>
      </c>
      <c r="H32" s="1">
        <v>40</v>
      </c>
      <c r="I32" s="13" t="s">
        <v>59</v>
      </c>
      <c r="J32" s="1"/>
      <c r="K32" s="1">
        <v>1786.55</v>
      </c>
      <c r="L32" s="1">
        <f t="shared" si="3"/>
        <v>-349.20000000000005</v>
      </c>
      <c r="M32" s="1"/>
      <c r="N32" s="1"/>
      <c r="O32" s="1">
        <v>740</v>
      </c>
      <c r="P32" s="1"/>
      <c r="Q32" s="1"/>
      <c r="R32" s="1">
        <v>1400</v>
      </c>
      <c r="S32" s="1"/>
      <c r="T32" s="1">
        <v>1656</v>
      </c>
      <c r="U32" s="1">
        <f t="shared" si="4"/>
        <v>287.46999999999997</v>
      </c>
      <c r="V32" s="5">
        <v>1306.5569999999993</v>
      </c>
      <c r="W32" s="5">
        <f>V32*$W$1</f>
        <v>914.58989999999949</v>
      </c>
      <c r="X32" s="1">
        <f t="shared" si="5"/>
        <v>10.636493895015132</v>
      </c>
      <c r="Y32" s="1">
        <f t="shared" si="6"/>
        <v>7.4549796500504408</v>
      </c>
      <c r="Z32" s="1">
        <f>VLOOKUP(A32,[1]Sheet!$A:$U,21,0)</f>
        <v>116.49420000000001</v>
      </c>
      <c r="AA32" s="1">
        <v>-1.4292</v>
      </c>
      <c r="AB32" s="1">
        <v>-0.58739999999999992</v>
      </c>
      <c r="AC32" s="1">
        <v>-0.2024</v>
      </c>
      <c r="AD32" s="1">
        <v>-0.22040000000000001</v>
      </c>
      <c r="AE32" s="1">
        <v>466.95479999999998</v>
      </c>
      <c r="AF32" s="1">
        <v>466.65679999999998</v>
      </c>
      <c r="AG32" s="1">
        <v>-1.0442</v>
      </c>
      <c r="AH32" s="1">
        <v>170.2936</v>
      </c>
      <c r="AI32" s="1">
        <v>540.2518</v>
      </c>
      <c r="AJ32" s="1"/>
      <c r="AK32" s="1">
        <f t="shared" si="7"/>
        <v>915</v>
      </c>
      <c r="AL32" t="s">
        <v>99</v>
      </c>
    </row>
    <row r="33" spans="1:38" x14ac:dyDescent="0.25">
      <c r="A33" s="9" t="s">
        <v>100</v>
      </c>
      <c r="B33" s="9" t="s">
        <v>41</v>
      </c>
      <c r="C33" s="9"/>
      <c r="D33" s="9"/>
      <c r="E33" s="9"/>
      <c r="F33" s="9"/>
      <c r="G33" s="10">
        <v>0</v>
      </c>
      <c r="H33" s="9"/>
      <c r="I33" s="9" t="s">
        <v>42</v>
      </c>
      <c r="J33" s="9"/>
      <c r="K33" s="9"/>
      <c r="L33" s="9">
        <f t="shared" si="3"/>
        <v>0</v>
      </c>
      <c r="M33" s="9"/>
      <c r="N33" s="9"/>
      <c r="O33" s="9"/>
      <c r="P33" s="9"/>
      <c r="Q33" s="9"/>
      <c r="R33" s="9">
        <v>0</v>
      </c>
      <c r="S33" s="9"/>
      <c r="T33" s="9"/>
      <c r="U33" s="9">
        <f t="shared" si="4"/>
        <v>0</v>
      </c>
      <c r="V33" s="11"/>
      <c r="W33" s="5">
        <f>V33</f>
        <v>0</v>
      </c>
      <c r="X33" s="1" t="e">
        <f t="shared" si="5"/>
        <v>#DIV/0!</v>
      </c>
      <c r="Y33" s="9" t="e">
        <f t="shared" si="6"/>
        <v>#DIV/0!</v>
      </c>
      <c r="Z33" s="9">
        <f>VLOOKUP(A33,[1]Sheet!$A:$U,21,0)</f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 t="s">
        <v>50</v>
      </c>
      <c r="AK33" s="1">
        <f t="shared" si="7"/>
        <v>0</v>
      </c>
      <c r="AL33" t="s">
        <v>101</v>
      </c>
    </row>
    <row r="34" spans="1:38" x14ac:dyDescent="0.25">
      <c r="A34" s="1" t="s">
        <v>102</v>
      </c>
      <c r="B34" s="1" t="s">
        <v>41</v>
      </c>
      <c r="C34" s="1">
        <v>85.581000000000003</v>
      </c>
      <c r="D34" s="1">
        <v>355.37599999999998</v>
      </c>
      <c r="E34" s="1">
        <v>184.744</v>
      </c>
      <c r="F34" s="1">
        <v>183.19300000000001</v>
      </c>
      <c r="G34" s="7">
        <v>1</v>
      </c>
      <c r="H34" s="1">
        <v>30</v>
      </c>
      <c r="I34" s="13" t="s">
        <v>59</v>
      </c>
      <c r="J34" s="1"/>
      <c r="K34" s="1">
        <v>227.1</v>
      </c>
      <c r="L34" s="1">
        <f t="shared" si="3"/>
        <v>-42.355999999999995</v>
      </c>
      <c r="M34" s="1"/>
      <c r="N34" s="1"/>
      <c r="O34" s="1">
        <v>75</v>
      </c>
      <c r="P34" s="1"/>
      <c r="Q34" s="1"/>
      <c r="R34" s="1">
        <v>0</v>
      </c>
      <c r="S34" s="1"/>
      <c r="T34" s="1"/>
      <c r="U34" s="1">
        <f t="shared" si="4"/>
        <v>36.948799999999999</v>
      </c>
      <c r="V34" s="5">
        <v>150</v>
      </c>
      <c r="W34" s="5">
        <f>V34*$W$1</f>
        <v>105</v>
      </c>
      <c r="X34" s="1">
        <f t="shared" si="5"/>
        <v>9.8296291083878238</v>
      </c>
      <c r="Y34" s="1">
        <f t="shared" si="6"/>
        <v>6.9878588749837611</v>
      </c>
      <c r="Z34" s="1">
        <f>VLOOKUP(A34,[1]Sheet!$A:$U,21,0)</f>
        <v>31.436399999999999</v>
      </c>
      <c r="AA34" s="1">
        <v>41.902799999999999</v>
      </c>
      <c r="AB34" s="1">
        <v>49.4908</v>
      </c>
      <c r="AC34" s="1">
        <v>47.421799999999998</v>
      </c>
      <c r="AD34" s="1">
        <v>41.256</v>
      </c>
      <c r="AE34" s="1">
        <v>46.957599999999999</v>
      </c>
      <c r="AF34" s="1">
        <v>52.282200000000003</v>
      </c>
      <c r="AG34" s="1">
        <v>40.8566</v>
      </c>
      <c r="AH34" s="1">
        <v>32.737400000000001</v>
      </c>
      <c r="AI34" s="1">
        <v>46.584200000000003</v>
      </c>
      <c r="AJ34" s="1"/>
      <c r="AK34" s="1">
        <f t="shared" si="7"/>
        <v>105</v>
      </c>
      <c r="AL34" t="s">
        <v>103</v>
      </c>
    </row>
    <row r="35" spans="1:38" x14ac:dyDescent="0.25">
      <c r="A35" s="9" t="s">
        <v>104</v>
      </c>
      <c r="B35" s="9" t="s">
        <v>41</v>
      </c>
      <c r="C35" s="9"/>
      <c r="D35" s="9"/>
      <c r="E35" s="9"/>
      <c r="F35" s="9"/>
      <c r="G35" s="10">
        <v>0</v>
      </c>
      <c r="H35" s="9"/>
      <c r="I35" s="9" t="s">
        <v>42</v>
      </c>
      <c r="J35" s="9"/>
      <c r="K35" s="9"/>
      <c r="L35" s="9">
        <f t="shared" si="3"/>
        <v>0</v>
      </c>
      <c r="M35" s="9"/>
      <c r="N35" s="9"/>
      <c r="O35" s="9"/>
      <c r="P35" s="9"/>
      <c r="Q35" s="9"/>
      <c r="R35" s="9">
        <v>0</v>
      </c>
      <c r="S35" s="9"/>
      <c r="T35" s="9"/>
      <c r="U35" s="9">
        <f t="shared" si="4"/>
        <v>0</v>
      </c>
      <c r="V35" s="11"/>
      <c r="W35" s="5">
        <f>V35</f>
        <v>0</v>
      </c>
      <c r="X35" s="1" t="e">
        <f t="shared" si="5"/>
        <v>#DIV/0!</v>
      </c>
      <c r="Y35" s="9" t="e">
        <f t="shared" si="6"/>
        <v>#DIV/0!</v>
      </c>
      <c r="Z35" s="9">
        <f>VLOOKUP(A35,[1]Sheet!$A:$U,21,0)</f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 t="s">
        <v>50</v>
      </c>
      <c r="AK35" s="1">
        <f t="shared" si="7"/>
        <v>0</v>
      </c>
      <c r="AL35" t="s">
        <v>105</v>
      </c>
    </row>
    <row r="36" spans="1:38" x14ac:dyDescent="0.25">
      <c r="A36" s="9" t="s">
        <v>106</v>
      </c>
      <c r="B36" s="9" t="s">
        <v>41</v>
      </c>
      <c r="C36" s="9"/>
      <c r="D36" s="9"/>
      <c r="E36" s="9"/>
      <c r="F36" s="9"/>
      <c r="G36" s="10">
        <v>0</v>
      </c>
      <c r="H36" s="9"/>
      <c r="I36" s="9" t="s">
        <v>42</v>
      </c>
      <c r="J36" s="9"/>
      <c r="K36" s="9"/>
      <c r="L36" s="9">
        <f t="shared" si="3"/>
        <v>0</v>
      </c>
      <c r="M36" s="9"/>
      <c r="N36" s="9"/>
      <c r="O36" s="9"/>
      <c r="P36" s="9"/>
      <c r="Q36" s="9"/>
      <c r="R36" s="9">
        <v>0</v>
      </c>
      <c r="S36" s="9"/>
      <c r="T36" s="9"/>
      <c r="U36" s="9">
        <f t="shared" si="4"/>
        <v>0</v>
      </c>
      <c r="V36" s="11"/>
      <c r="W36" s="5">
        <f>V36</f>
        <v>0</v>
      </c>
      <c r="X36" s="1" t="e">
        <f t="shared" si="5"/>
        <v>#DIV/0!</v>
      </c>
      <c r="Y36" s="9" t="e">
        <f t="shared" si="6"/>
        <v>#DIV/0!</v>
      </c>
      <c r="Z36" s="9">
        <f>VLOOKUP(A36,[1]Sheet!$A:$U,21,0)</f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 t="s">
        <v>50</v>
      </c>
      <c r="AK36" s="1">
        <f t="shared" si="7"/>
        <v>0</v>
      </c>
      <c r="AL36" t="s">
        <v>107</v>
      </c>
    </row>
    <row r="37" spans="1:38" x14ac:dyDescent="0.25">
      <c r="A37" s="1" t="s">
        <v>108</v>
      </c>
      <c r="B37" s="1" t="s">
        <v>49</v>
      </c>
      <c r="C37" s="1">
        <v>2408.94</v>
      </c>
      <c r="D37" s="1">
        <v>5017</v>
      </c>
      <c r="E37" s="1">
        <v>5393</v>
      </c>
      <c r="F37" s="1">
        <v>764.94</v>
      </c>
      <c r="G37" s="7">
        <v>0.4</v>
      </c>
      <c r="H37" s="1">
        <v>45</v>
      </c>
      <c r="I37" s="13" t="s">
        <v>59</v>
      </c>
      <c r="J37" s="1"/>
      <c r="K37" s="1">
        <v>5470</v>
      </c>
      <c r="L37" s="1">
        <f t="shared" si="3"/>
        <v>-77</v>
      </c>
      <c r="M37" s="1"/>
      <c r="N37" s="1"/>
      <c r="O37" s="1">
        <v>1000</v>
      </c>
      <c r="P37" s="1"/>
      <c r="Q37" s="1"/>
      <c r="R37" s="1">
        <v>3700</v>
      </c>
      <c r="S37" s="1"/>
      <c r="T37" s="1"/>
      <c r="U37" s="1">
        <f t="shared" si="4"/>
        <v>1078.5999999999999</v>
      </c>
      <c r="V37" s="5">
        <v>4000</v>
      </c>
      <c r="W37" s="5">
        <f>V37*$W$1</f>
        <v>2800</v>
      </c>
      <c r="X37" s="1">
        <f t="shared" si="5"/>
        <v>7.6626552938995003</v>
      </c>
      <c r="Y37" s="1">
        <f t="shared" si="6"/>
        <v>5.0666975709252746</v>
      </c>
      <c r="Z37" s="1">
        <f>VLOOKUP(A37,[1]Sheet!$A:$U,21,0)</f>
        <v>761.4</v>
      </c>
      <c r="AA37" s="1">
        <v>350.6</v>
      </c>
      <c r="AB37" s="1">
        <v>627.6</v>
      </c>
      <c r="AC37" s="1">
        <v>957.4</v>
      </c>
      <c r="AD37" s="1">
        <v>972</v>
      </c>
      <c r="AE37" s="1">
        <v>989.81200000000013</v>
      </c>
      <c r="AF37" s="1">
        <v>974.61200000000008</v>
      </c>
      <c r="AG37" s="1">
        <v>922.4</v>
      </c>
      <c r="AH37" s="1">
        <v>935.8</v>
      </c>
      <c r="AI37" s="1">
        <v>879.4</v>
      </c>
      <c r="AJ37" s="1"/>
      <c r="AK37" s="1">
        <f t="shared" si="7"/>
        <v>1120</v>
      </c>
      <c r="AL37" t="s">
        <v>109</v>
      </c>
    </row>
    <row r="38" spans="1:38" x14ac:dyDescent="0.25">
      <c r="A38" s="1" t="s">
        <v>110</v>
      </c>
      <c r="B38" s="1" t="s">
        <v>49</v>
      </c>
      <c r="C38" s="1">
        <v>756</v>
      </c>
      <c r="D38" s="1">
        <v>412</v>
      </c>
      <c r="E38" s="1">
        <v>451</v>
      </c>
      <c r="F38" s="1">
        <v>599</v>
      </c>
      <c r="G38" s="7">
        <v>0.45</v>
      </c>
      <c r="H38" s="1">
        <v>50</v>
      </c>
      <c r="I38" s="1" t="s">
        <v>42</v>
      </c>
      <c r="J38" s="1"/>
      <c r="K38" s="1">
        <v>464</v>
      </c>
      <c r="L38" s="1">
        <f t="shared" ref="L38:L69" si="8">E38-K38</f>
        <v>-13</v>
      </c>
      <c r="M38" s="1"/>
      <c r="N38" s="1"/>
      <c r="O38" s="1">
        <v>258.153999</v>
      </c>
      <c r="P38" s="1"/>
      <c r="Q38" s="1"/>
      <c r="R38" s="1">
        <v>0</v>
      </c>
      <c r="S38" s="1"/>
      <c r="T38" s="1"/>
      <c r="U38" s="1">
        <f t="shared" ref="U38:U69" si="9">E38/5</f>
        <v>90.2</v>
      </c>
      <c r="V38" s="5">
        <v>225.24600100000009</v>
      </c>
      <c r="W38" s="5">
        <f>V38</f>
        <v>225.24600100000009</v>
      </c>
      <c r="X38" s="1">
        <f t="shared" ref="X38:X69" si="10">(F38+O38+P38+Q38+R38+W38)/U38</f>
        <v>12</v>
      </c>
      <c r="Y38" s="1">
        <f t="shared" ref="Y38:Y69" si="11">(F38+O38+P38+Q38+R38)/U38</f>
        <v>9.5028159534368069</v>
      </c>
      <c r="Z38" s="1">
        <f>VLOOKUP(A38,[1]Sheet!$A:$U,21,0)</f>
        <v>85.2</v>
      </c>
      <c r="AA38" s="1">
        <v>96.8</v>
      </c>
      <c r="AB38" s="1">
        <v>99.2</v>
      </c>
      <c r="AC38" s="1">
        <v>105.4</v>
      </c>
      <c r="AD38" s="1">
        <v>102.8</v>
      </c>
      <c r="AE38" s="1">
        <v>77.8</v>
      </c>
      <c r="AF38" s="1">
        <v>75</v>
      </c>
      <c r="AG38" s="1">
        <v>65</v>
      </c>
      <c r="AH38" s="1">
        <v>95.6</v>
      </c>
      <c r="AI38" s="1">
        <v>101.8</v>
      </c>
      <c r="AJ38" s="1"/>
      <c r="AK38" s="1">
        <f t="shared" ref="AK38:AK69" si="12">ROUND(G38*W38,0)</f>
        <v>101</v>
      </c>
      <c r="AL38" t="s">
        <v>111</v>
      </c>
    </row>
    <row r="39" spans="1:38" x14ac:dyDescent="0.25">
      <c r="A39" s="1" t="s">
        <v>112</v>
      </c>
      <c r="B39" s="1" t="s">
        <v>49</v>
      </c>
      <c r="C39" s="1">
        <v>-30</v>
      </c>
      <c r="D39" s="1"/>
      <c r="E39" s="1">
        <v>-3</v>
      </c>
      <c r="F39" s="1">
        <v>-30</v>
      </c>
      <c r="G39" s="7">
        <v>0.4</v>
      </c>
      <c r="H39" s="1">
        <v>45</v>
      </c>
      <c r="I39" s="13" t="s">
        <v>59</v>
      </c>
      <c r="J39" s="1"/>
      <c r="K39" s="1">
        <v>547</v>
      </c>
      <c r="L39" s="1">
        <f t="shared" si="8"/>
        <v>-550</v>
      </c>
      <c r="M39" s="1"/>
      <c r="N39" s="1"/>
      <c r="O39" s="1">
        <v>200</v>
      </c>
      <c r="P39" s="1"/>
      <c r="Q39" s="1"/>
      <c r="R39" s="1">
        <v>300</v>
      </c>
      <c r="S39" s="1"/>
      <c r="T39" s="1"/>
      <c r="U39" s="1">
        <f t="shared" si="9"/>
        <v>-0.6</v>
      </c>
      <c r="V39" s="5">
        <v>500</v>
      </c>
      <c r="W39" s="5">
        <f>V39*$W$1</f>
        <v>350</v>
      </c>
      <c r="X39" s="1">
        <f t="shared" si="10"/>
        <v>-1366.6666666666667</v>
      </c>
      <c r="Y39" s="1">
        <f t="shared" si="11"/>
        <v>-783.33333333333337</v>
      </c>
      <c r="Z39" s="1">
        <f>VLOOKUP(A39,[1]Sheet!$A:$U,21,0)</f>
        <v>-1.2</v>
      </c>
      <c r="AA39" s="1">
        <v>59</v>
      </c>
      <c r="AB39" s="1">
        <v>102.6</v>
      </c>
      <c r="AC39" s="1">
        <v>216.8</v>
      </c>
      <c r="AD39" s="1">
        <v>259</v>
      </c>
      <c r="AE39" s="1">
        <v>245.2</v>
      </c>
      <c r="AF39" s="1">
        <v>165.6</v>
      </c>
      <c r="AG39" s="1">
        <v>105.6</v>
      </c>
      <c r="AH39" s="1">
        <v>196.2</v>
      </c>
      <c r="AI39" s="1">
        <v>218.8</v>
      </c>
      <c r="AJ39" s="1"/>
      <c r="AK39" s="1">
        <f t="shared" si="12"/>
        <v>140</v>
      </c>
      <c r="AL39" t="s">
        <v>113</v>
      </c>
    </row>
    <row r="40" spans="1:38" x14ac:dyDescent="0.25">
      <c r="A40" s="1" t="s">
        <v>114</v>
      </c>
      <c r="B40" s="1" t="s">
        <v>49</v>
      </c>
      <c r="C40" s="1"/>
      <c r="D40" s="1"/>
      <c r="E40" s="1">
        <v>-2</v>
      </c>
      <c r="F40" s="1"/>
      <c r="G40" s="7">
        <v>0.4</v>
      </c>
      <c r="H40" s="1">
        <v>40</v>
      </c>
      <c r="I40" s="13" t="s">
        <v>59</v>
      </c>
      <c r="J40" s="1"/>
      <c r="K40" s="1"/>
      <c r="L40" s="1">
        <f t="shared" si="8"/>
        <v>-2</v>
      </c>
      <c r="M40" s="1"/>
      <c r="N40" s="1"/>
      <c r="O40" s="1">
        <v>10</v>
      </c>
      <c r="P40" s="1">
        <v>-12.5</v>
      </c>
      <c r="Q40" s="1"/>
      <c r="R40" s="1">
        <v>10</v>
      </c>
      <c r="S40" s="1">
        <v>-12.5</v>
      </c>
      <c r="T40" s="1"/>
      <c r="U40" s="1">
        <f t="shared" si="9"/>
        <v>-0.4</v>
      </c>
      <c r="V40" s="5">
        <v>20</v>
      </c>
      <c r="W40" s="5">
        <f>V40</f>
        <v>20</v>
      </c>
      <c r="X40" s="1">
        <f t="shared" si="10"/>
        <v>-68.75</v>
      </c>
      <c r="Y40" s="1">
        <f t="shared" si="11"/>
        <v>-18.75</v>
      </c>
      <c r="Z40" s="1">
        <f>VLOOKUP(A40,[1]Sheet!$A:$U,21,0)</f>
        <v>-0.2</v>
      </c>
      <c r="AA40" s="1">
        <v>4.4000000000000004</v>
      </c>
      <c r="AB40" s="1">
        <v>7.2</v>
      </c>
      <c r="AC40" s="1">
        <v>3.8</v>
      </c>
      <c r="AD40" s="1">
        <v>2.6</v>
      </c>
      <c r="AE40" s="1">
        <v>3.6</v>
      </c>
      <c r="AF40" s="1">
        <v>2.2000000000000002</v>
      </c>
      <c r="AG40" s="1">
        <v>2.6</v>
      </c>
      <c r="AH40" s="1">
        <v>5.4</v>
      </c>
      <c r="AI40" s="1">
        <v>4</v>
      </c>
      <c r="AJ40" s="1"/>
      <c r="AK40" s="1">
        <f t="shared" si="12"/>
        <v>8</v>
      </c>
      <c r="AL40" t="s">
        <v>115</v>
      </c>
    </row>
    <row r="41" spans="1:38" x14ac:dyDescent="0.25">
      <c r="A41" s="1" t="s">
        <v>116</v>
      </c>
      <c r="B41" s="1" t="s">
        <v>41</v>
      </c>
      <c r="C41" s="1">
        <v>178.04599999999999</v>
      </c>
      <c r="D41" s="1">
        <v>165.39099999999999</v>
      </c>
      <c r="E41" s="1">
        <v>198.809</v>
      </c>
      <c r="F41" s="1">
        <v>123.00700000000001</v>
      </c>
      <c r="G41" s="7">
        <v>1</v>
      </c>
      <c r="H41" s="1">
        <v>45</v>
      </c>
      <c r="I41" s="13" t="s">
        <v>59</v>
      </c>
      <c r="J41" s="1"/>
      <c r="K41" s="1">
        <v>191.03899999999999</v>
      </c>
      <c r="L41" s="1">
        <f t="shared" si="8"/>
        <v>7.7700000000000102</v>
      </c>
      <c r="M41" s="1"/>
      <c r="N41" s="1"/>
      <c r="O41" s="1">
        <v>251.16829591800001</v>
      </c>
      <c r="P41" s="1"/>
      <c r="Q41" s="1"/>
      <c r="R41" s="1">
        <v>213.84406680000009</v>
      </c>
      <c r="S41" s="1">
        <v>-141</v>
      </c>
      <c r="T41" s="1"/>
      <c r="U41" s="1">
        <f t="shared" si="9"/>
        <v>39.761800000000001</v>
      </c>
      <c r="V41" s="5">
        <v>150</v>
      </c>
      <c r="W41" s="5">
        <f>V41*$W$1</f>
        <v>105</v>
      </c>
      <c r="X41" s="1">
        <f t="shared" si="10"/>
        <v>17.429275402974717</v>
      </c>
      <c r="Y41" s="1">
        <f t="shared" si="11"/>
        <v>14.788549882500293</v>
      </c>
      <c r="Z41" s="1">
        <f>VLOOKUP(A41,[1]Sheet!$A:$U,21,0)</f>
        <v>56.673800000000007</v>
      </c>
      <c r="AA41" s="1">
        <v>67.0672</v>
      </c>
      <c r="AB41" s="1">
        <v>44.9604</v>
      </c>
      <c r="AC41" s="1">
        <v>-1.5009999999999999</v>
      </c>
      <c r="AD41" s="1">
        <v>-2.0733999999999999</v>
      </c>
      <c r="AE41" s="1">
        <v>9.1658000000000008</v>
      </c>
      <c r="AF41" s="1">
        <v>37.942599999999999</v>
      </c>
      <c r="AG41" s="1">
        <v>58.043199999999999</v>
      </c>
      <c r="AH41" s="1">
        <v>60.015799999999999</v>
      </c>
      <c r="AI41" s="1">
        <v>55.129399999999997</v>
      </c>
      <c r="AJ41" s="1"/>
      <c r="AK41" s="1">
        <f t="shared" si="12"/>
        <v>105</v>
      </c>
      <c r="AL41" t="s">
        <v>117</v>
      </c>
    </row>
    <row r="42" spans="1:38" x14ac:dyDescent="0.25">
      <c r="A42" s="1" t="s">
        <v>118</v>
      </c>
      <c r="B42" s="1" t="s">
        <v>49</v>
      </c>
      <c r="C42" s="1">
        <v>541</v>
      </c>
      <c r="D42" s="1">
        <v>285</v>
      </c>
      <c r="E42" s="1">
        <v>425</v>
      </c>
      <c r="F42" s="1">
        <v>333</v>
      </c>
      <c r="G42" s="7">
        <v>0.1</v>
      </c>
      <c r="H42" s="1">
        <v>731</v>
      </c>
      <c r="I42" s="1" t="s">
        <v>42</v>
      </c>
      <c r="J42" s="1"/>
      <c r="K42" s="1">
        <v>430</v>
      </c>
      <c r="L42" s="1">
        <f t="shared" si="8"/>
        <v>-5</v>
      </c>
      <c r="M42" s="1"/>
      <c r="N42" s="1"/>
      <c r="O42" s="1"/>
      <c r="P42" s="1"/>
      <c r="Q42" s="1"/>
      <c r="R42" s="1">
        <v>366.59999999999991</v>
      </c>
      <c r="S42" s="1"/>
      <c r="T42" s="1"/>
      <c r="U42" s="1">
        <f t="shared" si="9"/>
        <v>85</v>
      </c>
      <c r="V42" s="5">
        <v>687</v>
      </c>
      <c r="W42" s="5">
        <f>V42</f>
        <v>687</v>
      </c>
      <c r="X42" s="1">
        <f t="shared" si="10"/>
        <v>16.312941176470588</v>
      </c>
      <c r="Y42" s="1">
        <f t="shared" si="11"/>
        <v>8.2305882352941158</v>
      </c>
      <c r="Z42" s="1">
        <f>VLOOKUP(A42,[1]Sheet!$A:$U,21,0)</f>
        <v>79.8</v>
      </c>
      <c r="AA42" s="1">
        <v>65</v>
      </c>
      <c r="AB42" s="1">
        <v>62.8</v>
      </c>
      <c r="AC42" s="1">
        <v>64</v>
      </c>
      <c r="AD42" s="1">
        <v>69.2</v>
      </c>
      <c r="AE42" s="1">
        <v>86.4</v>
      </c>
      <c r="AF42" s="1">
        <v>78.599999999999994</v>
      </c>
      <c r="AG42" s="1">
        <v>70.599999999999994</v>
      </c>
      <c r="AH42" s="1">
        <v>80.599999999999994</v>
      </c>
      <c r="AI42" s="1">
        <v>60.2</v>
      </c>
      <c r="AJ42" s="1"/>
      <c r="AK42" s="1">
        <f t="shared" si="12"/>
        <v>69</v>
      </c>
      <c r="AL42" t="s">
        <v>119</v>
      </c>
    </row>
    <row r="43" spans="1:38" x14ac:dyDescent="0.25">
      <c r="A43" s="1" t="s">
        <v>120</v>
      </c>
      <c r="B43" s="1" t="s">
        <v>49</v>
      </c>
      <c r="C43" s="1">
        <v>-1</v>
      </c>
      <c r="D43" s="1"/>
      <c r="E43" s="1">
        <v>-10</v>
      </c>
      <c r="F43" s="1">
        <v>-1</v>
      </c>
      <c r="G43" s="7">
        <v>0.35</v>
      </c>
      <c r="H43" s="1">
        <v>40</v>
      </c>
      <c r="I43" s="13" t="s">
        <v>59</v>
      </c>
      <c r="J43" s="1"/>
      <c r="K43" s="1">
        <v>72</v>
      </c>
      <c r="L43" s="1">
        <f t="shared" si="8"/>
        <v>-82</v>
      </c>
      <c r="M43" s="1"/>
      <c r="N43" s="1"/>
      <c r="O43" s="1">
        <v>50</v>
      </c>
      <c r="P43" s="1">
        <v>-54.285714285714292</v>
      </c>
      <c r="Q43" s="1"/>
      <c r="R43" s="1">
        <v>100</v>
      </c>
      <c r="S43" s="1">
        <v>-102.85714285714286</v>
      </c>
      <c r="T43" s="1"/>
      <c r="U43" s="1">
        <f t="shared" si="9"/>
        <v>-2</v>
      </c>
      <c r="V43" s="5">
        <v>100</v>
      </c>
      <c r="W43" s="5">
        <f>V43*$W$1</f>
        <v>70</v>
      </c>
      <c r="X43" s="1">
        <f t="shared" si="10"/>
        <v>-82.357142857142861</v>
      </c>
      <c r="Y43" s="1">
        <f t="shared" si="11"/>
        <v>-47.357142857142854</v>
      </c>
      <c r="Z43" s="1">
        <f>VLOOKUP(A43,[1]Sheet!$A:$U,21,0)</f>
        <v>-1.8</v>
      </c>
      <c r="AA43" s="1">
        <v>-2.6</v>
      </c>
      <c r="AB43" s="1">
        <v>-2.8</v>
      </c>
      <c r="AC43" s="1">
        <v>-2.8</v>
      </c>
      <c r="AD43" s="1">
        <v>-3</v>
      </c>
      <c r="AE43" s="1">
        <v>6.8</v>
      </c>
      <c r="AF43" s="1">
        <v>28.4</v>
      </c>
      <c r="AG43" s="1">
        <v>45</v>
      </c>
      <c r="AH43" s="1">
        <v>43.6</v>
      </c>
      <c r="AI43" s="1">
        <v>47.6</v>
      </c>
      <c r="AJ43" s="1"/>
      <c r="AK43" s="1">
        <f t="shared" si="12"/>
        <v>25</v>
      </c>
      <c r="AL43" t="s">
        <v>121</v>
      </c>
    </row>
    <row r="44" spans="1:38" x14ac:dyDescent="0.25">
      <c r="A44" s="1" t="s">
        <v>122</v>
      </c>
      <c r="B44" s="1" t="s">
        <v>41</v>
      </c>
      <c r="C44" s="1">
        <v>4.6760000000000002</v>
      </c>
      <c r="D44" s="1">
        <v>35.006</v>
      </c>
      <c r="E44" s="1">
        <v>27.693000000000001</v>
      </c>
      <c r="F44" s="1">
        <v>4.7210000000000001</v>
      </c>
      <c r="G44" s="7">
        <v>1</v>
      </c>
      <c r="H44" s="1">
        <v>40</v>
      </c>
      <c r="I44" s="13" t="s">
        <v>59</v>
      </c>
      <c r="J44" s="1"/>
      <c r="K44" s="1">
        <v>67.099999999999994</v>
      </c>
      <c r="L44" s="1">
        <f t="shared" si="8"/>
        <v>-39.406999999999996</v>
      </c>
      <c r="M44" s="1"/>
      <c r="N44" s="1"/>
      <c r="O44" s="1">
        <v>15</v>
      </c>
      <c r="P44" s="1">
        <v>-17</v>
      </c>
      <c r="Q44" s="1"/>
      <c r="R44" s="1">
        <v>20</v>
      </c>
      <c r="S44" s="1"/>
      <c r="T44" s="1"/>
      <c r="U44" s="1">
        <f t="shared" si="9"/>
        <v>5.5386000000000006</v>
      </c>
      <c r="V44" s="5">
        <v>30</v>
      </c>
      <c r="W44" s="5">
        <f>V44</f>
        <v>30</v>
      </c>
      <c r="X44" s="1">
        <f t="shared" si="10"/>
        <v>9.5188314736576025</v>
      </c>
      <c r="Y44" s="1">
        <f t="shared" si="11"/>
        <v>4.1023002202722703</v>
      </c>
      <c r="Z44" s="1">
        <f>VLOOKUP(A44,[1]Sheet!$A:$U,21,0)</f>
        <v>1.1628000000000001</v>
      </c>
      <c r="AA44" s="1">
        <v>8.4174000000000007</v>
      </c>
      <c r="AB44" s="1">
        <v>11.9122</v>
      </c>
      <c r="AC44" s="1">
        <v>8.8938000000000006</v>
      </c>
      <c r="AD44" s="1">
        <v>8.7584</v>
      </c>
      <c r="AE44" s="1">
        <v>7.7378</v>
      </c>
      <c r="AF44" s="1">
        <v>8.1522000000000006</v>
      </c>
      <c r="AG44" s="1">
        <v>10.566599999999999</v>
      </c>
      <c r="AH44" s="1">
        <v>9.1028000000000002</v>
      </c>
      <c r="AI44" s="1">
        <v>7.556</v>
      </c>
      <c r="AJ44" s="1"/>
      <c r="AK44" s="1">
        <f t="shared" si="12"/>
        <v>30</v>
      </c>
      <c r="AL44" t="s">
        <v>123</v>
      </c>
    </row>
    <row r="45" spans="1:38" x14ac:dyDescent="0.25">
      <c r="A45" s="1" t="s">
        <v>124</v>
      </c>
      <c r="B45" s="1" t="s">
        <v>49</v>
      </c>
      <c r="C45" s="1">
        <v>71</v>
      </c>
      <c r="D45" s="1">
        <v>223</v>
      </c>
      <c r="E45" s="1">
        <v>212</v>
      </c>
      <c r="F45" s="1">
        <v>8</v>
      </c>
      <c r="G45" s="7">
        <v>0.4</v>
      </c>
      <c r="H45" s="1">
        <v>40</v>
      </c>
      <c r="I45" s="13" t="s">
        <v>59</v>
      </c>
      <c r="J45" s="1"/>
      <c r="K45" s="1">
        <v>300</v>
      </c>
      <c r="L45" s="1">
        <f t="shared" si="8"/>
        <v>-88</v>
      </c>
      <c r="M45" s="1"/>
      <c r="N45" s="1"/>
      <c r="O45" s="1">
        <v>50</v>
      </c>
      <c r="P45" s="1"/>
      <c r="Q45" s="1"/>
      <c r="R45" s="1">
        <v>218.4</v>
      </c>
      <c r="S45" s="1"/>
      <c r="T45" s="1"/>
      <c r="U45" s="1">
        <f t="shared" si="9"/>
        <v>42.4</v>
      </c>
      <c r="V45" s="5">
        <v>150</v>
      </c>
      <c r="W45" s="5">
        <f>V45*$W$1</f>
        <v>105</v>
      </c>
      <c r="X45" s="1">
        <f t="shared" si="10"/>
        <v>8.9952830188679247</v>
      </c>
      <c r="Y45" s="1">
        <f t="shared" si="11"/>
        <v>6.5188679245283012</v>
      </c>
      <c r="Z45" s="1">
        <f>VLOOKUP(A45,[1]Sheet!$A:$U,21,0)</f>
        <v>36.4</v>
      </c>
      <c r="AA45" s="1">
        <v>46.4</v>
      </c>
      <c r="AB45" s="1">
        <v>39.4</v>
      </c>
      <c r="AC45" s="1">
        <v>7</v>
      </c>
      <c r="AD45" s="1">
        <v>3</v>
      </c>
      <c r="AE45" s="1">
        <v>44.6</v>
      </c>
      <c r="AF45" s="1">
        <v>42.4</v>
      </c>
      <c r="AG45" s="1">
        <v>-0.8</v>
      </c>
      <c r="AH45" s="1">
        <v>17.2</v>
      </c>
      <c r="AI45" s="1">
        <v>30.2</v>
      </c>
      <c r="AJ45" s="1"/>
      <c r="AK45" s="1">
        <f t="shared" si="12"/>
        <v>42</v>
      </c>
      <c r="AL45" t="s">
        <v>125</v>
      </c>
    </row>
    <row r="46" spans="1:38" x14ac:dyDescent="0.25">
      <c r="A46" s="1" t="s">
        <v>126</v>
      </c>
      <c r="B46" s="1" t="s">
        <v>49</v>
      </c>
      <c r="C46" s="1">
        <v>135</v>
      </c>
      <c r="D46" s="1">
        <v>103</v>
      </c>
      <c r="E46" s="1">
        <v>152</v>
      </c>
      <c r="F46" s="1">
        <v>25</v>
      </c>
      <c r="G46" s="7">
        <v>0.4</v>
      </c>
      <c r="H46" s="1">
        <v>45</v>
      </c>
      <c r="I46" s="13" t="s">
        <v>59</v>
      </c>
      <c r="J46" s="1"/>
      <c r="K46" s="1">
        <v>297</v>
      </c>
      <c r="L46" s="1">
        <f t="shared" si="8"/>
        <v>-145</v>
      </c>
      <c r="M46" s="1"/>
      <c r="N46" s="1"/>
      <c r="O46" s="1">
        <v>50</v>
      </c>
      <c r="P46" s="1"/>
      <c r="Q46" s="1"/>
      <c r="R46" s="1">
        <v>173.2</v>
      </c>
      <c r="S46" s="1"/>
      <c r="T46" s="1"/>
      <c r="U46" s="1">
        <f t="shared" si="9"/>
        <v>30.4</v>
      </c>
      <c r="V46" s="5">
        <v>200</v>
      </c>
      <c r="W46" s="5">
        <f>V46*$W$1</f>
        <v>140</v>
      </c>
      <c r="X46" s="1">
        <f t="shared" si="10"/>
        <v>12.769736842105264</v>
      </c>
      <c r="Y46" s="1">
        <f t="shared" si="11"/>
        <v>8.1644736842105257</v>
      </c>
      <c r="Z46" s="1">
        <f>VLOOKUP(A46,[1]Sheet!$A:$U,21,0)</f>
        <v>30.2</v>
      </c>
      <c r="AA46" s="1">
        <v>25.8</v>
      </c>
      <c r="AB46" s="1">
        <v>20.399999999999999</v>
      </c>
      <c r="AC46" s="1">
        <v>-0.8</v>
      </c>
      <c r="AD46" s="1">
        <v>23.6</v>
      </c>
      <c r="AE46" s="1">
        <v>52.4</v>
      </c>
      <c r="AF46" s="1">
        <v>27.8</v>
      </c>
      <c r="AG46" s="1">
        <v>-0.8</v>
      </c>
      <c r="AH46" s="1">
        <v>6.6</v>
      </c>
      <c r="AI46" s="1">
        <v>42.6</v>
      </c>
      <c r="AJ46" s="1"/>
      <c r="AK46" s="1">
        <f t="shared" si="12"/>
        <v>56</v>
      </c>
      <c r="AL46" t="s">
        <v>127</v>
      </c>
    </row>
    <row r="47" spans="1:38" x14ac:dyDescent="0.25">
      <c r="A47" s="1" t="s">
        <v>128</v>
      </c>
      <c r="B47" s="1" t="s">
        <v>41</v>
      </c>
      <c r="C47" s="1">
        <v>112.845</v>
      </c>
      <c r="D47" s="1">
        <v>57.231999999999999</v>
      </c>
      <c r="E47" s="1">
        <v>117.498</v>
      </c>
      <c r="F47" s="1">
        <v>3.6840000000000002</v>
      </c>
      <c r="G47" s="7">
        <v>1</v>
      </c>
      <c r="H47" s="1">
        <v>40</v>
      </c>
      <c r="I47" s="13" t="s">
        <v>59</v>
      </c>
      <c r="J47" s="1"/>
      <c r="K47" s="1">
        <v>125.25</v>
      </c>
      <c r="L47" s="1">
        <f t="shared" si="8"/>
        <v>-7.7519999999999953</v>
      </c>
      <c r="M47" s="1"/>
      <c r="N47" s="1"/>
      <c r="O47" s="1"/>
      <c r="P47" s="1"/>
      <c r="Q47" s="1"/>
      <c r="R47" s="1">
        <v>80</v>
      </c>
      <c r="S47" s="1"/>
      <c r="T47" s="1"/>
      <c r="U47" s="1">
        <f t="shared" si="9"/>
        <v>23.499600000000001</v>
      </c>
      <c r="V47" s="5">
        <v>80</v>
      </c>
      <c r="W47" s="5">
        <f>V47*$W$1</f>
        <v>56</v>
      </c>
      <c r="X47" s="1">
        <f t="shared" si="10"/>
        <v>5.9441011761902329</v>
      </c>
      <c r="Y47" s="1">
        <f t="shared" si="11"/>
        <v>3.5610818907555872</v>
      </c>
      <c r="Z47" s="1">
        <f>VLOOKUP(A47,[1]Sheet!$A:$U,21,0)</f>
        <v>24.4682</v>
      </c>
      <c r="AA47" s="1">
        <v>21.0944</v>
      </c>
      <c r="AB47" s="1">
        <v>18.771799999999999</v>
      </c>
      <c r="AC47" s="1">
        <v>18.388999999999999</v>
      </c>
      <c r="AD47" s="1">
        <v>21.290800000000001</v>
      </c>
      <c r="AE47" s="1">
        <v>17.810400000000001</v>
      </c>
      <c r="AF47" s="1">
        <v>16.632000000000001</v>
      </c>
      <c r="AG47" s="1">
        <v>22.530799999999999</v>
      </c>
      <c r="AH47" s="1">
        <v>20.517600000000002</v>
      </c>
      <c r="AI47" s="1">
        <v>24.51</v>
      </c>
      <c r="AJ47" s="1"/>
      <c r="AK47" s="1">
        <f t="shared" si="12"/>
        <v>56</v>
      </c>
      <c r="AL47" t="s">
        <v>129</v>
      </c>
    </row>
    <row r="48" spans="1:38" x14ac:dyDescent="0.25">
      <c r="A48" s="1" t="s">
        <v>130</v>
      </c>
      <c r="B48" s="1" t="s">
        <v>49</v>
      </c>
      <c r="C48" s="1">
        <v>637</v>
      </c>
      <c r="D48" s="1">
        <v>8</v>
      </c>
      <c r="E48" s="1">
        <v>613</v>
      </c>
      <c r="F48" s="1">
        <v>-4</v>
      </c>
      <c r="G48" s="7">
        <v>0.35</v>
      </c>
      <c r="H48" s="1">
        <v>40</v>
      </c>
      <c r="I48" s="13" t="s">
        <v>59</v>
      </c>
      <c r="J48" s="1"/>
      <c r="K48" s="1">
        <v>1042</v>
      </c>
      <c r="L48" s="1">
        <f t="shared" si="8"/>
        <v>-429</v>
      </c>
      <c r="M48" s="1"/>
      <c r="N48" s="1"/>
      <c r="O48" s="1">
        <v>750</v>
      </c>
      <c r="P48" s="1">
        <v>-757.14285714285722</v>
      </c>
      <c r="Q48" s="1"/>
      <c r="R48" s="1">
        <v>800</v>
      </c>
      <c r="S48" s="1"/>
      <c r="T48" s="1"/>
      <c r="U48" s="1">
        <f t="shared" si="9"/>
        <v>122.6</v>
      </c>
      <c r="V48" s="5">
        <v>700</v>
      </c>
      <c r="W48" s="5">
        <f>V48*$W$1</f>
        <v>489.99999999999994</v>
      </c>
      <c r="X48" s="1">
        <f t="shared" si="10"/>
        <v>10.431134933581914</v>
      </c>
      <c r="Y48" s="1">
        <f t="shared" si="11"/>
        <v>6.4343975763225352</v>
      </c>
      <c r="Z48" s="1">
        <f>VLOOKUP(A48,[1]Sheet!$A:$U,21,0)</f>
        <v>238</v>
      </c>
      <c r="AA48" s="1">
        <v>305.39999999999998</v>
      </c>
      <c r="AB48" s="1">
        <v>276</v>
      </c>
      <c r="AC48" s="1">
        <v>231</v>
      </c>
      <c r="AD48" s="1">
        <v>229.8</v>
      </c>
      <c r="AE48" s="1">
        <v>254</v>
      </c>
      <c r="AF48" s="1">
        <v>261.39999999999998</v>
      </c>
      <c r="AG48" s="1">
        <v>234</v>
      </c>
      <c r="AH48" s="1">
        <v>230.6</v>
      </c>
      <c r="AI48" s="1">
        <v>272.2</v>
      </c>
      <c r="AJ48" s="1"/>
      <c r="AK48" s="1">
        <f t="shared" si="12"/>
        <v>172</v>
      </c>
      <c r="AL48" t="s">
        <v>131</v>
      </c>
    </row>
    <row r="49" spans="1:38" x14ac:dyDescent="0.25">
      <c r="A49" s="1" t="s">
        <v>132</v>
      </c>
      <c r="B49" s="1" t="s">
        <v>49</v>
      </c>
      <c r="C49" s="1">
        <v>947</v>
      </c>
      <c r="D49" s="1">
        <v>811</v>
      </c>
      <c r="E49" s="1">
        <v>730</v>
      </c>
      <c r="F49" s="1">
        <v>862</v>
      </c>
      <c r="G49" s="7">
        <v>0.4</v>
      </c>
      <c r="H49" s="1">
        <v>40</v>
      </c>
      <c r="I49" s="13" t="s">
        <v>59</v>
      </c>
      <c r="J49" s="1"/>
      <c r="K49" s="1">
        <v>738</v>
      </c>
      <c r="L49" s="1">
        <f t="shared" si="8"/>
        <v>-8</v>
      </c>
      <c r="M49" s="1"/>
      <c r="N49" s="1"/>
      <c r="O49" s="1">
        <v>150</v>
      </c>
      <c r="P49" s="1"/>
      <c r="Q49" s="1"/>
      <c r="R49" s="1">
        <v>136.80000000000021</v>
      </c>
      <c r="S49" s="1"/>
      <c r="T49" s="1"/>
      <c r="U49" s="1">
        <f t="shared" si="9"/>
        <v>146</v>
      </c>
      <c r="V49" s="5">
        <v>740</v>
      </c>
      <c r="W49" s="5">
        <f>V49*$W$1</f>
        <v>518</v>
      </c>
      <c r="X49" s="1">
        <f t="shared" si="10"/>
        <v>11.416438356164385</v>
      </c>
      <c r="Y49" s="1">
        <f t="shared" si="11"/>
        <v>7.8684931506849329</v>
      </c>
      <c r="Z49" s="1">
        <f>VLOOKUP(A49,[1]Sheet!$A:$U,21,0)</f>
        <v>142.80000000000001</v>
      </c>
      <c r="AA49" s="1">
        <v>156.80000000000001</v>
      </c>
      <c r="AB49" s="1">
        <v>151.19999999999999</v>
      </c>
      <c r="AC49" s="1">
        <v>139.6</v>
      </c>
      <c r="AD49" s="1">
        <v>149</v>
      </c>
      <c r="AE49" s="1">
        <v>103</v>
      </c>
      <c r="AF49" s="1">
        <v>49.8</v>
      </c>
      <c r="AG49" s="1">
        <v>86</v>
      </c>
      <c r="AH49" s="1">
        <v>134.4</v>
      </c>
      <c r="AI49" s="1">
        <v>143.4</v>
      </c>
      <c r="AJ49" s="1"/>
      <c r="AK49" s="1">
        <f t="shared" si="12"/>
        <v>207</v>
      </c>
      <c r="AL49" t="s">
        <v>133</v>
      </c>
    </row>
    <row r="50" spans="1:38" x14ac:dyDescent="0.25">
      <c r="A50" s="1" t="s">
        <v>134</v>
      </c>
      <c r="B50" s="1" t="s">
        <v>41</v>
      </c>
      <c r="C50" s="1">
        <v>476.22300000000001</v>
      </c>
      <c r="D50" s="1">
        <v>570.81700000000001</v>
      </c>
      <c r="E50" s="1">
        <v>453.18599999999998</v>
      </c>
      <c r="F50" s="1">
        <v>530.06799999999998</v>
      </c>
      <c r="G50" s="7">
        <v>1</v>
      </c>
      <c r="H50" s="1">
        <v>50</v>
      </c>
      <c r="I50" s="1" t="s">
        <v>42</v>
      </c>
      <c r="J50" s="1"/>
      <c r="K50" s="1">
        <v>447</v>
      </c>
      <c r="L50" s="1">
        <f t="shared" si="8"/>
        <v>6.1859999999999786</v>
      </c>
      <c r="M50" s="1"/>
      <c r="N50" s="1"/>
      <c r="O50" s="1">
        <v>232.54870597799999</v>
      </c>
      <c r="P50" s="1"/>
      <c r="Q50" s="1"/>
      <c r="R50" s="1">
        <v>143.81082279999981</v>
      </c>
      <c r="S50" s="1"/>
      <c r="T50" s="1"/>
      <c r="U50" s="1">
        <f t="shared" si="9"/>
        <v>90.637199999999993</v>
      </c>
      <c r="V50" s="5">
        <v>325.02969402199983</v>
      </c>
      <c r="W50" s="5">
        <f t="shared" ref="W50:W66" si="13">V50</f>
        <v>325.02969402199983</v>
      </c>
      <c r="X50" s="1">
        <f t="shared" si="10"/>
        <v>13.586664446827569</v>
      </c>
      <c r="Y50" s="1">
        <f t="shared" si="11"/>
        <v>10.000612648868234</v>
      </c>
      <c r="Z50" s="1">
        <f>VLOOKUP(A50,[1]Sheet!$A:$U,21,0)</f>
        <v>89.163399999999996</v>
      </c>
      <c r="AA50" s="1">
        <v>89.271799999999999</v>
      </c>
      <c r="AB50" s="1">
        <v>90.6524</v>
      </c>
      <c r="AC50" s="1">
        <v>74.56</v>
      </c>
      <c r="AD50" s="1">
        <v>74.037400000000005</v>
      </c>
      <c r="AE50" s="1">
        <v>94.643200000000007</v>
      </c>
      <c r="AF50" s="1">
        <v>101.782</v>
      </c>
      <c r="AG50" s="1">
        <v>92.1952</v>
      </c>
      <c r="AH50" s="1">
        <v>85.624400000000009</v>
      </c>
      <c r="AI50" s="1">
        <v>98.405999999999992</v>
      </c>
      <c r="AJ50" s="1"/>
      <c r="AK50" s="1">
        <f t="shared" si="12"/>
        <v>325</v>
      </c>
      <c r="AL50" t="s">
        <v>135</v>
      </c>
    </row>
    <row r="51" spans="1:38" x14ac:dyDescent="0.25">
      <c r="A51" s="1" t="s">
        <v>136</v>
      </c>
      <c r="B51" s="1" t="s">
        <v>41</v>
      </c>
      <c r="C51" s="1">
        <v>702.476</v>
      </c>
      <c r="D51" s="1">
        <v>669.13499999999999</v>
      </c>
      <c r="E51" s="1">
        <v>541.178</v>
      </c>
      <c r="F51" s="1">
        <v>738.07399999999996</v>
      </c>
      <c r="G51" s="7">
        <v>1</v>
      </c>
      <c r="H51" s="1">
        <v>50</v>
      </c>
      <c r="I51" s="1" t="s">
        <v>42</v>
      </c>
      <c r="J51" s="1"/>
      <c r="K51" s="1">
        <v>531.70000000000005</v>
      </c>
      <c r="L51" s="1">
        <f t="shared" si="8"/>
        <v>9.4779999999999518</v>
      </c>
      <c r="M51" s="1"/>
      <c r="N51" s="1"/>
      <c r="O51" s="1">
        <v>281.68097824200021</v>
      </c>
      <c r="P51" s="1"/>
      <c r="Q51" s="1"/>
      <c r="R51" s="1">
        <v>0</v>
      </c>
      <c r="S51" s="1"/>
      <c r="T51" s="1"/>
      <c r="U51" s="1">
        <f t="shared" si="9"/>
        <v>108.23560000000001</v>
      </c>
      <c r="V51" s="5">
        <v>279.07222175799996</v>
      </c>
      <c r="W51" s="5">
        <f t="shared" si="13"/>
        <v>279.07222175799996</v>
      </c>
      <c r="X51" s="1">
        <f t="shared" si="10"/>
        <v>12.000000000000002</v>
      </c>
      <c r="Y51" s="1">
        <f t="shared" si="11"/>
        <v>9.4216226291719174</v>
      </c>
      <c r="Z51" s="1">
        <f>VLOOKUP(A51,[1]Sheet!$A:$U,21,0)</f>
        <v>107.86839999999999</v>
      </c>
      <c r="AA51" s="1">
        <v>115.7372</v>
      </c>
      <c r="AB51" s="1">
        <v>120.2286</v>
      </c>
      <c r="AC51" s="1">
        <v>105.809</v>
      </c>
      <c r="AD51" s="1">
        <v>99.316400000000002</v>
      </c>
      <c r="AE51" s="1">
        <v>104.8566</v>
      </c>
      <c r="AF51" s="1">
        <v>106.93259999999999</v>
      </c>
      <c r="AG51" s="1">
        <v>107.8848</v>
      </c>
      <c r="AH51" s="1">
        <v>115.07080000000001</v>
      </c>
      <c r="AI51" s="1">
        <v>121.9318</v>
      </c>
      <c r="AJ51" s="1"/>
      <c r="AK51" s="1">
        <f t="shared" si="12"/>
        <v>279</v>
      </c>
      <c r="AL51" t="s">
        <v>137</v>
      </c>
    </row>
    <row r="52" spans="1:38" x14ac:dyDescent="0.25">
      <c r="A52" s="1" t="s">
        <v>138</v>
      </c>
      <c r="B52" s="1" t="s">
        <v>41</v>
      </c>
      <c r="C52" s="1">
        <v>32.576000000000001</v>
      </c>
      <c r="D52" s="1"/>
      <c r="E52" s="1"/>
      <c r="F52" s="1">
        <v>32.576000000000001</v>
      </c>
      <c r="G52" s="7">
        <v>1</v>
      </c>
      <c r="H52" s="1">
        <v>45</v>
      </c>
      <c r="I52" s="13" t="s">
        <v>59</v>
      </c>
      <c r="J52" s="1"/>
      <c r="K52" s="1">
        <v>91.9</v>
      </c>
      <c r="L52" s="1">
        <f t="shared" si="8"/>
        <v>-91.9</v>
      </c>
      <c r="M52" s="1"/>
      <c r="N52" s="1"/>
      <c r="O52" s="1">
        <v>20</v>
      </c>
      <c r="P52" s="1">
        <v>-27</v>
      </c>
      <c r="Q52" s="1"/>
      <c r="R52" s="1">
        <v>20</v>
      </c>
      <c r="S52" s="1">
        <v>-27</v>
      </c>
      <c r="T52" s="1"/>
      <c r="U52" s="1">
        <f t="shared" si="9"/>
        <v>0</v>
      </c>
      <c r="V52" s="5"/>
      <c r="W52" s="5">
        <f t="shared" si="13"/>
        <v>0</v>
      </c>
      <c r="X52" s="1" t="e">
        <f t="shared" si="10"/>
        <v>#DIV/0!</v>
      </c>
      <c r="Y52" s="1" t="e">
        <f t="shared" si="11"/>
        <v>#DIV/0!</v>
      </c>
      <c r="Z52" s="1">
        <f>VLOOKUP(A52,[1]Sheet!$A:$U,21,0)</f>
        <v>0</v>
      </c>
      <c r="AA52" s="1">
        <v>-0.23499999999999999</v>
      </c>
      <c r="AB52" s="1">
        <v>-0.23499999999999999</v>
      </c>
      <c r="AC52" s="1">
        <v>0.58399999999999996</v>
      </c>
      <c r="AD52" s="1">
        <v>9.094199999999999</v>
      </c>
      <c r="AE52" s="1">
        <v>17.8614</v>
      </c>
      <c r="AF52" s="1">
        <v>19.946200000000001</v>
      </c>
      <c r="AG52" s="1">
        <v>17.854199999999999</v>
      </c>
      <c r="AH52" s="1">
        <v>15.411</v>
      </c>
      <c r="AI52" s="1">
        <v>11.0654</v>
      </c>
      <c r="AJ52" s="14" t="s">
        <v>139</v>
      </c>
      <c r="AK52" s="1">
        <f t="shared" si="12"/>
        <v>0</v>
      </c>
      <c r="AL52" t="s">
        <v>140</v>
      </c>
    </row>
    <row r="53" spans="1:38" x14ac:dyDescent="0.25">
      <c r="A53" s="1" t="s">
        <v>141</v>
      </c>
      <c r="B53" s="1" t="s">
        <v>49</v>
      </c>
      <c r="C53" s="1">
        <v>394</v>
      </c>
      <c r="D53" s="1">
        <v>15</v>
      </c>
      <c r="E53" s="1">
        <v>188</v>
      </c>
      <c r="F53" s="1">
        <v>156</v>
      </c>
      <c r="G53" s="7">
        <v>0.45</v>
      </c>
      <c r="H53" s="1">
        <v>50</v>
      </c>
      <c r="I53" s="1" t="s">
        <v>42</v>
      </c>
      <c r="J53" s="1"/>
      <c r="K53" s="1">
        <v>203</v>
      </c>
      <c r="L53" s="1">
        <f t="shared" si="8"/>
        <v>-15</v>
      </c>
      <c r="M53" s="1"/>
      <c r="N53" s="1"/>
      <c r="O53" s="1"/>
      <c r="P53" s="1"/>
      <c r="Q53" s="1"/>
      <c r="R53" s="1">
        <v>159.4</v>
      </c>
      <c r="S53" s="1"/>
      <c r="T53" s="1"/>
      <c r="U53" s="1">
        <f t="shared" si="9"/>
        <v>37.6</v>
      </c>
      <c r="V53" s="5">
        <v>295.20000000000005</v>
      </c>
      <c r="W53" s="5">
        <f t="shared" si="13"/>
        <v>295.20000000000005</v>
      </c>
      <c r="X53" s="1">
        <f t="shared" si="10"/>
        <v>16.23936170212766</v>
      </c>
      <c r="Y53" s="1">
        <f t="shared" si="11"/>
        <v>8.3882978723404253</v>
      </c>
      <c r="Z53" s="1">
        <f>VLOOKUP(A53,[1]Sheet!$A:$U,21,0)</f>
        <v>36.4</v>
      </c>
      <c r="AA53" s="1">
        <v>27.2</v>
      </c>
      <c r="AB53" s="1">
        <v>29.2</v>
      </c>
      <c r="AC53" s="1">
        <v>42.4</v>
      </c>
      <c r="AD53" s="1">
        <v>40.4</v>
      </c>
      <c r="AE53" s="1">
        <v>35</v>
      </c>
      <c r="AF53" s="1">
        <v>41.4</v>
      </c>
      <c r="AG53" s="1">
        <v>38.799999999999997</v>
      </c>
      <c r="AH53" s="1">
        <v>36.6</v>
      </c>
      <c r="AI53" s="1">
        <v>46.2</v>
      </c>
      <c r="AJ53" s="1"/>
      <c r="AK53" s="1">
        <f t="shared" si="12"/>
        <v>133</v>
      </c>
      <c r="AL53" t="s">
        <v>142</v>
      </c>
    </row>
    <row r="54" spans="1:38" x14ac:dyDescent="0.25">
      <c r="A54" s="1" t="s">
        <v>143</v>
      </c>
      <c r="B54" s="1" t="s">
        <v>49</v>
      </c>
      <c r="C54" s="1">
        <v>690</v>
      </c>
      <c r="D54" s="1">
        <v>451</v>
      </c>
      <c r="E54" s="1">
        <v>501</v>
      </c>
      <c r="F54" s="1">
        <v>525</v>
      </c>
      <c r="G54" s="7">
        <v>0.45</v>
      </c>
      <c r="H54" s="1">
        <v>50</v>
      </c>
      <c r="I54" s="1" t="s">
        <v>42</v>
      </c>
      <c r="J54" s="1"/>
      <c r="K54" s="1">
        <v>518</v>
      </c>
      <c r="L54" s="1">
        <f t="shared" si="8"/>
        <v>-17</v>
      </c>
      <c r="M54" s="1"/>
      <c r="N54" s="1"/>
      <c r="O54" s="1">
        <v>230.65907100000001</v>
      </c>
      <c r="P54" s="1"/>
      <c r="Q54" s="1"/>
      <c r="R54" s="1">
        <v>112.5445999999999</v>
      </c>
      <c r="S54" s="1"/>
      <c r="T54" s="1"/>
      <c r="U54" s="1">
        <f t="shared" si="9"/>
        <v>100.2</v>
      </c>
      <c r="V54" s="5">
        <v>446.74092900000005</v>
      </c>
      <c r="W54" s="5">
        <f t="shared" si="13"/>
        <v>446.74092900000005</v>
      </c>
      <c r="X54" s="1">
        <f t="shared" si="10"/>
        <v>13.123199600798403</v>
      </c>
      <c r="Y54" s="1">
        <f t="shared" si="11"/>
        <v>8.6647072954091815</v>
      </c>
      <c r="Z54" s="1">
        <f>VLOOKUP(A54,[1]Sheet!$A:$U,21,0)</f>
        <v>92.8</v>
      </c>
      <c r="AA54" s="1">
        <v>92.4</v>
      </c>
      <c r="AB54" s="1">
        <v>101.8</v>
      </c>
      <c r="AC54" s="1">
        <v>96.8</v>
      </c>
      <c r="AD54" s="1">
        <v>93.2</v>
      </c>
      <c r="AE54" s="1">
        <v>95.8</v>
      </c>
      <c r="AF54" s="1">
        <v>91.6</v>
      </c>
      <c r="AG54" s="1">
        <v>94.4</v>
      </c>
      <c r="AH54" s="1">
        <v>114.6</v>
      </c>
      <c r="AI54" s="1">
        <v>103.4</v>
      </c>
      <c r="AJ54" s="1"/>
      <c r="AK54" s="1">
        <f t="shared" si="12"/>
        <v>201</v>
      </c>
      <c r="AL54" t="s">
        <v>144</v>
      </c>
    </row>
    <row r="55" spans="1:38" x14ac:dyDescent="0.25">
      <c r="A55" s="1" t="s">
        <v>145</v>
      </c>
      <c r="B55" s="1" t="s">
        <v>49</v>
      </c>
      <c r="C55" s="1">
        <v>20</v>
      </c>
      <c r="D55" s="1"/>
      <c r="E55" s="1">
        <v>16</v>
      </c>
      <c r="F55" s="1"/>
      <c r="G55" s="7">
        <v>0.4</v>
      </c>
      <c r="H55" s="1">
        <v>40</v>
      </c>
      <c r="I55" s="13" t="s">
        <v>59</v>
      </c>
      <c r="J55" s="1"/>
      <c r="K55" s="1">
        <v>119</v>
      </c>
      <c r="L55" s="1">
        <f t="shared" si="8"/>
        <v>-103</v>
      </c>
      <c r="M55" s="1"/>
      <c r="N55" s="1"/>
      <c r="O55" s="1">
        <v>40</v>
      </c>
      <c r="P55" s="1">
        <v>-42.5</v>
      </c>
      <c r="Q55" s="1"/>
      <c r="R55" s="1">
        <v>80</v>
      </c>
      <c r="S55" s="1">
        <v>-85</v>
      </c>
      <c r="T55" s="1"/>
      <c r="U55" s="1">
        <f t="shared" si="9"/>
        <v>3.2</v>
      </c>
      <c r="V55" s="5">
        <v>50</v>
      </c>
      <c r="W55" s="5">
        <f t="shared" si="13"/>
        <v>50</v>
      </c>
      <c r="X55" s="1">
        <f t="shared" si="10"/>
        <v>39.84375</v>
      </c>
      <c r="Y55" s="1">
        <f t="shared" si="11"/>
        <v>24.21875</v>
      </c>
      <c r="Z55" s="1">
        <f>VLOOKUP(A55,[1]Sheet!$A:$U,21,0)</f>
        <v>17.399999999999999</v>
      </c>
      <c r="AA55" s="1">
        <v>31.8</v>
      </c>
      <c r="AB55" s="1">
        <v>29.2</v>
      </c>
      <c r="AC55" s="1">
        <v>19</v>
      </c>
      <c r="AD55" s="1">
        <v>19.8</v>
      </c>
      <c r="AE55" s="1">
        <v>25.6</v>
      </c>
      <c r="AF55" s="1">
        <v>30.8</v>
      </c>
      <c r="AG55" s="1">
        <v>30.8</v>
      </c>
      <c r="AH55" s="1">
        <v>25.8</v>
      </c>
      <c r="AI55" s="1">
        <v>27.4</v>
      </c>
      <c r="AJ55" s="1"/>
      <c r="AK55" s="1">
        <f t="shared" si="12"/>
        <v>20</v>
      </c>
      <c r="AL55" t="s">
        <v>146</v>
      </c>
    </row>
    <row r="56" spans="1:38" x14ac:dyDescent="0.25">
      <c r="A56" s="1" t="s">
        <v>147</v>
      </c>
      <c r="B56" s="1" t="s">
        <v>49</v>
      </c>
      <c r="C56" s="1">
        <v>102</v>
      </c>
      <c r="D56" s="1">
        <v>75</v>
      </c>
      <c r="E56" s="1">
        <v>53</v>
      </c>
      <c r="F56" s="1">
        <v>109</v>
      </c>
      <c r="G56" s="7">
        <v>0.4</v>
      </c>
      <c r="H56" s="1">
        <v>40</v>
      </c>
      <c r="I56" s="13" t="s">
        <v>59</v>
      </c>
      <c r="J56" s="1"/>
      <c r="K56" s="1">
        <v>77</v>
      </c>
      <c r="L56" s="1">
        <f t="shared" si="8"/>
        <v>-24</v>
      </c>
      <c r="M56" s="1"/>
      <c r="N56" s="1"/>
      <c r="O56" s="1">
        <v>22.800000000000011</v>
      </c>
      <c r="P56" s="1"/>
      <c r="Q56" s="1"/>
      <c r="R56" s="1">
        <v>0</v>
      </c>
      <c r="S56" s="1"/>
      <c r="T56" s="1"/>
      <c r="U56" s="1">
        <f t="shared" si="9"/>
        <v>10.6</v>
      </c>
      <c r="V56" s="5">
        <v>20</v>
      </c>
      <c r="W56" s="5">
        <f t="shared" si="13"/>
        <v>20</v>
      </c>
      <c r="X56" s="1">
        <f t="shared" si="10"/>
        <v>14.320754716981133</v>
      </c>
      <c r="Y56" s="1">
        <f t="shared" si="11"/>
        <v>12.433962264150946</v>
      </c>
      <c r="Z56" s="1">
        <f>VLOOKUP(A56,[1]Sheet!$A:$U,21,0)</f>
        <v>11.8</v>
      </c>
      <c r="AA56" s="1">
        <v>13.8</v>
      </c>
      <c r="AB56" s="1">
        <v>10.199999999999999</v>
      </c>
      <c r="AC56" s="1">
        <v>8.8000000000000007</v>
      </c>
      <c r="AD56" s="1">
        <v>14.6</v>
      </c>
      <c r="AE56" s="1">
        <v>20</v>
      </c>
      <c r="AF56" s="1">
        <v>17.2</v>
      </c>
      <c r="AG56" s="1">
        <v>12.4</v>
      </c>
      <c r="AH56" s="1">
        <v>13</v>
      </c>
      <c r="AI56" s="1">
        <v>17.2</v>
      </c>
      <c r="AJ56" s="1"/>
      <c r="AK56" s="1">
        <f t="shared" si="12"/>
        <v>8</v>
      </c>
      <c r="AL56" t="s">
        <v>148</v>
      </c>
    </row>
    <row r="57" spans="1:38" x14ac:dyDescent="0.25">
      <c r="A57" s="1" t="s">
        <v>149</v>
      </c>
      <c r="B57" s="1" t="s">
        <v>41</v>
      </c>
      <c r="C57" s="1">
        <v>834.69100000000003</v>
      </c>
      <c r="D57" s="1">
        <v>870.44100000000003</v>
      </c>
      <c r="E57" s="1">
        <v>695.44799999999998</v>
      </c>
      <c r="F57" s="1">
        <v>886.07399999999996</v>
      </c>
      <c r="G57" s="7">
        <v>1</v>
      </c>
      <c r="H57" s="1">
        <v>50</v>
      </c>
      <c r="I57" s="1" t="s">
        <v>42</v>
      </c>
      <c r="J57" s="1"/>
      <c r="K57" s="1">
        <v>671.15</v>
      </c>
      <c r="L57" s="1">
        <f t="shared" si="8"/>
        <v>24.298000000000002</v>
      </c>
      <c r="M57" s="1"/>
      <c r="N57" s="1"/>
      <c r="O57" s="1">
        <v>363.05424014699997</v>
      </c>
      <c r="P57" s="1"/>
      <c r="Q57" s="1"/>
      <c r="R57" s="1">
        <v>0</v>
      </c>
      <c r="S57" s="1"/>
      <c r="T57" s="1"/>
      <c r="U57" s="1">
        <f t="shared" si="9"/>
        <v>139.08959999999999</v>
      </c>
      <c r="V57" s="5">
        <v>419.94695985299984</v>
      </c>
      <c r="W57" s="5">
        <f t="shared" si="13"/>
        <v>419.94695985299984</v>
      </c>
      <c r="X57" s="1">
        <f t="shared" si="10"/>
        <v>12</v>
      </c>
      <c r="Y57" s="1">
        <f t="shared" si="11"/>
        <v>8.9807450747359976</v>
      </c>
      <c r="Z57" s="1">
        <f>VLOOKUP(A57,[1]Sheet!$A:$U,21,0)</f>
        <v>135.32220000000001</v>
      </c>
      <c r="AA57" s="1">
        <v>134.5496</v>
      </c>
      <c r="AB57" s="1">
        <v>136.10159999999999</v>
      </c>
      <c r="AC57" s="1">
        <v>125.3366</v>
      </c>
      <c r="AD57" s="1">
        <v>121.60299999999999</v>
      </c>
      <c r="AE57" s="1">
        <v>139.44720000000001</v>
      </c>
      <c r="AF57" s="1">
        <v>142.02119999999999</v>
      </c>
      <c r="AG57" s="1">
        <v>148.81020000000001</v>
      </c>
      <c r="AH57" s="1">
        <v>151.5138</v>
      </c>
      <c r="AI57" s="1">
        <v>152.57759999999999</v>
      </c>
      <c r="AJ57" s="1"/>
      <c r="AK57" s="1">
        <f t="shared" si="12"/>
        <v>420</v>
      </c>
      <c r="AL57" t="s">
        <v>150</v>
      </c>
    </row>
    <row r="58" spans="1:38" x14ac:dyDescent="0.25">
      <c r="A58" s="9" t="s">
        <v>151</v>
      </c>
      <c r="B58" s="9" t="s">
        <v>41</v>
      </c>
      <c r="C58" s="9"/>
      <c r="D58" s="9"/>
      <c r="E58" s="9"/>
      <c r="F58" s="9"/>
      <c r="G58" s="10">
        <v>0</v>
      </c>
      <c r="H58" s="9"/>
      <c r="I58" s="9" t="s">
        <v>152</v>
      </c>
      <c r="J58" s="9" t="s">
        <v>153</v>
      </c>
      <c r="K58" s="9"/>
      <c r="L58" s="9">
        <f t="shared" si="8"/>
        <v>0</v>
      </c>
      <c r="M58" s="9"/>
      <c r="N58" s="9"/>
      <c r="O58" s="9"/>
      <c r="P58" s="9"/>
      <c r="Q58" s="9"/>
      <c r="R58" s="9">
        <v>0</v>
      </c>
      <c r="S58" s="9"/>
      <c r="T58" s="9"/>
      <c r="U58" s="9">
        <f t="shared" si="9"/>
        <v>0</v>
      </c>
      <c r="V58" s="11"/>
      <c r="W58" s="5">
        <f t="shared" si="13"/>
        <v>0</v>
      </c>
      <c r="X58" s="1" t="e">
        <f t="shared" si="10"/>
        <v>#DIV/0!</v>
      </c>
      <c r="Y58" s="9" t="e">
        <f t="shared" si="11"/>
        <v>#DIV/0!</v>
      </c>
      <c r="Z58" s="9">
        <f>VLOOKUP(A58,[1]Sheet!$A:$U,21,0)</f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/>
      <c r="AK58" s="1">
        <f t="shared" si="12"/>
        <v>0</v>
      </c>
      <c r="AL58" t="s">
        <v>154</v>
      </c>
    </row>
    <row r="59" spans="1:38" x14ac:dyDescent="0.25">
      <c r="A59" s="1" t="s">
        <v>155</v>
      </c>
      <c r="B59" s="1" t="s">
        <v>49</v>
      </c>
      <c r="C59" s="1">
        <v>433</v>
      </c>
      <c r="D59" s="1">
        <v>50</v>
      </c>
      <c r="E59" s="1">
        <v>283</v>
      </c>
      <c r="F59" s="1">
        <v>164</v>
      </c>
      <c r="G59" s="7">
        <v>0.1</v>
      </c>
      <c r="H59" s="1">
        <v>731</v>
      </c>
      <c r="I59" s="1" t="s">
        <v>42</v>
      </c>
      <c r="J59" s="1"/>
      <c r="K59" s="1">
        <v>288</v>
      </c>
      <c r="L59" s="1">
        <f t="shared" si="8"/>
        <v>-5</v>
      </c>
      <c r="M59" s="1"/>
      <c r="N59" s="1"/>
      <c r="O59" s="1"/>
      <c r="P59" s="1"/>
      <c r="Q59" s="1"/>
      <c r="R59" s="1">
        <v>245.99999999999989</v>
      </c>
      <c r="S59" s="1"/>
      <c r="T59" s="1"/>
      <c r="U59" s="1">
        <f t="shared" si="9"/>
        <v>56.6</v>
      </c>
      <c r="V59" s="5">
        <v>458.6</v>
      </c>
      <c r="W59" s="5">
        <f t="shared" si="13"/>
        <v>458.6</v>
      </c>
      <c r="X59" s="1">
        <f t="shared" si="10"/>
        <v>15.346289752650174</v>
      </c>
      <c r="Y59" s="1">
        <f t="shared" si="11"/>
        <v>7.2438162544169593</v>
      </c>
      <c r="Z59" s="1">
        <f>VLOOKUP(A59,[1]Sheet!$A:$U,21,0)</f>
        <v>47.4</v>
      </c>
      <c r="AA59" s="1">
        <v>37.200000000000003</v>
      </c>
      <c r="AB59" s="1">
        <v>40.6</v>
      </c>
      <c r="AC59" s="1">
        <v>49.6</v>
      </c>
      <c r="AD59" s="1">
        <v>52.8</v>
      </c>
      <c r="AE59" s="1">
        <v>58</v>
      </c>
      <c r="AF59" s="1">
        <v>56.4</v>
      </c>
      <c r="AG59" s="1">
        <v>43.8</v>
      </c>
      <c r="AH59" s="1">
        <v>46</v>
      </c>
      <c r="AI59" s="1">
        <v>43</v>
      </c>
      <c r="AJ59" s="1"/>
      <c r="AK59" s="1">
        <f t="shared" si="12"/>
        <v>46</v>
      </c>
      <c r="AL59" t="s">
        <v>156</v>
      </c>
    </row>
    <row r="60" spans="1:38" x14ac:dyDescent="0.25">
      <c r="A60" s="1" t="s">
        <v>157</v>
      </c>
      <c r="B60" s="1" t="s">
        <v>41</v>
      </c>
      <c r="C60" s="1">
        <v>1366.0409999999999</v>
      </c>
      <c r="D60" s="1">
        <v>784.45899999999995</v>
      </c>
      <c r="E60" s="1">
        <v>817.65499999999997</v>
      </c>
      <c r="F60" s="1">
        <v>1186.4639999999999</v>
      </c>
      <c r="G60" s="7">
        <v>1</v>
      </c>
      <c r="H60" s="1">
        <v>50</v>
      </c>
      <c r="I60" s="1" t="s">
        <v>42</v>
      </c>
      <c r="J60" s="1"/>
      <c r="K60" s="1">
        <v>781.25</v>
      </c>
      <c r="L60" s="1">
        <f t="shared" si="8"/>
        <v>36.404999999999973</v>
      </c>
      <c r="M60" s="1"/>
      <c r="N60" s="1"/>
      <c r="O60" s="1">
        <v>384.66532821599981</v>
      </c>
      <c r="P60" s="1"/>
      <c r="Q60" s="1"/>
      <c r="R60" s="1">
        <v>150</v>
      </c>
      <c r="S60" s="1"/>
      <c r="T60" s="1"/>
      <c r="U60" s="1">
        <f t="shared" si="9"/>
        <v>163.53100000000001</v>
      </c>
      <c r="V60" s="5">
        <v>241.24267178400032</v>
      </c>
      <c r="W60" s="5">
        <f t="shared" si="13"/>
        <v>241.24267178400032</v>
      </c>
      <c r="X60" s="1">
        <f t="shared" si="10"/>
        <v>12</v>
      </c>
      <c r="Y60" s="1">
        <f t="shared" si="11"/>
        <v>10.52478935624438</v>
      </c>
      <c r="Z60" s="1">
        <f>VLOOKUP(A60,[1]Sheet!$A:$U,21,0)</f>
        <v>153.71940000000001</v>
      </c>
      <c r="AA60" s="1">
        <v>178.23</v>
      </c>
      <c r="AB60" s="1">
        <v>187.59280000000001</v>
      </c>
      <c r="AC60" s="1">
        <v>186.78440000000001</v>
      </c>
      <c r="AD60" s="1">
        <v>179.19659999999999</v>
      </c>
      <c r="AE60" s="1">
        <v>169.71199999999999</v>
      </c>
      <c r="AF60" s="1">
        <v>165.36500000000001</v>
      </c>
      <c r="AG60" s="1">
        <v>160.84059999999999</v>
      </c>
      <c r="AH60" s="1">
        <v>178.38939999999999</v>
      </c>
      <c r="AI60" s="1">
        <v>198.24420000000001</v>
      </c>
      <c r="AJ60" s="1"/>
      <c r="AK60" s="1">
        <f t="shared" si="12"/>
        <v>241</v>
      </c>
      <c r="AL60" t="s">
        <v>158</v>
      </c>
    </row>
    <row r="61" spans="1:38" x14ac:dyDescent="0.25">
      <c r="A61" s="1" t="s">
        <v>159</v>
      </c>
      <c r="B61" s="1" t="s">
        <v>41</v>
      </c>
      <c r="C61" s="1">
        <v>140.31399999999999</v>
      </c>
      <c r="D61" s="1">
        <v>70.942999999999998</v>
      </c>
      <c r="E61" s="1">
        <v>107.108</v>
      </c>
      <c r="F61" s="1">
        <v>89.198999999999998</v>
      </c>
      <c r="G61" s="7">
        <v>1</v>
      </c>
      <c r="H61" s="1">
        <v>55</v>
      </c>
      <c r="I61" s="1" t="s">
        <v>42</v>
      </c>
      <c r="J61" s="1"/>
      <c r="K61" s="1">
        <v>104.35</v>
      </c>
      <c r="L61" s="1">
        <f t="shared" si="8"/>
        <v>2.7580000000000098</v>
      </c>
      <c r="M61" s="1"/>
      <c r="N61" s="1"/>
      <c r="O61" s="1"/>
      <c r="P61" s="1"/>
      <c r="Q61" s="1"/>
      <c r="R61" s="1">
        <v>123.3558</v>
      </c>
      <c r="S61" s="1"/>
      <c r="T61" s="1"/>
      <c r="U61" s="1">
        <f t="shared" si="9"/>
        <v>21.421600000000002</v>
      </c>
      <c r="V61" s="5">
        <v>167.86020000000002</v>
      </c>
      <c r="W61" s="5">
        <f t="shared" si="13"/>
        <v>167.86020000000002</v>
      </c>
      <c r="X61" s="1">
        <f t="shared" si="10"/>
        <v>17.758477424655489</v>
      </c>
      <c r="Y61" s="1">
        <f t="shared" si="11"/>
        <v>9.9224521044179692</v>
      </c>
      <c r="Z61" s="1">
        <f>VLOOKUP(A61,[1]Sheet!$A:$U,21,0)</f>
        <v>21.666800000000002</v>
      </c>
      <c r="AA61" s="1">
        <v>16.1006</v>
      </c>
      <c r="AB61" s="1">
        <v>20.717400000000001</v>
      </c>
      <c r="AC61" s="1">
        <v>18.250800000000002</v>
      </c>
      <c r="AD61" s="1">
        <v>15.446999999999999</v>
      </c>
      <c r="AE61" s="1">
        <v>17.9756</v>
      </c>
      <c r="AF61" s="1">
        <v>16.6264</v>
      </c>
      <c r="AG61" s="1">
        <v>20.0504</v>
      </c>
      <c r="AH61" s="1">
        <v>20.848199999999999</v>
      </c>
      <c r="AI61" s="1">
        <v>17.22</v>
      </c>
      <c r="AJ61" s="1"/>
      <c r="AK61" s="1">
        <f t="shared" si="12"/>
        <v>168</v>
      </c>
      <c r="AL61" t="s">
        <v>160</v>
      </c>
    </row>
    <row r="62" spans="1:38" x14ac:dyDescent="0.25">
      <c r="A62" s="1" t="s">
        <v>161</v>
      </c>
      <c r="B62" s="1" t="s">
        <v>49</v>
      </c>
      <c r="C62" s="1">
        <v>416</v>
      </c>
      <c r="D62" s="1">
        <v>5</v>
      </c>
      <c r="E62" s="1">
        <v>208</v>
      </c>
      <c r="F62" s="1">
        <v>173</v>
      </c>
      <c r="G62" s="7">
        <v>0.1</v>
      </c>
      <c r="H62" s="1">
        <v>731</v>
      </c>
      <c r="I62" s="1" t="s">
        <v>42</v>
      </c>
      <c r="J62" s="1"/>
      <c r="K62" s="1">
        <v>213</v>
      </c>
      <c r="L62" s="1">
        <f t="shared" si="8"/>
        <v>-5</v>
      </c>
      <c r="M62" s="1"/>
      <c r="N62" s="1"/>
      <c r="O62" s="1"/>
      <c r="P62" s="1"/>
      <c r="Q62" s="1"/>
      <c r="R62" s="1">
        <v>152</v>
      </c>
      <c r="S62" s="1"/>
      <c r="T62" s="1"/>
      <c r="U62" s="1">
        <f t="shared" si="9"/>
        <v>41.6</v>
      </c>
      <c r="V62" s="5">
        <v>326.20000000000005</v>
      </c>
      <c r="W62" s="5">
        <f t="shared" si="13"/>
        <v>326.20000000000005</v>
      </c>
      <c r="X62" s="1">
        <f t="shared" si="10"/>
        <v>15.653846153846155</v>
      </c>
      <c r="Y62" s="1">
        <f t="shared" si="11"/>
        <v>7.8125</v>
      </c>
      <c r="Z62" s="1">
        <f>VLOOKUP(A62,[1]Sheet!$A:$U,21,0)</f>
        <v>38</v>
      </c>
      <c r="AA62" s="1">
        <v>30.6</v>
      </c>
      <c r="AB62" s="1">
        <v>35.200000000000003</v>
      </c>
      <c r="AC62" s="1">
        <v>43.8</v>
      </c>
      <c r="AD62" s="1">
        <v>41.8</v>
      </c>
      <c r="AE62" s="1">
        <v>40.6</v>
      </c>
      <c r="AF62" s="1">
        <v>37.6</v>
      </c>
      <c r="AG62" s="1">
        <v>34</v>
      </c>
      <c r="AH62" s="1">
        <v>46</v>
      </c>
      <c r="AI62" s="1">
        <v>42.2</v>
      </c>
      <c r="AJ62" s="1"/>
      <c r="AK62" s="1">
        <f t="shared" si="12"/>
        <v>33</v>
      </c>
      <c r="AL62" t="s">
        <v>162</v>
      </c>
    </row>
    <row r="63" spans="1:38" x14ac:dyDescent="0.25">
      <c r="A63" s="1" t="s">
        <v>163</v>
      </c>
      <c r="B63" s="1" t="s">
        <v>49</v>
      </c>
      <c r="C63" s="1">
        <v>497</v>
      </c>
      <c r="D63" s="1">
        <v>220</v>
      </c>
      <c r="E63" s="1">
        <v>316</v>
      </c>
      <c r="F63" s="1">
        <v>325</v>
      </c>
      <c r="G63" s="7">
        <v>0.4</v>
      </c>
      <c r="H63" s="1">
        <v>50</v>
      </c>
      <c r="I63" s="1" t="s">
        <v>42</v>
      </c>
      <c r="J63" s="1"/>
      <c r="K63" s="1">
        <v>323</v>
      </c>
      <c r="L63" s="1">
        <f t="shared" si="8"/>
        <v>-7</v>
      </c>
      <c r="M63" s="1"/>
      <c r="N63" s="1"/>
      <c r="O63" s="1">
        <v>133.41502500000001</v>
      </c>
      <c r="P63" s="1"/>
      <c r="Q63" s="1"/>
      <c r="R63" s="1">
        <v>84.464999999999918</v>
      </c>
      <c r="S63" s="1"/>
      <c r="T63" s="1"/>
      <c r="U63" s="1">
        <f t="shared" si="9"/>
        <v>63.2</v>
      </c>
      <c r="V63" s="5">
        <v>299.98497500000008</v>
      </c>
      <c r="W63" s="5">
        <f t="shared" si="13"/>
        <v>299.98497500000008</v>
      </c>
      <c r="X63" s="1">
        <f t="shared" si="10"/>
        <v>13.336471518987342</v>
      </c>
      <c r="Y63" s="1">
        <f t="shared" si="11"/>
        <v>8.5898738132911383</v>
      </c>
      <c r="Z63" s="1">
        <f>VLOOKUP(A63,[1]Sheet!$A:$U,21,0)</f>
        <v>63.4</v>
      </c>
      <c r="AA63" s="1">
        <v>66</v>
      </c>
      <c r="AB63" s="1">
        <v>65</v>
      </c>
      <c r="AC63" s="1">
        <v>69</v>
      </c>
      <c r="AD63" s="1">
        <v>59.8</v>
      </c>
      <c r="AE63" s="1">
        <v>59.4</v>
      </c>
      <c r="AF63" s="1">
        <v>52.2</v>
      </c>
      <c r="AG63" s="1">
        <v>41</v>
      </c>
      <c r="AH63" s="1">
        <v>60.6</v>
      </c>
      <c r="AI63" s="1">
        <v>49.4</v>
      </c>
      <c r="AJ63" s="1"/>
      <c r="AK63" s="1">
        <f t="shared" si="12"/>
        <v>120</v>
      </c>
      <c r="AL63" t="s">
        <v>164</v>
      </c>
    </row>
    <row r="64" spans="1:38" x14ac:dyDescent="0.25">
      <c r="A64" s="1" t="s">
        <v>165</v>
      </c>
      <c r="B64" s="1" t="s">
        <v>41</v>
      </c>
      <c r="C64" s="1">
        <v>4.5119999999999996</v>
      </c>
      <c r="D64" s="1">
        <v>753.36800000000005</v>
      </c>
      <c r="E64" s="1">
        <v>398.71</v>
      </c>
      <c r="F64" s="1">
        <v>278.86799999999999</v>
      </c>
      <c r="G64" s="7">
        <v>1</v>
      </c>
      <c r="H64" s="1">
        <v>40</v>
      </c>
      <c r="I64" s="1" t="s">
        <v>42</v>
      </c>
      <c r="J64" s="1"/>
      <c r="K64" s="1">
        <v>445.1</v>
      </c>
      <c r="L64" s="1">
        <f t="shared" si="8"/>
        <v>-46.390000000000043</v>
      </c>
      <c r="M64" s="1"/>
      <c r="N64" s="1"/>
      <c r="O64" s="1">
        <v>495.67787527499991</v>
      </c>
      <c r="P64" s="1"/>
      <c r="Q64" s="1"/>
      <c r="R64" s="1">
        <v>0</v>
      </c>
      <c r="S64" s="1"/>
      <c r="T64" s="1"/>
      <c r="U64" s="1">
        <f t="shared" si="9"/>
        <v>79.74199999999999</v>
      </c>
      <c r="V64" s="5">
        <v>182.35812472499998</v>
      </c>
      <c r="W64" s="5">
        <f t="shared" si="13"/>
        <v>182.35812472499998</v>
      </c>
      <c r="X64" s="1">
        <f t="shared" si="10"/>
        <v>11.999999999999998</v>
      </c>
      <c r="Y64" s="1">
        <f t="shared" si="11"/>
        <v>9.7131483443480224</v>
      </c>
      <c r="Z64" s="1">
        <f>VLOOKUP(A64,[1]Sheet!$A:$U,21,0)</f>
        <v>5.6125999999999996</v>
      </c>
      <c r="AA64" s="1">
        <v>90.891600000000011</v>
      </c>
      <c r="AB64" s="1">
        <v>87.63300000000001</v>
      </c>
      <c r="AC64" s="1">
        <v>25.435600000000001</v>
      </c>
      <c r="AD64" s="1">
        <v>28.949200000000001</v>
      </c>
      <c r="AE64" s="1">
        <v>19.037400000000002</v>
      </c>
      <c r="AF64" s="1">
        <v>20.474399999999999</v>
      </c>
      <c r="AG64" s="1">
        <v>10.922000000000001</v>
      </c>
      <c r="AH64" s="1">
        <v>10.8414</v>
      </c>
      <c r="AI64" s="1">
        <v>9.9244000000000003</v>
      </c>
      <c r="AJ64" s="16" t="s">
        <v>166</v>
      </c>
      <c r="AK64" s="1">
        <f t="shared" si="12"/>
        <v>182</v>
      </c>
      <c r="AL64" t="s">
        <v>167</v>
      </c>
    </row>
    <row r="65" spans="1:38" x14ac:dyDescent="0.25">
      <c r="A65" s="1" t="s">
        <v>168</v>
      </c>
      <c r="B65" s="1" t="s">
        <v>41</v>
      </c>
      <c r="C65" s="1">
        <v>118.16</v>
      </c>
      <c r="D65" s="1">
        <v>248.08600000000001</v>
      </c>
      <c r="E65" s="1">
        <v>118.169</v>
      </c>
      <c r="F65" s="1">
        <v>177.93899999999999</v>
      </c>
      <c r="G65" s="7">
        <v>1</v>
      </c>
      <c r="H65" s="1">
        <v>40</v>
      </c>
      <c r="I65" s="1" t="s">
        <v>42</v>
      </c>
      <c r="J65" s="1"/>
      <c r="K65" s="1">
        <v>229.845</v>
      </c>
      <c r="L65" s="1">
        <f t="shared" si="8"/>
        <v>-111.676</v>
      </c>
      <c r="M65" s="1"/>
      <c r="N65" s="1"/>
      <c r="O65" s="1">
        <v>387.35786832600007</v>
      </c>
      <c r="P65" s="1"/>
      <c r="Q65" s="1"/>
      <c r="R65" s="1">
        <v>44.937607599999858</v>
      </c>
      <c r="S65" s="1"/>
      <c r="T65" s="1"/>
      <c r="U65" s="1">
        <f t="shared" si="9"/>
        <v>23.633800000000001</v>
      </c>
      <c r="V65" s="5"/>
      <c r="W65" s="5">
        <f t="shared" si="13"/>
        <v>0</v>
      </c>
      <c r="X65" s="1">
        <f t="shared" si="10"/>
        <v>25.820412964736942</v>
      </c>
      <c r="Y65" s="1">
        <f t="shared" si="11"/>
        <v>25.820412964736942</v>
      </c>
      <c r="Z65" s="1">
        <f>VLOOKUP(A65,[1]Sheet!$A:$U,21,0)</f>
        <v>61.535799999999995</v>
      </c>
      <c r="AA65" s="1">
        <v>85.055199999999999</v>
      </c>
      <c r="AB65" s="1">
        <v>46.878799999999998</v>
      </c>
      <c r="AC65" s="1">
        <v>23.079000000000001</v>
      </c>
      <c r="AD65" s="1">
        <v>22.816600000000001</v>
      </c>
      <c r="AE65" s="1">
        <v>0</v>
      </c>
      <c r="AF65" s="1">
        <v>0</v>
      </c>
      <c r="AG65" s="1">
        <v>0.27239999999999998</v>
      </c>
      <c r="AH65" s="1">
        <v>0.27239999999999998</v>
      </c>
      <c r="AI65" s="1">
        <v>0</v>
      </c>
      <c r="AJ65" s="1" t="s">
        <v>166</v>
      </c>
      <c r="AK65" s="1">
        <f t="shared" si="12"/>
        <v>0</v>
      </c>
      <c r="AL65" t="s">
        <v>169</v>
      </c>
    </row>
    <row r="66" spans="1:38" x14ac:dyDescent="0.25">
      <c r="A66" s="1" t="s">
        <v>170</v>
      </c>
      <c r="B66" s="1" t="s">
        <v>49</v>
      </c>
      <c r="C66" s="1">
        <v>628</v>
      </c>
      <c r="D66" s="1">
        <v>2442</v>
      </c>
      <c r="E66" s="1">
        <v>983</v>
      </c>
      <c r="F66" s="1">
        <v>1739</v>
      </c>
      <c r="G66" s="7">
        <v>0.4</v>
      </c>
      <c r="H66" s="1">
        <v>40</v>
      </c>
      <c r="I66" s="1" t="s">
        <v>42</v>
      </c>
      <c r="J66" s="1"/>
      <c r="K66" s="1">
        <v>1092</v>
      </c>
      <c r="L66" s="1">
        <f t="shared" si="8"/>
        <v>-109</v>
      </c>
      <c r="M66" s="1"/>
      <c r="N66" s="1"/>
      <c r="O66" s="1">
        <v>1335.6969750000001</v>
      </c>
      <c r="P66" s="1"/>
      <c r="Q66" s="1"/>
      <c r="R66" s="1">
        <v>0</v>
      </c>
      <c r="S66" s="1"/>
      <c r="T66" s="1"/>
      <c r="U66" s="1">
        <f t="shared" si="9"/>
        <v>196.6</v>
      </c>
      <c r="V66" s="5"/>
      <c r="W66" s="5">
        <f t="shared" si="13"/>
        <v>0</v>
      </c>
      <c r="X66" s="1">
        <f t="shared" si="10"/>
        <v>15.639353891149542</v>
      </c>
      <c r="Y66" s="1">
        <f t="shared" si="11"/>
        <v>15.639353891149542</v>
      </c>
      <c r="Z66" s="1">
        <f>VLOOKUP(A66,[1]Sheet!$A:$U,21,0)</f>
        <v>246.4</v>
      </c>
      <c r="AA66" s="1">
        <v>312.2</v>
      </c>
      <c r="AB66" s="1">
        <v>247</v>
      </c>
      <c r="AC66" s="1">
        <v>179.6</v>
      </c>
      <c r="AD66" s="1">
        <v>181.2</v>
      </c>
      <c r="AE66" s="1">
        <v>180.6</v>
      </c>
      <c r="AF66" s="1">
        <v>186.2</v>
      </c>
      <c r="AG66" s="1">
        <v>159.19999999999999</v>
      </c>
      <c r="AH66" s="1">
        <v>162.80000000000001</v>
      </c>
      <c r="AI66" s="1">
        <v>187.4</v>
      </c>
      <c r="AJ66" s="1"/>
      <c r="AK66" s="1">
        <f t="shared" si="12"/>
        <v>0</v>
      </c>
      <c r="AL66" t="s">
        <v>171</v>
      </c>
    </row>
    <row r="67" spans="1:38" x14ac:dyDescent="0.25">
      <c r="A67" s="1" t="s">
        <v>172</v>
      </c>
      <c r="B67" s="1" t="s">
        <v>49</v>
      </c>
      <c r="C67" s="1">
        <v>105</v>
      </c>
      <c r="D67" s="1">
        <v>303</v>
      </c>
      <c r="E67" s="1">
        <v>207</v>
      </c>
      <c r="F67" s="1">
        <v>18</v>
      </c>
      <c r="G67" s="7">
        <v>0.4</v>
      </c>
      <c r="H67" s="1">
        <v>40</v>
      </c>
      <c r="I67" s="13" t="s">
        <v>59</v>
      </c>
      <c r="J67" s="1"/>
      <c r="K67" s="1">
        <v>703</v>
      </c>
      <c r="L67" s="1">
        <f t="shared" si="8"/>
        <v>-496</v>
      </c>
      <c r="M67" s="1"/>
      <c r="N67" s="1"/>
      <c r="O67" s="1">
        <v>150</v>
      </c>
      <c r="P67" s="1"/>
      <c r="Q67" s="1"/>
      <c r="R67" s="1">
        <v>150</v>
      </c>
      <c r="S67" s="1"/>
      <c r="T67" s="1"/>
      <c r="U67" s="1">
        <f t="shared" si="9"/>
        <v>41.4</v>
      </c>
      <c r="V67" s="5">
        <v>328.79999999999995</v>
      </c>
      <c r="W67" s="5">
        <f>V67*$W$1</f>
        <v>230.15999999999994</v>
      </c>
      <c r="X67" s="1">
        <f t="shared" si="10"/>
        <v>13.240579710144928</v>
      </c>
      <c r="Y67" s="1">
        <f t="shared" si="11"/>
        <v>7.6811594202898554</v>
      </c>
      <c r="Z67" s="1">
        <f>VLOOKUP(A67,[1]Sheet!$A:$U,21,0)</f>
        <v>49.4</v>
      </c>
      <c r="AA67" s="1">
        <v>124.2</v>
      </c>
      <c r="AB67" s="1">
        <v>129.6</v>
      </c>
      <c r="AC67" s="1">
        <v>96.4</v>
      </c>
      <c r="AD67" s="1">
        <v>59.8</v>
      </c>
      <c r="AE67" s="1">
        <v>2.2000000000000002</v>
      </c>
      <c r="AF67" s="1">
        <v>1</v>
      </c>
      <c r="AG67" s="1">
        <v>50.2</v>
      </c>
      <c r="AH67" s="1">
        <v>102</v>
      </c>
      <c r="AI67" s="1">
        <v>140.80000000000001</v>
      </c>
      <c r="AJ67" s="1"/>
      <c r="AK67" s="1">
        <f t="shared" si="12"/>
        <v>92</v>
      </c>
      <c r="AL67" t="s">
        <v>173</v>
      </c>
    </row>
    <row r="68" spans="1:38" x14ac:dyDescent="0.25">
      <c r="A68" s="1" t="s">
        <v>174</v>
      </c>
      <c r="B68" s="1" t="s">
        <v>41</v>
      </c>
      <c r="C68" s="1">
        <v>320.279</v>
      </c>
      <c r="D68" s="1">
        <v>1.8</v>
      </c>
      <c r="E68" s="1">
        <v>325.85300000000001</v>
      </c>
      <c r="F68" s="1">
        <v>-6.4809999999999999</v>
      </c>
      <c r="G68" s="7">
        <v>1</v>
      </c>
      <c r="H68" s="1">
        <v>40</v>
      </c>
      <c r="I68" s="13" t="s">
        <v>59</v>
      </c>
      <c r="J68" s="1"/>
      <c r="K68" s="1">
        <v>316.5</v>
      </c>
      <c r="L68" s="1">
        <f t="shared" si="8"/>
        <v>9.3530000000000086</v>
      </c>
      <c r="M68" s="1"/>
      <c r="N68" s="1"/>
      <c r="O68" s="1">
        <v>84.218161999999921</v>
      </c>
      <c r="P68" s="1">
        <v>-86</v>
      </c>
      <c r="Q68" s="1"/>
      <c r="R68" s="1">
        <v>150</v>
      </c>
      <c r="S68" s="1">
        <v>-151</v>
      </c>
      <c r="T68" s="1"/>
      <c r="U68" s="1">
        <f t="shared" si="9"/>
        <v>65.170600000000007</v>
      </c>
      <c r="V68" s="5">
        <v>200</v>
      </c>
      <c r="W68" s="5">
        <f>V68*$W$1</f>
        <v>140</v>
      </c>
      <c r="X68" s="1">
        <f t="shared" si="10"/>
        <v>4.3230714770157075</v>
      </c>
      <c r="Y68" s="1">
        <f t="shared" si="11"/>
        <v>2.1748635427631466</v>
      </c>
      <c r="Z68" s="1">
        <f>VLOOKUP(A68,[1]Sheet!$A:$U,21,0)</f>
        <v>61.546000000000006</v>
      </c>
      <c r="AA68" s="1">
        <v>65.935000000000002</v>
      </c>
      <c r="AB68" s="1">
        <v>67.238399999999999</v>
      </c>
      <c r="AC68" s="1">
        <v>56.559399999999997</v>
      </c>
      <c r="AD68" s="1">
        <v>55.1158</v>
      </c>
      <c r="AE68" s="1">
        <v>57.833799999999997</v>
      </c>
      <c r="AF68" s="1">
        <v>55.1432</v>
      </c>
      <c r="AG68" s="1">
        <v>54.483400000000003</v>
      </c>
      <c r="AH68" s="1">
        <v>59.456200000000003</v>
      </c>
      <c r="AI68" s="1">
        <v>60.828000000000003</v>
      </c>
      <c r="AJ68" s="1"/>
      <c r="AK68" s="1">
        <f t="shared" si="12"/>
        <v>140</v>
      </c>
      <c r="AL68" t="s">
        <v>175</v>
      </c>
    </row>
    <row r="69" spans="1:38" x14ac:dyDescent="0.25">
      <c r="A69" s="1" t="s">
        <v>176</v>
      </c>
      <c r="B69" s="1" t="s">
        <v>41</v>
      </c>
      <c r="C69" s="1">
        <v>361.76400000000001</v>
      </c>
      <c r="D69" s="1">
        <v>2.702</v>
      </c>
      <c r="E69" s="1">
        <v>363.60399999999998</v>
      </c>
      <c r="F69" s="1">
        <v>-4.5570000000000004</v>
      </c>
      <c r="G69" s="7">
        <v>1</v>
      </c>
      <c r="H69" s="1">
        <v>40</v>
      </c>
      <c r="I69" s="13" t="s">
        <v>59</v>
      </c>
      <c r="J69" s="1"/>
      <c r="K69" s="1">
        <v>396.7</v>
      </c>
      <c r="L69" s="1">
        <f t="shared" si="8"/>
        <v>-33.096000000000004</v>
      </c>
      <c r="M69" s="1"/>
      <c r="N69" s="1"/>
      <c r="O69" s="1">
        <v>25</v>
      </c>
      <c r="P69" s="1">
        <v>-27</v>
      </c>
      <c r="Q69" s="1"/>
      <c r="R69" s="1">
        <v>200</v>
      </c>
      <c r="S69" s="1">
        <v>-205</v>
      </c>
      <c r="T69" s="1"/>
      <c r="U69" s="1">
        <f t="shared" si="9"/>
        <v>72.720799999999997</v>
      </c>
      <c r="V69" s="5">
        <v>200</v>
      </c>
      <c r="W69" s="5">
        <f>V69*$W$1</f>
        <v>140</v>
      </c>
      <c r="X69" s="1">
        <f t="shared" si="10"/>
        <v>4.5852493371910104</v>
      </c>
      <c r="Y69" s="1">
        <f t="shared" si="11"/>
        <v>2.6600779969417276</v>
      </c>
      <c r="Z69" s="1">
        <f>VLOOKUP(A69,[1]Sheet!$A:$U,21,0)</f>
        <v>89.860799999999998</v>
      </c>
      <c r="AA69" s="1">
        <v>74.588200000000001</v>
      </c>
      <c r="AB69" s="1">
        <v>88.295199999999994</v>
      </c>
      <c r="AC69" s="1">
        <v>74.920600000000007</v>
      </c>
      <c r="AD69" s="1">
        <v>70.786599999999993</v>
      </c>
      <c r="AE69" s="1">
        <v>88.879800000000003</v>
      </c>
      <c r="AF69" s="1">
        <v>87.743600000000001</v>
      </c>
      <c r="AG69" s="1">
        <v>69.691200000000009</v>
      </c>
      <c r="AH69" s="1">
        <v>74.162400000000005</v>
      </c>
      <c r="AI69" s="1">
        <v>74.625</v>
      </c>
      <c r="AJ69" s="1"/>
      <c r="AK69" s="1">
        <f t="shared" si="12"/>
        <v>140</v>
      </c>
      <c r="AL69" t="s">
        <v>177</v>
      </c>
    </row>
    <row r="70" spans="1:38" x14ac:dyDescent="0.25">
      <c r="A70" s="1" t="s">
        <v>178</v>
      </c>
      <c r="B70" s="1" t="s">
        <v>41</v>
      </c>
      <c r="C70" s="1">
        <v>670.596</v>
      </c>
      <c r="D70" s="1">
        <v>7.2080000000000002</v>
      </c>
      <c r="E70" s="1">
        <v>659.36500000000001</v>
      </c>
      <c r="F70" s="1">
        <v>-5.1059999999999999</v>
      </c>
      <c r="G70" s="7">
        <v>1</v>
      </c>
      <c r="H70" s="1">
        <v>40</v>
      </c>
      <c r="I70" s="13" t="s">
        <v>59</v>
      </c>
      <c r="J70" s="1"/>
      <c r="K70" s="1">
        <v>658.95</v>
      </c>
      <c r="L70" s="1">
        <f t="shared" ref="L70:L101" si="14">E70-K70</f>
        <v>0.41499999999996362</v>
      </c>
      <c r="M70" s="1"/>
      <c r="N70" s="1"/>
      <c r="O70" s="1">
        <v>438.98527701599988</v>
      </c>
      <c r="P70" s="1">
        <v>-443</v>
      </c>
      <c r="Q70" s="1"/>
      <c r="R70" s="1">
        <v>350</v>
      </c>
      <c r="S70" s="1">
        <v>-351</v>
      </c>
      <c r="T70" s="1"/>
      <c r="U70" s="1">
        <f t="shared" ref="U70:U101" si="15">E70/5</f>
        <v>131.87299999999999</v>
      </c>
      <c r="V70" s="5">
        <v>400</v>
      </c>
      <c r="W70" s="5">
        <f>V70*$W$1</f>
        <v>280</v>
      </c>
      <c r="X70" s="1">
        <f t="shared" ref="X70:X101" si="16">(F70+O70+P70+Q70+R70+W70)/U70</f>
        <v>4.7081607077718708</v>
      </c>
      <c r="Y70" s="1">
        <f t="shared" ref="Y70:Y101" si="17">(F70+O70+P70+Q70+R70)/U70</f>
        <v>2.5849057579337691</v>
      </c>
      <c r="Z70" s="1">
        <f>VLOOKUP(A70,[1]Sheet!$A:$U,21,0)</f>
        <v>154.22539999999998</v>
      </c>
      <c r="AA70" s="1">
        <v>177.6354</v>
      </c>
      <c r="AB70" s="1">
        <v>179.7578</v>
      </c>
      <c r="AC70" s="1">
        <v>145.75380000000001</v>
      </c>
      <c r="AD70" s="1">
        <v>144.0752</v>
      </c>
      <c r="AE70" s="1">
        <v>137.29580000000001</v>
      </c>
      <c r="AF70" s="1">
        <v>137.2748</v>
      </c>
      <c r="AG70" s="1">
        <v>175.5292</v>
      </c>
      <c r="AH70" s="1">
        <v>172.87260000000001</v>
      </c>
      <c r="AI70" s="1">
        <v>159.3614</v>
      </c>
      <c r="AJ70" s="1"/>
      <c r="AK70" s="1">
        <f t="shared" ref="AK70:AK101" si="18">ROUND(G70*W70,0)</f>
        <v>280</v>
      </c>
      <c r="AL70" t="s">
        <v>179</v>
      </c>
    </row>
    <row r="71" spans="1:38" x14ac:dyDescent="0.25">
      <c r="A71" s="1" t="s">
        <v>180</v>
      </c>
      <c r="B71" s="1" t="s">
        <v>41</v>
      </c>
      <c r="C71" s="1">
        <v>269.79000000000002</v>
      </c>
      <c r="D71" s="1">
        <v>3.6110000000000002</v>
      </c>
      <c r="E71" s="1">
        <v>264.91699999999997</v>
      </c>
      <c r="F71" s="1">
        <v>-3.5659999999999998</v>
      </c>
      <c r="G71" s="7">
        <v>1</v>
      </c>
      <c r="H71" s="1">
        <v>40</v>
      </c>
      <c r="I71" s="13" t="s">
        <v>59</v>
      </c>
      <c r="J71" s="1"/>
      <c r="K71" s="1">
        <v>266.45</v>
      </c>
      <c r="L71" s="1">
        <f t="shared" si="14"/>
        <v>-1.5330000000000155</v>
      </c>
      <c r="M71" s="1"/>
      <c r="N71" s="1"/>
      <c r="O71" s="1"/>
      <c r="P71" s="1"/>
      <c r="Q71" s="1"/>
      <c r="R71" s="1">
        <v>150</v>
      </c>
      <c r="S71" s="1"/>
      <c r="T71" s="1"/>
      <c r="U71" s="1">
        <f t="shared" si="15"/>
        <v>52.983399999999996</v>
      </c>
      <c r="V71" s="5">
        <v>200</v>
      </c>
      <c r="W71" s="5">
        <f>V71*$W$1</f>
        <v>140</v>
      </c>
      <c r="X71" s="1">
        <f t="shared" si="16"/>
        <v>5.4061083282688536</v>
      </c>
      <c r="Y71" s="1">
        <f t="shared" si="17"/>
        <v>2.7637712944054176</v>
      </c>
      <c r="Z71" s="1">
        <f>VLOOKUP(A71,[1]Sheet!$A:$U,21,0)</f>
        <v>61.165399999999998</v>
      </c>
      <c r="AA71" s="1">
        <v>53.972799999999992</v>
      </c>
      <c r="AB71" s="1">
        <v>54.696000000000012</v>
      </c>
      <c r="AC71" s="1">
        <v>44.735399999999998</v>
      </c>
      <c r="AD71" s="1">
        <v>40.375599999999999</v>
      </c>
      <c r="AE71" s="1">
        <v>45.681600000000003</v>
      </c>
      <c r="AF71" s="1">
        <v>44.385399999999997</v>
      </c>
      <c r="AG71" s="1">
        <v>47.916400000000003</v>
      </c>
      <c r="AH71" s="1">
        <v>52.795399999999987</v>
      </c>
      <c r="AI71" s="1">
        <v>48.722799999999999</v>
      </c>
      <c r="AJ71" s="1"/>
      <c r="AK71" s="1">
        <f t="shared" si="18"/>
        <v>140</v>
      </c>
      <c r="AL71" t="s">
        <v>181</v>
      </c>
    </row>
    <row r="72" spans="1:38" x14ac:dyDescent="0.25">
      <c r="A72" s="1" t="s">
        <v>182</v>
      </c>
      <c r="B72" s="1" t="s">
        <v>49</v>
      </c>
      <c r="C72" s="1">
        <v>34</v>
      </c>
      <c r="D72" s="1"/>
      <c r="E72" s="1">
        <v>12</v>
      </c>
      <c r="F72" s="1">
        <v>19</v>
      </c>
      <c r="G72" s="7">
        <v>0.6</v>
      </c>
      <c r="H72" s="1">
        <v>70</v>
      </c>
      <c r="I72" s="1" t="s">
        <v>42</v>
      </c>
      <c r="J72" s="1"/>
      <c r="K72" s="1">
        <v>12</v>
      </c>
      <c r="L72" s="1">
        <f t="shared" si="14"/>
        <v>0</v>
      </c>
      <c r="M72" s="1"/>
      <c r="N72" s="1"/>
      <c r="O72" s="1"/>
      <c r="P72" s="1"/>
      <c r="Q72" s="1"/>
      <c r="R72" s="1">
        <v>0</v>
      </c>
      <c r="S72" s="1"/>
      <c r="T72" s="1"/>
      <c r="U72" s="1">
        <f t="shared" si="15"/>
        <v>2.4</v>
      </c>
      <c r="V72" s="5">
        <v>9.7999999999999972</v>
      </c>
      <c r="W72" s="5">
        <f>V72</f>
        <v>9.7999999999999972</v>
      </c>
      <c r="X72" s="1">
        <f t="shared" si="16"/>
        <v>12</v>
      </c>
      <c r="Y72" s="1">
        <f t="shared" si="17"/>
        <v>7.916666666666667</v>
      </c>
      <c r="Z72" s="1">
        <f>VLOOKUP(A72,[1]Sheet!$A:$U,21,0)</f>
        <v>2.2000000000000002</v>
      </c>
      <c r="AA72" s="1">
        <v>1.2</v>
      </c>
      <c r="AB72" s="1">
        <v>1.2</v>
      </c>
      <c r="AC72" s="1">
        <v>2</v>
      </c>
      <c r="AD72" s="1">
        <v>2</v>
      </c>
      <c r="AE72" s="1">
        <v>1.2</v>
      </c>
      <c r="AF72" s="1">
        <v>0.4</v>
      </c>
      <c r="AG72" s="1">
        <v>1.2</v>
      </c>
      <c r="AH72" s="1">
        <v>2</v>
      </c>
      <c r="AI72" s="1">
        <v>2</v>
      </c>
      <c r="AJ72" s="1"/>
      <c r="AK72" s="1">
        <f t="shared" si="18"/>
        <v>6</v>
      </c>
      <c r="AL72" t="s">
        <v>183</v>
      </c>
    </row>
    <row r="73" spans="1:38" x14ac:dyDescent="0.25">
      <c r="A73" s="1" t="s">
        <v>184</v>
      </c>
      <c r="B73" s="1" t="s">
        <v>41</v>
      </c>
      <c r="C73" s="1">
        <v>256.22300000000001</v>
      </c>
      <c r="D73" s="1">
        <v>553.66</v>
      </c>
      <c r="E73" s="1">
        <v>293.27199999999999</v>
      </c>
      <c r="F73" s="1">
        <v>421.41199999999998</v>
      </c>
      <c r="G73" s="7">
        <v>1</v>
      </c>
      <c r="H73" s="1">
        <v>30</v>
      </c>
      <c r="I73" s="1" t="s">
        <v>42</v>
      </c>
      <c r="J73" s="1"/>
      <c r="K73" s="1">
        <v>328.55</v>
      </c>
      <c r="L73" s="1">
        <f t="shared" si="14"/>
        <v>-35.27800000000002</v>
      </c>
      <c r="M73" s="1"/>
      <c r="N73" s="1"/>
      <c r="O73" s="1"/>
      <c r="P73" s="1"/>
      <c r="Q73" s="1"/>
      <c r="R73" s="1">
        <v>103.63416620000019</v>
      </c>
      <c r="S73" s="1"/>
      <c r="T73" s="1"/>
      <c r="U73" s="1">
        <f t="shared" si="15"/>
        <v>58.654399999999995</v>
      </c>
      <c r="V73" s="5">
        <v>282.44079999999991</v>
      </c>
      <c r="W73" s="5">
        <f>V73</f>
        <v>282.44079999999991</v>
      </c>
      <c r="X73" s="1">
        <f t="shared" si="16"/>
        <v>13.766860903870812</v>
      </c>
      <c r="Y73" s="1">
        <f t="shared" si="17"/>
        <v>8.9515222421506344</v>
      </c>
      <c r="Z73" s="1">
        <f>VLOOKUP(A73,[1]Sheet!$A:$U,21,0)</f>
        <v>59.754800000000003</v>
      </c>
      <c r="AA73" s="1">
        <v>63.089399999999998</v>
      </c>
      <c r="AB73" s="1">
        <v>62.3386</v>
      </c>
      <c r="AC73" s="1">
        <v>48.734200000000001</v>
      </c>
      <c r="AD73" s="1">
        <v>49.574399999999997</v>
      </c>
      <c r="AE73" s="1">
        <v>57.8048</v>
      </c>
      <c r="AF73" s="1">
        <v>60.2044</v>
      </c>
      <c r="AG73" s="1">
        <v>77.722000000000008</v>
      </c>
      <c r="AH73" s="1">
        <v>80.553599999999989</v>
      </c>
      <c r="AI73" s="1">
        <v>64.354600000000005</v>
      </c>
      <c r="AJ73" s="1"/>
      <c r="AK73" s="1">
        <f t="shared" si="18"/>
        <v>282</v>
      </c>
      <c r="AL73" t="s">
        <v>185</v>
      </c>
    </row>
    <row r="74" spans="1:38" x14ac:dyDescent="0.25">
      <c r="A74" s="1" t="s">
        <v>186</v>
      </c>
      <c r="B74" s="1" t="s">
        <v>49</v>
      </c>
      <c r="C74" s="1">
        <v>165</v>
      </c>
      <c r="D74" s="1">
        <v>179</v>
      </c>
      <c r="E74" s="1">
        <v>116</v>
      </c>
      <c r="F74" s="1">
        <v>185</v>
      </c>
      <c r="G74" s="7">
        <v>0.6</v>
      </c>
      <c r="H74" s="1">
        <v>60</v>
      </c>
      <c r="I74" s="1" t="s">
        <v>42</v>
      </c>
      <c r="J74" s="1"/>
      <c r="K74" s="1">
        <v>134</v>
      </c>
      <c r="L74" s="1">
        <f t="shared" si="14"/>
        <v>-18</v>
      </c>
      <c r="M74" s="1"/>
      <c r="N74" s="1"/>
      <c r="O74" s="1"/>
      <c r="P74" s="1"/>
      <c r="Q74" s="1"/>
      <c r="R74" s="1">
        <v>74.299999999999983</v>
      </c>
      <c r="S74" s="1"/>
      <c r="T74" s="1"/>
      <c r="U74" s="1">
        <f t="shared" si="15"/>
        <v>23.2</v>
      </c>
      <c r="V74" s="5">
        <v>93.399999999999977</v>
      </c>
      <c r="W74" s="5">
        <f>V74</f>
        <v>93.399999999999977</v>
      </c>
      <c r="X74" s="1">
        <f t="shared" si="16"/>
        <v>15.20258620689655</v>
      </c>
      <c r="Y74" s="1">
        <f t="shared" si="17"/>
        <v>11.176724137931032</v>
      </c>
      <c r="Z74" s="1">
        <f>VLOOKUP(A74,[1]Sheet!$A:$U,21,0)</f>
        <v>26.8</v>
      </c>
      <c r="AA74" s="1">
        <v>24.8</v>
      </c>
      <c r="AB74" s="1">
        <v>28.2</v>
      </c>
      <c r="AC74" s="1">
        <v>22.8</v>
      </c>
      <c r="AD74" s="1">
        <v>19.2</v>
      </c>
      <c r="AE74" s="1">
        <v>23.4</v>
      </c>
      <c r="AF74" s="1">
        <v>25.4</v>
      </c>
      <c r="AG74" s="1">
        <v>18.600000000000001</v>
      </c>
      <c r="AH74" s="1">
        <v>32.6</v>
      </c>
      <c r="AI74" s="1">
        <v>24.6</v>
      </c>
      <c r="AJ74" s="1"/>
      <c r="AK74" s="1">
        <f t="shared" si="18"/>
        <v>56</v>
      </c>
      <c r="AL74" t="s">
        <v>187</v>
      </c>
    </row>
    <row r="75" spans="1:38" x14ac:dyDescent="0.25">
      <c r="A75" s="1" t="s">
        <v>188</v>
      </c>
      <c r="B75" s="1" t="s">
        <v>49</v>
      </c>
      <c r="C75" s="1">
        <v>41</v>
      </c>
      <c r="D75" s="1">
        <v>48</v>
      </c>
      <c r="E75" s="1">
        <v>32</v>
      </c>
      <c r="F75" s="1">
        <v>46</v>
      </c>
      <c r="G75" s="7">
        <v>0.6</v>
      </c>
      <c r="H75" s="1">
        <v>60</v>
      </c>
      <c r="I75" s="1" t="s">
        <v>42</v>
      </c>
      <c r="J75" s="1"/>
      <c r="K75" s="1">
        <v>33</v>
      </c>
      <c r="L75" s="1">
        <f t="shared" si="14"/>
        <v>-1</v>
      </c>
      <c r="M75" s="1"/>
      <c r="N75" s="1"/>
      <c r="O75" s="1"/>
      <c r="P75" s="1"/>
      <c r="Q75" s="1"/>
      <c r="R75" s="1">
        <v>0</v>
      </c>
      <c r="S75" s="1"/>
      <c r="T75" s="1"/>
      <c r="U75" s="1">
        <f t="shared" si="15"/>
        <v>6.4</v>
      </c>
      <c r="V75" s="5">
        <v>30.800000000000011</v>
      </c>
      <c r="W75" s="5">
        <f>V75</f>
        <v>30.800000000000011</v>
      </c>
      <c r="X75" s="1">
        <f t="shared" si="16"/>
        <v>12.000000000000002</v>
      </c>
      <c r="Y75" s="1">
        <f t="shared" si="17"/>
        <v>7.1875</v>
      </c>
      <c r="Z75" s="1">
        <f>VLOOKUP(A75,[1]Sheet!$A:$U,21,0)</f>
        <v>6.4</v>
      </c>
      <c r="AA75" s="1">
        <v>6.8</v>
      </c>
      <c r="AB75" s="1">
        <v>7.6</v>
      </c>
      <c r="AC75" s="1">
        <v>5.8</v>
      </c>
      <c r="AD75" s="1">
        <v>4</v>
      </c>
      <c r="AE75" s="1">
        <v>5.4</v>
      </c>
      <c r="AF75" s="1">
        <v>4.4000000000000004</v>
      </c>
      <c r="AG75" s="1">
        <v>4</v>
      </c>
      <c r="AH75" s="1">
        <v>5.4</v>
      </c>
      <c r="AI75" s="1">
        <v>5.8</v>
      </c>
      <c r="AJ75" s="1"/>
      <c r="AK75" s="1">
        <f t="shared" si="18"/>
        <v>18</v>
      </c>
      <c r="AL75" t="s">
        <v>189</v>
      </c>
    </row>
    <row r="76" spans="1:38" x14ac:dyDescent="0.25">
      <c r="A76" s="1" t="s">
        <v>190</v>
      </c>
      <c r="B76" s="1" t="s">
        <v>49</v>
      </c>
      <c r="C76" s="1">
        <v>180</v>
      </c>
      <c r="D76" s="1">
        <v>80</v>
      </c>
      <c r="E76" s="1">
        <v>102</v>
      </c>
      <c r="F76" s="1">
        <v>133</v>
      </c>
      <c r="G76" s="7">
        <v>0.4</v>
      </c>
      <c r="H76" s="1">
        <v>90</v>
      </c>
      <c r="I76" s="1" t="s">
        <v>42</v>
      </c>
      <c r="J76" s="1"/>
      <c r="K76" s="1">
        <v>107</v>
      </c>
      <c r="L76" s="1">
        <f t="shared" si="14"/>
        <v>-5</v>
      </c>
      <c r="M76" s="1"/>
      <c r="N76" s="1"/>
      <c r="O76" s="1"/>
      <c r="P76" s="1"/>
      <c r="Q76" s="1"/>
      <c r="R76" s="1">
        <v>97.6</v>
      </c>
      <c r="S76" s="1"/>
      <c r="T76" s="1"/>
      <c r="U76" s="1">
        <f t="shared" si="15"/>
        <v>20.399999999999999</v>
      </c>
      <c r="V76" s="5">
        <v>111.79999999999998</v>
      </c>
      <c r="W76" s="5">
        <f>V76</f>
        <v>111.79999999999998</v>
      </c>
      <c r="X76" s="1">
        <f t="shared" si="16"/>
        <v>16.784313725490197</v>
      </c>
      <c r="Y76" s="1">
        <f t="shared" si="17"/>
        <v>11.303921568627452</v>
      </c>
      <c r="Z76" s="1">
        <f>VLOOKUP(A76,[1]Sheet!$A:$U,21,0)</f>
        <v>24.8</v>
      </c>
      <c r="AA76" s="1">
        <v>20.6</v>
      </c>
      <c r="AB76" s="1">
        <v>17</v>
      </c>
      <c r="AC76" s="1">
        <v>22.8</v>
      </c>
      <c r="AD76" s="1">
        <v>25.2</v>
      </c>
      <c r="AE76" s="1">
        <v>20.6</v>
      </c>
      <c r="AF76" s="1">
        <v>22.2</v>
      </c>
      <c r="AG76" s="1">
        <v>19.8</v>
      </c>
      <c r="AH76" s="1">
        <v>15.6</v>
      </c>
      <c r="AI76" s="1">
        <v>17.8</v>
      </c>
      <c r="AJ76" s="1"/>
      <c r="AK76" s="1">
        <f t="shared" si="18"/>
        <v>45</v>
      </c>
      <c r="AL76" t="s">
        <v>191</v>
      </c>
    </row>
    <row r="77" spans="1:38" x14ac:dyDescent="0.25">
      <c r="A77" s="1" t="s">
        <v>192</v>
      </c>
      <c r="B77" s="1" t="s">
        <v>49</v>
      </c>
      <c r="C77" s="1">
        <v>233</v>
      </c>
      <c r="D77" s="1">
        <v>120</v>
      </c>
      <c r="E77" s="1">
        <v>130</v>
      </c>
      <c r="F77" s="1">
        <v>195</v>
      </c>
      <c r="G77" s="7">
        <v>0.33</v>
      </c>
      <c r="H77" s="1">
        <v>60</v>
      </c>
      <c r="I77" s="13" t="s">
        <v>59</v>
      </c>
      <c r="J77" s="1"/>
      <c r="K77" s="1">
        <v>133</v>
      </c>
      <c r="L77" s="1">
        <f t="shared" si="14"/>
        <v>-3</v>
      </c>
      <c r="M77" s="1"/>
      <c r="N77" s="1"/>
      <c r="O77" s="1"/>
      <c r="P77" s="1"/>
      <c r="Q77" s="1"/>
      <c r="R77" s="1">
        <v>37.599999999999987</v>
      </c>
      <c r="S77" s="1">
        <v>-39.393939393939391</v>
      </c>
      <c r="T77" s="1"/>
      <c r="U77" s="1">
        <f t="shared" si="15"/>
        <v>26</v>
      </c>
      <c r="V77" s="5">
        <v>117</v>
      </c>
      <c r="W77" s="5">
        <f>V77*$W$1</f>
        <v>81.899999999999991</v>
      </c>
      <c r="X77" s="1">
        <f t="shared" si="16"/>
        <v>12.096153846153847</v>
      </c>
      <c r="Y77" s="1">
        <f t="shared" si="17"/>
        <v>8.9461538461538463</v>
      </c>
      <c r="Z77" s="1">
        <f>VLOOKUP(A77,[1]Sheet!$A:$U,21,0)</f>
        <v>27</v>
      </c>
      <c r="AA77" s="1">
        <v>28.2</v>
      </c>
      <c r="AB77" s="1">
        <v>25.8</v>
      </c>
      <c r="AC77" s="1">
        <v>29.8</v>
      </c>
      <c r="AD77" s="1">
        <v>31.6</v>
      </c>
      <c r="AE77" s="1">
        <v>29</v>
      </c>
      <c r="AF77" s="1">
        <v>28.6</v>
      </c>
      <c r="AG77" s="1">
        <v>23</v>
      </c>
      <c r="AH77" s="1">
        <v>19.2</v>
      </c>
      <c r="AI77" s="1">
        <v>26</v>
      </c>
      <c r="AJ77" s="1"/>
      <c r="AK77" s="1">
        <f t="shared" si="18"/>
        <v>27</v>
      </c>
      <c r="AL77" t="s">
        <v>193</v>
      </c>
    </row>
    <row r="78" spans="1:38" x14ac:dyDescent="0.25">
      <c r="A78" s="1" t="s">
        <v>194</v>
      </c>
      <c r="B78" s="1" t="s">
        <v>49</v>
      </c>
      <c r="C78" s="1">
        <v>122</v>
      </c>
      <c r="D78" s="1">
        <v>248</v>
      </c>
      <c r="E78" s="1">
        <v>100</v>
      </c>
      <c r="F78" s="1">
        <v>249</v>
      </c>
      <c r="G78" s="7">
        <v>0.35</v>
      </c>
      <c r="H78" s="1">
        <v>90</v>
      </c>
      <c r="I78" s="1" t="s">
        <v>42</v>
      </c>
      <c r="J78" s="1"/>
      <c r="K78" s="1">
        <v>102</v>
      </c>
      <c r="L78" s="1">
        <f t="shared" si="14"/>
        <v>-2</v>
      </c>
      <c r="M78" s="1"/>
      <c r="N78" s="1"/>
      <c r="O78" s="1"/>
      <c r="P78" s="1"/>
      <c r="Q78" s="1"/>
      <c r="R78" s="1">
        <v>38.5</v>
      </c>
      <c r="S78" s="1">
        <v>-40</v>
      </c>
      <c r="T78" s="1"/>
      <c r="U78" s="1">
        <f t="shared" si="15"/>
        <v>20</v>
      </c>
      <c r="V78" s="5"/>
      <c r="W78" s="5">
        <f>V78</f>
        <v>0</v>
      </c>
      <c r="X78" s="1">
        <f t="shared" si="16"/>
        <v>14.375</v>
      </c>
      <c r="Y78" s="1">
        <f t="shared" si="17"/>
        <v>14.375</v>
      </c>
      <c r="Z78" s="1">
        <f>VLOOKUP(A78,[1]Sheet!$A:$U,21,0)</f>
        <v>29.8</v>
      </c>
      <c r="AA78" s="1">
        <v>29</v>
      </c>
      <c r="AB78" s="1">
        <v>21.4</v>
      </c>
      <c r="AC78" s="1">
        <v>22</v>
      </c>
      <c r="AD78" s="1">
        <v>21.8</v>
      </c>
      <c r="AE78" s="1">
        <v>20</v>
      </c>
      <c r="AF78" s="1">
        <v>23</v>
      </c>
      <c r="AG78" s="1">
        <v>19</v>
      </c>
      <c r="AH78" s="1">
        <v>19.2</v>
      </c>
      <c r="AI78" s="1">
        <v>20.6</v>
      </c>
      <c r="AJ78" s="1"/>
      <c r="AK78" s="1">
        <f t="shared" si="18"/>
        <v>0</v>
      </c>
      <c r="AL78" t="s">
        <v>195</v>
      </c>
    </row>
    <row r="79" spans="1:38" x14ac:dyDescent="0.25">
      <c r="A79" s="1" t="s">
        <v>196</v>
      </c>
      <c r="B79" s="1" t="s">
        <v>49</v>
      </c>
      <c r="C79" s="1">
        <v>818</v>
      </c>
      <c r="D79" s="1">
        <v>400</v>
      </c>
      <c r="E79" s="1">
        <v>500</v>
      </c>
      <c r="F79" s="1">
        <v>571</v>
      </c>
      <c r="G79" s="7">
        <v>0.37</v>
      </c>
      <c r="H79" s="1">
        <v>50</v>
      </c>
      <c r="I79" s="1" t="s">
        <v>42</v>
      </c>
      <c r="J79" s="1"/>
      <c r="K79" s="1">
        <v>522</v>
      </c>
      <c r="L79" s="1">
        <f t="shared" si="14"/>
        <v>-22</v>
      </c>
      <c r="M79" s="1"/>
      <c r="N79" s="1"/>
      <c r="O79" s="1">
        <v>263.30154899999991</v>
      </c>
      <c r="P79" s="1"/>
      <c r="Q79" s="1"/>
      <c r="R79" s="1">
        <v>0</v>
      </c>
      <c r="S79" s="1"/>
      <c r="T79" s="1"/>
      <c r="U79" s="1">
        <f t="shared" si="15"/>
        <v>100</v>
      </c>
      <c r="V79" s="5">
        <v>365.69845100000009</v>
      </c>
      <c r="W79" s="5">
        <f>V79</f>
        <v>365.69845100000009</v>
      </c>
      <c r="X79" s="1">
        <f t="shared" si="16"/>
        <v>12</v>
      </c>
      <c r="Y79" s="1">
        <f t="shared" si="17"/>
        <v>8.3430154899999991</v>
      </c>
      <c r="Z79" s="1">
        <f>VLOOKUP(A79,[1]Sheet!$A:$U,21,0)</f>
        <v>93.6</v>
      </c>
      <c r="AA79" s="1">
        <v>104.8</v>
      </c>
      <c r="AB79" s="1">
        <v>111.2</v>
      </c>
      <c r="AC79" s="1">
        <v>113</v>
      </c>
      <c r="AD79" s="1">
        <v>100</v>
      </c>
      <c r="AE79" s="1">
        <v>88.2</v>
      </c>
      <c r="AF79" s="1">
        <v>79.2</v>
      </c>
      <c r="AG79" s="1">
        <v>78.2</v>
      </c>
      <c r="AH79" s="1">
        <v>97.8</v>
      </c>
      <c r="AI79" s="1">
        <v>89.2</v>
      </c>
      <c r="AJ79" s="1"/>
      <c r="AK79" s="1">
        <f t="shared" si="18"/>
        <v>135</v>
      </c>
      <c r="AL79" t="s">
        <v>197</v>
      </c>
    </row>
    <row r="80" spans="1:38" x14ac:dyDescent="0.25">
      <c r="A80" s="1" t="s">
        <v>198</v>
      </c>
      <c r="B80" s="1" t="s">
        <v>49</v>
      </c>
      <c r="C80" s="1">
        <v>125</v>
      </c>
      <c r="D80" s="1">
        <v>224</v>
      </c>
      <c r="E80" s="1">
        <v>118</v>
      </c>
      <c r="F80" s="1">
        <v>201</v>
      </c>
      <c r="G80" s="7">
        <v>0.6</v>
      </c>
      <c r="H80" s="1">
        <v>70</v>
      </c>
      <c r="I80" s="1" t="s">
        <v>42</v>
      </c>
      <c r="J80" s="1"/>
      <c r="K80" s="1">
        <v>124</v>
      </c>
      <c r="L80" s="1">
        <f t="shared" si="14"/>
        <v>-6</v>
      </c>
      <c r="M80" s="1"/>
      <c r="N80" s="1"/>
      <c r="O80" s="1"/>
      <c r="P80" s="1"/>
      <c r="Q80" s="1"/>
      <c r="R80" s="1">
        <v>56.000000000000028</v>
      </c>
      <c r="S80" s="1"/>
      <c r="T80" s="1"/>
      <c r="U80" s="1">
        <f t="shared" si="15"/>
        <v>23.6</v>
      </c>
      <c r="V80" s="5">
        <v>82.200000000000045</v>
      </c>
      <c r="W80" s="5">
        <f>V80</f>
        <v>82.200000000000045</v>
      </c>
      <c r="X80" s="1">
        <f t="shared" si="16"/>
        <v>14.372881355932204</v>
      </c>
      <c r="Y80" s="1">
        <f t="shared" si="17"/>
        <v>10.889830508474576</v>
      </c>
      <c r="Z80" s="1">
        <f>VLOOKUP(A80,[1]Sheet!$A:$U,21,0)</f>
        <v>26.2</v>
      </c>
      <c r="AA80" s="1">
        <v>25.4</v>
      </c>
      <c r="AB80" s="1">
        <v>23.8</v>
      </c>
      <c r="AC80" s="1">
        <v>19.600000000000001</v>
      </c>
      <c r="AD80" s="1">
        <v>22.8</v>
      </c>
      <c r="AE80" s="1">
        <v>16.8</v>
      </c>
      <c r="AF80" s="1">
        <v>15.2</v>
      </c>
      <c r="AG80" s="1">
        <v>20.8</v>
      </c>
      <c r="AH80" s="1">
        <v>25.2</v>
      </c>
      <c r="AI80" s="1">
        <v>23</v>
      </c>
      <c r="AJ80" s="1"/>
      <c r="AK80" s="1">
        <f t="shared" si="18"/>
        <v>49</v>
      </c>
      <c r="AL80" t="s">
        <v>199</v>
      </c>
    </row>
    <row r="81" spans="1:38" x14ac:dyDescent="0.25">
      <c r="A81" s="1" t="s">
        <v>200</v>
      </c>
      <c r="B81" s="1" t="s">
        <v>49</v>
      </c>
      <c r="C81" s="1">
        <v>23</v>
      </c>
      <c r="D81" s="1">
        <v>108</v>
      </c>
      <c r="E81" s="1">
        <v>-1</v>
      </c>
      <c r="F81" s="1">
        <v>115</v>
      </c>
      <c r="G81" s="7">
        <v>0.33</v>
      </c>
      <c r="H81" s="1">
        <v>40</v>
      </c>
      <c r="I81" s="1" t="s">
        <v>42</v>
      </c>
      <c r="J81" s="1"/>
      <c r="K81" s="1">
        <v>44</v>
      </c>
      <c r="L81" s="1">
        <f t="shared" si="14"/>
        <v>-45</v>
      </c>
      <c r="M81" s="1"/>
      <c r="N81" s="1"/>
      <c r="O81" s="1"/>
      <c r="P81" s="1"/>
      <c r="Q81" s="1"/>
      <c r="R81" s="1">
        <v>0</v>
      </c>
      <c r="S81" s="1"/>
      <c r="T81" s="1"/>
      <c r="U81" s="1">
        <f t="shared" si="15"/>
        <v>-0.2</v>
      </c>
      <c r="V81" s="5"/>
      <c r="W81" s="5">
        <f>V81</f>
        <v>0</v>
      </c>
      <c r="X81" s="1">
        <f t="shared" si="16"/>
        <v>-575</v>
      </c>
      <c r="Y81" s="1">
        <f t="shared" si="17"/>
        <v>-575</v>
      </c>
      <c r="Z81" s="1">
        <f>VLOOKUP(A81,[1]Sheet!$A:$U,21,0)</f>
        <v>10</v>
      </c>
      <c r="AA81" s="1">
        <v>13.8</v>
      </c>
      <c r="AB81" s="1">
        <v>6.2</v>
      </c>
      <c r="AC81" s="1">
        <v>5.6</v>
      </c>
      <c r="AD81" s="1">
        <v>8.8000000000000007</v>
      </c>
      <c r="AE81" s="1">
        <v>10.6</v>
      </c>
      <c r="AF81" s="1">
        <v>10.6</v>
      </c>
      <c r="AG81" s="1">
        <v>10.4</v>
      </c>
      <c r="AH81" s="1">
        <v>9</v>
      </c>
      <c r="AI81" s="1">
        <v>8.6</v>
      </c>
      <c r="AJ81" s="14" t="s">
        <v>139</v>
      </c>
      <c r="AK81" s="1">
        <f t="shared" si="18"/>
        <v>0</v>
      </c>
      <c r="AL81" t="s">
        <v>201</v>
      </c>
    </row>
    <row r="82" spans="1:38" x14ac:dyDescent="0.25">
      <c r="A82" s="1" t="s">
        <v>202</v>
      </c>
      <c r="B82" s="1" t="s">
        <v>49</v>
      </c>
      <c r="C82" s="1">
        <v>408</v>
      </c>
      <c r="D82" s="1">
        <v>148</v>
      </c>
      <c r="E82" s="1">
        <v>272</v>
      </c>
      <c r="F82" s="1">
        <v>216</v>
      </c>
      <c r="G82" s="7">
        <v>0.4</v>
      </c>
      <c r="H82" s="1">
        <v>55</v>
      </c>
      <c r="I82" s="1" t="s">
        <v>42</v>
      </c>
      <c r="J82" s="1"/>
      <c r="K82" s="1">
        <v>286</v>
      </c>
      <c r="L82" s="1">
        <f t="shared" si="14"/>
        <v>-14</v>
      </c>
      <c r="M82" s="1"/>
      <c r="N82" s="1"/>
      <c r="O82" s="1">
        <v>135.4273049999999</v>
      </c>
      <c r="P82" s="1"/>
      <c r="Q82" s="1"/>
      <c r="R82" s="1">
        <v>145.1930000000001</v>
      </c>
      <c r="S82" s="1"/>
      <c r="T82" s="1"/>
      <c r="U82" s="1">
        <f t="shared" si="15"/>
        <v>54.4</v>
      </c>
      <c r="V82" s="5">
        <v>301.37269500000002</v>
      </c>
      <c r="W82" s="5">
        <f>V82</f>
        <v>301.37269500000002</v>
      </c>
      <c r="X82" s="1">
        <f t="shared" si="16"/>
        <v>14.668988970588236</v>
      </c>
      <c r="Y82" s="1">
        <f t="shared" si="17"/>
        <v>9.1290497242647071</v>
      </c>
      <c r="Z82" s="1">
        <f>VLOOKUP(A82,[1]Sheet!$A:$U,21,0)</f>
        <v>57.4</v>
      </c>
      <c r="AA82" s="1">
        <v>51.8</v>
      </c>
      <c r="AB82" s="1">
        <v>49.2</v>
      </c>
      <c r="AC82" s="1">
        <v>55.8</v>
      </c>
      <c r="AD82" s="1">
        <v>49.8</v>
      </c>
      <c r="AE82" s="1">
        <v>36.200000000000003</v>
      </c>
      <c r="AF82" s="1">
        <v>42</v>
      </c>
      <c r="AG82" s="1">
        <v>46</v>
      </c>
      <c r="AH82" s="1">
        <v>56.4</v>
      </c>
      <c r="AI82" s="1">
        <v>55.4</v>
      </c>
      <c r="AJ82" s="1"/>
      <c r="AK82" s="1">
        <f t="shared" si="18"/>
        <v>121</v>
      </c>
      <c r="AL82" t="s">
        <v>203</v>
      </c>
    </row>
    <row r="83" spans="1:38" x14ac:dyDescent="0.25">
      <c r="A83" s="1" t="s">
        <v>204</v>
      </c>
      <c r="B83" s="1" t="s">
        <v>49</v>
      </c>
      <c r="C83" s="1">
        <v>99</v>
      </c>
      <c r="D83" s="1"/>
      <c r="E83" s="1">
        <v>87</v>
      </c>
      <c r="F83" s="1">
        <v>12</v>
      </c>
      <c r="G83" s="7">
        <v>0.35</v>
      </c>
      <c r="H83" s="1">
        <v>40</v>
      </c>
      <c r="I83" s="13" t="s">
        <v>59</v>
      </c>
      <c r="J83" s="1"/>
      <c r="K83" s="1">
        <v>165</v>
      </c>
      <c r="L83" s="1">
        <f t="shared" si="14"/>
        <v>-78</v>
      </c>
      <c r="M83" s="1"/>
      <c r="N83" s="1"/>
      <c r="O83" s="1">
        <v>25</v>
      </c>
      <c r="P83" s="1">
        <v>-31.428571428571431</v>
      </c>
      <c r="Q83" s="1"/>
      <c r="R83" s="1">
        <v>100</v>
      </c>
      <c r="S83" s="1">
        <v>-102.85714285714286</v>
      </c>
      <c r="T83" s="1"/>
      <c r="U83" s="1">
        <f t="shared" si="15"/>
        <v>17.399999999999999</v>
      </c>
      <c r="V83" s="5">
        <v>100</v>
      </c>
      <c r="W83" s="5">
        <f>V83*$W$1</f>
        <v>70</v>
      </c>
      <c r="X83" s="1">
        <f t="shared" si="16"/>
        <v>10.090311986863711</v>
      </c>
      <c r="Y83" s="1">
        <f t="shared" si="17"/>
        <v>6.0673234811165848</v>
      </c>
      <c r="Z83" s="1">
        <f>VLOOKUP(A83,[1]Sheet!$A:$U,21,0)</f>
        <v>31.2</v>
      </c>
      <c r="AA83" s="1">
        <v>23</v>
      </c>
      <c r="AB83" s="1">
        <v>3.2</v>
      </c>
      <c r="AC83" s="1">
        <v>15</v>
      </c>
      <c r="AD83" s="1">
        <v>25.4</v>
      </c>
      <c r="AE83" s="1">
        <v>10.199999999999999</v>
      </c>
      <c r="AF83" s="1">
        <v>7.2</v>
      </c>
      <c r="AG83" s="1">
        <v>14.6</v>
      </c>
      <c r="AH83" s="1">
        <v>29</v>
      </c>
      <c r="AI83" s="1">
        <v>24.2</v>
      </c>
      <c r="AJ83" s="1"/>
      <c r="AK83" s="1">
        <f t="shared" si="18"/>
        <v>25</v>
      </c>
      <c r="AL83" t="s">
        <v>205</v>
      </c>
    </row>
    <row r="84" spans="1:38" x14ac:dyDescent="0.25">
      <c r="A84" s="1" t="s">
        <v>206</v>
      </c>
      <c r="B84" s="1" t="s">
        <v>49</v>
      </c>
      <c r="C84" s="1">
        <v>281</v>
      </c>
      <c r="D84" s="1">
        <v>114</v>
      </c>
      <c r="E84" s="1">
        <v>192</v>
      </c>
      <c r="F84" s="1">
        <v>183</v>
      </c>
      <c r="G84" s="7">
        <v>0.35</v>
      </c>
      <c r="H84" s="1">
        <v>45</v>
      </c>
      <c r="I84" s="1" t="s">
        <v>42</v>
      </c>
      <c r="J84" s="1"/>
      <c r="K84" s="1">
        <v>194</v>
      </c>
      <c r="L84" s="1">
        <f t="shared" si="14"/>
        <v>-2</v>
      </c>
      <c r="M84" s="1"/>
      <c r="N84" s="1"/>
      <c r="O84" s="1"/>
      <c r="P84" s="1"/>
      <c r="Q84" s="1"/>
      <c r="R84" s="1">
        <v>128.8000000000001</v>
      </c>
      <c r="S84" s="1"/>
      <c r="T84" s="1"/>
      <c r="U84" s="1">
        <f t="shared" si="15"/>
        <v>38.4</v>
      </c>
      <c r="V84" s="5">
        <v>277.79999999999995</v>
      </c>
      <c r="W84" s="5">
        <f t="shared" ref="W84:W95" si="19">V84</f>
        <v>277.79999999999995</v>
      </c>
      <c r="X84" s="1">
        <f t="shared" si="16"/>
        <v>15.354166666666668</v>
      </c>
      <c r="Y84" s="1">
        <f t="shared" si="17"/>
        <v>8.1197916666666696</v>
      </c>
      <c r="Z84" s="1">
        <f>VLOOKUP(A84,[1]Sheet!$A:$U,21,0)</f>
        <v>35.200000000000003</v>
      </c>
      <c r="AA84" s="1">
        <v>32.200000000000003</v>
      </c>
      <c r="AB84" s="1">
        <v>24.2</v>
      </c>
      <c r="AC84" s="1">
        <v>3.6</v>
      </c>
      <c r="AD84" s="1">
        <v>9.6</v>
      </c>
      <c r="AE84" s="1">
        <v>50.6</v>
      </c>
      <c r="AF84" s="1">
        <v>53.4</v>
      </c>
      <c r="AG84" s="1">
        <v>61.6</v>
      </c>
      <c r="AH84" s="1">
        <v>61.2</v>
      </c>
      <c r="AI84" s="1">
        <v>44</v>
      </c>
      <c r="AJ84" s="1"/>
      <c r="AK84" s="1">
        <f t="shared" si="18"/>
        <v>97</v>
      </c>
      <c r="AL84" t="s">
        <v>207</v>
      </c>
    </row>
    <row r="85" spans="1:38" x14ac:dyDescent="0.25">
      <c r="A85" s="1" t="s">
        <v>208</v>
      </c>
      <c r="B85" s="1" t="s">
        <v>49</v>
      </c>
      <c r="C85" s="1">
        <v>263</v>
      </c>
      <c r="D85" s="1">
        <v>90</v>
      </c>
      <c r="E85" s="1">
        <v>134</v>
      </c>
      <c r="F85" s="1">
        <v>217</v>
      </c>
      <c r="G85" s="7">
        <v>0.4</v>
      </c>
      <c r="H85" s="1">
        <v>55</v>
      </c>
      <c r="I85" s="1" t="s">
        <v>42</v>
      </c>
      <c r="J85" s="1"/>
      <c r="K85" s="1">
        <v>134</v>
      </c>
      <c r="L85" s="1">
        <f t="shared" si="14"/>
        <v>0</v>
      </c>
      <c r="M85" s="1"/>
      <c r="N85" s="1"/>
      <c r="O85" s="1"/>
      <c r="P85" s="1"/>
      <c r="Q85" s="1"/>
      <c r="R85" s="1">
        <v>27</v>
      </c>
      <c r="S85" s="1"/>
      <c r="T85" s="1"/>
      <c r="U85" s="1">
        <f t="shared" si="15"/>
        <v>26.8</v>
      </c>
      <c r="V85" s="5">
        <v>104.60000000000002</v>
      </c>
      <c r="W85" s="5">
        <f t="shared" si="19"/>
        <v>104.60000000000002</v>
      </c>
      <c r="X85" s="1">
        <f t="shared" si="16"/>
        <v>13.007462686567164</v>
      </c>
      <c r="Y85" s="1">
        <f t="shared" si="17"/>
        <v>9.1044776119402986</v>
      </c>
      <c r="Z85" s="1">
        <f>VLOOKUP(A85,[1]Sheet!$A:$U,21,0)</f>
        <v>24</v>
      </c>
      <c r="AA85" s="1">
        <v>16.399999999999999</v>
      </c>
      <c r="AB85" s="1">
        <v>27.2</v>
      </c>
      <c r="AC85" s="1">
        <v>12.6</v>
      </c>
      <c r="AD85" s="1">
        <v>11.8</v>
      </c>
      <c r="AE85" s="1">
        <v>36.200000000000003</v>
      </c>
      <c r="AF85" s="1">
        <v>39.799999999999997</v>
      </c>
      <c r="AG85" s="1">
        <v>15</v>
      </c>
      <c r="AH85" s="1">
        <v>16</v>
      </c>
      <c r="AI85" s="1">
        <v>28</v>
      </c>
      <c r="AJ85" s="1"/>
      <c r="AK85" s="1">
        <f t="shared" si="18"/>
        <v>42</v>
      </c>
      <c r="AL85" t="s">
        <v>209</v>
      </c>
    </row>
    <row r="86" spans="1:38" x14ac:dyDescent="0.25">
      <c r="A86" s="1" t="s">
        <v>210</v>
      </c>
      <c r="B86" s="1" t="s">
        <v>41</v>
      </c>
      <c r="C86" s="1">
        <v>65.486000000000004</v>
      </c>
      <c r="D86" s="1"/>
      <c r="E86" s="1">
        <v>21.72</v>
      </c>
      <c r="F86" s="1">
        <v>42.366</v>
      </c>
      <c r="G86" s="7">
        <v>1</v>
      </c>
      <c r="H86" s="1">
        <v>55</v>
      </c>
      <c r="I86" s="1" t="s">
        <v>42</v>
      </c>
      <c r="J86" s="1"/>
      <c r="K86" s="1">
        <v>19.7</v>
      </c>
      <c r="L86" s="1">
        <f t="shared" si="14"/>
        <v>2.0199999999999996</v>
      </c>
      <c r="M86" s="1"/>
      <c r="N86" s="1"/>
      <c r="O86" s="1"/>
      <c r="P86" s="1"/>
      <c r="Q86" s="1"/>
      <c r="R86" s="1">
        <v>0</v>
      </c>
      <c r="S86" s="1"/>
      <c r="T86" s="1"/>
      <c r="U86" s="1">
        <f t="shared" si="15"/>
        <v>4.3439999999999994</v>
      </c>
      <c r="V86" s="5">
        <v>9.7619999999999933</v>
      </c>
      <c r="W86" s="5">
        <f t="shared" si="19"/>
        <v>9.7619999999999933</v>
      </c>
      <c r="X86" s="1">
        <f t="shared" si="16"/>
        <v>12</v>
      </c>
      <c r="Y86" s="1">
        <f t="shared" si="17"/>
        <v>9.752762430939228</v>
      </c>
      <c r="Z86" s="1">
        <f>VLOOKUP(A86,[1]Sheet!$A:$U,21,0)</f>
        <v>2.5808</v>
      </c>
      <c r="AA86" s="1">
        <v>3.1728000000000001</v>
      </c>
      <c r="AB86" s="1">
        <v>2.5781999999999998</v>
      </c>
      <c r="AC86" s="1">
        <v>1.9770000000000001</v>
      </c>
      <c r="AD86" s="1">
        <v>1.7008000000000001</v>
      </c>
      <c r="AE86" s="1">
        <v>1.6816</v>
      </c>
      <c r="AF86" s="1">
        <v>6.2156000000000002</v>
      </c>
      <c r="AG86" s="1">
        <v>7.9986000000000006</v>
      </c>
      <c r="AH86" s="1">
        <v>3.4681999999999999</v>
      </c>
      <c r="AI86" s="1">
        <v>1.6208</v>
      </c>
      <c r="AJ86" s="1"/>
      <c r="AK86" s="1">
        <f t="shared" si="18"/>
        <v>10</v>
      </c>
      <c r="AL86" t="s">
        <v>211</v>
      </c>
    </row>
    <row r="87" spans="1:38" x14ac:dyDescent="0.25">
      <c r="A87" s="9" t="s">
        <v>212</v>
      </c>
      <c r="B87" s="9" t="s">
        <v>49</v>
      </c>
      <c r="C87" s="9">
        <v>4</v>
      </c>
      <c r="D87" s="9"/>
      <c r="E87" s="9"/>
      <c r="F87" s="9">
        <v>3</v>
      </c>
      <c r="G87" s="10">
        <v>0</v>
      </c>
      <c r="H87" s="9">
        <v>55</v>
      </c>
      <c r="I87" s="9" t="s">
        <v>64</v>
      </c>
      <c r="J87" s="9"/>
      <c r="K87" s="9">
        <v>12</v>
      </c>
      <c r="L87" s="9">
        <f t="shared" si="14"/>
        <v>-12</v>
      </c>
      <c r="M87" s="9"/>
      <c r="N87" s="9"/>
      <c r="O87" s="9"/>
      <c r="P87" s="9"/>
      <c r="Q87" s="9"/>
      <c r="R87" s="9">
        <v>0</v>
      </c>
      <c r="S87" s="9"/>
      <c r="T87" s="9"/>
      <c r="U87" s="9">
        <f t="shared" si="15"/>
        <v>0</v>
      </c>
      <c r="V87" s="11"/>
      <c r="W87" s="5">
        <f t="shared" si="19"/>
        <v>0</v>
      </c>
      <c r="X87" s="1" t="e">
        <f t="shared" si="16"/>
        <v>#DIV/0!</v>
      </c>
      <c r="Y87" s="9" t="e">
        <f t="shared" si="17"/>
        <v>#DIV/0!</v>
      </c>
      <c r="Z87" s="9">
        <f>VLOOKUP(A87,[1]Sheet!$A:$U,21,0)</f>
        <v>0</v>
      </c>
      <c r="AA87" s="9">
        <v>0</v>
      </c>
      <c r="AB87" s="9">
        <v>0</v>
      </c>
      <c r="AC87" s="9">
        <v>0.6</v>
      </c>
      <c r="AD87" s="9">
        <v>0.6</v>
      </c>
      <c r="AE87" s="9">
        <v>2</v>
      </c>
      <c r="AF87" s="9">
        <v>4</v>
      </c>
      <c r="AG87" s="9">
        <v>4</v>
      </c>
      <c r="AH87" s="9">
        <v>6</v>
      </c>
      <c r="AI87" s="9">
        <v>4</v>
      </c>
      <c r="AJ87" s="9"/>
      <c r="AK87" s="1">
        <f t="shared" si="18"/>
        <v>0</v>
      </c>
      <c r="AL87" t="s">
        <v>213</v>
      </c>
    </row>
    <row r="88" spans="1:38" x14ac:dyDescent="0.25">
      <c r="A88" s="1" t="s">
        <v>214</v>
      </c>
      <c r="B88" s="1" t="s">
        <v>41</v>
      </c>
      <c r="C88" s="1">
        <v>283.86599999999999</v>
      </c>
      <c r="D88" s="1">
        <v>299.37599999999998</v>
      </c>
      <c r="E88" s="1">
        <v>256.39400000000001</v>
      </c>
      <c r="F88" s="1">
        <v>271.44299999999998</v>
      </c>
      <c r="G88" s="7">
        <v>1</v>
      </c>
      <c r="H88" s="1">
        <v>55</v>
      </c>
      <c r="I88" s="1" t="s">
        <v>42</v>
      </c>
      <c r="J88" s="1"/>
      <c r="K88" s="1">
        <v>247.8</v>
      </c>
      <c r="L88" s="1">
        <f t="shared" si="14"/>
        <v>8.5939999999999941</v>
      </c>
      <c r="M88" s="1"/>
      <c r="N88" s="1"/>
      <c r="O88" s="1">
        <v>153.57687135000009</v>
      </c>
      <c r="P88" s="1"/>
      <c r="Q88" s="1"/>
      <c r="R88" s="1">
        <v>0</v>
      </c>
      <c r="S88" s="1"/>
      <c r="T88" s="1"/>
      <c r="U88" s="1">
        <f t="shared" si="15"/>
        <v>51.278800000000004</v>
      </c>
      <c r="V88" s="5">
        <v>190.32572865000003</v>
      </c>
      <c r="W88" s="5">
        <f t="shared" si="19"/>
        <v>190.32572865000003</v>
      </c>
      <c r="X88" s="1">
        <f t="shared" si="16"/>
        <v>12.000000000000002</v>
      </c>
      <c r="Y88" s="1">
        <f t="shared" si="17"/>
        <v>8.2884129767077237</v>
      </c>
      <c r="Z88" s="1">
        <f>VLOOKUP(A88,[1]Sheet!$A:$U,21,0)</f>
        <v>46.261600000000001</v>
      </c>
      <c r="AA88" s="1">
        <v>53.542400000000001</v>
      </c>
      <c r="AB88" s="1">
        <v>48.606000000000002</v>
      </c>
      <c r="AC88" s="1">
        <v>44.576599999999999</v>
      </c>
      <c r="AD88" s="1">
        <v>42.3018</v>
      </c>
      <c r="AE88" s="1">
        <v>32.957999999999998</v>
      </c>
      <c r="AF88" s="1">
        <v>40.682000000000002</v>
      </c>
      <c r="AG88" s="1">
        <v>27.418199999999999</v>
      </c>
      <c r="AH88" s="1">
        <v>33.930599999999998</v>
      </c>
      <c r="AI88" s="1">
        <v>31.181999999999999</v>
      </c>
      <c r="AJ88" s="1"/>
      <c r="AK88" s="1">
        <f t="shared" si="18"/>
        <v>190</v>
      </c>
      <c r="AL88" t="s">
        <v>215</v>
      </c>
    </row>
    <row r="89" spans="1:38" x14ac:dyDescent="0.25">
      <c r="A89" s="1" t="s">
        <v>216</v>
      </c>
      <c r="B89" s="1" t="s">
        <v>41</v>
      </c>
      <c r="C89" s="1">
        <v>1153.5740000000001</v>
      </c>
      <c r="D89" s="1">
        <v>891.77</v>
      </c>
      <c r="E89" s="1">
        <v>783.16899999999998</v>
      </c>
      <c r="F89" s="1">
        <v>1099.4349999999999</v>
      </c>
      <c r="G89" s="7">
        <v>1</v>
      </c>
      <c r="H89" s="1">
        <v>60</v>
      </c>
      <c r="I89" s="1" t="s">
        <v>42</v>
      </c>
      <c r="J89" s="1"/>
      <c r="K89" s="1">
        <v>785.48500000000001</v>
      </c>
      <c r="L89" s="1">
        <f t="shared" si="14"/>
        <v>-2.3160000000000309</v>
      </c>
      <c r="M89" s="1"/>
      <c r="N89" s="1"/>
      <c r="O89" s="1">
        <v>480.6700522919997</v>
      </c>
      <c r="P89" s="1"/>
      <c r="Q89" s="1"/>
      <c r="R89" s="1">
        <v>0</v>
      </c>
      <c r="S89" s="1"/>
      <c r="T89" s="1"/>
      <c r="U89" s="1">
        <f t="shared" si="15"/>
        <v>156.63380000000001</v>
      </c>
      <c r="V89" s="5">
        <v>299.50054770800034</v>
      </c>
      <c r="W89" s="5">
        <f t="shared" si="19"/>
        <v>299.50054770800034</v>
      </c>
      <c r="X89" s="1">
        <f t="shared" si="16"/>
        <v>11.999999999999998</v>
      </c>
      <c r="Y89" s="1">
        <f t="shared" si="17"/>
        <v>10.087893240743693</v>
      </c>
      <c r="Z89" s="1">
        <f>VLOOKUP(A89,[1]Sheet!$A:$U,21,0)</f>
        <v>149.66300000000001</v>
      </c>
      <c r="AA89" s="1">
        <v>165.05600000000001</v>
      </c>
      <c r="AB89" s="1">
        <v>161.7576</v>
      </c>
      <c r="AC89" s="1">
        <v>146.61940000000001</v>
      </c>
      <c r="AD89" s="1">
        <v>153.85120000000001</v>
      </c>
      <c r="AE89" s="1">
        <v>151.1354</v>
      </c>
      <c r="AF89" s="1">
        <v>164.34880000000001</v>
      </c>
      <c r="AG89" s="1">
        <v>171.851</v>
      </c>
      <c r="AH89" s="1">
        <v>176.95820000000001</v>
      </c>
      <c r="AI89" s="1">
        <v>182.36699999999999</v>
      </c>
      <c r="AJ89" s="1"/>
      <c r="AK89" s="1">
        <f t="shared" si="18"/>
        <v>300</v>
      </c>
      <c r="AL89" t="s">
        <v>217</v>
      </c>
    </row>
    <row r="90" spans="1:38" x14ac:dyDescent="0.25">
      <c r="A90" s="9" t="s">
        <v>218</v>
      </c>
      <c r="B90" s="9" t="s">
        <v>49</v>
      </c>
      <c r="C90" s="9"/>
      <c r="D90" s="9"/>
      <c r="E90" s="9"/>
      <c r="F90" s="9"/>
      <c r="G90" s="10">
        <v>0</v>
      </c>
      <c r="H90" s="9"/>
      <c r="I90" s="9" t="s">
        <v>42</v>
      </c>
      <c r="J90" s="9"/>
      <c r="K90" s="9"/>
      <c r="L90" s="9">
        <f t="shared" si="14"/>
        <v>0</v>
      </c>
      <c r="M90" s="9"/>
      <c r="N90" s="9"/>
      <c r="O90" s="9"/>
      <c r="P90" s="9"/>
      <c r="Q90" s="9"/>
      <c r="R90" s="9">
        <v>0</v>
      </c>
      <c r="S90" s="9"/>
      <c r="T90" s="9"/>
      <c r="U90" s="9">
        <f t="shared" si="15"/>
        <v>0</v>
      </c>
      <c r="V90" s="11"/>
      <c r="W90" s="5">
        <f t="shared" si="19"/>
        <v>0</v>
      </c>
      <c r="X90" s="1" t="e">
        <f t="shared" si="16"/>
        <v>#DIV/0!</v>
      </c>
      <c r="Y90" s="9" t="e">
        <f t="shared" si="17"/>
        <v>#DIV/0!</v>
      </c>
      <c r="Z90" s="9">
        <f>VLOOKUP(A90,[1]Sheet!$A:$U,21,0)</f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 t="s">
        <v>50</v>
      </c>
      <c r="AK90" s="1">
        <f t="shared" si="18"/>
        <v>0</v>
      </c>
      <c r="AL90" t="s">
        <v>219</v>
      </c>
    </row>
    <row r="91" spans="1:38" x14ac:dyDescent="0.25">
      <c r="A91" s="1" t="s">
        <v>220</v>
      </c>
      <c r="B91" s="1" t="s">
        <v>41</v>
      </c>
      <c r="C91" s="1">
        <v>3882.3110000000001</v>
      </c>
      <c r="D91" s="1">
        <v>2841.4349999999999</v>
      </c>
      <c r="E91" s="1">
        <v>1922.595</v>
      </c>
      <c r="F91" s="1">
        <v>4354.1390000000001</v>
      </c>
      <c r="G91" s="7">
        <v>1</v>
      </c>
      <c r="H91" s="1">
        <v>60</v>
      </c>
      <c r="I91" s="1" t="s">
        <v>42</v>
      </c>
      <c r="J91" s="1"/>
      <c r="K91" s="1">
        <v>1938.116</v>
      </c>
      <c r="L91" s="1">
        <f t="shared" si="14"/>
        <v>-15.520999999999958</v>
      </c>
      <c r="M91" s="1"/>
      <c r="N91" s="1"/>
      <c r="O91" s="1">
        <v>828.73965015900035</v>
      </c>
      <c r="P91" s="1"/>
      <c r="Q91" s="1"/>
      <c r="R91" s="1">
        <v>0</v>
      </c>
      <c r="S91" s="1"/>
      <c r="T91" s="1"/>
      <c r="U91" s="1">
        <f t="shared" si="15"/>
        <v>384.51900000000001</v>
      </c>
      <c r="V91" s="5"/>
      <c r="W91" s="5">
        <f t="shared" si="19"/>
        <v>0</v>
      </c>
      <c r="X91" s="1">
        <f t="shared" si="16"/>
        <v>13.478862293304102</v>
      </c>
      <c r="Y91" s="1">
        <f t="shared" si="17"/>
        <v>13.478862293304102</v>
      </c>
      <c r="Z91" s="1">
        <f>VLOOKUP(A91,[1]Sheet!$A:$U,21,0)</f>
        <v>398.24380000000002</v>
      </c>
      <c r="AA91" s="1">
        <v>447.41399999999999</v>
      </c>
      <c r="AB91" s="1">
        <v>441.04020000000003</v>
      </c>
      <c r="AC91" s="1">
        <v>428.07299999999998</v>
      </c>
      <c r="AD91" s="1">
        <v>430.87459999999999</v>
      </c>
      <c r="AE91" s="1">
        <v>398.44540000000001</v>
      </c>
      <c r="AF91" s="1">
        <v>391.17919999999998</v>
      </c>
      <c r="AG91" s="1">
        <v>446.94080000000002</v>
      </c>
      <c r="AH91" s="1">
        <v>458.49939999999998</v>
      </c>
      <c r="AI91" s="1">
        <v>436.01319999999998</v>
      </c>
      <c r="AJ91" s="1"/>
      <c r="AK91" s="1">
        <f t="shared" si="18"/>
        <v>0</v>
      </c>
      <c r="AL91" t="s">
        <v>221</v>
      </c>
    </row>
    <row r="92" spans="1:38" x14ac:dyDescent="0.25">
      <c r="A92" s="1" t="s">
        <v>222</v>
      </c>
      <c r="B92" s="1" t="s">
        <v>41</v>
      </c>
      <c r="C92" s="1">
        <v>2838.6469999999999</v>
      </c>
      <c r="D92" s="1">
        <v>4061.3629999999998</v>
      </c>
      <c r="E92" s="1">
        <v>1907.3969999999999</v>
      </c>
      <c r="F92" s="1">
        <v>4607.902</v>
      </c>
      <c r="G92" s="7">
        <v>1</v>
      </c>
      <c r="H92" s="1">
        <v>60</v>
      </c>
      <c r="I92" s="1" t="s">
        <v>42</v>
      </c>
      <c r="J92" s="1"/>
      <c r="K92" s="1">
        <v>1932.4</v>
      </c>
      <c r="L92" s="1">
        <f t="shared" si="14"/>
        <v>-25.003000000000156</v>
      </c>
      <c r="M92" s="1"/>
      <c r="N92" s="1"/>
      <c r="O92" s="1">
        <v>683.67984837299991</v>
      </c>
      <c r="P92" s="1"/>
      <c r="Q92" s="1"/>
      <c r="R92" s="1">
        <v>0</v>
      </c>
      <c r="S92" s="1"/>
      <c r="T92" s="1"/>
      <c r="U92" s="1">
        <f t="shared" si="15"/>
        <v>381.4794</v>
      </c>
      <c r="V92" s="5"/>
      <c r="W92" s="5">
        <f t="shared" si="19"/>
        <v>0</v>
      </c>
      <c r="X92" s="1">
        <f t="shared" si="16"/>
        <v>13.871212569729847</v>
      </c>
      <c r="Y92" s="1">
        <f t="shared" si="17"/>
        <v>13.871212569729847</v>
      </c>
      <c r="Z92" s="1">
        <f>VLOOKUP(A92,[1]Sheet!$A:$U,21,0)</f>
        <v>377.36160000000001</v>
      </c>
      <c r="AA92" s="1">
        <v>462.4796</v>
      </c>
      <c r="AB92" s="1">
        <v>465.33640000000003</v>
      </c>
      <c r="AC92" s="1">
        <v>430.09660000000002</v>
      </c>
      <c r="AD92" s="1">
        <v>430.392</v>
      </c>
      <c r="AE92" s="1">
        <v>397.80779999999999</v>
      </c>
      <c r="AF92" s="1">
        <v>401.32119999999998</v>
      </c>
      <c r="AG92" s="1">
        <v>409.54320000000001</v>
      </c>
      <c r="AH92" s="1">
        <v>447.65519999999998</v>
      </c>
      <c r="AI92" s="1">
        <v>530.02260000000001</v>
      </c>
      <c r="AJ92" s="1"/>
      <c r="AK92" s="1">
        <f t="shared" si="18"/>
        <v>0</v>
      </c>
      <c r="AL92" t="s">
        <v>223</v>
      </c>
    </row>
    <row r="93" spans="1:38" x14ac:dyDescent="0.25">
      <c r="A93" s="1" t="s">
        <v>224</v>
      </c>
      <c r="B93" s="1" t="s">
        <v>41</v>
      </c>
      <c r="C93" s="1">
        <v>5355.2430000000004</v>
      </c>
      <c r="D93" s="1">
        <v>3614.65</v>
      </c>
      <c r="E93" s="1">
        <v>2383.9760000000001</v>
      </c>
      <c r="F93" s="1">
        <v>6092.7079999999996</v>
      </c>
      <c r="G93" s="7">
        <v>1</v>
      </c>
      <c r="H93" s="1">
        <v>60</v>
      </c>
      <c r="I93" s="1" t="s">
        <v>42</v>
      </c>
      <c r="J93" s="1"/>
      <c r="K93" s="1">
        <v>2406.4</v>
      </c>
      <c r="L93" s="1">
        <f t="shared" si="14"/>
        <v>-22.423999999999978</v>
      </c>
      <c r="M93" s="1"/>
      <c r="N93" s="1"/>
      <c r="O93" s="1">
        <v>745.93645003200027</v>
      </c>
      <c r="P93" s="1"/>
      <c r="Q93" s="1">
        <v>400</v>
      </c>
      <c r="R93" s="1">
        <v>0</v>
      </c>
      <c r="S93" s="1"/>
      <c r="T93" s="1"/>
      <c r="U93" s="1">
        <f t="shared" si="15"/>
        <v>476.79520000000002</v>
      </c>
      <c r="V93" s="5"/>
      <c r="W93" s="5">
        <f t="shared" si="19"/>
        <v>0</v>
      </c>
      <c r="X93" s="1">
        <f t="shared" si="16"/>
        <v>15.181873580170269</v>
      </c>
      <c r="Y93" s="1">
        <f t="shared" si="17"/>
        <v>15.181873580170269</v>
      </c>
      <c r="Z93" s="1">
        <f>VLOOKUP(A93,[1]Sheet!$A:$U,21,0)</f>
        <v>487.5804</v>
      </c>
      <c r="AA93" s="1">
        <v>602.74900000000002</v>
      </c>
      <c r="AB93" s="1">
        <v>636.64959999999996</v>
      </c>
      <c r="AC93" s="1">
        <v>570.65219999999999</v>
      </c>
      <c r="AD93" s="1">
        <v>530.8288</v>
      </c>
      <c r="AE93" s="1">
        <v>571.27639999999997</v>
      </c>
      <c r="AF93" s="1">
        <v>585.21899999999994</v>
      </c>
      <c r="AG93" s="1">
        <v>581.18280000000004</v>
      </c>
      <c r="AH93" s="1">
        <v>622.20299999999997</v>
      </c>
      <c r="AI93" s="1">
        <v>586.15959999999995</v>
      </c>
      <c r="AJ93" s="1"/>
      <c r="AK93" s="1">
        <f t="shared" si="18"/>
        <v>0</v>
      </c>
      <c r="AL93" t="s">
        <v>225</v>
      </c>
    </row>
    <row r="94" spans="1:38" x14ac:dyDescent="0.25">
      <c r="A94" s="1" t="s">
        <v>226</v>
      </c>
      <c r="B94" s="1" t="s">
        <v>41</v>
      </c>
      <c r="C94" s="1">
        <v>83.938999999999993</v>
      </c>
      <c r="D94" s="1"/>
      <c r="E94" s="1">
        <v>57.152000000000001</v>
      </c>
      <c r="F94" s="1">
        <v>23.443999999999999</v>
      </c>
      <c r="G94" s="7">
        <v>1</v>
      </c>
      <c r="H94" s="1">
        <v>55</v>
      </c>
      <c r="I94" s="1" t="s">
        <v>42</v>
      </c>
      <c r="J94" s="1"/>
      <c r="K94" s="1">
        <v>57</v>
      </c>
      <c r="L94" s="1">
        <f t="shared" si="14"/>
        <v>0.15200000000000102</v>
      </c>
      <c r="M94" s="1"/>
      <c r="N94" s="1"/>
      <c r="O94" s="1"/>
      <c r="P94" s="1"/>
      <c r="Q94" s="1"/>
      <c r="R94" s="1">
        <v>43.897000000000013</v>
      </c>
      <c r="S94" s="1"/>
      <c r="T94" s="1"/>
      <c r="U94" s="1">
        <f t="shared" si="15"/>
        <v>11.430400000000001</v>
      </c>
      <c r="V94" s="5">
        <v>90.86</v>
      </c>
      <c r="W94" s="5">
        <f t="shared" si="19"/>
        <v>90.86</v>
      </c>
      <c r="X94" s="1">
        <f t="shared" si="16"/>
        <v>13.840373040313551</v>
      </c>
      <c r="Y94" s="1">
        <f t="shared" si="17"/>
        <v>5.8913948768197093</v>
      </c>
      <c r="Z94" s="1">
        <f>VLOOKUP(A94,[1]Sheet!$A:$U,21,0)</f>
        <v>8.48</v>
      </c>
      <c r="AA94" s="1">
        <v>2.9582000000000002</v>
      </c>
      <c r="AB94" s="1">
        <v>3.7658</v>
      </c>
      <c r="AC94" s="1">
        <v>7.8483999999999998</v>
      </c>
      <c r="AD94" s="1">
        <v>7.0462000000000007</v>
      </c>
      <c r="AE94" s="1">
        <v>8.6546000000000003</v>
      </c>
      <c r="AF94" s="1">
        <v>8.9195999999999991</v>
      </c>
      <c r="AG94" s="1">
        <v>9.2284000000000006</v>
      </c>
      <c r="AH94" s="1">
        <v>8.9586000000000006</v>
      </c>
      <c r="AI94" s="1">
        <v>7.3046000000000006</v>
      </c>
      <c r="AJ94" s="1"/>
      <c r="AK94" s="1">
        <f t="shared" si="18"/>
        <v>91</v>
      </c>
      <c r="AL94" t="s">
        <v>227</v>
      </c>
    </row>
    <row r="95" spans="1:38" x14ac:dyDescent="0.25">
      <c r="A95" s="9" t="s">
        <v>228</v>
      </c>
      <c r="B95" s="9" t="s">
        <v>41</v>
      </c>
      <c r="C95" s="9">
        <v>4.125</v>
      </c>
      <c r="D95" s="9"/>
      <c r="E95" s="9">
        <v>-0.59199999999999997</v>
      </c>
      <c r="F95" s="9">
        <v>4.125</v>
      </c>
      <c r="G95" s="10">
        <v>0</v>
      </c>
      <c r="H95" s="9">
        <v>55</v>
      </c>
      <c r="I95" s="9" t="s">
        <v>64</v>
      </c>
      <c r="J95" s="9"/>
      <c r="K95" s="9">
        <v>2.6</v>
      </c>
      <c r="L95" s="9">
        <f t="shared" si="14"/>
        <v>-3.1920000000000002</v>
      </c>
      <c r="M95" s="9"/>
      <c r="N95" s="9"/>
      <c r="O95" s="9"/>
      <c r="P95" s="9"/>
      <c r="Q95" s="9"/>
      <c r="R95" s="9">
        <v>0</v>
      </c>
      <c r="S95" s="9"/>
      <c r="T95" s="9"/>
      <c r="U95" s="9">
        <f t="shared" si="15"/>
        <v>-0.11839999999999999</v>
      </c>
      <c r="V95" s="11"/>
      <c r="W95" s="5">
        <f t="shared" si="19"/>
        <v>0</v>
      </c>
      <c r="X95" s="1">
        <f t="shared" si="16"/>
        <v>-34.839527027027032</v>
      </c>
      <c r="Y95" s="9">
        <f t="shared" si="17"/>
        <v>-34.839527027027032</v>
      </c>
      <c r="Z95" s="9">
        <f>VLOOKUP(A95,[1]Sheet!$A:$U,21,0)</f>
        <v>0</v>
      </c>
      <c r="AA95" s="9">
        <v>0</v>
      </c>
      <c r="AB95" s="9">
        <v>0.80399999999999994</v>
      </c>
      <c r="AC95" s="9">
        <v>3.4893999999999998</v>
      </c>
      <c r="AD95" s="9">
        <v>4.0462000000000007</v>
      </c>
      <c r="AE95" s="9">
        <v>4.3285999999999998</v>
      </c>
      <c r="AF95" s="9">
        <v>3.7852000000000001</v>
      </c>
      <c r="AG95" s="9">
        <v>3.2425999999999999</v>
      </c>
      <c r="AH95" s="9">
        <v>3.4236</v>
      </c>
      <c r="AI95" s="9">
        <v>2.371</v>
      </c>
      <c r="AJ95" s="9"/>
      <c r="AK95" s="1">
        <f t="shared" si="18"/>
        <v>0</v>
      </c>
      <c r="AL95" t="s">
        <v>229</v>
      </c>
    </row>
    <row r="96" spans="1:38" x14ac:dyDescent="0.25">
      <c r="A96" s="1" t="s">
        <v>230</v>
      </c>
      <c r="B96" s="1" t="s">
        <v>49</v>
      </c>
      <c r="C96" s="1">
        <v>-7</v>
      </c>
      <c r="D96" s="1"/>
      <c r="E96" s="1">
        <v>-7</v>
      </c>
      <c r="F96" s="1">
        <v>-9</v>
      </c>
      <c r="G96" s="7">
        <v>0.3</v>
      </c>
      <c r="H96" s="1">
        <v>40</v>
      </c>
      <c r="I96" s="13" t="s">
        <v>59</v>
      </c>
      <c r="J96" s="1"/>
      <c r="K96" s="1">
        <v>10</v>
      </c>
      <c r="L96" s="1">
        <f t="shared" si="14"/>
        <v>-17</v>
      </c>
      <c r="M96" s="1"/>
      <c r="N96" s="1"/>
      <c r="O96" s="1">
        <v>50</v>
      </c>
      <c r="P96" s="1">
        <v>-53.333333333333343</v>
      </c>
      <c r="Q96" s="1"/>
      <c r="R96" s="1">
        <v>100</v>
      </c>
      <c r="S96" s="1">
        <v>-103.33333333333334</v>
      </c>
      <c r="T96" s="1"/>
      <c r="U96" s="1">
        <f t="shared" si="15"/>
        <v>-1.4</v>
      </c>
      <c r="V96" s="5">
        <v>100</v>
      </c>
      <c r="W96" s="5">
        <f>V96*$W$1</f>
        <v>70</v>
      </c>
      <c r="X96" s="1">
        <f t="shared" si="16"/>
        <v>-112.61904761904762</v>
      </c>
      <c r="Y96" s="1">
        <f t="shared" si="17"/>
        <v>-62.619047619047613</v>
      </c>
      <c r="Z96" s="1">
        <f>VLOOKUP(A96,[1]Sheet!$A:$U,21,0)</f>
        <v>-1.8</v>
      </c>
      <c r="AA96" s="1">
        <v>-2.4</v>
      </c>
      <c r="AB96" s="1">
        <v>-2.8</v>
      </c>
      <c r="AC96" s="1">
        <v>41</v>
      </c>
      <c r="AD96" s="1">
        <v>73</v>
      </c>
      <c r="AE96" s="1">
        <v>35.200000000000003</v>
      </c>
      <c r="AF96" s="1">
        <v>4.8</v>
      </c>
      <c r="AG96" s="1">
        <v>28.8</v>
      </c>
      <c r="AH96" s="1">
        <v>65.400000000000006</v>
      </c>
      <c r="AI96" s="1">
        <v>70.8</v>
      </c>
      <c r="AJ96" s="1"/>
      <c r="AK96" s="1">
        <f t="shared" si="18"/>
        <v>21</v>
      </c>
      <c r="AL96" t="s">
        <v>231</v>
      </c>
    </row>
    <row r="97" spans="1:38" x14ac:dyDescent="0.25">
      <c r="A97" s="1" t="s">
        <v>232</v>
      </c>
      <c r="B97" s="1" t="s">
        <v>49</v>
      </c>
      <c r="C97" s="1">
        <v>143</v>
      </c>
      <c r="D97" s="1">
        <v>499</v>
      </c>
      <c r="E97" s="1">
        <v>237</v>
      </c>
      <c r="F97" s="1">
        <v>394</v>
      </c>
      <c r="G97" s="7">
        <v>0.3</v>
      </c>
      <c r="H97" s="1">
        <v>40</v>
      </c>
      <c r="I97" s="1" t="s">
        <v>42</v>
      </c>
      <c r="J97" s="1"/>
      <c r="K97" s="1">
        <v>242</v>
      </c>
      <c r="L97" s="1">
        <f t="shared" si="14"/>
        <v>-5</v>
      </c>
      <c r="M97" s="1"/>
      <c r="N97" s="1"/>
      <c r="O97" s="1"/>
      <c r="P97" s="1"/>
      <c r="Q97" s="1"/>
      <c r="R97" s="1">
        <v>107.7500000000001</v>
      </c>
      <c r="S97" s="1"/>
      <c r="T97" s="1"/>
      <c r="U97" s="1">
        <f t="shared" si="15"/>
        <v>47.4</v>
      </c>
      <c r="V97" s="5">
        <v>174.79999999999995</v>
      </c>
      <c r="W97" s="5">
        <f>V97</f>
        <v>174.79999999999995</v>
      </c>
      <c r="X97" s="1">
        <f t="shared" si="16"/>
        <v>14.273206751054854</v>
      </c>
      <c r="Y97" s="1">
        <f t="shared" si="17"/>
        <v>10.585443037974686</v>
      </c>
      <c r="Z97" s="1">
        <f>VLOOKUP(A97,[1]Sheet!$A:$U,21,0)</f>
        <v>49</v>
      </c>
      <c r="AA97" s="1">
        <v>51.8</v>
      </c>
      <c r="AB97" s="1">
        <v>50</v>
      </c>
      <c r="AC97" s="1">
        <v>29.2</v>
      </c>
      <c r="AD97" s="1">
        <v>25</v>
      </c>
      <c r="AE97" s="1">
        <v>42.4</v>
      </c>
      <c r="AF97" s="1">
        <v>77.2</v>
      </c>
      <c r="AG97" s="1">
        <v>35.6</v>
      </c>
      <c r="AH97" s="1">
        <v>32.200000000000003</v>
      </c>
      <c r="AI97" s="1">
        <v>46.4</v>
      </c>
      <c r="AJ97" s="1"/>
      <c r="AK97" s="1">
        <f t="shared" si="18"/>
        <v>52</v>
      </c>
      <c r="AL97" t="s">
        <v>233</v>
      </c>
    </row>
    <row r="98" spans="1:38" x14ac:dyDescent="0.25">
      <c r="A98" s="9" t="s">
        <v>234</v>
      </c>
      <c r="B98" s="9" t="s">
        <v>49</v>
      </c>
      <c r="C98" s="9"/>
      <c r="D98" s="9"/>
      <c r="E98" s="9"/>
      <c r="F98" s="9"/>
      <c r="G98" s="10">
        <v>0</v>
      </c>
      <c r="H98" s="9"/>
      <c r="I98" s="9" t="s">
        <v>42</v>
      </c>
      <c r="J98" s="9"/>
      <c r="K98" s="9"/>
      <c r="L98" s="9">
        <f t="shared" si="14"/>
        <v>0</v>
      </c>
      <c r="M98" s="9"/>
      <c r="N98" s="9"/>
      <c r="O98" s="9"/>
      <c r="P98" s="9"/>
      <c r="Q98" s="9"/>
      <c r="R98" s="9">
        <v>0</v>
      </c>
      <c r="S98" s="9"/>
      <c r="T98" s="9"/>
      <c r="U98" s="9">
        <f t="shared" si="15"/>
        <v>0</v>
      </c>
      <c r="V98" s="11"/>
      <c r="W98" s="5">
        <f>V98</f>
        <v>0</v>
      </c>
      <c r="X98" s="1" t="e">
        <f t="shared" si="16"/>
        <v>#DIV/0!</v>
      </c>
      <c r="Y98" s="9" t="e">
        <f t="shared" si="17"/>
        <v>#DIV/0!</v>
      </c>
      <c r="Z98" s="9">
        <f>VLOOKUP(A98,[1]Sheet!$A:$U,21,0)</f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 t="s">
        <v>50</v>
      </c>
      <c r="AK98" s="1">
        <f t="shared" si="18"/>
        <v>0</v>
      </c>
      <c r="AL98" t="s">
        <v>235</v>
      </c>
    </row>
    <row r="99" spans="1:38" x14ac:dyDescent="0.25">
      <c r="A99" s="1" t="s">
        <v>236</v>
      </c>
      <c r="B99" s="1" t="s">
        <v>49</v>
      </c>
      <c r="C99" s="1">
        <v>1</v>
      </c>
      <c r="D99" s="1">
        <v>216</v>
      </c>
      <c r="E99" s="1">
        <v>52</v>
      </c>
      <c r="F99" s="1">
        <v>133</v>
      </c>
      <c r="G99" s="7">
        <v>7.0000000000000007E-2</v>
      </c>
      <c r="H99" s="1">
        <v>90</v>
      </c>
      <c r="I99" s="13" t="s">
        <v>59</v>
      </c>
      <c r="J99" s="1"/>
      <c r="K99" s="1">
        <v>72</v>
      </c>
      <c r="L99" s="1">
        <f t="shared" si="14"/>
        <v>-20</v>
      </c>
      <c r="M99" s="1"/>
      <c r="N99" s="1"/>
      <c r="O99" s="1">
        <v>50</v>
      </c>
      <c r="P99" s="1">
        <v>-71.428571428571416</v>
      </c>
      <c r="Q99" s="1"/>
      <c r="R99" s="1">
        <v>50</v>
      </c>
      <c r="S99" s="1"/>
      <c r="T99" s="1"/>
      <c r="U99" s="1">
        <f t="shared" si="15"/>
        <v>10.4</v>
      </c>
      <c r="V99" s="5">
        <v>100</v>
      </c>
      <c r="W99" s="5">
        <f>V99*$W$1</f>
        <v>70</v>
      </c>
      <c r="X99" s="1">
        <f t="shared" si="16"/>
        <v>22.266483516483518</v>
      </c>
      <c r="Y99" s="1">
        <f t="shared" si="17"/>
        <v>15.535714285714286</v>
      </c>
      <c r="Z99" s="1">
        <f>VLOOKUP(A99,[1]Sheet!$A:$U,21,0)</f>
        <v>4</v>
      </c>
      <c r="AA99" s="1">
        <v>33.4</v>
      </c>
      <c r="AB99" s="1">
        <v>39.6</v>
      </c>
      <c r="AC99" s="1">
        <v>10.4</v>
      </c>
      <c r="AD99" s="1">
        <v>7.4</v>
      </c>
      <c r="AE99" s="1">
        <v>34.200000000000003</v>
      </c>
      <c r="AF99" s="1">
        <v>44</v>
      </c>
      <c r="AG99" s="1">
        <v>36.6</v>
      </c>
      <c r="AH99" s="1">
        <v>20</v>
      </c>
      <c r="AI99" s="1">
        <v>18.399999999999999</v>
      </c>
      <c r="AJ99" s="1"/>
      <c r="AK99" s="1">
        <f t="shared" si="18"/>
        <v>5</v>
      </c>
      <c r="AL99" t="s">
        <v>237</v>
      </c>
    </row>
    <row r="100" spans="1:38" x14ac:dyDescent="0.25">
      <c r="A100" s="1" t="s">
        <v>238</v>
      </c>
      <c r="B100" s="1" t="s">
        <v>49</v>
      </c>
      <c r="C100" s="1">
        <v>138</v>
      </c>
      <c r="D100" s="1">
        <v>234</v>
      </c>
      <c r="E100" s="1">
        <v>149</v>
      </c>
      <c r="F100" s="1">
        <v>192</v>
      </c>
      <c r="G100" s="7">
        <v>7.0000000000000007E-2</v>
      </c>
      <c r="H100" s="1">
        <v>90</v>
      </c>
      <c r="I100" s="1" t="s">
        <v>42</v>
      </c>
      <c r="J100" s="1"/>
      <c r="K100" s="1">
        <v>152</v>
      </c>
      <c r="L100" s="1">
        <f t="shared" si="14"/>
        <v>-3</v>
      </c>
      <c r="M100" s="1"/>
      <c r="N100" s="1"/>
      <c r="O100" s="1">
        <v>127.6198799999999</v>
      </c>
      <c r="P100" s="1"/>
      <c r="Q100" s="1"/>
      <c r="R100" s="1">
        <v>26.088000000000189</v>
      </c>
      <c r="S100" s="1"/>
      <c r="T100" s="1"/>
      <c r="U100" s="1">
        <f t="shared" si="15"/>
        <v>29.8</v>
      </c>
      <c r="V100" s="5">
        <v>37.980120000000113</v>
      </c>
      <c r="W100" s="5">
        <f>V100</f>
        <v>37.980120000000113</v>
      </c>
      <c r="X100" s="1">
        <f t="shared" si="16"/>
        <v>12.875436241610744</v>
      </c>
      <c r="Y100" s="1">
        <f t="shared" si="17"/>
        <v>11.600935570469801</v>
      </c>
      <c r="Z100" s="1">
        <f>VLOOKUP(A100,[1]Sheet!$A:$U,21,0)</f>
        <v>36.6</v>
      </c>
      <c r="AA100" s="1">
        <v>39.4</v>
      </c>
      <c r="AB100" s="1">
        <v>31.2</v>
      </c>
      <c r="AC100" s="1">
        <v>27.2</v>
      </c>
      <c r="AD100" s="1">
        <v>32.200000000000003</v>
      </c>
      <c r="AE100" s="1">
        <v>35.6</v>
      </c>
      <c r="AF100" s="1">
        <v>33.4</v>
      </c>
      <c r="AG100" s="1">
        <v>25.8</v>
      </c>
      <c r="AH100" s="1">
        <v>27.4</v>
      </c>
      <c r="AI100" s="1">
        <v>26.6</v>
      </c>
      <c r="AJ100" s="1"/>
      <c r="AK100" s="1">
        <f t="shared" si="18"/>
        <v>3</v>
      </c>
      <c r="AL100" t="s">
        <v>239</v>
      </c>
    </row>
    <row r="101" spans="1:38" x14ac:dyDescent="0.25">
      <c r="A101" s="9" t="s">
        <v>240</v>
      </c>
      <c r="B101" s="9" t="s">
        <v>49</v>
      </c>
      <c r="C101" s="9">
        <v>2</v>
      </c>
      <c r="D101" s="9"/>
      <c r="E101" s="9">
        <v>-3</v>
      </c>
      <c r="F101" s="9">
        <v>2</v>
      </c>
      <c r="G101" s="10">
        <v>0</v>
      </c>
      <c r="H101" s="9">
        <v>90</v>
      </c>
      <c r="I101" s="9" t="s">
        <v>64</v>
      </c>
      <c r="J101" s="9"/>
      <c r="K101" s="9">
        <v>33</v>
      </c>
      <c r="L101" s="9">
        <f t="shared" si="14"/>
        <v>-36</v>
      </c>
      <c r="M101" s="9"/>
      <c r="N101" s="9"/>
      <c r="O101" s="9"/>
      <c r="P101" s="9"/>
      <c r="Q101" s="9"/>
      <c r="R101" s="9">
        <v>0</v>
      </c>
      <c r="S101" s="9"/>
      <c r="T101" s="9"/>
      <c r="U101" s="9">
        <f t="shared" si="15"/>
        <v>-0.6</v>
      </c>
      <c r="V101" s="11"/>
      <c r="W101" s="5">
        <f>V101</f>
        <v>0</v>
      </c>
      <c r="X101" s="1">
        <f t="shared" si="16"/>
        <v>-3.3333333333333335</v>
      </c>
      <c r="Y101" s="9">
        <f t="shared" si="17"/>
        <v>-3.3333333333333335</v>
      </c>
      <c r="Z101" s="9">
        <f>VLOOKUP(A101,[1]Sheet!$A:$U,21,0)</f>
        <v>-0.2</v>
      </c>
      <c r="AA101" s="9">
        <v>0</v>
      </c>
      <c r="AB101" s="9">
        <v>-0.4</v>
      </c>
      <c r="AC101" s="9">
        <v>0.4</v>
      </c>
      <c r="AD101" s="9">
        <v>1.6</v>
      </c>
      <c r="AE101" s="9">
        <v>15.4</v>
      </c>
      <c r="AF101" s="9">
        <v>25</v>
      </c>
      <c r="AG101" s="9">
        <v>18.2</v>
      </c>
      <c r="AH101" s="9">
        <v>13.4</v>
      </c>
      <c r="AI101" s="9">
        <v>16.8</v>
      </c>
      <c r="AJ101" s="9"/>
      <c r="AK101" s="1">
        <f t="shared" si="18"/>
        <v>0</v>
      </c>
      <c r="AL101" t="s">
        <v>241</v>
      </c>
    </row>
    <row r="102" spans="1:38" x14ac:dyDescent="0.25">
      <c r="A102" s="1" t="s">
        <v>242</v>
      </c>
      <c r="B102" s="1" t="s">
        <v>49</v>
      </c>
      <c r="C102" s="1">
        <v>157</v>
      </c>
      <c r="D102" s="1">
        <v>18</v>
      </c>
      <c r="E102" s="1">
        <v>167</v>
      </c>
      <c r="F102" s="1">
        <v>4</v>
      </c>
      <c r="G102" s="7">
        <v>0.3</v>
      </c>
      <c r="H102" s="1">
        <v>40</v>
      </c>
      <c r="I102" s="13" t="s">
        <v>59</v>
      </c>
      <c r="J102" s="1"/>
      <c r="K102" s="1">
        <v>184</v>
      </c>
      <c r="L102" s="1">
        <f t="shared" ref="L102:L133" si="20">E102-K102</f>
        <v>-17</v>
      </c>
      <c r="M102" s="1"/>
      <c r="N102" s="1"/>
      <c r="O102" s="1"/>
      <c r="P102" s="1"/>
      <c r="Q102" s="1"/>
      <c r="R102" s="1">
        <v>100</v>
      </c>
      <c r="S102" s="1"/>
      <c r="T102" s="1"/>
      <c r="U102" s="1">
        <f t="shared" ref="U102:U134" si="21">E102/5</f>
        <v>33.4</v>
      </c>
      <c r="V102" s="5">
        <v>150</v>
      </c>
      <c r="W102" s="5">
        <f>V102*$W$1</f>
        <v>105</v>
      </c>
      <c r="X102" s="1">
        <f t="shared" ref="X102:X133" si="22">(F102+O102+P102+Q102+R102+W102)/U102</f>
        <v>6.2574850299401197</v>
      </c>
      <c r="Y102" s="1">
        <f t="shared" ref="Y102:Y134" si="23">(F102+O102+P102+Q102+R102)/U102</f>
        <v>3.1137724550898205</v>
      </c>
      <c r="Z102" s="1">
        <f>VLOOKUP(A102,[1]Sheet!$A:$U,21,0)</f>
        <v>38.200000000000003</v>
      </c>
      <c r="AA102" s="1">
        <v>19</v>
      </c>
      <c r="AB102" s="1">
        <v>18.8</v>
      </c>
      <c r="AC102" s="1">
        <v>21</v>
      </c>
      <c r="AD102" s="1">
        <v>17.2</v>
      </c>
      <c r="AE102" s="1">
        <v>1.8</v>
      </c>
      <c r="AF102" s="1">
        <v>0</v>
      </c>
      <c r="AG102" s="1">
        <v>35.200000000000003</v>
      </c>
      <c r="AH102" s="1">
        <v>41.4</v>
      </c>
      <c r="AI102" s="1">
        <v>45.4</v>
      </c>
      <c r="AJ102" s="1"/>
      <c r="AK102" s="1">
        <f t="shared" ref="AK102:AK134" si="24">ROUND(G102*W102,0)</f>
        <v>32</v>
      </c>
      <c r="AL102" t="s">
        <v>243</v>
      </c>
    </row>
    <row r="103" spans="1:38" x14ac:dyDescent="0.25">
      <c r="A103" s="1" t="s">
        <v>244</v>
      </c>
      <c r="B103" s="1" t="s">
        <v>41</v>
      </c>
      <c r="C103" s="1">
        <v>79.174000000000007</v>
      </c>
      <c r="D103" s="1">
        <v>185.61500000000001</v>
      </c>
      <c r="E103" s="1">
        <v>118.684</v>
      </c>
      <c r="F103" s="1">
        <v>117.45</v>
      </c>
      <c r="G103" s="7">
        <v>1</v>
      </c>
      <c r="H103" s="1">
        <v>55</v>
      </c>
      <c r="I103" s="13" t="s">
        <v>59</v>
      </c>
      <c r="J103" s="1"/>
      <c r="K103" s="1">
        <v>118.6</v>
      </c>
      <c r="L103" s="1">
        <f t="shared" si="20"/>
        <v>8.4000000000003183E-2</v>
      </c>
      <c r="M103" s="1"/>
      <c r="N103" s="1"/>
      <c r="O103" s="1">
        <v>40</v>
      </c>
      <c r="P103" s="1">
        <v>-42</v>
      </c>
      <c r="Q103" s="1"/>
      <c r="R103" s="1">
        <v>83.268999999999963</v>
      </c>
      <c r="S103" s="1">
        <v>-54</v>
      </c>
      <c r="T103" s="1"/>
      <c r="U103" s="1">
        <f t="shared" si="21"/>
        <v>23.736799999999999</v>
      </c>
      <c r="V103" s="5">
        <v>100</v>
      </c>
      <c r="W103" s="5">
        <f>V103*$W$1</f>
        <v>70</v>
      </c>
      <c r="X103" s="1">
        <f t="shared" si="22"/>
        <v>11.320776178760404</v>
      </c>
      <c r="Y103" s="1">
        <f t="shared" si="23"/>
        <v>8.371768730410162</v>
      </c>
      <c r="Z103" s="1">
        <f>VLOOKUP(A103,[1]Sheet!$A:$U,21,0)</f>
        <v>21.738999999999997</v>
      </c>
      <c r="AA103" s="1">
        <v>21.257400000000001</v>
      </c>
      <c r="AB103" s="1">
        <v>25.684999999999999</v>
      </c>
      <c r="AC103" s="1">
        <v>22.070399999999999</v>
      </c>
      <c r="AD103" s="1">
        <v>19.931000000000001</v>
      </c>
      <c r="AE103" s="1">
        <v>16.528400000000001</v>
      </c>
      <c r="AF103" s="1">
        <v>14.6228</v>
      </c>
      <c r="AG103" s="1">
        <v>16.844999999999999</v>
      </c>
      <c r="AH103" s="1">
        <v>18.491800000000001</v>
      </c>
      <c r="AI103" s="1">
        <v>20.605</v>
      </c>
      <c r="AJ103" s="1"/>
      <c r="AK103" s="1">
        <f t="shared" si="24"/>
        <v>70</v>
      </c>
      <c r="AL103" t="s">
        <v>245</v>
      </c>
    </row>
    <row r="104" spans="1:38" x14ac:dyDescent="0.25">
      <c r="A104" s="9" t="s">
        <v>246</v>
      </c>
      <c r="B104" s="9" t="s">
        <v>49</v>
      </c>
      <c r="C104" s="9"/>
      <c r="D104" s="9"/>
      <c r="E104" s="9"/>
      <c r="F104" s="9"/>
      <c r="G104" s="10">
        <v>0</v>
      </c>
      <c r="H104" s="9"/>
      <c r="I104" s="9" t="s">
        <v>42</v>
      </c>
      <c r="J104" s="9"/>
      <c r="K104" s="9"/>
      <c r="L104" s="9">
        <f t="shared" si="20"/>
        <v>0</v>
      </c>
      <c r="M104" s="9"/>
      <c r="N104" s="9"/>
      <c r="O104" s="9"/>
      <c r="P104" s="9"/>
      <c r="Q104" s="9"/>
      <c r="R104" s="9">
        <v>0</v>
      </c>
      <c r="S104" s="9"/>
      <c r="T104" s="9"/>
      <c r="U104" s="9">
        <f t="shared" si="21"/>
        <v>0</v>
      </c>
      <c r="V104" s="11"/>
      <c r="W104" s="5">
        <f>V104</f>
        <v>0</v>
      </c>
      <c r="X104" s="1" t="e">
        <f t="shared" si="22"/>
        <v>#DIV/0!</v>
      </c>
      <c r="Y104" s="9" t="e">
        <f t="shared" si="23"/>
        <v>#DIV/0!</v>
      </c>
      <c r="Z104" s="9">
        <f>VLOOKUP(A104,[1]Sheet!$A:$U,21,0)</f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 t="s">
        <v>50</v>
      </c>
      <c r="AK104" s="1">
        <f t="shared" si="24"/>
        <v>0</v>
      </c>
      <c r="AL104" t="s">
        <v>247</v>
      </c>
    </row>
    <row r="105" spans="1:38" x14ac:dyDescent="0.25">
      <c r="A105" s="1" t="s">
        <v>248</v>
      </c>
      <c r="B105" s="1" t="s">
        <v>49</v>
      </c>
      <c r="C105" s="1">
        <v>13</v>
      </c>
      <c r="D105" s="1">
        <v>3</v>
      </c>
      <c r="E105" s="1">
        <v>-1</v>
      </c>
      <c r="F105" s="1"/>
      <c r="G105" s="7">
        <v>0.1</v>
      </c>
      <c r="H105" s="1">
        <v>30</v>
      </c>
      <c r="I105" s="1" t="s">
        <v>42</v>
      </c>
      <c r="J105" s="1"/>
      <c r="K105" s="1">
        <v>1</v>
      </c>
      <c r="L105" s="1">
        <f t="shared" si="20"/>
        <v>-2</v>
      </c>
      <c r="M105" s="1"/>
      <c r="N105" s="1"/>
      <c r="O105" s="1"/>
      <c r="P105" s="1"/>
      <c r="Q105" s="1"/>
      <c r="R105" s="1">
        <v>20</v>
      </c>
      <c r="S105" s="1">
        <v>-20</v>
      </c>
      <c r="T105" s="1"/>
      <c r="U105" s="1">
        <f t="shared" si="21"/>
        <v>-0.2</v>
      </c>
      <c r="V105" s="5"/>
      <c r="W105" s="5">
        <f>V105</f>
        <v>0</v>
      </c>
      <c r="X105" s="1">
        <f t="shared" si="22"/>
        <v>-100</v>
      </c>
      <c r="Y105" s="1">
        <f t="shared" si="23"/>
        <v>-100</v>
      </c>
      <c r="Z105" s="1">
        <f>VLOOKUP(A105,[1]Sheet!$A:$U,21,0)</f>
        <v>2.4</v>
      </c>
      <c r="AA105" s="1">
        <v>3.6</v>
      </c>
      <c r="AB105" s="1">
        <v>1.8</v>
      </c>
      <c r="AC105" s="1">
        <v>1.4</v>
      </c>
      <c r="AD105" s="1">
        <v>-0.4</v>
      </c>
      <c r="AE105" s="1">
        <v>3</v>
      </c>
      <c r="AF105" s="1">
        <v>2.8</v>
      </c>
      <c r="AG105" s="1">
        <v>0.2</v>
      </c>
      <c r="AH105" s="1">
        <v>1.6</v>
      </c>
      <c r="AI105" s="1">
        <v>1.8</v>
      </c>
      <c r="AJ105" s="1" t="s">
        <v>249</v>
      </c>
      <c r="AK105" s="1">
        <f t="shared" si="24"/>
        <v>0</v>
      </c>
      <c r="AL105" t="s">
        <v>250</v>
      </c>
    </row>
    <row r="106" spans="1:38" x14ac:dyDescent="0.25">
      <c r="A106" s="1" t="s">
        <v>251</v>
      </c>
      <c r="B106" s="1" t="s">
        <v>49</v>
      </c>
      <c r="C106" s="1">
        <v>285</v>
      </c>
      <c r="D106" s="1">
        <v>422</v>
      </c>
      <c r="E106" s="1">
        <v>310</v>
      </c>
      <c r="F106" s="1">
        <v>346</v>
      </c>
      <c r="G106" s="7">
        <v>0.08</v>
      </c>
      <c r="H106" s="1">
        <v>45</v>
      </c>
      <c r="I106" s="1" t="s">
        <v>42</v>
      </c>
      <c r="J106" s="1"/>
      <c r="K106" s="1">
        <v>321</v>
      </c>
      <c r="L106" s="1">
        <f t="shared" si="20"/>
        <v>-11</v>
      </c>
      <c r="M106" s="1"/>
      <c r="N106" s="1"/>
      <c r="O106" s="1"/>
      <c r="P106" s="1"/>
      <c r="Q106" s="1"/>
      <c r="R106" s="1">
        <v>151.12440000000029</v>
      </c>
      <c r="S106" s="1"/>
      <c r="T106" s="1"/>
      <c r="U106" s="1">
        <f t="shared" si="21"/>
        <v>62</v>
      </c>
      <c r="V106" s="5">
        <v>398</v>
      </c>
      <c r="W106" s="5">
        <f>V106</f>
        <v>398</v>
      </c>
      <c r="X106" s="1">
        <f t="shared" si="22"/>
        <v>14.437490322580649</v>
      </c>
      <c r="Y106" s="1">
        <f t="shared" si="23"/>
        <v>8.0181354838709726</v>
      </c>
      <c r="Z106" s="1">
        <f>VLOOKUP(A106,[1]Sheet!$A:$U,21,0)</f>
        <v>57.4</v>
      </c>
      <c r="AA106" s="1">
        <v>55.6</v>
      </c>
      <c r="AB106" s="1">
        <v>57.2</v>
      </c>
      <c r="AC106" s="1">
        <v>45.8</v>
      </c>
      <c r="AD106" s="1">
        <v>48.4</v>
      </c>
      <c r="AE106" s="1">
        <v>52.4</v>
      </c>
      <c r="AF106" s="1">
        <v>43.2</v>
      </c>
      <c r="AG106" s="1">
        <v>38.799999999999997</v>
      </c>
      <c r="AH106" s="1">
        <v>42.2</v>
      </c>
      <c r="AI106" s="1">
        <v>43.2</v>
      </c>
      <c r="AJ106" s="1"/>
      <c r="AK106" s="1">
        <f t="shared" si="24"/>
        <v>32</v>
      </c>
      <c r="AL106" t="s">
        <v>252</v>
      </c>
    </row>
    <row r="107" spans="1:38" x14ac:dyDescent="0.25">
      <c r="A107" s="1" t="s">
        <v>253</v>
      </c>
      <c r="B107" s="1" t="s">
        <v>49</v>
      </c>
      <c r="C107" s="1">
        <v>173</v>
      </c>
      <c r="D107" s="1">
        <v>442</v>
      </c>
      <c r="E107" s="1">
        <v>278</v>
      </c>
      <c r="F107" s="1">
        <v>277</v>
      </c>
      <c r="G107" s="7">
        <v>0.08</v>
      </c>
      <c r="H107" s="1">
        <v>45</v>
      </c>
      <c r="I107" s="1" t="s">
        <v>42</v>
      </c>
      <c r="J107" s="1"/>
      <c r="K107" s="1">
        <v>287</v>
      </c>
      <c r="L107" s="1">
        <f t="shared" si="20"/>
        <v>-9</v>
      </c>
      <c r="M107" s="1"/>
      <c r="N107" s="1"/>
      <c r="O107" s="1"/>
      <c r="P107" s="1"/>
      <c r="Q107" s="1"/>
      <c r="R107" s="1">
        <v>199.215</v>
      </c>
      <c r="S107" s="1">
        <v>-200</v>
      </c>
      <c r="T107" s="1"/>
      <c r="U107" s="1">
        <f t="shared" si="21"/>
        <v>55.6</v>
      </c>
      <c r="V107" s="5">
        <v>390.20000000000005</v>
      </c>
      <c r="W107" s="5">
        <f>V107</f>
        <v>390.20000000000005</v>
      </c>
      <c r="X107" s="1">
        <f t="shared" si="22"/>
        <v>15.583003597122303</v>
      </c>
      <c r="Y107" s="1">
        <f t="shared" si="23"/>
        <v>8.5650179856115116</v>
      </c>
      <c r="Z107" s="1">
        <f>VLOOKUP(A107,[1]Sheet!$A:$U,21,0)</f>
        <v>54.2</v>
      </c>
      <c r="AA107" s="1">
        <v>46</v>
      </c>
      <c r="AB107" s="1">
        <v>45</v>
      </c>
      <c r="AC107" s="1">
        <v>32</v>
      </c>
      <c r="AD107" s="1">
        <v>31.4</v>
      </c>
      <c r="AE107" s="1">
        <v>45</v>
      </c>
      <c r="AF107" s="1">
        <v>48.6</v>
      </c>
      <c r="AG107" s="1">
        <v>29</v>
      </c>
      <c r="AH107" s="1">
        <v>23</v>
      </c>
      <c r="AI107" s="1">
        <v>33.200000000000003</v>
      </c>
      <c r="AJ107" s="1"/>
      <c r="AK107" s="1">
        <f t="shared" si="24"/>
        <v>31</v>
      </c>
      <c r="AL107" t="s">
        <v>254</v>
      </c>
    </row>
    <row r="108" spans="1:38" x14ac:dyDescent="0.25">
      <c r="A108" s="1" t="s">
        <v>255</v>
      </c>
      <c r="B108" s="1" t="s">
        <v>49</v>
      </c>
      <c r="C108" s="1">
        <v>15</v>
      </c>
      <c r="D108" s="1">
        <v>10</v>
      </c>
      <c r="E108" s="1"/>
      <c r="F108" s="1">
        <v>16</v>
      </c>
      <c r="G108" s="7">
        <v>0.17</v>
      </c>
      <c r="H108" s="1">
        <v>30</v>
      </c>
      <c r="I108" s="1" t="s">
        <v>42</v>
      </c>
      <c r="J108" s="1"/>
      <c r="K108" s="1"/>
      <c r="L108" s="1">
        <f t="shared" si="20"/>
        <v>0</v>
      </c>
      <c r="M108" s="1"/>
      <c r="N108" s="1"/>
      <c r="O108" s="1"/>
      <c r="P108" s="1"/>
      <c r="Q108" s="1"/>
      <c r="R108" s="1">
        <v>4.1999999999999957</v>
      </c>
      <c r="S108" s="1"/>
      <c r="T108" s="1"/>
      <c r="U108" s="1">
        <f t="shared" si="21"/>
        <v>0</v>
      </c>
      <c r="V108" s="5"/>
      <c r="W108" s="5">
        <f>V108</f>
        <v>0</v>
      </c>
      <c r="X108" s="1" t="e">
        <f t="shared" si="22"/>
        <v>#DIV/0!</v>
      </c>
      <c r="Y108" s="1" t="e">
        <f t="shared" si="23"/>
        <v>#DIV/0!</v>
      </c>
      <c r="Z108" s="1">
        <f>VLOOKUP(A108,[1]Sheet!$A:$U,21,0)</f>
        <v>1.4</v>
      </c>
      <c r="AA108" s="1">
        <v>1.6</v>
      </c>
      <c r="AB108" s="1">
        <v>0.2</v>
      </c>
      <c r="AC108" s="1">
        <v>0</v>
      </c>
      <c r="AD108" s="1">
        <v>-0.2</v>
      </c>
      <c r="AE108" s="1">
        <v>2</v>
      </c>
      <c r="AF108" s="1">
        <v>4.2</v>
      </c>
      <c r="AG108" s="1">
        <v>1.6</v>
      </c>
      <c r="AH108" s="1">
        <v>0.4</v>
      </c>
      <c r="AI108" s="1">
        <v>0.4</v>
      </c>
      <c r="AJ108" s="15" t="s">
        <v>256</v>
      </c>
      <c r="AK108" s="1">
        <f t="shared" si="24"/>
        <v>0</v>
      </c>
      <c r="AL108" t="s">
        <v>257</v>
      </c>
    </row>
    <row r="109" spans="1:38" x14ac:dyDescent="0.25">
      <c r="A109" s="1" t="s">
        <v>258</v>
      </c>
      <c r="B109" s="1" t="s">
        <v>41</v>
      </c>
      <c r="C109" s="1">
        <v>227.351</v>
      </c>
      <c r="D109" s="1">
        <v>0.71599999999999997</v>
      </c>
      <c r="E109" s="1">
        <v>215.27099999999999</v>
      </c>
      <c r="F109" s="1">
        <v>3.7490000000000001</v>
      </c>
      <c r="G109" s="7">
        <v>1</v>
      </c>
      <c r="H109" s="1">
        <v>40</v>
      </c>
      <c r="I109" s="13" t="s">
        <v>59</v>
      </c>
      <c r="J109" s="1"/>
      <c r="K109" s="1">
        <v>431.82499999999999</v>
      </c>
      <c r="L109" s="1">
        <f t="shared" si="20"/>
        <v>-216.554</v>
      </c>
      <c r="M109" s="1"/>
      <c r="N109" s="1"/>
      <c r="O109" s="1">
        <v>100</v>
      </c>
      <c r="P109" s="1"/>
      <c r="Q109" s="1"/>
      <c r="R109" s="1">
        <v>250</v>
      </c>
      <c r="S109" s="1">
        <v>-252</v>
      </c>
      <c r="T109" s="1"/>
      <c r="U109" s="1">
        <f t="shared" si="21"/>
        <v>43.054199999999994</v>
      </c>
      <c r="V109" s="5">
        <v>300</v>
      </c>
      <c r="W109" s="5">
        <f>V109*$W$1</f>
        <v>210</v>
      </c>
      <c r="X109" s="1">
        <f t="shared" si="22"/>
        <v>13.093937409126173</v>
      </c>
      <c r="Y109" s="1">
        <f t="shared" si="23"/>
        <v>8.2163644894110224</v>
      </c>
      <c r="Z109" s="1">
        <f>VLOOKUP(A109,[1]Sheet!$A:$U,21,0)</f>
        <v>80.952399999999997</v>
      </c>
      <c r="AA109" s="1">
        <v>96.791799999999995</v>
      </c>
      <c r="AB109" s="1">
        <v>97.415999999999997</v>
      </c>
      <c r="AC109" s="1">
        <v>88.752200000000002</v>
      </c>
      <c r="AD109" s="1">
        <v>85.401199999999989</v>
      </c>
      <c r="AE109" s="1">
        <v>87.400199999999998</v>
      </c>
      <c r="AF109" s="1">
        <v>80.573400000000007</v>
      </c>
      <c r="AG109" s="1">
        <v>83.3596</v>
      </c>
      <c r="AH109" s="1">
        <v>84.740200000000002</v>
      </c>
      <c r="AI109" s="1">
        <v>85.5518</v>
      </c>
      <c r="AJ109" s="1"/>
      <c r="AK109" s="1">
        <f t="shared" si="24"/>
        <v>210</v>
      </c>
      <c r="AL109" t="s">
        <v>259</v>
      </c>
    </row>
    <row r="110" spans="1:38" x14ac:dyDescent="0.25">
      <c r="A110" s="1" t="s">
        <v>260</v>
      </c>
      <c r="B110" s="1" t="s">
        <v>41</v>
      </c>
      <c r="C110" s="1">
        <v>-7.9160000000000004</v>
      </c>
      <c r="D110" s="1">
        <v>409.91399999999999</v>
      </c>
      <c r="E110" s="1">
        <v>147.012</v>
      </c>
      <c r="F110" s="1">
        <v>94.271000000000001</v>
      </c>
      <c r="G110" s="7">
        <v>1</v>
      </c>
      <c r="H110" s="1">
        <v>40</v>
      </c>
      <c r="I110" s="13" t="s">
        <v>59</v>
      </c>
      <c r="J110" s="1"/>
      <c r="K110" s="1">
        <v>189.7</v>
      </c>
      <c r="L110" s="1">
        <f t="shared" si="20"/>
        <v>-42.687999999999988</v>
      </c>
      <c r="M110" s="1"/>
      <c r="N110" s="1"/>
      <c r="O110" s="1">
        <v>100</v>
      </c>
      <c r="P110" s="1">
        <v>-102</v>
      </c>
      <c r="Q110" s="1"/>
      <c r="R110" s="1">
        <v>150</v>
      </c>
      <c r="S110" s="1"/>
      <c r="T110" s="1"/>
      <c r="U110" s="1">
        <f t="shared" si="21"/>
        <v>29.4024</v>
      </c>
      <c r="V110" s="5">
        <v>200</v>
      </c>
      <c r="W110" s="5">
        <f>V110*$W$1</f>
        <v>140</v>
      </c>
      <c r="X110" s="1">
        <f t="shared" si="22"/>
        <v>13.00135363099611</v>
      </c>
      <c r="Y110" s="1">
        <f t="shared" si="23"/>
        <v>8.2398375642804673</v>
      </c>
      <c r="Z110" s="1">
        <f>VLOOKUP(A110,[1]Sheet!$A:$U,21,0)</f>
        <v>27.0656</v>
      </c>
      <c r="AA110" s="1">
        <v>78.425399999999996</v>
      </c>
      <c r="AB110" s="1">
        <v>77.138599999999997</v>
      </c>
      <c r="AC110" s="1">
        <v>61.042400000000001</v>
      </c>
      <c r="AD110" s="1">
        <v>57.488399999999999</v>
      </c>
      <c r="AE110" s="1">
        <v>60.191400000000002</v>
      </c>
      <c r="AF110" s="1">
        <v>58.831200000000003</v>
      </c>
      <c r="AG110" s="1">
        <v>66.663600000000002</v>
      </c>
      <c r="AH110" s="1">
        <v>64.051199999999994</v>
      </c>
      <c r="AI110" s="1">
        <v>58.3504</v>
      </c>
      <c r="AJ110" s="1"/>
      <c r="AK110" s="1">
        <f t="shared" si="24"/>
        <v>140</v>
      </c>
      <c r="AL110" t="s">
        <v>261</v>
      </c>
    </row>
    <row r="111" spans="1:38" x14ac:dyDescent="0.25">
      <c r="A111" s="1" t="s">
        <v>153</v>
      </c>
      <c r="B111" s="1" t="s">
        <v>41</v>
      </c>
      <c r="C111" s="1">
        <v>31.437000000000001</v>
      </c>
      <c r="D111" s="1"/>
      <c r="E111" s="1">
        <v>45.176000000000002</v>
      </c>
      <c r="F111" s="1">
        <v>-25</v>
      </c>
      <c r="G111" s="7">
        <v>1</v>
      </c>
      <c r="H111" s="1">
        <v>40</v>
      </c>
      <c r="I111" s="13" t="s">
        <v>59</v>
      </c>
      <c r="J111" s="1"/>
      <c r="K111" s="1">
        <v>150.5</v>
      </c>
      <c r="L111" s="1">
        <f t="shared" si="20"/>
        <v>-105.324</v>
      </c>
      <c r="M111" s="1"/>
      <c r="N111" s="1"/>
      <c r="O111" s="1">
        <v>150</v>
      </c>
      <c r="P111" s="1">
        <v>-151</v>
      </c>
      <c r="Q111" s="1"/>
      <c r="R111" s="1">
        <v>200</v>
      </c>
      <c r="S111" s="1">
        <v>-203</v>
      </c>
      <c r="T111" s="1"/>
      <c r="U111" s="1">
        <f t="shared" si="21"/>
        <v>9.0351999999999997</v>
      </c>
      <c r="V111" s="5">
        <v>200</v>
      </c>
      <c r="W111" s="5">
        <f>V111*$W$1</f>
        <v>140</v>
      </c>
      <c r="X111" s="1">
        <f t="shared" si="22"/>
        <v>34.752966176731007</v>
      </c>
      <c r="Y111" s="1">
        <f t="shared" si="23"/>
        <v>19.258013104303171</v>
      </c>
      <c r="Z111" s="1">
        <f>VLOOKUP(A111,[1]Sheet!$A:$U,21,0)</f>
        <v>38.4574</v>
      </c>
      <c r="AA111" s="1">
        <v>90.9636</v>
      </c>
      <c r="AB111" s="1">
        <v>99.641199999999998</v>
      </c>
      <c r="AC111" s="1">
        <v>90.812600000000003</v>
      </c>
      <c r="AD111" s="1">
        <v>87.560400000000001</v>
      </c>
      <c r="AE111" s="1">
        <v>101.8978</v>
      </c>
      <c r="AF111" s="1">
        <v>89.504600000000011</v>
      </c>
      <c r="AG111" s="1">
        <v>76.044000000000011</v>
      </c>
      <c r="AH111" s="1">
        <v>82.587199999999996</v>
      </c>
      <c r="AI111" s="1">
        <v>93.196200000000005</v>
      </c>
      <c r="AJ111" s="1"/>
      <c r="AK111" s="1">
        <f t="shared" si="24"/>
        <v>140</v>
      </c>
      <c r="AL111" t="s">
        <v>262</v>
      </c>
    </row>
    <row r="112" spans="1:38" x14ac:dyDescent="0.25">
      <c r="A112" s="9" t="s">
        <v>263</v>
      </c>
      <c r="B112" s="9" t="s">
        <v>49</v>
      </c>
      <c r="C112" s="9"/>
      <c r="D112" s="9"/>
      <c r="E112" s="9"/>
      <c r="F112" s="9"/>
      <c r="G112" s="10">
        <v>0</v>
      </c>
      <c r="H112" s="9"/>
      <c r="I112" s="9" t="s">
        <v>42</v>
      </c>
      <c r="J112" s="9"/>
      <c r="K112" s="9"/>
      <c r="L112" s="9">
        <f t="shared" si="20"/>
        <v>0</v>
      </c>
      <c r="M112" s="9"/>
      <c r="N112" s="9"/>
      <c r="O112" s="9"/>
      <c r="P112" s="9"/>
      <c r="Q112" s="9"/>
      <c r="R112" s="9">
        <v>0</v>
      </c>
      <c r="S112" s="9"/>
      <c r="T112" s="9"/>
      <c r="U112" s="9">
        <f t="shared" si="21"/>
        <v>0</v>
      </c>
      <c r="V112" s="11"/>
      <c r="W112" s="5">
        <f>V112</f>
        <v>0</v>
      </c>
      <c r="X112" s="1" t="e">
        <f t="shared" si="22"/>
        <v>#DIV/0!</v>
      </c>
      <c r="Y112" s="9" t="e">
        <f t="shared" si="23"/>
        <v>#DIV/0!</v>
      </c>
      <c r="Z112" s="9">
        <f>VLOOKUP(A112,[1]Sheet!$A:$U,21,0)</f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 t="s">
        <v>50</v>
      </c>
      <c r="AK112" s="1">
        <f t="shared" si="24"/>
        <v>0</v>
      </c>
      <c r="AL112" t="s">
        <v>264</v>
      </c>
    </row>
    <row r="113" spans="1:38" x14ac:dyDescent="0.25">
      <c r="A113" s="1" t="s">
        <v>265</v>
      </c>
      <c r="B113" s="1" t="s">
        <v>41</v>
      </c>
      <c r="C113" s="1">
        <v>14.536</v>
      </c>
      <c r="D113" s="1"/>
      <c r="E113" s="1">
        <v>14.999000000000001</v>
      </c>
      <c r="F113" s="1">
        <v>-1.7130000000000001</v>
      </c>
      <c r="G113" s="7">
        <v>1</v>
      </c>
      <c r="H113" s="1">
        <v>55</v>
      </c>
      <c r="I113" s="1" t="s">
        <v>42</v>
      </c>
      <c r="J113" s="1"/>
      <c r="K113" s="1">
        <v>13.3</v>
      </c>
      <c r="L113" s="1">
        <f t="shared" si="20"/>
        <v>1.6989999999999998</v>
      </c>
      <c r="M113" s="1"/>
      <c r="N113" s="1"/>
      <c r="O113" s="1"/>
      <c r="P113" s="1"/>
      <c r="Q113" s="1"/>
      <c r="R113" s="1">
        <v>0</v>
      </c>
      <c r="S113" s="1"/>
      <c r="T113" s="1"/>
      <c r="U113" s="1">
        <f t="shared" si="21"/>
        <v>2.9998</v>
      </c>
      <c r="V113" s="5">
        <v>22.711600000000001</v>
      </c>
      <c r="W113" s="5">
        <f>V113</f>
        <v>22.711600000000001</v>
      </c>
      <c r="X113" s="1">
        <f t="shared" si="22"/>
        <v>7</v>
      </c>
      <c r="Y113" s="1">
        <f t="shared" si="23"/>
        <v>-0.57103806920461364</v>
      </c>
      <c r="Z113" s="1">
        <f>VLOOKUP(A113,[1]Sheet!$A:$U,21,0)</f>
        <v>0.56600000000000006</v>
      </c>
      <c r="AA113" s="1">
        <v>0</v>
      </c>
      <c r="AB113" s="1">
        <v>0.26879999999999998</v>
      </c>
      <c r="AC113" s="1">
        <v>0.54180000000000006</v>
      </c>
      <c r="AD113" s="1">
        <v>0.54720000000000002</v>
      </c>
      <c r="AE113" s="1">
        <v>1.615</v>
      </c>
      <c r="AF113" s="1">
        <v>1.3408</v>
      </c>
      <c r="AG113" s="1">
        <v>1</v>
      </c>
      <c r="AH113" s="1">
        <v>1.2816000000000001</v>
      </c>
      <c r="AI113" s="1">
        <v>0.28160000000000002</v>
      </c>
      <c r="AJ113" s="16" t="s">
        <v>266</v>
      </c>
      <c r="AK113" s="1">
        <f t="shared" si="24"/>
        <v>23</v>
      </c>
      <c r="AL113" t="s">
        <v>267</v>
      </c>
    </row>
    <row r="114" spans="1:38" x14ac:dyDescent="0.25">
      <c r="A114" s="1" t="s">
        <v>268</v>
      </c>
      <c r="B114" s="1" t="s">
        <v>49</v>
      </c>
      <c r="C114" s="1">
        <v>134</v>
      </c>
      <c r="D114" s="1">
        <v>6</v>
      </c>
      <c r="E114" s="1">
        <v>48</v>
      </c>
      <c r="F114" s="1">
        <v>66</v>
      </c>
      <c r="G114" s="7">
        <v>0.28000000000000003</v>
      </c>
      <c r="H114" s="1">
        <v>40</v>
      </c>
      <c r="I114" s="1" t="s">
        <v>42</v>
      </c>
      <c r="J114" s="1"/>
      <c r="K114" s="1">
        <v>465</v>
      </c>
      <c r="L114" s="1">
        <f t="shared" si="20"/>
        <v>-417</v>
      </c>
      <c r="M114" s="1"/>
      <c r="N114" s="1"/>
      <c r="O114" s="1">
        <v>219.09067499999989</v>
      </c>
      <c r="P114" s="1"/>
      <c r="Q114" s="1"/>
      <c r="R114" s="1">
        <v>188.15500000000009</v>
      </c>
      <c r="S114" s="1"/>
      <c r="T114" s="1"/>
      <c r="U114" s="1">
        <f t="shared" si="21"/>
        <v>9.6</v>
      </c>
      <c r="V114" s="5"/>
      <c r="W114" s="5">
        <f>V114</f>
        <v>0</v>
      </c>
      <c r="X114" s="1">
        <f t="shared" si="22"/>
        <v>49.296424479166667</v>
      </c>
      <c r="Y114" s="1">
        <f t="shared" si="23"/>
        <v>49.296424479166667</v>
      </c>
      <c r="Z114" s="1">
        <f>VLOOKUP(A114,[1]Sheet!$A:$U,21,0)</f>
        <v>43.4</v>
      </c>
      <c r="AA114" s="1">
        <v>70.8</v>
      </c>
      <c r="AB114" s="1">
        <v>65</v>
      </c>
      <c r="AC114" s="1">
        <v>39</v>
      </c>
      <c r="AD114" s="1">
        <v>37.4</v>
      </c>
      <c r="AE114" s="1">
        <v>79.400000000000006</v>
      </c>
      <c r="AF114" s="1">
        <v>86.4</v>
      </c>
      <c r="AG114" s="1">
        <v>61.8</v>
      </c>
      <c r="AH114" s="1">
        <v>64.599999999999994</v>
      </c>
      <c r="AI114" s="1">
        <v>68.400000000000006</v>
      </c>
      <c r="AJ114" s="1"/>
      <c r="AK114" s="1">
        <f t="shared" si="24"/>
        <v>0</v>
      </c>
      <c r="AL114" t="s">
        <v>269</v>
      </c>
    </row>
    <row r="115" spans="1:38" x14ac:dyDescent="0.25">
      <c r="A115" s="9" t="s">
        <v>270</v>
      </c>
      <c r="B115" s="9" t="s">
        <v>49</v>
      </c>
      <c r="C115" s="9"/>
      <c r="D115" s="9"/>
      <c r="E115" s="9"/>
      <c r="F115" s="9"/>
      <c r="G115" s="10">
        <v>0</v>
      </c>
      <c r="H115" s="9"/>
      <c r="I115" s="9" t="s">
        <v>42</v>
      </c>
      <c r="J115" s="9"/>
      <c r="K115" s="9"/>
      <c r="L115" s="9">
        <f t="shared" si="20"/>
        <v>0</v>
      </c>
      <c r="M115" s="9"/>
      <c r="N115" s="9"/>
      <c r="O115" s="9"/>
      <c r="P115" s="9"/>
      <c r="Q115" s="9"/>
      <c r="R115" s="9">
        <v>0</v>
      </c>
      <c r="S115" s="9"/>
      <c r="T115" s="9"/>
      <c r="U115" s="9">
        <f t="shared" si="21"/>
        <v>0</v>
      </c>
      <c r="V115" s="11"/>
      <c r="W115" s="5">
        <f>V115</f>
        <v>0</v>
      </c>
      <c r="X115" s="1" t="e">
        <f t="shared" si="22"/>
        <v>#DIV/0!</v>
      </c>
      <c r="Y115" s="9" t="e">
        <f t="shared" si="23"/>
        <v>#DIV/0!</v>
      </c>
      <c r="Z115" s="9">
        <f>VLOOKUP(A115,[1]Sheet!$A:$U,21,0)</f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 t="s">
        <v>50</v>
      </c>
      <c r="AK115" s="1">
        <f t="shared" si="24"/>
        <v>0</v>
      </c>
      <c r="AL115" t="s">
        <v>271</v>
      </c>
    </row>
    <row r="116" spans="1:38" x14ac:dyDescent="0.25">
      <c r="A116" s="1" t="s">
        <v>272</v>
      </c>
      <c r="B116" s="1" t="s">
        <v>49</v>
      </c>
      <c r="C116" s="1">
        <v>151</v>
      </c>
      <c r="D116" s="1"/>
      <c r="E116" s="1">
        <v>60</v>
      </c>
      <c r="F116" s="1">
        <v>75</v>
      </c>
      <c r="G116" s="7">
        <v>0.28000000000000003</v>
      </c>
      <c r="H116" s="1">
        <v>40</v>
      </c>
      <c r="I116" s="13" t="s">
        <v>59</v>
      </c>
      <c r="J116" s="1"/>
      <c r="K116" s="1">
        <v>446</v>
      </c>
      <c r="L116" s="1">
        <f t="shared" si="20"/>
        <v>-386</v>
      </c>
      <c r="M116" s="1"/>
      <c r="N116" s="1"/>
      <c r="O116" s="1">
        <v>150</v>
      </c>
      <c r="P116" s="1">
        <v>-150</v>
      </c>
      <c r="Q116" s="1"/>
      <c r="R116" s="1">
        <v>200</v>
      </c>
      <c r="S116" s="1"/>
      <c r="T116" s="1"/>
      <c r="U116" s="1">
        <f t="shared" si="21"/>
        <v>12</v>
      </c>
      <c r="V116" s="5">
        <v>150</v>
      </c>
      <c r="W116" s="5">
        <f>V116*$W$1</f>
        <v>105</v>
      </c>
      <c r="X116" s="1">
        <f t="shared" si="22"/>
        <v>31.666666666666668</v>
      </c>
      <c r="Y116" s="1">
        <f t="shared" si="23"/>
        <v>22.916666666666668</v>
      </c>
      <c r="Z116" s="1">
        <f>VLOOKUP(A116,[1]Sheet!$A:$U,21,0)</f>
        <v>46.2</v>
      </c>
      <c r="AA116" s="1">
        <v>76.400000000000006</v>
      </c>
      <c r="AB116" s="1">
        <v>75.2</v>
      </c>
      <c r="AC116" s="1">
        <v>67</v>
      </c>
      <c r="AD116" s="1">
        <v>62.4</v>
      </c>
      <c r="AE116" s="1">
        <v>67</v>
      </c>
      <c r="AF116" s="1">
        <v>69</v>
      </c>
      <c r="AG116" s="1">
        <v>63</v>
      </c>
      <c r="AH116" s="1">
        <v>66.8</v>
      </c>
      <c r="AI116" s="1">
        <v>66.400000000000006</v>
      </c>
      <c r="AJ116" s="1"/>
      <c r="AK116" s="1">
        <f t="shared" si="24"/>
        <v>29</v>
      </c>
      <c r="AL116" t="s">
        <v>273</v>
      </c>
    </row>
    <row r="117" spans="1:38" x14ac:dyDescent="0.25">
      <c r="A117" s="1" t="s">
        <v>274</v>
      </c>
      <c r="B117" s="1" t="s">
        <v>49</v>
      </c>
      <c r="C117" s="1">
        <v>46</v>
      </c>
      <c r="D117" s="1">
        <v>30</v>
      </c>
      <c r="E117" s="1">
        <v>71</v>
      </c>
      <c r="F117" s="1">
        <v>2</v>
      </c>
      <c r="G117" s="7">
        <v>0.09</v>
      </c>
      <c r="H117" s="1"/>
      <c r="I117" s="1" t="s">
        <v>42</v>
      </c>
      <c r="J117" s="1"/>
      <c r="K117" s="1">
        <v>133</v>
      </c>
      <c r="L117" s="1">
        <f t="shared" si="20"/>
        <v>-62</v>
      </c>
      <c r="M117" s="1"/>
      <c r="N117" s="1"/>
      <c r="O117" s="1"/>
      <c r="P117" s="1"/>
      <c r="Q117" s="1"/>
      <c r="R117" s="1">
        <v>77.8</v>
      </c>
      <c r="S117" s="1"/>
      <c r="T117" s="1"/>
      <c r="U117" s="1">
        <f t="shared" si="21"/>
        <v>14.2</v>
      </c>
      <c r="V117" s="5">
        <v>111.6</v>
      </c>
      <c r="W117" s="5">
        <f t="shared" ref="W117:W128" si="25">V117</f>
        <v>111.6</v>
      </c>
      <c r="X117" s="1">
        <f t="shared" si="22"/>
        <v>13.478873239436618</v>
      </c>
      <c r="Y117" s="1">
        <f t="shared" si="23"/>
        <v>5.619718309859155</v>
      </c>
      <c r="Z117" s="1">
        <f>VLOOKUP(A117,[1]Sheet!$A:$U,21,0)</f>
        <v>12.6</v>
      </c>
      <c r="AA117" s="1">
        <v>3.8</v>
      </c>
      <c r="AB117" s="1">
        <v>7.4</v>
      </c>
      <c r="AC117" s="1">
        <v>8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 t="s">
        <v>275</v>
      </c>
      <c r="AK117" s="1">
        <f t="shared" si="24"/>
        <v>10</v>
      </c>
      <c r="AL117" t="s">
        <v>276</v>
      </c>
    </row>
    <row r="118" spans="1:38" x14ac:dyDescent="0.25">
      <c r="A118" s="1" t="s">
        <v>277</v>
      </c>
      <c r="B118" s="1" t="s">
        <v>41</v>
      </c>
      <c r="C118" s="1">
        <v>270.19200000000001</v>
      </c>
      <c r="D118" s="1">
        <v>14.756</v>
      </c>
      <c r="E118" s="1">
        <v>190.857</v>
      </c>
      <c r="F118" s="1">
        <v>90.251000000000005</v>
      </c>
      <c r="G118" s="7">
        <v>1</v>
      </c>
      <c r="H118" s="1">
        <v>60</v>
      </c>
      <c r="I118" s="1" t="s">
        <v>42</v>
      </c>
      <c r="J118" s="1"/>
      <c r="K118" s="1">
        <v>240</v>
      </c>
      <c r="L118" s="1">
        <f t="shared" si="20"/>
        <v>-49.143000000000001</v>
      </c>
      <c r="M118" s="1"/>
      <c r="N118" s="1"/>
      <c r="O118" s="1"/>
      <c r="P118" s="1"/>
      <c r="Q118" s="1"/>
      <c r="R118" s="1">
        <v>246.79639999999989</v>
      </c>
      <c r="S118" s="1"/>
      <c r="T118" s="1"/>
      <c r="U118" s="1">
        <f t="shared" si="21"/>
        <v>38.171399999999998</v>
      </c>
      <c r="V118" s="5">
        <v>291.46299999999997</v>
      </c>
      <c r="W118" s="5">
        <f t="shared" si="25"/>
        <v>291.46299999999997</v>
      </c>
      <c r="X118" s="1">
        <f t="shared" si="22"/>
        <v>16.465479390328884</v>
      </c>
      <c r="Y118" s="1">
        <f t="shared" si="23"/>
        <v>8.8298411900008897</v>
      </c>
      <c r="Z118" s="1">
        <f>VLOOKUP(A118,[1]Sheet!$A:$U,21,0)</f>
        <v>43.339199999999998</v>
      </c>
      <c r="AA118" s="1">
        <v>23.119599999999998</v>
      </c>
      <c r="AB118" s="1">
        <v>16.192399999999999</v>
      </c>
      <c r="AC118" s="1">
        <v>24.320599999999999</v>
      </c>
      <c r="AD118" s="1">
        <v>34.040199999999999</v>
      </c>
      <c r="AE118" s="1">
        <v>26.383400000000002</v>
      </c>
      <c r="AF118" s="1">
        <v>17.169599999999999</v>
      </c>
      <c r="AG118" s="1">
        <v>17.895399999999999</v>
      </c>
      <c r="AH118" s="1">
        <v>29.697600000000001</v>
      </c>
      <c r="AI118" s="1">
        <v>35.659999999999997</v>
      </c>
      <c r="AJ118" s="1"/>
      <c r="AK118" s="1">
        <f t="shared" si="24"/>
        <v>291</v>
      </c>
      <c r="AL118" t="s">
        <v>278</v>
      </c>
    </row>
    <row r="119" spans="1:38" x14ac:dyDescent="0.25">
      <c r="A119" s="1" t="s">
        <v>279</v>
      </c>
      <c r="B119" s="1" t="s">
        <v>41</v>
      </c>
      <c r="C119" s="1">
        <v>82.09</v>
      </c>
      <c r="D119" s="1"/>
      <c r="E119" s="1"/>
      <c r="F119" s="1">
        <v>82.09</v>
      </c>
      <c r="G119" s="7">
        <v>1</v>
      </c>
      <c r="H119" s="1">
        <v>50</v>
      </c>
      <c r="I119" s="1" t="s">
        <v>42</v>
      </c>
      <c r="J119" s="1"/>
      <c r="K119" s="1">
        <v>22.5</v>
      </c>
      <c r="L119" s="1">
        <f t="shared" si="20"/>
        <v>-22.5</v>
      </c>
      <c r="M119" s="1"/>
      <c r="N119" s="1"/>
      <c r="O119" s="1"/>
      <c r="P119" s="1"/>
      <c r="Q119" s="1"/>
      <c r="R119" s="1">
        <v>0</v>
      </c>
      <c r="S119" s="1"/>
      <c r="T119" s="1"/>
      <c r="U119" s="1">
        <f t="shared" si="21"/>
        <v>0</v>
      </c>
      <c r="V119" s="5"/>
      <c r="W119" s="5">
        <f t="shared" si="25"/>
        <v>0</v>
      </c>
      <c r="X119" s="1" t="e">
        <f t="shared" si="22"/>
        <v>#DIV/0!</v>
      </c>
      <c r="Y119" s="1" t="e">
        <f t="shared" si="23"/>
        <v>#DIV/0!</v>
      </c>
      <c r="Z119" s="1">
        <f>VLOOKUP(A119,[1]Sheet!$A:$U,21,0)</f>
        <v>-0.23559999999999998</v>
      </c>
      <c r="AA119" s="1">
        <v>-0.3604</v>
      </c>
      <c r="AB119" s="1">
        <v>-0.12479999999999999</v>
      </c>
      <c r="AC119" s="1">
        <v>-0.17460000000000001</v>
      </c>
      <c r="AD119" s="1">
        <v>-0.35780000000000001</v>
      </c>
      <c r="AE119" s="1">
        <v>-0.1832</v>
      </c>
      <c r="AF119" s="1">
        <v>0.36159999999999998</v>
      </c>
      <c r="AG119" s="1">
        <v>4.1176000000000004</v>
      </c>
      <c r="AH119" s="1">
        <v>5.7633999999999999</v>
      </c>
      <c r="AI119" s="1">
        <v>15.0108</v>
      </c>
      <c r="AJ119" s="14" t="s">
        <v>139</v>
      </c>
      <c r="AK119" s="1">
        <f t="shared" si="24"/>
        <v>0</v>
      </c>
      <c r="AL119" t="s">
        <v>280</v>
      </c>
    </row>
    <row r="120" spans="1:38" x14ac:dyDescent="0.25">
      <c r="A120" s="1" t="s">
        <v>281</v>
      </c>
      <c r="B120" s="1" t="s">
        <v>49</v>
      </c>
      <c r="C120" s="1">
        <v>56</v>
      </c>
      <c r="D120" s="1">
        <v>30</v>
      </c>
      <c r="E120" s="1">
        <v>68</v>
      </c>
      <c r="F120" s="1">
        <v>16</v>
      </c>
      <c r="G120" s="7">
        <v>0.09</v>
      </c>
      <c r="H120" s="1"/>
      <c r="I120" s="1" t="s">
        <v>42</v>
      </c>
      <c r="J120" s="1"/>
      <c r="K120" s="1">
        <v>108</v>
      </c>
      <c r="L120" s="1">
        <f t="shared" si="20"/>
        <v>-40</v>
      </c>
      <c r="M120" s="1"/>
      <c r="N120" s="1"/>
      <c r="O120" s="1"/>
      <c r="P120" s="1"/>
      <c r="Q120" s="1"/>
      <c r="R120" s="1">
        <v>73.8</v>
      </c>
      <c r="S120" s="1">
        <v>-77.777777777777786</v>
      </c>
      <c r="T120" s="1"/>
      <c r="U120" s="1">
        <f t="shared" si="21"/>
        <v>13.6</v>
      </c>
      <c r="V120" s="5">
        <v>106.39999999999999</v>
      </c>
      <c r="W120" s="5">
        <f t="shared" si="25"/>
        <v>106.39999999999999</v>
      </c>
      <c r="X120" s="1">
        <f t="shared" si="22"/>
        <v>14.426470588235293</v>
      </c>
      <c r="Y120" s="1">
        <f t="shared" si="23"/>
        <v>6.6029411764705879</v>
      </c>
      <c r="Z120" s="1">
        <f>VLOOKUP(A120,[1]Sheet!$A:$U,21,0)</f>
        <v>12.6</v>
      </c>
      <c r="AA120" s="1">
        <v>2.6</v>
      </c>
      <c r="AB120" s="1">
        <v>8.1999999999999993</v>
      </c>
      <c r="AC120" s="1">
        <v>8.1999999999999993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 t="s">
        <v>275</v>
      </c>
      <c r="AK120" s="1">
        <f t="shared" si="24"/>
        <v>10</v>
      </c>
      <c r="AL120" t="s">
        <v>282</v>
      </c>
    </row>
    <row r="121" spans="1:38" x14ac:dyDescent="0.25">
      <c r="A121" s="9" t="s">
        <v>283</v>
      </c>
      <c r="B121" s="9" t="s">
        <v>49</v>
      </c>
      <c r="C121" s="9"/>
      <c r="D121" s="9"/>
      <c r="E121" s="9"/>
      <c r="F121" s="9"/>
      <c r="G121" s="10">
        <v>0</v>
      </c>
      <c r="H121" s="9"/>
      <c r="I121" s="9" t="s">
        <v>42</v>
      </c>
      <c r="J121" s="9"/>
      <c r="K121" s="9"/>
      <c r="L121" s="9">
        <f t="shared" si="20"/>
        <v>0</v>
      </c>
      <c r="M121" s="9"/>
      <c r="N121" s="9"/>
      <c r="O121" s="9"/>
      <c r="P121" s="9"/>
      <c r="Q121" s="9"/>
      <c r="R121" s="9">
        <v>0</v>
      </c>
      <c r="S121" s="9"/>
      <c r="T121" s="9"/>
      <c r="U121" s="9">
        <f t="shared" si="21"/>
        <v>0</v>
      </c>
      <c r="V121" s="11"/>
      <c r="W121" s="5">
        <f t="shared" si="25"/>
        <v>0</v>
      </c>
      <c r="X121" s="1" t="e">
        <f t="shared" si="22"/>
        <v>#DIV/0!</v>
      </c>
      <c r="Y121" s="9" t="e">
        <f t="shared" si="23"/>
        <v>#DIV/0!</v>
      </c>
      <c r="Z121" s="9">
        <f>VLOOKUP(A121,[1]Sheet!$A:$U,21,0)</f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 t="s">
        <v>50</v>
      </c>
      <c r="AK121" s="1">
        <f t="shared" si="24"/>
        <v>0</v>
      </c>
      <c r="AL121" t="s">
        <v>284</v>
      </c>
    </row>
    <row r="122" spans="1:38" x14ac:dyDescent="0.25">
      <c r="A122" s="1" t="s">
        <v>285</v>
      </c>
      <c r="B122" s="1" t="s">
        <v>41</v>
      </c>
      <c r="C122" s="1">
        <v>408.702</v>
      </c>
      <c r="D122" s="1">
        <v>570.899</v>
      </c>
      <c r="E122" s="1">
        <v>345.04399999999998</v>
      </c>
      <c r="F122" s="1">
        <v>565.13300000000004</v>
      </c>
      <c r="G122" s="7">
        <v>1</v>
      </c>
      <c r="H122" s="1">
        <v>60</v>
      </c>
      <c r="I122" s="1" t="s">
        <v>42</v>
      </c>
      <c r="J122" s="1"/>
      <c r="K122" s="1">
        <v>331.25</v>
      </c>
      <c r="L122" s="1">
        <f t="shared" si="20"/>
        <v>13.793999999999983</v>
      </c>
      <c r="M122" s="1"/>
      <c r="N122" s="1"/>
      <c r="O122" s="1"/>
      <c r="P122" s="1"/>
      <c r="Q122" s="1"/>
      <c r="R122" s="1">
        <v>39.766150800000332</v>
      </c>
      <c r="S122" s="1"/>
      <c r="T122" s="1"/>
      <c r="U122" s="1">
        <f t="shared" si="21"/>
        <v>69.008799999999994</v>
      </c>
      <c r="V122" s="5">
        <v>262.97259999999983</v>
      </c>
      <c r="W122" s="5">
        <f t="shared" si="25"/>
        <v>262.97259999999983</v>
      </c>
      <c r="X122" s="1">
        <f t="shared" si="22"/>
        <v>12.576247533647887</v>
      </c>
      <c r="Y122" s="1">
        <f t="shared" si="23"/>
        <v>8.7655364359328143</v>
      </c>
      <c r="Z122" s="1">
        <f>VLOOKUP(A122,[1]Sheet!$A:$U,21,0)</f>
        <v>70.288600000000002</v>
      </c>
      <c r="AA122" s="1">
        <v>78.236599999999996</v>
      </c>
      <c r="AB122" s="1">
        <v>83.537400000000005</v>
      </c>
      <c r="AC122" s="1">
        <v>65.344999999999999</v>
      </c>
      <c r="AD122" s="1">
        <v>56.364999999999988</v>
      </c>
      <c r="AE122" s="1">
        <v>56.581600000000002</v>
      </c>
      <c r="AF122" s="1">
        <v>54.922800000000002</v>
      </c>
      <c r="AG122" s="1">
        <v>66.630399999999995</v>
      </c>
      <c r="AH122" s="1">
        <v>70.855999999999995</v>
      </c>
      <c r="AI122" s="1">
        <v>76.245800000000003</v>
      </c>
      <c r="AJ122" s="1"/>
      <c r="AK122" s="1">
        <f t="shared" si="24"/>
        <v>263</v>
      </c>
      <c r="AL122" t="s">
        <v>286</v>
      </c>
    </row>
    <row r="123" spans="1:38" x14ac:dyDescent="0.25">
      <c r="A123" s="1" t="s">
        <v>287</v>
      </c>
      <c r="B123" s="1" t="s">
        <v>41</v>
      </c>
      <c r="C123" s="1">
        <v>668.69</v>
      </c>
      <c r="D123" s="1">
        <v>384.23899999999998</v>
      </c>
      <c r="E123" s="1">
        <v>449.02499999999998</v>
      </c>
      <c r="F123" s="1">
        <v>499.34800000000001</v>
      </c>
      <c r="G123" s="7">
        <v>1</v>
      </c>
      <c r="H123" s="1">
        <v>60</v>
      </c>
      <c r="I123" s="1" t="s">
        <v>42</v>
      </c>
      <c r="J123" s="1"/>
      <c r="K123" s="1">
        <v>434.92399999999998</v>
      </c>
      <c r="L123" s="1">
        <f t="shared" si="20"/>
        <v>14.100999999999999</v>
      </c>
      <c r="M123" s="1"/>
      <c r="N123" s="1"/>
      <c r="O123" s="1">
        <v>259.14945595800009</v>
      </c>
      <c r="P123" s="1"/>
      <c r="Q123" s="1"/>
      <c r="R123" s="1">
        <v>146.17677079999979</v>
      </c>
      <c r="S123" s="1"/>
      <c r="T123" s="1"/>
      <c r="U123" s="1">
        <f t="shared" si="21"/>
        <v>89.804999999999993</v>
      </c>
      <c r="V123" s="5">
        <v>319.16254404199975</v>
      </c>
      <c r="W123" s="5">
        <f t="shared" si="25"/>
        <v>319.16254404199975</v>
      </c>
      <c r="X123" s="1">
        <f t="shared" si="22"/>
        <v>13.627713053838869</v>
      </c>
      <c r="Y123" s="1">
        <f t="shared" si="23"/>
        <v>10.073762337932186</v>
      </c>
      <c r="Z123" s="1">
        <f>VLOOKUP(A123,[1]Sheet!$A:$U,21,0)</f>
        <v>93.597000000000008</v>
      </c>
      <c r="AA123" s="1">
        <v>92.200800000000001</v>
      </c>
      <c r="AB123" s="1">
        <v>92.7684</v>
      </c>
      <c r="AC123" s="1">
        <v>92.423599999999993</v>
      </c>
      <c r="AD123" s="1">
        <v>83.889399999999995</v>
      </c>
      <c r="AE123" s="1">
        <v>75.759</v>
      </c>
      <c r="AF123" s="1">
        <v>77.756200000000007</v>
      </c>
      <c r="AG123" s="1">
        <v>88.792600000000007</v>
      </c>
      <c r="AH123" s="1">
        <v>87.907200000000003</v>
      </c>
      <c r="AI123" s="1">
        <v>90.133600000000001</v>
      </c>
      <c r="AJ123" s="1"/>
      <c r="AK123" s="1">
        <f t="shared" si="24"/>
        <v>319</v>
      </c>
      <c r="AL123" t="s">
        <v>288</v>
      </c>
    </row>
    <row r="124" spans="1:38" x14ac:dyDescent="0.25">
      <c r="A124" s="1" t="s">
        <v>289</v>
      </c>
      <c r="B124" s="1" t="s">
        <v>41</v>
      </c>
      <c r="C124" s="1">
        <v>208.839</v>
      </c>
      <c r="D124" s="1">
        <v>370.58499999999998</v>
      </c>
      <c r="E124" s="1">
        <v>176.465</v>
      </c>
      <c r="F124" s="1">
        <v>357.93799999999999</v>
      </c>
      <c r="G124" s="7">
        <v>1</v>
      </c>
      <c r="H124" s="1">
        <v>60</v>
      </c>
      <c r="I124" s="1" t="s">
        <v>42</v>
      </c>
      <c r="J124" s="1"/>
      <c r="K124" s="1">
        <v>174.25</v>
      </c>
      <c r="L124" s="1">
        <f t="shared" si="20"/>
        <v>2.2150000000000034</v>
      </c>
      <c r="M124" s="1"/>
      <c r="N124" s="1"/>
      <c r="O124" s="1"/>
      <c r="P124" s="1"/>
      <c r="Q124" s="1"/>
      <c r="R124" s="1">
        <v>0</v>
      </c>
      <c r="S124" s="1"/>
      <c r="T124" s="1"/>
      <c r="U124" s="1">
        <f t="shared" si="21"/>
        <v>35.292999999999999</v>
      </c>
      <c r="V124" s="5">
        <v>65.577999999999975</v>
      </c>
      <c r="W124" s="5">
        <f t="shared" si="25"/>
        <v>65.577999999999975</v>
      </c>
      <c r="X124" s="1">
        <f t="shared" si="22"/>
        <v>12</v>
      </c>
      <c r="Y124" s="1">
        <f t="shared" si="23"/>
        <v>10.141897826764515</v>
      </c>
      <c r="Z124" s="1">
        <f>VLOOKUP(A124,[1]Sheet!$A:$U,21,0)</f>
        <v>31.552</v>
      </c>
      <c r="AA124" s="1">
        <v>45.125</v>
      </c>
      <c r="AB124" s="1">
        <v>47.799799999999998</v>
      </c>
      <c r="AC124" s="1">
        <v>34.2012</v>
      </c>
      <c r="AD124" s="1">
        <v>29.3096</v>
      </c>
      <c r="AE124" s="1">
        <v>30.529399999999999</v>
      </c>
      <c r="AF124" s="1">
        <v>31.781199999999998</v>
      </c>
      <c r="AG124" s="1">
        <v>32.8658</v>
      </c>
      <c r="AH124" s="1">
        <v>29.383600000000001</v>
      </c>
      <c r="AI124" s="1">
        <v>24.572399999999998</v>
      </c>
      <c r="AJ124" s="1"/>
      <c r="AK124" s="1">
        <f t="shared" si="24"/>
        <v>66</v>
      </c>
      <c r="AL124" t="s">
        <v>290</v>
      </c>
    </row>
    <row r="125" spans="1:38" x14ac:dyDescent="0.25">
      <c r="A125" s="1" t="s">
        <v>291</v>
      </c>
      <c r="B125" s="1" t="s">
        <v>41</v>
      </c>
      <c r="C125" s="1">
        <v>2160.4160000000002</v>
      </c>
      <c r="D125" s="1">
        <v>1990.558</v>
      </c>
      <c r="E125" s="1">
        <v>1503.1790000000001</v>
      </c>
      <c r="F125" s="1">
        <v>2313.8670000000002</v>
      </c>
      <c r="G125" s="7">
        <v>1</v>
      </c>
      <c r="H125" s="1">
        <v>60</v>
      </c>
      <c r="I125" s="1" t="s">
        <v>42</v>
      </c>
      <c r="J125" s="1"/>
      <c r="K125" s="1">
        <v>1506.7</v>
      </c>
      <c r="L125" s="1">
        <f t="shared" si="20"/>
        <v>-3.5209999999999582</v>
      </c>
      <c r="M125" s="1"/>
      <c r="N125" s="1"/>
      <c r="O125" s="1">
        <v>593.07529317300009</v>
      </c>
      <c r="P125" s="1"/>
      <c r="Q125" s="1"/>
      <c r="R125" s="1">
        <v>0</v>
      </c>
      <c r="S125" s="1"/>
      <c r="T125" s="1"/>
      <c r="U125" s="1">
        <f t="shared" si="21"/>
        <v>300.63580000000002</v>
      </c>
      <c r="V125" s="5">
        <v>700.6873068269997</v>
      </c>
      <c r="W125" s="5">
        <f t="shared" si="25"/>
        <v>700.6873068269997</v>
      </c>
      <c r="X125" s="1">
        <f t="shared" si="22"/>
        <v>12</v>
      </c>
      <c r="Y125" s="1">
        <f t="shared" si="23"/>
        <v>9.6693151420190162</v>
      </c>
      <c r="Z125" s="1">
        <f>VLOOKUP(A125,[1]Sheet!$A:$U,21,0)</f>
        <v>316.26139999999998</v>
      </c>
      <c r="AA125" s="1">
        <v>312.13819999999998</v>
      </c>
      <c r="AB125" s="1">
        <v>312.54939999999999</v>
      </c>
      <c r="AC125" s="1">
        <v>297.05020000000002</v>
      </c>
      <c r="AD125" s="1">
        <v>289.678</v>
      </c>
      <c r="AE125" s="1">
        <v>290.18599999999998</v>
      </c>
      <c r="AF125" s="1">
        <v>287.87099999999998</v>
      </c>
      <c r="AG125" s="1">
        <v>292.56079999999997</v>
      </c>
      <c r="AH125" s="1">
        <v>311.30119999999999</v>
      </c>
      <c r="AI125" s="1">
        <v>194.2492</v>
      </c>
      <c r="AJ125" s="1"/>
      <c r="AK125" s="1">
        <f t="shared" si="24"/>
        <v>701</v>
      </c>
      <c r="AL125" t="s">
        <v>292</v>
      </c>
    </row>
    <row r="126" spans="1:38" x14ac:dyDescent="0.25">
      <c r="A126" s="1" t="s">
        <v>293</v>
      </c>
      <c r="B126" s="1" t="s">
        <v>49</v>
      </c>
      <c r="C126" s="1">
        <v>185</v>
      </c>
      <c r="D126" s="1">
        <v>216</v>
      </c>
      <c r="E126" s="1">
        <v>29</v>
      </c>
      <c r="F126" s="1">
        <v>359</v>
      </c>
      <c r="G126" s="7">
        <v>0.25</v>
      </c>
      <c r="H126" s="1"/>
      <c r="I126" s="13" t="s">
        <v>59</v>
      </c>
      <c r="J126" s="1"/>
      <c r="K126" s="1">
        <v>29</v>
      </c>
      <c r="L126" s="1">
        <f t="shared" si="20"/>
        <v>0</v>
      </c>
      <c r="M126" s="1"/>
      <c r="N126" s="1"/>
      <c r="O126" s="1">
        <v>50</v>
      </c>
      <c r="P126" s="1"/>
      <c r="Q126" s="1"/>
      <c r="R126" s="1">
        <v>0</v>
      </c>
      <c r="S126" s="1"/>
      <c r="T126" s="1"/>
      <c r="U126" s="1">
        <f t="shared" si="21"/>
        <v>5.8</v>
      </c>
      <c r="V126" s="5"/>
      <c r="W126" s="5">
        <f t="shared" si="25"/>
        <v>0</v>
      </c>
      <c r="X126" s="1">
        <f t="shared" si="22"/>
        <v>70.517241379310349</v>
      </c>
      <c r="Y126" s="1">
        <f t="shared" si="23"/>
        <v>70.517241379310349</v>
      </c>
      <c r="Z126" s="1">
        <f>VLOOKUP(A126,[1]Sheet!$A:$U,21,0)</f>
        <v>8</v>
      </c>
      <c r="AA126" s="1">
        <v>4.2</v>
      </c>
      <c r="AB126" s="1">
        <v>0</v>
      </c>
      <c r="AC126" s="1">
        <v>0</v>
      </c>
      <c r="AD126" s="1">
        <v>0</v>
      </c>
      <c r="AE126" s="1">
        <v>23.2</v>
      </c>
      <c r="AF126" s="1">
        <v>40.4</v>
      </c>
      <c r="AG126" s="1">
        <v>17.2</v>
      </c>
      <c r="AH126" s="1">
        <v>0</v>
      </c>
      <c r="AI126" s="1">
        <v>0</v>
      </c>
      <c r="AJ126" s="15" t="s">
        <v>294</v>
      </c>
      <c r="AK126" s="1">
        <f t="shared" si="24"/>
        <v>0</v>
      </c>
      <c r="AL126" t="s">
        <v>295</v>
      </c>
    </row>
    <row r="127" spans="1:38" x14ac:dyDescent="0.25">
      <c r="A127" s="1" t="s">
        <v>296</v>
      </c>
      <c r="B127" s="1" t="s">
        <v>49</v>
      </c>
      <c r="C127" s="1">
        <v>394</v>
      </c>
      <c r="D127" s="1">
        <v>111</v>
      </c>
      <c r="E127" s="12">
        <f>26+E134</f>
        <v>28</v>
      </c>
      <c r="F127" s="12">
        <f>411+F134</f>
        <v>457</v>
      </c>
      <c r="G127" s="7">
        <v>0.32500000000000001</v>
      </c>
      <c r="H127" s="1"/>
      <c r="I127" s="13" t="s">
        <v>59</v>
      </c>
      <c r="J127" s="1"/>
      <c r="K127" s="1">
        <v>26</v>
      </c>
      <c r="L127" s="1">
        <f t="shared" si="20"/>
        <v>2</v>
      </c>
      <c r="M127" s="1"/>
      <c r="N127" s="1"/>
      <c r="O127" s="1">
        <v>0</v>
      </c>
      <c r="P127" s="1"/>
      <c r="Q127" s="1"/>
      <c r="R127" s="1">
        <v>0</v>
      </c>
      <c r="S127" s="1"/>
      <c r="T127" s="1"/>
      <c r="U127" s="1">
        <f t="shared" si="21"/>
        <v>5.6</v>
      </c>
      <c r="V127" s="5"/>
      <c r="W127" s="5">
        <f t="shared" si="25"/>
        <v>0</v>
      </c>
      <c r="X127" s="1">
        <f t="shared" si="22"/>
        <v>81.607142857142861</v>
      </c>
      <c r="Y127" s="1">
        <f t="shared" si="23"/>
        <v>81.607142857142861</v>
      </c>
      <c r="Z127" s="1">
        <f>VLOOKUP(A127,[1]Sheet!$A:$U,21,0)</f>
        <v>5.4</v>
      </c>
      <c r="AA127" s="1">
        <v>3.4</v>
      </c>
      <c r="AB127" s="1">
        <v>0</v>
      </c>
      <c r="AC127" s="1">
        <v>0.4</v>
      </c>
      <c r="AD127" s="1">
        <v>3.6</v>
      </c>
      <c r="AE127" s="1">
        <v>24</v>
      </c>
      <c r="AF127" s="1">
        <v>36.799999999999997</v>
      </c>
      <c r="AG127" s="1">
        <v>16</v>
      </c>
      <c r="AH127" s="1">
        <v>0</v>
      </c>
      <c r="AI127" s="1">
        <v>0</v>
      </c>
      <c r="AJ127" s="15" t="s">
        <v>294</v>
      </c>
      <c r="AK127" s="1">
        <f t="shared" si="24"/>
        <v>0</v>
      </c>
      <c r="AL127" t="s">
        <v>297</v>
      </c>
    </row>
    <row r="128" spans="1:38" x14ac:dyDescent="0.25">
      <c r="A128" s="1" t="s">
        <v>298</v>
      </c>
      <c r="B128" s="1" t="s">
        <v>49</v>
      </c>
      <c r="C128" s="1">
        <v>130</v>
      </c>
      <c r="D128" s="1"/>
      <c r="E128" s="1">
        <v>26</v>
      </c>
      <c r="F128" s="1">
        <v>92</v>
      </c>
      <c r="G128" s="7">
        <v>0.25</v>
      </c>
      <c r="H128" s="1"/>
      <c r="I128" s="1" t="s">
        <v>42</v>
      </c>
      <c r="J128" s="1"/>
      <c r="K128" s="1">
        <v>26</v>
      </c>
      <c r="L128" s="1">
        <f t="shared" si="20"/>
        <v>0</v>
      </c>
      <c r="M128" s="1"/>
      <c r="N128" s="1"/>
      <c r="O128" s="1"/>
      <c r="P128" s="1"/>
      <c r="Q128" s="1"/>
      <c r="R128" s="1">
        <v>0</v>
      </c>
      <c r="S128" s="1"/>
      <c r="T128" s="1"/>
      <c r="U128" s="1">
        <f t="shared" si="21"/>
        <v>5.2</v>
      </c>
      <c r="V128" s="5"/>
      <c r="W128" s="5">
        <f t="shared" si="25"/>
        <v>0</v>
      </c>
      <c r="X128" s="1">
        <f t="shared" si="22"/>
        <v>17.692307692307693</v>
      </c>
      <c r="Y128" s="1">
        <f t="shared" si="23"/>
        <v>17.692307692307693</v>
      </c>
      <c r="Z128" s="1">
        <f>VLOOKUP(A128,[1]Sheet!$A:$U,21,0)</f>
        <v>7.8</v>
      </c>
      <c r="AA128" s="1">
        <v>6.4</v>
      </c>
      <c r="AB128" s="1">
        <v>2.6</v>
      </c>
      <c r="AC128" s="1">
        <v>0.4</v>
      </c>
      <c r="AD128" s="1">
        <v>9.4</v>
      </c>
      <c r="AE128" s="1">
        <v>29.8</v>
      </c>
      <c r="AF128" s="1">
        <v>30.2</v>
      </c>
      <c r="AG128" s="1">
        <v>9.4</v>
      </c>
      <c r="AH128" s="1">
        <v>0</v>
      </c>
      <c r="AI128" s="1">
        <v>0</v>
      </c>
      <c r="AJ128" s="1" t="s">
        <v>299</v>
      </c>
      <c r="AK128" s="1">
        <f t="shared" si="24"/>
        <v>0</v>
      </c>
      <c r="AL128" t="s">
        <v>300</v>
      </c>
    </row>
    <row r="129" spans="1:38" x14ac:dyDescent="0.25">
      <c r="A129" s="1" t="s">
        <v>301</v>
      </c>
      <c r="B129" s="1" t="s">
        <v>49</v>
      </c>
      <c r="C129" s="1">
        <v>1</v>
      </c>
      <c r="D129" s="1"/>
      <c r="E129" s="1">
        <v>-8</v>
      </c>
      <c r="F129" s="1">
        <v>1</v>
      </c>
      <c r="G129" s="7">
        <v>0.3</v>
      </c>
      <c r="H129" s="1">
        <v>40</v>
      </c>
      <c r="I129" s="13" t="s">
        <v>59</v>
      </c>
      <c r="J129" s="1"/>
      <c r="K129" s="1">
        <v>127</v>
      </c>
      <c r="L129" s="1">
        <f t="shared" si="20"/>
        <v>-135</v>
      </c>
      <c r="M129" s="1"/>
      <c r="N129" s="1"/>
      <c r="O129" s="1">
        <v>150</v>
      </c>
      <c r="P129" s="1">
        <v>-150</v>
      </c>
      <c r="Q129" s="1"/>
      <c r="R129" s="1">
        <v>200</v>
      </c>
      <c r="S129" s="1">
        <v>-203.33333333333334</v>
      </c>
      <c r="T129" s="1"/>
      <c r="U129" s="1">
        <f t="shared" si="21"/>
        <v>-1.6</v>
      </c>
      <c r="V129" s="5">
        <v>200</v>
      </c>
      <c r="W129" s="5">
        <f>V129*$W$1</f>
        <v>140</v>
      </c>
      <c r="X129" s="1">
        <f t="shared" si="22"/>
        <v>-213.125</v>
      </c>
      <c r="Y129" s="1">
        <f t="shared" si="23"/>
        <v>-125.625</v>
      </c>
      <c r="Z129" s="1">
        <f>VLOOKUP(A129,[1]Sheet!$A:$U,21,0)</f>
        <v>-1</v>
      </c>
      <c r="AA129" s="1">
        <v>74.599999999999994</v>
      </c>
      <c r="AB129" s="1">
        <v>112.4</v>
      </c>
      <c r="AC129" s="1">
        <v>109.2</v>
      </c>
      <c r="AD129" s="1">
        <v>112</v>
      </c>
      <c r="AE129" s="1">
        <v>42.2</v>
      </c>
      <c r="AF129" s="1">
        <v>25.4</v>
      </c>
      <c r="AG129" s="1">
        <v>82.8</v>
      </c>
      <c r="AH129" s="1">
        <v>98.6</v>
      </c>
      <c r="AI129" s="1">
        <v>83.8</v>
      </c>
      <c r="AJ129" s="1"/>
      <c r="AK129" s="1">
        <f t="shared" si="24"/>
        <v>42</v>
      </c>
      <c r="AL129" t="s">
        <v>302</v>
      </c>
    </row>
    <row r="130" spans="1:38" x14ac:dyDescent="0.25">
      <c r="A130" s="1" t="s">
        <v>303</v>
      </c>
      <c r="B130" s="1" t="s">
        <v>49</v>
      </c>
      <c r="C130" s="1">
        <v>-7</v>
      </c>
      <c r="D130" s="1"/>
      <c r="E130" s="1">
        <v>-14</v>
      </c>
      <c r="F130" s="1">
        <v>-7</v>
      </c>
      <c r="G130" s="7">
        <v>0.3</v>
      </c>
      <c r="H130" s="1">
        <v>40</v>
      </c>
      <c r="I130" s="13" t="s">
        <v>59</v>
      </c>
      <c r="J130" s="1"/>
      <c r="K130" s="1">
        <v>14</v>
      </c>
      <c r="L130" s="1">
        <f t="shared" si="20"/>
        <v>-28</v>
      </c>
      <c r="M130" s="1"/>
      <c r="N130" s="1"/>
      <c r="O130" s="1">
        <v>75</v>
      </c>
      <c r="P130" s="1">
        <v>-76.666666666666671</v>
      </c>
      <c r="Q130" s="1"/>
      <c r="R130" s="1">
        <v>150</v>
      </c>
      <c r="S130" s="1">
        <v>-150</v>
      </c>
      <c r="T130" s="1"/>
      <c r="U130" s="1">
        <f t="shared" si="21"/>
        <v>-2.8</v>
      </c>
      <c r="V130" s="5">
        <v>150</v>
      </c>
      <c r="W130" s="5">
        <f>V130*$W$1</f>
        <v>105</v>
      </c>
      <c r="X130" s="1">
        <f t="shared" si="22"/>
        <v>-87.976190476190482</v>
      </c>
      <c r="Y130" s="1">
        <f t="shared" si="23"/>
        <v>-50.476190476190474</v>
      </c>
      <c r="Z130" s="1">
        <f>VLOOKUP(A130,[1]Sheet!$A:$U,21,0)</f>
        <v>-3</v>
      </c>
      <c r="AA130" s="1">
        <v>-2</v>
      </c>
      <c r="AB130" s="1">
        <v>-2.4</v>
      </c>
      <c r="AC130" s="1">
        <v>24.4</v>
      </c>
      <c r="AD130" s="1">
        <v>53.6</v>
      </c>
      <c r="AE130" s="1">
        <v>89.4</v>
      </c>
      <c r="AF130" s="1">
        <v>93</v>
      </c>
      <c r="AG130" s="1">
        <v>65.8</v>
      </c>
      <c r="AH130" s="1">
        <v>68.400000000000006</v>
      </c>
      <c r="AI130" s="1">
        <v>71</v>
      </c>
      <c r="AJ130" s="1"/>
      <c r="AK130" s="1">
        <f t="shared" si="24"/>
        <v>32</v>
      </c>
      <c r="AL130" t="s">
        <v>304</v>
      </c>
    </row>
    <row r="131" spans="1:38" x14ac:dyDescent="0.25">
      <c r="A131" s="1" t="s">
        <v>305</v>
      </c>
      <c r="B131" s="1" t="s">
        <v>41</v>
      </c>
      <c r="C131" s="1">
        <v>302.82100000000003</v>
      </c>
      <c r="D131" s="1">
        <v>370.23</v>
      </c>
      <c r="E131" s="1">
        <v>255.50200000000001</v>
      </c>
      <c r="F131" s="1">
        <v>357.91</v>
      </c>
      <c r="G131" s="7">
        <v>1</v>
      </c>
      <c r="H131" s="1">
        <v>50</v>
      </c>
      <c r="I131" s="1" t="s">
        <v>42</v>
      </c>
      <c r="J131" s="1"/>
      <c r="K131" s="1">
        <v>257.5</v>
      </c>
      <c r="L131" s="1">
        <f t="shared" si="20"/>
        <v>-1.9979999999999905</v>
      </c>
      <c r="M131" s="1"/>
      <c r="N131" s="1"/>
      <c r="O131" s="1">
        <v>149.00191033499991</v>
      </c>
      <c r="P131" s="1"/>
      <c r="Q131" s="1"/>
      <c r="R131" s="1">
        <v>28.824471000000131</v>
      </c>
      <c r="S131" s="1"/>
      <c r="T131" s="1"/>
      <c r="U131" s="1">
        <f t="shared" si="21"/>
        <v>51.1004</v>
      </c>
      <c r="V131" s="5">
        <v>106.29288966500002</v>
      </c>
      <c r="W131" s="5">
        <f>V131</f>
        <v>106.29288966500002</v>
      </c>
      <c r="X131" s="1">
        <f t="shared" si="22"/>
        <v>12.56407525185713</v>
      </c>
      <c r="Y131" s="1">
        <f t="shared" si="23"/>
        <v>10.483995846118622</v>
      </c>
      <c r="Z131" s="1">
        <f>VLOOKUP(A131,[1]Sheet!$A:$U,21,0)</f>
        <v>57.785000000000004</v>
      </c>
      <c r="AA131" s="1">
        <v>63.404400000000003</v>
      </c>
      <c r="AB131" s="1">
        <v>59.213000000000001</v>
      </c>
      <c r="AC131" s="1">
        <v>48.825200000000002</v>
      </c>
      <c r="AD131" s="1">
        <v>45.4114</v>
      </c>
      <c r="AE131" s="1">
        <v>53.256399999999999</v>
      </c>
      <c r="AF131" s="1">
        <v>58.144799999999996</v>
      </c>
      <c r="AG131" s="1">
        <v>62.955399999999997</v>
      </c>
      <c r="AH131" s="1">
        <v>66.096400000000003</v>
      </c>
      <c r="AI131" s="1">
        <v>58.156999999999996</v>
      </c>
      <c r="AJ131" s="1"/>
      <c r="AK131" s="1">
        <f t="shared" si="24"/>
        <v>106</v>
      </c>
      <c r="AL131" t="s">
        <v>306</v>
      </c>
    </row>
    <row r="132" spans="1:38" x14ac:dyDescent="0.25">
      <c r="A132" s="1" t="s">
        <v>307</v>
      </c>
      <c r="B132" s="1" t="s">
        <v>49</v>
      </c>
      <c r="C132" s="1">
        <v>22</v>
      </c>
      <c r="D132" s="1">
        <v>150</v>
      </c>
      <c r="E132" s="1">
        <v>169</v>
      </c>
      <c r="F132" s="1">
        <v>-4</v>
      </c>
      <c r="G132" s="7">
        <v>0.3</v>
      </c>
      <c r="H132" s="1">
        <v>40</v>
      </c>
      <c r="I132" s="13" t="s">
        <v>59</v>
      </c>
      <c r="J132" s="1"/>
      <c r="K132" s="1">
        <v>331</v>
      </c>
      <c r="L132" s="1">
        <f t="shared" si="20"/>
        <v>-162</v>
      </c>
      <c r="M132" s="1"/>
      <c r="N132" s="1"/>
      <c r="O132" s="1">
        <v>100</v>
      </c>
      <c r="P132" s="1"/>
      <c r="Q132" s="1"/>
      <c r="R132" s="1">
        <v>150</v>
      </c>
      <c r="S132" s="1">
        <v>-150</v>
      </c>
      <c r="T132" s="1"/>
      <c r="U132" s="1">
        <f t="shared" si="21"/>
        <v>33.799999999999997</v>
      </c>
      <c r="V132" s="5">
        <v>150</v>
      </c>
      <c r="W132" s="5">
        <f>V132*$W$1</f>
        <v>105</v>
      </c>
      <c r="X132" s="1">
        <f t="shared" si="22"/>
        <v>10.384615384615385</v>
      </c>
      <c r="Y132" s="1">
        <f t="shared" si="23"/>
        <v>7.27810650887574</v>
      </c>
      <c r="Z132" s="1">
        <f>VLOOKUP(A132,[1]Sheet!$A:$U,21,0)</f>
        <v>44.6</v>
      </c>
      <c r="AA132" s="1">
        <v>75.2</v>
      </c>
      <c r="AB132" s="1">
        <v>37.6</v>
      </c>
      <c r="AC132" s="1">
        <v>25.8</v>
      </c>
      <c r="AD132" s="1">
        <v>48.8</v>
      </c>
      <c r="AE132" s="1">
        <v>63.2</v>
      </c>
      <c r="AF132" s="1">
        <v>63.4</v>
      </c>
      <c r="AG132" s="1">
        <v>55</v>
      </c>
      <c r="AH132" s="1">
        <v>46.8</v>
      </c>
      <c r="AI132" s="1">
        <v>58.4</v>
      </c>
      <c r="AJ132" s="1"/>
      <c r="AK132" s="1">
        <f t="shared" si="24"/>
        <v>32</v>
      </c>
      <c r="AL132" t="s">
        <v>308</v>
      </c>
    </row>
    <row r="133" spans="1:38" x14ac:dyDescent="0.25">
      <c r="A133" s="1" t="s">
        <v>309</v>
      </c>
      <c r="B133" s="1" t="s">
        <v>49</v>
      </c>
      <c r="C133" s="1">
        <v>105</v>
      </c>
      <c r="D133" s="1">
        <v>45</v>
      </c>
      <c r="E133" s="1">
        <v>103</v>
      </c>
      <c r="F133" s="1">
        <v>16</v>
      </c>
      <c r="G133" s="7">
        <v>0.12</v>
      </c>
      <c r="H133" s="1">
        <v>45</v>
      </c>
      <c r="I133" s="13" t="s">
        <v>59</v>
      </c>
      <c r="J133" s="1"/>
      <c r="K133" s="1">
        <v>111</v>
      </c>
      <c r="L133" s="1">
        <f t="shared" si="20"/>
        <v>-8</v>
      </c>
      <c r="M133" s="1"/>
      <c r="N133" s="1"/>
      <c r="O133" s="1">
        <v>17.099999999999991</v>
      </c>
      <c r="P133" s="1">
        <v>-33.333333333333343</v>
      </c>
      <c r="Q133" s="1"/>
      <c r="R133" s="1">
        <v>40</v>
      </c>
      <c r="S133" s="1"/>
      <c r="T133" s="1"/>
      <c r="U133" s="1">
        <f t="shared" si="21"/>
        <v>20.6</v>
      </c>
      <c r="V133" s="5">
        <v>80</v>
      </c>
      <c r="W133" s="5">
        <f>V133*$W$1</f>
        <v>56</v>
      </c>
      <c r="X133" s="1">
        <f t="shared" si="22"/>
        <v>4.6488673139158569</v>
      </c>
      <c r="Y133" s="1">
        <f t="shared" si="23"/>
        <v>1.9304207119741092</v>
      </c>
      <c r="Z133" s="1">
        <f>VLOOKUP(A133,[1]Sheet!$A:$U,21,0)</f>
        <v>19.8</v>
      </c>
      <c r="AA133" s="1">
        <v>13.6</v>
      </c>
      <c r="AB133" s="1">
        <v>12.4</v>
      </c>
      <c r="AC133" s="1">
        <v>11.6</v>
      </c>
      <c r="AD133" s="1">
        <v>13.4</v>
      </c>
      <c r="AE133" s="1">
        <v>14.2</v>
      </c>
      <c r="AF133" s="1">
        <v>11.8</v>
      </c>
      <c r="AG133" s="1">
        <v>8</v>
      </c>
      <c r="AH133" s="1">
        <v>6.8</v>
      </c>
      <c r="AI133" s="1">
        <v>10.199999999999999</v>
      </c>
      <c r="AJ133" s="1"/>
      <c r="AK133" s="1">
        <f t="shared" si="24"/>
        <v>7</v>
      </c>
      <c r="AL133" t="s">
        <v>310</v>
      </c>
    </row>
    <row r="134" spans="1:38" x14ac:dyDescent="0.25">
      <c r="A134" s="9" t="s">
        <v>311</v>
      </c>
      <c r="B134" s="9" t="s">
        <v>49</v>
      </c>
      <c r="C134" s="9">
        <v>-1</v>
      </c>
      <c r="D134" s="9">
        <v>50</v>
      </c>
      <c r="E134" s="12">
        <v>2</v>
      </c>
      <c r="F134" s="12">
        <v>46</v>
      </c>
      <c r="G134" s="10">
        <v>0</v>
      </c>
      <c r="H134" s="9"/>
      <c r="I134" s="9" t="s">
        <v>312</v>
      </c>
      <c r="J134" s="9" t="s">
        <v>296</v>
      </c>
      <c r="K134" s="9">
        <v>2</v>
      </c>
      <c r="L134" s="9">
        <f t="shared" ref="L134" si="26">E134-K134</f>
        <v>0</v>
      </c>
      <c r="M134" s="9"/>
      <c r="N134" s="9"/>
      <c r="O134" s="9"/>
      <c r="P134" s="9"/>
      <c r="Q134" s="9"/>
      <c r="R134" s="9">
        <v>0</v>
      </c>
      <c r="S134" s="9"/>
      <c r="T134" s="9"/>
      <c r="U134" s="9">
        <f t="shared" si="21"/>
        <v>0.4</v>
      </c>
      <c r="V134" s="11"/>
      <c r="W134" s="5">
        <f>V134</f>
        <v>0</v>
      </c>
      <c r="X134" s="1">
        <f t="shared" ref="X134" si="27">(F134+O134+P134+Q134+R134+W134)/U134</f>
        <v>115</v>
      </c>
      <c r="Y134" s="9">
        <f t="shared" si="23"/>
        <v>115</v>
      </c>
      <c r="Z134" s="9">
        <f>VLOOKUP(A134,[1]Sheet!$A:$U,21,0)</f>
        <v>0.4</v>
      </c>
      <c r="AA134" s="9">
        <v>0.2</v>
      </c>
      <c r="AB134" s="9">
        <v>0</v>
      </c>
      <c r="AC134" s="9">
        <v>0</v>
      </c>
      <c r="AD134" s="9">
        <v>0</v>
      </c>
      <c r="AE134" s="9">
        <v>1</v>
      </c>
      <c r="AF134" s="9">
        <v>1</v>
      </c>
      <c r="AG134" s="9">
        <v>0</v>
      </c>
      <c r="AH134" s="9">
        <v>0</v>
      </c>
      <c r="AI134" s="9">
        <v>0</v>
      </c>
      <c r="AJ134" s="9"/>
      <c r="AK134" s="1">
        <f t="shared" si="24"/>
        <v>0</v>
      </c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</sheetData>
  <autoFilter ref="A3:AK134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4BD3-048D-4234-A8D5-5EDA52D20D8B}">
  <dimension ref="A1:H23"/>
  <sheetViews>
    <sheetView workbookViewId="0">
      <selection activeCell="J16" sqref="J16"/>
    </sheetView>
  </sheetViews>
  <sheetFormatPr defaultRowHeight="15" x14ac:dyDescent="0.25"/>
  <cols>
    <col min="2" max="2" width="9.140625" style="19"/>
    <col min="3" max="3" width="111.140625" bestFit="1" customWidth="1"/>
  </cols>
  <sheetData>
    <row r="1" spans="1:8" x14ac:dyDescent="0.25">
      <c r="A1" t="s">
        <v>313</v>
      </c>
      <c r="B1" s="19" t="str">
        <f>SUBSTITUTE(A1," ","")</f>
        <v>SU001051</v>
      </c>
      <c r="C1" t="s">
        <v>314</v>
      </c>
      <c r="D1" t="s">
        <v>315</v>
      </c>
      <c r="E1" t="s">
        <v>316</v>
      </c>
      <c r="F1" t="s">
        <v>316</v>
      </c>
      <c r="G1" t="s">
        <v>317</v>
      </c>
      <c r="H1">
        <f>--SUBSTITUTE(G1," ","")</f>
        <v>-252</v>
      </c>
    </row>
    <row r="2" spans="1:8" x14ac:dyDescent="0.25">
      <c r="A2" t="s">
        <v>318</v>
      </c>
      <c r="B2" s="19" t="str">
        <f t="shared" ref="B2:B23" si="0">SUBSTITUTE(A2," ","")</f>
        <v>SU002205</v>
      </c>
      <c r="C2" t="s">
        <v>319</v>
      </c>
      <c r="D2" t="s">
        <v>320</v>
      </c>
      <c r="E2" t="s">
        <v>320</v>
      </c>
      <c r="F2" t="s">
        <v>316</v>
      </c>
      <c r="G2" t="s">
        <v>321</v>
      </c>
      <c r="H2">
        <f t="shared" ref="H2:H23" si="1">--SUBSTITUTE(G2," ","")</f>
        <v>-5</v>
      </c>
    </row>
    <row r="3" spans="1:8" x14ac:dyDescent="0.25">
      <c r="A3" t="s">
        <v>322</v>
      </c>
      <c r="B3" s="19" t="str">
        <f t="shared" si="0"/>
        <v>SU002287</v>
      </c>
      <c r="C3" t="s">
        <v>323</v>
      </c>
      <c r="D3" t="s">
        <v>324</v>
      </c>
      <c r="E3" t="s">
        <v>316</v>
      </c>
      <c r="F3" t="s">
        <v>316</v>
      </c>
      <c r="G3" t="s">
        <v>325</v>
      </c>
      <c r="H3">
        <f t="shared" si="1"/>
        <v>-108</v>
      </c>
    </row>
    <row r="4" spans="1:8" x14ac:dyDescent="0.25">
      <c r="A4" t="s">
        <v>326</v>
      </c>
      <c r="B4" s="19" t="str">
        <f t="shared" si="0"/>
        <v>SU002356</v>
      </c>
      <c r="C4" t="s">
        <v>327</v>
      </c>
      <c r="D4" t="s">
        <v>328</v>
      </c>
      <c r="E4" t="s">
        <v>316</v>
      </c>
      <c r="F4" t="s">
        <v>316</v>
      </c>
      <c r="G4" t="s">
        <v>329</v>
      </c>
      <c r="H4">
        <f t="shared" si="1"/>
        <v>-2</v>
      </c>
    </row>
    <row r="5" spans="1:8" x14ac:dyDescent="0.25">
      <c r="A5" t="s">
        <v>330</v>
      </c>
      <c r="B5" s="19" t="str">
        <f t="shared" si="0"/>
        <v>SU002655</v>
      </c>
      <c r="C5" t="s">
        <v>331</v>
      </c>
      <c r="D5" t="s">
        <v>332</v>
      </c>
      <c r="E5" t="s">
        <v>316</v>
      </c>
      <c r="F5" t="s">
        <v>316</v>
      </c>
      <c r="G5" t="s">
        <v>333</v>
      </c>
      <c r="H5">
        <f t="shared" si="1"/>
        <v>-27</v>
      </c>
    </row>
    <row r="6" spans="1:8" x14ac:dyDescent="0.25">
      <c r="A6" t="s">
        <v>334</v>
      </c>
      <c r="B6" s="19" t="str">
        <f t="shared" si="0"/>
        <v>SU002660</v>
      </c>
      <c r="C6" t="s">
        <v>335</v>
      </c>
      <c r="D6" t="s">
        <v>336</v>
      </c>
      <c r="E6" t="s">
        <v>316</v>
      </c>
      <c r="F6" t="s">
        <v>316</v>
      </c>
      <c r="G6" t="s">
        <v>337</v>
      </c>
      <c r="H6">
        <f t="shared" si="1"/>
        <v>-36</v>
      </c>
    </row>
    <row r="7" spans="1:8" x14ac:dyDescent="0.25">
      <c r="A7" t="s">
        <v>338</v>
      </c>
      <c r="B7" s="19" t="str">
        <f t="shared" si="0"/>
        <v>SU002725</v>
      </c>
      <c r="C7" t="s">
        <v>339</v>
      </c>
      <c r="D7" t="s">
        <v>340</v>
      </c>
      <c r="E7" t="s">
        <v>340</v>
      </c>
      <c r="F7" t="s">
        <v>341</v>
      </c>
      <c r="G7" t="s">
        <v>342</v>
      </c>
      <c r="H7">
        <f t="shared" si="1"/>
        <v>-141</v>
      </c>
    </row>
    <row r="8" spans="1:8" x14ac:dyDescent="0.25">
      <c r="A8" t="s">
        <v>343</v>
      </c>
      <c r="B8" s="19" t="str">
        <f t="shared" si="0"/>
        <v>SU002758</v>
      </c>
      <c r="C8" t="s">
        <v>344</v>
      </c>
      <c r="D8" t="s">
        <v>345</v>
      </c>
      <c r="E8" t="s">
        <v>316</v>
      </c>
      <c r="F8" t="s">
        <v>316</v>
      </c>
      <c r="G8" t="s">
        <v>346</v>
      </c>
      <c r="H8">
        <f t="shared" si="1"/>
        <v>-34</v>
      </c>
    </row>
    <row r="9" spans="1:8" x14ac:dyDescent="0.25">
      <c r="A9" t="s">
        <v>347</v>
      </c>
      <c r="B9" s="19" t="str">
        <f t="shared" si="0"/>
        <v>SU002941</v>
      </c>
      <c r="C9" t="s">
        <v>348</v>
      </c>
      <c r="D9" t="s">
        <v>349</v>
      </c>
      <c r="E9" t="s">
        <v>316</v>
      </c>
      <c r="F9" t="s">
        <v>316</v>
      </c>
      <c r="G9" t="s">
        <v>350</v>
      </c>
      <c r="H9">
        <f t="shared" si="1"/>
        <v>-151</v>
      </c>
    </row>
    <row r="10" spans="1:8" x14ac:dyDescent="0.25">
      <c r="A10" t="s">
        <v>351</v>
      </c>
      <c r="B10" s="19" t="str">
        <f t="shared" si="0"/>
        <v>SU002942</v>
      </c>
      <c r="C10" t="s">
        <v>352</v>
      </c>
      <c r="D10" t="s">
        <v>353</v>
      </c>
      <c r="E10" t="s">
        <v>316</v>
      </c>
      <c r="F10" t="s">
        <v>316</v>
      </c>
      <c r="G10" t="s">
        <v>354</v>
      </c>
      <c r="H10">
        <f t="shared" si="1"/>
        <v>-45</v>
      </c>
    </row>
    <row r="11" spans="1:8" x14ac:dyDescent="0.25">
      <c r="A11" t="s">
        <v>355</v>
      </c>
      <c r="B11" s="19" t="str">
        <f t="shared" si="0"/>
        <v>SU002943</v>
      </c>
      <c r="C11" t="s">
        <v>356</v>
      </c>
      <c r="D11" t="s">
        <v>357</v>
      </c>
      <c r="E11" t="s">
        <v>316</v>
      </c>
      <c r="F11" t="s">
        <v>316</v>
      </c>
      <c r="G11" t="s">
        <v>358</v>
      </c>
      <c r="H11">
        <f t="shared" si="1"/>
        <v>-205</v>
      </c>
    </row>
    <row r="12" spans="1:8" x14ac:dyDescent="0.25">
      <c r="A12" t="s">
        <v>359</v>
      </c>
      <c r="B12" s="19" t="str">
        <f t="shared" si="0"/>
        <v>SU002944</v>
      </c>
      <c r="C12" t="s">
        <v>360</v>
      </c>
      <c r="D12" t="s">
        <v>361</v>
      </c>
      <c r="E12" t="s">
        <v>316</v>
      </c>
      <c r="F12" t="s">
        <v>316</v>
      </c>
      <c r="G12" t="s">
        <v>362</v>
      </c>
      <c r="H12">
        <f t="shared" si="1"/>
        <v>-61</v>
      </c>
    </row>
    <row r="13" spans="1:8" x14ac:dyDescent="0.25">
      <c r="A13" t="s">
        <v>363</v>
      </c>
      <c r="B13" s="19" t="str">
        <f t="shared" si="0"/>
        <v>SU002945</v>
      </c>
      <c r="C13" t="s">
        <v>364</v>
      </c>
      <c r="D13" t="s">
        <v>365</v>
      </c>
      <c r="E13" t="s">
        <v>316</v>
      </c>
      <c r="F13" t="s">
        <v>316</v>
      </c>
      <c r="G13" t="s">
        <v>366</v>
      </c>
      <c r="H13">
        <f t="shared" si="1"/>
        <v>-351</v>
      </c>
    </row>
    <row r="14" spans="1:8" x14ac:dyDescent="0.25">
      <c r="A14" t="s">
        <v>367</v>
      </c>
      <c r="B14" s="19" t="str">
        <f t="shared" si="0"/>
        <v>SU002948</v>
      </c>
      <c r="C14" t="s">
        <v>368</v>
      </c>
      <c r="D14" t="s">
        <v>369</v>
      </c>
      <c r="E14" t="s">
        <v>316</v>
      </c>
      <c r="F14" t="s">
        <v>316</v>
      </c>
      <c r="G14" t="s">
        <v>370</v>
      </c>
      <c r="H14">
        <f t="shared" si="1"/>
        <v>-31</v>
      </c>
    </row>
    <row r="15" spans="1:8" x14ac:dyDescent="0.25">
      <c r="A15" t="s">
        <v>371</v>
      </c>
      <c r="B15" s="19" t="str">
        <f t="shared" si="0"/>
        <v>SU002984</v>
      </c>
      <c r="C15" t="s">
        <v>372</v>
      </c>
      <c r="D15" t="s">
        <v>373</v>
      </c>
      <c r="E15" t="s">
        <v>316</v>
      </c>
      <c r="F15" t="s">
        <v>316</v>
      </c>
      <c r="G15" t="s">
        <v>374</v>
      </c>
      <c r="H15">
        <f t="shared" si="1"/>
        <v>-13</v>
      </c>
    </row>
    <row r="16" spans="1:8" x14ac:dyDescent="0.25">
      <c r="A16" t="s">
        <v>375</v>
      </c>
      <c r="B16" s="19" t="str">
        <f t="shared" si="0"/>
        <v>SU002985</v>
      </c>
      <c r="C16" t="s">
        <v>376</v>
      </c>
      <c r="D16" t="s">
        <v>377</v>
      </c>
      <c r="E16" t="s">
        <v>316</v>
      </c>
      <c r="F16" t="s">
        <v>316</v>
      </c>
      <c r="G16" t="s">
        <v>378</v>
      </c>
      <c r="H16">
        <f t="shared" si="1"/>
        <v>-14</v>
      </c>
    </row>
    <row r="17" spans="1:8" x14ac:dyDescent="0.25">
      <c r="A17" t="s">
        <v>379</v>
      </c>
      <c r="B17" s="19" t="str">
        <f t="shared" si="0"/>
        <v>SU003168</v>
      </c>
      <c r="C17" t="s">
        <v>380</v>
      </c>
      <c r="D17" t="s">
        <v>336</v>
      </c>
      <c r="E17" t="s">
        <v>316</v>
      </c>
      <c r="F17" t="s">
        <v>316</v>
      </c>
      <c r="G17" t="s">
        <v>337</v>
      </c>
      <c r="H17">
        <f t="shared" si="1"/>
        <v>-36</v>
      </c>
    </row>
    <row r="18" spans="1:8" x14ac:dyDescent="0.25">
      <c r="A18" t="s">
        <v>381</v>
      </c>
      <c r="B18" s="19" t="str">
        <f t="shared" si="0"/>
        <v>SU003178</v>
      </c>
      <c r="C18" t="s">
        <v>382</v>
      </c>
      <c r="D18" t="s">
        <v>383</v>
      </c>
      <c r="E18" t="s">
        <v>383</v>
      </c>
      <c r="F18" t="s">
        <v>316</v>
      </c>
      <c r="G18" t="s">
        <v>384</v>
      </c>
      <c r="H18">
        <f t="shared" si="1"/>
        <v>-16</v>
      </c>
    </row>
    <row r="19" spans="1:8" x14ac:dyDescent="0.25">
      <c r="A19" t="s">
        <v>385</v>
      </c>
      <c r="B19" s="19" t="str">
        <f t="shared" si="0"/>
        <v>SU003753</v>
      </c>
      <c r="C19" t="s">
        <v>386</v>
      </c>
      <c r="D19" t="s">
        <v>387</v>
      </c>
      <c r="E19" t="s">
        <v>316</v>
      </c>
      <c r="F19" t="s">
        <v>316</v>
      </c>
      <c r="G19" t="s">
        <v>388</v>
      </c>
      <c r="H19">
        <f t="shared" si="1"/>
        <v>-7</v>
      </c>
    </row>
    <row r="20" spans="1:8" x14ac:dyDescent="0.25">
      <c r="A20" t="s">
        <v>389</v>
      </c>
      <c r="B20" s="19" t="str">
        <f t="shared" si="0"/>
        <v>SU003829</v>
      </c>
      <c r="C20" t="s">
        <v>390</v>
      </c>
      <c r="D20" t="s">
        <v>353</v>
      </c>
      <c r="E20" t="s">
        <v>316</v>
      </c>
      <c r="F20" t="s">
        <v>316</v>
      </c>
      <c r="G20" t="s">
        <v>354</v>
      </c>
      <c r="H20">
        <f t="shared" si="1"/>
        <v>-45</v>
      </c>
    </row>
    <row r="21" spans="1:8" x14ac:dyDescent="0.25">
      <c r="A21" t="s">
        <v>391</v>
      </c>
      <c r="B21" s="19" t="str">
        <f t="shared" si="0"/>
        <v>SU004041</v>
      </c>
      <c r="C21" t="s">
        <v>392</v>
      </c>
      <c r="D21" t="s">
        <v>393</v>
      </c>
      <c r="E21" t="s">
        <v>316</v>
      </c>
      <c r="F21" t="s">
        <v>316</v>
      </c>
      <c r="G21" t="s">
        <v>394</v>
      </c>
      <c r="H21">
        <f t="shared" si="1"/>
        <v>-203</v>
      </c>
    </row>
    <row r="22" spans="1:8" x14ac:dyDescent="0.25">
      <c r="A22" t="s">
        <v>395</v>
      </c>
      <c r="B22" s="19" t="str">
        <f t="shared" si="0"/>
        <v>SU004044</v>
      </c>
      <c r="C22" t="s">
        <v>396</v>
      </c>
      <c r="D22" t="s">
        <v>315</v>
      </c>
      <c r="E22" t="s">
        <v>316</v>
      </c>
      <c r="F22" t="s">
        <v>316</v>
      </c>
      <c r="G22" t="s">
        <v>317</v>
      </c>
      <c r="H22">
        <f t="shared" si="1"/>
        <v>-252</v>
      </c>
    </row>
    <row r="23" spans="1:8" x14ac:dyDescent="0.25">
      <c r="A23" t="s">
        <v>397</v>
      </c>
      <c r="B23" s="19" t="str">
        <f t="shared" si="0"/>
        <v>SU004157</v>
      </c>
      <c r="C23" t="s">
        <v>398</v>
      </c>
      <c r="D23" t="s">
        <v>399</v>
      </c>
      <c r="E23" t="s">
        <v>399</v>
      </c>
      <c r="F23" t="s">
        <v>400</v>
      </c>
      <c r="G23" t="s">
        <v>401</v>
      </c>
      <c r="H23">
        <f t="shared" si="1"/>
        <v>-54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недгоруз 30,08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2026-08-27T18:50:22Z</dcterms:created>
  <dcterms:modified xsi:type="dcterms:W3CDTF">2026-09-01T12:01:19Z</dcterms:modified>
</cp:coreProperties>
</file>