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31,08-01,09,26\"/>
    </mc:Choice>
  </mc:AlternateContent>
  <xr:revisionPtr revIDLastSave="0" documentId="13_ncr:1_{8620D7D5-A956-4F5D-89EA-1BC899A84F7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Z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Z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Z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Z487" i="2" s="1"/>
  <c r="P487" i="2"/>
  <c r="BP486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Y483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P465" i="2"/>
  <c r="BO465" i="2"/>
  <c r="BM465" i="2"/>
  <c r="Y465" i="2"/>
  <c r="P465" i="2"/>
  <c r="X463" i="2"/>
  <c r="X462" i="2"/>
  <c r="BO461" i="2"/>
  <c r="BM461" i="2"/>
  <c r="Z461" i="2"/>
  <c r="Y461" i="2"/>
  <c r="BN461" i="2" s="1"/>
  <c r="P461" i="2"/>
  <c r="BO460" i="2"/>
  <c r="BM460" i="2"/>
  <c r="Y460" i="2"/>
  <c r="Z460" i="2" s="1"/>
  <c r="Z462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Z438" i="2"/>
  <c r="Y438" i="2"/>
  <c r="BN438" i="2" s="1"/>
  <c r="P438" i="2"/>
  <c r="BO437" i="2"/>
  <c r="BM437" i="2"/>
  <c r="Y437" i="2"/>
  <c r="P437" i="2"/>
  <c r="BO436" i="2"/>
  <c r="BM436" i="2"/>
  <c r="Y436" i="2"/>
  <c r="BN436" i="2" s="1"/>
  <c r="P436" i="2"/>
  <c r="BP435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P417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Z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P400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Z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P374" i="2"/>
  <c r="BO374" i="2"/>
  <c r="BM374" i="2"/>
  <c r="Y374" i="2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Z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P347" i="2"/>
  <c r="BP346" i="2"/>
  <c r="BO346" i="2"/>
  <c r="BM346" i="2"/>
  <c r="Y346" i="2"/>
  <c r="P346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Z314" i="2"/>
  <c r="Z315" i="2" s="1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P304" i="2"/>
  <c r="BO304" i="2"/>
  <c r="BM304" i="2"/>
  <c r="Y304" i="2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Z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P283" i="2"/>
  <c r="BO283" i="2"/>
  <c r="BN283" i="2"/>
  <c r="BM283" i="2"/>
  <c r="Z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P272" i="2"/>
  <c r="BO272" i="2"/>
  <c r="BN272" i="2"/>
  <c r="BM272" i="2"/>
  <c r="Z272" i="2"/>
  <c r="Y272" i="2"/>
  <c r="P272" i="2"/>
  <c r="X270" i="2"/>
  <c r="Y269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Z229" i="2"/>
  <c r="Y229" i="2"/>
  <c r="BN229" i="2" s="1"/>
  <c r="P229" i="2"/>
  <c r="BO228" i="2"/>
  <c r="BM228" i="2"/>
  <c r="Y228" i="2"/>
  <c r="BN228" i="2" s="1"/>
  <c r="P228" i="2"/>
  <c r="BO227" i="2"/>
  <c r="BM227" i="2"/>
  <c r="Z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N217" i="2"/>
  <c r="BM217" i="2"/>
  <c r="Z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P201" i="2"/>
  <c r="BO201" i="2"/>
  <c r="BN201" i="2"/>
  <c r="BM201" i="2"/>
  <c r="Z201" i="2"/>
  <c r="Z202" i="2" s="1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Z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Z170" i="2"/>
  <c r="Y170" i="2"/>
  <c r="BN170" i="2" s="1"/>
  <c r="P170" i="2"/>
  <c r="BO169" i="2"/>
  <c r="BM169" i="2"/>
  <c r="Y169" i="2"/>
  <c r="P169" i="2"/>
  <c r="X166" i="2"/>
  <c r="X165" i="2"/>
  <c r="BO164" i="2"/>
  <c r="BM164" i="2"/>
  <c r="Z164" i="2"/>
  <c r="Z165" i="2" s="1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Z138" i="2"/>
  <c r="Y138" i="2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N104" i="2" s="1"/>
  <c r="P104" i="2"/>
  <c r="BP103" i="2"/>
  <c r="BO103" i="2"/>
  <c r="BN103" i="2"/>
  <c r="BM103" i="2"/>
  <c r="Z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P85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P59" i="2"/>
  <c r="BO59" i="2"/>
  <c r="BN59" i="2"/>
  <c r="BM59" i="2"/>
  <c r="Z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Z55" i="2"/>
  <c r="Y55" i="2"/>
  <c r="P55" i="2"/>
  <c r="X52" i="2"/>
  <c r="X51" i="2"/>
  <c r="BO50" i="2"/>
  <c r="BM50" i="2"/>
  <c r="Y50" i="2"/>
  <c r="Z50" i="2" s="1"/>
  <c r="P50" i="2"/>
  <c r="BP49" i="2"/>
  <c r="BO49" i="2"/>
  <c r="BN49" i="2"/>
  <c r="BM49" i="2"/>
  <c r="Z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C569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F10" i="2" s="1"/>
  <c r="D7" i="2"/>
  <c r="Q6" i="2"/>
  <c r="P2" i="2"/>
  <c r="Z22" i="2" l="1"/>
  <c r="Y25" i="2"/>
  <c r="BN23" i="2"/>
  <c r="BN39" i="2"/>
  <c r="BP39" i="2"/>
  <c r="BP47" i="2"/>
  <c r="BN47" i="2"/>
  <c r="Z47" i="2"/>
  <c r="Z51" i="2" s="1"/>
  <c r="BN67" i="2"/>
  <c r="Z67" i="2"/>
  <c r="BN80" i="2"/>
  <c r="BN96" i="2"/>
  <c r="Z96" i="2"/>
  <c r="BN110" i="2"/>
  <c r="BN144" i="2"/>
  <c r="Z144" i="2"/>
  <c r="BN157" i="2"/>
  <c r="BP195" i="2"/>
  <c r="BN195" i="2"/>
  <c r="Z195" i="2"/>
  <c r="BN305" i="2"/>
  <c r="BN332" i="2"/>
  <c r="BN347" i="2"/>
  <c r="Z347" i="2"/>
  <c r="BN359" i="2"/>
  <c r="BN384" i="2"/>
  <c r="BN399" i="2"/>
  <c r="BN412" i="2"/>
  <c r="BP425" i="2"/>
  <c r="BN425" i="2"/>
  <c r="Z425" i="2"/>
  <c r="BN437" i="2"/>
  <c r="Z437" i="2"/>
  <c r="BN469" i="2"/>
  <c r="BN487" i="2"/>
  <c r="BN522" i="2"/>
  <c r="Y540" i="2"/>
  <c r="Y539" i="2"/>
  <c r="Z538" i="2"/>
  <c r="Z539" i="2" s="1"/>
  <c r="Y24" i="2"/>
  <c r="BN50" i="2"/>
  <c r="BP56" i="2"/>
  <c r="BN56" i="2"/>
  <c r="Z56" i="2"/>
  <c r="BN97" i="2"/>
  <c r="BP106" i="2"/>
  <c r="BN106" i="2"/>
  <c r="Z106" i="2"/>
  <c r="BP126" i="2"/>
  <c r="BN126" i="2"/>
  <c r="Z126" i="2"/>
  <c r="BP171" i="2"/>
  <c r="BN171" i="2"/>
  <c r="Z171" i="2"/>
  <c r="BN182" i="2"/>
  <c r="BN190" i="2"/>
  <c r="BN212" i="2"/>
  <c r="BN230" i="2"/>
  <c r="Z230" i="2"/>
  <c r="BP238" i="2"/>
  <c r="BN238" i="2"/>
  <c r="Z238" i="2"/>
  <c r="BN278" i="2"/>
  <c r="BN291" i="2"/>
  <c r="BN304" i="2"/>
  <c r="Z304" i="2"/>
  <c r="BP345" i="2"/>
  <c r="BN345" i="2"/>
  <c r="Z345" i="2"/>
  <c r="BP347" i="2"/>
  <c r="BP348" i="2"/>
  <c r="BN348" i="2"/>
  <c r="Z348" i="2"/>
  <c r="BN366" i="2"/>
  <c r="BN376" i="2"/>
  <c r="Y420" i="2"/>
  <c r="Y427" i="2"/>
  <c r="BN435" i="2"/>
  <c r="Z435" i="2"/>
  <c r="BN486" i="2"/>
  <c r="Y488" i="2"/>
  <c r="Z486" i="2"/>
  <c r="Z488" i="2" s="1"/>
  <c r="Y493" i="2"/>
  <c r="Z492" i="2"/>
  <c r="Z493" i="2" s="1"/>
  <c r="BN510" i="2"/>
  <c r="Z510" i="2"/>
  <c r="BN526" i="2"/>
  <c r="BN31" i="2"/>
  <c r="BN40" i="2"/>
  <c r="Y52" i="2"/>
  <c r="BN71" i="2"/>
  <c r="Y112" i="2"/>
  <c r="BN115" i="2"/>
  <c r="Y161" i="2"/>
  <c r="BN176" i="2"/>
  <c r="BN183" i="2"/>
  <c r="BN186" i="2"/>
  <c r="BN191" i="2"/>
  <c r="BN231" i="2"/>
  <c r="BN245" i="2"/>
  <c r="BN253" i="2"/>
  <c r="BN268" i="2"/>
  <c r="BN276" i="2"/>
  <c r="BN286" i="2"/>
  <c r="BN330" i="2"/>
  <c r="BN378" i="2"/>
  <c r="BP392" i="2"/>
  <c r="BN393" i="2"/>
  <c r="BP438" i="2"/>
  <c r="BP461" i="2"/>
  <c r="BN479" i="2"/>
  <c r="BP498" i="2"/>
  <c r="BN525" i="2"/>
  <c r="BN534" i="2"/>
  <c r="Z432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Z68" i="2" s="1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0" i="2"/>
  <c r="Z355" i="2"/>
  <c r="BP354" i="2"/>
  <c r="Z362" i="2"/>
  <c r="BP384" i="2"/>
  <c r="Y394" i="2"/>
  <c r="Z393" i="2"/>
  <c r="Z399" i="2"/>
  <c r="Y419" i="2"/>
  <c r="Z423" i="2"/>
  <c r="Z426" i="2" s="1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Z419" i="2" s="1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Z264" i="2" s="1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0" i="2" s="1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57" i="2"/>
  <c r="Z180" i="2"/>
  <c r="Z188" i="2"/>
  <c r="Z212" i="2"/>
  <c r="Z233" i="2"/>
  <c r="Z240" i="2" s="1"/>
  <c r="Z243" i="2"/>
  <c r="Z253" i="2"/>
  <c r="Z254" i="2" s="1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388" i="2" l="1"/>
  <c r="Z325" i="2"/>
  <c r="Z129" i="2"/>
  <c r="Z134" i="2"/>
  <c r="Z111" i="2"/>
  <c r="Z407" i="2"/>
  <c r="Z341" i="2"/>
  <c r="Z198" i="2"/>
  <c r="Z401" i="2"/>
  <c r="Z61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<sst xmlns="http://schemas.openxmlformats.org/spreadsheetml/2006/main" count="4335" uniqueCount="917">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</sst>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/>
      <c r="I5" s="998"/>
      <c r="J5" s="998"/>
      <c r="K5" s="998"/>
      <c r="L5" s="998"/>
      <c r="M5" s="998"/>
      <c r="N5" s="72"/>
      <c r="P5" s="27" t="s">
        <v>4</v>
      </c>
      <c r="Q5" s="1000">
        <v>46265</v>
      </c>
      <c r="R5" s="1000"/>
      <c r="T5" s="1001" t="s">
        <v>3</v>
      </c>
      <c r="U5" s="1002"/>
      <c r="V5" s="1003" t="s">
        <v>877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/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>
        <f>IFERROR(VLOOKUP(DeliveryAddress,Table,3,0),1)</f>
        <v>1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0.41666666666666669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6">
        <v>4680115880283</v>
      </c>
      <c r="E57" s="666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66">
        <v>4680115881525</v>
      </c>
      <c r="E58" s="666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6">
        <v>4680115885899</v>
      </c>
      <c r="E59" s="666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6">
        <v>4680115881419</v>
      </c>
      <c r="E60" s="666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5" t="s">
        <v>155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66">
        <v>4680115881440</v>
      </c>
      <c r="E64" s="666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6">
        <v>4680115885950</v>
      </c>
      <c r="E65" s="666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6">
        <v>4680115887688</v>
      </c>
      <c r="E66" s="666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66">
        <v>4680115881433</v>
      </c>
      <c r="E67" s="666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5" t="s">
        <v>86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6">
        <v>4680115884311</v>
      </c>
      <c r="E71" s="666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66">
        <v>4680115884403</v>
      </c>
      <c r="E72" s="666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66">
        <v>4680115884403</v>
      </c>
      <c r="E73" s="666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5" t="s">
        <v>173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66">
        <v>4680115881532</v>
      </c>
      <c r="E77" s="666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6">
        <v>4680115881532</v>
      </c>
      <c r="E78" s="666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6">
        <v>4680115881464</v>
      </c>
      <c r="E79" s="666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6">
        <v>4680115881464</v>
      </c>
      <c r="E80" s="666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2" t="s">
        <v>182</v>
      </c>
      <c r="B83" s="672"/>
      <c r="C83" s="672"/>
      <c r="D83" s="672"/>
      <c r="E83" s="672"/>
      <c r="F83" s="672"/>
      <c r="G83" s="672"/>
      <c r="H83" s="672"/>
      <c r="I83" s="672"/>
      <c r="J83" s="672"/>
      <c r="K83" s="672"/>
      <c r="L83" s="672"/>
      <c r="M83" s="672"/>
      <c r="N83" s="672"/>
      <c r="O83" s="672"/>
      <c r="P83" s="672"/>
      <c r="Q83" s="672"/>
      <c r="R83" s="672"/>
      <c r="S83" s="672"/>
      <c r="T83" s="672"/>
      <c r="U83" s="672"/>
      <c r="V83" s="672"/>
      <c r="W83" s="672"/>
      <c r="X83" s="672"/>
      <c r="Y83" s="672"/>
      <c r="Z83" s="672"/>
      <c r="AA83" s="65"/>
      <c r="AB83" s="65"/>
      <c r="AC83" s="79"/>
    </row>
    <row r="84" spans="1:68" ht="14.25" hidden="1" customHeight="1" x14ac:dyDescent="0.25">
      <c r="A84" s="665" t="s">
        <v>122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6">
        <v>4680115881327</v>
      </c>
      <c r="E85" s="666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6">
        <v>4680115887732</v>
      </c>
      <c r="E86" s="666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6">
        <v>4680115887732</v>
      </c>
      <c r="E87" s="666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1" t="s">
        <v>190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6">
        <v>4680115881518</v>
      </c>
      <c r="E88" s="666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6">
        <v>4680115881303</v>
      </c>
      <c r="E89" s="666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5" t="s">
        <v>86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66">
        <v>4607091386967</v>
      </c>
      <c r="E93" s="666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6">
        <v>4607091386967</v>
      </c>
      <c r="E94" s="666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2" t="s">
        <v>199</v>
      </c>
      <c r="Q94" s="668"/>
      <c r="R94" s="668"/>
      <c r="S94" s="668"/>
      <c r="T94" s="669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6">
        <v>4680115884953</v>
      </c>
      <c r="E95" s="666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66">
        <v>4607091385731</v>
      </c>
      <c r="E96" s="666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5" t="s">
        <v>205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6">
        <v>4680115887718</v>
      </c>
      <c r="E104" s="666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6">
        <v>4680115887718</v>
      </c>
      <c r="E105" s="666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6">
        <v>4680115887718</v>
      </c>
      <c r="E106" s="666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0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6">
        <v>4680115880429</v>
      </c>
      <c r="E109" s="666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897" t="s">
        <v>223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89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5" t="s">
        <v>155</v>
      </c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65"/>
      <c r="P113" s="665"/>
      <c r="Q113" s="665"/>
      <c r="R113" s="665"/>
      <c r="S113" s="665"/>
      <c r="T113" s="665"/>
      <c r="U113" s="665"/>
      <c r="V113" s="665"/>
      <c r="W113" s="665"/>
      <c r="X113" s="665"/>
      <c r="Y113" s="665"/>
      <c r="Z113" s="665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6">
        <v>4680115881488</v>
      </c>
      <c r="E114" s="666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8"/>
      <c r="R114" s="668"/>
      <c r="S114" s="668"/>
      <c r="T114" s="669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6">
        <v>4680115887664</v>
      </c>
      <c r="E115" s="666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6">
        <v>4680115887664</v>
      </c>
      <c r="E116" s="666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6">
        <v>4680115882775</v>
      </c>
      <c r="E117" s="666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6">
        <v>4680115880658</v>
      </c>
      <c r="E118" s="666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8"/>
      <c r="R118" s="668"/>
      <c r="S118" s="668"/>
      <c r="T118" s="669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5" t="s">
        <v>86</v>
      </c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666">
        <v>4607091385168</v>
      </c>
      <c r="E122" s="666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6">
        <v>4607091385168</v>
      </c>
      <c r="E123" s="666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1" t="s">
        <v>243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6">
        <v>4607091383256</v>
      </c>
      <c r="E124" s="666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666">
        <v>4607091385748</v>
      </c>
      <c r="E125" s="666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8"/>
      <c r="R125" s="668"/>
      <c r="S125" s="668"/>
      <c r="T125" s="669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6">
        <v>4607091385748</v>
      </c>
      <c r="E126" s="666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4" t="s">
        <v>249</v>
      </c>
      <c r="Q126" s="668"/>
      <c r="R126" s="668"/>
      <c r="S126" s="668"/>
      <c r="T126" s="669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6">
        <v>4680115884533</v>
      </c>
      <c r="E127" s="666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8"/>
      <c r="R127" s="668"/>
      <c r="S127" s="668"/>
      <c r="T127" s="669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6">
        <v>4680115884533</v>
      </c>
      <c r="E128" s="666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6" t="s">
        <v>254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5" t="s">
        <v>173</v>
      </c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65"/>
      <c r="P131" s="665"/>
      <c r="Q131" s="665"/>
      <c r="R131" s="665"/>
      <c r="S131" s="665"/>
      <c r="T131" s="665"/>
      <c r="U131" s="665"/>
      <c r="V131" s="665"/>
      <c r="W131" s="665"/>
      <c r="X131" s="665"/>
      <c r="Y131" s="665"/>
      <c r="Z131" s="665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6">
        <v>4680115880238</v>
      </c>
      <c r="E132" s="666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6">
        <v>4680115880238</v>
      </c>
      <c r="E133" s="666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87" t="s">
        <v>259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72" t="s">
        <v>260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5"/>
      <c r="AB136" s="65"/>
      <c r="AC136" s="79"/>
    </row>
    <row r="137" spans="1:68" ht="14.25" hidden="1" customHeight="1" x14ac:dyDescent="0.25">
      <c r="A137" s="665" t="s">
        <v>122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6">
        <v>4680115882577</v>
      </c>
      <c r="E138" s="666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6">
        <v>4680115882577</v>
      </c>
      <c r="E139" s="666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77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6">
        <v>4680115883444</v>
      </c>
      <c r="E143" s="666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6">
        <v>4680115883444</v>
      </c>
      <c r="E144" s="666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5" t="s">
        <v>86</v>
      </c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65"/>
      <c r="P147" s="665"/>
      <c r="Q147" s="665"/>
      <c r="R147" s="665"/>
      <c r="S147" s="665"/>
      <c r="T147" s="665"/>
      <c r="U147" s="665"/>
      <c r="V147" s="665"/>
      <c r="W147" s="665"/>
      <c r="X147" s="665"/>
      <c r="Y147" s="665"/>
      <c r="Z147" s="665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6">
        <v>4680115882584</v>
      </c>
      <c r="E148" s="666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6">
        <v>4680115882584</v>
      </c>
      <c r="E149" s="666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72" t="s">
        <v>273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5"/>
      <c r="AB152" s="65"/>
      <c r="AC152" s="79"/>
    </row>
    <row r="153" spans="1:68" ht="14.25" hidden="1" customHeight="1" x14ac:dyDescent="0.25">
      <c r="A153" s="665" t="s">
        <v>86</v>
      </c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65"/>
      <c r="P153" s="665"/>
      <c r="Q153" s="665"/>
      <c r="R153" s="665"/>
      <c r="S153" s="665"/>
      <c r="T153" s="665"/>
      <c r="U153" s="665"/>
      <c r="V153" s="665"/>
      <c r="W153" s="665"/>
      <c r="X153" s="665"/>
      <c r="Y153" s="665"/>
      <c r="Z153" s="665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6">
        <v>4680115888203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6">
        <v>4680115888180</v>
      </c>
      <c r="E155" s="666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8"/>
      <c r="R155" s="668"/>
      <c r="S155" s="668"/>
      <c r="T155" s="669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6">
        <v>4680115888180</v>
      </c>
      <c r="E156" s="666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7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8"/>
      <c r="R156" s="668"/>
      <c r="S156" s="668"/>
      <c r="T156" s="669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6">
        <v>4680115888197</v>
      </c>
      <c r="E157" s="666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8"/>
      <c r="R157" s="668"/>
      <c r="S157" s="668"/>
      <c r="T157" s="669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6">
        <v>4680115888197</v>
      </c>
      <c r="E158" s="666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7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6">
        <v>4680115888210</v>
      </c>
      <c r="E159" s="666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8"/>
      <c r="R159" s="668"/>
      <c r="S159" s="668"/>
      <c r="T159" s="669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6">
        <v>4680115888210</v>
      </c>
      <c r="E160" s="666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8"/>
      <c r="R160" s="668"/>
      <c r="S160" s="668"/>
      <c r="T160" s="669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5" t="s">
        <v>289</v>
      </c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6">
        <v>4680115889132</v>
      </c>
      <c r="E164" s="666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72" t="s">
        <v>120</v>
      </c>
      <c r="B167" s="672"/>
      <c r="C167" s="672"/>
      <c r="D167" s="672"/>
      <c r="E167" s="672"/>
      <c r="F167" s="672"/>
      <c r="G167" s="672"/>
      <c r="H167" s="672"/>
      <c r="I167" s="672"/>
      <c r="J167" s="672"/>
      <c r="K167" s="672"/>
      <c r="L167" s="672"/>
      <c r="M167" s="672"/>
      <c r="N167" s="672"/>
      <c r="O167" s="672"/>
      <c r="P167" s="672"/>
      <c r="Q167" s="672"/>
      <c r="R167" s="672"/>
      <c r="S167" s="672"/>
      <c r="T167" s="672"/>
      <c r="U167" s="672"/>
      <c r="V167" s="672"/>
      <c r="W167" s="672"/>
      <c r="X167" s="672"/>
      <c r="Y167" s="672"/>
      <c r="Z167" s="672"/>
      <c r="AA167" s="65"/>
      <c r="AB167" s="65"/>
      <c r="AC167" s="79"/>
    </row>
    <row r="168" spans="1:68" ht="14.25" hidden="1" customHeight="1" x14ac:dyDescent="0.25">
      <c r="A168" s="665" t="s">
        <v>122</v>
      </c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65"/>
      <c r="P168" s="665"/>
      <c r="Q168" s="665"/>
      <c r="R168" s="665"/>
      <c r="S168" s="665"/>
      <c r="T168" s="665"/>
      <c r="U168" s="665"/>
      <c r="V168" s="665"/>
      <c r="W168" s="665"/>
      <c r="X168" s="665"/>
      <c r="Y168" s="665"/>
      <c r="Z168" s="665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6">
        <v>4680115887374</v>
      </c>
      <c r="E169" s="666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8"/>
      <c r="R169" s="668"/>
      <c r="S169" s="668"/>
      <c r="T169" s="669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6">
        <v>4607091384604</v>
      </c>
      <c r="E170" s="666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6">
        <v>4680115888876</v>
      </c>
      <c r="E171" s="666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155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6">
        <v>4680115887695</v>
      </c>
      <c r="E175" s="666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6">
        <v>4680115889491</v>
      </c>
      <c r="E176" s="666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5" t="s">
        <v>77</v>
      </c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65"/>
      <c r="P179" s="665"/>
      <c r="Q179" s="665"/>
      <c r="R179" s="665"/>
      <c r="S179" s="665"/>
      <c r="T179" s="665"/>
      <c r="U179" s="665"/>
      <c r="V179" s="665"/>
      <c r="W179" s="665"/>
      <c r="X179" s="665"/>
      <c r="Y179" s="665"/>
      <c r="Z179" s="665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666">
        <v>4680115887428</v>
      </c>
      <c r="E180" s="666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666">
        <v>4680115889170</v>
      </c>
      <c r="E181" s="666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666">
        <v>4680115887398</v>
      </c>
      <c r="E182" s="666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666">
        <v>4680115887336</v>
      </c>
      <c r="E183" s="666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6">
        <v>4680115887336</v>
      </c>
      <c r="E184" s="666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57" t="s">
        <v>324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6">
        <v>4680115887787</v>
      </c>
      <c r="E185" s="666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5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6">
        <v>4680115887787</v>
      </c>
      <c r="E186" s="666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59" t="s">
        <v>330</v>
      </c>
      <c r="Q186" s="668"/>
      <c r="R186" s="668"/>
      <c r="S186" s="668"/>
      <c r="T186" s="669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666">
        <v>4680115887503</v>
      </c>
      <c r="E187" s="666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8"/>
      <c r="R187" s="668"/>
      <c r="S187" s="668"/>
      <c r="T187" s="669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6">
        <v>4680115887763</v>
      </c>
      <c r="E188" s="666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8"/>
      <c r="R188" s="668"/>
      <c r="S188" s="668"/>
      <c r="T188" s="669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6">
        <v>4680115887480</v>
      </c>
      <c r="E189" s="666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6">
        <v>4680115888067</v>
      </c>
      <c r="E190" s="666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666">
        <v>4680115887435</v>
      </c>
      <c r="E191" s="666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86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666">
        <v>4680115888395</v>
      </c>
      <c r="E195" s="666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6">
        <v>4680115888371</v>
      </c>
      <c r="E196" s="666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8"/>
      <c r="R196" s="668"/>
      <c r="S196" s="668"/>
      <c r="T196" s="669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6">
        <v>4680115887459</v>
      </c>
      <c r="E197" s="666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8"/>
      <c r="R197" s="668"/>
      <c r="S197" s="668"/>
      <c r="T197" s="669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5" t="s">
        <v>289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6">
        <v>4680115889026</v>
      </c>
      <c r="E201" s="666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8"/>
      <c r="R201" s="668"/>
      <c r="S201" s="668"/>
      <c r="T201" s="669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5" t="s">
        <v>356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6">
        <v>4680115889033</v>
      </c>
      <c r="E205" s="666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83" t="s">
        <v>360</v>
      </c>
      <c r="B208" s="683"/>
      <c r="C208" s="683"/>
      <c r="D208" s="683"/>
      <c r="E208" s="683"/>
      <c r="F208" s="683"/>
      <c r="G208" s="683"/>
      <c r="H208" s="683"/>
      <c r="I208" s="683"/>
      <c r="J208" s="683"/>
      <c r="K208" s="683"/>
      <c r="L208" s="683"/>
      <c r="M208" s="683"/>
      <c r="N208" s="683"/>
      <c r="O208" s="683"/>
      <c r="P208" s="683"/>
      <c r="Q208" s="683"/>
      <c r="R208" s="683"/>
      <c r="S208" s="683"/>
      <c r="T208" s="683"/>
      <c r="U208" s="683"/>
      <c r="V208" s="683"/>
      <c r="W208" s="683"/>
      <c r="X208" s="683"/>
      <c r="Y208" s="683"/>
      <c r="Z208" s="683"/>
      <c r="AA208" s="54"/>
      <c r="AB208" s="54"/>
      <c r="AC208" s="54"/>
    </row>
    <row r="209" spans="1:68" ht="16.5" hidden="1" customHeight="1" x14ac:dyDescent="0.25">
      <c r="A209" s="672" t="s">
        <v>361</v>
      </c>
      <c r="B209" s="672"/>
      <c r="C209" s="672"/>
      <c r="D209" s="672"/>
      <c r="E209" s="672"/>
      <c r="F209" s="672"/>
      <c r="G209" s="672"/>
      <c r="H209" s="672"/>
      <c r="I209" s="672"/>
      <c r="J209" s="672"/>
      <c r="K209" s="672"/>
      <c r="L209" s="672"/>
      <c r="M209" s="672"/>
      <c r="N209" s="672"/>
      <c r="O209" s="672"/>
      <c r="P209" s="672"/>
      <c r="Q209" s="672"/>
      <c r="R209" s="672"/>
      <c r="S209" s="672"/>
      <c r="T209" s="672"/>
      <c r="U209" s="672"/>
      <c r="V209" s="672"/>
      <c r="W209" s="672"/>
      <c r="X209" s="672"/>
      <c r="Y209" s="672"/>
      <c r="Z209" s="672"/>
      <c r="AA209" s="65"/>
      <c r="AB209" s="65"/>
      <c r="AC209" s="79"/>
    </row>
    <row r="210" spans="1:68" ht="14.25" hidden="1" customHeight="1" x14ac:dyDescent="0.25">
      <c r="A210" s="665" t="s">
        <v>122</v>
      </c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65"/>
      <c r="P210" s="665"/>
      <c r="Q210" s="665"/>
      <c r="R210" s="665"/>
      <c r="S210" s="665"/>
      <c r="T210" s="665"/>
      <c r="U210" s="665"/>
      <c r="V210" s="665"/>
      <c r="W210" s="665"/>
      <c r="X210" s="665"/>
      <c r="Y210" s="665"/>
      <c r="Z210" s="665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6">
        <v>4607091383423</v>
      </c>
      <c r="E211" s="666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6">
        <v>4680115888760</v>
      </c>
      <c r="E212" s="666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8"/>
      <c r="R212" s="668"/>
      <c r="S212" s="668"/>
      <c r="T212" s="669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6">
        <v>4680115888807</v>
      </c>
      <c r="E213" s="666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8"/>
      <c r="R213" s="668"/>
      <c r="S213" s="668"/>
      <c r="T213" s="669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6">
        <v>4680115888852</v>
      </c>
      <c r="E214" s="666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8"/>
      <c r="R214" s="668"/>
      <c r="S214" s="668"/>
      <c r="T214" s="669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6">
        <v>4680115886957</v>
      </c>
      <c r="E215" s="666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8"/>
      <c r="R215" s="668"/>
      <c r="S215" s="668"/>
      <c r="T215" s="669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6">
        <v>4680115885660</v>
      </c>
      <c r="E216" s="666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6">
        <v>4680115886773</v>
      </c>
      <c r="E217" s="666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8"/>
      <c r="R217" s="668"/>
      <c r="S217" s="668"/>
      <c r="T217" s="669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72" t="s">
        <v>382</v>
      </c>
      <c r="B220" s="672"/>
      <c r="C220" s="672"/>
      <c r="D220" s="672"/>
      <c r="E220" s="672"/>
      <c r="F220" s="672"/>
      <c r="G220" s="672"/>
      <c r="H220" s="672"/>
      <c r="I220" s="672"/>
      <c r="J220" s="672"/>
      <c r="K220" s="672"/>
      <c r="L220" s="672"/>
      <c r="M220" s="672"/>
      <c r="N220" s="672"/>
      <c r="O220" s="672"/>
      <c r="P220" s="672"/>
      <c r="Q220" s="672"/>
      <c r="R220" s="672"/>
      <c r="S220" s="672"/>
      <c r="T220" s="672"/>
      <c r="U220" s="672"/>
      <c r="V220" s="672"/>
      <c r="W220" s="672"/>
      <c r="X220" s="672"/>
      <c r="Y220" s="672"/>
      <c r="Z220" s="672"/>
      <c r="AA220" s="65"/>
      <c r="AB220" s="65"/>
      <c r="AC220" s="79"/>
    </row>
    <row r="221" spans="1:68" ht="14.25" hidden="1" customHeight="1" x14ac:dyDescent="0.25">
      <c r="A221" s="665" t="s">
        <v>155</v>
      </c>
      <c r="B221" s="665"/>
      <c r="C221" s="665"/>
      <c r="D221" s="665"/>
      <c r="E221" s="665"/>
      <c r="F221" s="665"/>
      <c r="G221" s="665"/>
      <c r="H221" s="665"/>
      <c r="I221" s="665"/>
      <c r="J221" s="665"/>
      <c r="K221" s="665"/>
      <c r="L221" s="665"/>
      <c r="M221" s="665"/>
      <c r="N221" s="665"/>
      <c r="O221" s="665"/>
      <c r="P221" s="665"/>
      <c r="Q221" s="665"/>
      <c r="R221" s="665"/>
      <c r="S221" s="665"/>
      <c r="T221" s="665"/>
      <c r="U221" s="665"/>
      <c r="V221" s="665"/>
      <c r="W221" s="665"/>
      <c r="X221" s="665"/>
      <c r="Y221" s="665"/>
      <c r="Z221" s="665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6">
        <v>4680115886223</v>
      </c>
      <c r="E222" s="666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5" t="s">
        <v>77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666">
        <v>4680115880993</v>
      </c>
      <c r="E226" s="666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666">
        <v>4680115881761</v>
      </c>
      <c r="E227" s="666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666">
        <v>4680115881563</v>
      </c>
      <c r="E228" s="666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6">
        <v>4680115887565</v>
      </c>
      <c r="E229" s="666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666">
        <v>4680115880986</v>
      </c>
      <c r="E230" s="666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666">
        <v>4680115887213</v>
      </c>
      <c r="E231" s="666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666">
        <v>4680115881785</v>
      </c>
      <c r="E232" s="666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6">
        <v>4680115888432</v>
      </c>
      <c r="E233" s="666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666">
        <v>4680115888104</v>
      </c>
      <c r="E234" s="666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666">
        <v>4680115886537</v>
      </c>
      <c r="E235" s="666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8"/>
      <c r="R235" s="668"/>
      <c r="S235" s="668"/>
      <c r="T235" s="669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6">
        <v>4680115887596</v>
      </c>
      <c r="E236" s="666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8"/>
      <c r="R236" s="668"/>
      <c r="S236" s="668"/>
      <c r="T236" s="669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666">
        <v>4680115881679</v>
      </c>
      <c r="E237" s="666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8"/>
      <c r="R237" s="668"/>
      <c r="S237" s="668"/>
      <c r="T237" s="669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6">
        <v>4680115880191</v>
      </c>
      <c r="E238" s="666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2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6">
        <v>4680115883963</v>
      </c>
      <c r="E239" s="666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5" t="s">
        <v>86</v>
      </c>
      <c r="B242" s="665"/>
      <c r="C242" s="665"/>
      <c r="D242" s="665"/>
      <c r="E242" s="665"/>
      <c r="F242" s="665"/>
      <c r="G242" s="665"/>
      <c r="H242" s="665"/>
      <c r="I242" s="665"/>
      <c r="J242" s="665"/>
      <c r="K242" s="665"/>
      <c r="L242" s="665"/>
      <c r="M242" s="665"/>
      <c r="N242" s="665"/>
      <c r="O242" s="665"/>
      <c r="P242" s="665"/>
      <c r="Q242" s="665"/>
      <c r="R242" s="665"/>
      <c r="S242" s="665"/>
      <c r="T242" s="665"/>
      <c r="U242" s="665"/>
      <c r="V242" s="665"/>
      <c r="W242" s="665"/>
      <c r="X242" s="665"/>
      <c r="Y242" s="665"/>
      <c r="Z242" s="665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666">
        <v>4680115888692</v>
      </c>
      <c r="E243" s="666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6">
        <v>4680115888722</v>
      </c>
      <c r="E244" s="666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6">
        <v>4680115888951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6">
        <v>4680115888975</v>
      </c>
      <c r="E246" s="666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6">
        <v>4680115888982</v>
      </c>
      <c r="E247" s="666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8"/>
      <c r="R247" s="668"/>
      <c r="S247" s="668"/>
      <c r="T247" s="669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5" t="s">
        <v>289</v>
      </c>
      <c r="B250" s="665"/>
      <c r="C250" s="665"/>
      <c r="D250" s="665"/>
      <c r="E250" s="66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6">
        <v>4680115886780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6">
        <v>4680115886742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6">
        <v>4680115886766</v>
      </c>
      <c r="E253" s="666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8"/>
      <c r="R253" s="668"/>
      <c r="S253" s="668"/>
      <c r="T253" s="669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5" t="s">
        <v>446</v>
      </c>
      <c r="B256" s="665"/>
      <c r="C256" s="665"/>
      <c r="D256" s="665"/>
      <c r="E256" s="665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6">
        <v>4680115886797</v>
      </c>
      <c r="E257" s="666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8"/>
      <c r="R257" s="668"/>
      <c r="S257" s="668"/>
      <c r="T257" s="669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72" t="s">
        <v>449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5"/>
      <c r="AB260" s="65"/>
      <c r="AC260" s="79"/>
    </row>
    <row r="261" spans="1:68" ht="14.25" hidden="1" customHeight="1" x14ac:dyDescent="0.25">
      <c r="A261" s="665" t="s">
        <v>122</v>
      </c>
      <c r="B261" s="665"/>
      <c r="C261" s="665"/>
      <c r="D261" s="665"/>
      <c r="E261" s="66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6">
        <v>4680115881402</v>
      </c>
      <c r="E262" s="666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6">
        <v>4680115881396</v>
      </c>
      <c r="E263" s="666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8"/>
      <c r="R263" s="668"/>
      <c r="S263" s="668"/>
      <c r="T263" s="669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5" t="s">
        <v>155</v>
      </c>
      <c r="B266" s="665"/>
      <c r="C266" s="665"/>
      <c r="D266" s="665"/>
      <c r="E266" s="665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6">
        <v>4680115882935</v>
      </c>
      <c r="E267" s="666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6">
        <v>4680115880764</v>
      </c>
      <c r="E268" s="666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8"/>
      <c r="R268" s="668"/>
      <c r="S268" s="668"/>
      <c r="T268" s="669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5" t="s">
        <v>77</v>
      </c>
      <c r="B271" s="665"/>
      <c r="C271" s="665"/>
      <c r="D271" s="665"/>
      <c r="E271" s="665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666">
        <v>4680115882683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666">
        <v>4680115882690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666">
        <v>4680115882669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666">
        <v>4680115882676</v>
      </c>
      <c r="E275" s="666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666">
        <v>4680115884014</v>
      </c>
      <c r="E276" s="666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666">
        <v>4680115884007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666">
        <v>4680115884038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666">
        <v>4680115884021</v>
      </c>
      <c r="E279" s="666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8"/>
      <c r="R279" s="668"/>
      <c r="S279" s="668"/>
      <c r="T279" s="669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5" t="s">
        <v>86</v>
      </c>
      <c r="B282" s="665"/>
      <c r="C282" s="665"/>
      <c r="D282" s="665"/>
      <c r="E282" s="66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666">
        <v>4680115881594</v>
      </c>
      <c r="E283" s="666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666">
        <v>4680115881617</v>
      </c>
      <c r="E284" s="666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666">
        <v>4680115880573</v>
      </c>
      <c r="E285" s="666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666">
        <v>4680115882195</v>
      </c>
      <c r="E286" s="666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666">
        <v>4680115882607</v>
      </c>
      <c r="E288" s="666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666">
        <v>4680115880092</v>
      </c>
      <c r="E289" s="666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6">
        <v>4680115889064</v>
      </c>
      <c r="E290" s="666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666">
        <v>4680115880221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666">
        <v>4680115880504</v>
      </c>
      <c r="E292" s="666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666">
        <v>4680115882164</v>
      </c>
      <c r="E293" s="666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666">
        <v>4680115888340</v>
      </c>
      <c r="E294" s="666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8"/>
      <c r="R294" s="668"/>
      <c r="S294" s="668"/>
      <c r="T294" s="669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5" t="s">
        <v>173</v>
      </c>
      <c r="B297" s="665"/>
      <c r="C297" s="665"/>
      <c r="D297" s="665"/>
      <c r="E297" s="665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6">
        <v>4680115880818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6">
        <v>4680115880801</v>
      </c>
      <c r="E299" s="666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8"/>
      <c r="R299" s="668"/>
      <c r="S299" s="668"/>
      <c r="T299" s="669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72" t="s">
        <v>517</v>
      </c>
      <c r="B302" s="672"/>
      <c r="C302" s="672"/>
      <c r="D302" s="672"/>
      <c r="E302" s="672"/>
      <c r="F302" s="672"/>
      <c r="G302" s="672"/>
      <c r="H302" s="672"/>
      <c r="I302" s="672"/>
      <c r="J302" s="672"/>
      <c r="K302" s="672"/>
      <c r="L302" s="672"/>
      <c r="M302" s="672"/>
      <c r="N302" s="672"/>
      <c r="O302" s="672"/>
      <c r="P302" s="672"/>
      <c r="Q302" s="672"/>
      <c r="R302" s="672"/>
      <c r="S302" s="672"/>
      <c r="T302" s="672"/>
      <c r="U302" s="672"/>
      <c r="V302" s="672"/>
      <c r="W302" s="672"/>
      <c r="X302" s="672"/>
      <c r="Y302" s="672"/>
      <c r="Z302" s="672"/>
      <c r="AA302" s="65"/>
      <c r="AB302" s="65"/>
      <c r="AC302" s="79"/>
    </row>
    <row r="303" spans="1:68" ht="14.25" hidden="1" customHeight="1" x14ac:dyDescent="0.25">
      <c r="A303" s="665" t="s">
        <v>122</v>
      </c>
      <c r="B303" s="665"/>
      <c r="C303" s="665"/>
      <c r="D303" s="665"/>
      <c r="E303" s="66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6">
        <v>4680115884137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6">
        <v>4680115884236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6">
        <v>4680115884175</v>
      </c>
      <c r="E306" s="666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6">
        <v>4680115884144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6">
        <v>4680115886551</v>
      </c>
      <c r="E308" s="666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6">
        <v>4680115887282</v>
      </c>
      <c r="E309" s="666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6">
        <v>4680115884205</v>
      </c>
      <c r="E310" s="666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8"/>
      <c r="R310" s="668"/>
      <c r="S310" s="668"/>
      <c r="T310" s="669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5" t="s">
        <v>155</v>
      </c>
      <c r="B313" s="665"/>
      <c r="C313" s="665"/>
      <c r="D313" s="665"/>
      <c r="E313" s="66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6">
        <v>4680115885981</v>
      </c>
      <c r="E314" s="666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8"/>
      <c r="R314" s="668"/>
      <c r="S314" s="668"/>
      <c r="T314" s="669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5" t="s">
        <v>539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6">
        <v>4680115886803</v>
      </c>
      <c r="E318" s="666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8"/>
      <c r="R318" s="668"/>
      <c r="S318" s="668"/>
      <c r="T318" s="669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5" t="s">
        <v>356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6">
        <v>4680115886704</v>
      </c>
      <c r="E322" s="666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8"/>
      <c r="R322" s="668"/>
      <c r="S322" s="668"/>
      <c r="T322" s="669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6">
        <v>4680115886681</v>
      </c>
      <c r="E323" s="666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8"/>
      <c r="R323" s="668"/>
      <c r="S323" s="668"/>
      <c r="T323" s="669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6">
        <v>4680115886735</v>
      </c>
      <c r="E324" s="666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8"/>
      <c r="R324" s="668"/>
      <c r="S324" s="668"/>
      <c r="T324" s="669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72" t="s">
        <v>550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5"/>
      <c r="AB327" s="65"/>
      <c r="AC327" s="79"/>
    </row>
    <row r="328" spans="1:68" ht="14.25" hidden="1" customHeight="1" x14ac:dyDescent="0.25">
      <c r="A328" s="665" t="s">
        <v>122</v>
      </c>
      <c r="B328" s="665"/>
      <c r="C328" s="665"/>
      <c r="D328" s="665"/>
      <c r="E328" s="665"/>
      <c r="F328" s="665"/>
      <c r="G328" s="665"/>
      <c r="H328" s="665"/>
      <c r="I328" s="665"/>
      <c r="J328" s="665"/>
      <c r="K328" s="665"/>
      <c r="L328" s="665"/>
      <c r="M328" s="665"/>
      <c r="N328" s="665"/>
      <c r="O328" s="665"/>
      <c r="P328" s="665"/>
      <c r="Q328" s="665"/>
      <c r="R328" s="665"/>
      <c r="S328" s="665"/>
      <c r="T328" s="665"/>
      <c r="U328" s="665"/>
      <c r="V328" s="665"/>
      <c r="W328" s="665"/>
      <c r="X328" s="665"/>
      <c r="Y328" s="665"/>
      <c r="Z328" s="665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6">
        <v>4680115885837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6">
        <v>4680115887237</v>
      </c>
      <c r="E330" s="666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6">
        <v>4680115885806</v>
      </c>
      <c r="E331" s="666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6">
        <v>4680115885844</v>
      </c>
      <c r="E332" s="666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8"/>
      <c r="R332" s="668"/>
      <c r="S332" s="668"/>
      <c r="T332" s="669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6">
        <v>4680115885820</v>
      </c>
      <c r="E333" s="666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8"/>
      <c r="R333" s="668"/>
      <c r="S333" s="668"/>
      <c r="T333" s="669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72" t="s">
        <v>566</v>
      </c>
      <c r="B336" s="672"/>
      <c r="C336" s="672"/>
      <c r="D336" s="672"/>
      <c r="E336" s="672"/>
      <c r="F336" s="672"/>
      <c r="G336" s="672"/>
      <c r="H336" s="672"/>
      <c r="I336" s="672"/>
      <c r="J336" s="672"/>
      <c r="K336" s="672"/>
      <c r="L336" s="672"/>
      <c r="M336" s="672"/>
      <c r="N336" s="672"/>
      <c r="O336" s="672"/>
      <c r="P336" s="672"/>
      <c r="Q336" s="672"/>
      <c r="R336" s="672"/>
      <c r="S336" s="672"/>
      <c r="T336" s="672"/>
      <c r="U336" s="672"/>
      <c r="V336" s="672"/>
      <c r="W336" s="672"/>
      <c r="X336" s="672"/>
      <c r="Y336" s="672"/>
      <c r="Z336" s="672"/>
      <c r="AA336" s="65"/>
      <c r="AB336" s="65"/>
      <c r="AC336" s="79"/>
    </row>
    <row r="337" spans="1:68" ht="14.25" hidden="1" customHeight="1" x14ac:dyDescent="0.25">
      <c r="A337" s="665" t="s">
        <v>86</v>
      </c>
      <c r="B337" s="665"/>
      <c r="C337" s="665"/>
      <c r="D337" s="665"/>
      <c r="E337" s="665"/>
      <c r="F337" s="665"/>
      <c r="G337" s="665"/>
      <c r="H337" s="665"/>
      <c r="I337" s="665"/>
      <c r="J337" s="665"/>
      <c r="K337" s="665"/>
      <c r="L337" s="665"/>
      <c r="M337" s="665"/>
      <c r="N337" s="665"/>
      <c r="O337" s="665"/>
      <c r="P337" s="665"/>
      <c r="Q337" s="665"/>
      <c r="R337" s="665"/>
      <c r="S337" s="665"/>
      <c r="T337" s="665"/>
      <c r="U337" s="665"/>
      <c r="V337" s="665"/>
      <c r="W337" s="665"/>
      <c r="X337" s="665"/>
      <c r="Y337" s="665"/>
      <c r="Z337" s="665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6">
        <v>4680115886186</v>
      </c>
      <c r="E338" s="666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6">
        <v>4680115881228</v>
      </c>
      <c r="E339" s="666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8"/>
      <c r="R339" s="668"/>
      <c r="S339" s="668"/>
      <c r="T339" s="669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6">
        <v>4680115881211</v>
      </c>
      <c r="E340" s="666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8"/>
      <c r="R340" s="668"/>
      <c r="S340" s="668"/>
      <c r="T340" s="669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72" t="s">
        <v>575</v>
      </c>
      <c r="B343" s="672"/>
      <c r="C343" s="672"/>
      <c r="D343" s="672"/>
      <c r="E343" s="672"/>
      <c r="F343" s="672"/>
      <c r="G343" s="672"/>
      <c r="H343" s="672"/>
      <c r="I343" s="672"/>
      <c r="J343" s="672"/>
      <c r="K343" s="672"/>
      <c r="L343" s="672"/>
      <c r="M343" s="672"/>
      <c r="N343" s="672"/>
      <c r="O343" s="672"/>
      <c r="P343" s="672"/>
      <c r="Q343" s="672"/>
      <c r="R343" s="672"/>
      <c r="S343" s="672"/>
      <c r="T343" s="672"/>
      <c r="U343" s="672"/>
      <c r="V343" s="672"/>
      <c r="W343" s="672"/>
      <c r="X343" s="672"/>
      <c r="Y343" s="672"/>
      <c r="Z343" s="672"/>
      <c r="AA343" s="65"/>
      <c r="AB343" s="65"/>
      <c r="AC343" s="79"/>
    </row>
    <row r="344" spans="1:68" ht="14.25" hidden="1" customHeight="1" x14ac:dyDescent="0.25">
      <c r="A344" s="665" t="s">
        <v>77</v>
      </c>
      <c r="B344" s="665"/>
      <c r="C344" s="665"/>
      <c r="D344" s="665"/>
      <c r="E344" s="665"/>
      <c r="F344" s="665"/>
      <c r="G344" s="665"/>
      <c r="H344" s="665"/>
      <c r="I344" s="665"/>
      <c r="J344" s="665"/>
      <c r="K344" s="665"/>
      <c r="L344" s="665"/>
      <c r="M344" s="665"/>
      <c r="N344" s="665"/>
      <c r="O344" s="665"/>
      <c r="P344" s="665"/>
      <c r="Q344" s="665"/>
      <c r="R344" s="665"/>
      <c r="S344" s="665"/>
      <c r="T344" s="665"/>
      <c r="U344" s="665"/>
      <c r="V344" s="665"/>
      <c r="W344" s="665"/>
      <c r="X344" s="665"/>
      <c r="Y344" s="665"/>
      <c r="Z344" s="665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666">
        <v>4680115888319</v>
      </c>
      <c r="E345" s="666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666">
        <v>4680115884700</v>
      </c>
      <c r="E346" s="666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666">
        <v>4680115880344</v>
      </c>
      <c r="E347" s="666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666">
        <v>4680115886919</v>
      </c>
      <c r="E348" s="666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8"/>
      <c r="R348" s="668"/>
      <c r="S348" s="668"/>
      <c r="T348" s="669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6">
        <v>4680115883970</v>
      </c>
      <c r="E349" s="666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8"/>
      <c r="R349" s="668"/>
      <c r="S349" s="668"/>
      <c r="T349" s="669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5" t="s">
        <v>86</v>
      </c>
      <c r="B352" s="665"/>
      <c r="C352" s="665"/>
      <c r="D352" s="665"/>
      <c r="E352" s="665"/>
      <c r="F352" s="665"/>
      <c r="G352" s="665"/>
      <c r="H352" s="665"/>
      <c r="I352" s="665"/>
      <c r="J352" s="665"/>
      <c r="K352" s="665"/>
      <c r="L352" s="665"/>
      <c r="M352" s="665"/>
      <c r="N352" s="665"/>
      <c r="O352" s="665"/>
      <c r="P352" s="665"/>
      <c r="Q352" s="665"/>
      <c r="R352" s="665"/>
      <c r="S352" s="665"/>
      <c r="T352" s="665"/>
      <c r="U352" s="665"/>
      <c r="V352" s="665"/>
      <c r="W352" s="665"/>
      <c r="X352" s="665"/>
      <c r="Y352" s="665"/>
      <c r="Z352" s="665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6">
        <v>4680115884618</v>
      </c>
      <c r="E353" s="666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8"/>
      <c r="R353" s="668"/>
      <c r="S353" s="668"/>
      <c r="T353" s="669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6">
        <v>4680115887114</v>
      </c>
      <c r="E354" s="666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8"/>
      <c r="R354" s="668"/>
      <c r="S354" s="668"/>
      <c r="T354" s="669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72" t="s">
        <v>596</v>
      </c>
      <c r="B357" s="672"/>
      <c r="C357" s="672"/>
      <c r="D357" s="672"/>
      <c r="E357" s="672"/>
      <c r="F357" s="672"/>
      <c r="G357" s="672"/>
      <c r="H357" s="672"/>
      <c r="I357" s="672"/>
      <c r="J357" s="672"/>
      <c r="K357" s="672"/>
      <c r="L357" s="672"/>
      <c r="M357" s="672"/>
      <c r="N357" s="672"/>
      <c r="O357" s="672"/>
      <c r="P357" s="672"/>
      <c r="Q357" s="672"/>
      <c r="R357" s="672"/>
      <c r="S357" s="672"/>
      <c r="T357" s="672"/>
      <c r="U357" s="672"/>
      <c r="V357" s="672"/>
      <c r="W357" s="672"/>
      <c r="X357" s="672"/>
      <c r="Y357" s="672"/>
      <c r="Z357" s="672"/>
      <c r="AA357" s="65"/>
      <c r="AB357" s="65"/>
      <c r="AC357" s="79"/>
    </row>
    <row r="358" spans="1:68" ht="14.25" hidden="1" customHeight="1" x14ac:dyDescent="0.25">
      <c r="A358" s="665" t="s">
        <v>122</v>
      </c>
      <c r="B358" s="665"/>
      <c r="C358" s="665"/>
      <c r="D358" s="665"/>
      <c r="E358" s="665"/>
      <c r="F358" s="665"/>
      <c r="G358" s="665"/>
      <c r="H358" s="665"/>
      <c r="I358" s="665"/>
      <c r="J358" s="665"/>
      <c r="K358" s="665"/>
      <c r="L358" s="665"/>
      <c r="M358" s="665"/>
      <c r="N358" s="665"/>
      <c r="O358" s="665"/>
      <c r="P358" s="665"/>
      <c r="Q358" s="665"/>
      <c r="R358" s="665"/>
      <c r="S358" s="665"/>
      <c r="T358" s="665"/>
      <c r="U358" s="665"/>
      <c r="V358" s="665"/>
      <c r="W358" s="665"/>
      <c r="X358" s="665"/>
      <c r="Y358" s="665"/>
      <c r="Z358" s="665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6">
        <v>4680115887947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6">
        <v>4680115887978</v>
      </c>
      <c r="E360" s="666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8"/>
      <c r="R360" s="668"/>
      <c r="S360" s="668"/>
      <c r="T360" s="669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6">
        <v>4680115887992</v>
      </c>
      <c r="E361" s="666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8"/>
      <c r="R361" s="668"/>
      <c r="S361" s="668"/>
      <c r="T361" s="669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72" t="s">
        <v>605</v>
      </c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72"/>
      <c r="P364" s="672"/>
      <c r="Q364" s="672"/>
      <c r="R364" s="672"/>
      <c r="S364" s="672"/>
      <c r="T364" s="672"/>
      <c r="U364" s="672"/>
      <c r="V364" s="672"/>
      <c r="W364" s="672"/>
      <c r="X364" s="672"/>
      <c r="Y364" s="672"/>
      <c r="Z364" s="672"/>
      <c r="AA364" s="65"/>
      <c r="AB364" s="65"/>
      <c r="AC364" s="79"/>
    </row>
    <row r="365" spans="1:68" ht="14.25" hidden="1" customHeight="1" x14ac:dyDescent="0.25">
      <c r="A365" s="665" t="s">
        <v>122</v>
      </c>
      <c r="B365" s="665"/>
      <c r="C365" s="665"/>
      <c r="D365" s="665"/>
      <c r="E365" s="665"/>
      <c r="F365" s="665"/>
      <c r="G365" s="665"/>
      <c r="H365" s="665"/>
      <c r="I365" s="665"/>
      <c r="J365" s="665"/>
      <c r="K365" s="665"/>
      <c r="L365" s="665"/>
      <c r="M365" s="665"/>
      <c r="N365" s="665"/>
      <c r="O365" s="665"/>
      <c r="P365" s="665"/>
      <c r="Q365" s="665"/>
      <c r="R365" s="665"/>
      <c r="S365" s="665"/>
      <c r="T365" s="665"/>
      <c r="U365" s="665"/>
      <c r="V365" s="665"/>
      <c r="W365" s="665"/>
      <c r="X365" s="665"/>
      <c r="Y365" s="665"/>
      <c r="Z365" s="665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hidden="1" customHeight="1" x14ac:dyDescent="0.25">
      <c r="A367" s="63" t="s">
        <v>609</v>
      </c>
      <c r="B367" s="63" t="s">
        <v>610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hidden="1" customHeight="1" x14ac:dyDescent="0.25">
      <c r="A368" s="63" t="s">
        <v>612</v>
      </c>
      <c r="B368" s="63" t="s">
        <v>613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608</v>
      </c>
      <c r="AG369" s="78"/>
      <c r="AJ369" s="84" t="s">
        <v>46</v>
      </c>
      <c r="AK369" s="84">
        <v>0</v>
      </c>
      <c r="BB369" s="471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619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IFERROR(X366/H366,"0")+IFERROR(X367/H367,"0")+IFERROR(X368/H368,"0")+IFERROR(X369/H369,"0")+IFERROR(X370/H370,"0")</f>
        <v>0</v>
      </c>
      <c r="Y371" s="43">
        <f>IFERROR(Y366/H366,"0")+IFERROR(Y367/H367,"0")+IFERROR(Y368/H368,"0")+IFERROR(Y369/H369,"0")+IFERROR(Y370/H370,"0")</f>
        <v>0</v>
      </c>
      <c r="Z371" s="43">
        <f>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IFERROR(SUM(X366:X370),"0")</f>
        <v>0</v>
      </c>
      <c r="Y372" s="43">
        <f>IFERROR(SUM(Y366:Y370),"0")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hidden="1" customHeight="1" x14ac:dyDescent="0.25">
      <c r="A374" s="63" t="s">
        <v>620</v>
      </c>
      <c r="B374" s="63" t="s">
        <v>621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58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59">IFERROR(X374*I374/H374,"0")</f>
        <v>0</v>
      </c>
      <c r="BN374" s="78">
        <f t="shared" ref="BN374:BN380" si="60">IFERROR(Y374*I374/H374,"0")</f>
        <v>0</v>
      </c>
      <c r="BO374" s="78">
        <f t="shared" ref="BO374:BO380" si="61">IFERROR(1/J374*(X374/H374),"0")</f>
        <v>0</v>
      </c>
      <c r="BP374" s="78">
        <f t="shared" ref="BP374:BP380" si="62">IFERROR(1/J374*(Y374/H374),"0")</f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8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si="59"/>
        <v>0</v>
      </c>
      <c r="BN375" s="78">
        <f t="shared" si="60"/>
        <v>0</v>
      </c>
      <c r="BO375" s="78">
        <f t="shared" si="61"/>
        <v>0</v>
      </c>
      <c r="BP375" s="78">
        <f t="shared" si="62"/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67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633</v>
      </c>
      <c r="AG378" s="78"/>
      <c r="AJ378" s="84" t="s">
        <v>46</v>
      </c>
      <c r="AK378" s="84">
        <v>0</v>
      </c>
      <c r="BB378" s="483" t="s">
        <v>67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hidden="1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hidden="1" customHeight="1" x14ac:dyDescent="0.25">
      <c r="A384" s="63" t="s">
        <v>639</v>
      </c>
      <c r="B384" s="63" t="s">
        <v>640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641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65" t="s">
        <v>173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hidden="1" customHeight="1" x14ac:dyDescent="0.25">
      <c r="A391" s="63" t="s">
        <v>650</v>
      </c>
      <c r="B391" s="63" t="s">
        <v>651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653</v>
      </c>
      <c r="B392" s="63" t="s">
        <v>654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65" t="s">
        <v>289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659</v>
      </c>
      <c r="B397" s="63" t="s">
        <v>660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264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661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662</v>
      </c>
      <c r="B398" s="63" t="s">
        <v>663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661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264</v>
      </c>
      <c r="N399" s="38"/>
      <c r="O399" s="37">
        <v>180</v>
      </c>
      <c r="P399" s="74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65" t="s">
        <v>668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669</v>
      </c>
      <c r="B404" s="63" t="s">
        <v>670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672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671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672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671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672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665" t="s">
        <v>677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678</v>
      </c>
      <c r="B410" s="63" t="s">
        <v>679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672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680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681</v>
      </c>
      <c r="B411" s="63" t="s">
        <v>682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672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672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686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687</v>
      </c>
      <c r="B417" s="63" t="s">
        <v>688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689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690</v>
      </c>
      <c r="B418" s="63" t="s">
        <v>691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693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694</v>
      </c>
      <c r="B423" s="63" t="s">
        <v>695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697</v>
      </c>
      <c r="B424" s="63" t="s">
        <v>698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683" t="s">
        <v>703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704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hidden="1" customHeight="1" x14ac:dyDescent="0.25">
      <c r="A431" s="63" t="s">
        <v>705</v>
      </c>
      <c r="B431" s="63" t="s">
        <v>706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3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4">IFERROR(X431*I431/H431,"0")</f>
        <v>0</v>
      </c>
      <c r="BN431" s="78">
        <f t="shared" ref="BN431:BN438" si="65">IFERROR(Y431*I431/H431,"0")</f>
        <v>0</v>
      </c>
      <c r="BO431" s="78">
        <f t="shared" ref="BO431:BO438" si="66">IFERROR(1/J431*(X431/H431),"0")</f>
        <v>0</v>
      </c>
      <c r="BP431" s="78">
        <f t="shared" ref="BP431:BP438" si="67">IFERROR(1/J431*(Y431/H431),"0")</f>
        <v>0</v>
      </c>
    </row>
    <row r="432" spans="1:68" ht="37.5" customHeight="1" x14ac:dyDescent="0.25">
      <c r="A432" s="63" t="s">
        <v>708</v>
      </c>
      <c r="B432" s="63" t="s">
        <v>709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700</v>
      </c>
      <c r="Y432" s="55">
        <f t="shared" si="63"/>
        <v>705</v>
      </c>
      <c r="Z432" s="41">
        <f>IFERROR(IF(Y432=0,"",ROUNDUP(Y432/H432,0)*0.02175),"")</f>
        <v>1.0222499999999999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4"/>
        <v>721.93333333333328</v>
      </c>
      <c r="BN432" s="78">
        <f t="shared" si="65"/>
        <v>727.09</v>
      </c>
      <c r="BO432" s="78">
        <f t="shared" si="66"/>
        <v>0.9722222222222221</v>
      </c>
      <c r="BP432" s="78">
        <f t="shared" si="67"/>
        <v>0.97916666666666663</v>
      </c>
    </row>
    <row r="433" spans="1:68" ht="27" customHeight="1" x14ac:dyDescent="0.25">
      <c r="A433" s="63" t="s">
        <v>711</v>
      </c>
      <c r="B433" s="63" t="s">
        <v>712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1000</v>
      </c>
      <c r="Y433" s="55">
        <f t="shared" si="63"/>
        <v>1005</v>
      </c>
      <c r="Z433" s="41">
        <f>IFERROR(IF(Y433=0,"",ROUNDUP(Y433/H433,0)*0.02175),"")</f>
        <v>1.4572499999999999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4"/>
        <v>1031.3333333333333</v>
      </c>
      <c r="BN433" s="78">
        <f t="shared" si="65"/>
        <v>1036.49</v>
      </c>
      <c r="BO433" s="78">
        <f t="shared" si="66"/>
        <v>1.3888888888888888</v>
      </c>
      <c r="BP433" s="78">
        <f t="shared" si="67"/>
        <v>1.3958333333333333</v>
      </c>
    </row>
    <row r="434" spans="1:68" ht="27" customHeight="1" x14ac:dyDescent="0.25">
      <c r="A434" s="63" t="s">
        <v>714</v>
      </c>
      <c r="B434" s="63" t="s">
        <v>715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600</v>
      </c>
      <c r="Y434" s="55">
        <f t="shared" si="63"/>
        <v>600</v>
      </c>
      <c r="Z434" s="41">
        <f>IFERROR(IF(Y434=0,"",ROUNDUP(Y434/H434,0)*0.02175),"")</f>
        <v>0.86999999999999988</v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4"/>
        <v>618.79999999999995</v>
      </c>
      <c r="BN434" s="78">
        <f t="shared" si="65"/>
        <v>618.79999999999995</v>
      </c>
      <c r="BO434" s="78">
        <f t="shared" si="66"/>
        <v>0.83333333333333326</v>
      </c>
      <c r="BP434" s="78">
        <f t="shared" si="67"/>
        <v>0.83333333333333326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4"/>
        <v>0</v>
      </c>
      <c r="BN435" s="78">
        <f t="shared" si="65"/>
        <v>0</v>
      </c>
      <c r="BO435" s="78">
        <f t="shared" si="66"/>
        <v>0</v>
      </c>
      <c r="BP435" s="78">
        <f t="shared" si="67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3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37.5" hidden="1" customHeight="1" x14ac:dyDescent="0.25">
      <c r="A438" s="63" t="s">
        <v>726</v>
      </c>
      <c r="B438" s="63" t="s">
        <v>727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153.33333333333334</v>
      </c>
      <c r="Y439" s="43">
        <f>IFERROR(Y431/H431,"0")+IFERROR(Y432/H432,"0")+IFERROR(Y433/H433,"0")+IFERROR(Y434/H434,"0")+IFERROR(Y435/H435,"0")+IFERROR(Y436/H436,"0")+IFERROR(Y437/H437,"0")+IFERROR(Y438/H438,"0")</f>
        <v>154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3.3494999999999999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2300</v>
      </c>
      <c r="Y440" s="43">
        <f>IFERROR(SUM(Y431:Y438),"0")</f>
        <v>2310</v>
      </c>
      <c r="Z440" s="42"/>
      <c r="AA440" s="67"/>
      <c r="AB440" s="67"/>
      <c r="AC440" s="67"/>
    </row>
    <row r="441" spans="1:68" ht="14.25" hidden="1" customHeight="1" x14ac:dyDescent="0.25">
      <c r="A441" s="665" t="s">
        <v>155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customHeight="1" x14ac:dyDescent="0.25">
      <c r="A442" s="63" t="s">
        <v>729</v>
      </c>
      <c r="B442" s="63" t="s">
        <v>730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1500</v>
      </c>
      <c r="Y442" s="55">
        <f>IFERROR(IF(X442="",0,CEILING((X442/$H442),1)*$H442),"")</f>
        <v>1500</v>
      </c>
      <c r="Z442" s="41">
        <f>IFERROR(IF(Y442=0,"",ROUNDUP(Y442/H442,0)*0.02175),"")</f>
        <v>2.1749999999999998</v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1547</v>
      </c>
      <c r="BN442" s="78">
        <f>IFERROR(Y442*I442/H442,"0")</f>
        <v>1547</v>
      </c>
      <c r="BO442" s="78">
        <f>IFERROR(1/J442*(X442/H442),"0")</f>
        <v>2.083333333333333</v>
      </c>
      <c r="BP442" s="78">
        <f>IFERROR(1/J442*(Y442/H442),"0")</f>
        <v>2.083333333333333</v>
      </c>
    </row>
    <row r="443" spans="1:68" ht="27" hidden="1" customHeight="1" x14ac:dyDescent="0.25">
      <c r="A443" s="63" t="s">
        <v>732</v>
      </c>
      <c r="B443" s="63" t="s">
        <v>733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100</v>
      </c>
      <c r="Y445" s="43">
        <f>IFERROR(Y442/H442,"0")+IFERROR(Y443/H443,"0")+IFERROR(Y444/H444,"0")</f>
        <v>100</v>
      </c>
      <c r="Z445" s="43">
        <f>IFERROR(IF(Z442="",0,Z442),"0")+IFERROR(IF(Z443="",0,Z443),"0")+IFERROR(IF(Z444="",0,Z444),"0")</f>
        <v>2.1749999999999998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1500</v>
      </c>
      <c r="Y446" s="43">
        <f>IFERROR(SUM(Y442:Y444),"0")</f>
        <v>1500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738</v>
      </c>
      <c r="B448" s="63" t="s">
        <v>739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741</v>
      </c>
      <c r="B449" s="63" t="s">
        <v>742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65" t="s">
        <v>173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747</v>
      </c>
      <c r="B454" s="63" t="s">
        <v>748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749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750</v>
      </c>
      <c r="B455" s="63" t="s">
        <v>751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672" t="s">
        <v>753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756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757</v>
      </c>
      <c r="B461" s="63" t="s">
        <v>758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756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759</v>
      </c>
      <c r="B465" s="63" t="s">
        <v>760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761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762</v>
      </c>
      <c r="B469" s="63" t="s">
        <v>763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764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765</v>
      </c>
      <c r="B470" s="63" t="s">
        <v>766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764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765</v>
      </c>
      <c r="B471" s="63" t="s">
        <v>767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768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769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770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hidden="1" customHeight="1" x14ac:dyDescent="0.25">
      <c r="A477" s="63" t="s">
        <v>771</v>
      </c>
      <c r="B477" s="63" t="s">
        <v>772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68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773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69">IFERROR(X477*I477/H477,"0")</f>
        <v>0</v>
      </c>
      <c r="BN477" s="78">
        <f t="shared" ref="BN477:BN482" si="70">IFERROR(Y477*I477/H477,"0")</f>
        <v>0</v>
      </c>
      <c r="BO477" s="78">
        <f t="shared" ref="BO477:BO482" si="71">IFERROR(1/J477*(X477/H477),"0")</f>
        <v>0</v>
      </c>
      <c r="BP477" s="78">
        <f t="shared" ref="BP477:BP482" si="72">IFERROR(1/J477*(Y477/H477),"0")</f>
        <v>0</v>
      </c>
    </row>
    <row r="478" spans="1:68" ht="27" hidden="1" customHeight="1" x14ac:dyDescent="0.25">
      <c r="A478" s="63" t="s">
        <v>774</v>
      </c>
      <c r="B478" s="63" t="s">
        <v>775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781</v>
      </c>
      <c r="AG480" s="78"/>
      <c r="AJ480" s="84" t="s">
        <v>46</v>
      </c>
      <c r="AK480" s="84">
        <v>0</v>
      </c>
      <c r="BB480" s="583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37.5" hidden="1" customHeight="1" x14ac:dyDescent="0.25">
      <c r="A482" s="63" t="s">
        <v>785</v>
      </c>
      <c r="B482" s="63" t="s">
        <v>786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787</v>
      </c>
      <c r="B486" s="63" t="s">
        <v>788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789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790</v>
      </c>
      <c r="B487" s="63" t="s">
        <v>791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793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155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794</v>
      </c>
      <c r="B492" s="63" t="s">
        <v>795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796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hidden="1" customHeight="1" x14ac:dyDescent="0.25">
      <c r="A496" s="63" t="s">
        <v>797</v>
      </c>
      <c r="B496" s="63" t="s">
        <v>798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799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800</v>
      </c>
      <c r="B497" s="63" t="s">
        <v>801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83" t="s">
        <v>805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805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806</v>
      </c>
      <c r="B504" s="63" t="s">
        <v>807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3">IFERROR(IF(X504="",0,CEILING((X504/$H504),1)*$H504),"")</f>
        <v>0</v>
      </c>
      <c r="Z504" s="41" t="str">
        <f t="shared" ref="Z504:Z509" si="74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75">IFERROR(X504*I504/H504,"0")</f>
        <v>0</v>
      </c>
      <c r="BN504" s="78">
        <f t="shared" ref="BN504:BN512" si="76">IFERROR(Y504*I504/H504,"0")</f>
        <v>0</v>
      </c>
      <c r="BO504" s="78">
        <f t="shared" ref="BO504:BO512" si="77">IFERROR(1/J504*(X504/H504),"0")</f>
        <v>0</v>
      </c>
      <c r="BP504" s="78">
        <f t="shared" ref="BP504:BP512" si="78">IFERROR(1/J504*(Y504/H504),"0")</f>
        <v>0</v>
      </c>
    </row>
    <row r="505" spans="1:68" ht="16.5" hidden="1" customHeight="1" x14ac:dyDescent="0.25">
      <c r="A505" s="63" t="s">
        <v>808</v>
      </c>
      <c r="B505" s="63" t="s">
        <v>809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3"/>
        <v>0</v>
      </c>
      <c r="Z505" s="41" t="str">
        <f t="shared" si="74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75"/>
        <v>0</v>
      </c>
      <c r="BN505" s="78">
        <f t="shared" si="76"/>
        <v>0</v>
      </c>
      <c r="BO505" s="78">
        <f t="shared" si="77"/>
        <v>0</v>
      </c>
      <c r="BP505" s="78">
        <f t="shared" si="78"/>
        <v>0</v>
      </c>
    </row>
    <row r="506" spans="1:68" ht="27" hidden="1" customHeight="1" x14ac:dyDescent="0.25">
      <c r="A506" s="63" t="s">
        <v>811</v>
      </c>
      <c r="B506" s="63" t="s">
        <v>812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3"/>
        <v>0</v>
      </c>
      <c r="Z506" s="41" t="str">
        <f t="shared" si="74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75"/>
        <v>0</v>
      </c>
      <c r="BN506" s="78">
        <f t="shared" si="76"/>
        <v>0</v>
      </c>
      <c r="BO506" s="78">
        <f t="shared" si="77"/>
        <v>0</v>
      </c>
      <c r="BP506" s="78">
        <f t="shared" si="78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3"/>
        <v>0</v>
      </c>
      <c r="Z507" s="41" t="str">
        <f t="shared" si="74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75"/>
        <v>0</v>
      </c>
      <c r="BN507" s="78">
        <f t="shared" si="76"/>
        <v>0</v>
      </c>
      <c r="BO507" s="78">
        <f t="shared" si="77"/>
        <v>0</v>
      </c>
      <c r="BP507" s="78">
        <f t="shared" si="78"/>
        <v>0</v>
      </c>
    </row>
    <row r="508" spans="1:68" ht="16.5" hidden="1" customHeight="1" x14ac:dyDescent="0.25">
      <c r="A508" s="63" t="s">
        <v>817</v>
      </c>
      <c r="B508" s="63" t="s">
        <v>818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3"/>
        <v>0</v>
      </c>
      <c r="Z508" s="41" t="str">
        <f t="shared" si="74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75"/>
        <v>0</v>
      </c>
      <c r="BN508" s="78">
        <f t="shared" si="76"/>
        <v>0</v>
      </c>
      <c r="BO508" s="78">
        <f t="shared" si="77"/>
        <v>0</v>
      </c>
      <c r="BP508" s="78">
        <f t="shared" si="78"/>
        <v>0</v>
      </c>
    </row>
    <row r="509" spans="1:68" ht="27" hidden="1" customHeight="1" x14ac:dyDescent="0.25">
      <c r="A509" s="63" t="s">
        <v>820</v>
      </c>
      <c r="B509" s="63" t="s">
        <v>821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3"/>
        <v>0</v>
      </c>
      <c r="Z509" s="41" t="str">
        <f t="shared" si="74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75"/>
        <v>0</v>
      </c>
      <c r="BN509" s="78">
        <f t="shared" si="76"/>
        <v>0</v>
      </c>
      <c r="BO509" s="78">
        <f t="shared" si="77"/>
        <v>0</v>
      </c>
      <c r="BP509" s="78">
        <f t="shared" si="78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3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75"/>
        <v>0</v>
      </c>
      <c r="BN510" s="78">
        <f t="shared" si="76"/>
        <v>0</v>
      </c>
      <c r="BO510" s="78">
        <f t="shared" si="77"/>
        <v>0</v>
      </c>
      <c r="BP510" s="78">
        <f t="shared" si="78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3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75"/>
        <v>0</v>
      </c>
      <c r="BN511" s="78">
        <f t="shared" si="76"/>
        <v>0</v>
      </c>
      <c r="BO511" s="78">
        <f t="shared" si="77"/>
        <v>0</v>
      </c>
      <c r="BP511" s="78">
        <f t="shared" si="78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822</v>
      </c>
      <c r="AG512" s="78"/>
      <c r="AJ512" s="84" t="s">
        <v>46</v>
      </c>
      <c r="AK512" s="84">
        <v>0</v>
      </c>
      <c r="BB512" s="617" t="s">
        <v>67</v>
      </c>
      <c r="BM512" s="78">
        <f t="shared" si="75"/>
        <v>0</v>
      </c>
      <c r="BN512" s="78">
        <f t="shared" si="76"/>
        <v>0</v>
      </c>
      <c r="BO512" s="78">
        <f t="shared" si="77"/>
        <v>0</v>
      </c>
      <c r="BP512" s="78">
        <f t="shared" si="78"/>
        <v>0</v>
      </c>
    </row>
    <row r="513" spans="1:68" hidden="1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65" t="s">
        <v>155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hidden="1" customHeight="1" x14ac:dyDescent="0.25">
      <c r="A516" s="63" t="s">
        <v>829</v>
      </c>
      <c r="B516" s="63" t="s">
        <v>830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831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hidden="1" customHeight="1" x14ac:dyDescent="0.25">
      <c r="A517" s="63" t="s">
        <v>832</v>
      </c>
      <c r="B517" s="63" t="s">
        <v>833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831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idden="1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hidden="1" customHeight="1" x14ac:dyDescent="0.25">
      <c r="A522" s="63" t="s">
        <v>836</v>
      </c>
      <c r="B522" s="63" t="s">
        <v>837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79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0">IFERROR(X522*I522/H522,"0")</f>
        <v>0</v>
      </c>
      <c r="BN522" s="78">
        <f t="shared" ref="BN522:BN528" si="81">IFERROR(Y522*I522/H522,"0")</f>
        <v>0</v>
      </c>
      <c r="BO522" s="78">
        <f t="shared" ref="BO522:BO528" si="82">IFERROR(1/J522*(X522/H522),"0")</f>
        <v>0</v>
      </c>
      <c r="BP522" s="78">
        <f t="shared" ref="BP522:BP528" si="83">IFERROR(1/J522*(Y522/H522),"0")</f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9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si="80"/>
        <v>0</v>
      </c>
      <c r="BN523" s="78">
        <f t="shared" si="81"/>
        <v>0</v>
      </c>
      <c r="BO523" s="78">
        <f t="shared" si="82"/>
        <v>0</v>
      </c>
      <c r="BP523" s="78">
        <f t="shared" si="83"/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0"/>
        <v>0</v>
      </c>
      <c r="BN524" s="78">
        <f t="shared" si="81"/>
        <v>0</v>
      </c>
      <c r="BO524" s="78">
        <f t="shared" si="82"/>
        <v>0</v>
      </c>
      <c r="BP524" s="78">
        <f t="shared" si="83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79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838</v>
      </c>
      <c r="AG525" s="78"/>
      <c r="AJ525" s="84" t="s">
        <v>46</v>
      </c>
      <c r="AK525" s="84">
        <v>0</v>
      </c>
      <c r="BB525" s="631" t="s">
        <v>67</v>
      </c>
      <c r="BM525" s="78">
        <f t="shared" si="80"/>
        <v>0</v>
      </c>
      <c r="BN525" s="78">
        <f t="shared" si="81"/>
        <v>0</v>
      </c>
      <c r="BO525" s="78">
        <f t="shared" si="82"/>
        <v>0</v>
      </c>
      <c r="BP525" s="78">
        <f t="shared" si="83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0"/>
        <v>0</v>
      </c>
      <c r="BN526" s="78">
        <f t="shared" si="81"/>
        <v>0</v>
      </c>
      <c r="BO526" s="78">
        <f t="shared" si="82"/>
        <v>0</v>
      </c>
      <c r="BP526" s="78">
        <f t="shared" si="83"/>
        <v>0</v>
      </c>
    </row>
    <row r="527" spans="1:68" ht="27" hidden="1" customHeight="1" x14ac:dyDescent="0.25">
      <c r="A527" s="63" t="s">
        <v>847</v>
      </c>
      <c r="B527" s="63" t="s">
        <v>849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0"/>
        <v>0</v>
      </c>
      <c r="BN527" s="78">
        <f t="shared" si="81"/>
        <v>0</v>
      </c>
      <c r="BO527" s="78">
        <f t="shared" si="82"/>
        <v>0</v>
      </c>
      <c r="BP527" s="78">
        <f t="shared" si="83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0"/>
        <v>0</v>
      </c>
      <c r="BN528" s="78">
        <f t="shared" si="81"/>
        <v>0</v>
      </c>
      <c r="BO528" s="78">
        <f t="shared" si="82"/>
        <v>0</v>
      </c>
      <c r="BP528" s="78">
        <f t="shared" si="83"/>
        <v>0</v>
      </c>
    </row>
    <row r="529" spans="1:68" hidden="1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683" t="s">
        <v>852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852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855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155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4301020400</v>
      </c>
      <c r="D538" s="666">
        <v>4640242180519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858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861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hidden="1" customHeight="1" x14ac:dyDescent="0.25">
      <c r="A546" s="63" t="s">
        <v>862</v>
      </c>
      <c r="B546" s="63" t="s">
        <v>863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864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65" t="s">
        <v>173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865</v>
      </c>
      <c r="B550" s="63" t="s">
        <v>866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867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868</v>
      </c>
      <c r="B551" s="63" t="s">
        <v>869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871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155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872</v>
      </c>
      <c r="B556" s="63" t="s">
        <v>873</v>
      </c>
      <c r="C556" s="36">
        <v>4301020428</v>
      </c>
      <c r="D556" s="666">
        <v>4640242180090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874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3800</v>
      </c>
      <c r="Y559" s="43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3810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3919.0666666666666</v>
      </c>
      <c r="Y560" s="43">
        <f>IFERROR(SUM(BN22:BN556),"0")</f>
        <v>3929.38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6</v>
      </c>
      <c r="Y561" s="44">
        <f>ROUNDUP(SUM(BP22:BP556),0)</f>
        <v>6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4069.0666666666666</v>
      </c>
      <c r="Y562" s="43">
        <f>GrossWeightTotalR+PalletQtyTotalR*25</f>
        <v>4079.38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253.33333333333334</v>
      </c>
      <c r="Y563" s="43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254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5.5244999999999997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360</v>
      </c>
      <c r="L566" s="652" t="s">
        <v>360</v>
      </c>
      <c r="M566" s="652" t="s">
        <v>360</v>
      </c>
      <c r="N566" s="662"/>
      <c r="O566" s="652" t="s">
        <v>360</v>
      </c>
      <c r="P566" s="652" t="s">
        <v>360</v>
      </c>
      <c r="Q566" s="652" t="s">
        <v>360</v>
      </c>
      <c r="R566" s="652" t="s">
        <v>360</v>
      </c>
      <c r="S566" s="652" t="s">
        <v>360</v>
      </c>
      <c r="T566" s="652" t="s">
        <v>360</v>
      </c>
      <c r="U566" s="652" t="s">
        <v>360</v>
      </c>
      <c r="V566" s="652" t="s">
        <v>360</v>
      </c>
      <c r="W566" s="652" t="s">
        <v>703</v>
      </c>
      <c r="X566" s="652" t="s">
        <v>703</v>
      </c>
      <c r="Y566" s="652" t="s">
        <v>769</v>
      </c>
      <c r="Z566" s="652" t="s">
        <v>769</v>
      </c>
      <c r="AA566" s="85" t="s">
        <v>805</v>
      </c>
      <c r="AB566" s="652" t="s">
        <v>852</v>
      </c>
      <c r="AC566" s="652" t="s">
        <v>852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182</v>
      </c>
      <c r="G567" s="652" t="s">
        <v>209</v>
      </c>
      <c r="H567" s="652" t="s">
        <v>260</v>
      </c>
      <c r="I567" s="652" t="s">
        <v>273</v>
      </c>
      <c r="J567" s="652" t="s">
        <v>120</v>
      </c>
      <c r="K567" s="652" t="s">
        <v>361</v>
      </c>
      <c r="L567" s="652" t="s">
        <v>382</v>
      </c>
      <c r="M567" s="652" t="s">
        <v>449</v>
      </c>
      <c r="N567" s="1"/>
      <c r="O567" s="652" t="s">
        <v>517</v>
      </c>
      <c r="P567" s="652" t="s">
        <v>550</v>
      </c>
      <c r="Q567" s="652" t="s">
        <v>566</v>
      </c>
      <c r="R567" s="652" t="s">
        <v>575</v>
      </c>
      <c r="S567" s="652" t="s">
        <v>596</v>
      </c>
      <c r="T567" s="652" t="s">
        <v>605</v>
      </c>
      <c r="U567" s="652" t="s">
        <v>686</v>
      </c>
      <c r="V567" s="652" t="s">
        <v>693</v>
      </c>
      <c r="W567" s="652" t="s">
        <v>704</v>
      </c>
      <c r="X567" s="652" t="s">
        <v>753</v>
      </c>
      <c r="Y567" s="652" t="s">
        <v>770</v>
      </c>
      <c r="Z567" s="652" t="s">
        <v>793</v>
      </c>
      <c r="AA567" s="652" t="s">
        <v>805</v>
      </c>
      <c r="AB567" s="652" t="s">
        <v>852</v>
      </c>
      <c r="AC567" s="652" t="s">
        <v>871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2">
        <f>IFERROR(Y85*1,"0")+IFERROR(Y86*1,"0")+IFERROR(Y87*1,"0")+IFERROR(Y88*1,"0")+IFERROR(Y89*1,"0")+IFERROR(Y93*1,"0")+IFERROR(Y94*1,"0")+IFERROR(Y95*1,"0")+IFERROR(Y96*1,"0")+IFERROR(Y97*1,"0")+IFERROR(Y98*1,"0")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2">
        <f>IFERROR(Y138*1,"0")+IFERROR(Y139*1,"0")+IFERROR(Y143*1,"0")+IFERROR(Y144*1,"0")+IFERROR(Y148*1,"0")+IFERROR(Y149*1,"0")</f>
        <v>0</v>
      </c>
      <c r="I569" s="52">
        <f>IFERROR(Y154*1,"0")+IFERROR(Y155*1,"0")+IFERROR(Y156*1,"0")+IFERROR(Y157*1,"0")+IFERROR(Y158*1,"0")+IFERROR(Y159*1,"0")+IFERROR(Y160*1,"0")+IFERROR(Y164*1,"0")</f>
        <v>0</v>
      </c>
      <c r="J569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2">
        <f>IFERROR(Y211*1,"0")+IFERROR(Y212*1,"0")+IFERROR(Y213*1,"0")+IFERROR(Y214*1,"0")+IFERROR(Y215*1,"0")+IFERROR(Y216*1,"0")+IFERROR(Y217*1,"0")</f>
        <v>0</v>
      </c>
      <c r="L569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2">
        <f>IFERROR(Y329*1,"0")+IFERROR(Y330*1,"0")+IFERROR(Y331*1,"0")+IFERROR(Y332*1,"0")+IFERROR(Y333*1,"0")</f>
        <v>0</v>
      </c>
      <c r="Q569" s="52">
        <f>IFERROR(Y338*1,"0")+IFERROR(Y339*1,"0")+IFERROR(Y340*1,"0")</f>
        <v>0</v>
      </c>
      <c r="R569" s="52">
        <f>IFERROR(Y345*1,"0")+IFERROR(Y346*1,"0")+IFERROR(Y347*1,"0")+IFERROR(Y348*1,"0")+IFERROR(Y349*1,"0")+IFERROR(Y353*1,"0")+IFERROR(Y354*1,"0")</f>
        <v>0</v>
      </c>
      <c r="S569" s="52">
        <f>IFERROR(Y359*1,"0")+IFERROR(Y360*1,"0")+IFERROR(Y361*1,"0")</f>
        <v>0</v>
      </c>
      <c r="T569" s="52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3810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0,00"/>
        <filter val="153,33"/>
        <filter val="2 300,00"/>
        <filter val="253,33"/>
        <filter val="3 800,00"/>
        <filter val="3 919,07"/>
        <filter val="4 069,07"/>
        <filter val="6"/>
        <filter val="600,00"/>
        <filter val="700,0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2" spans="2:8" x14ac:dyDescent="0.2">
      <c r="B12" s="53" t="s">
        <v>896</v>
      </c>
      <c r="C12" s="53" t="s">
        <v>897</v>
      </c>
      <c r="D12" s="53" t="s">
        <v>898</v>
      </c>
      <c r="E12" s="53" t="s">
        <v>46</v>
      </c>
    </row>
    <row r="14" spans="2:8" x14ac:dyDescent="0.2">
      <c r="B14" s="53" t="s">
        <v>899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900</v>
      </c>
      <c r="C16" s="53" t="s">
        <v>882</v>
      </c>
      <c r="D16" s="53" t="s">
        <v>46</v>
      </c>
      <c r="E16" s="53" t="s">
        <v>46</v>
      </c>
    </row>
    <row r="18" spans="2:5" x14ac:dyDescent="0.2">
      <c r="B18" s="53" t="s">
        <v>901</v>
      </c>
      <c r="C18" s="53" t="s">
        <v>885</v>
      </c>
      <c r="D18" s="53" t="s">
        <v>46</v>
      </c>
      <c r="E18" s="53" t="s">
        <v>46</v>
      </c>
    </row>
    <row r="20" spans="2:5" x14ac:dyDescent="0.2">
      <c r="B20" s="53" t="s">
        <v>902</v>
      </c>
      <c r="C20" s="53" t="s">
        <v>888</v>
      </c>
      <c r="D20" s="53" t="s">
        <v>46</v>
      </c>
      <c r="E20" s="53" t="s">
        <v>46</v>
      </c>
    </row>
    <row r="22" spans="2:5" x14ac:dyDescent="0.2">
      <c r="B22" s="53" t="s">
        <v>903</v>
      </c>
      <c r="C22" s="53" t="s">
        <v>891</v>
      </c>
      <c r="D22" s="53" t="s">
        <v>46</v>
      </c>
      <c r="E22" s="53" t="s">
        <v>46</v>
      </c>
    </row>
    <row r="24" spans="2:5" x14ac:dyDescent="0.2">
      <c r="B24" s="53" t="s">
        <v>904</v>
      </c>
      <c r="C24" s="53" t="s">
        <v>894</v>
      </c>
      <c r="D24" s="53" t="s">
        <v>46</v>
      </c>
      <c r="E24" s="53" t="s">
        <v>46</v>
      </c>
    </row>
    <row r="26" spans="2:5" x14ac:dyDescent="0.2">
      <c r="B26" s="53" t="s">
        <v>905</v>
      </c>
      <c r="C26" s="53" t="s">
        <v>897</v>
      </c>
      <c r="D26" s="53" t="s">
        <v>46</v>
      </c>
      <c r="E26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916</v>
      </c>
      <c r="C38" s="53" t="s">
        <v>46</v>
      </c>
      <c r="D38" s="53" t="s">
        <v>46</v>
      </c>
      <c r="E38" s="53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2026-09-02T08:58:06Z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