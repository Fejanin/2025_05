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31,08-01,09,26\"/>
    </mc:Choice>
  </mc:AlternateContent>
  <xr:revisionPtr revIDLastSave="0" documentId="13_ncr:1_{3D379E7E-3A5A-4604-8088-C1B5D8351B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Z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Z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Y483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Z462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P435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P417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Z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P400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Z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P346" i="2"/>
  <c r="BO346" i="2"/>
  <c r="BM346" i="2"/>
  <c r="Y346" i="2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P304" i="2"/>
  <c r="BO304" i="2"/>
  <c r="BM304" i="2"/>
  <c r="Y304" i="2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Z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P283" i="2"/>
  <c r="BO283" i="2"/>
  <c r="BN283" i="2"/>
  <c r="BM283" i="2"/>
  <c r="Z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P272" i="2"/>
  <c r="BO272" i="2"/>
  <c r="BN272" i="2"/>
  <c r="BM272" i="2"/>
  <c r="Z272" i="2"/>
  <c r="Y272" i="2"/>
  <c r="P272" i="2"/>
  <c r="X270" i="2"/>
  <c r="Y269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Z229" i="2"/>
  <c r="Y229" i="2"/>
  <c r="BN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N217" i="2"/>
  <c r="BM217" i="2"/>
  <c r="Z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P201" i="2"/>
  <c r="BO201" i="2"/>
  <c r="BN201" i="2"/>
  <c r="BM201" i="2"/>
  <c r="Z201" i="2"/>
  <c r="Z202" i="2" s="1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Z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Z170" i="2"/>
  <c r="Y170" i="2"/>
  <c r="BN170" i="2" s="1"/>
  <c r="P170" i="2"/>
  <c r="BO169" i="2"/>
  <c r="BM169" i="2"/>
  <c r="Y169" i="2"/>
  <c r="P169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Z138" i="2"/>
  <c r="Y138" i="2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P103" i="2"/>
  <c r="BO103" i="2"/>
  <c r="BN103" i="2"/>
  <c r="BM103" i="2"/>
  <c r="Z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P59" i="2"/>
  <c r="BO59" i="2"/>
  <c r="BN59" i="2"/>
  <c r="BM59" i="2"/>
  <c r="Z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Z55" i="2"/>
  <c r="Y55" i="2"/>
  <c r="P55" i="2"/>
  <c r="X52" i="2"/>
  <c r="X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C569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Z22" i="2" l="1"/>
  <c r="Y25" i="2"/>
  <c r="BN23" i="2"/>
  <c r="BN39" i="2"/>
  <c r="BP39" i="2"/>
  <c r="BP47" i="2"/>
  <c r="BN47" i="2"/>
  <c r="Z47" i="2"/>
  <c r="Z51" i="2" s="1"/>
  <c r="BN67" i="2"/>
  <c r="Z67" i="2"/>
  <c r="BN80" i="2"/>
  <c r="BN96" i="2"/>
  <c r="Z96" i="2"/>
  <c r="BN110" i="2"/>
  <c r="BN144" i="2"/>
  <c r="Z144" i="2"/>
  <c r="BN157" i="2"/>
  <c r="BP195" i="2"/>
  <c r="BN195" i="2"/>
  <c r="Z195" i="2"/>
  <c r="BN305" i="2"/>
  <c r="BN332" i="2"/>
  <c r="BN347" i="2"/>
  <c r="Z347" i="2"/>
  <c r="BN359" i="2"/>
  <c r="BN384" i="2"/>
  <c r="BN399" i="2"/>
  <c r="BN412" i="2"/>
  <c r="BP425" i="2"/>
  <c r="BN425" i="2"/>
  <c r="Z425" i="2"/>
  <c r="BN437" i="2"/>
  <c r="Z437" i="2"/>
  <c r="BN469" i="2"/>
  <c r="BN487" i="2"/>
  <c r="BN522" i="2"/>
  <c r="Y540" i="2"/>
  <c r="Y539" i="2"/>
  <c r="Z538" i="2"/>
  <c r="Z539" i="2" s="1"/>
  <c r="Y24" i="2"/>
  <c r="BN50" i="2"/>
  <c r="BP56" i="2"/>
  <c r="BN56" i="2"/>
  <c r="Z56" i="2"/>
  <c r="BN97" i="2"/>
  <c r="BP106" i="2"/>
  <c r="BN106" i="2"/>
  <c r="Z106" i="2"/>
  <c r="BP126" i="2"/>
  <c r="BN126" i="2"/>
  <c r="Z126" i="2"/>
  <c r="BP171" i="2"/>
  <c r="BN171" i="2"/>
  <c r="Z171" i="2"/>
  <c r="BN182" i="2"/>
  <c r="BN190" i="2"/>
  <c r="BN212" i="2"/>
  <c r="BN230" i="2"/>
  <c r="Z230" i="2"/>
  <c r="BP238" i="2"/>
  <c r="BN238" i="2"/>
  <c r="Z238" i="2"/>
  <c r="BN278" i="2"/>
  <c r="BN291" i="2"/>
  <c r="BN304" i="2"/>
  <c r="Z304" i="2"/>
  <c r="BP345" i="2"/>
  <c r="BN345" i="2"/>
  <c r="Z345" i="2"/>
  <c r="BP347" i="2"/>
  <c r="BP348" i="2"/>
  <c r="BN348" i="2"/>
  <c r="Z348" i="2"/>
  <c r="BN366" i="2"/>
  <c r="BN376" i="2"/>
  <c r="Y420" i="2"/>
  <c r="Y427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31" i="2"/>
  <c r="BN40" i="2"/>
  <c r="Y52" i="2"/>
  <c r="BN71" i="2"/>
  <c r="Y112" i="2"/>
  <c r="BN115" i="2"/>
  <c r="Y161" i="2"/>
  <c r="BN176" i="2"/>
  <c r="BN183" i="2"/>
  <c r="BN186" i="2"/>
  <c r="BN191" i="2"/>
  <c r="BN231" i="2"/>
  <c r="BN245" i="2"/>
  <c r="BN253" i="2"/>
  <c r="BN268" i="2"/>
  <c r="BN276" i="2"/>
  <c r="BN286" i="2"/>
  <c r="BN330" i="2"/>
  <c r="BN378" i="2"/>
  <c r="BP392" i="2"/>
  <c r="BN393" i="2"/>
  <c r="BP438" i="2"/>
  <c r="BP461" i="2"/>
  <c r="BN479" i="2"/>
  <c r="BP498" i="2"/>
  <c r="BN525" i="2"/>
  <c r="BN534" i="2"/>
  <c r="Z432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0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0" i="2" s="1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57" i="2"/>
  <c r="Z180" i="2"/>
  <c r="Z188" i="2"/>
  <c r="Z212" i="2"/>
  <c r="Z233" i="2"/>
  <c r="Z240" i="2" s="1"/>
  <c r="Z243" i="2"/>
  <c r="Z253" i="2"/>
  <c r="Z254" i="2" s="1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388" i="2" l="1"/>
  <c r="Z325" i="2"/>
  <c r="Z129" i="2"/>
  <c r="Z134" i="2"/>
  <c r="Z111" i="2"/>
  <c r="Z407" i="2"/>
  <c r="Z341" i="2"/>
  <c r="Z198" i="2"/>
  <c r="Z401" i="2"/>
  <c r="Z6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<sst xmlns="http://schemas.openxmlformats.org/spreadsheetml/2006/main" count="4335" uniqueCount="917">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</sst>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2" sqref="AA4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46265</v>
      </c>
      <c r="R5" s="1000"/>
      <c r="T5" s="1001" t="s">
        <v>3</v>
      </c>
      <c r="U5" s="1002"/>
      <c r="V5" s="1003" t="s">
        <v>877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/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182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1" t="s">
        <v>190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2" t="s">
        <v>199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5" t="s">
        <v>205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897" t="s">
        <v>223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155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86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1" t="s">
        <v>243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4" t="s">
        <v>249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6" t="s">
        <v>254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173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87" t="s">
        <v>259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260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122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77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86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273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86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289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120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122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155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77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57" t="s">
        <v>324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59" t="s">
        <v>330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86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289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360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361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122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382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155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77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86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289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446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449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122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155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77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86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173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517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122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155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539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356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550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122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566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86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575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77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86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596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122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605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122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173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653</v>
      </c>
      <c r="B392" s="63" t="s">
        <v>654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289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668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677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686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693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703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350</v>
      </c>
      <c r="Y432" s="55">
        <f t="shared" si="63"/>
        <v>360</v>
      </c>
      <c r="Z432" s="41">
        <f>IFERROR(IF(Y432=0,"",ROUNDUP(Y432/H432,0)*0.02175),"")</f>
        <v>0.52200000000000002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360.96666666666664</v>
      </c>
      <c r="BN432" s="78">
        <f t="shared" si="65"/>
        <v>371.28</v>
      </c>
      <c r="BO432" s="78">
        <f t="shared" si="66"/>
        <v>0.48611111111111105</v>
      </c>
      <c r="BP432" s="78">
        <f t="shared" si="67"/>
        <v>0.5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63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412.53333333333336</v>
      </c>
      <c r="BN434" s="78">
        <f t="shared" si="65"/>
        <v>417.69</v>
      </c>
      <c r="BO434" s="78">
        <f t="shared" si="66"/>
        <v>0.55555555555555558</v>
      </c>
      <c r="BP434" s="78">
        <f t="shared" si="67"/>
        <v>0.5625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50</v>
      </c>
      <c r="Y439" s="43">
        <f>IFERROR(Y431/H431,"0")+IFERROR(Y432/H432,"0")+IFERROR(Y433/H433,"0")+IFERROR(Y434/H434,"0")+IFERROR(Y435/H435,"0")+IFERROR(Y436/H436,"0")+IFERROR(Y437/H437,"0")+IFERROR(Y438/H438,"0")</f>
        <v>51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1.1092499999999998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750</v>
      </c>
      <c r="Y440" s="43">
        <f>IFERROR(SUM(Y431:Y438),"0")</f>
        <v>765</v>
      </c>
      <c r="Z440" s="42"/>
      <c r="AA440" s="67"/>
      <c r="AB440" s="67"/>
      <c r="AC440" s="67"/>
    </row>
    <row r="441" spans="1:68" ht="14.25" hidden="1" customHeight="1" x14ac:dyDescent="0.25">
      <c r="A441" s="665" t="s">
        <v>155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250</v>
      </c>
      <c r="Y442" s="55">
        <f>IFERROR(IF(X442="",0,CEILING((X442/$H442),1)*$H442),"")</f>
        <v>255</v>
      </c>
      <c r="Z442" s="41">
        <f>IFERROR(IF(Y442=0,"",ROUNDUP(Y442/H442,0)*0.02175),"")</f>
        <v>0.36974999999999997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257.83333333333331</v>
      </c>
      <c r="BN442" s="78">
        <f>IFERROR(Y442*I442/H442,"0")</f>
        <v>262.99</v>
      </c>
      <c r="BO442" s="78">
        <f>IFERROR(1/J442*(X442/H442),"0")</f>
        <v>0.34722222222222221</v>
      </c>
      <c r="BP442" s="78">
        <f>IFERROR(1/J442*(Y442/H442),"0")</f>
        <v>0.35416666666666663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16.666666666666668</v>
      </c>
      <c r="Y445" s="43">
        <f>IFERROR(Y442/H442,"0")+IFERROR(Y443/H443,"0")+IFERROR(Y444/H444,"0")</f>
        <v>17</v>
      </c>
      <c r="Z445" s="43">
        <f>IFERROR(IF(Z442="",0,Z442),"0")+IFERROR(IF(Z443="",0,Z443),"0")+IFERROR(IF(Z444="",0,Z444),"0")</f>
        <v>0.36974999999999997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250</v>
      </c>
      <c r="Y446" s="43">
        <f>IFERROR(SUM(Y442:Y444),"0")</f>
        <v>255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173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750</v>
      </c>
      <c r="B455" s="63" t="s">
        <v>751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769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770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793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155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805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805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155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852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852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155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173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871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155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1000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1020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1031.3333333333333</v>
      </c>
      <c r="Y560" s="43">
        <f>IFERROR(SUM(BN22:BN556),"0")</f>
        <v>1051.96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2</v>
      </c>
      <c r="Y561" s="44">
        <f>ROUNDUP(SUM(BP22:BP556),0)</f>
        <v>2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1081.3333333333333</v>
      </c>
      <c r="Y562" s="43">
        <f>GrossWeightTotalR+PalletQtyTotalR*25</f>
        <v>1101.96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66.666666666666671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68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1.4789999999999999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360</v>
      </c>
      <c r="L566" s="652" t="s">
        <v>360</v>
      </c>
      <c r="M566" s="652" t="s">
        <v>360</v>
      </c>
      <c r="N566" s="662"/>
      <c r="O566" s="652" t="s">
        <v>360</v>
      </c>
      <c r="P566" s="652" t="s">
        <v>360</v>
      </c>
      <c r="Q566" s="652" t="s">
        <v>360</v>
      </c>
      <c r="R566" s="652" t="s">
        <v>360</v>
      </c>
      <c r="S566" s="652" t="s">
        <v>360</v>
      </c>
      <c r="T566" s="652" t="s">
        <v>360</v>
      </c>
      <c r="U566" s="652" t="s">
        <v>360</v>
      </c>
      <c r="V566" s="652" t="s">
        <v>360</v>
      </c>
      <c r="W566" s="652" t="s">
        <v>703</v>
      </c>
      <c r="X566" s="652" t="s">
        <v>703</v>
      </c>
      <c r="Y566" s="652" t="s">
        <v>769</v>
      </c>
      <c r="Z566" s="652" t="s">
        <v>769</v>
      </c>
      <c r="AA566" s="85" t="s">
        <v>805</v>
      </c>
      <c r="AB566" s="652" t="s">
        <v>852</v>
      </c>
      <c r="AC566" s="652" t="s">
        <v>852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182</v>
      </c>
      <c r="G567" s="652" t="s">
        <v>209</v>
      </c>
      <c r="H567" s="652" t="s">
        <v>260</v>
      </c>
      <c r="I567" s="652" t="s">
        <v>273</v>
      </c>
      <c r="J567" s="652" t="s">
        <v>120</v>
      </c>
      <c r="K567" s="652" t="s">
        <v>361</v>
      </c>
      <c r="L567" s="652" t="s">
        <v>382</v>
      </c>
      <c r="M567" s="652" t="s">
        <v>449</v>
      </c>
      <c r="N567" s="1"/>
      <c r="O567" s="652" t="s">
        <v>517</v>
      </c>
      <c r="P567" s="652" t="s">
        <v>550</v>
      </c>
      <c r="Q567" s="652" t="s">
        <v>566</v>
      </c>
      <c r="R567" s="652" t="s">
        <v>575</v>
      </c>
      <c r="S567" s="652" t="s">
        <v>596</v>
      </c>
      <c r="T567" s="652" t="s">
        <v>605</v>
      </c>
      <c r="U567" s="652" t="s">
        <v>686</v>
      </c>
      <c r="V567" s="652" t="s">
        <v>693</v>
      </c>
      <c r="W567" s="652" t="s">
        <v>704</v>
      </c>
      <c r="X567" s="652" t="s">
        <v>753</v>
      </c>
      <c r="Y567" s="652" t="s">
        <v>770</v>
      </c>
      <c r="Z567" s="652" t="s">
        <v>793</v>
      </c>
      <c r="AA567" s="652" t="s">
        <v>805</v>
      </c>
      <c r="AB567" s="652" t="s">
        <v>852</v>
      </c>
      <c r="AC567" s="652" t="s">
        <v>871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1020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16,67"/>
        <filter val="2"/>
        <filter val="250,00"/>
        <filter val="350,00"/>
        <filter val="400,00"/>
        <filter val="50,00"/>
        <filter val="66,67"/>
        <filter val="75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