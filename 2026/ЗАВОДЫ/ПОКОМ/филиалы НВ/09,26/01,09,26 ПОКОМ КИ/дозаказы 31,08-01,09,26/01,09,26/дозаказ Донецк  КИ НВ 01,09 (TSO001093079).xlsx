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31,08-01,09,26\"/>
    </mc:Choice>
  </mc:AlternateContent>
  <xr:revisionPtr revIDLastSave="0" documentId="13_ncr:1_{5DB68CE2-EA55-4003-85A2-DAF9401E57E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Z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Z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Z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Y483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Z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Z432" i="2"/>
  <c r="Y432" i="2"/>
  <c r="BN432" i="2" s="1"/>
  <c r="P432" i="2"/>
  <c r="BO431" i="2"/>
  <c r="BM431" i="2"/>
  <c r="Y431" i="2"/>
  <c r="P431" i="2"/>
  <c r="X427" i="2"/>
  <c r="X426" i="2"/>
  <c r="BP425" i="2"/>
  <c r="BO425" i="2"/>
  <c r="BN425" i="2"/>
  <c r="BM425" i="2"/>
  <c r="Z425" i="2"/>
  <c r="Y425" i="2"/>
  <c r="P425" i="2"/>
  <c r="BO424" i="2"/>
  <c r="BM424" i="2"/>
  <c r="Y424" i="2"/>
  <c r="BP424" i="2" s="1"/>
  <c r="P424" i="2"/>
  <c r="BO423" i="2"/>
  <c r="BM423" i="2"/>
  <c r="Y423" i="2"/>
  <c r="Y427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P284" i="2"/>
  <c r="BO284" i="2"/>
  <c r="BM284" i="2"/>
  <c r="Y284" i="2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P251" i="2"/>
  <c r="BO251" i="2"/>
  <c r="BM251" i="2"/>
  <c r="Y251" i="2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N238" i="2"/>
  <c r="BM238" i="2"/>
  <c r="Z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Z230" i="2"/>
  <c r="Y230" i="2"/>
  <c r="BN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P195" i="2"/>
  <c r="BO195" i="2"/>
  <c r="BN195" i="2"/>
  <c r="BM195" i="2"/>
  <c r="Z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P171" i="2"/>
  <c r="BO171" i="2"/>
  <c r="BN171" i="2"/>
  <c r="BM171" i="2"/>
  <c r="Z171" i="2"/>
  <c r="Y171" i="2"/>
  <c r="P171" i="2"/>
  <c r="BO170" i="2"/>
  <c r="BM170" i="2"/>
  <c r="Y170" i="2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Y161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Z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P126" i="2"/>
  <c r="BO126" i="2"/>
  <c r="BN126" i="2"/>
  <c r="BM126" i="2"/>
  <c r="Z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Z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P49" i="2"/>
  <c r="BO48" i="2"/>
  <c r="BM48" i="2"/>
  <c r="Y48" i="2"/>
  <c r="Y52" i="2" s="1"/>
  <c r="P48" i="2"/>
  <c r="BP47" i="2"/>
  <c r="BO47" i="2"/>
  <c r="BN47" i="2"/>
  <c r="BM47" i="2"/>
  <c r="Z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Y25" i="2"/>
  <c r="X25" i="2"/>
  <c r="Y24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P59" i="2" l="1"/>
  <c r="BN59" i="2"/>
  <c r="Z59" i="2"/>
  <c r="Y112" i="2"/>
  <c r="BP103" i="2"/>
  <c r="BN103" i="2"/>
  <c r="Z103" i="2"/>
  <c r="BN115" i="2"/>
  <c r="BN176" i="2"/>
  <c r="BN186" i="2"/>
  <c r="BN231" i="2"/>
  <c r="BN267" i="2"/>
  <c r="Y269" i="2"/>
  <c r="BN268" i="2"/>
  <c r="BN276" i="2"/>
  <c r="BN286" i="2"/>
  <c r="BN354" i="2"/>
  <c r="Z354" i="2"/>
  <c r="BN392" i="2"/>
  <c r="Z392" i="2"/>
  <c r="BN406" i="2"/>
  <c r="Z406" i="2"/>
  <c r="BN435" i="2"/>
  <c r="Z435" i="2"/>
  <c r="BN486" i="2"/>
  <c r="Y488" i="2"/>
  <c r="Z486" i="2"/>
  <c r="Z488" i="2" s="1"/>
  <c r="Y493" i="2"/>
  <c r="Z492" i="2"/>
  <c r="Z493" i="2" s="1"/>
  <c r="BN510" i="2"/>
  <c r="Z510" i="2"/>
  <c r="BN31" i="2"/>
  <c r="BN40" i="2"/>
  <c r="BP49" i="2"/>
  <c r="BN49" i="2"/>
  <c r="Z49" i="2"/>
  <c r="BN71" i="2"/>
  <c r="Y166" i="2"/>
  <c r="BN170" i="2"/>
  <c r="Z170" i="2"/>
  <c r="BN183" i="2"/>
  <c r="BN185" i="2"/>
  <c r="Z185" i="2"/>
  <c r="BN191" i="2"/>
  <c r="Y203" i="2"/>
  <c r="BP201" i="2"/>
  <c r="BN201" i="2"/>
  <c r="Z201" i="2"/>
  <c r="Z202" i="2" s="1"/>
  <c r="BP217" i="2"/>
  <c r="BN217" i="2"/>
  <c r="Z217" i="2"/>
  <c r="BN227" i="2"/>
  <c r="Z227" i="2"/>
  <c r="BN229" i="2"/>
  <c r="Z229" i="2"/>
  <c r="BN245" i="2"/>
  <c r="BN253" i="2"/>
  <c r="BP272" i="2"/>
  <c r="BN272" i="2"/>
  <c r="Z272" i="2"/>
  <c r="BP283" i="2"/>
  <c r="BN283" i="2"/>
  <c r="Z283" i="2"/>
  <c r="BN294" i="2"/>
  <c r="Z294" i="2"/>
  <c r="Y316" i="2"/>
  <c r="BN330" i="2"/>
  <c r="BN378" i="2"/>
  <c r="BP392" i="2"/>
  <c r="BN393" i="2"/>
  <c r="Y420" i="2"/>
  <c r="BN423" i="2"/>
  <c r="BP435" i="2"/>
  <c r="BN437" i="2"/>
  <c r="Z437" i="2"/>
  <c r="Z462" i="2"/>
  <c r="BN469" i="2"/>
  <c r="BP486" i="2"/>
  <c r="BN487" i="2"/>
  <c r="Z522" i="2"/>
  <c r="BN522" i="2"/>
  <c r="BN526" i="2"/>
  <c r="BN23" i="2"/>
  <c r="C569" i="2"/>
  <c r="BN50" i="2"/>
  <c r="BN80" i="2"/>
  <c r="BN97" i="2"/>
  <c r="BN110" i="2"/>
  <c r="BN157" i="2"/>
  <c r="BN182" i="2"/>
  <c r="BN190" i="2"/>
  <c r="BN212" i="2"/>
  <c r="BN278" i="2"/>
  <c r="BN291" i="2"/>
  <c r="BP304" i="2"/>
  <c r="BN305" i="2"/>
  <c r="BN332" i="2"/>
  <c r="BP347" i="2"/>
  <c r="BN359" i="2"/>
  <c r="BN366" i="2"/>
  <c r="BN376" i="2"/>
  <c r="BN384" i="2"/>
  <c r="BN399" i="2"/>
  <c r="BN412" i="2"/>
  <c r="BP438" i="2"/>
  <c r="BP461" i="2"/>
  <c r="BN479" i="2"/>
  <c r="BP498" i="2"/>
  <c r="BN525" i="2"/>
  <c r="BN534" i="2"/>
  <c r="Z538" i="2"/>
  <c r="Z539" i="2" s="1"/>
  <c r="Y539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Z341" i="2" s="1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29" i="2" s="1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401" i="2" l="1"/>
  <c r="Z61" i="2"/>
  <c r="Z172" i="2"/>
  <c r="Z552" i="2"/>
  <c r="Z254" i="2"/>
  <c r="Z240" i="2"/>
  <c r="Z150" i="2"/>
  <c r="Z264" i="2"/>
  <c r="Z388" i="2"/>
  <c r="Z6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<sst xmlns="http://schemas.openxmlformats.org/spreadsheetml/2006/main" count="4335" uniqueCount="917">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</sst>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516" sqref="AA51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46265</v>
      </c>
      <c r="R5" s="1000"/>
      <c r="T5" s="1001" t="s">
        <v>3</v>
      </c>
      <c r="U5" s="1002"/>
      <c r="V5" s="1003" t="s">
        <v>877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/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6">
        <v>4680115880283</v>
      </c>
      <c r="E57" s="666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6">
        <v>4680115881525</v>
      </c>
      <c r="E58" s="666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6">
        <v>4680115885899</v>
      </c>
      <c r="E59" s="666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6">
        <v>4680115881419</v>
      </c>
      <c r="E60" s="666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5" t="s">
        <v>155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6">
        <v>4680115881440</v>
      </c>
      <c r="E64" s="666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6">
        <v>4680115885950</v>
      </c>
      <c r="E65" s="666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6">
        <v>4680115887688</v>
      </c>
      <c r="E66" s="666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6">
        <v>4680115881433</v>
      </c>
      <c r="E67" s="666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5" t="s">
        <v>86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6">
        <v>4680115884311</v>
      </c>
      <c r="E71" s="666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6">
        <v>4680115884403</v>
      </c>
      <c r="E72" s="666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6">
        <v>4680115884403</v>
      </c>
      <c r="E73" s="666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5" t="s">
        <v>173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6">
        <v>4680115881532</v>
      </c>
      <c r="E77" s="666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6">
        <v>4680115881532</v>
      </c>
      <c r="E78" s="66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6">
        <v>4680115881464</v>
      </c>
      <c r="E79" s="66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6">
        <v>4680115881464</v>
      </c>
      <c r="E80" s="666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2" t="s">
        <v>182</v>
      </c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72"/>
      <c r="P83" s="672"/>
      <c r="Q83" s="672"/>
      <c r="R83" s="672"/>
      <c r="S83" s="672"/>
      <c r="T83" s="672"/>
      <c r="U83" s="672"/>
      <c r="V83" s="672"/>
      <c r="W83" s="672"/>
      <c r="X83" s="672"/>
      <c r="Y83" s="672"/>
      <c r="Z83" s="672"/>
      <c r="AA83" s="65"/>
      <c r="AB83" s="65"/>
      <c r="AC83" s="79"/>
    </row>
    <row r="84" spans="1:68" ht="14.25" hidden="1" customHeight="1" x14ac:dyDescent="0.25">
      <c r="A84" s="665" t="s">
        <v>122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6">
        <v>4680115881327</v>
      </c>
      <c r="E85" s="666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6">
        <v>4680115887732</v>
      </c>
      <c r="E86" s="666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6">
        <v>4680115887732</v>
      </c>
      <c r="E87" s="666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1" t="s">
        <v>190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6">
        <v>4680115881518</v>
      </c>
      <c r="E88" s="666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6">
        <v>4680115881303</v>
      </c>
      <c r="E89" s="666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5" t="s">
        <v>86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66">
        <v>4607091386967</v>
      </c>
      <c r="E93" s="666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6">
        <v>4607091386967</v>
      </c>
      <c r="E94" s="666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2" t="s">
        <v>199</v>
      </c>
      <c r="Q94" s="668"/>
      <c r="R94" s="668"/>
      <c r="S94" s="668"/>
      <c r="T94" s="669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6">
        <v>4680115884953</v>
      </c>
      <c r="E95" s="666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6">
        <v>4607091385731</v>
      </c>
      <c r="E96" s="666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5" t="s">
        <v>205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6">
        <v>4680115887718</v>
      </c>
      <c r="E104" s="666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6">
        <v>4680115887718</v>
      </c>
      <c r="E105" s="666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6">
        <v>4680115887718</v>
      </c>
      <c r="E106" s="666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6">
        <v>4680115880429</v>
      </c>
      <c r="E109" s="666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897" t="s">
        <v>223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89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5" t="s">
        <v>155</v>
      </c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6">
        <v>4680115881488</v>
      </c>
      <c r="E114" s="666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8"/>
      <c r="R114" s="668"/>
      <c r="S114" s="668"/>
      <c r="T114" s="669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6">
        <v>4680115887664</v>
      </c>
      <c r="E115" s="666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6">
        <v>4680115887664</v>
      </c>
      <c r="E116" s="666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6">
        <v>4680115882775</v>
      </c>
      <c r="E117" s="666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6">
        <v>4680115880658</v>
      </c>
      <c r="E118" s="666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8"/>
      <c r="R118" s="668"/>
      <c r="S118" s="668"/>
      <c r="T118" s="669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66">
        <v>4607091385168</v>
      </c>
      <c r="E122" s="666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6">
        <v>4607091385168</v>
      </c>
      <c r="E123" s="666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1" t="s">
        <v>243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6">
        <v>4607091383256</v>
      </c>
      <c r="E124" s="666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6">
        <v>4607091385748</v>
      </c>
      <c r="E125" s="666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8"/>
      <c r="R125" s="668"/>
      <c r="S125" s="668"/>
      <c r="T125" s="669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6">
        <v>4607091385748</v>
      </c>
      <c r="E126" s="666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4" t="s">
        <v>249</v>
      </c>
      <c r="Q126" s="668"/>
      <c r="R126" s="668"/>
      <c r="S126" s="668"/>
      <c r="T126" s="669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6">
        <v>4680115884533</v>
      </c>
      <c r="E127" s="666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8"/>
      <c r="R127" s="668"/>
      <c r="S127" s="668"/>
      <c r="T127" s="669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6">
        <v>4680115884533</v>
      </c>
      <c r="E128" s="666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6" t="s">
        <v>254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5" t="s">
        <v>173</v>
      </c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6">
        <v>4680115880238</v>
      </c>
      <c r="E132" s="666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6">
        <v>4680115880238</v>
      </c>
      <c r="E133" s="666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87" t="s">
        <v>259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72" t="s">
        <v>260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"/>
      <c r="AB136" s="65"/>
      <c r="AC136" s="79"/>
    </row>
    <row r="137" spans="1:68" ht="14.25" hidden="1" customHeight="1" x14ac:dyDescent="0.25">
      <c r="A137" s="665" t="s">
        <v>122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6">
        <v>4680115882577</v>
      </c>
      <c r="E138" s="666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6">
        <v>4680115882577</v>
      </c>
      <c r="E139" s="666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77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6">
        <v>4680115883444</v>
      </c>
      <c r="E143" s="666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6">
        <v>4680115883444</v>
      </c>
      <c r="E144" s="666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5" t="s">
        <v>86</v>
      </c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6">
        <v>4680115882584</v>
      </c>
      <c r="E148" s="666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6">
        <v>4680115882584</v>
      </c>
      <c r="E149" s="666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72" t="s">
        <v>273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"/>
      <c r="AB152" s="65"/>
      <c r="AC152" s="79"/>
    </row>
    <row r="153" spans="1:68" ht="14.25" hidden="1" customHeight="1" x14ac:dyDescent="0.25">
      <c r="A153" s="665" t="s">
        <v>86</v>
      </c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6">
        <v>4680115888203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6">
        <v>4680115888180</v>
      </c>
      <c r="E155" s="666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8"/>
      <c r="R155" s="668"/>
      <c r="S155" s="668"/>
      <c r="T155" s="669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6">
        <v>4680115888180</v>
      </c>
      <c r="E156" s="666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7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8"/>
      <c r="R156" s="668"/>
      <c r="S156" s="668"/>
      <c r="T156" s="669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6">
        <v>4680115888197</v>
      </c>
      <c r="E157" s="666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8"/>
      <c r="R157" s="668"/>
      <c r="S157" s="668"/>
      <c r="T157" s="669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6">
        <v>4680115888197</v>
      </c>
      <c r="E158" s="666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7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6">
        <v>4680115888210</v>
      </c>
      <c r="E159" s="666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8"/>
      <c r="R159" s="668"/>
      <c r="S159" s="668"/>
      <c r="T159" s="669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6">
        <v>4680115888210</v>
      </c>
      <c r="E160" s="666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8"/>
      <c r="R160" s="668"/>
      <c r="S160" s="668"/>
      <c r="T160" s="669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5" t="s">
        <v>289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6">
        <v>4680115889132</v>
      </c>
      <c r="E164" s="666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72" t="s">
        <v>120</v>
      </c>
      <c r="B167" s="672"/>
      <c r="C167" s="672"/>
      <c r="D167" s="672"/>
      <c r="E167" s="672"/>
      <c r="F167" s="672"/>
      <c r="G167" s="672"/>
      <c r="H167" s="672"/>
      <c r="I167" s="672"/>
      <c r="J167" s="672"/>
      <c r="K167" s="672"/>
      <c r="L167" s="672"/>
      <c r="M167" s="672"/>
      <c r="N167" s="672"/>
      <c r="O167" s="672"/>
      <c r="P167" s="672"/>
      <c r="Q167" s="672"/>
      <c r="R167" s="672"/>
      <c r="S167" s="672"/>
      <c r="T167" s="672"/>
      <c r="U167" s="672"/>
      <c r="V167" s="672"/>
      <c r="W167" s="672"/>
      <c r="X167" s="672"/>
      <c r="Y167" s="672"/>
      <c r="Z167" s="672"/>
      <c r="AA167" s="65"/>
      <c r="AB167" s="65"/>
      <c r="AC167" s="79"/>
    </row>
    <row r="168" spans="1:68" ht="14.25" hidden="1" customHeight="1" x14ac:dyDescent="0.25">
      <c r="A168" s="665" t="s">
        <v>122</v>
      </c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6">
        <v>4680115887374</v>
      </c>
      <c r="E169" s="666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8"/>
      <c r="R169" s="668"/>
      <c r="S169" s="668"/>
      <c r="T169" s="669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6">
        <v>4607091384604</v>
      </c>
      <c r="E170" s="666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6">
        <v>4680115888876</v>
      </c>
      <c r="E171" s="666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155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6">
        <v>4680115887695</v>
      </c>
      <c r="E175" s="666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6">
        <v>4680115889491</v>
      </c>
      <c r="E176" s="666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5" t="s">
        <v>77</v>
      </c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6">
        <v>4680115887428</v>
      </c>
      <c r="E180" s="666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6">
        <v>4680115889170</v>
      </c>
      <c r="E181" s="666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6">
        <v>4680115887398</v>
      </c>
      <c r="E182" s="666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6">
        <v>4680115887336</v>
      </c>
      <c r="E183" s="666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6">
        <v>4680115887336</v>
      </c>
      <c r="E184" s="666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57" t="s">
        <v>324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6">
        <v>4680115887787</v>
      </c>
      <c r="E185" s="666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5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6">
        <v>4680115887787</v>
      </c>
      <c r="E186" s="666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59" t="s">
        <v>330</v>
      </c>
      <c r="Q186" s="668"/>
      <c r="R186" s="668"/>
      <c r="S186" s="668"/>
      <c r="T186" s="669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6">
        <v>4680115887503</v>
      </c>
      <c r="E187" s="666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8"/>
      <c r="R187" s="668"/>
      <c r="S187" s="668"/>
      <c r="T187" s="669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6">
        <v>4680115887763</v>
      </c>
      <c r="E188" s="666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8"/>
      <c r="R188" s="668"/>
      <c r="S188" s="668"/>
      <c r="T188" s="669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6">
        <v>4680115887480</v>
      </c>
      <c r="E189" s="666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6">
        <v>4680115888067</v>
      </c>
      <c r="E190" s="666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6">
        <v>4680115887435</v>
      </c>
      <c r="E191" s="666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86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6">
        <v>4680115888395</v>
      </c>
      <c r="E195" s="666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6">
        <v>4680115888371</v>
      </c>
      <c r="E196" s="666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8"/>
      <c r="R196" s="668"/>
      <c r="S196" s="668"/>
      <c r="T196" s="669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6">
        <v>4680115887459</v>
      </c>
      <c r="E197" s="666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8"/>
      <c r="R197" s="668"/>
      <c r="S197" s="668"/>
      <c r="T197" s="669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5" t="s">
        <v>289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6">
        <v>4680115889026</v>
      </c>
      <c r="E201" s="666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8"/>
      <c r="R201" s="668"/>
      <c r="S201" s="668"/>
      <c r="T201" s="669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5" t="s">
        <v>356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6">
        <v>4680115889033</v>
      </c>
      <c r="E205" s="666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83" t="s">
        <v>360</v>
      </c>
      <c r="B208" s="683"/>
      <c r="C208" s="683"/>
      <c r="D208" s="683"/>
      <c r="E208" s="683"/>
      <c r="F208" s="683"/>
      <c r="G208" s="683"/>
      <c r="H208" s="683"/>
      <c r="I208" s="683"/>
      <c r="J208" s="683"/>
      <c r="K208" s="683"/>
      <c r="L208" s="683"/>
      <c r="M208" s="683"/>
      <c r="N208" s="683"/>
      <c r="O208" s="683"/>
      <c r="P208" s="683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54"/>
      <c r="AB208" s="54"/>
      <c r="AC208" s="54"/>
    </row>
    <row r="209" spans="1:68" ht="16.5" hidden="1" customHeight="1" x14ac:dyDescent="0.25">
      <c r="A209" s="672" t="s">
        <v>361</v>
      </c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72"/>
      <c r="P209" s="672"/>
      <c r="Q209" s="672"/>
      <c r="R209" s="672"/>
      <c r="S209" s="672"/>
      <c r="T209" s="672"/>
      <c r="U209" s="672"/>
      <c r="V209" s="672"/>
      <c r="W209" s="672"/>
      <c r="X209" s="672"/>
      <c r="Y209" s="672"/>
      <c r="Z209" s="672"/>
      <c r="AA209" s="65"/>
      <c r="AB209" s="65"/>
      <c r="AC209" s="79"/>
    </row>
    <row r="210" spans="1:68" ht="14.25" hidden="1" customHeight="1" x14ac:dyDescent="0.25">
      <c r="A210" s="665" t="s">
        <v>122</v>
      </c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6">
        <v>4607091383423</v>
      </c>
      <c r="E211" s="666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6">
        <v>4680115888760</v>
      </c>
      <c r="E212" s="666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8"/>
      <c r="R212" s="668"/>
      <c r="S212" s="668"/>
      <c r="T212" s="669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6">
        <v>4680115888807</v>
      </c>
      <c r="E213" s="666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8"/>
      <c r="R213" s="668"/>
      <c r="S213" s="668"/>
      <c r="T213" s="669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6">
        <v>4680115888852</v>
      </c>
      <c r="E214" s="666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8"/>
      <c r="R214" s="668"/>
      <c r="S214" s="668"/>
      <c r="T214" s="669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6">
        <v>4680115886957</v>
      </c>
      <c r="E215" s="666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8"/>
      <c r="R215" s="668"/>
      <c r="S215" s="668"/>
      <c r="T215" s="669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6">
        <v>4680115885660</v>
      </c>
      <c r="E216" s="666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6">
        <v>4680115886773</v>
      </c>
      <c r="E217" s="666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8"/>
      <c r="R217" s="668"/>
      <c r="S217" s="668"/>
      <c r="T217" s="669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72" t="s">
        <v>382</v>
      </c>
      <c r="B220" s="672"/>
      <c r="C220" s="672"/>
      <c r="D220" s="672"/>
      <c r="E220" s="672"/>
      <c r="F220" s="672"/>
      <c r="G220" s="672"/>
      <c r="H220" s="672"/>
      <c r="I220" s="672"/>
      <c r="J220" s="672"/>
      <c r="K220" s="672"/>
      <c r="L220" s="672"/>
      <c r="M220" s="672"/>
      <c r="N220" s="672"/>
      <c r="O220" s="672"/>
      <c r="P220" s="672"/>
      <c r="Q220" s="672"/>
      <c r="R220" s="672"/>
      <c r="S220" s="672"/>
      <c r="T220" s="672"/>
      <c r="U220" s="672"/>
      <c r="V220" s="672"/>
      <c r="W220" s="672"/>
      <c r="X220" s="672"/>
      <c r="Y220" s="672"/>
      <c r="Z220" s="672"/>
      <c r="AA220" s="65"/>
      <c r="AB220" s="65"/>
      <c r="AC220" s="79"/>
    </row>
    <row r="221" spans="1:68" ht="14.25" hidden="1" customHeight="1" x14ac:dyDescent="0.25">
      <c r="A221" s="665" t="s">
        <v>155</v>
      </c>
      <c r="B221" s="665"/>
      <c r="C221" s="665"/>
      <c r="D221" s="665"/>
      <c r="E221" s="66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6">
        <v>4680115886223</v>
      </c>
      <c r="E222" s="666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5" t="s">
        <v>77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6">
        <v>4680115880993</v>
      </c>
      <c r="E226" s="666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6">
        <v>4680115881761</v>
      </c>
      <c r="E227" s="666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6">
        <v>4680115881563</v>
      </c>
      <c r="E228" s="666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6">
        <v>4680115887565</v>
      </c>
      <c r="E229" s="666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6">
        <v>4680115880986</v>
      </c>
      <c r="E230" s="666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6">
        <v>4680115887213</v>
      </c>
      <c r="E231" s="666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6">
        <v>4680115881785</v>
      </c>
      <c r="E232" s="666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6">
        <v>4680115888432</v>
      </c>
      <c r="E233" s="666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6">
        <v>4680115888104</v>
      </c>
      <c r="E234" s="666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6">
        <v>4680115886537</v>
      </c>
      <c r="E235" s="666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8"/>
      <c r="R235" s="668"/>
      <c r="S235" s="668"/>
      <c r="T235" s="669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6">
        <v>4680115887596</v>
      </c>
      <c r="E236" s="666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8"/>
      <c r="R236" s="668"/>
      <c r="S236" s="668"/>
      <c r="T236" s="669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6">
        <v>4680115881679</v>
      </c>
      <c r="E237" s="666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8"/>
      <c r="R237" s="668"/>
      <c r="S237" s="668"/>
      <c r="T237" s="669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6">
        <v>4680115880191</v>
      </c>
      <c r="E238" s="66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2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6">
        <v>4680115883963</v>
      </c>
      <c r="E239" s="666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5" t="s">
        <v>86</v>
      </c>
      <c r="B242" s="665"/>
      <c r="C242" s="665"/>
      <c r="D242" s="665"/>
      <c r="E242" s="66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6">
        <v>4680115888692</v>
      </c>
      <c r="E243" s="666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6">
        <v>4680115888722</v>
      </c>
      <c r="E244" s="666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6">
        <v>4680115888951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6">
        <v>4680115888975</v>
      </c>
      <c r="E246" s="666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6">
        <v>4680115888982</v>
      </c>
      <c r="E247" s="666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8"/>
      <c r="R247" s="668"/>
      <c r="S247" s="668"/>
      <c r="T247" s="669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5" t="s">
        <v>289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6">
        <v>4680115886780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6">
        <v>4680115886742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6">
        <v>4680115886766</v>
      </c>
      <c r="E253" s="666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8"/>
      <c r="R253" s="668"/>
      <c r="S253" s="668"/>
      <c r="T253" s="669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5" t="s">
        <v>446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6">
        <v>4680115886797</v>
      </c>
      <c r="E257" s="666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8"/>
      <c r="R257" s="668"/>
      <c r="S257" s="668"/>
      <c r="T257" s="669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72" t="s">
        <v>449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5"/>
      <c r="AB260" s="65"/>
      <c r="AC260" s="79"/>
    </row>
    <row r="261" spans="1:68" ht="14.25" hidden="1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6">
        <v>4680115881402</v>
      </c>
      <c r="E262" s="66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6">
        <v>4680115881396</v>
      </c>
      <c r="E263" s="666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8"/>
      <c r="R263" s="668"/>
      <c r="S263" s="668"/>
      <c r="T263" s="669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5" t="s">
        <v>155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6">
        <v>4680115882935</v>
      </c>
      <c r="E267" s="666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6">
        <v>4680115880764</v>
      </c>
      <c r="E268" s="666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8"/>
      <c r="R268" s="668"/>
      <c r="S268" s="668"/>
      <c r="T268" s="669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6">
        <v>4680115882683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6">
        <v>4680115882690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6">
        <v>4680115882669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6">
        <v>4680115882676</v>
      </c>
      <c r="E275" s="666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6">
        <v>4680115884014</v>
      </c>
      <c r="E276" s="666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6">
        <v>4680115884007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6">
        <v>4680115884038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6">
        <v>4680115884021</v>
      </c>
      <c r="E279" s="666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8"/>
      <c r="R279" s="668"/>
      <c r="S279" s="668"/>
      <c r="T279" s="669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6">
        <v>4680115881594</v>
      </c>
      <c r="E283" s="666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6">
        <v>4680115881617</v>
      </c>
      <c r="E284" s="666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6">
        <v>4680115880573</v>
      </c>
      <c r="E285" s="666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6">
        <v>4680115882195</v>
      </c>
      <c r="E286" s="666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6">
        <v>4680115882607</v>
      </c>
      <c r="E288" s="666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6">
        <v>4680115880092</v>
      </c>
      <c r="E289" s="666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6">
        <v>4680115889064</v>
      </c>
      <c r="E290" s="666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6">
        <v>4680115880221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6">
        <v>4680115880504</v>
      </c>
      <c r="E292" s="666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6">
        <v>4680115882164</v>
      </c>
      <c r="E293" s="666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6">
        <v>4680115888340</v>
      </c>
      <c r="E294" s="666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8"/>
      <c r="R294" s="668"/>
      <c r="S294" s="668"/>
      <c r="T294" s="669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5" t="s">
        <v>173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6">
        <v>4680115880818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6">
        <v>4680115880801</v>
      </c>
      <c r="E299" s="666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8"/>
      <c r="R299" s="668"/>
      <c r="S299" s="668"/>
      <c r="T299" s="669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72" t="s">
        <v>517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"/>
      <c r="AB302" s="65"/>
      <c r="AC302" s="79"/>
    </row>
    <row r="303" spans="1:68" ht="14.25" hidden="1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6">
        <v>4680115884137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6">
        <v>4680115884236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6">
        <v>4680115884175</v>
      </c>
      <c r="E306" s="666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6">
        <v>4680115884144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6">
        <v>4680115886551</v>
      </c>
      <c r="E308" s="666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6">
        <v>4680115887282</v>
      </c>
      <c r="E309" s="666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6">
        <v>4680115884205</v>
      </c>
      <c r="E310" s="666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8"/>
      <c r="R310" s="668"/>
      <c r="S310" s="668"/>
      <c r="T310" s="669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5" t="s">
        <v>155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6">
        <v>4680115885981</v>
      </c>
      <c r="E314" s="666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8"/>
      <c r="R314" s="668"/>
      <c r="S314" s="668"/>
      <c r="T314" s="669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5" t="s">
        <v>539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6">
        <v>4680115886803</v>
      </c>
      <c r="E318" s="666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8"/>
      <c r="R318" s="668"/>
      <c r="S318" s="668"/>
      <c r="T318" s="669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5" t="s">
        <v>356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6">
        <v>4680115886704</v>
      </c>
      <c r="E322" s="666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8"/>
      <c r="R322" s="668"/>
      <c r="S322" s="668"/>
      <c r="T322" s="669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6">
        <v>4680115886681</v>
      </c>
      <c r="E323" s="666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8"/>
      <c r="R323" s="668"/>
      <c r="S323" s="668"/>
      <c r="T323" s="669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6">
        <v>4680115886735</v>
      </c>
      <c r="E324" s="666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8"/>
      <c r="R324" s="668"/>
      <c r="S324" s="668"/>
      <c r="T324" s="669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72" t="s">
        <v>550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"/>
      <c r="AB327" s="65"/>
      <c r="AC327" s="79"/>
    </row>
    <row r="328" spans="1:68" ht="14.25" hidden="1" customHeight="1" x14ac:dyDescent="0.25">
      <c r="A328" s="665" t="s">
        <v>122</v>
      </c>
      <c r="B328" s="665"/>
      <c r="C328" s="665"/>
      <c r="D328" s="665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6">
        <v>4680115885837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6">
        <v>4680115887237</v>
      </c>
      <c r="E330" s="666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6">
        <v>4680115885806</v>
      </c>
      <c r="E331" s="666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6">
        <v>4680115885844</v>
      </c>
      <c r="E332" s="666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8"/>
      <c r="R332" s="668"/>
      <c r="S332" s="668"/>
      <c r="T332" s="669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6">
        <v>4680115885820</v>
      </c>
      <c r="E333" s="666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8"/>
      <c r="R333" s="668"/>
      <c r="S333" s="668"/>
      <c r="T333" s="669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2" t="s">
        <v>566</v>
      </c>
      <c r="B336" s="672"/>
      <c r="C336" s="672"/>
      <c r="D336" s="672"/>
      <c r="E336" s="672"/>
      <c r="F336" s="672"/>
      <c r="G336" s="672"/>
      <c r="H336" s="672"/>
      <c r="I336" s="672"/>
      <c r="J336" s="672"/>
      <c r="K336" s="672"/>
      <c r="L336" s="672"/>
      <c r="M336" s="672"/>
      <c r="N336" s="672"/>
      <c r="O336" s="672"/>
      <c r="P336" s="672"/>
      <c r="Q336" s="672"/>
      <c r="R336" s="672"/>
      <c r="S336" s="672"/>
      <c r="T336" s="672"/>
      <c r="U336" s="672"/>
      <c r="V336" s="672"/>
      <c r="W336" s="672"/>
      <c r="X336" s="672"/>
      <c r="Y336" s="672"/>
      <c r="Z336" s="672"/>
      <c r="AA336" s="65"/>
      <c r="AB336" s="65"/>
      <c r="AC336" s="79"/>
    </row>
    <row r="337" spans="1:68" ht="14.25" hidden="1" customHeight="1" x14ac:dyDescent="0.25">
      <c r="A337" s="665" t="s">
        <v>86</v>
      </c>
      <c r="B337" s="665"/>
      <c r="C337" s="665"/>
      <c r="D337" s="665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6">
        <v>4680115886186</v>
      </c>
      <c r="E338" s="666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6">
        <v>4680115881228</v>
      </c>
      <c r="E339" s="666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8"/>
      <c r="R339" s="668"/>
      <c r="S339" s="668"/>
      <c r="T339" s="669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6">
        <v>4680115881211</v>
      </c>
      <c r="E340" s="666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8"/>
      <c r="R340" s="668"/>
      <c r="S340" s="668"/>
      <c r="T340" s="669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2" t="s">
        <v>575</v>
      </c>
      <c r="B343" s="672"/>
      <c r="C343" s="672"/>
      <c r="D343" s="672"/>
      <c r="E343" s="672"/>
      <c r="F343" s="672"/>
      <c r="G343" s="672"/>
      <c r="H343" s="672"/>
      <c r="I343" s="672"/>
      <c r="J343" s="672"/>
      <c r="K343" s="672"/>
      <c r="L343" s="672"/>
      <c r="M343" s="672"/>
      <c r="N343" s="672"/>
      <c r="O343" s="672"/>
      <c r="P343" s="672"/>
      <c r="Q343" s="672"/>
      <c r="R343" s="672"/>
      <c r="S343" s="672"/>
      <c r="T343" s="672"/>
      <c r="U343" s="672"/>
      <c r="V343" s="672"/>
      <c r="W343" s="672"/>
      <c r="X343" s="672"/>
      <c r="Y343" s="672"/>
      <c r="Z343" s="672"/>
      <c r="AA343" s="65"/>
      <c r="AB343" s="65"/>
      <c r="AC343" s="79"/>
    </row>
    <row r="344" spans="1:68" ht="14.25" hidden="1" customHeight="1" x14ac:dyDescent="0.25">
      <c r="A344" s="665" t="s">
        <v>77</v>
      </c>
      <c r="B344" s="665"/>
      <c r="C344" s="665"/>
      <c r="D344" s="665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6">
        <v>4680115888319</v>
      </c>
      <c r="E345" s="666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6">
        <v>4680115884700</v>
      </c>
      <c r="E346" s="666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6">
        <v>4680115880344</v>
      </c>
      <c r="E347" s="666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6">
        <v>4680115886919</v>
      </c>
      <c r="E348" s="666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8"/>
      <c r="R348" s="668"/>
      <c r="S348" s="668"/>
      <c r="T348" s="669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6">
        <v>4680115883970</v>
      </c>
      <c r="E349" s="666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8"/>
      <c r="R349" s="668"/>
      <c r="S349" s="668"/>
      <c r="T349" s="669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5" t="s">
        <v>86</v>
      </c>
      <c r="B352" s="665"/>
      <c r="C352" s="665"/>
      <c r="D352" s="665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6">
        <v>4680115884618</v>
      </c>
      <c r="E353" s="666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8"/>
      <c r="R353" s="668"/>
      <c r="S353" s="668"/>
      <c r="T353" s="669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6">
        <v>4680115887114</v>
      </c>
      <c r="E354" s="666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8"/>
      <c r="R354" s="668"/>
      <c r="S354" s="668"/>
      <c r="T354" s="669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2" t="s">
        <v>596</v>
      </c>
      <c r="B357" s="672"/>
      <c r="C357" s="672"/>
      <c r="D357" s="672"/>
      <c r="E357" s="672"/>
      <c r="F357" s="672"/>
      <c r="G357" s="672"/>
      <c r="H357" s="672"/>
      <c r="I357" s="672"/>
      <c r="J357" s="672"/>
      <c r="K357" s="672"/>
      <c r="L357" s="672"/>
      <c r="M357" s="672"/>
      <c r="N357" s="672"/>
      <c r="O357" s="672"/>
      <c r="P357" s="672"/>
      <c r="Q357" s="672"/>
      <c r="R357" s="672"/>
      <c r="S357" s="672"/>
      <c r="T357" s="672"/>
      <c r="U357" s="672"/>
      <c r="V357" s="672"/>
      <c r="W357" s="672"/>
      <c r="X357" s="672"/>
      <c r="Y357" s="672"/>
      <c r="Z357" s="672"/>
      <c r="AA357" s="65"/>
      <c r="AB357" s="65"/>
      <c r="AC357" s="79"/>
    </row>
    <row r="358" spans="1:68" ht="14.25" hidden="1" customHeight="1" x14ac:dyDescent="0.25">
      <c r="A358" s="665" t="s">
        <v>122</v>
      </c>
      <c r="B358" s="665"/>
      <c r="C358" s="665"/>
      <c r="D358" s="665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6">
        <v>4680115887947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6">
        <v>4680115887978</v>
      </c>
      <c r="E360" s="666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8"/>
      <c r="R360" s="668"/>
      <c r="S360" s="668"/>
      <c r="T360" s="669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6">
        <v>4680115887992</v>
      </c>
      <c r="E361" s="666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8"/>
      <c r="R361" s="668"/>
      <c r="S361" s="668"/>
      <c r="T361" s="669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2" t="s">
        <v>605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5"/>
      <c r="AB364" s="65"/>
      <c r="AC364" s="79"/>
    </row>
    <row r="365" spans="1:68" ht="14.25" hidden="1" customHeight="1" x14ac:dyDescent="0.25">
      <c r="A365" s="665" t="s">
        <v>122</v>
      </c>
      <c r="B365" s="665"/>
      <c r="C365" s="665"/>
      <c r="D365" s="665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609</v>
      </c>
      <c r="B367" s="63" t="s">
        <v>610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620</v>
      </c>
      <c r="B374" s="63" t="s">
        <v>621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173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650</v>
      </c>
      <c r="B391" s="63" t="s">
        <v>651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653</v>
      </c>
      <c r="B392" s="63" t="s">
        <v>654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289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659</v>
      </c>
      <c r="B397" s="63" t="s">
        <v>660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7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668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669</v>
      </c>
      <c r="B404" s="63" t="s">
        <v>670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677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678</v>
      </c>
      <c r="B410" s="63" t="s">
        <v>679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681</v>
      </c>
      <c r="B411" s="63" t="s">
        <v>682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686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687</v>
      </c>
      <c r="B417" s="63" t="s">
        <v>688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690</v>
      </c>
      <c r="B418" s="63" t="s">
        <v>691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693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694</v>
      </c>
      <c r="B423" s="63" t="s">
        <v>695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697</v>
      </c>
      <c r="B424" s="63" t="s">
        <v>698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703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705</v>
      </c>
      <c r="B431" s="63" t="s">
        <v>706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hidden="1" customHeight="1" x14ac:dyDescent="0.25">
      <c r="A432" s="63" t="s">
        <v>708</v>
      </c>
      <c r="B432" s="63" t="s">
        <v>709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3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0</v>
      </c>
      <c r="BN432" s="78">
        <f t="shared" si="65"/>
        <v>0</v>
      </c>
      <c r="BO432" s="78">
        <f t="shared" si="66"/>
        <v>0</v>
      </c>
      <c r="BP432" s="78">
        <f t="shared" si="67"/>
        <v>0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0</v>
      </c>
      <c r="BN434" s="78">
        <f t="shared" si="65"/>
        <v>0</v>
      </c>
      <c r="BO434" s="78">
        <f t="shared" si="66"/>
        <v>0</v>
      </c>
      <c r="BP434" s="78">
        <f t="shared" si="67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726</v>
      </c>
      <c r="B438" s="63" t="s">
        <v>727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hidden="1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0</v>
      </c>
      <c r="Y439" s="43">
        <f>IFERROR(Y431/H431,"0")+IFERROR(Y432/H432,"0")+IFERROR(Y433/H433,"0")+IFERROR(Y434/H434,"0")+IFERROR(Y435/H435,"0")+IFERROR(Y436/H436,"0")+IFERROR(Y437/H437,"0")+IFERROR(Y438/H438,"0")</f>
        <v>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0</v>
      </c>
      <c r="Y440" s="43">
        <f>IFERROR(SUM(Y431:Y438),"0")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65" t="s">
        <v>155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hidden="1" customHeight="1" x14ac:dyDescent="0.25">
      <c r="A442" s="63" t="s">
        <v>729</v>
      </c>
      <c r="B442" s="63" t="s">
        <v>730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738</v>
      </c>
      <c r="B448" s="63" t="s">
        <v>739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741</v>
      </c>
      <c r="B449" s="63" t="s">
        <v>742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173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747</v>
      </c>
      <c r="B454" s="63" t="s">
        <v>748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750</v>
      </c>
      <c r="B455" s="63" t="s">
        <v>751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757</v>
      </c>
      <c r="B461" s="63" t="s">
        <v>758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759</v>
      </c>
      <c r="B465" s="63" t="s">
        <v>760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762</v>
      </c>
      <c r="B469" s="63" t="s">
        <v>763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765</v>
      </c>
      <c r="B470" s="63" t="s">
        <v>766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765</v>
      </c>
      <c r="B471" s="63" t="s">
        <v>767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769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770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771</v>
      </c>
      <c r="B477" s="63" t="s">
        <v>772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774</v>
      </c>
      <c r="B478" s="63" t="s">
        <v>775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785</v>
      </c>
      <c r="B482" s="63" t="s">
        <v>786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787</v>
      </c>
      <c r="B486" s="63" t="s">
        <v>788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790</v>
      </c>
      <c r="B487" s="63" t="s">
        <v>791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793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155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794</v>
      </c>
      <c r="B492" s="63" t="s">
        <v>795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797</v>
      </c>
      <c r="B496" s="63" t="s">
        <v>798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800</v>
      </c>
      <c r="B497" s="63" t="s">
        <v>801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805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805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806</v>
      </c>
      <c r="B504" s="63" t="s">
        <v>807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808</v>
      </c>
      <c r="B505" s="63" t="s">
        <v>809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811</v>
      </c>
      <c r="B506" s="63" t="s">
        <v>812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817</v>
      </c>
      <c r="B508" s="63" t="s">
        <v>818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820</v>
      </c>
      <c r="B509" s="63" t="s">
        <v>821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65" t="s">
        <v>155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829</v>
      </c>
      <c r="B516" s="63" t="s">
        <v>830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1600</v>
      </c>
      <c r="Y516" s="55">
        <f>IFERROR(IF(X516="",0,CEILING((X516/$H516),1)*$H516),"")</f>
        <v>1605.1200000000001</v>
      </c>
      <c r="Z516" s="41">
        <f>IFERROR(IF(Y516=0,"",ROUNDUP(Y516/H516,0)*0.01196),"")</f>
        <v>3.63584</v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1706.060606060606</v>
      </c>
      <c r="BN516" s="78">
        <f>IFERROR(Y516*I516/H516,"0")</f>
        <v>1711.52</v>
      </c>
      <c r="BO516" s="78">
        <f>IFERROR(1/J516*(X516/H516),"0")</f>
        <v>2.9137529137529135</v>
      </c>
      <c r="BP516" s="78">
        <f>IFERROR(1/J516*(Y516/H516),"0")</f>
        <v>2.9230769230769234</v>
      </c>
    </row>
    <row r="517" spans="1:68" ht="16.5" hidden="1" customHeight="1" x14ac:dyDescent="0.25">
      <c r="A517" s="63" t="s">
        <v>832</v>
      </c>
      <c r="B517" s="63" t="s">
        <v>833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303.030303030303</v>
      </c>
      <c r="Y519" s="43">
        <f>IFERROR(Y516/H516,"0")+IFERROR(Y517/H517,"0")+IFERROR(Y518/H518,"0")</f>
        <v>304</v>
      </c>
      <c r="Z519" s="43">
        <f>IFERROR(IF(Z516="",0,Z516),"0")+IFERROR(IF(Z517="",0,Z517),"0")+IFERROR(IF(Z518="",0,Z518),"0")</f>
        <v>3.63584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1600</v>
      </c>
      <c r="Y520" s="43">
        <f>IFERROR(SUM(Y516:Y518),"0")</f>
        <v>1605.1200000000001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836</v>
      </c>
      <c r="B522" s="63" t="s">
        <v>837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847</v>
      </c>
      <c r="B527" s="63" t="s">
        <v>849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852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852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155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4301020400</v>
      </c>
      <c r="D538" s="666">
        <v>4640242180519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862</v>
      </c>
      <c r="B546" s="63" t="s">
        <v>863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173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865</v>
      </c>
      <c r="B550" s="63" t="s">
        <v>866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868</v>
      </c>
      <c r="B551" s="63" t="s">
        <v>869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871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155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872</v>
      </c>
      <c r="B556" s="63" t="s">
        <v>873</v>
      </c>
      <c r="C556" s="36">
        <v>4301020428</v>
      </c>
      <c r="D556" s="666">
        <v>4640242180090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1600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1605.1200000000001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1706.060606060606</v>
      </c>
      <c r="Y560" s="43">
        <f>IFERROR(SUM(BN22:BN556),"0")</f>
        <v>1711.52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3</v>
      </c>
      <c r="Y561" s="44">
        <f>ROUNDUP(SUM(BP22:BP556),0)</f>
        <v>3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1781.060606060606</v>
      </c>
      <c r="Y562" s="43">
        <f>GrossWeightTotalR+PalletQtyTotalR*25</f>
        <v>1786.52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303.030303030303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304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3.63584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360</v>
      </c>
      <c r="L566" s="652" t="s">
        <v>360</v>
      </c>
      <c r="M566" s="652" t="s">
        <v>360</v>
      </c>
      <c r="N566" s="662"/>
      <c r="O566" s="652" t="s">
        <v>360</v>
      </c>
      <c r="P566" s="652" t="s">
        <v>360</v>
      </c>
      <c r="Q566" s="652" t="s">
        <v>360</v>
      </c>
      <c r="R566" s="652" t="s">
        <v>360</v>
      </c>
      <c r="S566" s="652" t="s">
        <v>360</v>
      </c>
      <c r="T566" s="652" t="s">
        <v>360</v>
      </c>
      <c r="U566" s="652" t="s">
        <v>360</v>
      </c>
      <c r="V566" s="652" t="s">
        <v>360</v>
      </c>
      <c r="W566" s="652" t="s">
        <v>703</v>
      </c>
      <c r="X566" s="652" t="s">
        <v>703</v>
      </c>
      <c r="Y566" s="652" t="s">
        <v>769</v>
      </c>
      <c r="Z566" s="652" t="s">
        <v>769</v>
      </c>
      <c r="AA566" s="85" t="s">
        <v>805</v>
      </c>
      <c r="AB566" s="652" t="s">
        <v>852</v>
      </c>
      <c r="AC566" s="652" t="s">
        <v>852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182</v>
      </c>
      <c r="G567" s="652" t="s">
        <v>209</v>
      </c>
      <c r="H567" s="652" t="s">
        <v>260</v>
      </c>
      <c r="I567" s="652" t="s">
        <v>273</v>
      </c>
      <c r="J567" s="652" t="s">
        <v>120</v>
      </c>
      <c r="K567" s="652" t="s">
        <v>361</v>
      </c>
      <c r="L567" s="652" t="s">
        <v>382</v>
      </c>
      <c r="M567" s="652" t="s">
        <v>449</v>
      </c>
      <c r="N567" s="1"/>
      <c r="O567" s="652" t="s">
        <v>517</v>
      </c>
      <c r="P567" s="652" t="s">
        <v>550</v>
      </c>
      <c r="Q567" s="652" t="s">
        <v>566</v>
      </c>
      <c r="R567" s="652" t="s">
        <v>575</v>
      </c>
      <c r="S567" s="652" t="s">
        <v>596</v>
      </c>
      <c r="T567" s="652" t="s">
        <v>605</v>
      </c>
      <c r="U567" s="652" t="s">
        <v>686</v>
      </c>
      <c r="V567" s="652" t="s">
        <v>693</v>
      </c>
      <c r="W567" s="652" t="s">
        <v>704</v>
      </c>
      <c r="X567" s="652" t="s">
        <v>753</v>
      </c>
      <c r="Y567" s="652" t="s">
        <v>770</v>
      </c>
      <c r="Z567" s="652" t="s">
        <v>793</v>
      </c>
      <c r="AA567" s="652" t="s">
        <v>805</v>
      </c>
      <c r="AB567" s="652" t="s">
        <v>852</v>
      </c>
      <c r="AC567" s="652" t="s">
        <v>871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1605.1200000000001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 706,06"/>
        <filter val="1 781,06"/>
        <filter val="3"/>
        <filter val="303,03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2026-09-02T11:24:11Z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