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4DEFB8B6-DC2B-4A27-AFE4-F2177D6FDB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Y426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Y335" i="1" s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9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Y281" i="1" s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Y269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M569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Y248" i="1" s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Y240" i="1" s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199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93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Y17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Y112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X563" i="1" s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F10" i="1" s="1"/>
  <c r="D7" i="1"/>
  <c r="Q6" i="1"/>
  <c r="P2" i="1"/>
  <c r="H9" i="1" l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3" i="1"/>
  <c r="BN323" i="1"/>
  <c r="Z323" i="1"/>
  <c r="Z325" i="1" s="1"/>
  <c r="BP332" i="1"/>
  <c r="BN332" i="1"/>
  <c r="Z332" i="1"/>
  <c r="BP346" i="1"/>
  <c r="BN346" i="1"/>
  <c r="Z346" i="1"/>
  <c r="Z350" i="1" s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Z394" i="1"/>
  <c r="BP392" i="1"/>
  <c r="BN392" i="1"/>
  <c r="Z392" i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Z439" i="1" s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Z61" i="1" s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Z74" i="1" s="1"/>
  <c r="BN71" i="1"/>
  <c r="BP71" i="1"/>
  <c r="Z73" i="1"/>
  <c r="BN73" i="1"/>
  <c r="Z77" i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Z99" i="1" s="1"/>
  <c r="BN93" i="1"/>
  <c r="BP93" i="1"/>
  <c r="Z94" i="1"/>
  <c r="BN94" i="1"/>
  <c r="Z96" i="1"/>
  <c r="BN96" i="1"/>
  <c r="Z97" i="1"/>
  <c r="BN97" i="1"/>
  <c r="Z104" i="1"/>
  <c r="Z111" i="1" s="1"/>
  <c r="BN104" i="1"/>
  <c r="Z106" i="1"/>
  <c r="BN106" i="1"/>
  <c r="Z108" i="1"/>
  <c r="BN108" i="1"/>
  <c r="Z109" i="1"/>
  <c r="BN109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Z177" i="1" s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Z218" i="1" s="1"/>
  <c r="BN212" i="1"/>
  <c r="Z214" i="1"/>
  <c r="BN214" i="1"/>
  <c r="Z216" i="1"/>
  <c r="BN216" i="1"/>
  <c r="Y219" i="1"/>
  <c r="L569" i="1"/>
  <c r="Y224" i="1"/>
  <c r="Z227" i="1"/>
  <c r="Z240" i="1" s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Z248" i="1" s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BP309" i="1"/>
  <c r="BN309" i="1"/>
  <c r="Z309" i="1"/>
  <c r="Z311" i="1" s="1"/>
  <c r="Y326" i="1"/>
  <c r="Y325" i="1"/>
  <c r="BP330" i="1"/>
  <c r="BN330" i="1"/>
  <c r="Z330" i="1"/>
  <c r="Z334" i="1" s="1"/>
  <c r="Y334" i="1"/>
  <c r="Z341" i="1"/>
  <c r="BP339" i="1"/>
  <c r="BN339" i="1"/>
  <c r="Z339" i="1"/>
  <c r="BP348" i="1"/>
  <c r="BN348" i="1"/>
  <c r="Z348" i="1"/>
  <c r="Y355" i="1"/>
  <c r="BP361" i="1"/>
  <c r="BN361" i="1"/>
  <c r="Z361" i="1"/>
  <c r="Y363" i="1"/>
  <c r="T569" i="1"/>
  <c r="Y371" i="1"/>
  <c r="BP366" i="1"/>
  <c r="BN366" i="1"/>
  <c r="Z366" i="1"/>
  <c r="Z371" i="1" s="1"/>
  <c r="BP370" i="1"/>
  <c r="BN370" i="1"/>
  <c r="Z370" i="1"/>
  <c r="Y372" i="1"/>
  <c r="Y381" i="1"/>
  <c r="BP374" i="1"/>
  <c r="BN374" i="1"/>
  <c r="Z374" i="1"/>
  <c r="Z381" i="1" s="1"/>
  <c r="BP378" i="1"/>
  <c r="BN378" i="1"/>
  <c r="Z378" i="1"/>
  <c r="BP386" i="1"/>
  <c r="BN386" i="1"/>
  <c r="Z386" i="1"/>
  <c r="Y395" i="1"/>
  <c r="Y394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Y419" i="1"/>
  <c r="BP424" i="1"/>
  <c r="BN424" i="1"/>
  <c r="Z424" i="1"/>
  <c r="Z426" i="1" s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Z483" i="1" s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513" i="1" l="1"/>
  <c r="Z295" i="1"/>
  <c r="Y561" i="1"/>
  <c r="Z499" i="1"/>
  <c r="Z388" i="1"/>
  <c r="Z362" i="1"/>
  <c r="Y563" i="1"/>
  <c r="Z280" i="1"/>
  <c r="Z254" i="1"/>
  <c r="Z192" i="1"/>
  <c r="Z134" i="1"/>
  <c r="Z81" i="1"/>
  <c r="Z564" i="1" s="1"/>
  <c r="Y559" i="1"/>
  <c r="Y560" i="1"/>
  <c r="Y562" i="1" s="1"/>
  <c r="Z529" i="1"/>
  <c r="Z472" i="1"/>
  <c r="Z451" i="1"/>
  <c r="Z407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<sst xmlns="http://schemas.openxmlformats.org/spreadsheetml/2006/main" count="2556" uniqueCount="916">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</sst>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9</v>
      </c>
      <c r="Y29" s="644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5</v>
      </c>
      <c r="Y32" s="645">
        <f>IFERROR(Y27/H27,"0")+IFERROR(Y28/H28,"0")+IFERROR(Y29/H29,"0")+IFERROR(Y30/H30,"0")+IFERROR(Y31/H31,"0")</f>
        <v>5</v>
      </c>
      <c r="Z32" s="645">
        <f>IFERROR(IF(Z27="",0,Z27),"0")+IFERROR(IF(Z28="",0,Z28),"0")+IFERROR(IF(Z29="",0,Z29),"0")+IFERROR(IF(Z30="",0,Z30),"0")+IFERROR(IF(Z31="",0,Z31),"0")</f>
        <v>3.2550000000000003E-2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9</v>
      </c>
      <c r="Y33" s="645">
        <f>IFERROR(SUM(Y27:Y31),"0")</f>
        <v>9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1080</v>
      </c>
      <c r="Y47" s="644">
        <f>IFERROR(IF(X47="",0,CEILING((X47/$H47),1)*$H47),"")</f>
        <v>1080</v>
      </c>
      <c r="Z47" s="36">
        <f>IFERROR(IF(Y47=0,"",ROUNDUP(Y47/H47,0)*0.01898),"")</f>
        <v>1.8980000000000001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1121</v>
      </c>
      <c r="BN47" s="64">
        <f>IFERROR(Y47*I47/H47,"0")</f>
        <v>1121</v>
      </c>
      <c r="BO47" s="64">
        <f>IFERROR(1/J47*(X47/H47),"0")</f>
        <v>1.5625</v>
      </c>
      <c r="BP47" s="64">
        <f>IFERROR(1/J47*(Y47/H47),"0")</f>
        <v>1.5625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81</v>
      </c>
      <c r="Y50" s="644">
        <f>IFERROR(IF(X50="",0,CEILING((X50/$H50),1)*$H50),"")</f>
        <v>81.400000000000006</v>
      </c>
      <c r="Z50" s="36">
        <f>IFERROR(IF(Y50=0,"",ROUNDUP(Y50/H50,0)*0.00902),"")</f>
        <v>0.19844000000000001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85.15945945945947</v>
      </c>
      <c r="BN50" s="64">
        <f>IFERROR(Y50*I50/H50,"0")</f>
        <v>85.58</v>
      </c>
      <c r="BO50" s="64">
        <f>IFERROR(1/J50*(X50/H50),"0")</f>
        <v>0.16584766584766586</v>
      </c>
      <c r="BP50" s="64">
        <f>IFERROR(1/J50*(Y50/H50),"0")</f>
        <v>0.16666666666666669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121.89189189189189</v>
      </c>
      <c r="Y51" s="645">
        <f>IFERROR(Y47/H47,"0")+IFERROR(Y48/H48,"0")+IFERROR(Y49/H49,"0")+IFERROR(Y50/H50,"0")</f>
        <v>122</v>
      </c>
      <c r="Z51" s="645">
        <f>IFERROR(IF(Z47="",0,Z47),"0")+IFERROR(IF(Z48="",0,Z48),"0")+IFERROR(IF(Z49="",0,Z49),"0")+IFERROR(IF(Z50="",0,Z50),"0")</f>
        <v>2.0964400000000003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1161</v>
      </c>
      <c r="Y52" s="645">
        <f>IFERROR(SUM(Y47:Y50),"0")</f>
        <v>1161.4000000000001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20</v>
      </c>
      <c r="Y55" s="644">
        <f t="shared" ref="Y55:Y60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20.732142857142858</v>
      </c>
      <c r="BN55" s="64">
        <f t="shared" ref="BN55:BN60" si="2">IFERROR(Y55*I55/H55,"0")</f>
        <v>23.22</v>
      </c>
      <c r="BO55" s="64">
        <f t="shared" ref="BO55:BO60" si="3">IFERROR(1/J55*(X55/H55),"0")</f>
        <v>2.7901785714285716E-2</v>
      </c>
      <c r="BP55" s="64">
        <f t="shared" ref="BP55:BP60" si="4">IFERROR(1/J55*(Y55/H55),"0")</f>
        <v>3.125E-2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146</v>
      </c>
      <c r="Y60" s="644">
        <f t="shared" si="0"/>
        <v>148.5</v>
      </c>
      <c r="Z60" s="36">
        <f>IFERROR(IF(Y60=0,"",ROUNDUP(Y60/H60,0)*0.00902),"")</f>
        <v>0.29766000000000004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152.16444444444446</v>
      </c>
      <c r="BN60" s="64">
        <f t="shared" si="2"/>
        <v>154.77000000000001</v>
      </c>
      <c r="BO60" s="64">
        <f t="shared" si="3"/>
        <v>0.24579124579124578</v>
      </c>
      <c r="BP60" s="64">
        <f t="shared" si="4"/>
        <v>0.25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34.230158730158728</v>
      </c>
      <c r="Y61" s="645">
        <f>IFERROR(Y55/H55,"0")+IFERROR(Y56/H56,"0")+IFERROR(Y57/H57,"0")+IFERROR(Y58/H58,"0")+IFERROR(Y59/H59,"0")+IFERROR(Y60/H60,"0")</f>
        <v>35</v>
      </c>
      <c r="Z61" s="645">
        <f>IFERROR(IF(Z55="",0,Z55),"0")+IFERROR(IF(Z56="",0,Z56),"0")+IFERROR(IF(Z57="",0,Z57),"0")+IFERROR(IF(Z58="",0,Z58),"0")+IFERROR(IF(Z59="",0,Z59),"0")+IFERROR(IF(Z60="",0,Z60),"0")</f>
        <v>0.33562000000000003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166</v>
      </c>
      <c r="Y62" s="645">
        <f>IFERROR(SUM(Y55:Y60),"0")</f>
        <v>170.9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50</v>
      </c>
      <c r="Y64" s="644">
        <f>IFERROR(IF(X64="",0,CEILING((X64/$H64),1)*$H64),"")</f>
        <v>54</v>
      </c>
      <c r="Z64" s="36">
        <f>IFERROR(IF(Y64=0,"",ROUNDUP(Y64/H64,0)*0.01898),"")</f>
        <v>9.4899999999999998E-2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51.898148148148145</v>
      </c>
      <c r="BN64" s="64">
        <f>IFERROR(Y64*I64/H64,"0")</f>
        <v>56.05</v>
      </c>
      <c r="BO64" s="64">
        <f>IFERROR(1/J64*(X64/H64),"0")</f>
        <v>7.2337962962962965E-2</v>
      </c>
      <c r="BP64" s="64">
        <f>IFERROR(1/J64*(Y64/H64),"0")</f>
        <v>7.8125E-2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4.6296296296296298</v>
      </c>
      <c r="Y68" s="645">
        <f>IFERROR(Y64/H64,"0")+IFERROR(Y65/H65,"0")+IFERROR(Y66/H66,"0")+IFERROR(Y67/H67,"0")</f>
        <v>5</v>
      </c>
      <c r="Z68" s="645">
        <f>IFERROR(IF(Z64="",0,Z64),"0")+IFERROR(IF(Z65="",0,Z65),"0")+IFERROR(IF(Z66="",0,Z66),"0")+IFERROR(IF(Z67="",0,Z67),"0")</f>
        <v>9.4899999999999998E-2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50</v>
      </c>
      <c r="Y69" s="645">
        <f>IFERROR(SUM(Y64:Y67),"0")</f>
        <v>54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115</v>
      </c>
      <c r="Y71" s="644">
        <f>IFERROR(IF(X71="",0,CEILING((X71/$H71),1)*$H71),"")</f>
        <v>115.2</v>
      </c>
      <c r="Z71" s="36">
        <f>IFERROR(IF(Y71=0,"",ROUNDUP(Y71/H71,0)*0.00651),"")</f>
        <v>0.41664000000000001</v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130.71666666666667</v>
      </c>
      <c r="BN71" s="64">
        <f>IFERROR(Y71*I71/H71,"0")</f>
        <v>130.94399999999999</v>
      </c>
      <c r="BO71" s="64">
        <f>IFERROR(1/J71*(X71/H71),"0")</f>
        <v>0.35103785103785107</v>
      </c>
      <c r="BP71" s="64">
        <f>IFERROR(1/J71*(Y71/H71),"0")</f>
        <v>0.35164835164835168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63.888888888888886</v>
      </c>
      <c r="Y74" s="645">
        <f>IFERROR(Y71/H71,"0")+IFERROR(Y72/H72,"0")+IFERROR(Y73/H73,"0")</f>
        <v>64</v>
      </c>
      <c r="Z74" s="645">
        <f>IFERROR(IF(Z71="",0,Z71),"0")+IFERROR(IF(Z72="",0,Z72),"0")+IFERROR(IF(Z73="",0,Z73),"0")</f>
        <v>0.41664000000000001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115</v>
      </c>
      <c r="Y75" s="645">
        <f>IFERROR(SUM(Y71:Y73),"0")</f>
        <v>115.2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199</v>
      </c>
      <c r="Y89" s="644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207.40222222222224</v>
      </c>
      <c r="BN89" s="64">
        <f>IFERROR(Y89*I89/H89,"0")</f>
        <v>211.05</v>
      </c>
      <c r="BO89" s="64">
        <f>IFERROR(1/J89*(X89/H89),"0")</f>
        <v>0.33501683501683505</v>
      </c>
      <c r="BP89" s="64">
        <f>IFERROR(1/J89*(Y89/H89),"0")</f>
        <v>0.34090909090909094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44.222222222222221</v>
      </c>
      <c r="Y90" s="645">
        <f>IFERROR(Y85/H85,"0")+IFERROR(Y86/H86,"0")+IFERROR(Y87/H87,"0")+IFERROR(Y88/H88,"0")+IFERROR(Y89/H89,"0")</f>
        <v>45</v>
      </c>
      <c r="Z90" s="645">
        <f>IFERROR(IF(Z85="",0,Z85),"0")+IFERROR(IF(Z86="",0,Z86),"0")+IFERROR(IF(Z87="",0,Z87),"0")+IFERROR(IF(Z88="",0,Z88),"0")+IFERROR(IF(Z89="",0,Z89),"0")</f>
        <v>0.40590000000000004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199</v>
      </c>
      <c r="Y91" s="645">
        <f>IFERROR(SUM(Y85:Y89),"0")</f>
        <v>202.5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500</v>
      </c>
      <c r="Y93" s="644">
        <f t="shared" ref="Y93:Y98" si="5">IFERROR(IF(X93="",0,CEILING((X93/$H93),1)*$H93),"")</f>
        <v>502.2</v>
      </c>
      <c r="Z93" s="36">
        <f>IFERROR(IF(Y93=0,"",ROUNDUP(Y93/H93,0)*0.01898),"")</f>
        <v>1.17676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530.49382716049388</v>
      </c>
      <c r="BN93" s="64">
        <f t="shared" ref="BN93:BN98" si="7">IFERROR(Y93*I93/H93,"0")</f>
        <v>532.82799999999997</v>
      </c>
      <c r="BO93" s="64">
        <f t="shared" ref="BO93:BO98" si="8">IFERROR(1/J93*(X93/H93),"0")</f>
        <v>0.96450617283950624</v>
      </c>
      <c r="BP93" s="64">
        <f t="shared" ref="BP93:BP98" si="9">IFERROR(1/J93*(Y93/H93),"0")</f>
        <v>0.96875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0</v>
      </c>
      <c r="Y96" s="644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61.728395061728399</v>
      </c>
      <c r="Y99" s="645">
        <f>IFERROR(Y93/H93,"0")+IFERROR(Y94/H94,"0")+IFERROR(Y95/H95,"0")+IFERROR(Y96/H96,"0")+IFERROR(Y97/H97,"0")+IFERROR(Y98/H98,"0")</f>
        <v>62</v>
      </c>
      <c r="Z99" s="645">
        <f>IFERROR(IF(Z93="",0,Z93),"0")+IFERROR(IF(Z94="",0,Z94),"0")+IFERROR(IF(Z95="",0,Z95),"0")+IFERROR(IF(Z96="",0,Z96),"0")+IFERROR(IF(Z97="",0,Z97),"0")+IFERROR(IF(Z98="",0,Z98),"0")</f>
        <v>1.17676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500</v>
      </c>
      <c r="Y100" s="645">
        <f>IFERROR(SUM(Y93:Y98),"0")</f>
        <v>502.2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0</v>
      </c>
      <c r="Y103" s="644">
        <f t="shared" ref="Y103:Y110" si="10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0</v>
      </c>
      <c r="BN103" s="64">
        <f t="shared" ref="BN103:BN110" si="12">IFERROR(Y103*I103/H103,"0")</f>
        <v>0</v>
      </c>
      <c r="BO103" s="64">
        <f t="shared" ref="BO103:BO110" si="13">IFERROR(1/J103*(X103/H103),"0")</f>
        <v>0</v>
      </c>
      <c r="BP103" s="64">
        <f t="shared" ref="BP103:BP110" si="14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90</v>
      </c>
      <c r="Y108" s="644">
        <f t="shared" si="10"/>
        <v>90</v>
      </c>
      <c r="Z108" s="36">
        <f>IFERROR(IF(Y108=0,"",ROUNDUP(Y108/H108,0)*0.00902),"")</f>
        <v>0.1804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93.800000000000011</v>
      </c>
      <c r="BN108" s="64">
        <f t="shared" si="12"/>
        <v>93.800000000000011</v>
      </c>
      <c r="BO108" s="64">
        <f t="shared" si="13"/>
        <v>0.15151515151515152</v>
      </c>
      <c r="BP108" s="64">
        <f t="shared" si="14"/>
        <v>0.15151515151515152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20</v>
      </c>
      <c r="Y111" s="645">
        <f>IFERROR(Y103/H103,"0")+IFERROR(Y104/H104,"0")+IFERROR(Y105/H105,"0")+IFERROR(Y106/H106,"0")+IFERROR(Y107/H107,"0")+IFERROR(Y108/H108,"0")+IFERROR(Y109/H109,"0")+IFERROR(Y110/H110,"0")</f>
        <v>20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0.1804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90</v>
      </c>
      <c r="Y112" s="645">
        <f>IFERROR(SUM(Y103:Y110),"0")</f>
        <v>90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100</v>
      </c>
      <c r="Y114" s="644">
        <f>IFERROR(IF(X114="",0,CEILING((X114/$H114),1)*$H114),"")</f>
        <v>108</v>
      </c>
      <c r="Z114" s="36">
        <f>IFERROR(IF(Y114=0,"",ROUNDUP(Y114/H114,0)*0.01898),"")</f>
        <v>0.1898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103.79629629629629</v>
      </c>
      <c r="BN114" s="64">
        <f>IFERROR(Y114*I114/H114,"0")</f>
        <v>112.1</v>
      </c>
      <c r="BO114" s="64">
        <f>IFERROR(1/J114*(X114/H114),"0")</f>
        <v>0.14467592592592593</v>
      </c>
      <c r="BP114" s="64">
        <f>IFERROR(1/J114*(Y114/H114),"0")</f>
        <v>0.15625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9.2592592592592595</v>
      </c>
      <c r="Y119" s="645">
        <f>IFERROR(Y114/H114,"0")+IFERROR(Y115/H115,"0")+IFERROR(Y116/H116,"0")+IFERROR(Y117/H117,"0")+IFERROR(Y118/H118,"0")</f>
        <v>10</v>
      </c>
      <c r="Z119" s="645">
        <f>IFERROR(IF(Z114="",0,Z114),"0")+IFERROR(IF(Z115="",0,Z115),"0")+IFERROR(IF(Z116="",0,Z116),"0")+IFERROR(IF(Z117="",0,Z117),"0")+IFERROR(IF(Z118="",0,Z118),"0")</f>
        <v>0.1898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100</v>
      </c>
      <c r="Y120" s="645">
        <f>IFERROR(SUM(Y114:Y118),"0")</f>
        <v>108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800</v>
      </c>
      <c r="Y122" s="644">
        <f t="shared" ref="Y122:Y128" si="15">IFERROR(IF(X122="",0,CEILING((X122/$H122),1)*$H122),"")</f>
        <v>801.9</v>
      </c>
      <c r="Z122" s="36">
        <f>IFERROR(IF(Y122=0,"",ROUNDUP(Y122/H122,0)*0.01898),"")</f>
        <v>1.8790200000000001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848.19753086419757</v>
      </c>
      <c r="BN122" s="64">
        <f t="shared" ref="BN122:BN128" si="17">IFERROR(Y122*I122/H122,"0")</f>
        <v>850.21199999999988</v>
      </c>
      <c r="BO122" s="64">
        <f t="shared" ref="BO122:BO128" si="18">IFERROR(1/J122*(X122/H122),"0")</f>
        <v>1.5432098765432098</v>
      </c>
      <c r="BP122" s="64">
        <f t="shared" ref="BP122:BP128" si="19">IFERROR(1/J122*(Y122/H122),"0")</f>
        <v>1.546875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0</v>
      </c>
      <c r="Y125" s="644">
        <f t="shared" si="15"/>
        <v>0</v>
      </c>
      <c r="Z125" s="36" t="str">
        <f>IFERROR(IF(Y125=0,"",ROUNDUP(Y125/H125,0)*0.00651),"")</f>
        <v/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98.76543209876543</v>
      </c>
      <c r="Y129" s="645">
        <f>IFERROR(Y122/H122,"0")+IFERROR(Y123/H123,"0")+IFERROR(Y124/H124,"0")+IFERROR(Y125/H125,"0")+IFERROR(Y126/H126,"0")+IFERROR(Y127/H127,"0")+IFERROR(Y128/H128,"0")</f>
        <v>99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1.8790200000000001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800</v>
      </c>
      <c r="Y130" s="645">
        <f>IFERROR(SUM(Y122:Y128),"0")</f>
        <v>801.9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133</v>
      </c>
      <c r="Y132" s="644">
        <f>IFERROR(IF(X132="",0,CEILING((X132/$H132),1)*$H132),"")</f>
        <v>134.63999999999999</v>
      </c>
      <c r="Z132" s="36">
        <f>IFERROR(IF(Y132=0,"",ROUNDUP(Y132/H132,0)*0.00651),"")</f>
        <v>0.44268000000000002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150.33030303030304</v>
      </c>
      <c r="BN132" s="64">
        <f>IFERROR(Y132*I132/H132,"0")</f>
        <v>152.18399999999997</v>
      </c>
      <c r="BO132" s="64">
        <f>IFERROR(1/J132*(X132/H132),"0")</f>
        <v>0.36907536907536914</v>
      </c>
      <c r="BP132" s="64">
        <f>IFERROR(1/J132*(Y132/H132),"0")</f>
        <v>0.37362637362637363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67.171717171717177</v>
      </c>
      <c r="Y134" s="645">
        <f>IFERROR(Y132/H132,"0")+IFERROR(Y133/H133,"0")</f>
        <v>68</v>
      </c>
      <c r="Z134" s="645">
        <f>IFERROR(IF(Z132="",0,Z132),"0")+IFERROR(IF(Z133="",0,Z133),"0")</f>
        <v>0.44268000000000002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133</v>
      </c>
      <c r="Y135" s="645">
        <f>IFERROR(SUM(Y132:Y133),"0")</f>
        <v>134.63999999999999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10</v>
      </c>
      <c r="Y169" s="644">
        <f>IFERROR(IF(X169="",0,CEILING((X169/$H169),1)*$H169),"")</f>
        <v>12</v>
      </c>
      <c r="Z169" s="36">
        <f>IFERROR(IF(Y169=0,"",ROUNDUP(Y169/H169,0)*0.01196),"")</f>
        <v>2.392E-2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10.583333333333334</v>
      </c>
      <c r="BN169" s="64">
        <f>IFERROR(Y169*I169/H169,"0")</f>
        <v>12.699999999999998</v>
      </c>
      <c r="BO169" s="64">
        <f>IFERROR(1/J169*(X169/H169),"0")</f>
        <v>1.6025641025641028E-2</v>
      </c>
      <c r="BP169" s="64">
        <f>IFERROR(1/J169*(Y169/H169),"0")</f>
        <v>1.9230769230769232E-2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1.6666666666666667</v>
      </c>
      <c r="Y172" s="645">
        <f>IFERROR(Y169/H169,"0")+IFERROR(Y170/H170,"0")+IFERROR(Y171/H171,"0")</f>
        <v>2</v>
      </c>
      <c r="Z172" s="645">
        <f>IFERROR(IF(Z169="",0,Z169),"0")+IFERROR(IF(Z170="",0,Z170),"0")+IFERROR(IF(Z171="",0,Z171),"0")</f>
        <v>2.392E-2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10</v>
      </c>
      <c r="Y173" s="645">
        <f>IFERROR(SUM(Y169:Y171),"0")</f>
        <v>12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50</v>
      </c>
      <c r="Y180" s="644">
        <f t="shared" ref="Y180:Y191" si="26">IFERROR(IF(X180="",0,CEILING((X180/$H180),1)*$H180),"")</f>
        <v>52.5</v>
      </c>
      <c r="Z180" s="36">
        <f>IFERROR(IF(Y180=0,"",ROUNDUP(Y180/H180,0)*0.00902),"")</f>
        <v>0.1353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52.714285714285715</v>
      </c>
      <c r="BN180" s="64">
        <f t="shared" ref="BN180:BN191" si="28">IFERROR(Y180*I180/H180,"0")</f>
        <v>55.35</v>
      </c>
      <c r="BO180" s="64">
        <f t="shared" ref="BO180:BO191" si="29">IFERROR(1/J180*(X180/H180),"0")</f>
        <v>0.10822510822510824</v>
      </c>
      <c r="BP180" s="64">
        <f t="shared" ref="BP180:BP191" si="30">IFERROR(1/J180*(Y180/H180),"0")</f>
        <v>0.11363636363636365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17</v>
      </c>
      <c r="Y189" s="644">
        <f t="shared" si="26"/>
        <v>18.48</v>
      </c>
      <c r="Z189" s="36">
        <f>IFERROR(IF(Y189=0,"",ROUNDUP(Y189/H189,0)*0.00502),"")</f>
        <v>5.5220000000000005E-2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18.011904761904763</v>
      </c>
      <c r="BN189" s="64">
        <f t="shared" si="28"/>
        <v>19.580000000000002</v>
      </c>
      <c r="BO189" s="64">
        <f t="shared" si="29"/>
        <v>4.3243793243793245E-2</v>
      </c>
      <c r="BP189" s="64">
        <f t="shared" si="30"/>
        <v>4.7008547008547015E-2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57.738095238095241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60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0.36120000000000002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123</v>
      </c>
      <c r="Y193" s="645">
        <f>IFERROR(SUM(Y180:Y191),"0")</f>
        <v>128.1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20</v>
      </c>
      <c r="Y226" s="644">
        <f t="shared" ref="Y226:Y239" si="37">IFERROR(IF(X226="",0,CEILING((X226/$H226),1)*$H226),"")</f>
        <v>21</v>
      </c>
      <c r="Z226" s="36">
        <f>IFERROR(IF(Y226=0,"",ROUNDUP(Y226/H226,0)*0.00902),"")</f>
        <v>4.5100000000000001E-2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21.19047619047619</v>
      </c>
      <c r="BN226" s="64">
        <f t="shared" ref="BN226:BN239" si="39">IFERROR(Y226*I226/H226,"0")</f>
        <v>22.25</v>
      </c>
      <c r="BO226" s="64">
        <f t="shared" ref="BO226:BO239" si="40">IFERROR(1/J226*(X226/H226),"0")</f>
        <v>3.6075036075036072E-2</v>
      </c>
      <c r="BP226" s="64">
        <f t="shared" ref="BP226:BP239" si="41">IFERROR(1/J226*(Y226/H226),"0")</f>
        <v>3.787878787878788E-2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40</v>
      </c>
      <c r="Y228" s="644">
        <f t="shared" si="37"/>
        <v>42</v>
      </c>
      <c r="Z228" s="36">
        <f>IFERROR(IF(Y228=0,"",ROUNDUP(Y228/H228,0)*0.00902),"")</f>
        <v>9.0200000000000002E-2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41.809523809523803</v>
      </c>
      <c r="BN228" s="64">
        <f t="shared" si="39"/>
        <v>43.9</v>
      </c>
      <c r="BO228" s="64">
        <f t="shared" si="40"/>
        <v>7.2150072150072145E-2</v>
      </c>
      <c r="BP228" s="64">
        <f t="shared" si="41"/>
        <v>7.575757575757576E-2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10</v>
      </c>
      <c r="Y229" s="644">
        <f t="shared" si="37"/>
        <v>10.4</v>
      </c>
      <c r="Z229" s="36">
        <f>IFERROR(IF(Y229=0,"",ROUNDUP(Y229/H229,0)*0.00556),"")</f>
        <v>7.2279999999999997E-2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11.625</v>
      </c>
      <c r="BN229" s="64">
        <f t="shared" si="39"/>
        <v>12.09</v>
      </c>
      <c r="BO229" s="64">
        <f t="shared" si="40"/>
        <v>4.96031746031746E-2</v>
      </c>
      <c r="BP229" s="64">
        <f t="shared" si="41"/>
        <v>5.1587301587301584E-2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3</v>
      </c>
      <c r="Y235" s="644">
        <f t="shared" si="37"/>
        <v>3.6</v>
      </c>
      <c r="Z235" s="36">
        <f t="shared" si="42"/>
        <v>1.004E-2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3.2166666666666668</v>
      </c>
      <c r="BN235" s="64">
        <f t="shared" si="39"/>
        <v>3.8599999999999994</v>
      </c>
      <c r="BO235" s="64">
        <f t="shared" si="40"/>
        <v>7.1225071225071226E-3</v>
      </c>
      <c r="BP235" s="64">
        <f t="shared" si="41"/>
        <v>8.5470085470085479E-3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350</v>
      </c>
      <c r="Y237" s="644">
        <f t="shared" si="37"/>
        <v>350.7</v>
      </c>
      <c r="Z237" s="36">
        <f>IFERROR(IF(Y237=0,"",ROUNDUP(Y237/H237,0)*0.00502),"")</f>
        <v>0.83833999999999997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366.66666666666669</v>
      </c>
      <c r="BN237" s="64">
        <f t="shared" si="39"/>
        <v>367.40000000000003</v>
      </c>
      <c r="BO237" s="64">
        <f t="shared" si="40"/>
        <v>0.71225071225071224</v>
      </c>
      <c r="BP237" s="64">
        <f t="shared" si="41"/>
        <v>0.71367521367521369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201.78571428571428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204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1.0911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437</v>
      </c>
      <c r="Y241" s="645">
        <f>IFERROR(SUM(Y226:Y239),"0")</f>
        <v>442.4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60</v>
      </c>
      <c r="Y272" s="644">
        <f t="shared" ref="Y272:Y279" si="43">IFERROR(IF(X272="",0,CEILING((X272/$H272),1)*$H272),"")</f>
        <v>64.800000000000011</v>
      </c>
      <c r="Z272" s="36">
        <f>IFERROR(IF(Y272=0,"",ROUNDUP(Y272/H272,0)*0.00902),"")</f>
        <v>0.10824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62.1111111111111</v>
      </c>
      <c r="BN272" s="64">
        <f t="shared" ref="BN272:BN279" si="45">IFERROR(Y272*I272/H272,"0")</f>
        <v>67.08</v>
      </c>
      <c r="BO272" s="64">
        <f t="shared" ref="BO272:BO279" si="46">IFERROR(1/J272*(X272/H272),"0")</f>
        <v>8.4175084175084181E-2</v>
      </c>
      <c r="BP272" s="64">
        <f t="shared" ref="BP272:BP279" si="47">IFERROR(1/J272*(Y272/H272),"0")</f>
        <v>9.0909090909090925E-2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30</v>
      </c>
      <c r="Y275" s="644">
        <f t="shared" si="43"/>
        <v>32.400000000000006</v>
      </c>
      <c r="Z275" s="36">
        <f>IFERROR(IF(Y275=0,"",ROUNDUP(Y275/H275,0)*0.00902),"")</f>
        <v>5.4120000000000001E-2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31.05555555555555</v>
      </c>
      <c r="BN275" s="64">
        <f t="shared" si="45"/>
        <v>33.54</v>
      </c>
      <c r="BO275" s="64">
        <f t="shared" si="46"/>
        <v>4.208754208754209E-2</v>
      </c>
      <c r="BP275" s="64">
        <f t="shared" si="47"/>
        <v>4.5454545454545463E-2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9</v>
      </c>
      <c r="Y279" s="644">
        <f t="shared" si="43"/>
        <v>9</v>
      </c>
      <c r="Z279" s="36">
        <f>IFERROR(IF(Y279=0,"",ROUNDUP(Y279/H279,0)*0.00502),"")</f>
        <v>2.5100000000000001E-2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9.4999999999999982</v>
      </c>
      <c r="BN279" s="64">
        <f t="shared" si="45"/>
        <v>9.4999999999999982</v>
      </c>
      <c r="BO279" s="64">
        <f t="shared" si="46"/>
        <v>2.1367521367521368E-2</v>
      </c>
      <c r="BP279" s="64">
        <f t="shared" si="47"/>
        <v>2.1367521367521368E-2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30</v>
      </c>
      <c r="Y280" s="645">
        <f>IFERROR(Y272/H272,"0")+IFERROR(Y273/H273,"0")+IFERROR(Y274/H274,"0")+IFERROR(Y275/H275,"0")+IFERROR(Y276/H276,"0")+IFERROR(Y277/H277,"0")+IFERROR(Y278/H278,"0")+IFERROR(Y279/H279,"0")</f>
        <v>32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0.23264000000000001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114</v>
      </c>
      <c r="Y281" s="645">
        <f>IFERROR(SUM(Y272:Y279),"0")</f>
        <v>122.40000000000002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200</v>
      </c>
      <c r="Y283" s="644">
        <f t="shared" ref="Y283:Y294" si="48">IFERROR(IF(X283="",0,CEILING((X283/$H283),1)*$H283),"")</f>
        <v>202.5</v>
      </c>
      <c r="Z283" s="36">
        <f>IFERROR(IF(Y283=0,"",ROUNDUP(Y283/H283,0)*0.01898),"")</f>
        <v>0.47450000000000003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212.19753086419755</v>
      </c>
      <c r="BN283" s="64">
        <f t="shared" ref="BN283:BN294" si="50">IFERROR(Y283*I283/H283,"0")</f>
        <v>214.85</v>
      </c>
      <c r="BO283" s="64">
        <f t="shared" ref="BO283:BO294" si="51">IFERROR(1/J283*(X283/H283),"0")</f>
        <v>0.38580246913580246</v>
      </c>
      <c r="BP283" s="64">
        <f t="shared" ref="BP283:BP294" si="52">IFERROR(1/J283*(Y283/H283),"0")</f>
        <v>0.390625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150</v>
      </c>
      <c r="Y284" s="644">
        <f t="shared" si="48"/>
        <v>153.9</v>
      </c>
      <c r="Z284" s="36">
        <f>IFERROR(IF(Y284=0,"",ROUNDUP(Y284/H284,0)*0.01898),"")</f>
        <v>0.36062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158.81481481481484</v>
      </c>
      <c r="BN284" s="64">
        <f t="shared" si="50"/>
        <v>162.94400000000002</v>
      </c>
      <c r="BO284" s="64">
        <f t="shared" si="51"/>
        <v>0.28935185185185186</v>
      </c>
      <c r="BP284" s="64">
        <f t="shared" si="52"/>
        <v>0.296875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402</v>
      </c>
      <c r="Y286" s="644">
        <f t="shared" si="48"/>
        <v>403.2</v>
      </c>
      <c r="Z286" s="36">
        <f>IFERROR(IF(Y286=0,"",ROUNDUP(Y286/H286,0)*0.00651),"")</f>
        <v>1.09368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447.22499999999997</v>
      </c>
      <c r="BN286" s="64">
        <f t="shared" si="50"/>
        <v>448.55999999999995</v>
      </c>
      <c r="BO286" s="64">
        <f t="shared" si="51"/>
        <v>0.92032967032967039</v>
      </c>
      <c r="BP286" s="64">
        <f t="shared" si="52"/>
        <v>0.92307692307692313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400</v>
      </c>
      <c r="Y289" s="644">
        <f t="shared" si="48"/>
        <v>400.8</v>
      </c>
      <c r="Z289" s="36">
        <f>IFERROR(IF(Y289=0,"",ROUNDUP(Y289/H289,0)*0.00651),"")</f>
        <v>1.08717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442</v>
      </c>
      <c r="BN289" s="64">
        <f t="shared" si="50"/>
        <v>442.88400000000007</v>
      </c>
      <c r="BO289" s="64">
        <f t="shared" si="51"/>
        <v>0.91575091575091594</v>
      </c>
      <c r="BP289" s="64">
        <f t="shared" si="52"/>
        <v>0.91758241758241765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120</v>
      </c>
      <c r="Y291" s="644">
        <f t="shared" si="48"/>
        <v>120</v>
      </c>
      <c r="Z291" s="36">
        <f>IFERROR(IF(Y291=0,"",ROUNDUP(Y291/H291,0)*0.00651),"")</f>
        <v>0.32550000000000001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132.60000000000002</v>
      </c>
      <c r="BN291" s="64">
        <f t="shared" si="50"/>
        <v>132.60000000000002</v>
      </c>
      <c r="BO291" s="64">
        <f t="shared" si="51"/>
        <v>0.27472527472527475</v>
      </c>
      <c r="BP291" s="64">
        <f t="shared" si="52"/>
        <v>0.27472527472527475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20</v>
      </c>
      <c r="Y293" s="644">
        <f t="shared" si="48"/>
        <v>21.599999999999998</v>
      </c>
      <c r="Z293" s="36">
        <f>IFERROR(IF(Y293=0,"",ROUNDUP(Y293/H293,0)*0.00651),"")</f>
        <v>5.8590000000000003E-2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22.15</v>
      </c>
      <c r="BN293" s="64">
        <f t="shared" si="50"/>
        <v>23.921999999999997</v>
      </c>
      <c r="BO293" s="64">
        <f t="shared" si="51"/>
        <v>4.5787545787545791E-2</v>
      </c>
      <c r="BP293" s="64">
        <f t="shared" si="52"/>
        <v>4.9450549450549455E-2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435.70987654320987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438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3.4000600000000003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1292</v>
      </c>
      <c r="Y296" s="645">
        <f>IFERROR(SUM(Y283:Y294),"0")</f>
        <v>1301.9999999999998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466</v>
      </c>
      <c r="Y360" s="644">
        <f>IFERROR(IF(X360="",0,CEILING((X360/$H360),1)*$H360),"")</f>
        <v>468</v>
      </c>
      <c r="Z360" s="36">
        <f>IFERROR(IF(Y360=0,"",ROUNDUP(Y360/H360,0)*0.01898),"")</f>
        <v>1.1388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490.49487179487187</v>
      </c>
      <c r="BN360" s="64">
        <f>IFERROR(Y360*I360/H360,"0")</f>
        <v>492.6</v>
      </c>
      <c r="BO360" s="64">
        <f>IFERROR(1/J360*(X360/H360),"0")</f>
        <v>0.93349358974358976</v>
      </c>
      <c r="BP360" s="64">
        <f>IFERROR(1/J360*(Y360/H360),"0")</f>
        <v>0.9375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59.743589743589745</v>
      </c>
      <c r="Y362" s="645">
        <f>IFERROR(Y359/H359,"0")+IFERROR(Y360/H360,"0")+IFERROR(Y361/H361,"0")</f>
        <v>60</v>
      </c>
      <c r="Z362" s="645">
        <f>IFERROR(IF(Z359="",0,Z359),"0")+IFERROR(IF(Z360="",0,Z360),"0")+IFERROR(IF(Z361="",0,Z361),"0")</f>
        <v>1.1388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466</v>
      </c>
      <c r="Y363" s="645">
        <f>IFERROR(SUM(Y359:Y361),"0")</f>
        <v>468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45</v>
      </c>
      <c r="Y400" s="644">
        <f>IFERROR(IF(X400="",0,CEILING((X400/$H400),1)*$H400),"")</f>
        <v>45.9</v>
      </c>
      <c r="Z400" s="36">
        <f>IFERROR(IF(Y400=0,"",ROUNDUP(Y400/H400,0)*0.00651),"")</f>
        <v>0.11718000000000001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50.82352941176471</v>
      </c>
      <c r="BN400" s="64">
        <f>IFERROR(Y400*I400/H400,"0")</f>
        <v>51.839999999999996</v>
      </c>
      <c r="BO400" s="64">
        <f>IFERROR(1/J400*(X400/H400),"0")</f>
        <v>9.6961861667744037E-2</v>
      </c>
      <c r="BP400" s="64">
        <f>IFERROR(1/J400*(Y400/H400),"0")</f>
        <v>9.8901098901098911E-2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17.647058823529413</v>
      </c>
      <c r="Y401" s="645">
        <f>IFERROR(Y397/H397,"0")+IFERROR(Y398/H398,"0")+IFERROR(Y399/H399,"0")+IFERROR(Y400/H400,"0")</f>
        <v>18</v>
      </c>
      <c r="Z401" s="645">
        <f>IFERROR(IF(Z397="",0,Z397),"0")+IFERROR(IF(Z398="",0,Z398),"0")+IFERROR(IF(Z399="",0,Z399),"0")+IFERROR(IF(Z400="",0,Z400),"0")</f>
        <v>0.11718000000000001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45</v>
      </c>
      <c r="Y402" s="645">
        <f>IFERROR(SUM(Y397:Y400),"0")</f>
        <v>45.9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10</v>
      </c>
      <c r="Y404" s="644">
        <f>IFERROR(IF(X404="",0,CEILING((X404/$H404),1)*$H404),"")</f>
        <v>10</v>
      </c>
      <c r="Z404" s="36">
        <f>IFERROR(IF(Y404=0,"",ROUNDUP(Y404/H404,0)*0.00474),"")</f>
        <v>2.3700000000000002E-2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11.200000000000001</v>
      </c>
      <c r="BN404" s="64">
        <f>IFERROR(Y404*I404/H404,"0")</f>
        <v>11.200000000000001</v>
      </c>
      <c r="BO404" s="64">
        <f>IFERROR(1/J404*(X404/H404),"0")</f>
        <v>2.1008403361344536E-2</v>
      </c>
      <c r="BP404" s="64">
        <f>IFERROR(1/J404*(Y404/H404),"0")</f>
        <v>2.1008403361344536E-2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10</v>
      </c>
      <c r="Y405" s="644">
        <f>IFERROR(IF(X405="",0,CEILING((X405/$H405),1)*$H405),"")</f>
        <v>10</v>
      </c>
      <c r="Z405" s="36">
        <f>IFERROR(IF(Y405=0,"",ROUNDUP(Y405/H405,0)*0.00474),"")</f>
        <v>2.3700000000000002E-2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11.200000000000001</v>
      </c>
      <c r="BN405" s="64">
        <f>IFERROR(Y405*I405/H405,"0")</f>
        <v>11.200000000000001</v>
      </c>
      <c r="BO405" s="64">
        <f>IFERROR(1/J405*(X405/H405),"0")</f>
        <v>2.1008403361344536E-2</v>
      </c>
      <c r="BP405" s="64">
        <f>IFERROR(1/J405*(Y405/H405),"0")</f>
        <v>2.1008403361344536E-2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10</v>
      </c>
      <c r="Y407" s="645">
        <f>IFERROR(Y404/H404,"0")+IFERROR(Y405/H405,"0")+IFERROR(Y406/H406,"0")</f>
        <v>10</v>
      </c>
      <c r="Z407" s="645">
        <f>IFERROR(IF(Z404="",0,Z404),"0")+IFERROR(IF(Z405="",0,Z405),"0")+IFERROR(IF(Z406="",0,Z406),"0")</f>
        <v>4.7400000000000005E-2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20</v>
      </c>
      <c r="Y408" s="645">
        <f>IFERROR(SUM(Y404:Y406),"0")</f>
        <v>20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18</v>
      </c>
      <c r="Y424" s="644">
        <f>IFERROR(IF(X424="",0,CEILING((X424/$H424),1)*$H424),"")</f>
        <v>18.900000000000002</v>
      </c>
      <c r="Z424" s="36">
        <f>IFERROR(IF(Y424=0,"",ROUNDUP(Y424/H424,0)*0.00651),"")</f>
        <v>5.8590000000000003E-2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20.16</v>
      </c>
      <c r="BN424" s="64">
        <f>IFERROR(Y424*I424/H424,"0")</f>
        <v>21.167999999999999</v>
      </c>
      <c r="BO424" s="64">
        <f>IFERROR(1/J424*(X424/H424),"0")</f>
        <v>4.709576138147567E-2</v>
      </c>
      <c r="BP424" s="64">
        <f>IFERROR(1/J424*(Y424/H424),"0")</f>
        <v>4.9450549450549455E-2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25.238095238095234</v>
      </c>
      <c r="Y426" s="645">
        <f>IFERROR(Y423/H423,"0")+IFERROR(Y424/H424,"0")+IFERROR(Y425/H425,"0")</f>
        <v>26</v>
      </c>
      <c r="Z426" s="645">
        <f>IFERROR(IF(Z423="",0,Z423),"0")+IFERROR(IF(Z424="",0,Z424),"0")+IFERROR(IF(Z425="",0,Z425),"0")</f>
        <v>0.16926000000000002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53</v>
      </c>
      <c r="Y427" s="645">
        <f>IFERROR(SUM(Y423:Y425),"0")</f>
        <v>54.600000000000009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2367</v>
      </c>
      <c r="Y432" s="644">
        <f t="shared" si="63"/>
        <v>2370</v>
      </c>
      <c r="Z432" s="36">
        <f>IFERROR(IF(Y432=0,"",ROUNDUP(Y432/H432,0)*0.02175),"")</f>
        <v>3.4364999999999997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2441.1659999999997</v>
      </c>
      <c r="BN432" s="64">
        <f t="shared" si="65"/>
        <v>2444.2600000000002</v>
      </c>
      <c r="BO432" s="64">
        <f t="shared" si="66"/>
        <v>3.2875000000000001</v>
      </c>
      <c r="BP432" s="64">
        <f t="shared" si="67"/>
        <v>3.2916666666666665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2199</v>
      </c>
      <c r="Y434" s="644">
        <f t="shared" si="63"/>
        <v>2205</v>
      </c>
      <c r="Z434" s="36">
        <f>IFERROR(IF(Y434=0,"",ROUNDUP(Y434/H434,0)*0.02175),"")</f>
        <v>3.1972499999999999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2267.902</v>
      </c>
      <c r="BN434" s="64">
        <f t="shared" si="65"/>
        <v>2274.0899999999997</v>
      </c>
      <c r="BO434" s="64">
        <f t="shared" si="66"/>
        <v>3.0541666666666663</v>
      </c>
      <c r="BP434" s="64">
        <f t="shared" si="67"/>
        <v>3.0625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304.39999999999998</v>
      </c>
      <c r="Y439" s="645">
        <f>IFERROR(Y431/H431,"0")+IFERROR(Y432/H432,"0")+IFERROR(Y433/H433,"0")+IFERROR(Y434/H434,"0")+IFERROR(Y435/H435,"0")+IFERROR(Y436/H436,"0")+IFERROR(Y437/H437,"0")+IFERROR(Y438/H438,"0")</f>
        <v>305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6.6337499999999991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4566</v>
      </c>
      <c r="Y440" s="645">
        <f>IFERROR(SUM(Y431:Y438),"0")</f>
        <v>4575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33.333333333333336</v>
      </c>
      <c r="Y472" s="645">
        <f>IFERROR(Y469/H469,"0")+IFERROR(Y470/H470,"0")+IFERROR(Y471/H471,"0")</f>
        <v>34</v>
      </c>
      <c r="Z472" s="645">
        <f>IFERROR(IF(Z469="",0,Z469),"0")+IFERROR(IF(Z470="",0,Z470),"0")+IFERROR(IF(Z471="",0,Z471),"0")</f>
        <v>0.22134000000000001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80</v>
      </c>
      <c r="Y473" s="645">
        <f>IFERROR(SUM(Y469:Y471),"0")</f>
        <v>81.599999999999994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489</v>
      </c>
      <c r="Y504" s="644">
        <f t="shared" ref="Y504:Y512" si="73">IFERROR(IF(X504="",0,CEILING((X504/$H504),1)*$H504),"")</f>
        <v>491.04</v>
      </c>
      <c r="Z504" s="36">
        <f t="shared" ref="Z504:Z509" si="74">IFERROR(IF(Y504=0,"",ROUNDUP(Y504/H504,0)*0.01196),"")</f>
        <v>1.1122799999999999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521.41477272727275</v>
      </c>
      <c r="BN504" s="64">
        <f t="shared" ref="BN504:BN512" si="76">IFERROR(Y504*I504/H504,"0")</f>
        <v>523.59</v>
      </c>
      <c r="BO504" s="64">
        <f t="shared" ref="BO504:BO512" si="77">IFERROR(1/J504*(X504/H504),"0")</f>
        <v>0.89051573426573427</v>
      </c>
      <c r="BP504" s="64">
        <f t="shared" ref="BP504:BP512" si="78">IFERROR(1/J504*(Y504/H504),"0")</f>
        <v>0.89423076923076927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2965</v>
      </c>
      <c r="Y509" s="644">
        <f t="shared" si="73"/>
        <v>2967.36</v>
      </c>
      <c r="Z509" s="36">
        <f t="shared" si="74"/>
        <v>6.7215199999999999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3161.5435606060605</v>
      </c>
      <c r="BN509" s="64">
        <f t="shared" si="76"/>
        <v>3164.0599999999995</v>
      </c>
      <c r="BO509" s="64">
        <f t="shared" si="77"/>
        <v>5.399548368298368</v>
      </c>
      <c r="BP509" s="64">
        <f t="shared" si="78"/>
        <v>5.4038461538461542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505</v>
      </c>
      <c r="Y511" s="644">
        <f t="shared" si="73"/>
        <v>508.79999999999995</v>
      </c>
      <c r="Z511" s="36">
        <f>IFERROR(IF(Y511=0,"",ROUNDUP(Y511/H511,0)*0.00902),"")</f>
        <v>0.95612000000000008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726.98958333333337</v>
      </c>
      <c r="BN511" s="64">
        <f t="shared" si="76"/>
        <v>732.45999999999992</v>
      </c>
      <c r="BO511" s="64">
        <f t="shared" si="77"/>
        <v>0.7970328282828284</v>
      </c>
      <c r="BP511" s="64">
        <f t="shared" si="78"/>
        <v>0.80303030303030309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417</v>
      </c>
      <c r="Y512" s="644">
        <f t="shared" si="73"/>
        <v>417.59999999999997</v>
      </c>
      <c r="Z512" s="36">
        <f>IFERROR(IF(Y512=0,"",ROUNDUP(Y512/H512,0)*0.00902),"")</f>
        <v>0.78473999999999999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600.30625000000009</v>
      </c>
      <c r="BN512" s="64">
        <f t="shared" si="76"/>
        <v>601.17000000000007</v>
      </c>
      <c r="BO512" s="64">
        <f t="shared" si="77"/>
        <v>0.65814393939393945</v>
      </c>
      <c r="BP512" s="64">
        <f t="shared" si="78"/>
        <v>0.65909090909090906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846.25</v>
      </c>
      <c r="Y513" s="645">
        <f>IFERROR(Y504/H504,"0")+IFERROR(Y505/H505,"0")+IFERROR(Y506/H506,"0")+IFERROR(Y507/H507,"0")+IFERROR(Y508/H508,"0")+IFERROR(Y509/H509,"0")+IFERROR(Y510/H510,"0")+IFERROR(Y511/H511,"0")+IFERROR(Y512/H512,"0")</f>
        <v>848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9.5746599999999997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4376</v>
      </c>
      <c r="Y514" s="645">
        <f>IFERROR(SUM(Y504:Y512),"0")</f>
        <v>4384.8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176</v>
      </c>
      <c r="Y518" s="644">
        <f>IFERROR(IF(X518="",0,CEILING((X518/$H518),1)*$H518),"")</f>
        <v>177.6</v>
      </c>
      <c r="Z518" s="36">
        <f>IFERROR(IF(Y518=0,"",ROUNDUP(Y518/H518,0)*0.00902),"")</f>
        <v>0.33374000000000004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253.3666666666667</v>
      </c>
      <c r="BN518" s="64">
        <f>IFERROR(Y518*I518/H518,"0")</f>
        <v>255.67</v>
      </c>
      <c r="BO518" s="64">
        <f>IFERROR(1/J518*(X518/H518),"0")</f>
        <v>0.27777777777777785</v>
      </c>
      <c r="BP518" s="64">
        <f>IFERROR(1/J518*(Y518/H518),"0")</f>
        <v>0.28030303030303033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36.666666666666671</v>
      </c>
      <c r="Y519" s="645">
        <f>IFERROR(Y516/H516,"0")+IFERROR(Y517/H517,"0")+IFERROR(Y518/H518,"0")</f>
        <v>37</v>
      </c>
      <c r="Z519" s="645">
        <f>IFERROR(IF(Z516="",0,Z516),"0")+IFERROR(IF(Z517="",0,Z517),"0")+IFERROR(IF(Z518="",0,Z518),"0")</f>
        <v>0.33374000000000004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176</v>
      </c>
      <c r="Y520" s="645">
        <f>IFERROR(SUM(Y516:Y518),"0")</f>
        <v>177.6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900</v>
      </c>
      <c r="Y523" s="644">
        <f t="shared" si="79"/>
        <v>902.88</v>
      </c>
      <c r="Z523" s="36">
        <f>IFERROR(IF(Y523=0,"",ROUNDUP(Y523/H523,0)*0.01196),"")</f>
        <v>2.0451600000000001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959.65909090909088</v>
      </c>
      <c r="BN523" s="64">
        <f t="shared" si="81"/>
        <v>962.7299999999999</v>
      </c>
      <c r="BO523" s="64">
        <f t="shared" si="82"/>
        <v>1.638986013986014</v>
      </c>
      <c r="BP523" s="64">
        <f t="shared" si="83"/>
        <v>1.6442307692307694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600</v>
      </c>
      <c r="Y524" s="644">
        <f t="shared" si="79"/>
        <v>601.92000000000007</v>
      </c>
      <c r="Z524" s="36">
        <f>IFERROR(IF(Y524=0,"",ROUNDUP(Y524/H524,0)*0.01196),"")</f>
        <v>1.36344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639.77272727272725</v>
      </c>
      <c r="BN524" s="64">
        <f t="shared" si="81"/>
        <v>641.82000000000005</v>
      </c>
      <c r="BO524" s="64">
        <f t="shared" si="82"/>
        <v>1.0926573426573427</v>
      </c>
      <c r="BP524" s="64">
        <f t="shared" si="83"/>
        <v>1.0961538461538463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284.09090909090907</v>
      </c>
      <c r="Y529" s="645">
        <f>IFERROR(Y522/H522,"0")+IFERROR(Y523/H523,"0")+IFERROR(Y524/H524,"0")+IFERROR(Y525/H525,"0")+IFERROR(Y526/H526,"0")+IFERROR(Y527/H527,"0")+IFERROR(Y528/H528,"0")</f>
        <v>285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3.4085999999999999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1500</v>
      </c>
      <c r="Y530" s="645">
        <f>IFERROR(SUM(Y522:Y528),"0")</f>
        <v>1504.8000000000002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16699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16789.900000000001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18058.309582407317</v>
      </c>
      <c r="Y560" s="645">
        <f>IFERROR(SUM(BN22:BN556),"0")</f>
        <v>18156.875999999997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29</v>
      </c>
      <c r="Y561" s="38">
        <f>ROUNDUP(SUM(BP22:BP556),0)</f>
        <v>30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18783.309582407317</v>
      </c>
      <c r="Y562" s="645">
        <f>GrossWeightTotalR+PalletQtyTotalR*25</f>
        <v>18906.875999999997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2931.0099815364515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2952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34.37218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9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1161.4000000000001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340.1</v>
      </c>
      <c r="F569" s="46">
        <f>IFERROR(Y85*1,"0")+IFERROR(Y86*1,"0")+IFERROR(Y87*1,"0")+IFERROR(Y88*1,"0")+IFERROR(Y89*1,"0")+IFERROR(Y93*1,"0")+IFERROR(Y94*1,"0")+IFERROR(Y95*1,"0")+IFERROR(Y96*1,"0")+IFERROR(Y97*1,"0")+IFERROR(Y98*1,"0")</f>
        <v>704.7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1134.54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140.1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462.56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1424.3999999999999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468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65.900000000000006</v>
      </c>
      <c r="U569" s="46">
        <f>IFERROR(Y417*1,"0")+IFERROR(Y418*1,"0")</f>
        <v>0</v>
      </c>
      <c r="V569" s="46">
        <f>IFERROR(Y423*1,"0")+IFERROR(Y424*1,"0")+IFERROR(Y425*1,"0")</f>
        <v>54.600000000000009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4575</v>
      </c>
      <c r="X569" s="46">
        <f>IFERROR(Y460*1,"0")+IFERROR(Y461*1,"0")+IFERROR(Y465*1,"0")+IFERROR(Y469*1,"0")+IFERROR(Y470*1,"0")+IFERROR(Y471*1,"0")</f>
        <v>81.599999999999994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6067.2000000000007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2026-09-02T11:50:30Z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