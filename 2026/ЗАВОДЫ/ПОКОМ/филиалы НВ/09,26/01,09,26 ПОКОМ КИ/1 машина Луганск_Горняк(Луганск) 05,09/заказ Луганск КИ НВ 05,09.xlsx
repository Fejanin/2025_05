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3A9AAF8-43EB-4FC1-8B5D-40C111F274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Y426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Y335" i="1" s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9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Y281" i="1" s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Y269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M569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Y248" i="1" s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Y240" i="1" s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199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93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Y17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Y112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X563" i="1" s="1"/>
  <c r="BP23" i="1"/>
  <c r="BO23" i="1"/>
  <c r="BN23" i="1"/>
  <c r="BM23" i="1"/>
  <c r="Z23" i="1"/>
  <c r="Y23" i="1"/>
  <c r="P23" i="1"/>
  <c r="BO22" i="1"/>
  <c r="X561" i="1" s="1"/>
  <c r="BM22" i="1"/>
  <c r="X560" i="1" s="1"/>
  <c r="Y22" i="1"/>
  <c r="B569" i="1" s="1"/>
  <c r="P22" i="1"/>
  <c r="H10" i="1"/>
  <c r="A9" i="1"/>
  <c r="F10" i="1" s="1"/>
  <c r="D7" i="1"/>
  <c r="Q6" i="1"/>
  <c r="P2" i="1"/>
  <c r="X562" i="1" l="1"/>
  <c r="Y24" i="1"/>
  <c r="Y32" i="1"/>
  <c r="Y52" i="1"/>
  <c r="Y61" i="1"/>
  <c r="Y69" i="1"/>
  <c r="Y81" i="1"/>
  <c r="Y91" i="1"/>
  <c r="Y99" i="1"/>
  <c r="Y111" i="1"/>
  <c r="Y146" i="1"/>
  <c r="Y150" i="1"/>
  <c r="Y161" i="1"/>
  <c r="Y178" i="1"/>
  <c r="Y192" i="1"/>
  <c r="Y198" i="1"/>
  <c r="Y255" i="1"/>
  <c r="Y259" i="1"/>
  <c r="Y264" i="1"/>
  <c r="Y270" i="1"/>
  <c r="BP294" i="1"/>
  <c r="BN294" i="1"/>
  <c r="Z294" i="1"/>
  <c r="Y301" i="1"/>
  <c r="BP298" i="1"/>
  <c r="BN298" i="1"/>
  <c r="Z298" i="1"/>
  <c r="Z300" i="1" s="1"/>
  <c r="BP307" i="1"/>
  <c r="BN307" i="1"/>
  <c r="Z307" i="1"/>
  <c r="Y311" i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H9" i="1"/>
  <c r="A10" i="1"/>
  <c r="Y42" i="1"/>
  <c r="Y75" i="1"/>
  <c r="Y119" i="1"/>
  <c r="Y130" i="1"/>
  <c r="Y135" i="1"/>
  <c r="Y140" i="1"/>
  <c r="Y172" i="1"/>
  <c r="Y218" i="1"/>
  <c r="Y241" i="1"/>
  <c r="Y249" i="1"/>
  <c r="Y280" i="1"/>
  <c r="BP286" i="1"/>
  <c r="BN286" i="1"/>
  <c r="Z286" i="1"/>
  <c r="BP290" i="1"/>
  <c r="BN290" i="1"/>
  <c r="Z290" i="1"/>
  <c r="Y296" i="1"/>
  <c r="BP323" i="1"/>
  <c r="BN323" i="1"/>
  <c r="Z323" i="1"/>
  <c r="Z325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Z111" i="1" s="1"/>
  <c r="BN104" i="1"/>
  <c r="Z106" i="1"/>
  <c r="BN106" i="1"/>
  <c r="Z108" i="1"/>
  <c r="BN108" i="1"/>
  <c r="Z109" i="1"/>
  <c r="BN109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Z134" i="1" s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Z177" i="1" s="1"/>
  <c r="BN176" i="1"/>
  <c r="Z180" i="1"/>
  <c r="Z192" i="1" s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Z218" i="1" s="1"/>
  <c r="BN212" i="1"/>
  <c r="Z214" i="1"/>
  <c r="BN214" i="1"/>
  <c r="Z216" i="1"/>
  <c r="BN216" i="1"/>
  <c r="Y219" i="1"/>
  <c r="L569" i="1"/>
  <c r="Y224" i="1"/>
  <c r="Z227" i="1"/>
  <c r="Z240" i="1" s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Z254" i="1" s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Z280" i="1" s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Z311" i="1" s="1"/>
  <c r="BP309" i="1"/>
  <c r="BN309" i="1"/>
  <c r="Z309" i="1"/>
  <c r="Y326" i="1"/>
  <c r="Y325" i="1"/>
  <c r="Z334" i="1"/>
  <c r="BP330" i="1"/>
  <c r="BN330" i="1"/>
  <c r="Z330" i="1"/>
  <c r="Y334" i="1"/>
  <c r="BP339" i="1"/>
  <c r="BN339" i="1"/>
  <c r="Z339" i="1"/>
  <c r="Z341" i="1" s="1"/>
  <c r="BP348" i="1"/>
  <c r="BN348" i="1"/>
  <c r="Z348" i="1"/>
  <c r="Z350" i="1" s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Y419" i="1"/>
  <c r="Z426" i="1"/>
  <c r="BP424" i="1"/>
  <c r="BN424" i="1"/>
  <c r="Z424" i="1"/>
  <c r="BP434" i="1"/>
  <c r="BN434" i="1"/>
  <c r="Z434" i="1"/>
  <c r="Z439" i="1" s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81" i="1" l="1"/>
  <c r="Y559" i="1"/>
  <c r="Y560" i="1"/>
  <c r="Z529" i="1"/>
  <c r="Z472" i="1"/>
  <c r="Z451" i="1"/>
  <c r="Z407" i="1"/>
  <c r="Z513" i="1"/>
  <c r="Z483" i="1"/>
  <c r="Z381" i="1"/>
  <c r="Z371" i="1"/>
  <c r="Z295" i="1"/>
  <c r="Z248" i="1"/>
  <c r="Z99" i="1"/>
  <c r="Z74" i="1"/>
  <c r="Z564" i="1" s="1"/>
  <c r="Z61" i="1"/>
  <c r="Y561" i="1"/>
  <c r="Z499" i="1"/>
  <c r="Z388" i="1"/>
  <c r="Z362" i="1"/>
  <c r="Y563" i="1"/>
  <c r="Y562" i="1" l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<sst xmlns="http://schemas.openxmlformats.org/spreadsheetml/2006/main" count="2556" uniqueCount="916">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</sst>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2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15</v>
      </c>
      <c r="Y29" s="644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26.5</v>
      </c>
      <c r="BN29" s="64">
        <f>IFERROR(Y29*I29/H29,"0")</f>
        <v>28.619999999999997</v>
      </c>
      <c r="BO29" s="64">
        <f>IFERROR(1/J29*(X29/H29),"0")</f>
        <v>4.5787545787545791E-2</v>
      </c>
      <c r="BP29" s="64">
        <f>IFERROR(1/J29*(Y29/H29),"0")</f>
        <v>4.9450549450549455E-2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8.3333333333333339</v>
      </c>
      <c r="Y32" s="645">
        <f>IFERROR(Y27/H27,"0")+IFERROR(Y28/H28,"0")+IFERROR(Y29/H29,"0")+IFERROR(Y30/H30,"0")+IFERROR(Y31/H31,"0")</f>
        <v>9</v>
      </c>
      <c r="Z32" s="645">
        <f>IFERROR(IF(Z27="",0,Z27),"0")+IFERROR(IF(Z28="",0,Z28),"0")+IFERROR(IF(Z29="",0,Z29),"0")+IFERROR(IF(Z30="",0,Z30),"0")+IFERROR(IF(Z31="",0,Z31),"0")</f>
        <v>5.8590000000000003E-2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15</v>
      </c>
      <c r="Y33" s="645">
        <f>IFERROR(SUM(Y27:Y31),"0")</f>
        <v>16.2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614</v>
      </c>
      <c r="Y47" s="644">
        <f>IFERROR(IF(X47="",0,CEILING((X47/$H47),1)*$H47),"")</f>
        <v>615.6</v>
      </c>
      <c r="Z47" s="36">
        <f>IFERROR(IF(Y47=0,"",ROUNDUP(Y47/H47,0)*0.01898),"")</f>
        <v>1.08186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637.30925925925931</v>
      </c>
      <c r="BN47" s="64">
        <f>IFERROR(Y47*I47/H47,"0")</f>
        <v>638.97</v>
      </c>
      <c r="BO47" s="64">
        <f>IFERROR(1/J47*(X47/H47),"0")</f>
        <v>0.88831018518518512</v>
      </c>
      <c r="BP47" s="64">
        <f>IFERROR(1/J47*(Y47/H47),"0")</f>
        <v>0.890625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75</v>
      </c>
      <c r="Y50" s="644">
        <f>IFERROR(IF(X50="",0,CEILING((X50/$H50),1)*$H50),"")</f>
        <v>77.7</v>
      </c>
      <c r="Z50" s="36">
        <f>IFERROR(IF(Y50=0,"",ROUNDUP(Y50/H50,0)*0.00902),"")</f>
        <v>0.18942000000000001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78.851351351351354</v>
      </c>
      <c r="BN50" s="64">
        <f>IFERROR(Y50*I50/H50,"0")</f>
        <v>81.690000000000012</v>
      </c>
      <c r="BO50" s="64">
        <f>IFERROR(1/J50*(X50/H50),"0")</f>
        <v>0.15356265356265356</v>
      </c>
      <c r="BP50" s="64">
        <f>IFERROR(1/J50*(Y50/H50),"0")</f>
        <v>0.15909090909090909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77.122122122122121</v>
      </c>
      <c r="Y51" s="645">
        <f>IFERROR(Y47/H47,"0")+IFERROR(Y48/H48,"0")+IFERROR(Y49/H49,"0")+IFERROR(Y50/H50,"0")</f>
        <v>78</v>
      </c>
      <c r="Z51" s="645">
        <f>IFERROR(IF(Z47="",0,Z47),"0")+IFERROR(IF(Z48="",0,Z48),"0")+IFERROR(IF(Z49="",0,Z49),"0")+IFERROR(IF(Z50="",0,Z50),"0")</f>
        <v>1.27128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689</v>
      </c>
      <c r="Y52" s="645">
        <f>IFERROR(SUM(Y47:Y50),"0")</f>
        <v>693.30000000000007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214</v>
      </c>
      <c r="Y56" s="644">
        <f t="shared" si="0"/>
        <v>216</v>
      </c>
      <c r="Z56" s="36">
        <f>IFERROR(IF(Y56=0,"",ROUNDUP(Y56/H56,0)*0.01898),"")</f>
        <v>0.37959999999999999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222.12407407407406</v>
      </c>
      <c r="BN56" s="64">
        <f t="shared" si="2"/>
        <v>224.2</v>
      </c>
      <c r="BO56" s="64">
        <f t="shared" si="3"/>
        <v>0.30960648148148145</v>
      </c>
      <c r="BP56" s="64">
        <f t="shared" si="4"/>
        <v>0.3125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44</v>
      </c>
      <c r="Y58" s="644">
        <f t="shared" si="0"/>
        <v>44</v>
      </c>
      <c r="Z58" s="36">
        <f>IFERROR(IF(Y58=0,"",ROUNDUP(Y58/H58,0)*0.00902),"")</f>
        <v>9.9220000000000003E-2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46.09</v>
      </c>
      <c r="BN58" s="64">
        <f t="shared" si="2"/>
        <v>46.09</v>
      </c>
      <c r="BO58" s="64">
        <f t="shared" si="3"/>
        <v>8.3333333333333343E-2</v>
      </c>
      <c r="BP58" s="64">
        <f t="shared" si="4"/>
        <v>8.3333333333333343E-2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30.814814814814813</v>
      </c>
      <c r="Y61" s="645">
        <f>IFERROR(Y55/H55,"0")+IFERROR(Y56/H56,"0")+IFERROR(Y57/H57,"0")+IFERROR(Y58/H58,"0")+IFERROR(Y59/H59,"0")+IFERROR(Y60/H60,"0")</f>
        <v>31</v>
      </c>
      <c r="Z61" s="645">
        <f>IFERROR(IF(Z55="",0,Z55),"0")+IFERROR(IF(Z56="",0,Z56),"0")+IFERROR(IF(Z57="",0,Z57),"0")+IFERROR(IF(Z58="",0,Z58),"0")+IFERROR(IF(Z59="",0,Z59),"0")+IFERROR(IF(Z60="",0,Z60),"0")</f>
        <v>0.47882000000000002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258</v>
      </c>
      <c r="Y62" s="645">
        <f>IFERROR(SUM(Y55:Y60),"0")</f>
        <v>260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153</v>
      </c>
      <c r="Y85" s="644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158.80833333333334</v>
      </c>
      <c r="BN85" s="64">
        <f>IFERROR(Y85*I85/H85,"0")</f>
        <v>168.15</v>
      </c>
      <c r="BO85" s="64">
        <f>IFERROR(1/J85*(X85/H85),"0")</f>
        <v>0.22135416666666666</v>
      </c>
      <c r="BP85" s="64">
        <f>IFERROR(1/J85*(Y85/H85),"0")</f>
        <v>0.23437499999999997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73</v>
      </c>
      <c r="Y89" s="644">
        <f>IFERROR(IF(X89="",0,CEILING((X89/$H89),1)*$H89),"")</f>
        <v>76.5</v>
      </c>
      <c r="Z89" s="36">
        <f>IFERROR(IF(Y89=0,"",ROUNDUP(Y89/H89,0)*0.00902),"")</f>
        <v>0.15334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76.082222222222228</v>
      </c>
      <c r="BN89" s="64">
        <f>IFERROR(Y89*I89/H89,"0")</f>
        <v>79.73</v>
      </c>
      <c r="BO89" s="64">
        <f>IFERROR(1/J89*(X89/H89),"0")</f>
        <v>0.12289562289562289</v>
      </c>
      <c r="BP89" s="64">
        <f>IFERROR(1/J89*(Y89/H89),"0")</f>
        <v>0.12878787878787878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30.388888888888886</v>
      </c>
      <c r="Y90" s="645">
        <f>IFERROR(Y85/H85,"0")+IFERROR(Y86/H86,"0")+IFERROR(Y87/H87,"0")+IFERROR(Y88/H88,"0")+IFERROR(Y89/H89,"0")</f>
        <v>32</v>
      </c>
      <c r="Z90" s="645">
        <f>IFERROR(IF(Z85="",0,Z85),"0")+IFERROR(IF(Z86="",0,Z86),"0")+IFERROR(IF(Z87="",0,Z87),"0")+IFERROR(IF(Z88="",0,Z88),"0")+IFERROR(IF(Z89="",0,Z89),"0")</f>
        <v>0.43803999999999998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226</v>
      </c>
      <c r="Y91" s="645">
        <f>IFERROR(SUM(Y85:Y89),"0")</f>
        <v>238.5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0</v>
      </c>
      <c r="Y93" s="644">
        <f t="shared" ref="Y93:Y98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0</v>
      </c>
      <c r="BN93" s="64">
        <f t="shared" ref="BN93:BN98" si="7">IFERROR(Y93*I93/H93,"0")</f>
        <v>0</v>
      </c>
      <c r="BO93" s="64">
        <f t="shared" ref="BO93:BO98" si="8">IFERROR(1/J93*(X93/H93),"0")</f>
        <v>0</v>
      </c>
      <c r="BP93" s="64">
        <f t="shared" ref="BP93:BP98" si="9">IFERROR(1/J93*(Y93/H93),"0")</f>
        <v>0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96</v>
      </c>
      <c r="Y96" s="644">
        <f t="shared" si="5"/>
        <v>97.2</v>
      </c>
      <c r="Z96" s="36">
        <f>IFERROR(IF(Y96=0,"",ROUNDUP(Y96/H96,0)*0.00651),"")</f>
        <v>0.23436000000000001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104.96</v>
      </c>
      <c r="BN96" s="64">
        <f t="shared" si="7"/>
        <v>106.27199999999999</v>
      </c>
      <c r="BO96" s="64">
        <f t="shared" si="8"/>
        <v>0.19536019536019533</v>
      </c>
      <c r="BP96" s="64">
        <f t="shared" si="9"/>
        <v>0.19780219780219782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35.55555555555555</v>
      </c>
      <c r="Y99" s="645">
        <f>IFERROR(Y93/H93,"0")+IFERROR(Y94/H94,"0")+IFERROR(Y95/H95,"0")+IFERROR(Y96/H96,"0")+IFERROR(Y97/H97,"0")+IFERROR(Y98/H98,"0")</f>
        <v>36</v>
      </c>
      <c r="Z99" s="645">
        <f>IFERROR(IF(Z93="",0,Z93),"0")+IFERROR(IF(Z94="",0,Z94),"0")+IFERROR(IF(Z95="",0,Z95),"0")+IFERROR(IF(Z96="",0,Z96),"0")+IFERROR(IF(Z97="",0,Z97),"0")+IFERROR(IF(Z98="",0,Z98),"0")</f>
        <v>0.23436000000000001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96</v>
      </c>
      <c r="Y100" s="645">
        <f>IFERROR(SUM(Y93:Y98),"0")</f>
        <v>97.2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0</v>
      </c>
      <c r="Y103" s="644">
        <f t="shared" ref="Y103:Y110" si="10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0</v>
      </c>
      <c r="BN103" s="64">
        <f t="shared" ref="BN103:BN110" si="12">IFERROR(Y103*I103/H103,"0")</f>
        <v>0</v>
      </c>
      <c r="BO103" s="64">
        <f t="shared" ref="BO103:BO110" si="13">IFERROR(1/J103*(X103/H103),"0")</f>
        <v>0</v>
      </c>
      <c r="BP103" s="64">
        <f t="shared" ref="BP103:BP110" si="14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71</v>
      </c>
      <c r="Y108" s="644">
        <f t="shared" si="10"/>
        <v>72</v>
      </c>
      <c r="Z108" s="36">
        <f>IFERROR(IF(Y108=0,"",ROUNDUP(Y108/H108,0)*0.00902),"")</f>
        <v>0.14432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73.997777777777785</v>
      </c>
      <c r="BN108" s="64">
        <f t="shared" si="12"/>
        <v>75.040000000000006</v>
      </c>
      <c r="BO108" s="64">
        <f t="shared" si="13"/>
        <v>0.11952861952861954</v>
      </c>
      <c r="BP108" s="64">
        <f t="shared" si="14"/>
        <v>0.12121212121212122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15.777777777777779</v>
      </c>
      <c r="Y111" s="645">
        <f>IFERROR(Y103/H103,"0")+IFERROR(Y104/H104,"0")+IFERROR(Y105/H105,"0")+IFERROR(Y106/H106,"0")+IFERROR(Y107/H107,"0")+IFERROR(Y108/H108,"0")+IFERROR(Y109/H109,"0")+IFERROR(Y110/H110,"0")</f>
        <v>16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0.14432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71</v>
      </c>
      <c r="Y112" s="645">
        <f>IFERROR(SUM(Y103:Y110),"0")</f>
        <v>72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2</v>
      </c>
      <c r="Y115" s="644">
        <f>IFERROR(IF(X115="",0,CEILING((X115/$H115),1)*$H115),"")</f>
        <v>2</v>
      </c>
      <c r="Z115" s="36">
        <f>IFERROR(IF(Y115=0,"",ROUNDUP(Y115/H115,0)*0.00358),"")</f>
        <v>7.1599999999999997E-3</v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2.42</v>
      </c>
      <c r="BN115" s="64">
        <f>IFERROR(Y115*I115/H115,"0")</f>
        <v>2.42</v>
      </c>
      <c r="BO115" s="64">
        <f>IFERROR(1/J115*(X115/H115),"0")</f>
        <v>5.1020408163265302E-3</v>
      </c>
      <c r="BP115" s="64">
        <f>IFERROR(1/J115*(Y115/H115),"0")</f>
        <v>5.1020408163265302E-3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37</v>
      </c>
      <c r="Y118" s="644">
        <f>IFERROR(IF(X118="",0,CEILING((X118/$H118),1)*$H118),"")</f>
        <v>38.4</v>
      </c>
      <c r="Z118" s="36">
        <f>IFERROR(IF(Y118=0,"",ROUNDUP(Y118/H118,0)*0.00651),"")</f>
        <v>0.10416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39.775000000000006</v>
      </c>
      <c r="BN118" s="64">
        <f>IFERROR(Y118*I118/H118,"0")</f>
        <v>41.28</v>
      </c>
      <c r="BO118" s="64">
        <f>IFERROR(1/J118*(X118/H118),"0")</f>
        <v>8.4706959706959725E-2</v>
      </c>
      <c r="BP118" s="64">
        <f>IFERROR(1/J118*(Y118/H118),"0")</f>
        <v>8.7912087912087919E-2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17.416666666666668</v>
      </c>
      <c r="Y119" s="645">
        <f>IFERROR(Y114/H114,"0")+IFERROR(Y115/H115,"0")+IFERROR(Y116/H116,"0")+IFERROR(Y117/H117,"0")+IFERROR(Y118/H118,"0")</f>
        <v>18</v>
      </c>
      <c r="Z119" s="645">
        <f>IFERROR(IF(Z114="",0,Z114),"0")+IFERROR(IF(Z115="",0,Z115),"0")+IFERROR(IF(Z116="",0,Z116),"0")+IFERROR(IF(Z117="",0,Z117),"0")+IFERROR(IF(Z118="",0,Z118),"0")</f>
        <v>0.11132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39</v>
      </c>
      <c r="Y120" s="645">
        <f>IFERROR(SUM(Y114:Y118),"0")</f>
        <v>40.4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0</v>
      </c>
      <c r="Y122" s="644">
        <f t="shared" ref="Y122:Y128" si="15"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0</v>
      </c>
      <c r="BN122" s="64">
        <f t="shared" ref="BN122:BN128" si="17">IFERROR(Y122*I122/H122,"0")</f>
        <v>0</v>
      </c>
      <c r="BO122" s="64">
        <f t="shared" ref="BO122:BO128" si="18">IFERROR(1/J122*(X122/H122),"0")</f>
        <v>0</v>
      </c>
      <c r="BP122" s="64">
        <f t="shared" ref="BP122:BP128" si="19">IFERROR(1/J122*(Y122/H122),"0")</f>
        <v>0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175</v>
      </c>
      <c r="Y125" s="644">
        <f t="shared" si="15"/>
        <v>175.5</v>
      </c>
      <c r="Z125" s="36">
        <f>IFERROR(IF(Y125=0,"",ROUNDUP(Y125/H125,0)*0.00651),"")</f>
        <v>0.42315000000000003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191.33333333333334</v>
      </c>
      <c r="BN125" s="64">
        <f t="shared" si="17"/>
        <v>191.88</v>
      </c>
      <c r="BO125" s="64">
        <f t="shared" si="18"/>
        <v>0.35612535612535612</v>
      </c>
      <c r="BP125" s="64">
        <f t="shared" si="19"/>
        <v>0.35714285714285715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64.81481481481481</v>
      </c>
      <c r="Y129" s="645">
        <f>IFERROR(Y122/H122,"0")+IFERROR(Y123/H123,"0")+IFERROR(Y124/H124,"0")+IFERROR(Y125/H125,"0")+IFERROR(Y126/H126,"0")+IFERROR(Y127/H127,"0")+IFERROR(Y128/H128,"0")</f>
        <v>65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0.42315000000000003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175</v>
      </c>
      <c r="Y130" s="645">
        <f>IFERROR(SUM(Y122:Y128),"0")</f>
        <v>175.5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38</v>
      </c>
      <c r="Y148" s="64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41.857575757575752</v>
      </c>
      <c r="BN148" s="64">
        <f>IFERROR(Y148*I148/H148,"0")</f>
        <v>43.62</v>
      </c>
      <c r="BO148" s="64">
        <f>IFERROR(1/J148*(X148/H148),"0")</f>
        <v>7.9087579087579088E-2</v>
      </c>
      <c r="BP148" s="64">
        <f>IFERROR(1/J148*(Y148/H148),"0")</f>
        <v>8.241758241758243E-2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14.393939393939393</v>
      </c>
      <c r="Y150" s="645">
        <f>IFERROR(Y148/H148,"0")+IFERROR(Y149/H149,"0")</f>
        <v>15</v>
      </c>
      <c r="Z150" s="645">
        <f>IFERROR(IF(Z148="",0,Z148),"0")+IFERROR(IF(Z149="",0,Z149),"0")</f>
        <v>9.7650000000000001E-2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38</v>
      </c>
      <c r="Y151" s="645">
        <f>IFERROR(SUM(Y148:Y149),"0")</f>
        <v>39.6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150</v>
      </c>
      <c r="Y180" s="644">
        <f t="shared" ref="Y180:Y191" si="26">IFERROR(IF(X180="",0,CEILING((X180/$H180),1)*$H180),"")</f>
        <v>150.5</v>
      </c>
      <c r="Z180" s="36">
        <f>IFERROR(IF(Y180=0,"",ROUNDUP(Y180/H180,0)*0.00902),"")</f>
        <v>0.38785999999999998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158.14285714285714</v>
      </c>
      <c r="BN180" s="64">
        <f t="shared" ref="BN180:BN191" si="28">IFERROR(Y180*I180/H180,"0")</f>
        <v>158.67000000000002</v>
      </c>
      <c r="BO180" s="64">
        <f t="shared" ref="BO180:BO191" si="29">IFERROR(1/J180*(X180/H180),"0")</f>
        <v>0.32467532467532467</v>
      </c>
      <c r="BP180" s="64">
        <f t="shared" ref="BP180:BP191" si="30">IFERROR(1/J180*(Y180/H180),"0")</f>
        <v>0.32575757575757575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350</v>
      </c>
      <c r="Y182" s="644">
        <f t="shared" si="26"/>
        <v>350</v>
      </c>
      <c r="Z182" s="36">
        <f>IFERROR(IF(Y182=0,"",ROUNDUP(Y182/H182,0)*0.00902),"")</f>
        <v>0.90200000000000002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369</v>
      </c>
      <c r="BN182" s="64">
        <f t="shared" si="28"/>
        <v>369</v>
      </c>
      <c r="BO182" s="64">
        <f t="shared" si="29"/>
        <v>0.75757575757575757</v>
      </c>
      <c r="BP182" s="64">
        <f t="shared" si="30"/>
        <v>0.75757575757575757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100</v>
      </c>
      <c r="Y183" s="644">
        <f t="shared" si="26"/>
        <v>101.5</v>
      </c>
      <c r="Z183" s="36">
        <f>IFERROR(IF(Y183=0,"",ROUNDUP(Y183/H183,0)*0.00902),"")</f>
        <v>0.26158000000000003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105.42857142857143</v>
      </c>
      <c r="BN183" s="64">
        <f t="shared" si="28"/>
        <v>107.00999999999999</v>
      </c>
      <c r="BO183" s="64">
        <f t="shared" si="29"/>
        <v>0.21645021645021648</v>
      </c>
      <c r="BP183" s="64">
        <f t="shared" si="30"/>
        <v>0.2196969696969697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33</v>
      </c>
      <c r="Y187" s="644">
        <f t="shared" si="26"/>
        <v>33.6</v>
      </c>
      <c r="Z187" s="36">
        <f>IFERROR(IF(Y187=0,"",ROUNDUP(Y187/H187,0)*0.00502),"")</f>
        <v>0.1004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34.964285714285715</v>
      </c>
      <c r="BN187" s="64">
        <f t="shared" si="28"/>
        <v>35.600000000000009</v>
      </c>
      <c r="BO187" s="64">
        <f t="shared" si="29"/>
        <v>8.3943833943833951E-2</v>
      </c>
      <c r="BP187" s="64">
        <f t="shared" si="30"/>
        <v>8.5470085470085472E-2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191.07142857142858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192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1.65184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633</v>
      </c>
      <c r="Y193" s="645">
        <f>IFERROR(SUM(Y180:Y191),"0")</f>
        <v>635.6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20</v>
      </c>
      <c r="Y226" s="644">
        <f t="shared" ref="Y226:Y239" si="37">IFERROR(IF(X226="",0,CEILING((X226/$H226),1)*$H226),"")</f>
        <v>21</v>
      </c>
      <c r="Z226" s="36">
        <f>IFERROR(IF(Y226=0,"",ROUNDUP(Y226/H226,0)*0.00902),"")</f>
        <v>4.5100000000000001E-2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21.19047619047619</v>
      </c>
      <c r="BN226" s="64">
        <f t="shared" ref="BN226:BN239" si="39">IFERROR(Y226*I226/H226,"0")</f>
        <v>22.25</v>
      </c>
      <c r="BO226" s="64">
        <f t="shared" ref="BO226:BO239" si="40">IFERROR(1/J226*(X226/H226),"0")</f>
        <v>3.6075036075036072E-2</v>
      </c>
      <c r="BP226" s="64">
        <f t="shared" ref="BP226:BP239" si="41">IFERROR(1/J226*(Y226/H226),"0")</f>
        <v>3.787878787878788E-2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19</v>
      </c>
      <c r="Y228" s="644">
        <f t="shared" si="37"/>
        <v>21</v>
      </c>
      <c r="Z228" s="36">
        <f>IFERROR(IF(Y228=0,"",ROUNDUP(Y228/H228,0)*0.00902),"")</f>
        <v>4.5100000000000001E-2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19.859523809523807</v>
      </c>
      <c r="BN228" s="64">
        <f t="shared" si="39"/>
        <v>21.95</v>
      </c>
      <c r="BO228" s="64">
        <f t="shared" si="40"/>
        <v>3.4271284271284272E-2</v>
      </c>
      <c r="BP228" s="64">
        <f t="shared" si="41"/>
        <v>3.787878787878788E-2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25</v>
      </c>
      <c r="Y230" s="644">
        <f t="shared" si="37"/>
        <v>25.200000000000003</v>
      </c>
      <c r="Z230" s="36">
        <f t="shared" ref="Z230:Z235" si="42">IFERROR(IF(Y230=0,"",ROUNDUP(Y230/H230,0)*0.00502),"")</f>
        <v>6.0240000000000002E-2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26.547619047619047</v>
      </c>
      <c r="BN230" s="64">
        <f t="shared" si="39"/>
        <v>26.76</v>
      </c>
      <c r="BO230" s="64">
        <f t="shared" si="40"/>
        <v>5.0875050875050884E-2</v>
      </c>
      <c r="BP230" s="64">
        <f t="shared" si="41"/>
        <v>5.1282051282051287E-2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36</v>
      </c>
      <c r="Y235" s="644">
        <f t="shared" si="37"/>
        <v>36</v>
      </c>
      <c r="Z235" s="36">
        <f t="shared" si="42"/>
        <v>0.1004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38.6</v>
      </c>
      <c r="BN235" s="64">
        <f t="shared" si="39"/>
        <v>38.6</v>
      </c>
      <c r="BO235" s="64">
        <f t="shared" si="40"/>
        <v>8.5470085470085472E-2</v>
      </c>
      <c r="BP235" s="64">
        <f t="shared" si="41"/>
        <v>8.5470085470085472E-2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210</v>
      </c>
      <c r="Y237" s="644">
        <f t="shared" si="37"/>
        <v>210</v>
      </c>
      <c r="Z237" s="36">
        <f>IFERROR(IF(Y237=0,"",ROUNDUP(Y237/H237,0)*0.00502),"")</f>
        <v>0.502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220.00000000000003</v>
      </c>
      <c r="BN237" s="64">
        <f t="shared" si="39"/>
        <v>220.00000000000003</v>
      </c>
      <c r="BO237" s="64">
        <f t="shared" si="40"/>
        <v>0.42735042735042739</v>
      </c>
      <c r="BP237" s="64">
        <f t="shared" si="41"/>
        <v>0.42735042735042739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141.1904761904762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142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0.75283999999999995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310</v>
      </c>
      <c r="Y241" s="645">
        <f>IFERROR(SUM(Y226:Y239),"0")</f>
        <v>313.2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5.5555555555555554</v>
      </c>
      <c r="Y254" s="645">
        <f>IFERROR(Y251/H251,"0")+IFERROR(Y252/H252,"0")+IFERROR(Y253/H253,"0")</f>
        <v>6</v>
      </c>
      <c r="Z254" s="645">
        <f>IFERROR(IF(Z251="",0,Z251),"0")+IFERROR(IF(Z252="",0,Z252),"0")+IFERROR(IF(Z253="",0,Z253),"0")</f>
        <v>3.5400000000000001E-2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7</v>
      </c>
      <c r="Y255" s="645">
        <f>IFERROR(SUM(Y251:Y253),"0")</f>
        <v>7.5600000000000005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140</v>
      </c>
      <c r="Y272" s="644">
        <f t="shared" ref="Y272:Y279" si="43">IFERROR(IF(X272="",0,CEILING((X272/$H272),1)*$H272),"")</f>
        <v>140.4</v>
      </c>
      <c r="Z272" s="36">
        <f>IFERROR(IF(Y272=0,"",ROUNDUP(Y272/H272,0)*0.00902),"")</f>
        <v>0.23452000000000001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144.92592592592592</v>
      </c>
      <c r="BN272" s="64">
        <f t="shared" ref="BN272:BN279" si="45">IFERROR(Y272*I272/H272,"0")</f>
        <v>145.34</v>
      </c>
      <c r="BO272" s="64">
        <f t="shared" ref="BO272:BO279" si="46">IFERROR(1/J272*(X272/H272),"0")</f>
        <v>0.19640852974186307</v>
      </c>
      <c r="BP272" s="64">
        <f t="shared" ref="BP272:BP279" si="47">IFERROR(1/J272*(Y272/H272),"0")</f>
        <v>0.19696969696969696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140</v>
      </c>
      <c r="Y273" s="644">
        <f t="shared" si="43"/>
        <v>140.4</v>
      </c>
      <c r="Z273" s="36">
        <f>IFERROR(IF(Y273=0,"",ROUNDUP(Y273/H273,0)*0.00902),"")</f>
        <v>0.23452000000000001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144.92592592592592</v>
      </c>
      <c r="BN273" s="64">
        <f t="shared" si="45"/>
        <v>145.34</v>
      </c>
      <c r="BO273" s="64">
        <f t="shared" si="46"/>
        <v>0.19640852974186307</v>
      </c>
      <c r="BP273" s="64">
        <f t="shared" si="47"/>
        <v>0.19696969696969696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300</v>
      </c>
      <c r="Y274" s="644">
        <f t="shared" si="43"/>
        <v>302.40000000000003</v>
      </c>
      <c r="Z274" s="36">
        <f>IFERROR(IF(Y274=0,"",ROUNDUP(Y274/H274,0)*0.00902),"")</f>
        <v>0.50512000000000001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310.55555555555554</v>
      </c>
      <c r="BN274" s="64">
        <f t="shared" si="45"/>
        <v>313.04000000000002</v>
      </c>
      <c r="BO274" s="64">
        <f t="shared" si="46"/>
        <v>0.42087542087542085</v>
      </c>
      <c r="BP274" s="64">
        <f t="shared" si="47"/>
        <v>0.42424242424242425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100</v>
      </c>
      <c r="Y275" s="644">
        <f t="shared" si="43"/>
        <v>102.60000000000001</v>
      </c>
      <c r="Z275" s="36">
        <f>IFERROR(IF(Y275=0,"",ROUNDUP(Y275/H275,0)*0.00902),"")</f>
        <v>0.17138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103.5185185185185</v>
      </c>
      <c r="BN275" s="64">
        <f t="shared" si="45"/>
        <v>106.21</v>
      </c>
      <c r="BO275" s="64">
        <f t="shared" si="46"/>
        <v>0.14029180695847362</v>
      </c>
      <c r="BP275" s="64">
        <f t="shared" si="47"/>
        <v>0.14393939393939395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42</v>
      </c>
      <c r="Y276" s="644">
        <f t="shared" si="43"/>
        <v>43.2</v>
      </c>
      <c r="Z276" s="36">
        <f>IFERROR(IF(Y276=0,"",ROUNDUP(Y276/H276,0)*0.00502),"")</f>
        <v>0.12048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45.033333333333331</v>
      </c>
      <c r="BN276" s="64">
        <f t="shared" si="45"/>
        <v>46.32</v>
      </c>
      <c r="BO276" s="64">
        <f t="shared" si="46"/>
        <v>9.9715099715099717E-2</v>
      </c>
      <c r="BP276" s="64">
        <f t="shared" si="47"/>
        <v>0.10256410256410257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42</v>
      </c>
      <c r="Y277" s="644">
        <f t="shared" si="43"/>
        <v>43.2</v>
      </c>
      <c r="Z277" s="36">
        <f>IFERROR(IF(Y277=0,"",ROUNDUP(Y277/H277,0)*0.00502),"")</f>
        <v>0.12048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44.333333333333329</v>
      </c>
      <c r="BN277" s="64">
        <f t="shared" si="45"/>
        <v>45.6</v>
      </c>
      <c r="BO277" s="64">
        <f t="shared" si="46"/>
        <v>9.9715099715099717E-2</v>
      </c>
      <c r="BP277" s="64">
        <f t="shared" si="47"/>
        <v>0.10256410256410257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21</v>
      </c>
      <c r="Y279" s="644">
        <f t="shared" si="43"/>
        <v>21.6</v>
      </c>
      <c r="Z279" s="36">
        <f>IFERROR(IF(Y279=0,"",ROUNDUP(Y279/H279,0)*0.00502),"")</f>
        <v>6.0240000000000002E-2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22.166666666666664</v>
      </c>
      <c r="BN279" s="64">
        <f t="shared" si="45"/>
        <v>22.8</v>
      </c>
      <c r="BO279" s="64">
        <f t="shared" si="46"/>
        <v>4.9857549857549859E-2</v>
      </c>
      <c r="BP279" s="64">
        <f t="shared" si="47"/>
        <v>5.1282051282051287E-2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184.25925925925924</v>
      </c>
      <c r="Y280" s="645">
        <f>IFERROR(Y272/H272,"0")+IFERROR(Y273/H273,"0")+IFERROR(Y274/H274,"0")+IFERROR(Y275/H275,"0")+IFERROR(Y276/H276,"0")+IFERROR(Y277/H277,"0")+IFERROR(Y278/H278,"0")+IFERROR(Y279/H279,"0")</f>
        <v>187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1.4467399999999999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785</v>
      </c>
      <c r="Y281" s="645">
        <f>IFERROR(SUM(Y272:Y279),"0")</f>
        <v>793.80000000000018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633</v>
      </c>
      <c r="Y283" s="644">
        <f t="shared" ref="Y283:Y294" si="48">IFERROR(IF(X283="",0,CEILING((X283/$H283),1)*$H283),"")</f>
        <v>639.9</v>
      </c>
      <c r="Z283" s="36">
        <f>IFERROR(IF(Y283=0,"",ROUNDUP(Y283/H283,0)*0.01898),"")</f>
        <v>1.49942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671.60518518518518</v>
      </c>
      <c r="BN283" s="64">
        <f t="shared" ref="BN283:BN294" si="50">IFERROR(Y283*I283/H283,"0")</f>
        <v>678.92599999999993</v>
      </c>
      <c r="BO283" s="64">
        <f t="shared" ref="BO283:BO294" si="51">IFERROR(1/J283*(X283/H283),"0")</f>
        <v>1.2210648148148149</v>
      </c>
      <c r="BP283" s="64">
        <f t="shared" ref="BP283:BP294" si="52">IFERROR(1/J283*(Y283/H283),"0")</f>
        <v>1.234375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140</v>
      </c>
      <c r="Y286" s="644">
        <f t="shared" si="48"/>
        <v>141.6</v>
      </c>
      <c r="Z286" s="36">
        <f>IFERROR(IF(Y286=0,"",ROUNDUP(Y286/H286,0)*0.00651),"")</f>
        <v>0.38408999999999999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155.75</v>
      </c>
      <c r="BN286" s="64">
        <f t="shared" si="50"/>
        <v>157.53</v>
      </c>
      <c r="BO286" s="64">
        <f t="shared" si="51"/>
        <v>0.32051282051282054</v>
      </c>
      <c r="BP286" s="64">
        <f t="shared" si="52"/>
        <v>0.32417582417582419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1562</v>
      </c>
      <c r="Y289" s="644">
        <f t="shared" si="48"/>
        <v>1562.3999999999999</v>
      </c>
      <c r="Z289" s="36">
        <f>IFERROR(IF(Y289=0,"",ROUNDUP(Y289/H289,0)*0.00651),"")</f>
        <v>4.2380100000000001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1726.01</v>
      </c>
      <c r="BN289" s="64">
        <f t="shared" si="50"/>
        <v>1726.4520000000002</v>
      </c>
      <c r="BO289" s="64">
        <f t="shared" si="51"/>
        <v>3.5760073260073266</v>
      </c>
      <c r="BP289" s="64">
        <f t="shared" si="52"/>
        <v>3.5769230769230771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160</v>
      </c>
      <c r="Y291" s="644">
        <f t="shared" si="48"/>
        <v>160.79999999999998</v>
      </c>
      <c r="Z291" s="36">
        <f>IFERROR(IF(Y291=0,"",ROUNDUP(Y291/H291,0)*0.00651),"")</f>
        <v>0.43617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176.80000000000004</v>
      </c>
      <c r="BN291" s="64">
        <f t="shared" si="50"/>
        <v>177.684</v>
      </c>
      <c r="BO291" s="64">
        <f t="shared" si="51"/>
        <v>0.36630036630036633</v>
      </c>
      <c r="BP291" s="64">
        <f t="shared" si="52"/>
        <v>0.36813186813186816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139</v>
      </c>
      <c r="Y292" s="644">
        <f t="shared" si="48"/>
        <v>139.19999999999999</v>
      </c>
      <c r="Z292" s="36">
        <f>IFERROR(IF(Y292=0,"",ROUNDUP(Y292/H292,0)*0.00651),"")</f>
        <v>0.37758000000000003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153.59500000000003</v>
      </c>
      <c r="BN292" s="64">
        <f t="shared" si="50"/>
        <v>153.816</v>
      </c>
      <c r="BO292" s="64">
        <f t="shared" si="51"/>
        <v>0.31822344322344326</v>
      </c>
      <c r="BP292" s="64">
        <f t="shared" si="52"/>
        <v>0.31868131868131871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160</v>
      </c>
      <c r="Y293" s="644">
        <f t="shared" si="48"/>
        <v>160.79999999999998</v>
      </c>
      <c r="Z293" s="36">
        <f>IFERROR(IF(Y293=0,"",ROUNDUP(Y293/H293,0)*0.00651),"")</f>
        <v>0.43617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177.2</v>
      </c>
      <c r="BN293" s="64">
        <f t="shared" si="50"/>
        <v>178.08599999999998</v>
      </c>
      <c r="BO293" s="64">
        <f t="shared" si="51"/>
        <v>0.36630036630036633</v>
      </c>
      <c r="BP293" s="64">
        <f t="shared" si="52"/>
        <v>0.36813186813186816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978.56481481481478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981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7.3714399999999998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2794</v>
      </c>
      <c r="Y296" s="645">
        <f>IFERROR(SUM(Y283:Y294),"0")</f>
        <v>2804.7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8</v>
      </c>
      <c r="Y298" s="644">
        <f>IFERROR(IF(X298="",0,CEILING((X298/$H298),1)*$H298),"")</f>
        <v>9.6</v>
      </c>
      <c r="Z298" s="36">
        <f>IFERROR(IF(Y298=0,"",ROUNDUP(Y298/H298,0)*0.00651),"")</f>
        <v>2.6040000000000001E-2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8.8400000000000016</v>
      </c>
      <c r="BN298" s="64">
        <f>IFERROR(Y298*I298/H298,"0")</f>
        <v>10.608000000000001</v>
      </c>
      <c r="BO298" s="64">
        <f>IFERROR(1/J298*(X298/H298),"0")</f>
        <v>1.8315018315018316E-2</v>
      </c>
      <c r="BP298" s="64">
        <f>IFERROR(1/J298*(Y298/H298),"0")</f>
        <v>2.197802197802198E-2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11.666666666666668</v>
      </c>
      <c r="Y300" s="645">
        <f>IFERROR(Y298/H298,"0")+IFERROR(Y299/H299,"0")</f>
        <v>13</v>
      </c>
      <c r="Z300" s="645">
        <f>IFERROR(IF(Z298="",0,Z298),"0")+IFERROR(IF(Z299="",0,Z299),"0")</f>
        <v>8.4630000000000011E-2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28</v>
      </c>
      <c r="Y301" s="645">
        <f>IFERROR(SUM(Y298:Y299),"0")</f>
        <v>31.199999999999996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73</v>
      </c>
      <c r="Y310" s="644">
        <f t="shared" si="53"/>
        <v>76</v>
      </c>
      <c r="Z310" s="36">
        <f>IFERROR(IF(Y310=0,"",ROUNDUP(Y310/H310,0)*0.00902),"")</f>
        <v>0.17138</v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76.467500000000001</v>
      </c>
      <c r="BN310" s="64">
        <f t="shared" si="55"/>
        <v>79.610000000000014</v>
      </c>
      <c r="BO310" s="64">
        <f t="shared" si="56"/>
        <v>0.13825757575757577</v>
      </c>
      <c r="BP310" s="64">
        <f t="shared" si="57"/>
        <v>0.14393939393939395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18.25</v>
      </c>
      <c r="Y311" s="645">
        <f>IFERROR(Y304/H304,"0")+IFERROR(Y305/H305,"0")+IFERROR(Y306/H306,"0")+IFERROR(Y307/H307,"0")+IFERROR(Y308/H308,"0")+IFERROR(Y309/H309,"0")+IFERROR(Y310/H310,"0")</f>
        <v>19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0.17138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73</v>
      </c>
      <c r="Y312" s="645">
        <f>IFERROR(SUM(Y304:Y310),"0")</f>
        <v>76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86</v>
      </c>
      <c r="Y339" s="644">
        <f>IFERROR(IF(X339="",0,CEILING((X339/$H339),1)*$H339),"")</f>
        <v>86.399999999999991</v>
      </c>
      <c r="Z339" s="36">
        <f>IFERROR(IF(Y339=0,"",ROUNDUP(Y339/H339,0)*0.00651),"")</f>
        <v>0.23436000000000001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95.03</v>
      </c>
      <c r="BN339" s="64">
        <f>IFERROR(Y339*I339/H339,"0")</f>
        <v>95.472000000000008</v>
      </c>
      <c r="BO339" s="64">
        <f>IFERROR(1/J339*(X339/H339),"0")</f>
        <v>0.19688644688644691</v>
      </c>
      <c r="BP339" s="64">
        <f>IFERROR(1/J339*(Y339/H339),"0")</f>
        <v>0.19780219780219782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30</v>
      </c>
      <c r="Y340" s="644">
        <f>IFERROR(IF(X340="",0,CEILING((X340/$H340),1)*$H340),"")</f>
        <v>31.2</v>
      </c>
      <c r="Z340" s="36">
        <f>IFERROR(IF(Y340=0,"",ROUNDUP(Y340/H340,0)*0.00651),"")</f>
        <v>8.4629999999999997E-2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32.250000000000007</v>
      </c>
      <c r="BN340" s="64">
        <f>IFERROR(Y340*I340/H340,"0")</f>
        <v>33.54</v>
      </c>
      <c r="BO340" s="64">
        <f>IFERROR(1/J340*(X340/H340),"0")</f>
        <v>6.8681318681318687E-2</v>
      </c>
      <c r="BP340" s="64">
        <f>IFERROR(1/J340*(Y340/H340),"0")</f>
        <v>7.1428571428571438E-2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48.333333333333336</v>
      </c>
      <c r="Y341" s="645">
        <f>IFERROR(Y338/H338,"0")+IFERROR(Y339/H339,"0")+IFERROR(Y340/H340,"0")</f>
        <v>49</v>
      </c>
      <c r="Z341" s="645">
        <f>IFERROR(IF(Z338="",0,Z338),"0")+IFERROR(IF(Z339="",0,Z339),"0")+IFERROR(IF(Z340="",0,Z340),"0")</f>
        <v>0.31899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116</v>
      </c>
      <c r="Y342" s="645">
        <f>IFERROR(SUM(Y338:Y340),"0")</f>
        <v>117.6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0</v>
      </c>
      <c r="Y362" s="645">
        <f>IFERROR(Y359/H359,"0")+IFERROR(Y360/H360,"0")+IFERROR(Y361/H361,"0")</f>
        <v>0</v>
      </c>
      <c r="Z362" s="645">
        <f>IFERROR(IF(Z359="",0,Z359),"0")+IFERROR(IF(Z360="",0,Z360),"0")+IFERROR(IF(Z361="",0,Z361),"0")</f>
        <v>0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0</v>
      </c>
      <c r="Y363" s="645">
        <f>IFERROR(SUM(Y359:Y361),"0")</f>
        <v>0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4</v>
      </c>
      <c r="Y367" s="644">
        <f>IFERROR(IF(X367="",0,CEILING((X367/$H367),1)*$H367),"")</f>
        <v>10.8</v>
      </c>
      <c r="Z367" s="36">
        <f>IFERROR(IF(Y367=0,"",ROUNDUP(Y367/H367,0)*0.01898),"")</f>
        <v>1.898E-2</v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4.1518518518518519</v>
      </c>
      <c r="BN367" s="64">
        <f>IFERROR(Y367*I367/H367,"0")</f>
        <v>11.21</v>
      </c>
      <c r="BO367" s="64">
        <f>IFERROR(1/J367*(X367/H367),"0")</f>
        <v>5.7870370370370367E-3</v>
      </c>
      <c r="BP367" s="64">
        <f>IFERROR(1/J367*(Y367/H367),"0")</f>
        <v>1.5625E-2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0.37037037037037035</v>
      </c>
      <c r="Y371" s="645">
        <f>IFERROR(Y366/H366,"0")+IFERROR(Y367/H367,"0")+IFERROR(Y368/H368,"0")+IFERROR(Y369/H369,"0")+IFERROR(Y370/H370,"0")</f>
        <v>1</v>
      </c>
      <c r="Z371" s="645">
        <f>IFERROR(IF(Z366="",0,Z366),"0")+IFERROR(IF(Z367="",0,Z367),"0")+IFERROR(IF(Z368="",0,Z368),"0")+IFERROR(IF(Z369="",0,Z369),"0")+IFERROR(IF(Z370="",0,Z370),"0")</f>
        <v>1.898E-2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4</v>
      </c>
      <c r="Y372" s="645">
        <f>IFERROR(SUM(Y366:Y370),"0")</f>
        <v>10.8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50</v>
      </c>
      <c r="Y375" s="644">
        <f t="shared" si="58"/>
        <v>50.400000000000006</v>
      </c>
      <c r="Z375" s="36">
        <f>IFERROR(IF(Y375=0,"",ROUNDUP(Y375/H375,0)*0.00902),"")</f>
        <v>0.10824</v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52.976190476190474</v>
      </c>
      <c r="BN375" s="64">
        <f t="shared" si="60"/>
        <v>53.400000000000006</v>
      </c>
      <c r="BO375" s="64">
        <f t="shared" si="61"/>
        <v>9.0187590187590191E-2</v>
      </c>
      <c r="BP375" s="64">
        <f t="shared" si="62"/>
        <v>9.0909090909090912E-2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11.904761904761905</v>
      </c>
      <c r="Y381" s="645">
        <f>IFERROR(Y374/H374,"0")+IFERROR(Y375/H375,"0")+IFERROR(Y376/H376,"0")+IFERROR(Y377/H377,"0")+IFERROR(Y378/H378,"0")+IFERROR(Y379/H379,"0")+IFERROR(Y380/H380,"0")</f>
        <v>12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0.10824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50</v>
      </c>
      <c r="Y382" s="645">
        <f>IFERROR(SUM(Y374:Y380),"0")</f>
        <v>50.400000000000006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91</v>
      </c>
      <c r="Y391" s="644">
        <f>IFERROR(IF(X391="",0,CEILING((X391/$H391),1)*$H391),"")</f>
        <v>92.4</v>
      </c>
      <c r="Z391" s="36">
        <f>IFERROR(IF(Y391=0,"",ROUNDUP(Y391/H391,0)*0.01898),"")</f>
        <v>0.20877999999999999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96.351666666666674</v>
      </c>
      <c r="BN391" s="64">
        <f>IFERROR(Y391*I391/H391,"0")</f>
        <v>97.834000000000003</v>
      </c>
      <c r="BO391" s="64">
        <f>IFERROR(1/J391*(X391/H391),"0")</f>
        <v>0.16927083333333331</v>
      </c>
      <c r="BP391" s="64">
        <f>IFERROR(1/J391*(Y391/H391),"0")</f>
        <v>0.171875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164</v>
      </c>
      <c r="Y393" s="644">
        <f>IFERROR(IF(X393="",0,CEILING((X393/$H393),1)*$H393),"")</f>
        <v>168</v>
      </c>
      <c r="Z393" s="36">
        <f>IFERROR(IF(Y393=0,"",ROUNDUP(Y393/H393,0)*0.01898),"")</f>
        <v>0.37959999999999999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173.64476190476191</v>
      </c>
      <c r="BN393" s="64">
        <f>IFERROR(Y393*I393/H393,"0")</f>
        <v>177.88</v>
      </c>
      <c r="BO393" s="64">
        <f>IFERROR(1/J393*(X393/H393),"0")</f>
        <v>0.30505952380952378</v>
      </c>
      <c r="BP393" s="64">
        <f>IFERROR(1/J393*(Y393/H393),"0")</f>
        <v>0.3125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30.357142857142854</v>
      </c>
      <c r="Y394" s="645">
        <f>IFERROR(Y391/H391,"0")+IFERROR(Y392/H392,"0")+IFERROR(Y393/H393,"0")</f>
        <v>31</v>
      </c>
      <c r="Z394" s="645">
        <f>IFERROR(IF(Z391="",0,Z391),"0")+IFERROR(IF(Z392="",0,Z392),"0")+IFERROR(IF(Z393="",0,Z393),"0")</f>
        <v>0.58838000000000001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255</v>
      </c>
      <c r="Y395" s="645">
        <f>IFERROR(SUM(Y391:Y393),"0")</f>
        <v>260.39999999999998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23</v>
      </c>
      <c r="Y398" s="644">
        <f>IFERROR(IF(X398="",0,CEILING((X398/$H398),1)*$H398),"")</f>
        <v>24.32</v>
      </c>
      <c r="Z398" s="36">
        <f>IFERROR(IF(Y398=0,"",ROUNDUP(Y398/H398,0)*0.00902),"")</f>
        <v>7.2160000000000002E-2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24.740131578947366</v>
      </c>
      <c r="BN398" s="64">
        <f>IFERROR(Y398*I398/H398,"0")</f>
        <v>26.159999999999997</v>
      </c>
      <c r="BO398" s="64">
        <f>IFERROR(1/J398*(X398/H398),"0")</f>
        <v>5.7316586921850085E-2</v>
      </c>
      <c r="BP398" s="64">
        <f>IFERROR(1/J398*(Y398/H398),"0")</f>
        <v>6.0606060606060608E-2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9</v>
      </c>
      <c r="Y399" s="644">
        <f>IFERROR(IF(X399="",0,CEILING((X399/$H399),1)*$H399),"")</f>
        <v>10.199999999999999</v>
      </c>
      <c r="Z399" s="36">
        <f>IFERROR(IF(Y399=0,"",ROUNDUP(Y399/H399,0)*0.00651),"")</f>
        <v>2.6040000000000001E-2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10.429411764705883</v>
      </c>
      <c r="BN399" s="64">
        <f>IFERROR(Y399*I399/H399,"0")</f>
        <v>11.82</v>
      </c>
      <c r="BO399" s="64">
        <f>IFERROR(1/J399*(X399/H399),"0")</f>
        <v>1.9392372333548808E-2</v>
      </c>
      <c r="BP399" s="64">
        <f>IFERROR(1/J399*(Y399/H399),"0")</f>
        <v>2.197802197802198E-2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9</v>
      </c>
      <c r="Y400" s="644">
        <f>IFERROR(IF(X400="",0,CEILING((X400/$H400),1)*$H400),"")</f>
        <v>10.199999999999999</v>
      </c>
      <c r="Z400" s="36">
        <f>IFERROR(IF(Y400=0,"",ROUNDUP(Y400/H400,0)*0.00651),"")</f>
        <v>2.6040000000000001E-2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10.164705882352941</v>
      </c>
      <c r="BN400" s="64">
        <f>IFERROR(Y400*I400/H400,"0")</f>
        <v>11.52</v>
      </c>
      <c r="BO400" s="64">
        <f>IFERROR(1/J400*(X400/H400),"0")</f>
        <v>1.9392372333548808E-2</v>
      </c>
      <c r="BP400" s="64">
        <f>IFERROR(1/J400*(Y400/H400),"0")</f>
        <v>2.197802197802198E-2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14.624613003095975</v>
      </c>
      <c r="Y401" s="645">
        <f>IFERROR(Y397/H397,"0")+IFERROR(Y398/H398,"0")+IFERROR(Y399/H399,"0")+IFERROR(Y400/H400,"0")</f>
        <v>16</v>
      </c>
      <c r="Z401" s="645">
        <f>IFERROR(IF(Z397="",0,Z397),"0")+IFERROR(IF(Z398="",0,Z398),"0")+IFERROR(IF(Z399="",0,Z399),"0")+IFERROR(IF(Z400="",0,Z400),"0")</f>
        <v>0.12424000000000002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41</v>
      </c>
      <c r="Y402" s="645">
        <f>IFERROR(SUM(Y397:Y400),"0")</f>
        <v>44.72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20</v>
      </c>
      <c r="Y424" s="644">
        <f>IFERROR(IF(X424="",0,CEILING((X424/$H424),1)*$H424),"")</f>
        <v>21</v>
      </c>
      <c r="Z424" s="36">
        <f>IFERROR(IF(Y424=0,"",ROUNDUP(Y424/H424,0)*0.00651),"")</f>
        <v>6.5100000000000005E-2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22.4</v>
      </c>
      <c r="BN424" s="64">
        <f>IFERROR(Y424*I424/H424,"0")</f>
        <v>23.519999999999996</v>
      </c>
      <c r="BO424" s="64">
        <f>IFERROR(1/J424*(X424/H424),"0")</f>
        <v>5.2328623757195186E-2</v>
      </c>
      <c r="BP424" s="64">
        <f>IFERROR(1/J424*(Y424/H424),"0")</f>
        <v>5.4945054945054951E-2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18</v>
      </c>
      <c r="Y425" s="644">
        <f>IFERROR(IF(X425="",0,CEILING((X425/$H425),1)*$H425),"")</f>
        <v>18.900000000000002</v>
      </c>
      <c r="Z425" s="36">
        <f>IFERROR(IF(Y425=0,"",ROUNDUP(Y425/H425,0)*0.00651),"")</f>
        <v>5.8590000000000003E-2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20.057142857142853</v>
      </c>
      <c r="BN425" s="64">
        <f>IFERROR(Y425*I425/H425,"0")</f>
        <v>21.06</v>
      </c>
      <c r="BO425" s="64">
        <f>IFERROR(1/J425*(X425/H425),"0")</f>
        <v>4.709576138147567E-2</v>
      </c>
      <c r="BP425" s="64">
        <f>IFERROR(1/J425*(Y425/H425),"0")</f>
        <v>4.9450549450549455E-2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18.095238095238095</v>
      </c>
      <c r="Y426" s="645">
        <f>IFERROR(Y423/H423,"0")+IFERROR(Y424/H424,"0")+IFERROR(Y425/H425,"0")</f>
        <v>19</v>
      </c>
      <c r="Z426" s="645">
        <f>IFERROR(IF(Z423="",0,Z423),"0")+IFERROR(IF(Z424="",0,Z424),"0")+IFERROR(IF(Z425="",0,Z425),"0")</f>
        <v>0.12369000000000001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38</v>
      </c>
      <c r="Y427" s="645">
        <f>IFERROR(SUM(Y423:Y425),"0")</f>
        <v>39.900000000000006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448</v>
      </c>
      <c r="Y435" s="644">
        <f t="shared" si="63"/>
        <v>450</v>
      </c>
      <c r="Z435" s="36">
        <f>IFERROR(IF(Y435=0,"",ROUNDUP(Y435/H435,0)*0.02175),"")</f>
        <v>0.65249999999999997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462.03733333333338</v>
      </c>
      <c r="BN435" s="64">
        <f t="shared" si="65"/>
        <v>464.1</v>
      </c>
      <c r="BO435" s="64">
        <f t="shared" si="66"/>
        <v>0.62222222222222223</v>
      </c>
      <c r="BP435" s="64">
        <f t="shared" si="67"/>
        <v>0.625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29.866666666666667</v>
      </c>
      <c r="Y439" s="645">
        <f>IFERROR(Y431/H431,"0")+IFERROR(Y432/H432,"0")+IFERROR(Y433/H433,"0")+IFERROR(Y434/H434,"0")+IFERROR(Y435/H435,"0")+IFERROR(Y436/H436,"0")+IFERROR(Y437/H437,"0")+IFERROR(Y438/H438,"0")</f>
        <v>30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0.65249999999999997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448</v>
      </c>
      <c r="Y440" s="645">
        <f>IFERROR(SUM(Y431:Y438),"0")</f>
        <v>450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70</v>
      </c>
      <c r="Y455" s="644">
        <f>IFERROR(IF(X455="",0,CEILING((X455/$H455),1)*$H455),"")</f>
        <v>72</v>
      </c>
      <c r="Z455" s="36">
        <f>IFERROR(IF(Y455=0,"",ROUNDUP(Y455/H455,0)*0.01898),"")</f>
        <v>0.15184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73.842222222222219</v>
      </c>
      <c r="BN455" s="64">
        <f>IFERROR(Y455*I455/H455,"0")</f>
        <v>75.951999999999998</v>
      </c>
      <c r="BO455" s="64">
        <f>IFERROR(1/J455*(X455/H455),"0")</f>
        <v>0.12152777777777778</v>
      </c>
      <c r="BP455" s="64">
        <f>IFERROR(1/J455*(Y455/H455),"0")</f>
        <v>0.125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7.7777777777777777</v>
      </c>
      <c r="Y456" s="645">
        <f>IFERROR(Y454/H454,"0")+IFERROR(Y455/H455,"0")</f>
        <v>8</v>
      </c>
      <c r="Z456" s="645">
        <f>IFERROR(IF(Z454="",0,Z454),"0")+IFERROR(IF(Z455="",0,Z455),"0")</f>
        <v>0.15184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70</v>
      </c>
      <c r="Y457" s="645">
        <f>IFERROR(SUM(Y454:Y455),"0")</f>
        <v>72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3.3333333333333335</v>
      </c>
      <c r="Y472" s="645">
        <f>IFERROR(Y469/H469,"0")+IFERROR(Y470/H470,"0")+IFERROR(Y471/H471,"0")</f>
        <v>4</v>
      </c>
      <c r="Z472" s="645">
        <f>IFERROR(IF(Z469="",0,Z469),"0")+IFERROR(IF(Z470="",0,Z470),"0")+IFERROR(IF(Z471="",0,Z471),"0")</f>
        <v>2.6040000000000001E-2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8</v>
      </c>
      <c r="Y473" s="645">
        <f>IFERROR(SUM(Y469:Y471),"0")</f>
        <v>9.6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13</v>
      </c>
      <c r="Y506" s="644">
        <f t="shared" si="73"/>
        <v>15.84</v>
      </c>
      <c r="Z506" s="36">
        <f t="shared" si="74"/>
        <v>3.5880000000000002E-2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13.861742424242424</v>
      </c>
      <c r="BN506" s="64">
        <f t="shared" si="76"/>
        <v>16.889999999999997</v>
      </c>
      <c r="BO506" s="64">
        <f t="shared" si="77"/>
        <v>2.3674242424242424E-2</v>
      </c>
      <c r="BP506" s="64">
        <f t="shared" si="78"/>
        <v>2.8846153846153848E-2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222</v>
      </c>
      <c r="Y507" s="644">
        <f t="shared" si="73"/>
        <v>227.04000000000002</v>
      </c>
      <c r="Z507" s="36">
        <f t="shared" si="74"/>
        <v>0.51427999999999996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236.71590909090907</v>
      </c>
      <c r="BN507" s="64">
        <f t="shared" si="76"/>
        <v>242.09</v>
      </c>
      <c r="BO507" s="64">
        <f t="shared" si="77"/>
        <v>0.40428321678321683</v>
      </c>
      <c r="BP507" s="64">
        <f t="shared" si="78"/>
        <v>0.41346153846153849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376</v>
      </c>
      <c r="Y509" s="644">
        <f t="shared" si="73"/>
        <v>380.16</v>
      </c>
      <c r="Z509" s="36">
        <f t="shared" si="74"/>
        <v>0.86112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400.92424242424244</v>
      </c>
      <c r="BN509" s="64">
        <f t="shared" si="76"/>
        <v>405.35999999999996</v>
      </c>
      <c r="BO509" s="64">
        <f t="shared" si="77"/>
        <v>0.68473193473193472</v>
      </c>
      <c r="BP509" s="64">
        <f t="shared" si="78"/>
        <v>0.69230769230769229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115.71969696969697</v>
      </c>
      <c r="Y513" s="645">
        <f>IFERROR(Y504/H504,"0")+IFERROR(Y505/H505,"0")+IFERROR(Y506/H506,"0")+IFERROR(Y507/H507,"0")+IFERROR(Y508/H508,"0")+IFERROR(Y509/H509,"0")+IFERROR(Y510/H510,"0")+IFERROR(Y511/H511,"0")+IFERROR(Y512/H512,"0")</f>
        <v>118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1.4112800000000001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611</v>
      </c>
      <c r="Y514" s="645">
        <f>IFERROR(SUM(Y504:Y512),"0")</f>
        <v>623.04000000000008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331</v>
      </c>
      <c r="Y516" s="644">
        <f>IFERROR(IF(X516="",0,CEILING((X516/$H516),1)*$H516),"")</f>
        <v>332.64000000000004</v>
      </c>
      <c r="Z516" s="36">
        <f>IFERROR(IF(Y516=0,"",ROUNDUP(Y516/H516,0)*0.01196),"")</f>
        <v>0.75348000000000004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352.94128787878788</v>
      </c>
      <c r="BN516" s="64">
        <f>IFERROR(Y516*I516/H516,"0")</f>
        <v>354.69</v>
      </c>
      <c r="BO516" s="64">
        <f>IFERROR(1/J516*(X516/H516),"0")</f>
        <v>0.6027826340326341</v>
      </c>
      <c r="BP516" s="64">
        <f>IFERROR(1/J516*(Y516/H516),"0")</f>
        <v>0.60576923076923084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62.689393939393938</v>
      </c>
      <c r="Y519" s="645">
        <f>IFERROR(Y516/H516,"0")+IFERROR(Y517/H517,"0")+IFERROR(Y518/H518,"0")</f>
        <v>63.000000000000007</v>
      </c>
      <c r="Z519" s="645">
        <f>IFERROR(IF(Z516="",0,Z516),"0")+IFERROR(IF(Z517="",0,Z517),"0")+IFERROR(IF(Z518="",0,Z518),"0")</f>
        <v>0.75348000000000004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331</v>
      </c>
      <c r="Y520" s="645">
        <f>IFERROR(SUM(Y516:Y518),"0")</f>
        <v>332.64000000000004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50</v>
      </c>
      <c r="Y522" s="644">
        <f t="shared" ref="Y522:Y528" si="79">IFERROR(IF(X522="",0,CEILING((X522/$H522),1)*$H522),"")</f>
        <v>52.800000000000004</v>
      </c>
      <c r="Z522" s="36">
        <f>IFERROR(IF(Y522=0,"",ROUNDUP(Y522/H522,0)*0.01196),"")</f>
        <v>0.1196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53.314393939393938</v>
      </c>
      <c r="BN522" s="64">
        <f t="shared" ref="BN522:BN528" si="81">IFERROR(Y522*I522/H522,"0")</f>
        <v>56.3</v>
      </c>
      <c r="BO522" s="64">
        <f t="shared" ref="BO522:BO528" si="82">IFERROR(1/J522*(X522/H522),"0")</f>
        <v>9.1054778554778545E-2</v>
      </c>
      <c r="BP522" s="64">
        <f t="shared" ref="BP522:BP528" si="83">IFERROR(1/J522*(Y522/H522),"0")</f>
        <v>9.6153846153846159E-2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15</v>
      </c>
      <c r="Y523" s="644">
        <f t="shared" si="79"/>
        <v>15.84</v>
      </c>
      <c r="Z523" s="36">
        <f>IFERROR(IF(Y523=0,"",ROUNDUP(Y523/H523,0)*0.01196),"")</f>
        <v>3.5880000000000002E-2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15.994318181818182</v>
      </c>
      <c r="BN523" s="64">
        <f t="shared" si="81"/>
        <v>16.889999999999997</v>
      </c>
      <c r="BO523" s="64">
        <f t="shared" si="82"/>
        <v>2.7316433566433568E-2</v>
      </c>
      <c r="BP523" s="64">
        <f t="shared" si="83"/>
        <v>2.8846153846153848E-2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329</v>
      </c>
      <c r="Y524" s="644">
        <f t="shared" si="79"/>
        <v>332.64000000000004</v>
      </c>
      <c r="Z524" s="36">
        <f>IFERROR(IF(Y524=0,"",ROUNDUP(Y524/H524,0)*0.01196),"")</f>
        <v>0.75348000000000004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350.80871212121212</v>
      </c>
      <c r="BN524" s="64">
        <f t="shared" si="81"/>
        <v>354.69</v>
      </c>
      <c r="BO524" s="64">
        <f t="shared" si="82"/>
        <v>0.59914044289044288</v>
      </c>
      <c r="BP524" s="64">
        <f t="shared" si="83"/>
        <v>0.60576923076923084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74.62121212121211</v>
      </c>
      <c r="Y529" s="645">
        <f>IFERROR(Y522/H522,"0")+IFERROR(Y523/H523,"0")+IFERROR(Y524/H524,"0")+IFERROR(Y525/H525,"0")+IFERROR(Y526/H526,"0")+IFERROR(Y527/H527,"0")+IFERROR(Y528/H528,"0")</f>
        <v>76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0.90895999999999999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394</v>
      </c>
      <c r="Y530" s="645">
        <f>IFERROR(SUM(Y522:Y528),"0")</f>
        <v>401.28000000000003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50</v>
      </c>
      <c r="Y546" s="644">
        <f>IFERROR(IF(X546="",0,CEILING((X546/$H546),1)*$H546),"")</f>
        <v>54</v>
      </c>
      <c r="Z546" s="36">
        <f>IFERROR(IF(Y546=0,"",ROUNDUP(Y546/H546,0)*0.01898),"")</f>
        <v>0.11388000000000001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52.74444444444444</v>
      </c>
      <c r="BN546" s="64">
        <f>IFERROR(Y546*I546/H546,"0")</f>
        <v>56.963999999999992</v>
      </c>
      <c r="BO546" s="64">
        <f>IFERROR(1/J546*(X546/H546),"0")</f>
        <v>8.6805555555555552E-2</v>
      </c>
      <c r="BP546" s="64">
        <f>IFERROR(1/J546*(Y546/H546),"0")</f>
        <v>9.375E-2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5.5555555555555554</v>
      </c>
      <c r="Y547" s="645">
        <f>IFERROR(Y546/H546,"0")</f>
        <v>6</v>
      </c>
      <c r="Z547" s="645">
        <f>IFERROR(IF(Z546="",0,Z546),"0")</f>
        <v>0.11388000000000001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50</v>
      </c>
      <c r="Y548" s="645">
        <f>IFERROR(SUM(Y546:Y546),"0")</f>
        <v>54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8657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8766.5399999999991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9254.3741183743768</v>
      </c>
      <c r="Y560" s="645">
        <f>IFERROR(SUM(BN22:BN556),"0")</f>
        <v>9371.6550000000007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17</v>
      </c>
      <c r="Y561" s="38">
        <f>ROUNDUP(SUM(BP22:BP556),0)</f>
        <v>17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9679.3741183743768</v>
      </c>
      <c r="Y562" s="645">
        <f>GrossWeightTotalR+PalletQtyTotalR*25</f>
        <v>9796.6550000000007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2250.647432575915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2276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20.090000000000003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16.2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693.30000000000007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260</v>
      </c>
      <c r="F569" s="46">
        <f>IFERROR(Y85*1,"0")+IFERROR(Y86*1,"0")+IFERROR(Y87*1,"0")+IFERROR(Y88*1,"0")+IFERROR(Y89*1,"0")+IFERROR(Y93*1,"0")+IFERROR(Y94*1,"0")+IFERROR(Y95*1,"0")+IFERROR(Y96*1,"0")+IFERROR(Y97*1,"0")+IFERROR(Y98*1,"0")</f>
        <v>335.7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287.89999999999998</v>
      </c>
      <c r="H569" s="46">
        <f>IFERROR(Y138*1,"0")+IFERROR(Y139*1,"0")+IFERROR(Y143*1,"0")+IFERROR(Y144*1,"0")+IFERROR(Y148*1,"0")+IFERROR(Y149*1,"0")</f>
        <v>39.6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635.6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320.76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3629.7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81.400000000000006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117.6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0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366.32</v>
      </c>
      <c r="U569" s="46">
        <f>IFERROR(Y417*1,"0")+IFERROR(Y418*1,"0")</f>
        <v>0</v>
      </c>
      <c r="V569" s="46">
        <f>IFERROR(Y423*1,"0")+IFERROR(Y424*1,"0")+IFERROR(Y425*1,"0")</f>
        <v>39.900000000000006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522</v>
      </c>
      <c r="X569" s="46">
        <f>IFERROR(Y460*1,"0")+IFERROR(Y461*1,"0")+IFERROR(Y465*1,"0")+IFERROR(Y469*1,"0")+IFERROR(Y470*1,"0")+IFERROR(Y471*1,"0")</f>
        <v>9.6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1356.96</v>
      </c>
      <c r="AB569" s="46">
        <f>IFERROR(Y534*1,"0")+IFERROR(Y538*1,"0")+IFERROR(Y542*1,"0")+IFERROR(Y546*1,"0")+IFERROR(Y550*1,"0")+IFERROR(Y551*1,"0")</f>
        <v>54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