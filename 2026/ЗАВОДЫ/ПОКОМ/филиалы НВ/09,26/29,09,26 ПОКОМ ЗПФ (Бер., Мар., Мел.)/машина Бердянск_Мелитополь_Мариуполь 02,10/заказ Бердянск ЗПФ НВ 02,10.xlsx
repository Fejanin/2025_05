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89ACD690-5EA4-4268-A7AB-F5686055CB7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Z281" i="1" s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P259" i="1"/>
  <c r="BO259" i="1"/>
  <c r="BN259" i="1"/>
  <c r="BM259" i="1"/>
  <c r="Z259" i="1"/>
  <c r="Z261" i="1" s="1"/>
  <c r="Y259" i="1"/>
  <c r="P259" i="1"/>
  <c r="X255" i="1"/>
  <c r="Y254" i="1"/>
  <c r="X254" i="1"/>
  <c r="BP253" i="1"/>
  <c r="BO253" i="1"/>
  <c r="BN253" i="1"/>
  <c r="BM253" i="1"/>
  <c r="Z253" i="1"/>
  <c r="Z254" i="1" s="1"/>
  <c r="Y253" i="1"/>
  <c r="Y255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N215" i="1"/>
  <c r="BM215" i="1"/>
  <c r="Z215" i="1"/>
  <c r="Y215" i="1"/>
  <c r="P215" i="1"/>
  <c r="BO214" i="1"/>
  <c r="BM214" i="1"/>
  <c r="Z214" i="1"/>
  <c r="Z217" i="1" s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Z205" i="1" s="1"/>
  <c r="Y202" i="1"/>
  <c r="P202" i="1"/>
  <c r="BO201" i="1"/>
  <c r="BM201" i="1"/>
  <c r="Z201" i="1"/>
  <c r="Y201" i="1"/>
  <c r="Y205" i="1" s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Y182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Z160" i="1" s="1"/>
  <c r="Y159" i="1"/>
  <c r="P159" i="1"/>
  <c r="BO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BP140" i="1" s="1"/>
  <c r="P140" i="1"/>
  <c r="BP139" i="1"/>
  <c r="BO139" i="1"/>
  <c r="BN139" i="1"/>
  <c r="BM139" i="1"/>
  <c r="Z139" i="1"/>
  <c r="Z142" i="1" s="1"/>
  <c r="Y139" i="1"/>
  <c r="P139" i="1"/>
  <c r="X137" i="1"/>
  <c r="X136" i="1"/>
  <c r="BO135" i="1"/>
  <c r="BM135" i="1"/>
  <c r="Z135" i="1"/>
  <c r="Y135" i="1"/>
  <c r="P135" i="1"/>
  <c r="BO134" i="1"/>
  <c r="BM134" i="1"/>
  <c r="Z134" i="1"/>
  <c r="Y134" i="1"/>
  <c r="BP134" i="1" s="1"/>
  <c r="P134" i="1"/>
  <c r="BO133" i="1"/>
  <c r="BM133" i="1"/>
  <c r="Z133" i="1"/>
  <c r="Y133" i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Z109" i="1"/>
  <c r="Y109" i="1"/>
  <c r="Y116" i="1" s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P87" i="1"/>
  <c r="X84" i="1"/>
  <c r="X83" i="1"/>
  <c r="BO82" i="1"/>
  <c r="BM82" i="1"/>
  <c r="Z82" i="1"/>
  <c r="Z83" i="1" s="1"/>
  <c r="Y82" i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P53" i="1"/>
  <c r="X50" i="1"/>
  <c r="X49" i="1"/>
  <c r="BO48" i="1"/>
  <c r="BM48" i="1"/>
  <c r="Z48" i="1"/>
  <c r="Y48" i="1"/>
  <c r="Y50" i="1" s="1"/>
  <c r="P48" i="1"/>
  <c r="BP47" i="1"/>
  <c r="BO47" i="1"/>
  <c r="BN47" i="1"/>
  <c r="BM47" i="1"/>
  <c r="Z47" i="1"/>
  <c r="Z49" i="1" s="1"/>
  <c r="Y47" i="1"/>
  <c r="P47" i="1"/>
  <c r="X44" i="1"/>
  <c r="X43" i="1"/>
  <c r="BO42" i="1"/>
  <c r="BM42" i="1"/>
  <c r="Z42" i="1"/>
  <c r="Y42" i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P34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X285" i="1" s="1"/>
  <c r="BM22" i="1"/>
  <c r="Z22" i="1"/>
  <c r="Z30" i="1" s="1"/>
  <c r="Y22" i="1"/>
  <c r="P22" i="1"/>
  <c r="H10" i="1"/>
  <c r="A9" i="1"/>
  <c r="A10" i="1" s="1"/>
  <c r="D7" i="1"/>
  <c r="Q6" i="1"/>
  <c r="P2" i="1"/>
  <c r="BP23" i="1" l="1"/>
  <c r="BN23" i="1"/>
  <c r="BP25" i="1"/>
  <c r="BN25" i="1"/>
  <c r="BP27" i="1"/>
  <c r="BN27" i="1"/>
  <c r="BP29" i="1"/>
  <c r="BN29" i="1"/>
  <c r="BP42" i="1"/>
  <c r="BN42" i="1"/>
  <c r="BP54" i="1"/>
  <c r="BN54" i="1"/>
  <c r="BP70" i="1"/>
  <c r="BN70" i="1"/>
  <c r="Y84" i="1"/>
  <c r="Y83" i="1"/>
  <c r="BP82" i="1"/>
  <c r="BN82" i="1"/>
  <c r="Y89" i="1"/>
  <c r="BP87" i="1"/>
  <c r="BN87" i="1"/>
  <c r="Y105" i="1"/>
  <c r="BP103" i="1"/>
  <c r="BN103" i="1"/>
  <c r="BP133" i="1"/>
  <c r="BN133" i="1"/>
  <c r="BP135" i="1"/>
  <c r="BN135" i="1"/>
  <c r="BP146" i="1"/>
  <c r="BN146" i="1"/>
  <c r="Y160" i="1"/>
  <c r="BP158" i="1"/>
  <c r="BN158" i="1"/>
  <c r="Y161" i="1"/>
  <c r="Y206" i="1"/>
  <c r="Y30" i="1"/>
  <c r="X284" i="1"/>
  <c r="X286" i="1" s="1"/>
  <c r="X283" i="1"/>
  <c r="Y36" i="1"/>
  <c r="Y43" i="1"/>
  <c r="Y49" i="1"/>
  <c r="Y57" i="1"/>
  <c r="Z57" i="1"/>
  <c r="Y72" i="1"/>
  <c r="Z72" i="1"/>
  <c r="Z78" i="1"/>
  <c r="Z89" i="1"/>
  <c r="Z99" i="1"/>
  <c r="Z105" i="1"/>
  <c r="Z116" i="1"/>
  <c r="Y137" i="1"/>
  <c r="Y143" i="1"/>
  <c r="Z148" i="1"/>
  <c r="Z154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F9" i="1"/>
  <c r="J9" i="1"/>
  <c r="F10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H9" i="1"/>
  <c r="Y58" i="1"/>
  <c r="Y62" i="1"/>
  <c r="BP61" i="1"/>
  <c r="BN61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Z288" i="1" l="1"/>
  <c r="Y287" i="1"/>
  <c r="Y283" i="1"/>
  <c r="Y284" i="1"/>
  <c r="Y285" i="1"/>
  <c r="C296" i="1" l="1"/>
  <c r="Y286" i="1"/>
  <c r="B296" i="1" s="1"/>
  <c r="A296" i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<sst xmlns="http://schemas.openxmlformats.org/spreadsheetml/2006/main" count="1313" uniqueCount="435">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</sst>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240.00000000000003</v>
      </c>
      <c r="Y31" s="280">
        <f>IFERROR(SUMPRODUCT(Y22:Y29*H22:H29),"0")</f>
        <v>240.00000000000003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42</v>
      </c>
      <c r="Y41" s="279">
        <f>IFERROR(IF(X41="","",X41),"")</f>
        <v>42</v>
      </c>
      <c r="Z41" s="36">
        <f>IFERROR(IF(X41="","",X41*0.00941),"")</f>
        <v>0.39522000000000002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80.715599999999995</v>
      </c>
      <c r="BN41" s="67">
        <f>IFERROR(Y41*I41,"0")</f>
        <v>80.715599999999995</v>
      </c>
      <c r="BO41" s="67">
        <f>IFERROR(X41/J41,"0")</f>
        <v>0.3</v>
      </c>
      <c r="BP41" s="67">
        <f>IFERROR(Y41/J41,"0")</f>
        <v>0.3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42</v>
      </c>
      <c r="Y43" s="280">
        <f>IFERROR(SUM(Y41:Y42),"0")</f>
        <v>42</v>
      </c>
      <c r="Z43" s="280">
        <f>IFERROR(IF(Z41="",0,Z41),"0")+IFERROR(IF(Z42="",0,Z42),"0")</f>
        <v>0.39522000000000002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63</v>
      </c>
      <c r="Y44" s="280">
        <f>IFERROR(SUMPRODUCT(Y41:Y42*H41:H42),"0")</f>
        <v>63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12</v>
      </c>
      <c r="Y48" s="279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36</v>
      </c>
      <c r="Y49" s="280">
        <f>IFERROR(SUM(Y47:Y48),"0")</f>
        <v>36</v>
      </c>
      <c r="Z49" s="280">
        <f>IFERROR(IF(Z47="",0,Z47),"0")+IFERROR(IF(Z48="",0,Z48),"0")</f>
        <v>0.55800000000000005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201.59999999999997</v>
      </c>
      <c r="Y50" s="280">
        <f>IFERROR(SUMPRODUCT(Y47:Y48*H47:H48),"0")</f>
        <v>201.59999999999997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0</v>
      </c>
      <c r="Y53" s="27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48</v>
      </c>
      <c r="Y54" s="279">
        <f>IFERROR(IF(X54="","",X54),"")</f>
        <v>48</v>
      </c>
      <c r="Z54" s="36">
        <f>IFERROR(IF(X54="","",X54*0.0155),"")</f>
        <v>0.74399999999999999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349.72799999999995</v>
      </c>
      <c r="BN54" s="67">
        <f>IFERROR(Y54*I54,"0")</f>
        <v>349.72799999999995</v>
      </c>
      <c r="BO54" s="67">
        <f>IFERROR(X54/J54,"0")</f>
        <v>0.5714285714285714</v>
      </c>
      <c r="BP54" s="67">
        <f>IFERROR(Y54/J54,"0")</f>
        <v>0.5714285714285714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24</v>
      </c>
      <c r="Y56" s="279">
        <f>IFERROR(IF(X56="","",X56),"")</f>
        <v>24</v>
      </c>
      <c r="Z56" s="36">
        <f>IFERROR(IF(X56="","",X56*0.0155),"")</f>
        <v>0.372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175.2</v>
      </c>
      <c r="BN56" s="67">
        <f>IFERROR(Y56*I56,"0")</f>
        <v>175.2</v>
      </c>
      <c r="BO56" s="67">
        <f>IFERROR(X56/J56,"0")</f>
        <v>0.2857142857142857</v>
      </c>
      <c r="BP56" s="67">
        <f>IFERROR(Y56/J56,"0")</f>
        <v>0.2857142857142857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504</v>
      </c>
      <c r="Y58" s="280">
        <f>IFERROR(SUMPRODUCT(Y53:Y56*H53:H56),"0")</f>
        <v>504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96</v>
      </c>
      <c r="Y77" s="279">
        <f>IFERROR(IF(X77="","",X77),"")</f>
        <v>96</v>
      </c>
      <c r="Z77" s="36">
        <f>IFERROR(IF(X77="","",X77*0.00866),"")</f>
        <v>0.83135999999999988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500.46719999999993</v>
      </c>
      <c r="BN77" s="67">
        <f>IFERROR(Y77*I77,"0")</f>
        <v>500.46719999999993</v>
      </c>
      <c r="BO77" s="67">
        <f>IFERROR(X77/J77,"0")</f>
        <v>0.66666666666666663</v>
      </c>
      <c r="BP77" s="67">
        <f>IFERROR(Y77/J77,"0")</f>
        <v>0.66666666666666663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96</v>
      </c>
      <c r="Y78" s="280">
        <f>IFERROR(SUM(Y76:Y77),"0")</f>
        <v>96</v>
      </c>
      <c r="Z78" s="280">
        <f>IFERROR(IF(Z76="",0,Z76),"0")+IFERROR(IF(Z77="",0,Z77),"0")</f>
        <v>0.83135999999999988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480</v>
      </c>
      <c r="Y79" s="280">
        <f>IFERROR(SUMPRODUCT(Y76:Y77*H76:H77),"0")</f>
        <v>480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14</v>
      </c>
      <c r="Y82" s="279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14</v>
      </c>
      <c r="Y83" s="280">
        <f>IFERROR(SUM(Y82:Y82),"0")</f>
        <v>14</v>
      </c>
      <c r="Z83" s="280">
        <f>IFERROR(IF(Z82="",0,Z82),"0")</f>
        <v>0.25031999999999999</v>
      </c>
      <c r="AA83" s="281"/>
      <c r="AB83" s="281"/>
      <c r="AC83" s="281"/>
    </row>
    <row r="84" spans="1:68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50.4</v>
      </c>
      <c r="Y84" s="280">
        <f>IFERROR(SUMPRODUCT(Y82:Y82*H82:H82),"0")</f>
        <v>50.4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42</v>
      </c>
      <c r="Y87" s="279">
        <f>IFERROR(IF(X87="","",X87),"")</f>
        <v>42</v>
      </c>
      <c r="Z87" s="36">
        <f>IFERROR(IF(X87="","",X87*0.01788),"")</f>
        <v>0.75095999999999996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180.75120000000001</v>
      </c>
      <c r="BN87" s="67">
        <f>IFERROR(Y87*I87,"0")</f>
        <v>180.75120000000001</v>
      </c>
      <c r="BO87" s="67">
        <f>IFERROR(X87/J87,"0")</f>
        <v>0.6</v>
      </c>
      <c r="BP87" s="67">
        <f>IFERROR(Y87/J87,"0")</f>
        <v>0.6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56</v>
      </c>
      <c r="Y88" s="279">
        <f>IFERROR(IF(X88="","",X88),"")</f>
        <v>56</v>
      </c>
      <c r="Z88" s="36">
        <f>IFERROR(IF(X88="","",X88*0.01788),"")</f>
        <v>1.0012799999999999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98</v>
      </c>
      <c r="Y89" s="280">
        <f>IFERROR(SUM(Y87:Y88),"0")</f>
        <v>98</v>
      </c>
      <c r="Z89" s="280">
        <f>IFERROR(IF(Z87="",0,Z87),"0")+IFERROR(IF(Z88="",0,Z88),"0")</f>
        <v>1.75224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352.8</v>
      </c>
      <c r="Y90" s="280">
        <f>IFERROR(SUMPRODUCT(Y87:Y88*H87:H88),"0")</f>
        <v>352.8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hidden="1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0</v>
      </c>
      <c r="Y95" s="279">
        <f t="shared" si="6"/>
        <v>0</v>
      </c>
      <c r="Z95" s="36">
        <f t="shared" si="7"/>
        <v>0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42</v>
      </c>
      <c r="Y96" s="279">
        <f t="shared" si="6"/>
        <v>42</v>
      </c>
      <c r="Z96" s="36">
        <f t="shared" si="7"/>
        <v>0.75095999999999996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70</v>
      </c>
      <c r="Y99" s="280">
        <f>IFERROR(SUM(Y93:Y98),"0")</f>
        <v>70</v>
      </c>
      <c r="Z99" s="280">
        <f>IFERROR(IF(Z93="",0,Z93),"0")+IFERROR(IF(Z94="",0,Z94),"0")+IFERROR(IF(Z95="",0,Z95),"0")+IFERROR(IF(Z96="",0,Z96),"0")+IFERROR(IF(Z97="",0,Z97),"0")+IFERROR(IF(Z98="",0,Z98),"0")</f>
        <v>1.2515999999999998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215.04</v>
      </c>
      <c r="Y100" s="280">
        <f>IFERROR(SUMPRODUCT(Y93:Y98*H93:H98),"0")</f>
        <v>215.04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36</v>
      </c>
      <c r="Y109" s="279">
        <f t="shared" ref="Y109:Y115" si="12">IFERROR(IF(X109="","",X109),"")</f>
        <v>36</v>
      </c>
      <c r="Z109" s="36">
        <f t="shared" ref="Z109:Z115" si="13">IFERROR(IF(X109="","",X109*0.0155),"")</f>
        <v>0.55800000000000005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262.08</v>
      </c>
      <c r="BN109" s="67">
        <f t="shared" ref="BN109:BN115" si="15">IFERROR(Y109*I109,"0")</f>
        <v>262.08</v>
      </c>
      <c r="BO109" s="67">
        <f t="shared" ref="BO109:BO115" si="16">IFERROR(X109/J109,"0")</f>
        <v>0.42857142857142855</v>
      </c>
      <c r="BP109" s="67">
        <f t="shared" ref="BP109:BP115" si="17">IFERROR(Y109/J109,"0")</f>
        <v>0.42857142857142855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24</v>
      </c>
      <c r="Y111" s="279">
        <f t="shared" si="12"/>
        <v>24</v>
      </c>
      <c r="Z111" s="36">
        <f t="shared" si="13"/>
        <v>0.372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161.2704</v>
      </c>
      <c r="BN111" s="67">
        <f t="shared" si="15"/>
        <v>161.2704</v>
      </c>
      <c r="BO111" s="67">
        <f t="shared" si="16"/>
        <v>0.2857142857142857</v>
      </c>
      <c r="BP111" s="67">
        <f t="shared" si="17"/>
        <v>0.2857142857142857</v>
      </c>
    </row>
    <row r="112" spans="1:68" ht="27" hidden="1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hidden="1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0</v>
      </c>
      <c r="Y115" s="279">
        <f t="shared" si="12"/>
        <v>0</v>
      </c>
      <c r="Z115" s="36">
        <f t="shared" si="13"/>
        <v>0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84</v>
      </c>
      <c r="Y116" s="280">
        <f>IFERROR(SUM(Y109:Y115),"0")</f>
        <v>84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1.302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559.20000000000005</v>
      </c>
      <c r="Y117" s="280">
        <f>IFERROR(SUMPRODUCT(Y109:Y115*H109:H115),"0")</f>
        <v>559.20000000000005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14</v>
      </c>
      <c r="Y119" s="279">
        <f>IFERROR(IF(X119="","",X119),"")</f>
        <v>14</v>
      </c>
      <c r="Z119" s="36">
        <f>IFERROR(IF(X119="","",X119*0.01788),"")</f>
        <v>0.25031999999999999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46.810400000000001</v>
      </c>
      <c r="BN119" s="67">
        <f>IFERROR(Y119*I119,"0")</f>
        <v>46.810400000000001</v>
      </c>
      <c r="BO119" s="67">
        <f>IFERROR(X119/J119,"0")</f>
        <v>0.2</v>
      </c>
      <c r="BP119" s="67">
        <f>IFERROR(Y119/J119,"0")</f>
        <v>0.2</v>
      </c>
    </row>
    <row r="120" spans="1:68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14</v>
      </c>
      <c r="Y120" s="280">
        <f>IFERROR(SUM(Y119:Y119),"0")</f>
        <v>14</v>
      </c>
      <c r="Z120" s="280">
        <f>IFERROR(IF(Z119="",0,Z119),"0")</f>
        <v>0.25031999999999999</v>
      </c>
      <c r="AA120" s="281"/>
      <c r="AB120" s="281"/>
      <c r="AC120" s="281"/>
    </row>
    <row r="121" spans="1:68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36.96</v>
      </c>
      <c r="Y121" s="280">
        <f>IFERROR(SUMPRODUCT(Y119:Y119*H119:H119),"0")</f>
        <v>36.96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28</v>
      </c>
      <c r="Y132" s="279">
        <f>IFERROR(IF(X132="","",X132),"")</f>
        <v>28</v>
      </c>
      <c r="Z132" s="36">
        <f>IFERROR(IF(X132="","",X132*0.00941),"")</f>
        <v>0.26347999999999999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14</v>
      </c>
      <c r="Y134" s="279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24.36</v>
      </c>
      <c r="BN134" s="67">
        <f>IFERROR(Y134*I134,"0")</f>
        <v>24.36</v>
      </c>
      <c r="BO134" s="67">
        <f>IFERROR(X134/J134,"0")</f>
        <v>0.1</v>
      </c>
      <c r="BP134" s="67">
        <f>IFERROR(Y134/J134,"0")</f>
        <v>0.1</v>
      </c>
    </row>
    <row r="135" spans="1:68" ht="27" hidden="1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42</v>
      </c>
      <c r="Y136" s="280">
        <f>IFERROR(SUM(Y132:Y135),"0")</f>
        <v>42</v>
      </c>
      <c r="Z136" s="280">
        <f>IFERROR(IF(Z132="",0,Z132),"0")+IFERROR(IF(Z133="",0,Z133),"0")+IFERROR(IF(Z134="",0,Z134),"0")+IFERROR(IF(Z135="",0,Z135),"0")</f>
        <v>0.39522000000000002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57.120000000000005</v>
      </c>
      <c r="Y137" s="280">
        <f>IFERROR(SUMPRODUCT(Y132:Y135*H132:H135),"0")</f>
        <v>57.120000000000005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70</v>
      </c>
      <c r="Y146" s="279">
        <f>IFERROR(IF(X146="","",X146),"")</f>
        <v>70</v>
      </c>
      <c r="Z146" s="36">
        <f>IFERROR(IF(X146="","",X146*0.01788),"")</f>
        <v>1.2516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259.25200000000001</v>
      </c>
      <c r="BN146" s="67">
        <f>IFERROR(Y146*I146,"0")</f>
        <v>259.25200000000001</v>
      </c>
      <c r="BO146" s="67">
        <f>IFERROR(X146/J146,"0")</f>
        <v>1</v>
      </c>
      <c r="BP146" s="67">
        <f>IFERROR(Y146/J146,"0")</f>
        <v>1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56</v>
      </c>
      <c r="Y147" s="279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207.40159999999997</v>
      </c>
      <c r="BN147" s="67">
        <f>IFERROR(Y147*I147,"0")</f>
        <v>207.40159999999997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126</v>
      </c>
      <c r="Y148" s="280">
        <f>IFERROR(SUM(Y146:Y147),"0")</f>
        <v>126</v>
      </c>
      <c r="Z148" s="280">
        <f>IFERROR(IF(Z146="",0,Z146),"0")+IFERROR(IF(Z147="",0,Z147),"0")</f>
        <v>2.2528800000000002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378</v>
      </c>
      <c r="Y149" s="280">
        <f>IFERROR(SUMPRODUCT(Y146:Y147*H146:H147),"0")</f>
        <v>378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0</v>
      </c>
      <c r="Y154" s="280">
        <f>IFERROR(SUM(Y152:Y153),"0")</f>
        <v>0</v>
      </c>
      <c r="Z154" s="280">
        <f>IFERROR(IF(Z152="",0,Z152),"0")+IFERROR(IF(Z153="",0,Z153),"0")</f>
        <v>0</v>
      </c>
      <c r="AA154" s="281"/>
      <c r="AB154" s="281"/>
      <c r="AC154" s="281"/>
    </row>
    <row r="155" spans="1:68" hidden="1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0</v>
      </c>
      <c r="Y155" s="280">
        <f>IFERROR(SUMPRODUCT(Y152:Y153*H152:H153),"0")</f>
        <v>0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14</v>
      </c>
      <c r="Y158" s="279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14</v>
      </c>
      <c r="Y160" s="280">
        <f>IFERROR(SUM(Y158:Y159),"0")</f>
        <v>14</v>
      </c>
      <c r="Z160" s="280">
        <f>IFERROR(IF(Z158="",0,Z158),"0")+IFERROR(IF(Z159="",0,Z159),"0")</f>
        <v>0.25031999999999999</v>
      </c>
      <c r="AA160" s="281"/>
      <c r="AB160" s="281"/>
      <c r="AC160" s="281"/>
    </row>
    <row r="161" spans="1:68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33.6</v>
      </c>
      <c r="Y161" s="280">
        <f>IFERROR(SUMPRODUCT(Y158:Y159*H158:H159),"0")</f>
        <v>33.6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42</v>
      </c>
      <c r="Y174" s="279">
        <f>IFERROR(IF(X174="","",X174),"")</f>
        <v>42</v>
      </c>
      <c r="Z174" s="36">
        <f>IFERROR(IF(X174="","",X174*0.00941),"")</f>
        <v>0.39522000000000002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88.275599999999997</v>
      </c>
      <c r="BN174" s="67">
        <f>IFERROR(Y174*I174,"0")</f>
        <v>88.275599999999997</v>
      </c>
      <c r="BO174" s="67">
        <f>IFERROR(X174/J174,"0")</f>
        <v>0.3</v>
      </c>
      <c r="BP174" s="67">
        <f>IFERROR(Y174/J174,"0")</f>
        <v>0.3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42</v>
      </c>
      <c r="Y175" s="280">
        <f>IFERROR(SUM(Y174:Y174),"0")</f>
        <v>42</v>
      </c>
      <c r="Z175" s="280">
        <f>IFERROR(IF(Z174="",0,Z174),"0")</f>
        <v>0.39522000000000002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70.56</v>
      </c>
      <c r="Y176" s="280">
        <f>IFERROR(SUMPRODUCT(Y174:Y174*H174:H174),"0")</f>
        <v>70.56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hidden="1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0</v>
      </c>
      <c r="Y180" s="279">
        <f>IFERROR(IF(X180="","",X180),"")</f>
        <v>0</v>
      </c>
      <c r="Z180" s="36">
        <f>IFERROR(IF(X180="","",X180*0.0155),"")</f>
        <v>0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0</v>
      </c>
      <c r="Y181" s="280">
        <f>IFERROR(SUM(Y180:Y180),"0")</f>
        <v>0</v>
      </c>
      <c r="Z181" s="280">
        <f>IFERROR(IF(Z180="",0,Z180),"0")</f>
        <v>0</v>
      </c>
      <c r="AA181" s="281"/>
      <c r="AB181" s="281"/>
      <c r="AC181" s="281"/>
    </row>
    <row r="182" spans="1:68" hidden="1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0</v>
      </c>
      <c r="Y182" s="280">
        <f>IFERROR(SUMPRODUCT(Y180:Y180*H180:H180),"0")</f>
        <v>0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0</v>
      </c>
      <c r="Y190" s="279">
        <f>IFERROR(IF(X190="","",X190),"")</f>
        <v>0</v>
      </c>
      <c r="Z190" s="36">
        <f>IFERROR(IF(X190="","",X190*0.00866),"")</f>
        <v>0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0</v>
      </c>
      <c r="Y191" s="280">
        <f>IFERROR(SUM(Y189:Y190),"0")</f>
        <v>0</v>
      </c>
      <c r="Z191" s="280">
        <f>IFERROR(IF(Z189="",0,Z189),"0")+IFERROR(IF(Z190="",0,Z190),"0")</f>
        <v>0</v>
      </c>
      <c r="AA191" s="281"/>
      <c r="AB191" s="281"/>
      <c r="AC191" s="281"/>
    </row>
    <row r="192" spans="1:68" hidden="1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0</v>
      </c>
      <c r="Y192" s="280">
        <f>IFERROR(SUMPRODUCT(Y189:Y190*H189:H190),"0")</f>
        <v>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60</v>
      </c>
      <c r="Y195" s="279">
        <f>IFERROR(IF(X195="","",X195),"")</f>
        <v>60</v>
      </c>
      <c r="Z195" s="36">
        <f>IFERROR(IF(X195="","",X195*0.0155),"")</f>
        <v>0.92999999999999994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315.71999999999997</v>
      </c>
      <c r="BN195" s="67">
        <f>IFERROR(Y195*I195,"0")</f>
        <v>315.71999999999997</v>
      </c>
      <c r="BO195" s="67">
        <f>IFERROR(X195/J195,"0")</f>
        <v>0.7142857142857143</v>
      </c>
      <c r="BP195" s="67">
        <f>IFERROR(Y195/J195,"0")</f>
        <v>0.7142857142857143</v>
      </c>
    </row>
    <row r="196" spans="1:68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60</v>
      </c>
      <c r="Y196" s="280">
        <f>IFERROR(SUM(Y195:Y195),"0")</f>
        <v>60</v>
      </c>
      <c r="Z196" s="280">
        <f>IFERROR(IF(Z195="",0,Z195),"0")</f>
        <v>0.92999999999999994</v>
      </c>
      <c r="AA196" s="281"/>
      <c r="AB196" s="281"/>
      <c r="AC196" s="28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300</v>
      </c>
      <c r="Y197" s="280">
        <f>IFERROR(SUMPRODUCT(Y195:Y195*H195:H195),"0")</f>
        <v>300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142.29599999999999</v>
      </c>
      <c r="BN201" s="67">
        <f>IFERROR(Y201*I201,"0")</f>
        <v>142.29599999999999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14</v>
      </c>
      <c r="Y202" s="279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47.432000000000002</v>
      </c>
      <c r="BN202" s="67">
        <f>IFERROR(Y202*I202,"0")</f>
        <v>47.432000000000002</v>
      </c>
      <c r="BO202" s="67">
        <f>IFERROR(X202/J202,"0")</f>
        <v>0.2</v>
      </c>
      <c r="BP202" s="67">
        <f>IFERROR(Y202/J202,"0")</f>
        <v>0.2</v>
      </c>
    </row>
    <row r="203" spans="1:68" ht="27" hidden="1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56</v>
      </c>
      <c r="Y205" s="280">
        <f>IFERROR(SUM(Y201:Y204),"0")</f>
        <v>56</v>
      </c>
      <c r="Z205" s="280">
        <f>IFERROR(IF(Z201="",0,Z201),"0")+IFERROR(IF(Z202="",0,Z202),"0")+IFERROR(IF(Z203="",0,Z203),"0")+IFERROR(IF(Z204="",0,Z204),"0")</f>
        <v>1.0012799999999999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168</v>
      </c>
      <c r="Y206" s="280">
        <f>IFERROR(SUMPRODUCT(Y201:Y204*H201:H204),"0")</f>
        <v>168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84</v>
      </c>
      <c r="Y227" s="279">
        <f>IFERROR(IF(X227="","",X227),"")</f>
        <v>84</v>
      </c>
      <c r="Z227" s="36">
        <f>IFERROR(IF(X227="","",X227*0.0155),"")</f>
        <v>1.302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439.32000000000005</v>
      </c>
      <c r="BN227" s="67">
        <f>IFERROR(Y227*I227,"0")</f>
        <v>439.32000000000005</v>
      </c>
      <c r="BO227" s="67">
        <f>IFERROR(X227/J227,"0")</f>
        <v>1</v>
      </c>
      <c r="BP227" s="67">
        <f>IFERROR(Y227/J227,"0")</f>
        <v>1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84</v>
      </c>
      <c r="Y228" s="280">
        <f>IFERROR(SUM(Y227:Y227),"0")</f>
        <v>84</v>
      </c>
      <c r="Z228" s="280">
        <f>IFERROR(IF(Z227="",0,Z227),"0")</f>
        <v>1.302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420</v>
      </c>
      <c r="Y229" s="280">
        <f>IFERROR(SUMPRODUCT(Y227:Y227*H227:H227),"0")</f>
        <v>420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60</v>
      </c>
      <c r="Y260" s="279">
        <f>IFERROR(IF(X260="","",X260),"")</f>
        <v>60</v>
      </c>
      <c r="Z260" s="36">
        <f>IFERROR(IF(X260="","",X260*0.0155),"")</f>
        <v>0.92999999999999994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436.8</v>
      </c>
      <c r="BN260" s="67">
        <f>IFERROR(Y260*I260,"0")</f>
        <v>436.8</v>
      </c>
      <c r="BO260" s="67">
        <f>IFERROR(X260/J260,"0")</f>
        <v>0.7142857142857143</v>
      </c>
      <c r="BP260" s="67">
        <f>IFERROR(Y260/J260,"0")</f>
        <v>0.7142857142857143</v>
      </c>
    </row>
    <row r="261" spans="1:68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60</v>
      </c>
      <c r="Y261" s="280">
        <f>IFERROR(SUM(Y259:Y260),"0")</f>
        <v>60</v>
      </c>
      <c r="Z261" s="280">
        <f>IFERROR(IF(Z259="",0,Z259),"0")+IFERROR(IF(Z260="",0,Z260),"0")</f>
        <v>0.92999999999999994</v>
      </c>
      <c r="AA261" s="281"/>
      <c r="AB261" s="281"/>
      <c r="AC261" s="281"/>
    </row>
    <row r="262" spans="1:68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420</v>
      </c>
      <c r="Y262" s="280">
        <f>IFERROR(SUMPRODUCT(Y259:Y260*H259:H260),"0")</f>
        <v>420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14</v>
      </c>
      <c r="Y264" s="279">
        <f>IFERROR(IF(X264="","",X264),"")</f>
        <v>14</v>
      </c>
      <c r="Z264" s="36">
        <f>IFERROR(IF(X264="","",X264*0.00936),"")</f>
        <v>0.13103999999999999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40.468400000000003</v>
      </c>
      <c r="BN264" s="67">
        <f>IFERROR(Y264*I264,"0")</f>
        <v>40.468400000000003</v>
      </c>
      <c r="BO264" s="67">
        <f>IFERROR(X264/J264,"0")</f>
        <v>0.1111111111111111</v>
      </c>
      <c r="BP264" s="67">
        <f>IFERROR(Y264/J264,"0")</f>
        <v>0.1111111111111111</v>
      </c>
    </row>
    <row r="265" spans="1:68" ht="27" hidden="1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0</v>
      </c>
      <c r="Y265" s="279">
        <f>IFERROR(IF(X265="","",X265),"")</f>
        <v>0</v>
      </c>
      <c r="Z265" s="36">
        <f>IFERROR(IF(X265="","",X265*0.0155),"")</f>
        <v>0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14</v>
      </c>
      <c r="Y267" s="280">
        <f>IFERROR(SUM(Y264:Y266),"0")</f>
        <v>14</v>
      </c>
      <c r="Z267" s="280">
        <f>IFERROR(IF(Z264="",0,Z264),"0")+IFERROR(IF(Z265="",0,Z265),"0")+IFERROR(IF(Z266="",0,Z266),"0")</f>
        <v>0.13103999999999999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37.800000000000004</v>
      </c>
      <c r="Y268" s="280">
        <f>IFERROR(SUMPRODUCT(Y264:Y266*H264:H266),"0")</f>
        <v>37.800000000000004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14</v>
      </c>
      <c r="Y273" s="279">
        <f t="shared" si="18"/>
        <v>14</v>
      </c>
      <c r="Z273" s="36">
        <f t="shared" ref="Z273:Z280" si="23">IFERROR(IF(X273="","",X273*0.00936),"")</f>
        <v>0.13103999999999999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54.488</v>
      </c>
      <c r="BN273" s="67">
        <f t="shared" si="20"/>
        <v>54.488</v>
      </c>
      <c r="BO273" s="67">
        <f t="shared" si="21"/>
        <v>0.1111111111111111</v>
      </c>
      <c r="BP273" s="67">
        <f t="shared" si="22"/>
        <v>0.1111111111111111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14</v>
      </c>
      <c r="Y281" s="280">
        <f>IFERROR(SUM(Y270:Y280),"0")</f>
        <v>14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0.13103999999999999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51.800000000000004</v>
      </c>
      <c r="Y282" s="280">
        <f>IFERROR(SUMPRODUCT(Y270:Y280*H270:H280),"0")</f>
        <v>51.800000000000004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4639.88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4639.88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5086.3235999999988</v>
      </c>
      <c r="Y284" s="280">
        <f>IFERROR(SUM(BN22:BN280),"0")</f>
        <v>5086.3235999999988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13</v>
      </c>
      <c r="Y285" s="38">
        <f>ROUNDUP(SUM(BP22:BP280),0)</f>
        <v>13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5411.3235999999988</v>
      </c>
      <c r="Y286" s="280">
        <f>GrossWeightTotalR+PalletQtyTotalR*25</f>
        <v>5411.3235999999988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1074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1074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15.984060000000001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240.00000000000003</v>
      </c>
      <c r="C293" s="46">
        <f>IFERROR(X34*H34,"0")+IFERROR(X35*H35,"0")</f>
        <v>0</v>
      </c>
      <c r="D293" s="46">
        <f>IFERROR(X41*H41,"0")+IFERROR(X42*H42,"0")</f>
        <v>63</v>
      </c>
      <c r="E293" s="46">
        <f>IFERROR(X47*H47,"0")+IFERROR(X48*H48,"0")</f>
        <v>201.59999999999997</v>
      </c>
      <c r="F293" s="46">
        <f>IFERROR(X53*H53,"0")+IFERROR(X54*H54,"0")+IFERROR(X55*H55,"0")+IFERROR(X56*H56,"0")</f>
        <v>504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480</v>
      </c>
      <c r="I293" s="46">
        <f>IFERROR(X82*H82,"0")</f>
        <v>50.4</v>
      </c>
      <c r="J293" s="46">
        <f>IFERROR(X87*H87,"0")+IFERROR(X88*H88,"0")</f>
        <v>352.8</v>
      </c>
      <c r="K293" s="46">
        <f>IFERROR(X93*H93,"0")+IFERROR(X94*H94,"0")+IFERROR(X95*H95,"0")+IFERROR(X96*H96,"0")+IFERROR(X97*H97,"0")+IFERROR(X98*H98,"0")</f>
        <v>215.04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596.16000000000008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57.120000000000005</v>
      </c>
      <c r="P293" s="46">
        <f>IFERROR(X146*H146,"0")+IFERROR(X147*H147,"0")</f>
        <v>378</v>
      </c>
      <c r="Q293" s="46">
        <f>IFERROR(X152*H152,"0")+IFERROR(X153*H153,"0")</f>
        <v>0</v>
      </c>
      <c r="R293" s="46">
        <f>IFERROR(X158*H158,"0")+IFERROR(X159*H159,"0")</f>
        <v>33.6</v>
      </c>
      <c r="S293" s="46">
        <f>IFERROR(X164*H164,"0")</f>
        <v>0</v>
      </c>
      <c r="T293" s="46">
        <f>IFERROR(X169*H169,"0")</f>
        <v>0</v>
      </c>
      <c r="U293" s="46">
        <f>IFERROR(X174*H174,"0")</f>
        <v>70.56</v>
      </c>
      <c r="V293" s="46">
        <f>IFERROR(X180*H180,"0")+IFERROR(X184*H184,"0")</f>
        <v>0</v>
      </c>
      <c r="W293" s="46">
        <f>IFERROR(X189*H189,"0")+IFERROR(X190*H190,"0")</f>
        <v>0</v>
      </c>
      <c r="X293" s="46">
        <f>IFERROR(X195*H195,"0")</f>
        <v>300</v>
      </c>
      <c r="Y293" s="46">
        <f>IFERROR(X201*H201,"0")+IFERROR(X202*H202,"0")+IFERROR(X203*H203,"0")+IFERROR(X204*H204,"0")</f>
        <v>168</v>
      </c>
      <c r="Z293" s="46">
        <f>IFERROR(X210*H210,"0")+IFERROR(X214*H214,"0")+IFERROR(X215*H215,"0")+IFERROR(X216*H216,"0")</f>
        <v>0</v>
      </c>
      <c r="AA293" s="46">
        <f>IFERROR(X221*H221,"0")+IFERROR(X222*H222,"0")</f>
        <v>0</v>
      </c>
      <c r="AB293" s="46">
        <f>IFERROR(X227*H227,"0")</f>
        <v>420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509.6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3124.7999999999997</v>
      </c>
      <c r="B296" s="60">
        <f>SUMPRODUCT(--(BB:BB="ПГП"),--(W:W="кор"),H:H,Y:Y)+SUMPRODUCT(--(BB:BB="ПГП"),--(W:W="кг"),Y:Y)</f>
        <v>1515.08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4,00"/>
        <filter val="12,00"/>
        <filter val="126,00"/>
        <filter val="13"/>
        <filter val="14,00"/>
        <filter val="168,00"/>
        <filter val="201,60"/>
        <filter val="215,04"/>
        <filter val="24,00"/>
        <filter val="240,00"/>
        <filter val="28,00"/>
        <filter val="300,00"/>
        <filter val="33,60"/>
        <filter val="352,80"/>
        <filter val="36,00"/>
        <filter val="36,96"/>
        <filter val="37,80"/>
        <filter val="378,00"/>
        <filter val="4 639,88"/>
        <filter val="42,00"/>
        <filter val="420,00"/>
        <filter val="48,00"/>
        <filter val="480,00"/>
        <filter val="5 086,32"/>
        <filter val="5 411,32"/>
        <filter val="50,40"/>
        <filter val="504,00"/>
        <filter val="51,80"/>
        <filter val="559,20"/>
        <filter val="56,00"/>
        <filter val="57,12"/>
        <filter val="60,00"/>
        <filter val="63,00"/>
        <filter val="70,00"/>
        <filter val="70,56"/>
        <filter val="72,00"/>
        <filter val="84,00"/>
        <filter val="96,0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2026-09-30T09:29:44Z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