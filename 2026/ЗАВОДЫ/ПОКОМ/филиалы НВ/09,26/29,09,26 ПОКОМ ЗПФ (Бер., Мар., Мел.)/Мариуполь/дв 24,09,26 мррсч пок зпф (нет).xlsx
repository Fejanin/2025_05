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4,09,26 ПОКОМ ЗПФ\"/>
    </mc:Choice>
  </mc:AlternateContent>
  <xr:revisionPtr revIDLastSave="0" documentId="13_ncr:1_{CB2C1F6F-2A64-4908-8434-2211AC74F0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3" i="1" l="1"/>
  <c r="X61" i="1"/>
  <c r="X57" i="1"/>
  <c r="X49" i="1"/>
  <c r="X45" i="1"/>
  <c r="Z35" i="1"/>
  <c r="AA35" i="1" s="1"/>
  <c r="X29" i="1"/>
  <c r="P74" i="1"/>
  <c r="L74" i="1"/>
  <c r="P73" i="1"/>
  <c r="U73" i="1" s="1"/>
  <c r="L73" i="1"/>
  <c r="P72" i="1"/>
  <c r="U72" i="1" s="1"/>
  <c r="L72" i="1"/>
  <c r="P71" i="1"/>
  <c r="U71" i="1" s="1"/>
  <c r="L71" i="1"/>
  <c r="P70" i="1"/>
  <c r="R70" i="1" s="1"/>
  <c r="L70" i="1"/>
  <c r="P69" i="1"/>
  <c r="L69" i="1"/>
  <c r="P68" i="1"/>
  <c r="L68" i="1"/>
  <c r="P67" i="1"/>
  <c r="U67" i="1" s="1"/>
  <c r="L67" i="1"/>
  <c r="P66" i="1"/>
  <c r="R66" i="1" s="1"/>
  <c r="L66" i="1"/>
  <c r="P65" i="1"/>
  <c r="L65" i="1"/>
  <c r="P64" i="1"/>
  <c r="U64" i="1" s="1"/>
  <c r="L64" i="1"/>
  <c r="P63" i="1"/>
  <c r="U63" i="1" s="1"/>
  <c r="L63" i="1"/>
  <c r="P62" i="1"/>
  <c r="R62" i="1" s="1"/>
  <c r="L62" i="1"/>
  <c r="Z61" i="1"/>
  <c r="P61" i="1"/>
  <c r="U61" i="1" s="1"/>
  <c r="L61" i="1"/>
  <c r="F60" i="1"/>
  <c r="E60" i="1"/>
  <c r="L60" i="1" s="1"/>
  <c r="F59" i="1"/>
  <c r="E59" i="1"/>
  <c r="P59" i="1" s="1"/>
  <c r="R59" i="1" s="1"/>
  <c r="P58" i="1"/>
  <c r="L58" i="1"/>
  <c r="P57" i="1"/>
  <c r="U57" i="1" s="1"/>
  <c r="L57" i="1"/>
  <c r="P56" i="1"/>
  <c r="U56" i="1" s="1"/>
  <c r="L56" i="1"/>
  <c r="P55" i="1"/>
  <c r="L55" i="1"/>
  <c r="P54" i="1"/>
  <c r="L54" i="1"/>
  <c r="P53" i="1"/>
  <c r="U53" i="1" s="1"/>
  <c r="L53" i="1"/>
  <c r="P52" i="1"/>
  <c r="L52" i="1"/>
  <c r="P51" i="1"/>
  <c r="U51" i="1" s="1"/>
  <c r="L51" i="1"/>
  <c r="P50" i="1"/>
  <c r="L50" i="1"/>
  <c r="P49" i="1"/>
  <c r="U49" i="1" s="1"/>
  <c r="L49" i="1"/>
  <c r="P48" i="1"/>
  <c r="U48" i="1" s="1"/>
  <c r="L48" i="1"/>
  <c r="P47" i="1"/>
  <c r="L47" i="1"/>
  <c r="P46" i="1"/>
  <c r="L46" i="1"/>
  <c r="Z45" i="1"/>
  <c r="P45" i="1"/>
  <c r="U45" i="1" s="1"/>
  <c r="L45" i="1"/>
  <c r="P44" i="1"/>
  <c r="U44" i="1" s="1"/>
  <c r="L44" i="1"/>
  <c r="P43" i="1"/>
  <c r="U43" i="1" s="1"/>
  <c r="L43" i="1"/>
  <c r="P42" i="1"/>
  <c r="L42" i="1"/>
  <c r="P41" i="1"/>
  <c r="L41" i="1"/>
  <c r="P40" i="1"/>
  <c r="U40" i="1" s="1"/>
  <c r="L40" i="1"/>
  <c r="P39" i="1"/>
  <c r="U39" i="1" s="1"/>
  <c r="L39" i="1"/>
  <c r="P38" i="1"/>
  <c r="L38" i="1"/>
  <c r="F37" i="1"/>
  <c r="E37" i="1"/>
  <c r="P37" i="1" s="1"/>
  <c r="P36" i="1"/>
  <c r="L36" i="1"/>
  <c r="X35" i="1"/>
  <c r="P35" i="1"/>
  <c r="U35" i="1" s="1"/>
  <c r="L35" i="1"/>
  <c r="P34" i="1"/>
  <c r="R34" i="1" s="1"/>
  <c r="L34" i="1"/>
  <c r="P33" i="1"/>
  <c r="U33" i="1" s="1"/>
  <c r="L33" i="1"/>
  <c r="P32" i="1"/>
  <c r="U32" i="1" s="1"/>
  <c r="L32" i="1"/>
  <c r="P31" i="1"/>
  <c r="U31" i="1" s="1"/>
  <c r="L31" i="1"/>
  <c r="F30" i="1"/>
  <c r="E30" i="1"/>
  <c r="L30" i="1" s="1"/>
  <c r="Z29" i="1"/>
  <c r="AA29" i="1" s="1"/>
  <c r="P29" i="1"/>
  <c r="U29" i="1" s="1"/>
  <c r="L29" i="1"/>
  <c r="P28" i="1"/>
  <c r="L28" i="1"/>
  <c r="P27" i="1"/>
  <c r="L27" i="1"/>
  <c r="F27" i="1"/>
  <c r="U27" i="1" s="1"/>
  <c r="Z26" i="1"/>
  <c r="AA26" i="1" s="1"/>
  <c r="P26" i="1"/>
  <c r="X26" i="1" s="1"/>
  <c r="L26" i="1"/>
  <c r="P25" i="1"/>
  <c r="U25" i="1" s="1"/>
  <c r="L25" i="1"/>
  <c r="P24" i="1"/>
  <c r="L24" i="1"/>
  <c r="P23" i="1"/>
  <c r="U23" i="1" s="1"/>
  <c r="L23" i="1"/>
  <c r="F22" i="1"/>
  <c r="E22" i="1"/>
  <c r="P22" i="1" s="1"/>
  <c r="Z22" i="1" s="1"/>
  <c r="AA22" i="1" s="1"/>
  <c r="F21" i="1"/>
  <c r="E21" i="1"/>
  <c r="P21" i="1" s="1"/>
  <c r="P20" i="1"/>
  <c r="U20" i="1" s="1"/>
  <c r="L20" i="1"/>
  <c r="P19" i="1"/>
  <c r="U19" i="1" s="1"/>
  <c r="L19" i="1"/>
  <c r="P18" i="1"/>
  <c r="L18" i="1"/>
  <c r="F17" i="1"/>
  <c r="E17" i="1"/>
  <c r="P17" i="1" s="1"/>
  <c r="P16" i="1"/>
  <c r="U16" i="1" s="1"/>
  <c r="L16" i="1"/>
  <c r="P15" i="1"/>
  <c r="L15" i="1"/>
  <c r="P14" i="1"/>
  <c r="L14" i="1"/>
  <c r="P13" i="1"/>
  <c r="U13" i="1" s="1"/>
  <c r="L13" i="1"/>
  <c r="P12" i="1"/>
  <c r="U12" i="1" s="1"/>
  <c r="L12" i="1"/>
  <c r="P11" i="1"/>
  <c r="U11" i="1" s="1"/>
  <c r="L11" i="1"/>
  <c r="P10" i="1"/>
  <c r="L10" i="1"/>
  <c r="P9" i="1"/>
  <c r="L9" i="1"/>
  <c r="P8" i="1"/>
  <c r="L8" i="1"/>
  <c r="P7" i="1"/>
  <c r="U7" i="1" s="1"/>
  <c r="L7" i="1"/>
  <c r="P6" i="1"/>
  <c r="U6" i="1" s="1"/>
  <c r="L6" i="1"/>
  <c r="V5" i="1"/>
  <c r="O5" i="1"/>
  <c r="N5" i="1"/>
  <c r="M5" i="1"/>
  <c r="K5" i="1"/>
  <c r="R27" i="1" l="1"/>
  <c r="Z27" i="1" s="1"/>
  <c r="U41" i="1"/>
  <c r="X41" i="1"/>
  <c r="U65" i="1"/>
  <c r="R65" i="1"/>
  <c r="X65" i="1" s="1"/>
  <c r="U68" i="1"/>
  <c r="R68" i="1"/>
  <c r="U69" i="1"/>
  <c r="R69" i="1"/>
  <c r="X17" i="1"/>
  <c r="U47" i="1"/>
  <c r="X47" i="1"/>
  <c r="U52" i="1"/>
  <c r="R52" i="1"/>
  <c r="U55" i="1"/>
  <c r="R55" i="1"/>
  <c r="X55" i="1" s="1"/>
  <c r="R39" i="1"/>
  <c r="X39" i="1" s="1"/>
  <c r="T12" i="1"/>
  <c r="U21" i="1"/>
  <c r="U26" i="1"/>
  <c r="U59" i="1"/>
  <c r="Z51" i="1"/>
  <c r="AA51" i="1" s="1"/>
  <c r="F5" i="1"/>
  <c r="T6" i="1"/>
  <c r="T16" i="1"/>
  <c r="U37" i="1"/>
  <c r="U8" i="1"/>
  <c r="U14" i="1"/>
  <c r="Z17" i="1"/>
  <c r="AA17" i="1" s="1"/>
  <c r="U10" i="1"/>
  <c r="T10" i="1"/>
  <c r="U15" i="1"/>
  <c r="R15" i="1"/>
  <c r="X22" i="1"/>
  <c r="U24" i="1"/>
  <c r="U34" i="1"/>
  <c r="U36" i="1"/>
  <c r="U38" i="1"/>
  <c r="U46" i="1"/>
  <c r="R46" i="1"/>
  <c r="U54" i="1"/>
  <c r="U62" i="1"/>
  <c r="U70" i="1"/>
  <c r="U9" i="1"/>
  <c r="U18" i="1"/>
  <c r="R18" i="1"/>
  <c r="T19" i="1"/>
  <c r="U28" i="1"/>
  <c r="U42" i="1"/>
  <c r="Z49" i="1"/>
  <c r="AA49" i="1" s="1"/>
  <c r="U50" i="1"/>
  <c r="Z57" i="1"/>
  <c r="AA57" i="1" s="1"/>
  <c r="U58" i="1"/>
  <c r="U66" i="1"/>
  <c r="Z73" i="1"/>
  <c r="AD73" i="1" s="1"/>
  <c r="U74" i="1"/>
  <c r="X43" i="1"/>
  <c r="Z43" i="1"/>
  <c r="AA43" i="1" s="1"/>
  <c r="Z47" i="1"/>
  <c r="AD47" i="1" s="1"/>
  <c r="X51" i="1"/>
  <c r="X63" i="1"/>
  <c r="Z63" i="1"/>
  <c r="AD63" i="1" s="1"/>
  <c r="X67" i="1"/>
  <c r="Z67" i="1"/>
  <c r="AA67" i="1" s="1"/>
  <c r="X71" i="1"/>
  <c r="Z71" i="1"/>
  <c r="AD71" i="1" s="1"/>
  <c r="R32" i="1"/>
  <c r="R44" i="1"/>
  <c r="R48" i="1"/>
  <c r="P30" i="1"/>
  <c r="R30" i="1" s="1"/>
  <c r="P60" i="1"/>
  <c r="T7" i="1"/>
  <c r="T11" i="1"/>
  <c r="T13" i="1"/>
  <c r="T20" i="1"/>
  <c r="U22" i="1"/>
  <c r="S35" i="1"/>
  <c r="T35" i="1" s="1"/>
  <c r="AD35" i="1"/>
  <c r="U17" i="1"/>
  <c r="L17" i="1"/>
  <c r="L21" i="1"/>
  <c r="L22" i="1"/>
  <c r="L37" i="1"/>
  <c r="E5" i="1"/>
  <c r="S22" i="1"/>
  <c r="T22" i="1" s="1"/>
  <c r="AD22" i="1"/>
  <c r="S26" i="1"/>
  <c r="T26" i="1" s="1"/>
  <c r="AD26" i="1"/>
  <c r="S29" i="1"/>
  <c r="T29" i="1" s="1"/>
  <c r="AD29" i="1"/>
  <c r="AA45" i="1"/>
  <c r="AD45" i="1"/>
  <c r="S45" i="1"/>
  <c r="T45" i="1" s="1"/>
  <c r="AA61" i="1"/>
  <c r="AD61" i="1"/>
  <c r="S61" i="1"/>
  <c r="T61" i="1" s="1"/>
  <c r="L59" i="1"/>
  <c r="Z41" i="1" l="1"/>
  <c r="AA41" i="1" s="1"/>
  <c r="S47" i="1"/>
  <c r="T47" i="1" s="1"/>
  <c r="AA71" i="1"/>
  <c r="S63" i="1"/>
  <c r="T63" i="1" s="1"/>
  <c r="S71" i="1"/>
  <c r="T71" i="1" s="1"/>
  <c r="AD67" i="1"/>
  <c r="AA63" i="1"/>
  <c r="X27" i="1"/>
  <c r="Z65" i="1"/>
  <c r="AA65" i="1" s="1"/>
  <c r="AD57" i="1"/>
  <c r="S67" i="1"/>
  <c r="T67" i="1" s="1"/>
  <c r="P5" i="1"/>
  <c r="Z55" i="1"/>
  <c r="AD55" i="1" s="1"/>
  <c r="Z39" i="1"/>
  <c r="AA39" i="1" s="1"/>
  <c r="AD49" i="1"/>
  <c r="AA27" i="1"/>
  <c r="AD27" i="1"/>
  <c r="X53" i="1"/>
  <c r="Z53" i="1"/>
  <c r="AA73" i="1"/>
  <c r="U60" i="1"/>
  <c r="AD51" i="1"/>
  <c r="AD43" i="1"/>
  <c r="AD17" i="1"/>
  <c r="S17" i="1"/>
  <c r="T17" i="1" s="1"/>
  <c r="X69" i="1"/>
  <c r="Z69" i="1"/>
  <c r="X33" i="1"/>
  <c r="Z33" i="1"/>
  <c r="S73" i="1"/>
  <c r="T73" i="1" s="1"/>
  <c r="S49" i="1"/>
  <c r="T49" i="1" s="1"/>
  <c r="AA47" i="1"/>
  <c r="X72" i="1"/>
  <c r="Z72" i="1"/>
  <c r="X64" i="1"/>
  <c r="Z64" i="1"/>
  <c r="X52" i="1"/>
  <c r="Z52" i="1"/>
  <c r="X44" i="1"/>
  <c r="Z44" i="1"/>
  <c r="X32" i="1"/>
  <c r="Z32" i="1"/>
  <c r="X31" i="1"/>
  <c r="Z31" i="1"/>
  <c r="Z74" i="1"/>
  <c r="X74" i="1"/>
  <c r="Z58" i="1"/>
  <c r="X58" i="1"/>
  <c r="Z42" i="1"/>
  <c r="X42" i="1"/>
  <c r="X18" i="1"/>
  <c r="Z18" i="1"/>
  <c r="X9" i="1"/>
  <c r="Z9" i="1"/>
  <c r="X37" i="1"/>
  <c r="Z37" i="1"/>
  <c r="X21" i="1"/>
  <c r="Z21" i="1"/>
  <c r="Z15" i="1"/>
  <c r="X15" i="1"/>
  <c r="X14" i="1"/>
  <c r="Z14" i="1"/>
  <c r="Z8" i="1"/>
  <c r="X8" i="1"/>
  <c r="S57" i="1"/>
  <c r="T57" i="1" s="1"/>
  <c r="S27" i="1"/>
  <c r="T27" i="1" s="1"/>
  <c r="S51" i="1"/>
  <c r="T51" i="1" s="1"/>
  <c r="S43" i="1"/>
  <c r="T43" i="1" s="1"/>
  <c r="X60" i="1"/>
  <c r="Z60" i="1"/>
  <c r="X68" i="1"/>
  <c r="Z68" i="1"/>
  <c r="X56" i="1"/>
  <c r="Z56" i="1"/>
  <c r="X48" i="1"/>
  <c r="Z48" i="1"/>
  <c r="X40" i="1"/>
  <c r="Z40" i="1"/>
  <c r="X59" i="1"/>
  <c r="Z59" i="1"/>
  <c r="Z23" i="1"/>
  <c r="X23" i="1"/>
  <c r="Z66" i="1"/>
  <c r="X66" i="1"/>
  <c r="Z50" i="1"/>
  <c r="X50" i="1"/>
  <c r="X28" i="1"/>
  <c r="Z28" i="1"/>
  <c r="Z25" i="1"/>
  <c r="X25" i="1"/>
  <c r="Z70" i="1"/>
  <c r="X70" i="1"/>
  <c r="Z62" i="1"/>
  <c r="X62" i="1"/>
  <c r="Z54" i="1"/>
  <c r="X54" i="1"/>
  <c r="Z46" i="1"/>
  <c r="X46" i="1"/>
  <c r="Z38" i="1"/>
  <c r="X38" i="1"/>
  <c r="Z36" i="1"/>
  <c r="X36" i="1"/>
  <c r="Z34" i="1"/>
  <c r="X34" i="1"/>
  <c r="X24" i="1"/>
  <c r="Z24" i="1"/>
  <c r="U30" i="1"/>
  <c r="L5" i="1"/>
  <c r="S41" i="1" l="1"/>
  <c r="T41" i="1" s="1"/>
  <c r="AD41" i="1"/>
  <c r="S55" i="1"/>
  <c r="T55" i="1" s="1"/>
  <c r="AA55" i="1"/>
  <c r="AD65" i="1"/>
  <c r="S65" i="1"/>
  <c r="T65" i="1" s="1"/>
  <c r="AD39" i="1"/>
  <c r="S39" i="1"/>
  <c r="T39" i="1" s="1"/>
  <c r="AA33" i="1"/>
  <c r="S33" i="1"/>
  <c r="T33" i="1" s="1"/>
  <c r="AD33" i="1"/>
  <c r="AD69" i="1"/>
  <c r="AA69" i="1"/>
  <c r="S69" i="1"/>
  <c r="T69" i="1" s="1"/>
  <c r="AA53" i="1"/>
  <c r="S53" i="1"/>
  <c r="T53" i="1" s="1"/>
  <c r="AD53" i="1"/>
  <c r="AD34" i="1"/>
  <c r="S34" i="1"/>
  <c r="T34" i="1" s="1"/>
  <c r="AA34" i="1"/>
  <c r="AD36" i="1"/>
  <c r="S36" i="1"/>
  <c r="T36" i="1" s="1"/>
  <c r="AA36" i="1"/>
  <c r="AD38" i="1"/>
  <c r="S38" i="1"/>
  <c r="T38" i="1" s="1"/>
  <c r="AA38" i="1"/>
  <c r="AD46" i="1"/>
  <c r="S46" i="1"/>
  <c r="T46" i="1" s="1"/>
  <c r="AA46" i="1"/>
  <c r="AD54" i="1"/>
  <c r="S54" i="1"/>
  <c r="T54" i="1" s="1"/>
  <c r="AA54" i="1"/>
  <c r="AD62" i="1"/>
  <c r="S62" i="1"/>
  <c r="T62" i="1" s="1"/>
  <c r="AA62" i="1"/>
  <c r="AD70" i="1"/>
  <c r="S70" i="1"/>
  <c r="T70" i="1" s="1"/>
  <c r="AA70" i="1"/>
  <c r="S25" i="1"/>
  <c r="T25" i="1" s="1"/>
  <c r="AA25" i="1"/>
  <c r="AD25" i="1"/>
  <c r="AD50" i="1"/>
  <c r="S50" i="1"/>
  <c r="T50" i="1" s="1"/>
  <c r="AA50" i="1"/>
  <c r="AD66" i="1"/>
  <c r="S66" i="1"/>
  <c r="T66" i="1" s="1"/>
  <c r="AA66" i="1"/>
  <c r="AD23" i="1"/>
  <c r="AA23" i="1"/>
  <c r="S23" i="1"/>
  <c r="T23" i="1" s="1"/>
  <c r="AA14" i="1"/>
  <c r="S14" i="1"/>
  <c r="T14" i="1" s="1"/>
  <c r="AD14" i="1"/>
  <c r="AD21" i="1"/>
  <c r="S21" i="1"/>
  <c r="T21" i="1" s="1"/>
  <c r="AA21" i="1"/>
  <c r="AD37" i="1"/>
  <c r="AA37" i="1"/>
  <c r="S37" i="1"/>
  <c r="T37" i="1" s="1"/>
  <c r="AD9" i="1"/>
  <c r="S9" i="1"/>
  <c r="T9" i="1" s="1"/>
  <c r="AA9" i="1"/>
  <c r="AD18" i="1"/>
  <c r="S18" i="1"/>
  <c r="T18" i="1" s="1"/>
  <c r="AA18" i="1"/>
  <c r="AA31" i="1"/>
  <c r="AD31" i="1"/>
  <c r="S31" i="1"/>
  <c r="T31" i="1" s="1"/>
  <c r="AD32" i="1"/>
  <c r="S32" i="1"/>
  <c r="T32" i="1" s="1"/>
  <c r="AA32" i="1"/>
  <c r="AD44" i="1"/>
  <c r="AA44" i="1"/>
  <c r="S44" i="1"/>
  <c r="T44" i="1" s="1"/>
  <c r="AD52" i="1"/>
  <c r="AA52" i="1"/>
  <c r="S52" i="1"/>
  <c r="T52" i="1" s="1"/>
  <c r="AD64" i="1"/>
  <c r="AA64" i="1"/>
  <c r="S64" i="1"/>
  <c r="T64" i="1" s="1"/>
  <c r="AD72" i="1"/>
  <c r="AA72" i="1"/>
  <c r="S72" i="1"/>
  <c r="T72" i="1" s="1"/>
  <c r="Z30" i="1"/>
  <c r="X30" i="1"/>
  <c r="X5" i="1" s="1"/>
  <c r="R5" i="1"/>
  <c r="AA24" i="1"/>
  <c r="AD24" i="1"/>
  <c r="S24" i="1"/>
  <c r="T24" i="1" s="1"/>
  <c r="AD28" i="1"/>
  <c r="AA28" i="1"/>
  <c r="S28" i="1"/>
  <c r="T28" i="1" s="1"/>
  <c r="AA59" i="1"/>
  <c r="S59" i="1"/>
  <c r="T59" i="1" s="1"/>
  <c r="AD59" i="1"/>
  <c r="AD40" i="1"/>
  <c r="AA40" i="1"/>
  <c r="S40" i="1"/>
  <c r="T40" i="1" s="1"/>
  <c r="AD48" i="1"/>
  <c r="AA48" i="1"/>
  <c r="S48" i="1"/>
  <c r="T48" i="1" s="1"/>
  <c r="AD56" i="1"/>
  <c r="AA56" i="1"/>
  <c r="S56" i="1"/>
  <c r="T56" i="1" s="1"/>
  <c r="AD68" i="1"/>
  <c r="AA68" i="1"/>
  <c r="S68" i="1"/>
  <c r="T68" i="1" s="1"/>
  <c r="AD60" i="1"/>
  <c r="AA60" i="1"/>
  <c r="S60" i="1"/>
  <c r="T60" i="1" s="1"/>
  <c r="AA8" i="1"/>
  <c r="S8" i="1"/>
  <c r="AD8" i="1"/>
  <c r="Z5" i="1"/>
  <c r="AD15" i="1"/>
  <c r="S15" i="1"/>
  <c r="T15" i="1" s="1"/>
  <c r="AA15" i="1"/>
  <c r="AD42" i="1"/>
  <c r="S42" i="1"/>
  <c r="T42" i="1" s="1"/>
  <c r="AA42" i="1"/>
  <c r="AD58" i="1"/>
  <c r="S58" i="1"/>
  <c r="T58" i="1" s="1"/>
  <c r="AA58" i="1"/>
  <c r="AD74" i="1"/>
  <c r="S74" i="1"/>
  <c r="T74" i="1" s="1"/>
  <c r="AA74" i="1"/>
  <c r="T8" i="1" l="1"/>
  <c r="AD30" i="1"/>
  <c r="AD5" i="1" s="1"/>
  <c r="AA30" i="1"/>
  <c r="AA5" i="1" s="1"/>
  <c r="S30" i="1"/>
  <c r="T30" i="1" s="1"/>
  <c r="S5" i="1" l="1"/>
</calcChain>
</file>

<file path=xl/sharedStrings.xml><?xml version="1.0" encoding="utf-8"?>
<sst xmlns="http://schemas.openxmlformats.org/spreadsheetml/2006/main" count="252" uniqueCount="165">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</sst>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5" sqref="Z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22" width="6" customWidth="1"/>
    <col min="23" max="23" width="41" customWidth="1"/>
    <col min="24" max="24" width="6" customWidth="1"/>
    <col min="25" max="25" width="6" style="5" customWidth="1"/>
    <col min="26" max="26" width="7" style="12" customWidth="1"/>
    <col min="27" max="27" width="6" customWidth="1"/>
    <col min="28" max="29" width="5" customWidth="1"/>
    <col min="30" max="30" width="6" style="12" customWidth="1"/>
    <col min="31" max="40" width="3" customWidth="1"/>
  </cols>
  <sheetData>
    <row r="1" spans="1:40" x14ac:dyDescent="0.25">
      <c r="A1" s="14"/>
      <c r="B1" s="14"/>
      <c r="C1" s="14"/>
      <c r="D1" s="14"/>
      <c r="E1" s="14"/>
      <c r="F1" s="14"/>
      <c r="G1" s="7"/>
      <c r="H1" s="14"/>
      <c r="I1" s="14"/>
      <c r="J1" s="14"/>
      <c r="K1" s="14"/>
      <c r="L1" s="14"/>
      <c r="M1" s="14"/>
      <c r="N1" s="14"/>
      <c r="O1" s="14"/>
      <c r="P1" s="14"/>
      <c r="Q1" s="14"/>
      <c r="R1" s="14">
        <v>14</v>
      </c>
      <c r="S1" s="14"/>
      <c r="T1" s="14"/>
      <c r="U1" s="14"/>
      <c r="V1" s="14"/>
      <c r="W1" s="14"/>
      <c r="X1" s="14"/>
      <c r="Y1" s="7"/>
      <c r="Z1" s="9"/>
      <c r="AA1" s="14"/>
      <c r="AB1" s="14"/>
      <c r="AC1" s="14"/>
      <c r="AD1" s="9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x14ac:dyDescent="0.25">
      <c r="A2" s="14"/>
      <c r="B2" s="14"/>
      <c r="C2" s="14"/>
      <c r="D2" s="14"/>
      <c r="E2" s="14"/>
      <c r="F2" s="14"/>
      <c r="G2" s="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7"/>
      <c r="Z2" s="9"/>
      <c r="AA2" s="14"/>
      <c r="AB2" s="14"/>
      <c r="AC2" s="14"/>
      <c r="AD2" s="9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8" t="s">
        <v>23</v>
      </c>
      <c r="Z3" s="10" t="s">
        <v>24</v>
      </c>
      <c r="AA3" s="1" t="s">
        <v>25</v>
      </c>
      <c r="AB3" s="1" t="s">
        <v>26</v>
      </c>
      <c r="AC3" s="1" t="s">
        <v>27</v>
      </c>
      <c r="AD3" s="10" t="s">
        <v>28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 x14ac:dyDescent="0.25">
      <c r="A4" s="14"/>
      <c r="B4" s="14"/>
      <c r="C4" s="14"/>
      <c r="D4" s="14"/>
      <c r="E4" s="14"/>
      <c r="F4" s="14"/>
      <c r="G4" s="7"/>
      <c r="H4" s="14"/>
      <c r="I4" s="14"/>
      <c r="J4" s="14"/>
      <c r="K4" s="14"/>
      <c r="L4" s="14"/>
      <c r="M4" s="14"/>
      <c r="N4" s="14"/>
      <c r="O4" s="14" t="s">
        <v>29</v>
      </c>
      <c r="P4" s="14" t="s">
        <v>30</v>
      </c>
      <c r="Q4" s="14"/>
      <c r="R4" s="14"/>
      <c r="S4" s="14"/>
      <c r="T4" s="14"/>
      <c r="U4" s="14"/>
      <c r="V4" s="14" t="s">
        <v>29</v>
      </c>
      <c r="W4" s="14"/>
      <c r="X4" s="14"/>
      <c r="Y4" s="7"/>
      <c r="Z4" s="9" t="s">
        <v>164</v>
      </c>
      <c r="AA4" s="14"/>
      <c r="AB4" s="14"/>
      <c r="AC4" s="14"/>
      <c r="AD4" s="9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x14ac:dyDescent="0.25">
      <c r="A5" s="14"/>
      <c r="B5" s="14"/>
      <c r="C5" s="14"/>
      <c r="D5" s="14"/>
      <c r="E5" s="3">
        <f>SUM(E6:E497)</f>
        <v>3227.1</v>
      </c>
      <c r="F5" s="3">
        <f>SUM(F6:F497)</f>
        <v>11394.5</v>
      </c>
      <c r="G5" s="7"/>
      <c r="H5" s="14"/>
      <c r="I5" s="14"/>
      <c r="J5" s="14"/>
      <c r="K5" s="3">
        <f t="shared" ref="K5:S5" si="0">SUM(K6:K497)</f>
        <v>3983.7</v>
      </c>
      <c r="L5" s="3">
        <f t="shared" si="0"/>
        <v>-756.6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645.41999999999996</v>
      </c>
      <c r="Q5" s="3">
        <v>2761.7999999999997</v>
      </c>
      <c r="R5" s="3">
        <f t="shared" si="0"/>
        <v>2761.7999999999997</v>
      </c>
      <c r="S5" s="3">
        <f t="shared" si="0"/>
        <v>3580</v>
      </c>
      <c r="T5" s="14"/>
      <c r="U5" s="14"/>
      <c r="V5" s="3">
        <f>SUM(V6:V497)</f>
        <v>0</v>
      </c>
      <c r="W5" s="14"/>
      <c r="X5" s="3">
        <f>SUM(X6:X497)</f>
        <v>1180.5540000000001</v>
      </c>
      <c r="Y5" s="7"/>
      <c r="Z5" s="11">
        <f>SUM(Z6:Z497)</f>
        <v>366</v>
      </c>
      <c r="AA5" s="3">
        <f>SUM(AA6:AA497)</f>
        <v>1492.1999999999998</v>
      </c>
      <c r="AB5" s="14"/>
      <c r="AC5" s="14"/>
      <c r="AD5" s="11">
        <f>SUM(AD6:AD497)</f>
        <v>4.2976190476190474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x14ac:dyDescent="0.25">
      <c r="A6" s="15" t="s">
        <v>31</v>
      </c>
      <c r="B6" s="15" t="s">
        <v>32</v>
      </c>
      <c r="C6" s="15"/>
      <c r="D6" s="15"/>
      <c r="E6" s="20">
        <v>34</v>
      </c>
      <c r="F6" s="20">
        <v>-19</v>
      </c>
      <c r="G6" s="16">
        <v>0</v>
      </c>
      <c r="H6" s="15"/>
      <c r="I6" s="15" t="s">
        <v>33</v>
      </c>
      <c r="J6" s="15" t="s">
        <v>34</v>
      </c>
      <c r="K6" s="15">
        <v>13</v>
      </c>
      <c r="L6" s="15">
        <f t="shared" ref="L6:L37" si="1">E6-K6</f>
        <v>21</v>
      </c>
      <c r="M6" s="15"/>
      <c r="N6" s="15"/>
      <c r="O6" s="15"/>
      <c r="P6" s="15">
        <f t="shared" ref="P6:P37" si="2">E6/5</f>
        <v>6.8</v>
      </c>
      <c r="Q6" s="17"/>
      <c r="R6" s="17"/>
      <c r="S6" s="17"/>
      <c r="T6" s="15">
        <f t="shared" ref="T6:T37" si="3">(F6+S6)/P6</f>
        <v>-2.7941176470588238</v>
      </c>
      <c r="U6" s="15">
        <f t="shared" ref="U6:U37" si="4">F6/P6</f>
        <v>-2.7941176470588238</v>
      </c>
      <c r="V6" s="15">
        <v>0</v>
      </c>
      <c r="W6" s="15"/>
      <c r="X6" s="15"/>
      <c r="Y6" s="16"/>
      <c r="Z6" s="18"/>
      <c r="AA6" s="15"/>
      <c r="AB6" s="15"/>
      <c r="AC6" s="15"/>
      <c r="AD6" s="18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x14ac:dyDescent="0.25">
      <c r="A7" s="15" t="s">
        <v>35</v>
      </c>
      <c r="B7" s="15" t="s">
        <v>32</v>
      </c>
      <c r="C7" s="15"/>
      <c r="D7" s="15"/>
      <c r="E7" s="20">
        <v>4</v>
      </c>
      <c r="F7" s="20">
        <v>-7</v>
      </c>
      <c r="G7" s="16">
        <v>0</v>
      </c>
      <c r="H7" s="15"/>
      <c r="I7" s="15" t="s">
        <v>33</v>
      </c>
      <c r="J7" s="15" t="s">
        <v>36</v>
      </c>
      <c r="K7" s="15">
        <v>4</v>
      </c>
      <c r="L7" s="15">
        <f t="shared" si="1"/>
        <v>0</v>
      </c>
      <c r="M7" s="15"/>
      <c r="N7" s="15"/>
      <c r="O7" s="15"/>
      <c r="P7" s="15">
        <f t="shared" si="2"/>
        <v>0.8</v>
      </c>
      <c r="Q7" s="17"/>
      <c r="R7" s="17"/>
      <c r="S7" s="17"/>
      <c r="T7" s="15">
        <f t="shared" si="3"/>
        <v>-8.75</v>
      </c>
      <c r="U7" s="15">
        <f t="shared" si="4"/>
        <v>-8.75</v>
      </c>
      <c r="V7" s="15">
        <v>0</v>
      </c>
      <c r="W7" s="15"/>
      <c r="X7" s="15"/>
      <c r="Y7" s="16"/>
      <c r="Z7" s="18"/>
      <c r="AA7" s="15"/>
      <c r="AB7" s="15"/>
      <c r="AC7" s="15"/>
      <c r="AD7" s="18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0" x14ac:dyDescent="0.25">
      <c r="A8" s="14" t="s">
        <v>37</v>
      </c>
      <c r="B8" s="14" t="s">
        <v>32</v>
      </c>
      <c r="C8" s="14"/>
      <c r="D8" s="14">
        <v>72</v>
      </c>
      <c r="E8" s="14">
        <v>11</v>
      </c>
      <c r="F8" s="14">
        <v>70</v>
      </c>
      <c r="G8" s="7">
        <v>0.22</v>
      </c>
      <c r="H8" s="14">
        <v>180</v>
      </c>
      <c r="I8" s="14" t="s">
        <v>38</v>
      </c>
      <c r="J8" s="14"/>
      <c r="K8" s="14">
        <v>2</v>
      </c>
      <c r="L8" s="14">
        <f t="shared" si="1"/>
        <v>9</v>
      </c>
      <c r="M8" s="14"/>
      <c r="N8" s="14"/>
      <c r="O8" s="14"/>
      <c r="P8" s="14">
        <f t="shared" si="2"/>
        <v>2.2000000000000002</v>
      </c>
      <c r="Q8" s="4"/>
      <c r="R8" s="4"/>
      <c r="S8" s="4">
        <f>Y8*Z8</f>
        <v>0</v>
      </c>
      <c r="T8" s="14">
        <f t="shared" si="3"/>
        <v>31.818181818181817</v>
      </c>
      <c r="U8" s="14">
        <f t="shared" si="4"/>
        <v>31.818181818181817</v>
      </c>
      <c r="V8" s="14">
        <v>0</v>
      </c>
      <c r="W8" s="14"/>
      <c r="X8" s="14">
        <f>G8*R8</f>
        <v>0</v>
      </c>
      <c r="Y8" s="7">
        <v>12</v>
      </c>
      <c r="Z8" s="9">
        <f>MROUND(R8, Y8*AB8)/Y8</f>
        <v>0</v>
      </c>
      <c r="AA8" s="14">
        <f>Z8*Y8*G8</f>
        <v>0</v>
      </c>
      <c r="AB8" s="14">
        <v>14</v>
      </c>
      <c r="AC8" s="14">
        <v>70</v>
      </c>
      <c r="AD8" s="9">
        <f>Z8/AC8</f>
        <v>0</v>
      </c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 x14ac:dyDescent="0.25">
      <c r="A9" s="14" t="s">
        <v>39</v>
      </c>
      <c r="B9" s="14" t="s">
        <v>32</v>
      </c>
      <c r="C9" s="14"/>
      <c r="D9" s="14">
        <v>72</v>
      </c>
      <c r="E9" s="14">
        <v>14</v>
      </c>
      <c r="F9" s="14">
        <v>60</v>
      </c>
      <c r="G9" s="7">
        <v>0.3</v>
      </c>
      <c r="H9" s="14">
        <v>180</v>
      </c>
      <c r="I9" s="14" t="s">
        <v>40</v>
      </c>
      <c r="J9" s="14"/>
      <c r="K9" s="14">
        <v>21</v>
      </c>
      <c r="L9" s="14">
        <f t="shared" si="1"/>
        <v>-7</v>
      </c>
      <c r="M9" s="14"/>
      <c r="N9" s="14"/>
      <c r="O9" s="14"/>
      <c r="P9" s="14">
        <f t="shared" si="2"/>
        <v>2.8</v>
      </c>
      <c r="Q9" s="4"/>
      <c r="R9" s="4"/>
      <c r="S9" s="4">
        <f>Y9*Z9</f>
        <v>0</v>
      </c>
      <c r="T9" s="14">
        <f t="shared" si="3"/>
        <v>21.428571428571431</v>
      </c>
      <c r="U9" s="14">
        <f t="shared" si="4"/>
        <v>21.428571428571431</v>
      </c>
      <c r="V9" s="14">
        <v>0</v>
      </c>
      <c r="W9" s="14"/>
      <c r="X9" s="14">
        <f>G9*R9</f>
        <v>0</v>
      </c>
      <c r="Y9" s="7">
        <v>12</v>
      </c>
      <c r="Z9" s="9">
        <f>MROUND(R9, Y9*AB9)/Y9</f>
        <v>0</v>
      </c>
      <c r="AA9" s="14">
        <f>Z9*Y9*G9</f>
        <v>0</v>
      </c>
      <c r="AB9" s="14">
        <v>14</v>
      </c>
      <c r="AC9" s="14">
        <v>70</v>
      </c>
      <c r="AD9" s="9">
        <f>Z9/AC9</f>
        <v>0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x14ac:dyDescent="0.25">
      <c r="A10" s="19" t="s">
        <v>41</v>
      </c>
      <c r="B10" s="15" t="s">
        <v>32</v>
      </c>
      <c r="C10" s="15"/>
      <c r="D10" s="15"/>
      <c r="E10" s="15"/>
      <c r="F10" s="20">
        <v>-6</v>
      </c>
      <c r="G10" s="16">
        <v>0</v>
      </c>
      <c r="H10" s="15"/>
      <c r="I10" s="19" t="s">
        <v>42</v>
      </c>
      <c r="J10" s="19" t="s">
        <v>43</v>
      </c>
      <c r="K10" s="15"/>
      <c r="L10" s="15">
        <f t="shared" si="1"/>
        <v>0</v>
      </c>
      <c r="M10" s="15"/>
      <c r="N10" s="15"/>
      <c r="O10" s="15"/>
      <c r="P10" s="15">
        <f t="shared" si="2"/>
        <v>0</v>
      </c>
      <c r="Q10" s="17"/>
      <c r="R10" s="17"/>
      <c r="S10" s="17"/>
      <c r="T10" s="15" t="e">
        <f t="shared" si="3"/>
        <v>#DIV/0!</v>
      </c>
      <c r="U10" s="15" t="e">
        <f t="shared" si="4"/>
        <v>#DIV/0!</v>
      </c>
      <c r="V10" s="15">
        <v>0</v>
      </c>
      <c r="W10" s="15"/>
      <c r="X10" s="15"/>
      <c r="Y10" s="16"/>
      <c r="Z10" s="18"/>
      <c r="AA10" s="15"/>
      <c r="AB10" s="15"/>
      <c r="AC10" s="15"/>
      <c r="AD10" s="18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0" x14ac:dyDescent="0.25">
      <c r="A11" s="19" t="s">
        <v>44</v>
      </c>
      <c r="B11" s="15" t="s">
        <v>32</v>
      </c>
      <c r="C11" s="15"/>
      <c r="D11" s="15">
        <v>168</v>
      </c>
      <c r="E11" s="20">
        <v>14</v>
      </c>
      <c r="F11" s="20">
        <v>154</v>
      </c>
      <c r="G11" s="16">
        <v>0</v>
      </c>
      <c r="H11" s="15"/>
      <c r="I11" s="19" t="s">
        <v>42</v>
      </c>
      <c r="J11" s="19" t="s">
        <v>45</v>
      </c>
      <c r="K11" s="15">
        <v>14</v>
      </c>
      <c r="L11" s="15">
        <f t="shared" si="1"/>
        <v>0</v>
      </c>
      <c r="M11" s="15"/>
      <c r="N11" s="15"/>
      <c r="O11" s="15"/>
      <c r="P11" s="15">
        <f t="shared" si="2"/>
        <v>2.8</v>
      </c>
      <c r="Q11" s="17"/>
      <c r="R11" s="17"/>
      <c r="S11" s="17"/>
      <c r="T11" s="15">
        <f t="shared" si="3"/>
        <v>55</v>
      </c>
      <c r="U11" s="15">
        <f t="shared" si="4"/>
        <v>55</v>
      </c>
      <c r="V11" s="15">
        <v>0</v>
      </c>
      <c r="W11" s="15"/>
      <c r="X11" s="15"/>
      <c r="Y11" s="16"/>
      <c r="Z11" s="18"/>
      <c r="AA11" s="15"/>
      <c r="AB11" s="15"/>
      <c r="AC11" s="15"/>
      <c r="AD11" s="18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0" x14ac:dyDescent="0.25">
      <c r="A12" s="15" t="s">
        <v>46</v>
      </c>
      <c r="B12" s="15" t="s">
        <v>32</v>
      </c>
      <c r="C12" s="15"/>
      <c r="D12" s="15">
        <v>372</v>
      </c>
      <c r="E12" s="20">
        <v>106</v>
      </c>
      <c r="F12" s="20">
        <v>289</v>
      </c>
      <c r="G12" s="16">
        <v>0</v>
      </c>
      <c r="H12" s="15">
        <v>180</v>
      </c>
      <c r="I12" s="15" t="s">
        <v>42</v>
      </c>
      <c r="J12" s="15" t="s">
        <v>47</v>
      </c>
      <c r="K12" s="15">
        <v>79</v>
      </c>
      <c r="L12" s="15">
        <f t="shared" si="1"/>
        <v>27</v>
      </c>
      <c r="M12" s="15"/>
      <c r="N12" s="15"/>
      <c r="O12" s="15"/>
      <c r="P12" s="15">
        <f t="shared" si="2"/>
        <v>21.2</v>
      </c>
      <c r="Q12" s="17"/>
      <c r="R12" s="17"/>
      <c r="S12" s="17"/>
      <c r="T12" s="15">
        <f t="shared" si="3"/>
        <v>13.632075471698114</v>
      </c>
      <c r="U12" s="15">
        <f t="shared" si="4"/>
        <v>13.632075471698114</v>
      </c>
      <c r="V12" s="15">
        <v>0</v>
      </c>
      <c r="W12" s="15"/>
      <c r="X12" s="15"/>
      <c r="Y12" s="16"/>
      <c r="Z12" s="18"/>
      <c r="AA12" s="15"/>
      <c r="AB12" s="15"/>
      <c r="AC12" s="15"/>
      <c r="AD12" s="18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0" x14ac:dyDescent="0.25">
      <c r="A13" s="19" t="s">
        <v>48</v>
      </c>
      <c r="B13" s="15" t="s">
        <v>32</v>
      </c>
      <c r="C13" s="15"/>
      <c r="D13" s="15">
        <v>336</v>
      </c>
      <c r="E13" s="20">
        <v>42</v>
      </c>
      <c r="F13" s="20">
        <v>288</v>
      </c>
      <c r="G13" s="16">
        <v>0</v>
      </c>
      <c r="H13" s="15"/>
      <c r="I13" s="19" t="s">
        <v>42</v>
      </c>
      <c r="J13" s="15" t="s">
        <v>49</v>
      </c>
      <c r="K13" s="15">
        <v>46</v>
      </c>
      <c r="L13" s="15">
        <f t="shared" si="1"/>
        <v>-4</v>
      </c>
      <c r="M13" s="15"/>
      <c r="N13" s="15"/>
      <c r="O13" s="15"/>
      <c r="P13" s="15">
        <f t="shared" si="2"/>
        <v>8.4</v>
      </c>
      <c r="Q13" s="17"/>
      <c r="R13" s="17"/>
      <c r="S13" s="17"/>
      <c r="T13" s="15">
        <f t="shared" si="3"/>
        <v>34.285714285714285</v>
      </c>
      <c r="U13" s="15">
        <f t="shared" si="4"/>
        <v>34.285714285714285</v>
      </c>
      <c r="V13" s="15">
        <v>0</v>
      </c>
      <c r="W13" s="15"/>
      <c r="X13" s="15"/>
      <c r="Y13" s="16"/>
      <c r="Z13" s="18"/>
      <c r="AA13" s="15"/>
      <c r="AB13" s="15"/>
      <c r="AC13" s="15"/>
      <c r="AD13" s="18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0" x14ac:dyDescent="0.25">
      <c r="A14" s="14" t="s">
        <v>50</v>
      </c>
      <c r="B14" s="14" t="s">
        <v>32</v>
      </c>
      <c r="C14" s="14"/>
      <c r="D14" s="14">
        <v>252</v>
      </c>
      <c r="E14" s="14">
        <v>10</v>
      </c>
      <c r="F14" s="14">
        <v>249</v>
      </c>
      <c r="G14" s="7">
        <v>0.28000000000000003</v>
      </c>
      <c r="H14" s="14">
        <v>180</v>
      </c>
      <c r="I14" s="14" t="s">
        <v>51</v>
      </c>
      <c r="J14" s="14"/>
      <c r="K14" s="14">
        <v>52</v>
      </c>
      <c r="L14" s="14">
        <f t="shared" si="1"/>
        <v>-42</v>
      </c>
      <c r="M14" s="14"/>
      <c r="N14" s="14"/>
      <c r="O14" s="14"/>
      <c r="P14" s="14">
        <f t="shared" si="2"/>
        <v>2</v>
      </c>
      <c r="Q14" s="4"/>
      <c r="R14" s="4"/>
      <c r="S14" s="4">
        <f>Y14*Z14</f>
        <v>0</v>
      </c>
      <c r="T14" s="14">
        <f t="shared" si="3"/>
        <v>124.5</v>
      </c>
      <c r="U14" s="14">
        <f t="shared" si="4"/>
        <v>124.5</v>
      </c>
      <c r="V14" s="14">
        <v>0</v>
      </c>
      <c r="W14" s="14"/>
      <c r="X14" s="14">
        <f>G14*R14</f>
        <v>0</v>
      </c>
      <c r="Y14" s="7">
        <v>6</v>
      </c>
      <c r="Z14" s="9">
        <f>MROUND(R14, Y14*AB14)/Y14</f>
        <v>0</v>
      </c>
      <c r="AA14" s="14">
        <f>Z14*Y14*G14</f>
        <v>0</v>
      </c>
      <c r="AB14" s="14">
        <v>14</v>
      </c>
      <c r="AC14" s="14">
        <v>140</v>
      </c>
      <c r="AD14" s="9">
        <f>Z14/AC14</f>
        <v>0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0" x14ac:dyDescent="0.25">
      <c r="A15" s="14" t="s">
        <v>52</v>
      </c>
      <c r="B15" s="14" t="s">
        <v>32</v>
      </c>
      <c r="C15" s="14"/>
      <c r="D15" s="14">
        <v>132</v>
      </c>
      <c r="E15" s="14">
        <v>70</v>
      </c>
      <c r="F15" s="14">
        <v>85</v>
      </c>
      <c r="G15" s="7">
        <v>0.24</v>
      </c>
      <c r="H15" s="14">
        <v>180</v>
      </c>
      <c r="I15" s="14" t="s">
        <v>53</v>
      </c>
      <c r="J15" s="14"/>
      <c r="K15" s="14">
        <v>44</v>
      </c>
      <c r="L15" s="14">
        <f t="shared" si="1"/>
        <v>26</v>
      </c>
      <c r="M15" s="14"/>
      <c r="N15" s="14"/>
      <c r="O15" s="14"/>
      <c r="P15" s="14">
        <f t="shared" si="2"/>
        <v>14</v>
      </c>
      <c r="Q15" s="4">
        <v>111</v>
      </c>
      <c r="R15" s="4">
        <f>14*P15-F15</f>
        <v>111</v>
      </c>
      <c r="S15" s="4">
        <f>Y15*Z15</f>
        <v>168</v>
      </c>
      <c r="T15" s="14">
        <f t="shared" si="3"/>
        <v>18.071428571428573</v>
      </c>
      <c r="U15" s="14">
        <f t="shared" si="4"/>
        <v>6.0714285714285712</v>
      </c>
      <c r="V15" s="14">
        <v>0</v>
      </c>
      <c r="W15" s="14"/>
      <c r="X15" s="14">
        <f>G15*R15</f>
        <v>26.64</v>
      </c>
      <c r="Y15" s="7">
        <v>12</v>
      </c>
      <c r="Z15" s="9">
        <f>MROUND(R15, Y15*AB15)/Y15</f>
        <v>14</v>
      </c>
      <c r="AA15" s="14">
        <f>Z15*Y15*G15</f>
        <v>40.32</v>
      </c>
      <c r="AB15" s="14">
        <v>14</v>
      </c>
      <c r="AC15" s="14">
        <v>70</v>
      </c>
      <c r="AD15" s="9">
        <f>Z15/AC15</f>
        <v>0.2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x14ac:dyDescent="0.25">
      <c r="A16" s="15" t="s">
        <v>54</v>
      </c>
      <c r="B16" s="15" t="s">
        <v>32</v>
      </c>
      <c r="C16" s="15"/>
      <c r="D16" s="15">
        <v>384</v>
      </c>
      <c r="E16" s="20">
        <v>57</v>
      </c>
      <c r="F16" s="20">
        <v>333</v>
      </c>
      <c r="G16" s="16">
        <v>0</v>
      </c>
      <c r="H16" s="15">
        <v>180</v>
      </c>
      <c r="I16" s="15" t="s">
        <v>42</v>
      </c>
      <c r="J16" s="15" t="s">
        <v>55</v>
      </c>
      <c r="K16" s="15">
        <v>54</v>
      </c>
      <c r="L16" s="15">
        <f t="shared" si="1"/>
        <v>3</v>
      </c>
      <c r="M16" s="15"/>
      <c r="N16" s="15"/>
      <c r="O16" s="15"/>
      <c r="P16" s="15">
        <f t="shared" si="2"/>
        <v>11.4</v>
      </c>
      <c r="Q16" s="17"/>
      <c r="R16" s="17"/>
      <c r="S16" s="17"/>
      <c r="T16" s="15">
        <f t="shared" si="3"/>
        <v>29.210526315789473</v>
      </c>
      <c r="U16" s="15">
        <f t="shared" si="4"/>
        <v>29.210526315789473</v>
      </c>
      <c r="V16" s="15">
        <v>0</v>
      </c>
      <c r="W16" s="15"/>
      <c r="X16" s="15"/>
      <c r="Y16" s="16"/>
      <c r="Z16" s="18"/>
      <c r="AA16" s="15"/>
      <c r="AB16" s="15"/>
      <c r="AC16" s="15"/>
      <c r="AD16" s="18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0" x14ac:dyDescent="0.25">
      <c r="A17" s="14" t="s">
        <v>55</v>
      </c>
      <c r="B17" s="14" t="s">
        <v>32</v>
      </c>
      <c r="C17" s="14"/>
      <c r="D17" s="14"/>
      <c r="E17" s="20">
        <f>36+E16</f>
        <v>93</v>
      </c>
      <c r="F17" s="20">
        <f>-48+F16</f>
        <v>285</v>
      </c>
      <c r="G17" s="7">
        <v>0.24</v>
      </c>
      <c r="H17" s="14">
        <v>180</v>
      </c>
      <c r="I17" s="14" t="s">
        <v>56</v>
      </c>
      <c r="J17" s="14"/>
      <c r="K17" s="14">
        <v>75</v>
      </c>
      <c r="L17" s="14">
        <f t="shared" si="1"/>
        <v>18</v>
      </c>
      <c r="M17" s="14"/>
      <c r="N17" s="14"/>
      <c r="O17" s="14"/>
      <c r="P17" s="14">
        <f t="shared" si="2"/>
        <v>18.600000000000001</v>
      </c>
      <c r="Q17" s="4"/>
      <c r="R17" s="4"/>
      <c r="S17" s="4">
        <f>Y17*Z17</f>
        <v>0</v>
      </c>
      <c r="T17" s="14">
        <f t="shared" si="3"/>
        <v>15.32258064516129</v>
      </c>
      <c r="U17" s="14">
        <f t="shared" si="4"/>
        <v>15.32258064516129</v>
      </c>
      <c r="V17" s="14">
        <v>0</v>
      </c>
      <c r="W17" s="14"/>
      <c r="X17" s="14">
        <f>G17*R17</f>
        <v>0</v>
      </c>
      <c r="Y17" s="7">
        <v>12</v>
      </c>
      <c r="Z17" s="9">
        <f>MROUND(R17, Y17*AB17)/Y17</f>
        <v>0</v>
      </c>
      <c r="AA17" s="14">
        <f>Z17*Y17*G17</f>
        <v>0</v>
      </c>
      <c r="AB17" s="14">
        <v>14</v>
      </c>
      <c r="AC17" s="14">
        <v>70</v>
      </c>
      <c r="AD17" s="9">
        <f>Z17/AC17</f>
        <v>0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pans="1:40" x14ac:dyDescent="0.25">
      <c r="A18" s="14" t="s">
        <v>57</v>
      </c>
      <c r="B18" s="14" t="s">
        <v>32</v>
      </c>
      <c r="C18" s="14"/>
      <c r="D18" s="14">
        <v>252</v>
      </c>
      <c r="E18" s="14">
        <v>92</v>
      </c>
      <c r="F18" s="14">
        <v>144</v>
      </c>
      <c r="G18" s="7">
        <v>0.24</v>
      </c>
      <c r="H18" s="14">
        <v>180</v>
      </c>
      <c r="I18" s="14" t="s">
        <v>58</v>
      </c>
      <c r="J18" s="14"/>
      <c r="K18" s="14">
        <v>105</v>
      </c>
      <c r="L18" s="14">
        <f t="shared" si="1"/>
        <v>-13</v>
      </c>
      <c r="M18" s="14"/>
      <c r="N18" s="14"/>
      <c r="O18" s="14"/>
      <c r="P18" s="14">
        <f t="shared" si="2"/>
        <v>18.399999999999999</v>
      </c>
      <c r="Q18" s="4">
        <v>113.59999999999997</v>
      </c>
      <c r="R18" s="4">
        <f>14*P18-F18</f>
        <v>113.59999999999997</v>
      </c>
      <c r="S18" s="4">
        <f>Y18*Z18</f>
        <v>168</v>
      </c>
      <c r="T18" s="14">
        <f t="shared" si="3"/>
        <v>16.956521739130437</v>
      </c>
      <c r="U18" s="14">
        <f t="shared" si="4"/>
        <v>7.8260869565217401</v>
      </c>
      <c r="V18" s="14">
        <v>0</v>
      </c>
      <c r="W18" s="14"/>
      <c r="X18" s="14">
        <f>G18*R18</f>
        <v>27.263999999999992</v>
      </c>
      <c r="Y18" s="7">
        <v>12</v>
      </c>
      <c r="Z18" s="9">
        <f>MROUND(R18, Y18*AB18)/Y18</f>
        <v>14</v>
      </c>
      <c r="AA18" s="14">
        <f>Z18*Y18*G18</f>
        <v>40.32</v>
      </c>
      <c r="AB18" s="14">
        <v>14</v>
      </c>
      <c r="AC18" s="14">
        <v>70</v>
      </c>
      <c r="AD18" s="9">
        <f>Z18/AC18</f>
        <v>0.2</v>
      </c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0" x14ac:dyDescent="0.25">
      <c r="A19" s="19" t="s">
        <v>59</v>
      </c>
      <c r="B19" s="15" t="s">
        <v>32</v>
      </c>
      <c r="C19" s="15"/>
      <c r="D19" s="15">
        <v>510</v>
      </c>
      <c r="E19" s="20">
        <v>17</v>
      </c>
      <c r="F19" s="20">
        <v>487</v>
      </c>
      <c r="G19" s="16">
        <v>0</v>
      </c>
      <c r="H19" s="15">
        <v>180</v>
      </c>
      <c r="I19" s="15" t="s">
        <v>42</v>
      </c>
      <c r="J19" s="15" t="s">
        <v>34</v>
      </c>
      <c r="K19" s="15">
        <v>23</v>
      </c>
      <c r="L19" s="15">
        <f t="shared" si="1"/>
        <v>-6</v>
      </c>
      <c r="M19" s="15"/>
      <c r="N19" s="15"/>
      <c r="O19" s="15"/>
      <c r="P19" s="15">
        <f t="shared" si="2"/>
        <v>3.4</v>
      </c>
      <c r="Q19" s="17"/>
      <c r="R19" s="17"/>
      <c r="S19" s="17"/>
      <c r="T19" s="15">
        <f t="shared" si="3"/>
        <v>143.23529411764707</v>
      </c>
      <c r="U19" s="15">
        <f t="shared" si="4"/>
        <v>143.23529411764707</v>
      </c>
      <c r="V19" s="15">
        <v>0</v>
      </c>
      <c r="W19" s="15"/>
      <c r="X19" s="15"/>
      <c r="Y19" s="16"/>
      <c r="Z19" s="18"/>
      <c r="AA19" s="15"/>
      <c r="AB19" s="15"/>
      <c r="AC19" s="15"/>
      <c r="AD19" s="18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  <row r="20" spans="1:40" x14ac:dyDescent="0.25">
      <c r="A20" s="15" t="s">
        <v>60</v>
      </c>
      <c r="B20" s="15" t="s">
        <v>32</v>
      </c>
      <c r="C20" s="15"/>
      <c r="D20" s="15">
        <v>152</v>
      </c>
      <c r="E20" s="20">
        <v>10</v>
      </c>
      <c r="F20" s="20">
        <v>139</v>
      </c>
      <c r="G20" s="16">
        <v>0</v>
      </c>
      <c r="H20" s="15">
        <v>180</v>
      </c>
      <c r="I20" s="15" t="s">
        <v>42</v>
      </c>
      <c r="J20" s="15" t="s">
        <v>61</v>
      </c>
      <c r="K20" s="15">
        <v>10</v>
      </c>
      <c r="L20" s="15">
        <f t="shared" si="1"/>
        <v>0</v>
      </c>
      <c r="M20" s="15"/>
      <c r="N20" s="15"/>
      <c r="O20" s="15"/>
      <c r="P20" s="15">
        <f t="shared" si="2"/>
        <v>2</v>
      </c>
      <c r="Q20" s="17"/>
      <c r="R20" s="17"/>
      <c r="S20" s="17"/>
      <c r="T20" s="15">
        <f t="shared" si="3"/>
        <v>69.5</v>
      </c>
      <c r="U20" s="15">
        <f t="shared" si="4"/>
        <v>69.5</v>
      </c>
      <c r="V20" s="15">
        <v>0</v>
      </c>
      <c r="W20" s="15"/>
      <c r="X20" s="15"/>
      <c r="Y20" s="16"/>
      <c r="Z20" s="18"/>
      <c r="AA20" s="15"/>
      <c r="AB20" s="15"/>
      <c r="AC20" s="15"/>
      <c r="AD20" s="18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0" x14ac:dyDescent="0.25">
      <c r="A21" s="13" t="s">
        <v>34</v>
      </c>
      <c r="B21" s="14" t="s">
        <v>32</v>
      </c>
      <c r="C21" s="14"/>
      <c r="D21" s="14">
        <v>24</v>
      </c>
      <c r="E21" s="20">
        <f>36+E6+E19</f>
        <v>87</v>
      </c>
      <c r="F21" s="20">
        <f>24+F6+F19</f>
        <v>492</v>
      </c>
      <c r="G21" s="7">
        <v>0.24</v>
      </c>
      <c r="H21" s="14">
        <v>180</v>
      </c>
      <c r="I21" s="14" t="s">
        <v>62</v>
      </c>
      <c r="J21" s="14"/>
      <c r="K21" s="14">
        <v>24</v>
      </c>
      <c r="L21" s="14">
        <f t="shared" si="1"/>
        <v>63</v>
      </c>
      <c r="M21" s="14"/>
      <c r="N21" s="14"/>
      <c r="O21" s="14"/>
      <c r="P21" s="14">
        <f t="shared" si="2"/>
        <v>17.399999999999999</v>
      </c>
      <c r="Q21" s="4"/>
      <c r="R21" s="4"/>
      <c r="S21" s="4">
        <f t="shared" ref="S21:S52" si="5">Y21*Z21</f>
        <v>0</v>
      </c>
      <c r="T21" s="14">
        <f t="shared" si="3"/>
        <v>28.27586206896552</v>
      </c>
      <c r="U21" s="14">
        <f t="shared" si="4"/>
        <v>28.27586206896552</v>
      </c>
      <c r="V21" s="14">
        <v>0</v>
      </c>
      <c r="W21" s="14"/>
      <c r="X21" s="14">
        <f t="shared" ref="X21:X52" si="6">G21*R21</f>
        <v>0</v>
      </c>
      <c r="Y21" s="7">
        <v>12</v>
      </c>
      <c r="Z21" s="9">
        <f t="shared" ref="Z21:Z52" si="7">MROUND(R21, Y21*AB21)/Y21</f>
        <v>0</v>
      </c>
      <c r="AA21" s="14">
        <f t="shared" ref="AA21:AA52" si="8">Z21*Y21*G21</f>
        <v>0</v>
      </c>
      <c r="AB21" s="14">
        <v>14</v>
      </c>
      <c r="AC21" s="14">
        <v>70</v>
      </c>
      <c r="AD21" s="9">
        <f t="shared" ref="AD21:AD52" si="9">Z21/AC21</f>
        <v>0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</row>
    <row r="22" spans="1:40" x14ac:dyDescent="0.25">
      <c r="A22" s="14" t="s">
        <v>61</v>
      </c>
      <c r="B22" s="14" t="s">
        <v>32</v>
      </c>
      <c r="C22" s="14"/>
      <c r="D22" s="14"/>
      <c r="E22" s="20">
        <f>0+E20</f>
        <v>10</v>
      </c>
      <c r="F22" s="20">
        <f>0+F20</f>
        <v>139</v>
      </c>
      <c r="G22" s="7">
        <v>0.48</v>
      </c>
      <c r="H22" s="14">
        <v>180</v>
      </c>
      <c r="I22" s="14" t="s">
        <v>63</v>
      </c>
      <c r="J22" s="14"/>
      <c r="K22" s="14"/>
      <c r="L22" s="14">
        <f t="shared" si="1"/>
        <v>10</v>
      </c>
      <c r="M22" s="14"/>
      <c r="N22" s="14"/>
      <c r="O22" s="14"/>
      <c r="P22" s="14">
        <f t="shared" si="2"/>
        <v>2</v>
      </c>
      <c r="Q22" s="4"/>
      <c r="R22" s="4"/>
      <c r="S22" s="4">
        <f t="shared" si="5"/>
        <v>0</v>
      </c>
      <c r="T22" s="14">
        <f t="shared" si="3"/>
        <v>69.5</v>
      </c>
      <c r="U22" s="14">
        <f t="shared" si="4"/>
        <v>69.5</v>
      </c>
      <c r="V22" s="14">
        <v>0</v>
      </c>
      <c r="W22" s="14"/>
      <c r="X22" s="14">
        <f t="shared" si="6"/>
        <v>0</v>
      </c>
      <c r="Y22" s="7">
        <v>8</v>
      </c>
      <c r="Z22" s="9">
        <f t="shared" si="7"/>
        <v>0</v>
      </c>
      <c r="AA22" s="14">
        <f t="shared" si="8"/>
        <v>0</v>
      </c>
      <c r="AB22" s="14">
        <v>14</v>
      </c>
      <c r="AC22" s="14">
        <v>70</v>
      </c>
      <c r="AD22" s="9">
        <f t="shared" si="9"/>
        <v>0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0" x14ac:dyDescent="0.25">
      <c r="A23" s="14" t="s">
        <v>64</v>
      </c>
      <c r="B23" s="14" t="s">
        <v>32</v>
      </c>
      <c r="C23" s="14"/>
      <c r="D23" s="14">
        <v>288</v>
      </c>
      <c r="E23" s="14">
        <v>46</v>
      </c>
      <c r="F23" s="14">
        <v>246</v>
      </c>
      <c r="G23" s="7">
        <v>0.09</v>
      </c>
      <c r="H23" s="14">
        <v>180</v>
      </c>
      <c r="I23" s="14" t="s">
        <v>65</v>
      </c>
      <c r="J23" s="14"/>
      <c r="K23" s="14">
        <v>52</v>
      </c>
      <c r="L23" s="14">
        <f t="shared" si="1"/>
        <v>-6</v>
      </c>
      <c r="M23" s="14"/>
      <c r="N23" s="14"/>
      <c r="O23" s="14"/>
      <c r="P23" s="14">
        <f t="shared" si="2"/>
        <v>9.1999999999999993</v>
      </c>
      <c r="Q23" s="4"/>
      <c r="R23" s="4"/>
      <c r="S23" s="4">
        <f t="shared" si="5"/>
        <v>0</v>
      </c>
      <c r="T23" s="14">
        <f t="shared" si="3"/>
        <v>26.739130434782609</v>
      </c>
      <c r="U23" s="14">
        <f t="shared" si="4"/>
        <v>26.739130434782609</v>
      </c>
      <c r="V23" s="14">
        <v>0</v>
      </c>
      <c r="W23" s="14"/>
      <c r="X23" s="14">
        <f t="shared" si="6"/>
        <v>0</v>
      </c>
      <c r="Y23" s="7">
        <v>24</v>
      </c>
      <c r="Z23" s="9">
        <f t="shared" si="7"/>
        <v>0</v>
      </c>
      <c r="AA23" s="14">
        <f t="shared" si="8"/>
        <v>0</v>
      </c>
      <c r="AB23" s="14">
        <v>14</v>
      </c>
      <c r="AC23" s="14">
        <v>126</v>
      </c>
      <c r="AD23" s="9">
        <f t="shared" si="9"/>
        <v>0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0" x14ac:dyDescent="0.25">
      <c r="A24" s="14" t="s">
        <v>66</v>
      </c>
      <c r="B24" s="14" t="s">
        <v>32</v>
      </c>
      <c r="C24" s="14"/>
      <c r="D24" s="14">
        <v>30</v>
      </c>
      <c r="E24" s="14">
        <v>36</v>
      </c>
      <c r="F24" s="14">
        <v>8</v>
      </c>
      <c r="G24" s="7">
        <v>0.36</v>
      </c>
      <c r="H24" s="14">
        <v>180</v>
      </c>
      <c r="I24" s="14" t="s">
        <v>67</v>
      </c>
      <c r="J24" s="14"/>
      <c r="K24" s="14">
        <v>22</v>
      </c>
      <c r="L24" s="14">
        <f t="shared" si="1"/>
        <v>14</v>
      </c>
      <c r="M24" s="14"/>
      <c r="N24" s="14"/>
      <c r="O24" s="14"/>
      <c r="P24" s="14">
        <f t="shared" si="2"/>
        <v>7.2</v>
      </c>
      <c r="Q24" s="21">
        <v>0</v>
      </c>
      <c r="R24" s="21">
        <v>0</v>
      </c>
      <c r="S24" s="21">
        <f t="shared" si="5"/>
        <v>0</v>
      </c>
      <c r="T24" s="14">
        <f t="shared" si="3"/>
        <v>1.1111111111111112</v>
      </c>
      <c r="U24" s="14">
        <f t="shared" si="4"/>
        <v>1.1111111111111112</v>
      </c>
      <c r="V24" s="14">
        <v>0</v>
      </c>
      <c r="W24" s="6" t="s">
        <v>68</v>
      </c>
      <c r="X24" s="14">
        <f t="shared" si="6"/>
        <v>0</v>
      </c>
      <c r="Y24" s="7">
        <v>10</v>
      </c>
      <c r="Z24" s="9">
        <f t="shared" si="7"/>
        <v>0</v>
      </c>
      <c r="AA24" s="14">
        <f t="shared" si="8"/>
        <v>0</v>
      </c>
      <c r="AB24" s="14">
        <v>14</v>
      </c>
      <c r="AC24" s="14">
        <v>70</v>
      </c>
      <c r="AD24" s="9">
        <f t="shared" si="9"/>
        <v>0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0" x14ac:dyDescent="0.25">
      <c r="A25" s="14" t="s">
        <v>69</v>
      </c>
      <c r="B25" s="14" t="s">
        <v>32</v>
      </c>
      <c r="C25" s="14"/>
      <c r="D25" s="14">
        <v>98</v>
      </c>
      <c r="E25" s="14">
        <v>2</v>
      </c>
      <c r="F25" s="14">
        <v>96</v>
      </c>
      <c r="G25" s="7">
        <v>0.2</v>
      </c>
      <c r="H25" s="14">
        <v>180</v>
      </c>
      <c r="I25" s="14" t="s">
        <v>70</v>
      </c>
      <c r="J25" s="14"/>
      <c r="K25" s="14">
        <v>2</v>
      </c>
      <c r="L25" s="14">
        <f t="shared" si="1"/>
        <v>0</v>
      </c>
      <c r="M25" s="14"/>
      <c r="N25" s="14"/>
      <c r="O25" s="14"/>
      <c r="P25" s="14">
        <f t="shared" si="2"/>
        <v>0.4</v>
      </c>
      <c r="Q25" s="4"/>
      <c r="R25" s="4"/>
      <c r="S25" s="4">
        <f t="shared" si="5"/>
        <v>0</v>
      </c>
      <c r="T25" s="14">
        <f t="shared" si="3"/>
        <v>240</v>
      </c>
      <c r="U25" s="14">
        <f t="shared" si="4"/>
        <v>240</v>
      </c>
      <c r="V25" s="14">
        <v>0</v>
      </c>
      <c r="W25" s="14"/>
      <c r="X25" s="14">
        <f t="shared" si="6"/>
        <v>0</v>
      </c>
      <c r="Y25" s="7">
        <v>12</v>
      </c>
      <c r="Z25" s="9">
        <f t="shared" si="7"/>
        <v>0</v>
      </c>
      <c r="AA25" s="14">
        <f t="shared" si="8"/>
        <v>0</v>
      </c>
      <c r="AB25" s="14">
        <v>14</v>
      </c>
      <c r="AC25" s="14">
        <v>70</v>
      </c>
      <c r="AD25" s="9">
        <f t="shared" si="9"/>
        <v>0</v>
      </c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 x14ac:dyDescent="0.25">
      <c r="A26" s="14" t="s">
        <v>71</v>
      </c>
      <c r="B26" s="14" t="s">
        <v>32</v>
      </c>
      <c r="C26" s="14"/>
      <c r="D26" s="14">
        <v>504</v>
      </c>
      <c r="E26" s="14">
        <v>56</v>
      </c>
      <c r="F26" s="14">
        <v>474</v>
      </c>
      <c r="G26" s="7">
        <v>0.2</v>
      </c>
      <c r="H26" s="14">
        <v>180</v>
      </c>
      <c r="I26" s="14" t="s">
        <v>72</v>
      </c>
      <c r="J26" s="14"/>
      <c r="K26" s="14">
        <v>126</v>
      </c>
      <c r="L26" s="14">
        <f t="shared" si="1"/>
        <v>-70</v>
      </c>
      <c r="M26" s="14"/>
      <c r="N26" s="14"/>
      <c r="O26" s="14"/>
      <c r="P26" s="14">
        <f t="shared" si="2"/>
        <v>11.2</v>
      </c>
      <c r="Q26" s="4"/>
      <c r="R26" s="4"/>
      <c r="S26" s="4">
        <f t="shared" si="5"/>
        <v>0</v>
      </c>
      <c r="T26" s="14">
        <f t="shared" si="3"/>
        <v>42.321428571428577</v>
      </c>
      <c r="U26" s="14">
        <f t="shared" si="4"/>
        <v>42.321428571428577</v>
      </c>
      <c r="V26" s="14">
        <v>0</v>
      </c>
      <c r="W26" s="14"/>
      <c r="X26" s="14">
        <f t="shared" si="6"/>
        <v>0</v>
      </c>
      <c r="Y26" s="7">
        <v>12</v>
      </c>
      <c r="Z26" s="9">
        <f t="shared" si="7"/>
        <v>0</v>
      </c>
      <c r="AA26" s="14">
        <f t="shared" si="8"/>
        <v>0</v>
      </c>
      <c r="AB26" s="14">
        <v>14</v>
      </c>
      <c r="AC26" s="14">
        <v>70</v>
      </c>
      <c r="AD26" s="9">
        <f t="shared" si="9"/>
        <v>0</v>
      </c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x14ac:dyDescent="0.25">
      <c r="A27" s="13" t="s">
        <v>43</v>
      </c>
      <c r="B27" s="14" t="s">
        <v>32</v>
      </c>
      <c r="C27" s="14"/>
      <c r="D27" s="14">
        <v>127</v>
      </c>
      <c r="E27" s="14">
        <v>74</v>
      </c>
      <c r="F27" s="20">
        <f>62+F10</f>
        <v>56</v>
      </c>
      <c r="G27" s="7">
        <v>0.2</v>
      </c>
      <c r="H27" s="14">
        <v>180</v>
      </c>
      <c r="I27" s="14" t="s">
        <v>73</v>
      </c>
      <c r="J27" s="14"/>
      <c r="K27" s="14">
        <v>61</v>
      </c>
      <c r="L27" s="14">
        <f t="shared" si="1"/>
        <v>13</v>
      </c>
      <c r="M27" s="14"/>
      <c r="N27" s="14"/>
      <c r="O27" s="14"/>
      <c r="P27" s="14">
        <f t="shared" si="2"/>
        <v>14.8</v>
      </c>
      <c r="Q27" s="4">
        <v>151.20000000000002</v>
      </c>
      <c r="R27" s="4">
        <f>$R$1*P27-F27</f>
        <v>151.20000000000002</v>
      </c>
      <c r="S27" s="4">
        <f t="shared" si="5"/>
        <v>168</v>
      </c>
      <c r="T27" s="14">
        <f t="shared" si="3"/>
        <v>15.135135135135135</v>
      </c>
      <c r="U27" s="14">
        <f t="shared" si="4"/>
        <v>3.7837837837837838</v>
      </c>
      <c r="V27" s="14">
        <v>0</v>
      </c>
      <c r="W27" s="14"/>
      <c r="X27" s="14">
        <f t="shared" si="6"/>
        <v>30.240000000000006</v>
      </c>
      <c r="Y27" s="7">
        <v>12</v>
      </c>
      <c r="Z27" s="9">
        <f t="shared" si="7"/>
        <v>14</v>
      </c>
      <c r="AA27" s="14">
        <f t="shared" si="8"/>
        <v>33.6</v>
      </c>
      <c r="AB27" s="14">
        <v>14</v>
      </c>
      <c r="AC27" s="14">
        <v>70</v>
      </c>
      <c r="AD27" s="9">
        <f t="shared" si="9"/>
        <v>0.2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x14ac:dyDescent="0.25">
      <c r="A28" s="14" t="s">
        <v>74</v>
      </c>
      <c r="B28" s="14" t="s">
        <v>75</v>
      </c>
      <c r="C28" s="14"/>
      <c r="D28" s="14">
        <v>103.6</v>
      </c>
      <c r="E28" s="14">
        <v>11.1</v>
      </c>
      <c r="F28" s="14">
        <v>96.2</v>
      </c>
      <c r="G28" s="7">
        <v>1</v>
      </c>
      <c r="H28" s="14">
        <v>180</v>
      </c>
      <c r="I28" s="14" t="s">
        <v>76</v>
      </c>
      <c r="J28" s="14"/>
      <c r="K28" s="14">
        <v>3.7</v>
      </c>
      <c r="L28" s="14">
        <f t="shared" si="1"/>
        <v>7.3999999999999995</v>
      </c>
      <c r="M28" s="14"/>
      <c r="N28" s="14"/>
      <c r="O28" s="14"/>
      <c r="P28" s="14">
        <f t="shared" si="2"/>
        <v>2.2199999999999998</v>
      </c>
      <c r="Q28" s="4"/>
      <c r="R28" s="4"/>
      <c r="S28" s="4">
        <f t="shared" si="5"/>
        <v>0</v>
      </c>
      <c r="T28" s="14">
        <f t="shared" si="3"/>
        <v>43.333333333333343</v>
      </c>
      <c r="U28" s="14">
        <f t="shared" si="4"/>
        <v>43.333333333333343</v>
      </c>
      <c r="V28" s="14">
        <v>0</v>
      </c>
      <c r="W28" s="14"/>
      <c r="X28" s="14">
        <f t="shared" si="6"/>
        <v>0</v>
      </c>
      <c r="Y28" s="7">
        <v>3.7</v>
      </c>
      <c r="Z28" s="9">
        <f t="shared" si="7"/>
        <v>0</v>
      </c>
      <c r="AA28" s="14">
        <f t="shared" si="8"/>
        <v>0</v>
      </c>
      <c r="AB28" s="14">
        <v>14</v>
      </c>
      <c r="AC28" s="14">
        <v>126</v>
      </c>
      <c r="AD28" s="9">
        <f t="shared" si="9"/>
        <v>0</v>
      </c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0" x14ac:dyDescent="0.25">
      <c r="A29" s="14" t="s">
        <v>77</v>
      </c>
      <c r="B29" s="14" t="s">
        <v>75</v>
      </c>
      <c r="C29" s="14"/>
      <c r="D29" s="14">
        <v>30</v>
      </c>
      <c r="E29" s="14">
        <v>3</v>
      </c>
      <c r="F29" s="14">
        <v>30</v>
      </c>
      <c r="G29" s="7">
        <v>1</v>
      </c>
      <c r="H29" s="14">
        <v>180</v>
      </c>
      <c r="I29" s="14" t="s">
        <v>78</v>
      </c>
      <c r="J29" s="14"/>
      <c r="K29" s="14"/>
      <c r="L29" s="14">
        <f t="shared" si="1"/>
        <v>3</v>
      </c>
      <c r="M29" s="14"/>
      <c r="N29" s="14"/>
      <c r="O29" s="14"/>
      <c r="P29" s="14">
        <f t="shared" si="2"/>
        <v>0.6</v>
      </c>
      <c r="Q29" s="4"/>
      <c r="R29" s="4"/>
      <c r="S29" s="4">
        <f t="shared" si="5"/>
        <v>0</v>
      </c>
      <c r="T29" s="14">
        <f t="shared" si="3"/>
        <v>50</v>
      </c>
      <c r="U29" s="14">
        <f t="shared" si="4"/>
        <v>50</v>
      </c>
      <c r="V29" s="14">
        <v>0</v>
      </c>
      <c r="W29" s="14"/>
      <c r="X29" s="14">
        <f t="shared" si="6"/>
        <v>0</v>
      </c>
      <c r="Y29" s="7">
        <v>3</v>
      </c>
      <c r="Z29" s="9">
        <f t="shared" si="7"/>
        <v>0</v>
      </c>
      <c r="AA29" s="14">
        <f t="shared" si="8"/>
        <v>0</v>
      </c>
      <c r="AB29" s="14">
        <v>14</v>
      </c>
      <c r="AC29" s="14">
        <v>126</v>
      </c>
      <c r="AD29" s="9">
        <f t="shared" si="9"/>
        <v>0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spans="1:40" x14ac:dyDescent="0.25">
      <c r="A30" s="14" t="s">
        <v>36</v>
      </c>
      <c r="B30" s="14" t="s">
        <v>32</v>
      </c>
      <c r="C30" s="14"/>
      <c r="D30" s="14">
        <v>519</v>
      </c>
      <c r="E30" s="20">
        <f>166+E7</f>
        <v>170</v>
      </c>
      <c r="F30" s="20">
        <f>388+F7</f>
        <v>381</v>
      </c>
      <c r="G30" s="7">
        <v>0.25</v>
      </c>
      <c r="H30" s="14">
        <v>365</v>
      </c>
      <c r="I30" s="14" t="s">
        <v>79</v>
      </c>
      <c r="J30" s="14"/>
      <c r="K30" s="14">
        <v>162</v>
      </c>
      <c r="L30" s="14">
        <f t="shared" si="1"/>
        <v>8</v>
      </c>
      <c r="M30" s="14"/>
      <c r="N30" s="14"/>
      <c r="O30" s="14"/>
      <c r="P30" s="14">
        <f t="shared" si="2"/>
        <v>34</v>
      </c>
      <c r="Q30" s="4">
        <v>95</v>
      </c>
      <c r="R30" s="4">
        <f>$R$1*P30-F30</f>
        <v>95</v>
      </c>
      <c r="S30" s="4">
        <f t="shared" si="5"/>
        <v>84</v>
      </c>
      <c r="T30" s="14">
        <f t="shared" si="3"/>
        <v>13.676470588235293</v>
      </c>
      <c r="U30" s="14">
        <f t="shared" si="4"/>
        <v>11.205882352941176</v>
      </c>
      <c r="V30" s="14">
        <v>0</v>
      </c>
      <c r="W30" s="14"/>
      <c r="X30" s="14">
        <f t="shared" si="6"/>
        <v>23.75</v>
      </c>
      <c r="Y30" s="7">
        <v>6</v>
      </c>
      <c r="Z30" s="9">
        <f t="shared" si="7"/>
        <v>14</v>
      </c>
      <c r="AA30" s="14">
        <f t="shared" si="8"/>
        <v>21</v>
      </c>
      <c r="AB30" s="14">
        <v>14</v>
      </c>
      <c r="AC30" s="14">
        <v>140</v>
      </c>
      <c r="AD30" s="9">
        <f t="shared" si="9"/>
        <v>0.1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0" x14ac:dyDescent="0.25">
      <c r="A31" s="22" t="s">
        <v>80</v>
      </c>
      <c r="B31" s="14" t="s">
        <v>32</v>
      </c>
      <c r="C31" s="14"/>
      <c r="D31" s="14"/>
      <c r="E31" s="14"/>
      <c r="F31" s="14"/>
      <c r="G31" s="7">
        <v>0.25</v>
      </c>
      <c r="H31" s="14">
        <v>365</v>
      </c>
      <c r="I31" s="14" t="s">
        <v>81</v>
      </c>
      <c r="J31" s="14"/>
      <c r="K31" s="14">
        <v>54</v>
      </c>
      <c r="L31" s="14">
        <f t="shared" si="1"/>
        <v>-54</v>
      </c>
      <c r="M31" s="14"/>
      <c r="N31" s="14"/>
      <c r="O31" s="14"/>
      <c r="P31" s="14">
        <f t="shared" si="2"/>
        <v>0</v>
      </c>
      <c r="Q31" s="4">
        <v>168</v>
      </c>
      <c r="R31" s="4">
        <v>168</v>
      </c>
      <c r="S31" s="4">
        <f t="shared" si="5"/>
        <v>168</v>
      </c>
      <c r="T31" s="14" t="e">
        <f t="shared" si="3"/>
        <v>#DIV/0!</v>
      </c>
      <c r="U31" s="14" t="e">
        <f t="shared" si="4"/>
        <v>#DIV/0!</v>
      </c>
      <c r="V31" s="14">
        <v>0</v>
      </c>
      <c r="W31" s="14"/>
      <c r="X31" s="14">
        <f t="shared" si="6"/>
        <v>42</v>
      </c>
      <c r="Y31" s="7">
        <v>6</v>
      </c>
      <c r="Z31" s="9">
        <f t="shared" si="7"/>
        <v>28</v>
      </c>
      <c r="AA31" s="14">
        <f t="shared" si="8"/>
        <v>42</v>
      </c>
      <c r="AB31" s="14">
        <v>14</v>
      </c>
      <c r="AC31" s="14">
        <v>140</v>
      </c>
      <c r="AD31" s="9">
        <f t="shared" si="9"/>
        <v>0.2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0" x14ac:dyDescent="0.25">
      <c r="A32" s="14" t="s">
        <v>82</v>
      </c>
      <c r="B32" s="14" t="s">
        <v>75</v>
      </c>
      <c r="C32" s="14"/>
      <c r="D32" s="14">
        <v>60</v>
      </c>
      <c r="E32" s="14">
        <v>36</v>
      </c>
      <c r="F32" s="14">
        <v>54</v>
      </c>
      <c r="G32" s="7">
        <v>1</v>
      </c>
      <c r="H32" s="14">
        <v>180</v>
      </c>
      <c r="I32" s="14" t="s">
        <v>83</v>
      </c>
      <c r="J32" s="14"/>
      <c r="K32" s="14">
        <v>6</v>
      </c>
      <c r="L32" s="14">
        <f t="shared" si="1"/>
        <v>30</v>
      </c>
      <c r="M32" s="14"/>
      <c r="N32" s="14"/>
      <c r="O32" s="14"/>
      <c r="P32" s="14">
        <f t="shared" si="2"/>
        <v>7.2</v>
      </c>
      <c r="Q32" s="4">
        <v>46.8</v>
      </c>
      <c r="R32" s="4">
        <f>14*P32-F32</f>
        <v>46.8</v>
      </c>
      <c r="S32" s="4">
        <f t="shared" si="5"/>
        <v>72</v>
      </c>
      <c r="T32" s="14">
        <f t="shared" si="3"/>
        <v>17.5</v>
      </c>
      <c r="U32" s="14">
        <f t="shared" si="4"/>
        <v>7.5</v>
      </c>
      <c r="V32" s="14">
        <v>0</v>
      </c>
      <c r="W32" s="14"/>
      <c r="X32" s="14">
        <f t="shared" si="6"/>
        <v>46.8</v>
      </c>
      <c r="Y32" s="7">
        <v>6</v>
      </c>
      <c r="Z32" s="9">
        <f t="shared" si="7"/>
        <v>12</v>
      </c>
      <c r="AA32" s="14">
        <f t="shared" si="8"/>
        <v>72</v>
      </c>
      <c r="AB32" s="14">
        <v>12</v>
      </c>
      <c r="AC32" s="14">
        <v>84</v>
      </c>
      <c r="AD32" s="9">
        <f t="shared" si="9"/>
        <v>0.14285714285714285</v>
      </c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0" x14ac:dyDescent="0.25">
      <c r="A33" s="14" t="s">
        <v>84</v>
      </c>
      <c r="B33" s="14" t="s">
        <v>32</v>
      </c>
      <c r="C33" s="14"/>
      <c r="D33" s="14">
        <v>72</v>
      </c>
      <c r="E33" s="14">
        <v>24</v>
      </c>
      <c r="F33" s="14">
        <v>45</v>
      </c>
      <c r="G33" s="7">
        <v>0.23</v>
      </c>
      <c r="H33" s="14">
        <v>180</v>
      </c>
      <c r="I33" s="14" t="s">
        <v>85</v>
      </c>
      <c r="J33" s="14"/>
      <c r="K33" s="14">
        <v>39</v>
      </c>
      <c r="L33" s="14">
        <f t="shared" si="1"/>
        <v>-15</v>
      </c>
      <c r="M33" s="14"/>
      <c r="N33" s="14"/>
      <c r="O33" s="14"/>
      <c r="P33" s="14">
        <f t="shared" si="2"/>
        <v>4.8</v>
      </c>
      <c r="Q33" s="4">
        <v>120</v>
      </c>
      <c r="R33" s="4">
        <v>120</v>
      </c>
      <c r="S33" s="4">
        <f t="shared" si="5"/>
        <v>168</v>
      </c>
      <c r="T33" s="14">
        <f t="shared" si="3"/>
        <v>44.375</v>
      </c>
      <c r="U33" s="14">
        <f t="shared" si="4"/>
        <v>9.375</v>
      </c>
      <c r="V33" s="14">
        <v>0</v>
      </c>
      <c r="W33" s="14"/>
      <c r="X33" s="14">
        <f t="shared" si="6"/>
        <v>27.6</v>
      </c>
      <c r="Y33" s="7">
        <v>12</v>
      </c>
      <c r="Z33" s="9">
        <f t="shared" si="7"/>
        <v>14</v>
      </c>
      <c r="AA33" s="14">
        <f t="shared" si="8"/>
        <v>38.64</v>
      </c>
      <c r="AB33" s="14">
        <v>14</v>
      </c>
      <c r="AC33" s="14">
        <v>70</v>
      </c>
      <c r="AD33" s="9">
        <f t="shared" si="9"/>
        <v>0.2</v>
      </c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x14ac:dyDescent="0.25">
      <c r="A34" s="14" t="s">
        <v>86</v>
      </c>
      <c r="B34" s="14" t="s">
        <v>32</v>
      </c>
      <c r="C34" s="14"/>
      <c r="D34" s="14">
        <v>324</v>
      </c>
      <c r="E34" s="14">
        <v>120</v>
      </c>
      <c r="F34" s="14">
        <v>218</v>
      </c>
      <c r="G34" s="7">
        <v>0.25</v>
      </c>
      <c r="H34" s="14">
        <v>365</v>
      </c>
      <c r="I34" s="14" t="s">
        <v>87</v>
      </c>
      <c r="J34" s="14"/>
      <c r="K34" s="14">
        <v>98</v>
      </c>
      <c r="L34" s="14">
        <f t="shared" si="1"/>
        <v>22</v>
      </c>
      <c r="M34" s="14"/>
      <c r="N34" s="14"/>
      <c r="O34" s="14"/>
      <c r="P34" s="14">
        <f t="shared" si="2"/>
        <v>24</v>
      </c>
      <c r="Q34" s="4">
        <v>118</v>
      </c>
      <c r="R34" s="4">
        <f>$R$1*P34-F34</f>
        <v>118</v>
      </c>
      <c r="S34" s="4">
        <f t="shared" si="5"/>
        <v>168</v>
      </c>
      <c r="T34" s="14">
        <f t="shared" si="3"/>
        <v>16.083333333333332</v>
      </c>
      <c r="U34" s="14">
        <f t="shared" si="4"/>
        <v>9.0833333333333339</v>
      </c>
      <c r="V34" s="14">
        <v>0</v>
      </c>
      <c r="W34" s="14"/>
      <c r="X34" s="14">
        <f t="shared" si="6"/>
        <v>29.5</v>
      </c>
      <c r="Y34" s="7">
        <v>12</v>
      </c>
      <c r="Z34" s="9">
        <f t="shared" si="7"/>
        <v>14</v>
      </c>
      <c r="AA34" s="14">
        <f t="shared" si="8"/>
        <v>42</v>
      </c>
      <c r="AB34" s="14">
        <v>14</v>
      </c>
      <c r="AC34" s="14">
        <v>70</v>
      </c>
      <c r="AD34" s="9">
        <f t="shared" si="9"/>
        <v>0.2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x14ac:dyDescent="0.25">
      <c r="A35" s="14" t="s">
        <v>88</v>
      </c>
      <c r="B35" s="14" t="s">
        <v>32</v>
      </c>
      <c r="C35" s="14"/>
      <c r="D35" s="14">
        <v>336</v>
      </c>
      <c r="E35" s="14">
        <v>51</v>
      </c>
      <c r="F35" s="14">
        <v>284</v>
      </c>
      <c r="G35" s="7">
        <v>0.25</v>
      </c>
      <c r="H35" s="14">
        <v>365</v>
      </c>
      <c r="I35" s="14" t="s">
        <v>89</v>
      </c>
      <c r="J35" s="14"/>
      <c r="K35" s="14">
        <v>116</v>
      </c>
      <c r="L35" s="14">
        <f t="shared" si="1"/>
        <v>-65</v>
      </c>
      <c r="M35" s="14"/>
      <c r="N35" s="14"/>
      <c r="O35" s="14"/>
      <c r="P35" s="14">
        <f t="shared" si="2"/>
        <v>10.199999999999999</v>
      </c>
      <c r="Q35" s="4"/>
      <c r="R35" s="4"/>
      <c r="S35" s="4">
        <f t="shared" si="5"/>
        <v>0</v>
      </c>
      <c r="T35" s="14">
        <f t="shared" si="3"/>
        <v>27.843137254901961</v>
      </c>
      <c r="U35" s="14">
        <f t="shared" si="4"/>
        <v>27.843137254901961</v>
      </c>
      <c r="V35" s="14">
        <v>0</v>
      </c>
      <c r="W35" s="14"/>
      <c r="X35" s="14">
        <f t="shared" si="6"/>
        <v>0</v>
      </c>
      <c r="Y35" s="7">
        <v>12</v>
      </c>
      <c r="Z35" s="9">
        <f t="shared" si="7"/>
        <v>0</v>
      </c>
      <c r="AA35" s="14">
        <f t="shared" si="8"/>
        <v>0</v>
      </c>
      <c r="AB35" s="14">
        <v>14</v>
      </c>
      <c r="AC35" s="14">
        <v>70</v>
      </c>
      <c r="AD35" s="9">
        <f t="shared" si="9"/>
        <v>0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x14ac:dyDescent="0.25">
      <c r="A36" s="14" t="s">
        <v>90</v>
      </c>
      <c r="B36" s="14" t="s">
        <v>32</v>
      </c>
      <c r="C36" s="14"/>
      <c r="D36" s="14">
        <v>240</v>
      </c>
      <c r="E36" s="14">
        <v>58</v>
      </c>
      <c r="F36" s="14">
        <v>185</v>
      </c>
      <c r="G36" s="7">
        <v>0.25</v>
      </c>
      <c r="H36" s="14">
        <v>180</v>
      </c>
      <c r="I36" s="14" t="s">
        <v>91</v>
      </c>
      <c r="J36" s="14"/>
      <c r="K36" s="14">
        <v>69</v>
      </c>
      <c r="L36" s="14">
        <f t="shared" si="1"/>
        <v>-11</v>
      </c>
      <c r="M36" s="14"/>
      <c r="N36" s="14"/>
      <c r="O36" s="14"/>
      <c r="P36" s="14">
        <f t="shared" si="2"/>
        <v>11.6</v>
      </c>
      <c r="Q36" s="4"/>
      <c r="R36" s="4"/>
      <c r="S36" s="4">
        <f t="shared" si="5"/>
        <v>0</v>
      </c>
      <c r="T36" s="14">
        <f t="shared" si="3"/>
        <v>15.948275862068966</v>
      </c>
      <c r="U36" s="14">
        <f t="shared" si="4"/>
        <v>15.948275862068966</v>
      </c>
      <c r="V36" s="14">
        <v>0</v>
      </c>
      <c r="W36" s="14"/>
      <c r="X36" s="14">
        <f t="shared" si="6"/>
        <v>0</v>
      </c>
      <c r="Y36" s="7">
        <v>12</v>
      </c>
      <c r="Z36" s="9">
        <f t="shared" si="7"/>
        <v>0</v>
      </c>
      <c r="AA36" s="14">
        <f t="shared" si="8"/>
        <v>0</v>
      </c>
      <c r="AB36" s="14">
        <v>14</v>
      </c>
      <c r="AC36" s="14">
        <v>70</v>
      </c>
      <c r="AD36" s="9">
        <f t="shared" si="9"/>
        <v>0</v>
      </c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0" x14ac:dyDescent="0.25">
      <c r="A37" s="13" t="s">
        <v>45</v>
      </c>
      <c r="B37" s="14" t="s">
        <v>32</v>
      </c>
      <c r="C37" s="14"/>
      <c r="D37" s="14"/>
      <c r="E37" s="20">
        <f>19+E11</f>
        <v>33</v>
      </c>
      <c r="F37" s="20">
        <f>0+F11</f>
        <v>154</v>
      </c>
      <c r="G37" s="7">
        <v>0.25</v>
      </c>
      <c r="H37" s="14">
        <v>180</v>
      </c>
      <c r="I37" s="14" t="s">
        <v>92</v>
      </c>
      <c r="J37" s="14"/>
      <c r="K37" s="14">
        <v>24</v>
      </c>
      <c r="L37" s="14">
        <f t="shared" si="1"/>
        <v>9</v>
      </c>
      <c r="M37" s="14"/>
      <c r="N37" s="14"/>
      <c r="O37" s="14"/>
      <c r="P37" s="14">
        <f t="shared" si="2"/>
        <v>6.6</v>
      </c>
      <c r="Q37" s="4"/>
      <c r="R37" s="4"/>
      <c r="S37" s="4">
        <f t="shared" si="5"/>
        <v>0</v>
      </c>
      <c r="T37" s="14">
        <f t="shared" si="3"/>
        <v>23.333333333333336</v>
      </c>
      <c r="U37" s="14">
        <f t="shared" si="4"/>
        <v>23.333333333333336</v>
      </c>
      <c r="V37" s="14">
        <v>0</v>
      </c>
      <c r="W37" s="14"/>
      <c r="X37" s="14">
        <f t="shared" si="6"/>
        <v>0</v>
      </c>
      <c r="Y37" s="7">
        <v>12</v>
      </c>
      <c r="Z37" s="9">
        <f t="shared" si="7"/>
        <v>0</v>
      </c>
      <c r="AA37" s="14">
        <f t="shared" si="8"/>
        <v>0</v>
      </c>
      <c r="AB37" s="14">
        <v>14</v>
      </c>
      <c r="AC37" s="14">
        <v>70</v>
      </c>
      <c r="AD37" s="9">
        <f t="shared" si="9"/>
        <v>0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0" x14ac:dyDescent="0.25">
      <c r="A38" s="14" t="s">
        <v>93</v>
      </c>
      <c r="B38" s="14" t="s">
        <v>32</v>
      </c>
      <c r="C38" s="14"/>
      <c r="D38" s="14">
        <v>192</v>
      </c>
      <c r="E38" s="14">
        <v>26</v>
      </c>
      <c r="F38" s="14">
        <v>166</v>
      </c>
      <c r="G38" s="7">
        <v>0.7</v>
      </c>
      <c r="H38" s="14">
        <v>180</v>
      </c>
      <c r="I38" s="14" t="s">
        <v>94</v>
      </c>
      <c r="J38" s="14"/>
      <c r="K38" s="14">
        <v>62</v>
      </c>
      <c r="L38" s="14">
        <f t="shared" ref="L38:L69" si="10">E38-K38</f>
        <v>-36</v>
      </c>
      <c r="M38" s="14"/>
      <c r="N38" s="14"/>
      <c r="O38" s="14"/>
      <c r="P38" s="14">
        <f t="shared" ref="P38:P74" si="11">E38/5</f>
        <v>5.2</v>
      </c>
      <c r="Q38" s="4"/>
      <c r="R38" s="4"/>
      <c r="S38" s="4">
        <f t="shared" si="5"/>
        <v>0</v>
      </c>
      <c r="T38" s="14">
        <f t="shared" ref="T38:T69" si="12">(F38+S38)/P38</f>
        <v>31.923076923076923</v>
      </c>
      <c r="U38" s="14">
        <f t="shared" ref="U38:U74" si="13">F38/P38</f>
        <v>31.923076923076923</v>
      </c>
      <c r="V38" s="14">
        <v>0</v>
      </c>
      <c r="W38" s="14"/>
      <c r="X38" s="14">
        <f t="shared" si="6"/>
        <v>0</v>
      </c>
      <c r="Y38" s="7">
        <v>8</v>
      </c>
      <c r="Z38" s="9">
        <f t="shared" si="7"/>
        <v>0</v>
      </c>
      <c r="AA38" s="14">
        <f t="shared" si="8"/>
        <v>0</v>
      </c>
      <c r="AB38" s="14">
        <v>12</v>
      </c>
      <c r="AC38" s="14">
        <v>84</v>
      </c>
      <c r="AD38" s="9">
        <f t="shared" si="9"/>
        <v>0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0" x14ac:dyDescent="0.25">
      <c r="A39" s="14" t="s">
        <v>95</v>
      </c>
      <c r="B39" s="14" t="s">
        <v>32</v>
      </c>
      <c r="C39" s="14"/>
      <c r="D39" s="14">
        <v>96</v>
      </c>
      <c r="E39" s="14">
        <v>36</v>
      </c>
      <c r="F39" s="14">
        <v>60</v>
      </c>
      <c r="G39" s="7">
        <v>0.7</v>
      </c>
      <c r="H39" s="14">
        <v>180</v>
      </c>
      <c r="I39" s="14" t="s">
        <v>96</v>
      </c>
      <c r="J39" s="14"/>
      <c r="K39" s="14">
        <v>44</v>
      </c>
      <c r="L39" s="14">
        <f t="shared" si="10"/>
        <v>-8</v>
      </c>
      <c r="M39" s="14"/>
      <c r="N39" s="14"/>
      <c r="O39" s="14"/>
      <c r="P39" s="14">
        <f t="shared" si="11"/>
        <v>7.2</v>
      </c>
      <c r="Q39" s="4">
        <v>48</v>
      </c>
      <c r="R39" s="4">
        <f>15*P39-F39</f>
        <v>48</v>
      </c>
      <c r="S39" s="4">
        <f t="shared" si="5"/>
        <v>96</v>
      </c>
      <c r="T39" s="14">
        <f t="shared" si="12"/>
        <v>21.666666666666668</v>
      </c>
      <c r="U39" s="14">
        <f t="shared" si="13"/>
        <v>8.3333333333333339</v>
      </c>
      <c r="V39" s="14">
        <v>0</v>
      </c>
      <c r="W39" s="14"/>
      <c r="X39" s="14">
        <f t="shared" si="6"/>
        <v>33.599999999999994</v>
      </c>
      <c r="Y39" s="7">
        <v>8</v>
      </c>
      <c r="Z39" s="9">
        <f t="shared" si="7"/>
        <v>12</v>
      </c>
      <c r="AA39" s="14">
        <f t="shared" si="8"/>
        <v>67.199999999999989</v>
      </c>
      <c r="AB39" s="14">
        <v>12</v>
      </c>
      <c r="AC39" s="14">
        <v>84</v>
      </c>
      <c r="AD39" s="9">
        <f t="shared" si="9"/>
        <v>0.14285714285714285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spans="1:40" x14ac:dyDescent="0.25">
      <c r="A40" s="22" t="s">
        <v>97</v>
      </c>
      <c r="B40" s="14" t="s">
        <v>32</v>
      </c>
      <c r="C40" s="14"/>
      <c r="D40" s="14"/>
      <c r="E40" s="14"/>
      <c r="F40" s="14"/>
      <c r="G40" s="7">
        <v>0.7</v>
      </c>
      <c r="H40" s="14">
        <v>180</v>
      </c>
      <c r="I40" s="14" t="s">
        <v>98</v>
      </c>
      <c r="J40" s="14"/>
      <c r="K40" s="14">
        <v>45</v>
      </c>
      <c r="L40" s="14">
        <f t="shared" si="10"/>
        <v>-45</v>
      </c>
      <c r="M40" s="14"/>
      <c r="N40" s="14"/>
      <c r="O40" s="14"/>
      <c r="P40" s="14">
        <f t="shared" si="11"/>
        <v>0</v>
      </c>
      <c r="Q40" s="21">
        <v>0</v>
      </c>
      <c r="R40" s="21">
        <v>0</v>
      </c>
      <c r="S40" s="21">
        <f t="shared" si="5"/>
        <v>0</v>
      </c>
      <c r="T40" s="14" t="e">
        <f t="shared" si="12"/>
        <v>#DIV/0!</v>
      </c>
      <c r="U40" s="14" t="e">
        <f t="shared" si="13"/>
        <v>#DIV/0!</v>
      </c>
      <c r="V40" s="14">
        <v>0</v>
      </c>
      <c r="W40" s="6" t="s">
        <v>68</v>
      </c>
      <c r="X40" s="14">
        <f t="shared" si="6"/>
        <v>0</v>
      </c>
      <c r="Y40" s="7">
        <v>8</v>
      </c>
      <c r="Z40" s="9">
        <f t="shared" si="7"/>
        <v>0</v>
      </c>
      <c r="AA40" s="14">
        <f t="shared" si="8"/>
        <v>0</v>
      </c>
      <c r="AB40" s="14">
        <v>12</v>
      </c>
      <c r="AC40" s="14">
        <v>84</v>
      </c>
      <c r="AD40" s="9">
        <f t="shared" si="9"/>
        <v>0</v>
      </c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0" x14ac:dyDescent="0.25">
      <c r="A41" s="14" t="s">
        <v>99</v>
      </c>
      <c r="B41" s="14" t="s">
        <v>32</v>
      </c>
      <c r="C41" s="14"/>
      <c r="D41" s="14">
        <v>246</v>
      </c>
      <c r="E41" s="14">
        <v>67</v>
      </c>
      <c r="F41" s="14">
        <v>199</v>
      </c>
      <c r="G41" s="7">
        <v>0.7</v>
      </c>
      <c r="H41" s="14">
        <v>180</v>
      </c>
      <c r="I41" s="14" t="s">
        <v>100</v>
      </c>
      <c r="J41" s="14"/>
      <c r="K41" s="14">
        <v>130</v>
      </c>
      <c r="L41" s="14">
        <f t="shared" si="10"/>
        <v>-63</v>
      </c>
      <c r="M41" s="14"/>
      <c r="N41" s="14"/>
      <c r="O41" s="14"/>
      <c r="P41" s="14">
        <f t="shared" si="11"/>
        <v>13.4</v>
      </c>
      <c r="Q41" s="4"/>
      <c r="R41" s="4"/>
      <c r="S41" s="4">
        <f t="shared" si="5"/>
        <v>0</v>
      </c>
      <c r="T41" s="14">
        <f t="shared" si="12"/>
        <v>14.850746268656716</v>
      </c>
      <c r="U41" s="14">
        <f t="shared" si="13"/>
        <v>14.850746268656716</v>
      </c>
      <c r="V41" s="14">
        <v>0</v>
      </c>
      <c r="W41" s="14"/>
      <c r="X41" s="14">
        <f t="shared" si="6"/>
        <v>0</v>
      </c>
      <c r="Y41" s="7">
        <v>10</v>
      </c>
      <c r="Z41" s="9">
        <f t="shared" si="7"/>
        <v>0</v>
      </c>
      <c r="AA41" s="14">
        <f t="shared" si="8"/>
        <v>0</v>
      </c>
      <c r="AB41" s="14">
        <v>12</v>
      </c>
      <c r="AC41" s="14">
        <v>84</v>
      </c>
      <c r="AD41" s="9">
        <f t="shared" si="9"/>
        <v>0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0" x14ac:dyDescent="0.25">
      <c r="A42" s="14" t="s">
        <v>101</v>
      </c>
      <c r="B42" s="14" t="s">
        <v>32</v>
      </c>
      <c r="C42" s="14"/>
      <c r="D42" s="14">
        <v>246</v>
      </c>
      <c r="E42" s="14">
        <v>33</v>
      </c>
      <c r="F42" s="14">
        <v>217</v>
      </c>
      <c r="G42" s="7">
        <v>0.7</v>
      </c>
      <c r="H42" s="14">
        <v>180</v>
      </c>
      <c r="I42" s="14" t="s">
        <v>102</v>
      </c>
      <c r="J42" s="14"/>
      <c r="K42" s="14">
        <v>109</v>
      </c>
      <c r="L42" s="14">
        <f t="shared" si="10"/>
        <v>-76</v>
      </c>
      <c r="M42" s="14"/>
      <c r="N42" s="14"/>
      <c r="O42" s="14"/>
      <c r="P42" s="14">
        <f t="shared" si="11"/>
        <v>6.6</v>
      </c>
      <c r="Q42" s="4"/>
      <c r="R42" s="4"/>
      <c r="S42" s="4">
        <f t="shared" si="5"/>
        <v>0</v>
      </c>
      <c r="T42" s="14">
        <f t="shared" si="12"/>
        <v>32.878787878787882</v>
      </c>
      <c r="U42" s="14">
        <f t="shared" si="13"/>
        <v>32.878787878787882</v>
      </c>
      <c r="V42" s="14">
        <v>0</v>
      </c>
      <c r="W42" s="14"/>
      <c r="X42" s="14">
        <f t="shared" si="6"/>
        <v>0</v>
      </c>
      <c r="Y42" s="7">
        <v>10</v>
      </c>
      <c r="Z42" s="9">
        <f t="shared" si="7"/>
        <v>0</v>
      </c>
      <c r="AA42" s="14">
        <f t="shared" si="8"/>
        <v>0</v>
      </c>
      <c r="AB42" s="14">
        <v>12</v>
      </c>
      <c r="AC42" s="14">
        <v>84</v>
      </c>
      <c r="AD42" s="9">
        <f t="shared" si="9"/>
        <v>0</v>
      </c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x14ac:dyDescent="0.25">
      <c r="A43" s="14" t="s">
        <v>103</v>
      </c>
      <c r="B43" s="14" t="s">
        <v>32</v>
      </c>
      <c r="C43" s="14"/>
      <c r="D43" s="14">
        <v>486</v>
      </c>
      <c r="E43" s="14">
        <v>45</v>
      </c>
      <c r="F43" s="14">
        <v>435</v>
      </c>
      <c r="G43" s="7">
        <v>0.7</v>
      </c>
      <c r="H43" s="14">
        <v>180</v>
      </c>
      <c r="I43" s="14" t="s">
        <v>104</v>
      </c>
      <c r="J43" s="14"/>
      <c r="K43" s="14">
        <v>116</v>
      </c>
      <c r="L43" s="14">
        <f t="shared" si="10"/>
        <v>-71</v>
      </c>
      <c r="M43" s="14"/>
      <c r="N43" s="14"/>
      <c r="O43" s="14"/>
      <c r="P43" s="14">
        <f t="shared" si="11"/>
        <v>9</v>
      </c>
      <c r="Q43" s="4"/>
      <c r="R43" s="4"/>
      <c r="S43" s="4">
        <f t="shared" si="5"/>
        <v>0</v>
      </c>
      <c r="T43" s="14">
        <f t="shared" si="12"/>
        <v>48.333333333333336</v>
      </c>
      <c r="U43" s="14">
        <f t="shared" si="13"/>
        <v>48.333333333333336</v>
      </c>
      <c r="V43" s="14">
        <v>0</v>
      </c>
      <c r="W43" s="14"/>
      <c r="X43" s="14">
        <f t="shared" si="6"/>
        <v>0</v>
      </c>
      <c r="Y43" s="7">
        <v>10</v>
      </c>
      <c r="Z43" s="9">
        <f t="shared" si="7"/>
        <v>0</v>
      </c>
      <c r="AA43" s="14">
        <f t="shared" si="8"/>
        <v>0</v>
      </c>
      <c r="AB43" s="14">
        <v>12</v>
      </c>
      <c r="AC43" s="14">
        <v>84</v>
      </c>
      <c r="AD43" s="9">
        <f t="shared" si="9"/>
        <v>0</v>
      </c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0" x14ac:dyDescent="0.25">
      <c r="A44" s="14" t="s">
        <v>105</v>
      </c>
      <c r="B44" s="14" t="s">
        <v>32</v>
      </c>
      <c r="C44" s="14"/>
      <c r="D44" s="14">
        <v>80</v>
      </c>
      <c r="E44" s="14">
        <v>37</v>
      </c>
      <c r="F44" s="14">
        <v>41</v>
      </c>
      <c r="G44" s="7">
        <v>0.7</v>
      </c>
      <c r="H44" s="14">
        <v>180</v>
      </c>
      <c r="I44" s="14" t="s">
        <v>106</v>
      </c>
      <c r="J44" s="14"/>
      <c r="K44" s="14">
        <v>68</v>
      </c>
      <c r="L44" s="14">
        <f t="shared" si="10"/>
        <v>-31</v>
      </c>
      <c r="M44" s="14"/>
      <c r="N44" s="14"/>
      <c r="O44" s="14"/>
      <c r="P44" s="14">
        <f t="shared" si="11"/>
        <v>7.4</v>
      </c>
      <c r="Q44" s="4">
        <v>62.600000000000009</v>
      </c>
      <c r="R44" s="4">
        <f>14*P44-F44</f>
        <v>62.600000000000009</v>
      </c>
      <c r="S44" s="4">
        <f t="shared" si="5"/>
        <v>120</v>
      </c>
      <c r="T44" s="14">
        <f t="shared" si="12"/>
        <v>21.756756756756754</v>
      </c>
      <c r="U44" s="14">
        <f t="shared" si="13"/>
        <v>5.5405405405405403</v>
      </c>
      <c r="V44" s="14">
        <v>0</v>
      </c>
      <c r="W44" s="14"/>
      <c r="X44" s="14">
        <f t="shared" si="6"/>
        <v>43.82</v>
      </c>
      <c r="Y44" s="7">
        <v>10</v>
      </c>
      <c r="Z44" s="9">
        <f t="shared" si="7"/>
        <v>12</v>
      </c>
      <c r="AA44" s="14">
        <f t="shared" si="8"/>
        <v>84</v>
      </c>
      <c r="AB44" s="14">
        <v>12</v>
      </c>
      <c r="AC44" s="14">
        <v>84</v>
      </c>
      <c r="AD44" s="9">
        <f t="shared" si="9"/>
        <v>0.14285714285714285</v>
      </c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0" x14ac:dyDescent="0.25">
      <c r="A45" s="14" t="s">
        <v>107</v>
      </c>
      <c r="B45" s="14" t="s">
        <v>75</v>
      </c>
      <c r="C45" s="14"/>
      <c r="D45" s="14">
        <v>900</v>
      </c>
      <c r="E45" s="14">
        <v>50</v>
      </c>
      <c r="F45" s="14">
        <v>830</v>
      </c>
      <c r="G45" s="7">
        <v>1</v>
      </c>
      <c r="H45" s="14">
        <v>180</v>
      </c>
      <c r="I45" s="14" t="s">
        <v>108</v>
      </c>
      <c r="J45" s="14"/>
      <c r="K45" s="14">
        <v>190</v>
      </c>
      <c r="L45" s="14">
        <f t="shared" si="10"/>
        <v>-140</v>
      </c>
      <c r="M45" s="14"/>
      <c r="N45" s="14"/>
      <c r="O45" s="14"/>
      <c r="P45" s="14">
        <f t="shared" si="11"/>
        <v>10</v>
      </c>
      <c r="Q45" s="4"/>
      <c r="R45" s="4"/>
      <c r="S45" s="4">
        <f t="shared" si="5"/>
        <v>0</v>
      </c>
      <c r="T45" s="14">
        <f t="shared" si="12"/>
        <v>83</v>
      </c>
      <c r="U45" s="14">
        <f t="shared" si="13"/>
        <v>83</v>
      </c>
      <c r="V45" s="14">
        <v>0</v>
      </c>
      <c r="W45" s="14"/>
      <c r="X45" s="14">
        <f t="shared" si="6"/>
        <v>0</v>
      </c>
      <c r="Y45" s="7">
        <v>5</v>
      </c>
      <c r="Z45" s="9">
        <f t="shared" si="7"/>
        <v>0</v>
      </c>
      <c r="AA45" s="14">
        <f t="shared" si="8"/>
        <v>0</v>
      </c>
      <c r="AB45" s="14">
        <v>12</v>
      </c>
      <c r="AC45" s="14">
        <v>144</v>
      </c>
      <c r="AD45" s="9">
        <f t="shared" si="9"/>
        <v>0</v>
      </c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0" x14ac:dyDescent="0.25">
      <c r="A46" s="14" t="s">
        <v>109</v>
      </c>
      <c r="B46" s="14" t="s">
        <v>32</v>
      </c>
      <c r="C46" s="14"/>
      <c r="D46" s="14">
        <v>112</v>
      </c>
      <c r="E46" s="14">
        <v>56</v>
      </c>
      <c r="F46" s="14">
        <v>56</v>
      </c>
      <c r="G46" s="7">
        <v>0.4</v>
      </c>
      <c r="H46" s="14">
        <v>180</v>
      </c>
      <c r="I46" s="14" t="s">
        <v>110</v>
      </c>
      <c r="J46" s="14"/>
      <c r="K46" s="14">
        <v>114</v>
      </c>
      <c r="L46" s="14">
        <f t="shared" si="10"/>
        <v>-58</v>
      </c>
      <c r="M46" s="14"/>
      <c r="N46" s="14"/>
      <c r="O46" s="14"/>
      <c r="P46" s="14">
        <f t="shared" si="11"/>
        <v>11.2</v>
      </c>
      <c r="Q46" s="4">
        <v>100.79999999999998</v>
      </c>
      <c r="R46" s="4">
        <f>14*P46-F46</f>
        <v>100.79999999999998</v>
      </c>
      <c r="S46" s="4">
        <f t="shared" si="5"/>
        <v>192</v>
      </c>
      <c r="T46" s="14">
        <f t="shared" si="12"/>
        <v>22.142857142857146</v>
      </c>
      <c r="U46" s="14">
        <f t="shared" si="13"/>
        <v>5</v>
      </c>
      <c r="V46" s="14">
        <v>0</v>
      </c>
      <c r="W46" s="14"/>
      <c r="X46" s="14">
        <f t="shared" si="6"/>
        <v>40.319999999999993</v>
      </c>
      <c r="Y46" s="7">
        <v>16</v>
      </c>
      <c r="Z46" s="9">
        <f t="shared" si="7"/>
        <v>12</v>
      </c>
      <c r="AA46" s="14">
        <f t="shared" si="8"/>
        <v>76.800000000000011</v>
      </c>
      <c r="AB46" s="14">
        <v>12</v>
      </c>
      <c r="AC46" s="14">
        <v>84</v>
      </c>
      <c r="AD46" s="9">
        <f t="shared" si="9"/>
        <v>0.14285714285714285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40" x14ac:dyDescent="0.25">
      <c r="A47" s="14" t="s">
        <v>111</v>
      </c>
      <c r="B47" s="14" t="s">
        <v>32</v>
      </c>
      <c r="C47" s="14"/>
      <c r="D47" s="14">
        <v>370</v>
      </c>
      <c r="E47" s="14">
        <v>93</v>
      </c>
      <c r="F47" s="14">
        <v>306</v>
      </c>
      <c r="G47" s="7">
        <v>0.7</v>
      </c>
      <c r="H47" s="14">
        <v>180</v>
      </c>
      <c r="I47" s="14" t="s">
        <v>112</v>
      </c>
      <c r="J47" s="14"/>
      <c r="K47" s="14">
        <v>182</v>
      </c>
      <c r="L47" s="14">
        <f t="shared" si="10"/>
        <v>-89</v>
      </c>
      <c r="M47" s="14"/>
      <c r="N47" s="14"/>
      <c r="O47" s="14"/>
      <c r="P47" s="14">
        <f t="shared" si="11"/>
        <v>18.600000000000001</v>
      </c>
      <c r="Q47" s="4"/>
      <c r="R47" s="4"/>
      <c r="S47" s="4">
        <f t="shared" si="5"/>
        <v>0</v>
      </c>
      <c r="T47" s="14">
        <f t="shared" si="12"/>
        <v>16.451612903225804</v>
      </c>
      <c r="U47" s="14">
        <f t="shared" si="13"/>
        <v>16.451612903225804</v>
      </c>
      <c r="V47" s="14">
        <v>0</v>
      </c>
      <c r="W47" s="14"/>
      <c r="X47" s="14">
        <f t="shared" si="6"/>
        <v>0</v>
      </c>
      <c r="Y47" s="7">
        <v>10</v>
      </c>
      <c r="Z47" s="9">
        <f t="shared" si="7"/>
        <v>0</v>
      </c>
      <c r="AA47" s="14">
        <f t="shared" si="8"/>
        <v>0</v>
      </c>
      <c r="AB47" s="14">
        <v>12</v>
      </c>
      <c r="AC47" s="14">
        <v>84</v>
      </c>
      <c r="AD47" s="9">
        <f t="shared" si="9"/>
        <v>0</v>
      </c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x14ac:dyDescent="0.25">
      <c r="A48" s="14" t="s">
        <v>113</v>
      </c>
      <c r="B48" s="14" t="s">
        <v>32</v>
      </c>
      <c r="C48" s="14"/>
      <c r="D48" s="14">
        <v>80</v>
      </c>
      <c r="E48" s="14">
        <v>103</v>
      </c>
      <c r="F48" s="14"/>
      <c r="G48" s="7">
        <v>0.4</v>
      </c>
      <c r="H48" s="14">
        <v>180</v>
      </c>
      <c r="I48" s="14" t="s">
        <v>114</v>
      </c>
      <c r="J48" s="14"/>
      <c r="K48" s="14">
        <v>194</v>
      </c>
      <c r="L48" s="14">
        <f t="shared" si="10"/>
        <v>-91</v>
      </c>
      <c r="M48" s="14"/>
      <c r="N48" s="14"/>
      <c r="O48" s="14"/>
      <c r="P48" s="14">
        <f t="shared" si="11"/>
        <v>20.6</v>
      </c>
      <c r="Q48" s="4">
        <v>288.40000000000003</v>
      </c>
      <c r="R48" s="4">
        <f>14*P48-F48</f>
        <v>288.40000000000003</v>
      </c>
      <c r="S48" s="4">
        <f t="shared" si="5"/>
        <v>384</v>
      </c>
      <c r="T48" s="14">
        <f t="shared" si="12"/>
        <v>18.640776699029125</v>
      </c>
      <c r="U48" s="14">
        <f t="shared" si="13"/>
        <v>0</v>
      </c>
      <c r="V48" s="14">
        <v>0</v>
      </c>
      <c r="W48" s="14"/>
      <c r="X48" s="14">
        <f t="shared" si="6"/>
        <v>115.36000000000001</v>
      </c>
      <c r="Y48" s="7">
        <v>16</v>
      </c>
      <c r="Z48" s="9">
        <f t="shared" si="7"/>
        <v>24</v>
      </c>
      <c r="AA48" s="14">
        <f t="shared" si="8"/>
        <v>153.60000000000002</v>
      </c>
      <c r="AB48" s="14">
        <v>12</v>
      </c>
      <c r="AC48" s="14">
        <v>84</v>
      </c>
      <c r="AD48" s="9">
        <f t="shared" si="9"/>
        <v>0.2857142857142857</v>
      </c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0" x14ac:dyDescent="0.25">
      <c r="A49" s="14" t="s">
        <v>115</v>
      </c>
      <c r="B49" s="14" t="s">
        <v>32</v>
      </c>
      <c r="C49" s="14"/>
      <c r="D49" s="14">
        <v>490</v>
      </c>
      <c r="E49" s="14">
        <v>105</v>
      </c>
      <c r="F49" s="14">
        <v>395</v>
      </c>
      <c r="G49" s="7">
        <v>0.7</v>
      </c>
      <c r="H49" s="14">
        <v>180</v>
      </c>
      <c r="I49" s="14" t="s">
        <v>116</v>
      </c>
      <c r="J49" s="14"/>
      <c r="K49" s="14">
        <v>223</v>
      </c>
      <c r="L49" s="14">
        <f t="shared" si="10"/>
        <v>-118</v>
      </c>
      <c r="M49" s="14"/>
      <c r="N49" s="14"/>
      <c r="O49" s="14"/>
      <c r="P49" s="14">
        <f t="shared" si="11"/>
        <v>21</v>
      </c>
      <c r="Q49" s="4"/>
      <c r="R49" s="4"/>
      <c r="S49" s="4">
        <f t="shared" si="5"/>
        <v>0</v>
      </c>
      <c r="T49" s="14">
        <f t="shared" si="12"/>
        <v>18.80952380952381</v>
      </c>
      <c r="U49" s="14">
        <f t="shared" si="13"/>
        <v>18.80952380952381</v>
      </c>
      <c r="V49" s="14">
        <v>0</v>
      </c>
      <c r="W49" s="14"/>
      <c r="X49" s="14">
        <f t="shared" si="6"/>
        <v>0</v>
      </c>
      <c r="Y49" s="7">
        <v>10</v>
      </c>
      <c r="Z49" s="9">
        <f t="shared" si="7"/>
        <v>0</v>
      </c>
      <c r="AA49" s="14">
        <f t="shared" si="8"/>
        <v>0</v>
      </c>
      <c r="AB49" s="14">
        <v>12</v>
      </c>
      <c r="AC49" s="14">
        <v>84</v>
      </c>
      <c r="AD49" s="9">
        <f t="shared" si="9"/>
        <v>0</v>
      </c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x14ac:dyDescent="0.25">
      <c r="A50" s="22" t="s">
        <v>117</v>
      </c>
      <c r="B50" s="14" t="s">
        <v>32</v>
      </c>
      <c r="C50" s="14"/>
      <c r="D50" s="14"/>
      <c r="E50" s="14"/>
      <c r="F50" s="14"/>
      <c r="G50" s="7">
        <v>0.7</v>
      </c>
      <c r="H50" s="14">
        <v>180</v>
      </c>
      <c r="I50" s="14" t="s">
        <v>118</v>
      </c>
      <c r="J50" s="14"/>
      <c r="K50" s="14">
        <v>10</v>
      </c>
      <c r="L50" s="14">
        <f t="shared" si="10"/>
        <v>-10</v>
      </c>
      <c r="M50" s="14"/>
      <c r="N50" s="14"/>
      <c r="O50" s="14"/>
      <c r="P50" s="14">
        <f t="shared" si="11"/>
        <v>0</v>
      </c>
      <c r="Q50" s="4">
        <v>120</v>
      </c>
      <c r="R50" s="4">
        <v>120</v>
      </c>
      <c r="S50" s="4">
        <f t="shared" si="5"/>
        <v>120</v>
      </c>
      <c r="T50" s="14" t="e">
        <f t="shared" si="12"/>
        <v>#DIV/0!</v>
      </c>
      <c r="U50" s="14" t="e">
        <f t="shared" si="13"/>
        <v>#DIV/0!</v>
      </c>
      <c r="V50" s="14">
        <v>0</v>
      </c>
      <c r="W50" s="14"/>
      <c r="X50" s="14">
        <f t="shared" si="6"/>
        <v>84</v>
      </c>
      <c r="Y50" s="7">
        <v>10</v>
      </c>
      <c r="Z50" s="9">
        <f t="shared" si="7"/>
        <v>12</v>
      </c>
      <c r="AA50" s="14">
        <f t="shared" si="8"/>
        <v>84</v>
      </c>
      <c r="AB50" s="14">
        <v>12</v>
      </c>
      <c r="AC50" s="14">
        <v>84</v>
      </c>
      <c r="AD50" s="9">
        <f t="shared" si="9"/>
        <v>0.14285714285714285</v>
      </c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x14ac:dyDescent="0.25">
      <c r="A51" s="14" t="s">
        <v>119</v>
      </c>
      <c r="B51" s="14" t="s">
        <v>32</v>
      </c>
      <c r="C51" s="14"/>
      <c r="D51" s="14"/>
      <c r="E51" s="14">
        <v>11</v>
      </c>
      <c r="F51" s="14">
        <v>-3</v>
      </c>
      <c r="G51" s="7">
        <v>0.8</v>
      </c>
      <c r="H51" s="14">
        <v>180</v>
      </c>
      <c r="I51" s="14" t="s">
        <v>120</v>
      </c>
      <c r="J51" s="14"/>
      <c r="K51" s="14">
        <v>9</v>
      </c>
      <c r="L51" s="14">
        <f t="shared" si="10"/>
        <v>2</v>
      </c>
      <c r="M51" s="14"/>
      <c r="N51" s="14"/>
      <c r="O51" s="14"/>
      <c r="P51" s="14">
        <f t="shared" si="11"/>
        <v>2.2000000000000002</v>
      </c>
      <c r="Q51" s="4">
        <v>80</v>
      </c>
      <c r="R51" s="4">
        <v>80</v>
      </c>
      <c r="S51" s="4">
        <f t="shared" si="5"/>
        <v>96</v>
      </c>
      <c r="T51" s="14">
        <f t="shared" si="12"/>
        <v>42.272727272727266</v>
      </c>
      <c r="U51" s="14">
        <f t="shared" si="13"/>
        <v>-1.3636363636363635</v>
      </c>
      <c r="V51" s="14">
        <v>0</v>
      </c>
      <c r="W51" s="14"/>
      <c r="X51" s="14">
        <f t="shared" si="6"/>
        <v>64</v>
      </c>
      <c r="Y51" s="7">
        <v>8</v>
      </c>
      <c r="Z51" s="9">
        <f t="shared" si="7"/>
        <v>12</v>
      </c>
      <c r="AA51" s="14">
        <f t="shared" si="8"/>
        <v>76.800000000000011</v>
      </c>
      <c r="AB51" s="14">
        <v>12</v>
      </c>
      <c r="AC51" s="14">
        <v>84</v>
      </c>
      <c r="AD51" s="9">
        <f t="shared" si="9"/>
        <v>0.14285714285714285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x14ac:dyDescent="0.25">
      <c r="A52" s="14" t="s">
        <v>121</v>
      </c>
      <c r="B52" s="14" t="s">
        <v>32</v>
      </c>
      <c r="C52" s="14"/>
      <c r="D52" s="14">
        <v>120</v>
      </c>
      <c r="E52" s="14">
        <v>50</v>
      </c>
      <c r="F52" s="14">
        <v>72</v>
      </c>
      <c r="G52" s="7">
        <v>1</v>
      </c>
      <c r="H52" s="14">
        <v>180</v>
      </c>
      <c r="I52" s="14" t="s">
        <v>122</v>
      </c>
      <c r="J52" s="14"/>
      <c r="K52" s="14">
        <v>70</v>
      </c>
      <c r="L52" s="14">
        <f t="shared" si="10"/>
        <v>-20</v>
      </c>
      <c r="M52" s="14"/>
      <c r="N52" s="14"/>
      <c r="O52" s="14"/>
      <c r="P52" s="14">
        <f t="shared" si="11"/>
        <v>10</v>
      </c>
      <c r="Q52" s="4">
        <v>68</v>
      </c>
      <c r="R52" s="4">
        <f>$R$1*P52-F52</f>
        <v>68</v>
      </c>
      <c r="S52" s="4">
        <f t="shared" si="5"/>
        <v>60</v>
      </c>
      <c r="T52" s="14">
        <f t="shared" si="12"/>
        <v>13.2</v>
      </c>
      <c r="U52" s="14">
        <f t="shared" si="13"/>
        <v>7.2</v>
      </c>
      <c r="V52" s="14">
        <v>0</v>
      </c>
      <c r="W52" s="14"/>
      <c r="X52" s="14">
        <f t="shared" si="6"/>
        <v>68</v>
      </c>
      <c r="Y52" s="7">
        <v>5</v>
      </c>
      <c r="Z52" s="9">
        <f t="shared" si="7"/>
        <v>12</v>
      </c>
      <c r="AA52" s="14">
        <f t="shared" si="8"/>
        <v>60</v>
      </c>
      <c r="AB52" s="14">
        <v>12</v>
      </c>
      <c r="AC52" s="14">
        <v>84</v>
      </c>
      <c r="AD52" s="9">
        <f t="shared" si="9"/>
        <v>0.14285714285714285</v>
      </c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x14ac:dyDescent="0.25">
      <c r="A53" s="14" t="s">
        <v>123</v>
      </c>
      <c r="B53" s="14" t="s">
        <v>32</v>
      </c>
      <c r="C53" s="14"/>
      <c r="D53" s="14"/>
      <c r="E53" s="14">
        <v>7</v>
      </c>
      <c r="F53" s="14">
        <v>-7</v>
      </c>
      <c r="G53" s="7">
        <v>0.9</v>
      </c>
      <c r="H53" s="14">
        <v>180</v>
      </c>
      <c r="I53" s="14" t="s">
        <v>124</v>
      </c>
      <c r="J53" s="14"/>
      <c r="K53" s="14">
        <v>11</v>
      </c>
      <c r="L53" s="14">
        <f t="shared" si="10"/>
        <v>-4</v>
      </c>
      <c r="M53" s="14"/>
      <c r="N53" s="14"/>
      <c r="O53" s="14"/>
      <c r="P53" s="14">
        <f t="shared" si="11"/>
        <v>1.4</v>
      </c>
      <c r="Q53" s="4">
        <v>80</v>
      </c>
      <c r="R53" s="4">
        <v>80</v>
      </c>
      <c r="S53" s="4">
        <f t="shared" ref="S53:S74" si="14">Y53*Z53</f>
        <v>96</v>
      </c>
      <c r="T53" s="14">
        <f t="shared" si="12"/>
        <v>63.571428571428577</v>
      </c>
      <c r="U53" s="14">
        <f t="shared" si="13"/>
        <v>-5</v>
      </c>
      <c r="V53" s="14">
        <v>0</v>
      </c>
      <c r="W53" s="14"/>
      <c r="X53" s="14">
        <f t="shared" ref="X53:X74" si="15">G53*R53</f>
        <v>72</v>
      </c>
      <c r="Y53" s="7">
        <v>8</v>
      </c>
      <c r="Z53" s="9">
        <f t="shared" ref="Z53:Z74" si="16">MROUND(R53, Y53*AB53)/Y53</f>
        <v>12</v>
      </c>
      <c r="AA53" s="14">
        <f t="shared" ref="AA53:AA74" si="17">Z53*Y53*G53</f>
        <v>86.4</v>
      </c>
      <c r="AB53" s="14">
        <v>12</v>
      </c>
      <c r="AC53" s="14">
        <v>84</v>
      </c>
      <c r="AD53" s="9">
        <f t="shared" ref="AD53:AD74" si="18">Z53/AC53</f>
        <v>0.14285714285714285</v>
      </c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x14ac:dyDescent="0.25">
      <c r="A54" s="14" t="s">
        <v>125</v>
      </c>
      <c r="B54" s="14" t="s">
        <v>32</v>
      </c>
      <c r="C54" s="14"/>
      <c r="D54" s="14">
        <v>32</v>
      </c>
      <c r="E54" s="14">
        <v>16</v>
      </c>
      <c r="F54" s="14">
        <v>20</v>
      </c>
      <c r="G54" s="7">
        <v>0.9</v>
      </c>
      <c r="H54" s="14">
        <v>180</v>
      </c>
      <c r="I54" s="14" t="s">
        <v>126</v>
      </c>
      <c r="J54" s="14"/>
      <c r="K54" s="14">
        <v>8</v>
      </c>
      <c r="L54" s="14">
        <f t="shared" si="10"/>
        <v>8</v>
      </c>
      <c r="M54" s="14"/>
      <c r="N54" s="14"/>
      <c r="O54" s="14"/>
      <c r="P54" s="14">
        <f t="shared" si="11"/>
        <v>3.2</v>
      </c>
      <c r="Q54" s="4">
        <v>80</v>
      </c>
      <c r="R54" s="4">
        <v>80</v>
      </c>
      <c r="S54" s="4">
        <f t="shared" si="14"/>
        <v>96</v>
      </c>
      <c r="T54" s="14">
        <f t="shared" si="12"/>
        <v>36.25</v>
      </c>
      <c r="U54" s="14">
        <f t="shared" si="13"/>
        <v>6.25</v>
      </c>
      <c r="V54" s="14">
        <v>0</v>
      </c>
      <c r="W54" s="14"/>
      <c r="X54" s="14">
        <f t="shared" si="15"/>
        <v>72</v>
      </c>
      <c r="Y54" s="7">
        <v>8</v>
      </c>
      <c r="Z54" s="9">
        <f t="shared" si="16"/>
        <v>12</v>
      </c>
      <c r="AA54" s="14">
        <f t="shared" si="17"/>
        <v>86.4</v>
      </c>
      <c r="AB54" s="14">
        <v>12</v>
      </c>
      <c r="AC54" s="14">
        <v>84</v>
      </c>
      <c r="AD54" s="9">
        <f t="shared" si="18"/>
        <v>0.14285714285714285</v>
      </c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x14ac:dyDescent="0.25">
      <c r="A55" s="22" t="s">
        <v>127</v>
      </c>
      <c r="B55" s="14" t="s">
        <v>75</v>
      </c>
      <c r="C55" s="14"/>
      <c r="D55" s="14"/>
      <c r="E55" s="14">
        <v>25</v>
      </c>
      <c r="F55" s="14"/>
      <c r="G55" s="7">
        <v>1</v>
      </c>
      <c r="H55" s="14">
        <v>180</v>
      </c>
      <c r="I55" s="14" t="s">
        <v>128</v>
      </c>
      <c r="J55" s="14"/>
      <c r="K55" s="14">
        <v>15</v>
      </c>
      <c r="L55" s="14">
        <f t="shared" si="10"/>
        <v>10</v>
      </c>
      <c r="M55" s="14"/>
      <c r="N55" s="14"/>
      <c r="O55" s="14"/>
      <c r="P55" s="14">
        <f t="shared" si="11"/>
        <v>5</v>
      </c>
      <c r="Q55" s="4">
        <v>70</v>
      </c>
      <c r="R55" s="4">
        <f>$R$1*P55-F55</f>
        <v>70</v>
      </c>
      <c r="S55" s="4">
        <f t="shared" si="14"/>
        <v>60</v>
      </c>
      <c r="T55" s="14">
        <f t="shared" si="12"/>
        <v>12</v>
      </c>
      <c r="U55" s="14">
        <f t="shared" si="13"/>
        <v>0</v>
      </c>
      <c r="V55" s="14">
        <v>0</v>
      </c>
      <c r="W55" s="14"/>
      <c r="X55" s="14">
        <f t="shared" si="15"/>
        <v>70</v>
      </c>
      <c r="Y55" s="7">
        <v>5</v>
      </c>
      <c r="Z55" s="9">
        <f t="shared" si="16"/>
        <v>12</v>
      </c>
      <c r="AA55" s="14">
        <f t="shared" si="17"/>
        <v>60</v>
      </c>
      <c r="AB55" s="14">
        <v>12</v>
      </c>
      <c r="AC55" s="14">
        <v>144</v>
      </c>
      <c r="AD55" s="9">
        <f t="shared" si="18"/>
        <v>8.3333333333333329E-2</v>
      </c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x14ac:dyDescent="0.25">
      <c r="A56" s="22" t="s">
        <v>129</v>
      </c>
      <c r="B56" s="14" t="s">
        <v>32</v>
      </c>
      <c r="C56" s="14"/>
      <c r="D56" s="14"/>
      <c r="E56" s="14"/>
      <c r="F56" s="14"/>
      <c r="G56" s="7">
        <v>1</v>
      </c>
      <c r="H56" s="14">
        <v>180</v>
      </c>
      <c r="I56" s="14" t="s">
        <v>130</v>
      </c>
      <c r="J56" s="14"/>
      <c r="K56" s="14"/>
      <c r="L56" s="14">
        <f t="shared" si="10"/>
        <v>0</v>
      </c>
      <c r="M56" s="14"/>
      <c r="N56" s="14"/>
      <c r="O56" s="14"/>
      <c r="P56" s="14">
        <f t="shared" si="11"/>
        <v>0</v>
      </c>
      <c r="Q56" s="4">
        <v>60</v>
      </c>
      <c r="R56" s="4">
        <v>60</v>
      </c>
      <c r="S56" s="4">
        <f t="shared" si="14"/>
        <v>60</v>
      </c>
      <c r="T56" s="14" t="e">
        <f t="shared" si="12"/>
        <v>#DIV/0!</v>
      </c>
      <c r="U56" s="14" t="e">
        <f t="shared" si="13"/>
        <v>#DIV/0!</v>
      </c>
      <c r="V56" s="14">
        <v>0</v>
      </c>
      <c r="W56" s="14"/>
      <c r="X56" s="14">
        <f t="shared" si="15"/>
        <v>60</v>
      </c>
      <c r="Y56" s="7">
        <v>5</v>
      </c>
      <c r="Z56" s="9">
        <f t="shared" si="16"/>
        <v>12</v>
      </c>
      <c r="AA56" s="14">
        <f t="shared" si="17"/>
        <v>60</v>
      </c>
      <c r="AB56" s="14">
        <v>12</v>
      </c>
      <c r="AC56" s="14">
        <v>84</v>
      </c>
      <c r="AD56" s="9">
        <f t="shared" si="18"/>
        <v>0.14285714285714285</v>
      </c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x14ac:dyDescent="0.25">
      <c r="A57" s="14" t="s">
        <v>131</v>
      </c>
      <c r="B57" s="14" t="s">
        <v>75</v>
      </c>
      <c r="C57" s="14"/>
      <c r="D57" s="14">
        <v>44.4</v>
      </c>
      <c r="E57" s="14"/>
      <c r="F57" s="14">
        <v>44.4</v>
      </c>
      <c r="G57" s="7">
        <v>1</v>
      </c>
      <c r="H57" s="14">
        <v>180</v>
      </c>
      <c r="I57" s="14" t="s">
        <v>132</v>
      </c>
      <c r="J57" s="14"/>
      <c r="K57" s="14"/>
      <c r="L57" s="14">
        <f t="shared" si="10"/>
        <v>0</v>
      </c>
      <c r="M57" s="14"/>
      <c r="N57" s="14"/>
      <c r="O57" s="14"/>
      <c r="P57" s="14">
        <f t="shared" si="11"/>
        <v>0</v>
      </c>
      <c r="Q57" s="4"/>
      <c r="R57" s="4"/>
      <c r="S57" s="4">
        <f t="shared" si="14"/>
        <v>0</v>
      </c>
      <c r="T57" s="14" t="e">
        <f t="shared" si="12"/>
        <v>#DIV/0!</v>
      </c>
      <c r="U57" s="14" t="e">
        <f t="shared" si="13"/>
        <v>#DIV/0!</v>
      </c>
      <c r="V57" s="14">
        <v>0</v>
      </c>
      <c r="W57" s="14"/>
      <c r="X57" s="14">
        <f t="shared" si="15"/>
        <v>0</v>
      </c>
      <c r="Y57" s="7">
        <v>3.7</v>
      </c>
      <c r="Z57" s="9">
        <f t="shared" si="16"/>
        <v>0</v>
      </c>
      <c r="AA57" s="14">
        <f t="shared" si="17"/>
        <v>0</v>
      </c>
      <c r="AB57" s="14">
        <v>14</v>
      </c>
      <c r="AC57" s="14">
        <v>126</v>
      </c>
      <c r="AD57" s="9">
        <f t="shared" si="18"/>
        <v>0</v>
      </c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0" x14ac:dyDescent="0.25">
      <c r="A58" s="14" t="s">
        <v>133</v>
      </c>
      <c r="B58" s="14" t="s">
        <v>32</v>
      </c>
      <c r="C58" s="14"/>
      <c r="D58" s="14">
        <v>84</v>
      </c>
      <c r="E58" s="14">
        <v>13</v>
      </c>
      <c r="F58" s="14">
        <v>79</v>
      </c>
      <c r="G58" s="7">
        <v>0.23</v>
      </c>
      <c r="H58" s="14">
        <v>180</v>
      </c>
      <c r="I58" s="14" t="s">
        <v>134</v>
      </c>
      <c r="J58" s="14"/>
      <c r="K58" s="14">
        <v>7</v>
      </c>
      <c r="L58" s="14">
        <f t="shared" si="10"/>
        <v>6</v>
      </c>
      <c r="M58" s="14"/>
      <c r="N58" s="14"/>
      <c r="O58" s="14"/>
      <c r="P58" s="14">
        <f t="shared" si="11"/>
        <v>2.6</v>
      </c>
      <c r="Q58" s="4"/>
      <c r="R58" s="4"/>
      <c r="S58" s="4">
        <f t="shared" si="14"/>
        <v>0</v>
      </c>
      <c r="T58" s="14">
        <f t="shared" si="12"/>
        <v>30.384615384615383</v>
      </c>
      <c r="U58" s="14">
        <f t="shared" si="13"/>
        <v>30.384615384615383</v>
      </c>
      <c r="V58" s="14">
        <v>0</v>
      </c>
      <c r="W58" s="14"/>
      <c r="X58" s="14">
        <f t="shared" si="15"/>
        <v>0</v>
      </c>
      <c r="Y58" s="7">
        <v>6</v>
      </c>
      <c r="Z58" s="9">
        <f t="shared" si="16"/>
        <v>0</v>
      </c>
      <c r="AA58" s="14">
        <f t="shared" si="17"/>
        <v>0</v>
      </c>
      <c r="AB58" s="14">
        <v>14</v>
      </c>
      <c r="AC58" s="14">
        <v>140</v>
      </c>
      <c r="AD58" s="9">
        <f t="shared" si="18"/>
        <v>0</v>
      </c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0" x14ac:dyDescent="0.25">
      <c r="A59" s="14" t="s">
        <v>47</v>
      </c>
      <c r="B59" s="14" t="s">
        <v>32</v>
      </c>
      <c r="C59" s="14"/>
      <c r="D59" s="14"/>
      <c r="E59" s="20">
        <f>26+E12</f>
        <v>132</v>
      </c>
      <c r="F59" s="20">
        <f>-22+F12</f>
        <v>267</v>
      </c>
      <c r="G59" s="7">
        <v>0.25</v>
      </c>
      <c r="H59" s="14">
        <v>180</v>
      </c>
      <c r="I59" s="14" t="s">
        <v>135</v>
      </c>
      <c r="J59" s="14"/>
      <c r="K59" s="14">
        <v>28</v>
      </c>
      <c r="L59" s="14">
        <f t="shared" si="10"/>
        <v>104</v>
      </c>
      <c r="M59" s="14"/>
      <c r="N59" s="14"/>
      <c r="O59" s="14"/>
      <c r="P59" s="14">
        <f t="shared" si="11"/>
        <v>26.4</v>
      </c>
      <c r="Q59" s="4">
        <v>102.59999999999997</v>
      </c>
      <c r="R59" s="4">
        <f>$R$1*P59-F59</f>
        <v>102.59999999999997</v>
      </c>
      <c r="S59" s="4">
        <f t="shared" si="14"/>
        <v>168</v>
      </c>
      <c r="T59" s="14">
        <f t="shared" si="12"/>
        <v>16.477272727272727</v>
      </c>
      <c r="U59" s="14">
        <f t="shared" si="13"/>
        <v>10.113636363636363</v>
      </c>
      <c r="V59" s="14">
        <v>0</v>
      </c>
      <c r="W59" s="14"/>
      <c r="X59" s="14">
        <f t="shared" si="15"/>
        <v>25.649999999999991</v>
      </c>
      <c r="Y59" s="7">
        <v>12</v>
      </c>
      <c r="Z59" s="9">
        <f t="shared" si="16"/>
        <v>14</v>
      </c>
      <c r="AA59" s="14">
        <f t="shared" si="17"/>
        <v>42</v>
      </c>
      <c r="AB59" s="14">
        <v>14</v>
      </c>
      <c r="AC59" s="14">
        <v>70</v>
      </c>
      <c r="AD59" s="9">
        <f t="shared" si="18"/>
        <v>0.2</v>
      </c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spans="1:40" x14ac:dyDescent="0.25">
      <c r="A60" s="13" t="s">
        <v>49</v>
      </c>
      <c r="B60" s="14" t="s">
        <v>32</v>
      </c>
      <c r="C60" s="14"/>
      <c r="D60" s="14"/>
      <c r="E60" s="20">
        <f>0+E13</f>
        <v>42</v>
      </c>
      <c r="F60" s="20">
        <f>0+F13</f>
        <v>288</v>
      </c>
      <c r="G60" s="7">
        <v>0.25</v>
      </c>
      <c r="H60" s="14">
        <v>180</v>
      </c>
      <c r="I60" s="14" t="s">
        <v>136</v>
      </c>
      <c r="J60" s="14"/>
      <c r="K60" s="14">
        <v>24</v>
      </c>
      <c r="L60" s="14">
        <f t="shared" si="10"/>
        <v>18</v>
      </c>
      <c r="M60" s="14"/>
      <c r="N60" s="14"/>
      <c r="O60" s="14"/>
      <c r="P60" s="14">
        <f t="shared" si="11"/>
        <v>8.4</v>
      </c>
      <c r="Q60" s="4"/>
      <c r="R60" s="4"/>
      <c r="S60" s="4">
        <f t="shared" si="14"/>
        <v>0</v>
      </c>
      <c r="T60" s="14">
        <f t="shared" si="12"/>
        <v>34.285714285714285</v>
      </c>
      <c r="U60" s="14">
        <f t="shared" si="13"/>
        <v>34.285714285714285</v>
      </c>
      <c r="V60" s="14">
        <v>0</v>
      </c>
      <c r="W60" s="14"/>
      <c r="X60" s="14">
        <f t="shared" si="15"/>
        <v>0</v>
      </c>
      <c r="Y60" s="7">
        <v>12</v>
      </c>
      <c r="Z60" s="9">
        <f t="shared" si="16"/>
        <v>0</v>
      </c>
      <c r="AA60" s="14">
        <f t="shared" si="17"/>
        <v>0</v>
      </c>
      <c r="AB60" s="14">
        <v>14</v>
      </c>
      <c r="AC60" s="14">
        <v>70</v>
      </c>
      <c r="AD60" s="9">
        <f t="shared" si="18"/>
        <v>0</v>
      </c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x14ac:dyDescent="0.25">
      <c r="A61" s="14" t="s">
        <v>137</v>
      </c>
      <c r="B61" s="14" t="s">
        <v>32</v>
      </c>
      <c r="C61" s="14"/>
      <c r="D61" s="14">
        <v>60</v>
      </c>
      <c r="E61" s="14"/>
      <c r="F61" s="14">
        <v>60</v>
      </c>
      <c r="G61" s="7">
        <v>0.18</v>
      </c>
      <c r="H61" s="14">
        <v>180</v>
      </c>
      <c r="I61" s="14" t="s">
        <v>138</v>
      </c>
      <c r="J61" s="14"/>
      <c r="K61" s="14"/>
      <c r="L61" s="14">
        <f t="shared" si="10"/>
        <v>0</v>
      </c>
      <c r="M61" s="14"/>
      <c r="N61" s="14"/>
      <c r="O61" s="14"/>
      <c r="P61" s="14">
        <f t="shared" si="11"/>
        <v>0</v>
      </c>
      <c r="Q61" s="4"/>
      <c r="R61" s="4"/>
      <c r="S61" s="4">
        <f t="shared" si="14"/>
        <v>0</v>
      </c>
      <c r="T61" s="14" t="e">
        <f t="shared" si="12"/>
        <v>#DIV/0!</v>
      </c>
      <c r="U61" s="14" t="e">
        <f t="shared" si="13"/>
        <v>#DIV/0!</v>
      </c>
      <c r="V61" s="14">
        <v>0</v>
      </c>
      <c r="W61" s="14"/>
      <c r="X61" s="14">
        <f t="shared" si="15"/>
        <v>0</v>
      </c>
      <c r="Y61" s="7">
        <v>6</v>
      </c>
      <c r="Z61" s="9">
        <f t="shared" si="16"/>
        <v>0</v>
      </c>
      <c r="AA61" s="14">
        <f t="shared" si="17"/>
        <v>0</v>
      </c>
      <c r="AB61" s="14">
        <v>14</v>
      </c>
      <c r="AC61" s="14">
        <v>140</v>
      </c>
      <c r="AD61" s="9">
        <f t="shared" si="18"/>
        <v>0</v>
      </c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x14ac:dyDescent="0.25">
      <c r="A62" s="14" t="s">
        <v>139</v>
      </c>
      <c r="B62" s="14" t="s">
        <v>32</v>
      </c>
      <c r="C62" s="14"/>
      <c r="D62" s="14">
        <v>30</v>
      </c>
      <c r="E62" s="14">
        <v>18</v>
      </c>
      <c r="F62" s="14">
        <v>12</v>
      </c>
      <c r="G62" s="7">
        <v>0.18</v>
      </c>
      <c r="H62" s="14">
        <v>180</v>
      </c>
      <c r="I62" s="14" t="s">
        <v>140</v>
      </c>
      <c r="J62" s="14"/>
      <c r="K62" s="14">
        <v>18</v>
      </c>
      <c r="L62" s="14">
        <f t="shared" si="10"/>
        <v>0</v>
      </c>
      <c r="M62" s="14"/>
      <c r="N62" s="14"/>
      <c r="O62" s="14"/>
      <c r="P62" s="14">
        <f t="shared" si="11"/>
        <v>3.6</v>
      </c>
      <c r="Q62" s="4">
        <v>42</v>
      </c>
      <c r="R62" s="4">
        <f>15*P62-F62</f>
        <v>42</v>
      </c>
      <c r="S62" s="4">
        <f t="shared" si="14"/>
        <v>84</v>
      </c>
      <c r="T62" s="14">
        <f t="shared" si="12"/>
        <v>26.666666666666664</v>
      </c>
      <c r="U62" s="14">
        <f t="shared" si="13"/>
        <v>3.333333333333333</v>
      </c>
      <c r="V62" s="14">
        <v>0</v>
      </c>
      <c r="W62" s="14"/>
      <c r="X62" s="14">
        <f t="shared" si="15"/>
        <v>7.56</v>
      </c>
      <c r="Y62" s="7">
        <v>6</v>
      </c>
      <c r="Z62" s="9">
        <f t="shared" si="16"/>
        <v>14</v>
      </c>
      <c r="AA62" s="14">
        <f t="shared" si="17"/>
        <v>15.12</v>
      </c>
      <c r="AB62" s="14">
        <v>14</v>
      </c>
      <c r="AC62" s="14">
        <v>140</v>
      </c>
      <c r="AD62" s="9">
        <f t="shared" si="18"/>
        <v>0.1</v>
      </c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x14ac:dyDescent="0.25">
      <c r="A63" s="14" t="s">
        <v>141</v>
      </c>
      <c r="B63" s="14" t="s">
        <v>32</v>
      </c>
      <c r="C63" s="14"/>
      <c r="D63" s="14">
        <v>30</v>
      </c>
      <c r="E63" s="14">
        <v>6</v>
      </c>
      <c r="F63" s="14">
        <v>24</v>
      </c>
      <c r="G63" s="7">
        <v>0.18</v>
      </c>
      <c r="H63" s="14">
        <v>180</v>
      </c>
      <c r="I63" s="14" t="s">
        <v>142</v>
      </c>
      <c r="J63" s="14"/>
      <c r="K63" s="14">
        <v>6</v>
      </c>
      <c r="L63" s="14">
        <f t="shared" si="10"/>
        <v>0</v>
      </c>
      <c r="M63" s="14"/>
      <c r="N63" s="14"/>
      <c r="O63" s="14"/>
      <c r="P63" s="14">
        <f t="shared" si="11"/>
        <v>1.2</v>
      </c>
      <c r="Q63" s="4"/>
      <c r="R63" s="4"/>
      <c r="S63" s="4">
        <f t="shared" si="14"/>
        <v>0</v>
      </c>
      <c r="T63" s="14">
        <f t="shared" si="12"/>
        <v>20</v>
      </c>
      <c r="U63" s="14">
        <f t="shared" si="13"/>
        <v>20</v>
      </c>
      <c r="V63" s="14">
        <v>0</v>
      </c>
      <c r="W63" s="14"/>
      <c r="X63" s="14">
        <f t="shared" si="15"/>
        <v>0</v>
      </c>
      <c r="Y63" s="7">
        <v>6</v>
      </c>
      <c r="Z63" s="9">
        <f t="shared" si="16"/>
        <v>0</v>
      </c>
      <c r="AA63" s="14">
        <f t="shared" si="17"/>
        <v>0</v>
      </c>
      <c r="AB63" s="14">
        <v>14</v>
      </c>
      <c r="AC63" s="14">
        <v>140</v>
      </c>
      <c r="AD63" s="9">
        <f t="shared" si="18"/>
        <v>0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x14ac:dyDescent="0.25">
      <c r="A64" s="14" t="s">
        <v>143</v>
      </c>
      <c r="B64" s="14" t="s">
        <v>32</v>
      </c>
      <c r="C64" s="14"/>
      <c r="D64" s="14">
        <v>336</v>
      </c>
      <c r="E64" s="14">
        <v>29</v>
      </c>
      <c r="F64" s="14">
        <v>303</v>
      </c>
      <c r="G64" s="7">
        <v>0.3</v>
      </c>
      <c r="H64" s="14">
        <v>180</v>
      </c>
      <c r="I64" s="14" t="s">
        <v>144</v>
      </c>
      <c r="J64" s="14"/>
      <c r="K64" s="14">
        <v>84</v>
      </c>
      <c r="L64" s="14">
        <f t="shared" si="10"/>
        <v>-55</v>
      </c>
      <c r="M64" s="14"/>
      <c r="N64" s="14"/>
      <c r="O64" s="14"/>
      <c r="P64" s="14">
        <f t="shared" si="11"/>
        <v>5.8</v>
      </c>
      <c r="Q64" s="4"/>
      <c r="R64" s="4"/>
      <c r="S64" s="4">
        <f t="shared" si="14"/>
        <v>0</v>
      </c>
      <c r="T64" s="14">
        <f t="shared" si="12"/>
        <v>52.241379310344833</v>
      </c>
      <c r="U64" s="14">
        <f t="shared" si="13"/>
        <v>52.241379310344833</v>
      </c>
      <c r="V64" s="14">
        <v>0</v>
      </c>
      <c r="W64" s="14"/>
      <c r="X64" s="14">
        <f t="shared" si="15"/>
        <v>0</v>
      </c>
      <c r="Y64" s="7">
        <v>12</v>
      </c>
      <c r="Z64" s="9">
        <f t="shared" si="16"/>
        <v>0</v>
      </c>
      <c r="AA64" s="14">
        <f t="shared" si="17"/>
        <v>0</v>
      </c>
      <c r="AB64" s="14">
        <v>14</v>
      </c>
      <c r="AC64" s="14">
        <v>70</v>
      </c>
      <c r="AD64" s="9">
        <f t="shared" si="18"/>
        <v>0</v>
      </c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x14ac:dyDescent="0.25">
      <c r="A65" s="14" t="s">
        <v>145</v>
      </c>
      <c r="B65" s="14" t="s">
        <v>32</v>
      </c>
      <c r="C65" s="14"/>
      <c r="D65" s="14">
        <v>294</v>
      </c>
      <c r="E65" s="14">
        <v>120</v>
      </c>
      <c r="F65" s="14">
        <v>185</v>
      </c>
      <c r="G65" s="7">
        <v>0.3</v>
      </c>
      <c r="H65" s="14">
        <v>180</v>
      </c>
      <c r="I65" s="14" t="s">
        <v>146</v>
      </c>
      <c r="J65" s="14"/>
      <c r="K65" s="14">
        <v>103</v>
      </c>
      <c r="L65" s="14">
        <f t="shared" si="10"/>
        <v>17</v>
      </c>
      <c r="M65" s="14"/>
      <c r="N65" s="14"/>
      <c r="O65" s="14"/>
      <c r="P65" s="14">
        <f t="shared" si="11"/>
        <v>24</v>
      </c>
      <c r="Q65" s="4">
        <v>151</v>
      </c>
      <c r="R65" s="4">
        <f t="shared" ref="R65:R66" si="19">$R$1*P65-F65</f>
        <v>151</v>
      </c>
      <c r="S65" s="4">
        <f t="shared" si="14"/>
        <v>168</v>
      </c>
      <c r="T65" s="14">
        <f t="shared" si="12"/>
        <v>14.708333333333334</v>
      </c>
      <c r="U65" s="14">
        <f t="shared" si="13"/>
        <v>7.708333333333333</v>
      </c>
      <c r="V65" s="14">
        <v>0</v>
      </c>
      <c r="W65" s="14"/>
      <c r="X65" s="14">
        <f t="shared" si="15"/>
        <v>45.3</v>
      </c>
      <c r="Y65" s="7">
        <v>12</v>
      </c>
      <c r="Z65" s="9">
        <f t="shared" si="16"/>
        <v>14</v>
      </c>
      <c r="AA65" s="14">
        <f t="shared" si="17"/>
        <v>50.4</v>
      </c>
      <c r="AB65" s="14">
        <v>14</v>
      </c>
      <c r="AC65" s="14">
        <v>70</v>
      </c>
      <c r="AD65" s="9">
        <f t="shared" si="18"/>
        <v>0.2</v>
      </c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x14ac:dyDescent="0.25">
      <c r="A66" s="14" t="s">
        <v>147</v>
      </c>
      <c r="B66" s="14" t="s">
        <v>32</v>
      </c>
      <c r="C66" s="14"/>
      <c r="D66" s="14">
        <v>178</v>
      </c>
      <c r="E66" s="14">
        <v>104</v>
      </c>
      <c r="F66" s="14">
        <v>119</v>
      </c>
      <c r="G66" s="7">
        <v>0.3</v>
      </c>
      <c r="H66" s="14">
        <v>180</v>
      </c>
      <c r="I66" s="14" t="s">
        <v>148</v>
      </c>
      <c r="J66" s="14"/>
      <c r="K66" s="14">
        <v>83</v>
      </c>
      <c r="L66" s="14">
        <f t="shared" si="10"/>
        <v>21</v>
      </c>
      <c r="M66" s="14"/>
      <c r="N66" s="14"/>
      <c r="O66" s="14"/>
      <c r="P66" s="14">
        <f t="shared" si="11"/>
        <v>20.8</v>
      </c>
      <c r="Q66" s="4">
        <v>172.2</v>
      </c>
      <c r="R66" s="4">
        <f t="shared" si="19"/>
        <v>172.2</v>
      </c>
      <c r="S66" s="4">
        <f t="shared" si="14"/>
        <v>196</v>
      </c>
      <c r="T66" s="14">
        <f t="shared" si="12"/>
        <v>15.144230769230768</v>
      </c>
      <c r="U66" s="14">
        <f t="shared" si="13"/>
        <v>5.7211538461538458</v>
      </c>
      <c r="V66" s="14">
        <v>0</v>
      </c>
      <c r="W66" s="14"/>
      <c r="X66" s="14">
        <f t="shared" si="15"/>
        <v>51.66</v>
      </c>
      <c r="Y66" s="7">
        <v>14</v>
      </c>
      <c r="Z66" s="9">
        <f t="shared" si="16"/>
        <v>14</v>
      </c>
      <c r="AA66" s="14">
        <f t="shared" si="17"/>
        <v>58.8</v>
      </c>
      <c r="AB66" s="14">
        <v>14</v>
      </c>
      <c r="AC66" s="14">
        <v>70</v>
      </c>
      <c r="AD66" s="9">
        <f t="shared" si="18"/>
        <v>0.2</v>
      </c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x14ac:dyDescent="0.25">
      <c r="A67" s="14" t="s">
        <v>149</v>
      </c>
      <c r="B67" s="14" t="s">
        <v>32</v>
      </c>
      <c r="C67" s="14"/>
      <c r="D67" s="14">
        <v>84</v>
      </c>
      <c r="E67" s="14">
        <v>3</v>
      </c>
      <c r="F67" s="14">
        <v>77</v>
      </c>
      <c r="G67" s="7">
        <v>0.22</v>
      </c>
      <c r="H67" s="14"/>
      <c r="I67" s="14" t="s">
        <v>150</v>
      </c>
      <c r="J67" s="14"/>
      <c r="K67" s="14">
        <v>12</v>
      </c>
      <c r="L67" s="14">
        <f t="shared" si="10"/>
        <v>-9</v>
      </c>
      <c r="M67" s="14"/>
      <c r="N67" s="14"/>
      <c r="O67" s="14"/>
      <c r="P67" s="14">
        <f t="shared" si="11"/>
        <v>0.6</v>
      </c>
      <c r="Q67" s="4"/>
      <c r="R67" s="4"/>
      <c r="S67" s="4">
        <f t="shared" si="14"/>
        <v>0</v>
      </c>
      <c r="T67" s="14">
        <f t="shared" si="12"/>
        <v>128.33333333333334</v>
      </c>
      <c r="U67" s="14">
        <f t="shared" si="13"/>
        <v>128.33333333333334</v>
      </c>
      <c r="V67" s="14">
        <v>0</v>
      </c>
      <c r="W67" s="14"/>
      <c r="X67" s="14">
        <f t="shared" si="15"/>
        <v>0</v>
      </c>
      <c r="Y67" s="7">
        <v>6</v>
      </c>
      <c r="Z67" s="9">
        <f t="shared" si="16"/>
        <v>0</v>
      </c>
      <c r="AA67" s="14">
        <f t="shared" si="17"/>
        <v>0</v>
      </c>
      <c r="AB67" s="14">
        <v>14</v>
      </c>
      <c r="AC67" s="14">
        <v>140</v>
      </c>
      <c r="AD67" s="9">
        <f t="shared" si="18"/>
        <v>0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x14ac:dyDescent="0.25">
      <c r="A68" s="14" t="s">
        <v>151</v>
      </c>
      <c r="B68" s="14" t="s">
        <v>32</v>
      </c>
      <c r="C68" s="14"/>
      <c r="D68" s="14">
        <v>878</v>
      </c>
      <c r="E68" s="14">
        <v>263</v>
      </c>
      <c r="F68" s="14">
        <v>630</v>
      </c>
      <c r="G68" s="7">
        <v>0.25</v>
      </c>
      <c r="H68" s="14">
        <v>180</v>
      </c>
      <c r="I68" s="14" t="s">
        <v>152</v>
      </c>
      <c r="J68" s="14"/>
      <c r="K68" s="14">
        <v>262</v>
      </c>
      <c r="L68" s="14">
        <f t="shared" si="10"/>
        <v>1</v>
      </c>
      <c r="M68" s="14"/>
      <c r="N68" s="14"/>
      <c r="O68" s="14"/>
      <c r="P68" s="14">
        <f t="shared" si="11"/>
        <v>52.6</v>
      </c>
      <c r="Q68" s="4">
        <v>106.39999999999998</v>
      </c>
      <c r="R68" s="4">
        <f t="shared" ref="R68:R70" si="20">$R$1*P68-F68</f>
        <v>106.39999999999998</v>
      </c>
      <c r="S68" s="4">
        <f t="shared" si="14"/>
        <v>168</v>
      </c>
      <c r="T68" s="14">
        <f t="shared" si="12"/>
        <v>15.171102661596958</v>
      </c>
      <c r="U68" s="14">
        <f t="shared" si="13"/>
        <v>11.977186311787072</v>
      </c>
      <c r="V68" s="14">
        <v>0</v>
      </c>
      <c r="W68" s="14"/>
      <c r="X68" s="14">
        <f t="shared" si="15"/>
        <v>26.599999999999994</v>
      </c>
      <c r="Y68" s="7">
        <v>12</v>
      </c>
      <c r="Z68" s="9">
        <f t="shared" si="16"/>
        <v>14</v>
      </c>
      <c r="AA68" s="14">
        <f t="shared" si="17"/>
        <v>42</v>
      </c>
      <c r="AB68" s="14">
        <v>14</v>
      </c>
      <c r="AC68" s="14">
        <v>70</v>
      </c>
      <c r="AD68" s="9">
        <f t="shared" si="18"/>
        <v>0.2</v>
      </c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x14ac:dyDescent="0.25">
      <c r="A69" s="14" t="s">
        <v>153</v>
      </c>
      <c r="B69" s="14" t="s">
        <v>32</v>
      </c>
      <c r="C69" s="14"/>
      <c r="D69" s="14">
        <v>666</v>
      </c>
      <c r="E69" s="14">
        <v>215</v>
      </c>
      <c r="F69" s="14">
        <v>489</v>
      </c>
      <c r="G69" s="7">
        <v>0.25</v>
      </c>
      <c r="H69" s="14">
        <v>180</v>
      </c>
      <c r="I69" s="14" t="s">
        <v>154</v>
      </c>
      <c r="J69" s="14"/>
      <c r="K69" s="14">
        <v>193</v>
      </c>
      <c r="L69" s="14">
        <f t="shared" si="10"/>
        <v>22</v>
      </c>
      <c r="M69" s="14"/>
      <c r="N69" s="14"/>
      <c r="O69" s="14"/>
      <c r="P69" s="14">
        <f t="shared" si="11"/>
        <v>43</v>
      </c>
      <c r="Q69" s="4">
        <v>113</v>
      </c>
      <c r="R69" s="4">
        <f t="shared" si="20"/>
        <v>113</v>
      </c>
      <c r="S69" s="4">
        <f t="shared" si="14"/>
        <v>168</v>
      </c>
      <c r="T69" s="14">
        <f t="shared" si="12"/>
        <v>15.279069767441861</v>
      </c>
      <c r="U69" s="14">
        <f t="shared" si="13"/>
        <v>11.372093023255815</v>
      </c>
      <c r="V69" s="14">
        <v>0</v>
      </c>
      <c r="W69" s="14"/>
      <c r="X69" s="14">
        <f t="shared" si="15"/>
        <v>28.25</v>
      </c>
      <c r="Y69" s="7">
        <v>12</v>
      </c>
      <c r="Z69" s="9">
        <f t="shared" si="16"/>
        <v>14</v>
      </c>
      <c r="AA69" s="14">
        <f t="shared" si="17"/>
        <v>42</v>
      </c>
      <c r="AB69" s="14">
        <v>14</v>
      </c>
      <c r="AC69" s="14">
        <v>70</v>
      </c>
      <c r="AD69" s="9">
        <f t="shared" si="18"/>
        <v>0.2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x14ac:dyDescent="0.25">
      <c r="A70" s="14" t="s">
        <v>155</v>
      </c>
      <c r="B70" s="14" t="s">
        <v>32</v>
      </c>
      <c r="C70" s="14"/>
      <c r="D70" s="14">
        <v>50</v>
      </c>
      <c r="E70" s="14">
        <v>39</v>
      </c>
      <c r="F70" s="14">
        <v>16</v>
      </c>
      <c r="G70" s="7">
        <v>0.2</v>
      </c>
      <c r="H70" s="14">
        <v>365</v>
      </c>
      <c r="I70" s="14" t="s">
        <v>156</v>
      </c>
      <c r="J70" s="14"/>
      <c r="K70" s="14">
        <v>36</v>
      </c>
      <c r="L70" s="14">
        <f t="shared" ref="L70:L74" si="21">E70-K70</f>
        <v>3</v>
      </c>
      <c r="M70" s="14"/>
      <c r="N70" s="14"/>
      <c r="O70" s="14"/>
      <c r="P70" s="14">
        <f t="shared" si="11"/>
        <v>7.8</v>
      </c>
      <c r="Q70" s="4">
        <v>93.2</v>
      </c>
      <c r="R70" s="4">
        <f t="shared" si="20"/>
        <v>93.2</v>
      </c>
      <c r="S70" s="4">
        <f t="shared" si="14"/>
        <v>84</v>
      </c>
      <c r="T70" s="14">
        <f t="shared" ref="T70:T74" si="22">(F70+S70)/P70</f>
        <v>12.820512820512821</v>
      </c>
      <c r="U70" s="14">
        <f t="shared" si="13"/>
        <v>2.0512820512820515</v>
      </c>
      <c r="V70" s="14">
        <v>0</v>
      </c>
      <c r="W70" s="14"/>
      <c r="X70" s="14">
        <f t="shared" si="15"/>
        <v>18.64</v>
      </c>
      <c r="Y70" s="7">
        <v>6</v>
      </c>
      <c r="Z70" s="9">
        <f t="shared" si="16"/>
        <v>14</v>
      </c>
      <c r="AA70" s="14">
        <f t="shared" si="17"/>
        <v>16.8</v>
      </c>
      <c r="AB70" s="14">
        <v>14</v>
      </c>
      <c r="AC70" s="14">
        <v>140</v>
      </c>
      <c r="AD70" s="9">
        <f t="shared" si="18"/>
        <v>0.1</v>
      </c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x14ac:dyDescent="0.25">
      <c r="A71" s="14" t="s">
        <v>157</v>
      </c>
      <c r="B71" s="14" t="s">
        <v>32</v>
      </c>
      <c r="C71" s="14"/>
      <c r="D71" s="14">
        <v>168</v>
      </c>
      <c r="E71" s="14">
        <v>27</v>
      </c>
      <c r="F71" s="14">
        <v>144</v>
      </c>
      <c r="G71" s="7">
        <v>0.23</v>
      </c>
      <c r="H71" s="14">
        <v>180</v>
      </c>
      <c r="I71" s="14" t="s">
        <v>158</v>
      </c>
      <c r="J71" s="14"/>
      <c r="K71" s="14">
        <v>55</v>
      </c>
      <c r="L71" s="14">
        <f t="shared" si="21"/>
        <v>-28</v>
      </c>
      <c r="M71" s="14"/>
      <c r="N71" s="14"/>
      <c r="O71" s="14"/>
      <c r="P71" s="14">
        <f t="shared" si="11"/>
        <v>5.4</v>
      </c>
      <c r="Q71" s="4"/>
      <c r="R71" s="4"/>
      <c r="S71" s="4">
        <f t="shared" si="14"/>
        <v>0</v>
      </c>
      <c r="T71" s="14">
        <f t="shared" si="22"/>
        <v>26.666666666666664</v>
      </c>
      <c r="U71" s="14">
        <f t="shared" si="13"/>
        <v>26.666666666666664</v>
      </c>
      <c r="V71" s="14">
        <v>0</v>
      </c>
      <c r="W71" s="14"/>
      <c r="X71" s="14">
        <f t="shared" si="15"/>
        <v>0</v>
      </c>
      <c r="Y71" s="7">
        <v>6</v>
      </c>
      <c r="Z71" s="9">
        <f t="shared" si="16"/>
        <v>0</v>
      </c>
      <c r="AA71" s="14">
        <f t="shared" si="17"/>
        <v>0</v>
      </c>
      <c r="AB71" s="14">
        <v>14</v>
      </c>
      <c r="AC71" s="14">
        <v>140</v>
      </c>
      <c r="AD71" s="9">
        <f t="shared" si="18"/>
        <v>0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x14ac:dyDescent="0.25">
      <c r="A72" s="14" t="s">
        <v>159</v>
      </c>
      <c r="B72" s="14" t="s">
        <v>32</v>
      </c>
      <c r="C72" s="14"/>
      <c r="D72" s="14">
        <v>252</v>
      </c>
      <c r="E72" s="14">
        <v>25</v>
      </c>
      <c r="F72" s="14">
        <v>222</v>
      </c>
      <c r="G72" s="7">
        <v>0.23</v>
      </c>
      <c r="H72" s="14"/>
      <c r="I72" s="14" t="s">
        <v>150</v>
      </c>
      <c r="J72" s="14"/>
      <c r="K72" s="14">
        <v>37</v>
      </c>
      <c r="L72" s="14">
        <f t="shared" si="21"/>
        <v>-12</v>
      </c>
      <c r="M72" s="14"/>
      <c r="N72" s="14"/>
      <c r="O72" s="14"/>
      <c r="P72" s="14">
        <f t="shared" si="11"/>
        <v>5</v>
      </c>
      <c r="Q72" s="4"/>
      <c r="R72" s="4"/>
      <c r="S72" s="4">
        <f t="shared" si="14"/>
        <v>0</v>
      </c>
      <c r="T72" s="14">
        <f t="shared" si="22"/>
        <v>44.4</v>
      </c>
      <c r="U72" s="14">
        <f t="shared" si="13"/>
        <v>44.4</v>
      </c>
      <c r="V72" s="14">
        <v>0</v>
      </c>
      <c r="W72" s="14"/>
      <c r="X72" s="14">
        <f t="shared" si="15"/>
        <v>0</v>
      </c>
      <c r="Y72" s="7">
        <v>6</v>
      </c>
      <c r="Z72" s="9">
        <f t="shared" si="16"/>
        <v>0</v>
      </c>
      <c r="AA72" s="14">
        <f t="shared" si="17"/>
        <v>0</v>
      </c>
      <c r="AB72" s="14">
        <v>14</v>
      </c>
      <c r="AC72" s="14">
        <v>140</v>
      </c>
      <c r="AD72" s="9">
        <f t="shared" si="18"/>
        <v>0</v>
      </c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 x14ac:dyDescent="0.25">
      <c r="A73" s="14" t="s">
        <v>160</v>
      </c>
      <c r="B73" s="14" t="s">
        <v>75</v>
      </c>
      <c r="C73" s="14"/>
      <c r="D73" s="14">
        <v>18.899999999999999</v>
      </c>
      <c r="E73" s="14"/>
      <c r="F73" s="14">
        <v>18.899999999999999</v>
      </c>
      <c r="G73" s="7">
        <v>1</v>
      </c>
      <c r="H73" s="14">
        <v>180</v>
      </c>
      <c r="I73" s="14" t="s">
        <v>161</v>
      </c>
      <c r="J73" s="14"/>
      <c r="K73" s="14"/>
      <c r="L73" s="14">
        <f t="shared" si="21"/>
        <v>0</v>
      </c>
      <c r="M73" s="14"/>
      <c r="N73" s="14"/>
      <c r="O73" s="14"/>
      <c r="P73" s="14">
        <f t="shared" si="11"/>
        <v>0</v>
      </c>
      <c r="Q73" s="4"/>
      <c r="R73" s="4"/>
      <c r="S73" s="4">
        <f t="shared" si="14"/>
        <v>0</v>
      </c>
      <c r="T73" s="14" t="e">
        <f t="shared" si="22"/>
        <v>#DIV/0!</v>
      </c>
      <c r="U73" s="14" t="e">
        <f t="shared" si="13"/>
        <v>#DIV/0!</v>
      </c>
      <c r="V73" s="14">
        <v>0</v>
      </c>
      <c r="W73" s="14"/>
      <c r="X73" s="14">
        <f t="shared" si="15"/>
        <v>0</v>
      </c>
      <c r="Y73" s="7">
        <v>2.7</v>
      </c>
      <c r="Z73" s="9">
        <f t="shared" si="16"/>
        <v>0</v>
      </c>
      <c r="AA73" s="14">
        <f t="shared" si="17"/>
        <v>0</v>
      </c>
      <c r="AB73" s="14">
        <v>14</v>
      </c>
      <c r="AC73" s="14">
        <v>126</v>
      </c>
      <c r="AD73" s="9">
        <f t="shared" si="18"/>
        <v>0</v>
      </c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0" x14ac:dyDescent="0.25">
      <c r="A74" s="14" t="s">
        <v>162</v>
      </c>
      <c r="B74" s="14" t="s">
        <v>75</v>
      </c>
      <c r="C74" s="14"/>
      <c r="D74" s="14">
        <v>160</v>
      </c>
      <c r="E74" s="14">
        <v>40</v>
      </c>
      <c r="F74" s="14">
        <v>120</v>
      </c>
      <c r="G74" s="7">
        <v>1</v>
      </c>
      <c r="H74" s="14">
        <v>180</v>
      </c>
      <c r="I74" s="14" t="s">
        <v>163</v>
      </c>
      <c r="J74" s="14"/>
      <c r="K74" s="14">
        <v>35</v>
      </c>
      <c r="L74" s="14">
        <f t="shared" si="21"/>
        <v>5</v>
      </c>
      <c r="M74" s="14"/>
      <c r="N74" s="14"/>
      <c r="O74" s="14"/>
      <c r="P74" s="14">
        <f t="shared" si="11"/>
        <v>8</v>
      </c>
      <c r="Q74" s="4"/>
      <c r="R74" s="4"/>
      <c r="S74" s="4">
        <f t="shared" si="14"/>
        <v>0</v>
      </c>
      <c r="T74" s="14">
        <f t="shared" si="22"/>
        <v>15</v>
      </c>
      <c r="U74" s="14">
        <f t="shared" si="13"/>
        <v>15</v>
      </c>
      <c r="V74" s="14">
        <v>0</v>
      </c>
      <c r="W74" s="14"/>
      <c r="X74" s="14">
        <f t="shared" si="15"/>
        <v>0</v>
      </c>
      <c r="Y74" s="7">
        <v>5</v>
      </c>
      <c r="Z74" s="9">
        <f t="shared" si="16"/>
        <v>0</v>
      </c>
      <c r="AA74" s="14">
        <f t="shared" si="17"/>
        <v>0</v>
      </c>
      <c r="AB74" s="14">
        <v>12</v>
      </c>
      <c r="AC74" s="14">
        <v>84</v>
      </c>
      <c r="AD74" s="9">
        <f t="shared" si="18"/>
        <v>0</v>
      </c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x14ac:dyDescent="0.25">
      <c r="A75" s="14"/>
      <c r="B75" s="14"/>
      <c r="C75" s="14"/>
      <c r="D75" s="14"/>
      <c r="E75" s="14"/>
      <c r="F75" s="14"/>
      <c r="G75" s="7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7"/>
      <c r="Z75" s="9"/>
      <c r="AA75" s="14"/>
      <c r="AB75" s="14"/>
      <c r="AC75" s="14"/>
      <c r="AD75" s="9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x14ac:dyDescent="0.25">
      <c r="A76" s="14"/>
      <c r="B76" s="14"/>
      <c r="C76" s="14"/>
      <c r="D76" s="14"/>
      <c r="E76" s="14"/>
      <c r="F76" s="14"/>
      <c r="G76" s="7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7"/>
      <c r="Z76" s="9"/>
      <c r="AA76" s="14"/>
      <c r="AB76" s="14"/>
      <c r="AC76" s="14"/>
      <c r="AD76" s="9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spans="1:40" x14ac:dyDescent="0.25">
      <c r="A77" s="14"/>
      <c r="B77" s="14"/>
      <c r="C77" s="14"/>
      <c r="D77" s="14"/>
      <c r="E77" s="14"/>
      <c r="F77" s="14"/>
      <c r="G77" s="7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7"/>
      <c r="Z77" s="9"/>
      <c r="AA77" s="14"/>
      <c r="AB77" s="14"/>
      <c r="AC77" s="14"/>
      <c r="AD77" s="9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x14ac:dyDescent="0.25">
      <c r="A78" s="14"/>
      <c r="B78" s="14"/>
      <c r="C78" s="14"/>
      <c r="D78" s="14"/>
      <c r="E78" s="14"/>
      <c r="F78" s="14"/>
      <c r="G78" s="7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7"/>
      <c r="Z78" s="9"/>
      <c r="AA78" s="14"/>
      <c r="AB78" s="14"/>
      <c r="AC78" s="14"/>
      <c r="AD78" s="9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x14ac:dyDescent="0.25">
      <c r="A79" s="14"/>
      <c r="B79" s="14"/>
      <c r="C79" s="14"/>
      <c r="D79" s="14"/>
      <c r="E79" s="14"/>
      <c r="F79" s="14"/>
      <c r="G79" s="7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7"/>
      <c r="Z79" s="9"/>
      <c r="AA79" s="14"/>
      <c r="AB79" s="14"/>
      <c r="AC79" s="14"/>
      <c r="AD79" s="9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spans="1:40" x14ac:dyDescent="0.25">
      <c r="A80" s="14"/>
      <c r="B80" s="14"/>
      <c r="C80" s="14"/>
      <c r="D80" s="14"/>
      <c r="E80" s="14"/>
      <c r="F80" s="14"/>
      <c r="G80" s="7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7"/>
      <c r="Z80" s="9"/>
      <c r="AA80" s="14"/>
      <c r="AB80" s="14"/>
      <c r="AC80" s="14"/>
      <c r="AD80" s="9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0" x14ac:dyDescent="0.25">
      <c r="A81" s="14"/>
      <c r="B81" s="14"/>
      <c r="C81" s="14"/>
      <c r="D81" s="14"/>
      <c r="E81" s="14"/>
      <c r="F81" s="14"/>
      <c r="G81" s="7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7"/>
      <c r="Z81" s="9"/>
      <c r="AA81" s="14"/>
      <c r="AB81" s="14"/>
      <c r="AC81" s="14"/>
      <c r="AD81" s="9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x14ac:dyDescent="0.25">
      <c r="A82" s="14"/>
      <c r="B82" s="14"/>
      <c r="C82" s="14"/>
      <c r="D82" s="14"/>
      <c r="E82" s="14"/>
      <c r="F82" s="14"/>
      <c r="G82" s="7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7"/>
      <c r="Z82" s="9"/>
      <c r="AA82" s="14"/>
      <c r="AB82" s="14"/>
      <c r="AC82" s="14"/>
      <c r="AD82" s="9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x14ac:dyDescent="0.25">
      <c r="A83" s="14"/>
      <c r="B83" s="14"/>
      <c r="C83" s="14"/>
      <c r="D83" s="14"/>
      <c r="E83" s="14"/>
      <c r="F83" s="14"/>
      <c r="G83" s="7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7"/>
      <c r="Z83" s="9"/>
      <c r="AA83" s="14"/>
      <c r="AB83" s="14"/>
      <c r="AC83" s="14"/>
      <c r="AD83" s="9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0" x14ac:dyDescent="0.25">
      <c r="A84" s="14"/>
      <c r="B84" s="14"/>
      <c r="C84" s="14"/>
      <c r="D84" s="14"/>
      <c r="E84" s="14"/>
      <c r="F84" s="14"/>
      <c r="G84" s="7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7"/>
      <c r="Z84" s="9"/>
      <c r="AA84" s="14"/>
      <c r="AB84" s="14"/>
      <c r="AC84" s="14"/>
      <c r="AD84" s="9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0" x14ac:dyDescent="0.25">
      <c r="A85" s="14"/>
      <c r="B85" s="14"/>
      <c r="C85" s="14"/>
      <c r="D85" s="14"/>
      <c r="E85" s="14"/>
      <c r="F85" s="14"/>
      <c r="G85" s="7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7"/>
      <c r="Z85" s="9"/>
      <c r="AA85" s="14"/>
      <c r="AB85" s="14"/>
      <c r="AC85" s="14"/>
      <c r="AD85" s="9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x14ac:dyDescent="0.25">
      <c r="A86" s="14"/>
      <c r="B86" s="14"/>
      <c r="C86" s="14"/>
      <c r="D86" s="14"/>
      <c r="E86" s="14"/>
      <c r="F86" s="14"/>
      <c r="G86" s="7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7"/>
      <c r="Z86" s="9"/>
      <c r="AA86" s="14"/>
      <c r="AB86" s="14"/>
      <c r="AC86" s="14"/>
      <c r="AD86" s="9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x14ac:dyDescent="0.25">
      <c r="A87" s="14"/>
      <c r="B87" s="14"/>
      <c r="C87" s="14"/>
      <c r="D87" s="14"/>
      <c r="E87" s="14"/>
      <c r="F87" s="14"/>
      <c r="G87" s="7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7"/>
      <c r="Z87" s="9"/>
      <c r="AA87" s="14"/>
      <c r="AB87" s="14"/>
      <c r="AC87" s="14"/>
      <c r="AD87" s="9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0" x14ac:dyDescent="0.25">
      <c r="A88" s="14"/>
      <c r="B88" s="14"/>
      <c r="C88" s="14"/>
      <c r="D88" s="14"/>
      <c r="E88" s="14"/>
      <c r="F88" s="14"/>
      <c r="G88" s="7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7"/>
      <c r="Z88" s="9"/>
      <c r="AA88" s="14"/>
      <c r="AB88" s="14"/>
      <c r="AC88" s="14"/>
      <c r="AD88" s="9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0" x14ac:dyDescent="0.25">
      <c r="A89" s="14"/>
      <c r="B89" s="14"/>
      <c r="C89" s="14"/>
      <c r="D89" s="14"/>
      <c r="E89" s="14"/>
      <c r="F89" s="14"/>
      <c r="G89" s="7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7"/>
      <c r="Z89" s="9"/>
      <c r="AA89" s="14"/>
      <c r="AB89" s="14"/>
      <c r="AC89" s="14"/>
      <c r="AD89" s="9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spans="1:40" x14ac:dyDescent="0.25">
      <c r="A90" s="14"/>
      <c r="B90" s="14"/>
      <c r="C90" s="14"/>
      <c r="D90" s="14"/>
      <c r="E90" s="14"/>
      <c r="F90" s="14"/>
      <c r="G90" s="7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7"/>
      <c r="Z90" s="9"/>
      <c r="AA90" s="14"/>
      <c r="AB90" s="14"/>
      <c r="AC90" s="14"/>
      <c r="AD90" s="9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x14ac:dyDescent="0.25">
      <c r="A91" s="14"/>
      <c r="B91" s="14"/>
      <c r="C91" s="14"/>
      <c r="D91" s="14"/>
      <c r="E91" s="14"/>
      <c r="F91" s="14"/>
      <c r="G91" s="7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7"/>
      <c r="Z91" s="9"/>
      <c r="AA91" s="14"/>
      <c r="AB91" s="14"/>
      <c r="AC91" s="14"/>
      <c r="AD91" s="9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0" x14ac:dyDescent="0.25">
      <c r="A92" s="14"/>
      <c r="B92" s="14"/>
      <c r="C92" s="14"/>
      <c r="D92" s="14"/>
      <c r="E92" s="14"/>
      <c r="F92" s="14"/>
      <c r="G92" s="7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7"/>
      <c r="Z92" s="9"/>
      <c r="AA92" s="14"/>
      <c r="AB92" s="14"/>
      <c r="AC92" s="14"/>
      <c r="AD92" s="9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0" x14ac:dyDescent="0.25">
      <c r="A93" s="14"/>
      <c r="B93" s="14"/>
      <c r="C93" s="14"/>
      <c r="D93" s="14"/>
      <c r="E93" s="14"/>
      <c r="F93" s="14"/>
      <c r="G93" s="7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7"/>
      <c r="Z93" s="9"/>
      <c r="AA93" s="14"/>
      <c r="AB93" s="14"/>
      <c r="AC93" s="14"/>
      <c r="AD93" s="9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0" x14ac:dyDescent="0.25">
      <c r="A94" s="14"/>
      <c r="B94" s="14"/>
      <c r="C94" s="14"/>
      <c r="D94" s="14"/>
      <c r="E94" s="14"/>
      <c r="F94" s="14"/>
      <c r="G94" s="7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7"/>
      <c r="Z94" s="9"/>
      <c r="AA94" s="14"/>
      <c r="AB94" s="14"/>
      <c r="AC94" s="14"/>
      <c r="AD94" s="9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0" x14ac:dyDescent="0.25">
      <c r="A95" s="14"/>
      <c r="B95" s="14"/>
      <c r="C95" s="14"/>
      <c r="D95" s="14"/>
      <c r="E95" s="14"/>
      <c r="F95" s="14"/>
      <c r="G95" s="7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7"/>
      <c r="Z95" s="9"/>
      <c r="AA95" s="14"/>
      <c r="AB95" s="14"/>
      <c r="AC95" s="14"/>
      <c r="AD95" s="9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x14ac:dyDescent="0.25">
      <c r="A96" s="14"/>
      <c r="B96" s="14"/>
      <c r="C96" s="14"/>
      <c r="D96" s="14"/>
      <c r="E96" s="14"/>
      <c r="F96" s="14"/>
      <c r="G96" s="7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7"/>
      <c r="Z96" s="9"/>
      <c r="AA96" s="14"/>
      <c r="AB96" s="14"/>
      <c r="AC96" s="14"/>
      <c r="AD96" s="9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0" x14ac:dyDescent="0.25">
      <c r="A97" s="14"/>
      <c r="B97" s="14"/>
      <c r="C97" s="14"/>
      <c r="D97" s="14"/>
      <c r="E97" s="14"/>
      <c r="F97" s="14"/>
      <c r="G97" s="7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7"/>
      <c r="Z97" s="9"/>
      <c r="AA97" s="14"/>
      <c r="AB97" s="14"/>
      <c r="AC97" s="14"/>
      <c r="AD97" s="9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x14ac:dyDescent="0.25">
      <c r="A98" s="14"/>
      <c r="B98" s="14"/>
      <c r="C98" s="14"/>
      <c r="D98" s="14"/>
      <c r="E98" s="14"/>
      <c r="F98" s="14"/>
      <c r="G98" s="7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7"/>
      <c r="Z98" s="9"/>
      <c r="AA98" s="14"/>
      <c r="AB98" s="14"/>
      <c r="AC98" s="14"/>
      <c r="AD98" s="9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x14ac:dyDescent="0.25">
      <c r="A99" s="14"/>
      <c r="B99" s="14"/>
      <c r="C99" s="14"/>
      <c r="D99" s="14"/>
      <c r="E99" s="14"/>
      <c r="F99" s="14"/>
      <c r="G99" s="7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7"/>
      <c r="Z99" s="9"/>
      <c r="AA99" s="14"/>
      <c r="AB99" s="14"/>
      <c r="AC99" s="14"/>
      <c r="AD99" s="9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spans="1:40" x14ac:dyDescent="0.25">
      <c r="A100" s="14"/>
      <c r="B100" s="14"/>
      <c r="C100" s="14"/>
      <c r="D100" s="14"/>
      <c r="E100" s="14"/>
      <c r="F100" s="14"/>
      <c r="G100" s="7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7"/>
      <c r="Z100" s="9"/>
      <c r="AA100" s="14"/>
      <c r="AB100" s="14"/>
      <c r="AC100" s="14"/>
      <c r="AD100" s="9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0" x14ac:dyDescent="0.25">
      <c r="A101" s="14"/>
      <c r="B101" s="14"/>
      <c r="C101" s="14"/>
      <c r="D101" s="14"/>
      <c r="E101" s="14"/>
      <c r="F101" s="14"/>
      <c r="G101" s="7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7"/>
      <c r="Z101" s="9"/>
      <c r="AA101" s="14"/>
      <c r="AB101" s="14"/>
      <c r="AC101" s="14"/>
      <c r="AD101" s="9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x14ac:dyDescent="0.25">
      <c r="A102" s="14"/>
      <c r="B102" s="14"/>
      <c r="C102" s="14"/>
      <c r="D102" s="14"/>
      <c r="E102" s="14"/>
      <c r="F102" s="14"/>
      <c r="G102" s="7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7"/>
      <c r="Z102" s="9"/>
      <c r="AA102" s="14"/>
      <c r="AB102" s="14"/>
      <c r="AC102" s="14"/>
      <c r="AD102" s="9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x14ac:dyDescent="0.25">
      <c r="A103" s="14"/>
      <c r="B103" s="14"/>
      <c r="C103" s="14"/>
      <c r="D103" s="14"/>
      <c r="E103" s="14"/>
      <c r="F103" s="14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7"/>
      <c r="Z103" s="9"/>
      <c r="AA103" s="14"/>
      <c r="AB103" s="14"/>
      <c r="AC103" s="14"/>
      <c r="AD103" s="9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x14ac:dyDescent="0.25">
      <c r="A104" s="14"/>
      <c r="B104" s="14"/>
      <c r="C104" s="14"/>
      <c r="D104" s="14"/>
      <c r="E104" s="14"/>
      <c r="F104" s="14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7"/>
      <c r="Z104" s="9"/>
      <c r="AA104" s="14"/>
      <c r="AB104" s="14"/>
      <c r="AC104" s="14"/>
      <c r="AD104" s="9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x14ac:dyDescent="0.25">
      <c r="A105" s="14"/>
      <c r="B105" s="14"/>
      <c r="C105" s="14"/>
      <c r="D105" s="14"/>
      <c r="E105" s="14"/>
      <c r="F105" s="14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7"/>
      <c r="Z105" s="9"/>
      <c r="AA105" s="14"/>
      <c r="AB105" s="14"/>
      <c r="AC105" s="14"/>
      <c r="AD105" s="9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x14ac:dyDescent="0.25">
      <c r="A106" s="14"/>
      <c r="B106" s="14"/>
      <c r="C106" s="14"/>
      <c r="D106" s="14"/>
      <c r="E106" s="14"/>
      <c r="F106" s="14"/>
      <c r="G106" s="7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7"/>
      <c r="Z106" s="9"/>
      <c r="AA106" s="14"/>
      <c r="AB106" s="14"/>
      <c r="AC106" s="14"/>
      <c r="AD106" s="9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x14ac:dyDescent="0.25">
      <c r="A107" s="14"/>
      <c r="B107" s="14"/>
      <c r="C107" s="14"/>
      <c r="D107" s="14"/>
      <c r="E107" s="14"/>
      <c r="F107" s="14"/>
      <c r="G107" s="7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7"/>
      <c r="Z107" s="9"/>
      <c r="AA107" s="14"/>
      <c r="AB107" s="14"/>
      <c r="AC107" s="14"/>
      <c r="AD107" s="9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x14ac:dyDescent="0.25">
      <c r="A108" s="14"/>
      <c r="B108" s="14"/>
      <c r="C108" s="14"/>
      <c r="D108" s="14"/>
      <c r="E108" s="14"/>
      <c r="F108" s="14"/>
      <c r="G108" s="7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7"/>
      <c r="Z108" s="9"/>
      <c r="AA108" s="14"/>
      <c r="AB108" s="14"/>
      <c r="AC108" s="14"/>
      <c r="AD108" s="9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x14ac:dyDescent="0.25">
      <c r="A109" s="14"/>
      <c r="B109" s="14"/>
      <c r="C109" s="14"/>
      <c r="D109" s="14"/>
      <c r="E109" s="14"/>
      <c r="F109" s="14"/>
      <c r="G109" s="7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7"/>
      <c r="Z109" s="9"/>
      <c r="AA109" s="14"/>
      <c r="AB109" s="14"/>
      <c r="AC109" s="14"/>
      <c r="AD109" s="9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x14ac:dyDescent="0.25">
      <c r="A110" s="14"/>
      <c r="B110" s="14"/>
      <c r="C110" s="14"/>
      <c r="D110" s="14"/>
      <c r="E110" s="14"/>
      <c r="F110" s="14"/>
      <c r="G110" s="7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7"/>
      <c r="Z110" s="9"/>
      <c r="AA110" s="14"/>
      <c r="AB110" s="14"/>
      <c r="AC110" s="14"/>
      <c r="AD110" s="9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x14ac:dyDescent="0.25">
      <c r="A111" s="14"/>
      <c r="B111" s="14"/>
      <c r="C111" s="14"/>
      <c r="D111" s="14"/>
      <c r="E111" s="14"/>
      <c r="F111" s="14"/>
      <c r="G111" s="7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7"/>
      <c r="Z111" s="9"/>
      <c r="AA111" s="14"/>
      <c r="AB111" s="14"/>
      <c r="AC111" s="14"/>
      <c r="AD111" s="9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x14ac:dyDescent="0.25">
      <c r="A112" s="14"/>
      <c r="B112" s="14"/>
      <c r="C112" s="14"/>
      <c r="D112" s="14"/>
      <c r="E112" s="14"/>
      <c r="F112" s="14"/>
      <c r="G112" s="7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7"/>
      <c r="Z112" s="9"/>
      <c r="AA112" s="14"/>
      <c r="AB112" s="14"/>
      <c r="AC112" s="14"/>
      <c r="AD112" s="9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x14ac:dyDescent="0.25">
      <c r="A113" s="14"/>
      <c r="B113" s="14"/>
      <c r="C113" s="14"/>
      <c r="D113" s="14"/>
      <c r="E113" s="14"/>
      <c r="F113" s="14"/>
      <c r="G113" s="7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7"/>
      <c r="Z113" s="9"/>
      <c r="AA113" s="14"/>
      <c r="AB113" s="14"/>
      <c r="AC113" s="14"/>
      <c r="AD113" s="9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x14ac:dyDescent="0.25">
      <c r="A114" s="14"/>
      <c r="B114" s="14"/>
      <c r="C114" s="14"/>
      <c r="D114" s="14"/>
      <c r="E114" s="14"/>
      <c r="F114" s="14"/>
      <c r="G114" s="7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7"/>
      <c r="Z114" s="9"/>
      <c r="AA114" s="14"/>
      <c r="AB114" s="14"/>
      <c r="AC114" s="14"/>
      <c r="AD114" s="9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x14ac:dyDescent="0.25">
      <c r="A115" s="14"/>
      <c r="B115" s="14"/>
      <c r="C115" s="14"/>
      <c r="D115" s="14"/>
      <c r="E115" s="14"/>
      <c r="F115" s="14"/>
      <c r="G115" s="7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7"/>
      <c r="Z115" s="9"/>
      <c r="AA115" s="14"/>
      <c r="AB115" s="14"/>
      <c r="AC115" s="14"/>
      <c r="AD115" s="9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x14ac:dyDescent="0.25">
      <c r="A116" s="14"/>
      <c r="B116" s="14"/>
      <c r="C116" s="14"/>
      <c r="D116" s="14"/>
      <c r="E116" s="14"/>
      <c r="F116" s="14"/>
      <c r="G116" s="7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7"/>
      <c r="Z116" s="9"/>
      <c r="AA116" s="14"/>
      <c r="AB116" s="14"/>
      <c r="AC116" s="14"/>
      <c r="AD116" s="9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x14ac:dyDescent="0.25">
      <c r="A117" s="14"/>
      <c r="B117" s="14"/>
      <c r="C117" s="14"/>
      <c r="D117" s="14"/>
      <c r="E117" s="14"/>
      <c r="F117" s="14"/>
      <c r="G117" s="7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7"/>
      <c r="Z117" s="9"/>
      <c r="AA117" s="14"/>
      <c r="AB117" s="14"/>
      <c r="AC117" s="14"/>
      <c r="AD117" s="9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x14ac:dyDescent="0.25">
      <c r="A118" s="14"/>
      <c r="B118" s="14"/>
      <c r="C118" s="14"/>
      <c r="D118" s="14"/>
      <c r="E118" s="14"/>
      <c r="F118" s="14"/>
      <c r="G118" s="7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7"/>
      <c r="Z118" s="9"/>
      <c r="AA118" s="14"/>
      <c r="AB118" s="14"/>
      <c r="AC118" s="14"/>
      <c r="AD118" s="9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x14ac:dyDescent="0.25">
      <c r="A119" s="14"/>
      <c r="B119" s="14"/>
      <c r="C119" s="14"/>
      <c r="D119" s="14"/>
      <c r="E119" s="14"/>
      <c r="F119" s="14"/>
      <c r="G119" s="7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7"/>
      <c r="Z119" s="9"/>
      <c r="AA119" s="14"/>
      <c r="AB119" s="14"/>
      <c r="AC119" s="14"/>
      <c r="AD119" s="9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x14ac:dyDescent="0.25">
      <c r="A120" s="14"/>
      <c r="B120" s="14"/>
      <c r="C120" s="14"/>
      <c r="D120" s="14"/>
      <c r="E120" s="14"/>
      <c r="F120" s="14"/>
      <c r="G120" s="7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7"/>
      <c r="Z120" s="9"/>
      <c r="AA120" s="14"/>
      <c r="AB120" s="14"/>
      <c r="AC120" s="14"/>
      <c r="AD120" s="9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x14ac:dyDescent="0.25">
      <c r="A121" s="14"/>
      <c r="B121" s="14"/>
      <c r="C121" s="14"/>
      <c r="D121" s="14"/>
      <c r="E121" s="14"/>
      <c r="F121" s="14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7"/>
      <c r="Z121" s="9"/>
      <c r="AA121" s="14"/>
      <c r="AB121" s="14"/>
      <c r="AC121" s="14"/>
      <c r="AD121" s="9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x14ac:dyDescent="0.25">
      <c r="A122" s="14"/>
      <c r="B122" s="14"/>
      <c r="C122" s="14"/>
      <c r="D122" s="14"/>
      <c r="E122" s="14"/>
      <c r="F122" s="14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7"/>
      <c r="Z122" s="9"/>
      <c r="AA122" s="14"/>
      <c r="AB122" s="14"/>
      <c r="AC122" s="14"/>
      <c r="AD122" s="9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x14ac:dyDescent="0.25">
      <c r="A123" s="14"/>
      <c r="B123" s="14"/>
      <c r="C123" s="14"/>
      <c r="D123" s="14"/>
      <c r="E123" s="14"/>
      <c r="F123" s="14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7"/>
      <c r="Z123" s="9"/>
      <c r="AA123" s="14"/>
      <c r="AB123" s="14"/>
      <c r="AC123" s="14"/>
      <c r="AD123" s="9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x14ac:dyDescent="0.25">
      <c r="A124" s="14"/>
      <c r="B124" s="14"/>
      <c r="C124" s="14"/>
      <c r="D124" s="14"/>
      <c r="E124" s="14"/>
      <c r="F124" s="14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7"/>
      <c r="Z124" s="9"/>
      <c r="AA124" s="14"/>
      <c r="AB124" s="14"/>
      <c r="AC124" s="14"/>
      <c r="AD124" s="9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x14ac:dyDescent="0.25">
      <c r="A125" s="14"/>
      <c r="B125" s="14"/>
      <c r="C125" s="14"/>
      <c r="D125" s="14"/>
      <c r="E125" s="14"/>
      <c r="F125" s="14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7"/>
      <c r="Z125" s="9"/>
      <c r="AA125" s="14"/>
      <c r="AB125" s="14"/>
      <c r="AC125" s="14"/>
      <c r="AD125" s="9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x14ac:dyDescent="0.25">
      <c r="A126" s="14"/>
      <c r="B126" s="14"/>
      <c r="C126" s="14"/>
      <c r="D126" s="14"/>
      <c r="E126" s="14"/>
      <c r="F126" s="14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7"/>
      <c r="Z126" s="9"/>
      <c r="AA126" s="14"/>
      <c r="AB126" s="14"/>
      <c r="AC126" s="14"/>
      <c r="AD126" s="9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x14ac:dyDescent="0.25">
      <c r="A127" s="14"/>
      <c r="B127" s="14"/>
      <c r="C127" s="14"/>
      <c r="D127" s="14"/>
      <c r="E127" s="14"/>
      <c r="F127" s="14"/>
      <c r="G127" s="7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7"/>
      <c r="Z127" s="9"/>
      <c r="AA127" s="14"/>
      <c r="AB127" s="14"/>
      <c r="AC127" s="14"/>
      <c r="AD127" s="9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x14ac:dyDescent="0.25">
      <c r="A128" s="14"/>
      <c r="B128" s="14"/>
      <c r="C128" s="14"/>
      <c r="D128" s="14"/>
      <c r="E128" s="14"/>
      <c r="F128" s="14"/>
      <c r="G128" s="7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7"/>
      <c r="Z128" s="9"/>
      <c r="AA128" s="14"/>
      <c r="AB128" s="14"/>
      <c r="AC128" s="14"/>
      <c r="AD128" s="9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x14ac:dyDescent="0.25">
      <c r="A129" s="14"/>
      <c r="B129" s="14"/>
      <c r="C129" s="14"/>
      <c r="D129" s="14"/>
      <c r="E129" s="14"/>
      <c r="F129" s="14"/>
      <c r="G129" s="7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7"/>
      <c r="Z129" s="9"/>
      <c r="AA129" s="14"/>
      <c r="AB129" s="14"/>
      <c r="AC129" s="14"/>
      <c r="AD129" s="9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x14ac:dyDescent="0.25">
      <c r="A130" s="14"/>
      <c r="B130" s="14"/>
      <c r="C130" s="14"/>
      <c r="D130" s="14"/>
      <c r="E130" s="14"/>
      <c r="F130" s="14"/>
      <c r="G130" s="7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7"/>
      <c r="Z130" s="9"/>
      <c r="AA130" s="14"/>
      <c r="AB130" s="14"/>
      <c r="AC130" s="14"/>
      <c r="AD130" s="9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x14ac:dyDescent="0.25">
      <c r="A131" s="14"/>
      <c r="B131" s="14"/>
      <c r="C131" s="14"/>
      <c r="D131" s="14"/>
      <c r="E131" s="14"/>
      <c r="F131" s="14"/>
      <c r="G131" s="7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7"/>
      <c r="Z131" s="9"/>
      <c r="AA131" s="14"/>
      <c r="AB131" s="14"/>
      <c r="AC131" s="14"/>
      <c r="AD131" s="9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x14ac:dyDescent="0.25">
      <c r="A132" s="14"/>
      <c r="B132" s="14"/>
      <c r="C132" s="14"/>
      <c r="D132" s="14"/>
      <c r="E132" s="14"/>
      <c r="F132" s="14"/>
      <c r="G132" s="7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7"/>
      <c r="Z132" s="9"/>
      <c r="AA132" s="14"/>
      <c r="AB132" s="14"/>
      <c r="AC132" s="14"/>
      <c r="AD132" s="9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x14ac:dyDescent="0.25">
      <c r="A133" s="14"/>
      <c r="B133" s="14"/>
      <c r="C133" s="14"/>
      <c r="D133" s="14"/>
      <c r="E133" s="14"/>
      <c r="F133" s="14"/>
      <c r="G133" s="7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7"/>
      <c r="Z133" s="9"/>
      <c r="AA133" s="14"/>
      <c r="AB133" s="14"/>
      <c r="AC133" s="14"/>
      <c r="AD133" s="9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x14ac:dyDescent="0.25">
      <c r="A134" s="14"/>
      <c r="B134" s="14"/>
      <c r="C134" s="14"/>
      <c r="D134" s="14"/>
      <c r="E134" s="14"/>
      <c r="F134" s="14"/>
      <c r="G134" s="7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7"/>
      <c r="Z134" s="9"/>
      <c r="AA134" s="14"/>
      <c r="AB134" s="14"/>
      <c r="AC134" s="14"/>
      <c r="AD134" s="9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x14ac:dyDescent="0.25">
      <c r="A135" s="14"/>
      <c r="B135" s="14"/>
      <c r="C135" s="14"/>
      <c r="D135" s="14"/>
      <c r="E135" s="14"/>
      <c r="F135" s="14"/>
      <c r="G135" s="7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7"/>
      <c r="Z135" s="9"/>
      <c r="AA135" s="14"/>
      <c r="AB135" s="14"/>
      <c r="AC135" s="14"/>
      <c r="AD135" s="9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x14ac:dyDescent="0.25">
      <c r="A136" s="14"/>
      <c r="B136" s="14"/>
      <c r="C136" s="14"/>
      <c r="D136" s="14"/>
      <c r="E136" s="14"/>
      <c r="F136" s="14"/>
      <c r="G136" s="7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7"/>
      <c r="Z136" s="9"/>
      <c r="AA136" s="14"/>
      <c r="AB136" s="14"/>
      <c r="AC136" s="14"/>
      <c r="AD136" s="9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x14ac:dyDescent="0.25">
      <c r="A137" s="14"/>
      <c r="B137" s="14"/>
      <c r="C137" s="14"/>
      <c r="D137" s="14"/>
      <c r="E137" s="14"/>
      <c r="F137" s="14"/>
      <c r="G137" s="7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7"/>
      <c r="Z137" s="9"/>
      <c r="AA137" s="14"/>
      <c r="AB137" s="14"/>
      <c r="AC137" s="14"/>
      <c r="AD137" s="9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x14ac:dyDescent="0.25">
      <c r="A138" s="14"/>
      <c r="B138" s="14"/>
      <c r="C138" s="14"/>
      <c r="D138" s="14"/>
      <c r="E138" s="14"/>
      <c r="F138" s="14"/>
      <c r="G138" s="7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7"/>
      <c r="Z138" s="9"/>
      <c r="AA138" s="14"/>
      <c r="AB138" s="14"/>
      <c r="AC138" s="14"/>
      <c r="AD138" s="9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x14ac:dyDescent="0.25">
      <c r="A139" s="14"/>
      <c r="B139" s="14"/>
      <c r="C139" s="14"/>
      <c r="D139" s="14"/>
      <c r="E139" s="14"/>
      <c r="F139" s="14"/>
      <c r="G139" s="7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7"/>
      <c r="Z139" s="9"/>
      <c r="AA139" s="14"/>
      <c r="AB139" s="14"/>
      <c r="AC139" s="14"/>
      <c r="AD139" s="9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x14ac:dyDescent="0.25">
      <c r="A140" s="14"/>
      <c r="B140" s="14"/>
      <c r="C140" s="14"/>
      <c r="D140" s="14"/>
      <c r="E140" s="14"/>
      <c r="F140" s="14"/>
      <c r="G140" s="7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7"/>
      <c r="Z140" s="9"/>
      <c r="AA140" s="14"/>
      <c r="AB140" s="14"/>
      <c r="AC140" s="14"/>
      <c r="AD140" s="9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x14ac:dyDescent="0.25">
      <c r="A141" s="14"/>
      <c r="B141" s="14"/>
      <c r="C141" s="14"/>
      <c r="D141" s="14"/>
      <c r="E141" s="14"/>
      <c r="F141" s="14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7"/>
      <c r="Z141" s="9"/>
      <c r="AA141" s="14"/>
      <c r="AB141" s="14"/>
      <c r="AC141" s="14"/>
      <c r="AD141" s="9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x14ac:dyDescent="0.25">
      <c r="A142" s="14"/>
      <c r="B142" s="14"/>
      <c r="C142" s="14"/>
      <c r="D142" s="14"/>
      <c r="E142" s="14"/>
      <c r="F142" s="14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7"/>
      <c r="Z142" s="9"/>
      <c r="AA142" s="14"/>
      <c r="AB142" s="14"/>
      <c r="AC142" s="14"/>
      <c r="AD142" s="9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x14ac:dyDescent="0.25">
      <c r="A143" s="14"/>
      <c r="B143" s="14"/>
      <c r="C143" s="14"/>
      <c r="D143" s="14"/>
      <c r="E143" s="14"/>
      <c r="F143" s="14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7"/>
      <c r="Z143" s="9"/>
      <c r="AA143" s="14"/>
      <c r="AB143" s="14"/>
      <c r="AC143" s="14"/>
      <c r="AD143" s="9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x14ac:dyDescent="0.25">
      <c r="A144" s="14"/>
      <c r="B144" s="14"/>
      <c r="C144" s="14"/>
      <c r="D144" s="14"/>
      <c r="E144" s="14"/>
      <c r="F144" s="14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7"/>
      <c r="Z144" s="9"/>
      <c r="AA144" s="14"/>
      <c r="AB144" s="14"/>
      <c r="AC144" s="14"/>
      <c r="AD144" s="9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x14ac:dyDescent="0.25">
      <c r="A145" s="14"/>
      <c r="B145" s="14"/>
      <c r="C145" s="14"/>
      <c r="D145" s="14"/>
      <c r="E145" s="14"/>
      <c r="F145" s="14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7"/>
      <c r="Z145" s="9"/>
      <c r="AA145" s="14"/>
      <c r="AB145" s="14"/>
      <c r="AC145" s="14"/>
      <c r="AD145" s="9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x14ac:dyDescent="0.25">
      <c r="A146" s="14"/>
      <c r="B146" s="14"/>
      <c r="C146" s="14"/>
      <c r="D146" s="14"/>
      <c r="E146" s="14"/>
      <c r="F146" s="14"/>
      <c r="G146" s="7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7"/>
      <c r="Z146" s="9"/>
      <c r="AA146" s="14"/>
      <c r="AB146" s="14"/>
      <c r="AC146" s="14"/>
      <c r="AD146" s="9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x14ac:dyDescent="0.25">
      <c r="A147" s="14"/>
      <c r="B147" s="14"/>
      <c r="C147" s="14"/>
      <c r="D147" s="14"/>
      <c r="E147" s="14"/>
      <c r="F147" s="14"/>
      <c r="G147" s="7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7"/>
      <c r="Z147" s="9"/>
      <c r="AA147" s="14"/>
      <c r="AB147" s="14"/>
      <c r="AC147" s="14"/>
      <c r="AD147" s="9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x14ac:dyDescent="0.25">
      <c r="A148" s="14"/>
      <c r="B148" s="14"/>
      <c r="C148" s="14"/>
      <c r="D148" s="14"/>
      <c r="E148" s="14"/>
      <c r="F148" s="14"/>
      <c r="G148" s="7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7"/>
      <c r="Z148" s="9"/>
      <c r="AA148" s="14"/>
      <c r="AB148" s="14"/>
      <c r="AC148" s="14"/>
      <c r="AD148" s="9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x14ac:dyDescent="0.25">
      <c r="A149" s="14"/>
      <c r="B149" s="14"/>
      <c r="C149" s="14"/>
      <c r="D149" s="14"/>
      <c r="E149" s="14"/>
      <c r="F149" s="14"/>
      <c r="G149" s="7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7"/>
      <c r="Z149" s="9"/>
      <c r="AA149" s="14"/>
      <c r="AB149" s="14"/>
      <c r="AC149" s="14"/>
      <c r="AD149" s="9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x14ac:dyDescent="0.25">
      <c r="A150" s="14"/>
      <c r="B150" s="14"/>
      <c r="C150" s="14"/>
      <c r="D150" s="14"/>
      <c r="E150" s="14"/>
      <c r="F150" s="14"/>
      <c r="G150" s="7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7"/>
      <c r="Z150" s="9"/>
      <c r="AA150" s="14"/>
      <c r="AB150" s="14"/>
      <c r="AC150" s="14"/>
      <c r="AD150" s="9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x14ac:dyDescent="0.25">
      <c r="A151" s="14"/>
      <c r="B151" s="14"/>
      <c r="C151" s="14"/>
      <c r="D151" s="14"/>
      <c r="E151" s="14"/>
      <c r="F151" s="14"/>
      <c r="G151" s="7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7"/>
      <c r="Z151" s="9"/>
      <c r="AA151" s="14"/>
      <c r="AB151" s="14"/>
      <c r="AC151" s="14"/>
      <c r="AD151" s="9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x14ac:dyDescent="0.25">
      <c r="A152" s="14"/>
      <c r="B152" s="14"/>
      <c r="C152" s="14"/>
      <c r="D152" s="14"/>
      <c r="E152" s="14"/>
      <c r="F152" s="14"/>
      <c r="G152" s="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7"/>
      <c r="Z152" s="9"/>
      <c r="AA152" s="14"/>
      <c r="AB152" s="14"/>
      <c r="AC152" s="14"/>
      <c r="AD152" s="9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x14ac:dyDescent="0.25">
      <c r="A153" s="14"/>
      <c r="B153" s="14"/>
      <c r="C153" s="14"/>
      <c r="D153" s="14"/>
      <c r="E153" s="14"/>
      <c r="F153" s="14"/>
      <c r="G153" s="7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7"/>
      <c r="Z153" s="9"/>
      <c r="AA153" s="14"/>
      <c r="AB153" s="14"/>
      <c r="AC153" s="14"/>
      <c r="AD153" s="9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x14ac:dyDescent="0.25">
      <c r="A154" s="14"/>
      <c r="B154" s="14"/>
      <c r="C154" s="14"/>
      <c r="D154" s="14"/>
      <c r="E154" s="14"/>
      <c r="F154" s="14"/>
      <c r="G154" s="7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7"/>
      <c r="Z154" s="9"/>
      <c r="AA154" s="14"/>
      <c r="AB154" s="14"/>
      <c r="AC154" s="14"/>
      <c r="AD154" s="9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x14ac:dyDescent="0.25">
      <c r="A155" s="14"/>
      <c r="B155" s="14"/>
      <c r="C155" s="14"/>
      <c r="D155" s="14"/>
      <c r="E155" s="14"/>
      <c r="F155" s="14"/>
      <c r="G155" s="7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7"/>
      <c r="Z155" s="9"/>
      <c r="AA155" s="14"/>
      <c r="AB155" s="14"/>
      <c r="AC155" s="14"/>
      <c r="AD155" s="9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x14ac:dyDescent="0.25">
      <c r="A156" s="14"/>
      <c r="B156" s="14"/>
      <c r="C156" s="14"/>
      <c r="D156" s="14"/>
      <c r="E156" s="14"/>
      <c r="F156" s="14"/>
      <c r="G156" s="7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7"/>
      <c r="Z156" s="9"/>
      <c r="AA156" s="14"/>
      <c r="AB156" s="14"/>
      <c r="AC156" s="14"/>
      <c r="AD156" s="9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x14ac:dyDescent="0.25">
      <c r="A157" s="14"/>
      <c r="B157" s="14"/>
      <c r="C157" s="14"/>
      <c r="D157" s="14"/>
      <c r="E157" s="14"/>
      <c r="F157" s="14"/>
      <c r="G157" s="7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7"/>
      <c r="Z157" s="9"/>
      <c r="AA157" s="14"/>
      <c r="AB157" s="14"/>
      <c r="AC157" s="14"/>
      <c r="AD157" s="9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x14ac:dyDescent="0.25">
      <c r="A158" s="14"/>
      <c r="B158" s="14"/>
      <c r="C158" s="14"/>
      <c r="D158" s="14"/>
      <c r="E158" s="14"/>
      <c r="F158" s="14"/>
      <c r="G158" s="7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7"/>
      <c r="Z158" s="9"/>
      <c r="AA158" s="14"/>
      <c r="AB158" s="14"/>
      <c r="AC158" s="14"/>
      <c r="AD158" s="9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x14ac:dyDescent="0.25">
      <c r="A159" s="14"/>
      <c r="B159" s="14"/>
      <c r="C159" s="14"/>
      <c r="D159" s="14"/>
      <c r="E159" s="14"/>
      <c r="F159" s="14"/>
      <c r="G159" s="7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7"/>
      <c r="Z159" s="9"/>
      <c r="AA159" s="14"/>
      <c r="AB159" s="14"/>
      <c r="AC159" s="14"/>
      <c r="AD159" s="9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x14ac:dyDescent="0.25">
      <c r="A160" s="14"/>
      <c r="B160" s="14"/>
      <c r="C160" s="14"/>
      <c r="D160" s="14"/>
      <c r="E160" s="14"/>
      <c r="F160" s="14"/>
      <c r="G160" s="7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7"/>
      <c r="Z160" s="9"/>
      <c r="AA160" s="14"/>
      <c r="AB160" s="14"/>
      <c r="AC160" s="14"/>
      <c r="AD160" s="9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x14ac:dyDescent="0.25">
      <c r="A161" s="14"/>
      <c r="B161" s="14"/>
      <c r="C161" s="14"/>
      <c r="D161" s="14"/>
      <c r="E161" s="14"/>
      <c r="F161" s="14"/>
      <c r="G161" s="7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7"/>
      <c r="Z161" s="9"/>
      <c r="AA161" s="14"/>
      <c r="AB161" s="14"/>
      <c r="AC161" s="14"/>
      <c r="AD161" s="9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x14ac:dyDescent="0.25">
      <c r="A162" s="14"/>
      <c r="B162" s="14"/>
      <c r="C162" s="14"/>
      <c r="D162" s="14"/>
      <c r="E162" s="14"/>
      <c r="F162" s="14"/>
      <c r="G162" s="7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7"/>
      <c r="Z162" s="9"/>
      <c r="AA162" s="14"/>
      <c r="AB162" s="14"/>
      <c r="AC162" s="14"/>
      <c r="AD162" s="9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x14ac:dyDescent="0.25">
      <c r="A163" s="14"/>
      <c r="B163" s="14"/>
      <c r="C163" s="14"/>
      <c r="D163" s="14"/>
      <c r="E163" s="14"/>
      <c r="F163" s="14"/>
      <c r="G163" s="7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7"/>
      <c r="Z163" s="9"/>
      <c r="AA163" s="14"/>
      <c r="AB163" s="14"/>
      <c r="AC163" s="14"/>
      <c r="AD163" s="9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x14ac:dyDescent="0.25">
      <c r="A164" s="14"/>
      <c r="B164" s="14"/>
      <c r="C164" s="14"/>
      <c r="D164" s="14"/>
      <c r="E164" s="14"/>
      <c r="F164" s="14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7"/>
      <c r="Z164" s="9"/>
      <c r="AA164" s="14"/>
      <c r="AB164" s="14"/>
      <c r="AC164" s="14"/>
      <c r="AD164" s="9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x14ac:dyDescent="0.25">
      <c r="A165" s="14"/>
      <c r="B165" s="14"/>
      <c r="C165" s="14"/>
      <c r="D165" s="14"/>
      <c r="E165" s="14"/>
      <c r="F165" s="14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7"/>
      <c r="Z165" s="9"/>
      <c r="AA165" s="14"/>
      <c r="AB165" s="14"/>
      <c r="AC165" s="14"/>
      <c r="AD165" s="9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x14ac:dyDescent="0.25">
      <c r="A166" s="14"/>
      <c r="B166" s="14"/>
      <c r="C166" s="14"/>
      <c r="D166" s="14"/>
      <c r="E166" s="14"/>
      <c r="F166" s="14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7"/>
      <c r="Z166" s="9"/>
      <c r="AA166" s="14"/>
      <c r="AB166" s="14"/>
      <c r="AC166" s="14"/>
      <c r="AD166" s="9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 spans="1:40" x14ac:dyDescent="0.25">
      <c r="A167" s="14"/>
      <c r="B167" s="14"/>
      <c r="C167" s="14"/>
      <c r="D167" s="14"/>
      <c r="E167" s="14"/>
      <c r="F167" s="14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7"/>
      <c r="Z167" s="9"/>
      <c r="AA167" s="14"/>
      <c r="AB167" s="14"/>
      <c r="AC167" s="14"/>
      <c r="AD167" s="9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0" x14ac:dyDescent="0.25">
      <c r="A168" s="14"/>
      <c r="B168" s="14"/>
      <c r="C168" s="14"/>
      <c r="D168" s="14"/>
      <c r="E168" s="14"/>
      <c r="F168" s="14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7"/>
      <c r="Z168" s="9"/>
      <c r="AA168" s="14"/>
      <c r="AB168" s="14"/>
      <c r="AC168" s="14"/>
      <c r="AD168" s="9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0" x14ac:dyDescent="0.25">
      <c r="A169" s="14"/>
      <c r="B169" s="14"/>
      <c r="C169" s="14"/>
      <c r="D169" s="14"/>
      <c r="E169" s="14"/>
      <c r="F169" s="14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7"/>
      <c r="Z169" s="9"/>
      <c r="AA169" s="14"/>
      <c r="AB169" s="14"/>
      <c r="AC169" s="14"/>
      <c r="AD169" s="9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 spans="1:40" x14ac:dyDescent="0.25">
      <c r="A170" s="14"/>
      <c r="B170" s="14"/>
      <c r="C170" s="14"/>
      <c r="D170" s="14"/>
      <c r="E170" s="14"/>
      <c r="F170" s="14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7"/>
      <c r="Z170" s="9"/>
      <c r="AA170" s="14"/>
      <c r="AB170" s="14"/>
      <c r="AC170" s="14"/>
      <c r="AD170" s="9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x14ac:dyDescent="0.25">
      <c r="A171" s="14"/>
      <c r="B171" s="14"/>
      <c r="C171" s="14"/>
      <c r="D171" s="14"/>
      <c r="E171" s="14"/>
      <c r="F171" s="14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7"/>
      <c r="Z171" s="9"/>
      <c r="AA171" s="14"/>
      <c r="AB171" s="14"/>
      <c r="AC171" s="14"/>
      <c r="AD171" s="9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x14ac:dyDescent="0.25">
      <c r="A172" s="14"/>
      <c r="B172" s="14"/>
      <c r="C172" s="14"/>
      <c r="D172" s="14"/>
      <c r="E172" s="14"/>
      <c r="F172" s="14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7"/>
      <c r="Z172" s="9"/>
      <c r="AA172" s="14"/>
      <c r="AB172" s="14"/>
      <c r="AC172" s="14"/>
      <c r="AD172" s="9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x14ac:dyDescent="0.25">
      <c r="A173" s="14"/>
      <c r="B173" s="14"/>
      <c r="C173" s="14"/>
      <c r="D173" s="14"/>
      <c r="E173" s="14"/>
      <c r="F173" s="14"/>
      <c r="G173" s="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7"/>
      <c r="Z173" s="9"/>
      <c r="AA173" s="14"/>
      <c r="AB173" s="14"/>
      <c r="AC173" s="14"/>
      <c r="AD173" s="9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x14ac:dyDescent="0.25">
      <c r="A174" s="14"/>
      <c r="B174" s="14"/>
      <c r="C174" s="14"/>
      <c r="D174" s="14"/>
      <c r="E174" s="14"/>
      <c r="F174" s="14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7"/>
      <c r="Z174" s="9"/>
      <c r="AA174" s="14"/>
      <c r="AB174" s="14"/>
      <c r="AC174" s="14"/>
      <c r="AD174" s="9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x14ac:dyDescent="0.25">
      <c r="A175" s="14"/>
      <c r="B175" s="14"/>
      <c r="C175" s="14"/>
      <c r="D175" s="14"/>
      <c r="E175" s="14"/>
      <c r="F175" s="14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7"/>
      <c r="Z175" s="9"/>
      <c r="AA175" s="14"/>
      <c r="AB175" s="14"/>
      <c r="AC175" s="14"/>
      <c r="AD175" s="9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x14ac:dyDescent="0.25">
      <c r="A176" s="14"/>
      <c r="B176" s="14"/>
      <c r="C176" s="14"/>
      <c r="D176" s="14"/>
      <c r="E176" s="14"/>
      <c r="F176" s="14"/>
      <c r="G176" s="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7"/>
      <c r="Z176" s="9"/>
      <c r="AA176" s="14"/>
      <c r="AB176" s="14"/>
      <c r="AC176" s="14"/>
      <c r="AD176" s="9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x14ac:dyDescent="0.25">
      <c r="A177" s="14"/>
      <c r="B177" s="14"/>
      <c r="C177" s="14"/>
      <c r="D177" s="14"/>
      <c r="E177" s="14"/>
      <c r="F177" s="14"/>
      <c r="G177" s="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7"/>
      <c r="Z177" s="9"/>
      <c r="AA177" s="14"/>
      <c r="AB177" s="14"/>
      <c r="AC177" s="14"/>
      <c r="AD177" s="9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x14ac:dyDescent="0.25">
      <c r="A178" s="14"/>
      <c r="B178" s="14"/>
      <c r="C178" s="14"/>
      <c r="D178" s="14"/>
      <c r="E178" s="14"/>
      <c r="F178" s="14"/>
      <c r="G178" s="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7"/>
      <c r="Z178" s="9"/>
      <c r="AA178" s="14"/>
      <c r="AB178" s="14"/>
      <c r="AC178" s="14"/>
      <c r="AD178" s="9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x14ac:dyDescent="0.25">
      <c r="A179" s="14"/>
      <c r="B179" s="14"/>
      <c r="C179" s="14"/>
      <c r="D179" s="14"/>
      <c r="E179" s="14"/>
      <c r="F179" s="14"/>
      <c r="G179" s="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7"/>
      <c r="Z179" s="9"/>
      <c r="AA179" s="14"/>
      <c r="AB179" s="14"/>
      <c r="AC179" s="14"/>
      <c r="AD179" s="9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x14ac:dyDescent="0.25">
      <c r="A180" s="14"/>
      <c r="B180" s="14"/>
      <c r="C180" s="14"/>
      <c r="D180" s="14"/>
      <c r="E180" s="14"/>
      <c r="F180" s="14"/>
      <c r="G180" s="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7"/>
      <c r="Z180" s="9"/>
      <c r="AA180" s="14"/>
      <c r="AB180" s="14"/>
      <c r="AC180" s="14"/>
      <c r="AD180" s="9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x14ac:dyDescent="0.25">
      <c r="A181" s="14"/>
      <c r="B181" s="14"/>
      <c r="C181" s="14"/>
      <c r="D181" s="14"/>
      <c r="E181" s="14"/>
      <c r="F181" s="14"/>
      <c r="G181" s="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7"/>
      <c r="Z181" s="9"/>
      <c r="AA181" s="14"/>
      <c r="AB181" s="14"/>
      <c r="AC181" s="14"/>
      <c r="AD181" s="9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x14ac:dyDescent="0.25">
      <c r="A182" s="14"/>
      <c r="B182" s="14"/>
      <c r="C182" s="14"/>
      <c r="D182" s="14"/>
      <c r="E182" s="14"/>
      <c r="F182" s="14"/>
      <c r="G182" s="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7"/>
      <c r="Z182" s="9"/>
      <c r="AA182" s="14"/>
      <c r="AB182" s="14"/>
      <c r="AC182" s="14"/>
      <c r="AD182" s="9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x14ac:dyDescent="0.25">
      <c r="A183" s="14"/>
      <c r="B183" s="14"/>
      <c r="C183" s="14"/>
      <c r="D183" s="14"/>
      <c r="E183" s="14"/>
      <c r="F183" s="14"/>
      <c r="G183" s="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7"/>
      <c r="Z183" s="9"/>
      <c r="AA183" s="14"/>
      <c r="AB183" s="14"/>
      <c r="AC183" s="14"/>
      <c r="AD183" s="9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x14ac:dyDescent="0.25">
      <c r="A184" s="14"/>
      <c r="B184" s="14"/>
      <c r="C184" s="14"/>
      <c r="D184" s="14"/>
      <c r="E184" s="14"/>
      <c r="F184" s="14"/>
      <c r="G184" s="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7"/>
      <c r="Z184" s="9"/>
      <c r="AA184" s="14"/>
      <c r="AB184" s="14"/>
      <c r="AC184" s="14"/>
      <c r="AD184" s="9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x14ac:dyDescent="0.25">
      <c r="A185" s="14"/>
      <c r="B185" s="14"/>
      <c r="C185" s="14"/>
      <c r="D185" s="14"/>
      <c r="E185" s="14"/>
      <c r="F185" s="14"/>
      <c r="G185" s="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7"/>
      <c r="Z185" s="9"/>
      <c r="AA185" s="14"/>
      <c r="AB185" s="14"/>
      <c r="AC185" s="14"/>
      <c r="AD185" s="9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x14ac:dyDescent="0.25">
      <c r="A186" s="14"/>
      <c r="B186" s="14"/>
      <c r="C186" s="14"/>
      <c r="D186" s="14"/>
      <c r="E186" s="14"/>
      <c r="F186" s="14"/>
      <c r="G186" s="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7"/>
      <c r="Z186" s="9"/>
      <c r="AA186" s="14"/>
      <c r="AB186" s="14"/>
      <c r="AC186" s="14"/>
      <c r="AD186" s="9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x14ac:dyDescent="0.25">
      <c r="A187" s="14"/>
      <c r="B187" s="14"/>
      <c r="C187" s="14"/>
      <c r="D187" s="14"/>
      <c r="E187" s="14"/>
      <c r="F187" s="14"/>
      <c r="G187" s="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7"/>
      <c r="Z187" s="9"/>
      <c r="AA187" s="14"/>
      <c r="AB187" s="14"/>
      <c r="AC187" s="14"/>
      <c r="AD187" s="9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x14ac:dyDescent="0.25">
      <c r="A188" s="14"/>
      <c r="B188" s="14"/>
      <c r="C188" s="14"/>
      <c r="D188" s="14"/>
      <c r="E188" s="14"/>
      <c r="F188" s="14"/>
      <c r="G188" s="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7"/>
      <c r="Z188" s="9"/>
      <c r="AA188" s="14"/>
      <c r="AB188" s="14"/>
      <c r="AC188" s="14"/>
      <c r="AD188" s="9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x14ac:dyDescent="0.25">
      <c r="A189" s="14"/>
      <c r="B189" s="14"/>
      <c r="C189" s="14"/>
      <c r="D189" s="14"/>
      <c r="E189" s="14"/>
      <c r="F189" s="14"/>
      <c r="G189" s="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7"/>
      <c r="Z189" s="9"/>
      <c r="AA189" s="14"/>
      <c r="AB189" s="14"/>
      <c r="AC189" s="14"/>
      <c r="AD189" s="9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x14ac:dyDescent="0.25">
      <c r="A190" s="14"/>
      <c r="B190" s="14"/>
      <c r="C190" s="14"/>
      <c r="D190" s="14"/>
      <c r="E190" s="14"/>
      <c r="F190" s="14"/>
      <c r="G190" s="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7"/>
      <c r="Z190" s="9"/>
      <c r="AA190" s="14"/>
      <c r="AB190" s="14"/>
      <c r="AC190" s="14"/>
      <c r="AD190" s="9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x14ac:dyDescent="0.25">
      <c r="A191" s="14"/>
      <c r="B191" s="14"/>
      <c r="C191" s="14"/>
      <c r="D191" s="14"/>
      <c r="E191" s="14"/>
      <c r="F191" s="14"/>
      <c r="G191" s="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7"/>
      <c r="Z191" s="9"/>
      <c r="AA191" s="14"/>
      <c r="AB191" s="14"/>
      <c r="AC191" s="14"/>
      <c r="AD191" s="9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x14ac:dyDescent="0.25">
      <c r="A192" s="14"/>
      <c r="B192" s="14"/>
      <c r="C192" s="14"/>
      <c r="D192" s="14"/>
      <c r="E192" s="14"/>
      <c r="F192" s="14"/>
      <c r="G192" s="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7"/>
      <c r="Z192" s="9"/>
      <c r="AA192" s="14"/>
      <c r="AB192" s="14"/>
      <c r="AC192" s="14"/>
      <c r="AD192" s="9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x14ac:dyDescent="0.25">
      <c r="A193" s="14"/>
      <c r="B193" s="14"/>
      <c r="C193" s="14"/>
      <c r="D193" s="14"/>
      <c r="E193" s="14"/>
      <c r="F193" s="14"/>
      <c r="G193" s="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7"/>
      <c r="Z193" s="9"/>
      <c r="AA193" s="14"/>
      <c r="AB193" s="14"/>
      <c r="AC193" s="14"/>
      <c r="AD193" s="9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x14ac:dyDescent="0.25">
      <c r="A194" s="14"/>
      <c r="B194" s="14"/>
      <c r="C194" s="14"/>
      <c r="D194" s="14"/>
      <c r="E194" s="14"/>
      <c r="F194" s="14"/>
      <c r="G194" s="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7"/>
      <c r="Z194" s="9"/>
      <c r="AA194" s="14"/>
      <c r="AB194" s="14"/>
      <c r="AC194" s="14"/>
      <c r="AD194" s="9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x14ac:dyDescent="0.25">
      <c r="A195" s="14"/>
      <c r="B195" s="14"/>
      <c r="C195" s="14"/>
      <c r="D195" s="14"/>
      <c r="E195" s="14"/>
      <c r="F195" s="14"/>
      <c r="G195" s="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7"/>
      <c r="Z195" s="9"/>
      <c r="AA195" s="14"/>
      <c r="AB195" s="14"/>
      <c r="AC195" s="14"/>
      <c r="AD195" s="9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x14ac:dyDescent="0.25">
      <c r="A196" s="14"/>
      <c r="B196" s="14"/>
      <c r="C196" s="14"/>
      <c r="D196" s="14"/>
      <c r="E196" s="14"/>
      <c r="F196" s="14"/>
      <c r="G196" s="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7"/>
      <c r="Z196" s="9"/>
      <c r="AA196" s="14"/>
      <c r="AB196" s="14"/>
      <c r="AC196" s="14"/>
      <c r="AD196" s="9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x14ac:dyDescent="0.25">
      <c r="A197" s="14"/>
      <c r="B197" s="14"/>
      <c r="C197" s="14"/>
      <c r="D197" s="14"/>
      <c r="E197" s="14"/>
      <c r="F197" s="14"/>
      <c r="G197" s="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7"/>
      <c r="Z197" s="9"/>
      <c r="AA197" s="14"/>
      <c r="AB197" s="14"/>
      <c r="AC197" s="14"/>
      <c r="AD197" s="9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x14ac:dyDescent="0.25">
      <c r="A198" s="14"/>
      <c r="B198" s="14"/>
      <c r="C198" s="14"/>
      <c r="D198" s="14"/>
      <c r="E198" s="14"/>
      <c r="F198" s="14"/>
      <c r="G198" s="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7"/>
      <c r="Z198" s="9"/>
      <c r="AA198" s="14"/>
      <c r="AB198" s="14"/>
      <c r="AC198" s="14"/>
      <c r="AD198" s="9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x14ac:dyDescent="0.25">
      <c r="A199" s="14"/>
      <c r="B199" s="14"/>
      <c r="C199" s="14"/>
      <c r="D199" s="14"/>
      <c r="E199" s="14"/>
      <c r="F199" s="14"/>
      <c r="G199" s="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7"/>
      <c r="Z199" s="9"/>
      <c r="AA199" s="14"/>
      <c r="AB199" s="14"/>
      <c r="AC199" s="14"/>
      <c r="AD199" s="9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x14ac:dyDescent="0.25">
      <c r="A200" s="14"/>
      <c r="B200" s="14"/>
      <c r="C200" s="14"/>
      <c r="D200" s="14"/>
      <c r="E200" s="14"/>
      <c r="F200" s="14"/>
      <c r="G200" s="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7"/>
      <c r="Z200" s="9"/>
      <c r="AA200" s="14"/>
      <c r="AB200" s="14"/>
      <c r="AC200" s="14"/>
      <c r="AD200" s="9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x14ac:dyDescent="0.25">
      <c r="A201" s="14"/>
      <c r="B201" s="14"/>
      <c r="C201" s="14"/>
      <c r="D201" s="14"/>
      <c r="E201" s="14"/>
      <c r="F201" s="14"/>
      <c r="G201" s="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7"/>
      <c r="Z201" s="9"/>
      <c r="AA201" s="14"/>
      <c r="AB201" s="14"/>
      <c r="AC201" s="14"/>
      <c r="AD201" s="9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x14ac:dyDescent="0.25">
      <c r="A202" s="14"/>
      <c r="B202" s="14"/>
      <c r="C202" s="14"/>
      <c r="D202" s="14"/>
      <c r="E202" s="14"/>
      <c r="F202" s="14"/>
      <c r="G202" s="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7"/>
      <c r="Z202" s="9"/>
      <c r="AA202" s="14"/>
      <c r="AB202" s="14"/>
      <c r="AC202" s="14"/>
      <c r="AD202" s="9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x14ac:dyDescent="0.25">
      <c r="A203" s="14"/>
      <c r="B203" s="14"/>
      <c r="C203" s="14"/>
      <c r="D203" s="14"/>
      <c r="E203" s="14"/>
      <c r="F203" s="14"/>
      <c r="G203" s="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7"/>
      <c r="Z203" s="9"/>
      <c r="AA203" s="14"/>
      <c r="AB203" s="14"/>
      <c r="AC203" s="14"/>
      <c r="AD203" s="9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x14ac:dyDescent="0.25">
      <c r="A204" s="14"/>
      <c r="B204" s="14"/>
      <c r="C204" s="14"/>
      <c r="D204" s="14"/>
      <c r="E204" s="14"/>
      <c r="F204" s="14"/>
      <c r="G204" s="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7"/>
      <c r="Z204" s="9"/>
      <c r="AA204" s="14"/>
      <c r="AB204" s="14"/>
      <c r="AC204" s="14"/>
      <c r="AD204" s="9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x14ac:dyDescent="0.25">
      <c r="A205" s="14"/>
      <c r="B205" s="14"/>
      <c r="C205" s="14"/>
      <c r="D205" s="14"/>
      <c r="E205" s="14"/>
      <c r="F205" s="14"/>
      <c r="G205" s="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7"/>
      <c r="Z205" s="9"/>
      <c r="AA205" s="14"/>
      <c r="AB205" s="14"/>
      <c r="AC205" s="14"/>
      <c r="AD205" s="9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x14ac:dyDescent="0.25">
      <c r="A206" s="14"/>
      <c r="B206" s="14"/>
      <c r="C206" s="14"/>
      <c r="D206" s="14"/>
      <c r="E206" s="14"/>
      <c r="F206" s="14"/>
      <c r="G206" s="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7"/>
      <c r="Z206" s="9"/>
      <c r="AA206" s="14"/>
      <c r="AB206" s="14"/>
      <c r="AC206" s="14"/>
      <c r="AD206" s="9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x14ac:dyDescent="0.25">
      <c r="A207" s="14"/>
      <c r="B207" s="14"/>
      <c r="C207" s="14"/>
      <c r="D207" s="14"/>
      <c r="E207" s="14"/>
      <c r="F207" s="14"/>
      <c r="G207" s="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7"/>
      <c r="Z207" s="9"/>
      <c r="AA207" s="14"/>
      <c r="AB207" s="14"/>
      <c r="AC207" s="14"/>
      <c r="AD207" s="9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x14ac:dyDescent="0.25">
      <c r="A208" s="14"/>
      <c r="B208" s="14"/>
      <c r="C208" s="14"/>
      <c r="D208" s="14"/>
      <c r="E208" s="14"/>
      <c r="F208" s="14"/>
      <c r="G208" s="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7"/>
      <c r="Z208" s="9"/>
      <c r="AA208" s="14"/>
      <c r="AB208" s="14"/>
      <c r="AC208" s="14"/>
      <c r="AD208" s="9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x14ac:dyDescent="0.25">
      <c r="A209" s="14"/>
      <c r="B209" s="14"/>
      <c r="C209" s="14"/>
      <c r="D209" s="14"/>
      <c r="E209" s="14"/>
      <c r="F209" s="14"/>
      <c r="G209" s="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7"/>
      <c r="Z209" s="9"/>
      <c r="AA209" s="14"/>
      <c r="AB209" s="14"/>
      <c r="AC209" s="14"/>
      <c r="AD209" s="9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x14ac:dyDescent="0.25">
      <c r="A210" s="14"/>
      <c r="B210" s="14"/>
      <c r="C210" s="14"/>
      <c r="D210" s="14"/>
      <c r="E210" s="14"/>
      <c r="F210" s="14"/>
      <c r="G210" s="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7"/>
      <c r="Z210" s="9"/>
      <c r="AA210" s="14"/>
      <c r="AB210" s="14"/>
      <c r="AC210" s="14"/>
      <c r="AD210" s="9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x14ac:dyDescent="0.25">
      <c r="A211" s="14"/>
      <c r="B211" s="14"/>
      <c r="C211" s="14"/>
      <c r="D211" s="14"/>
      <c r="E211" s="14"/>
      <c r="F211" s="14"/>
      <c r="G211" s="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7"/>
      <c r="Z211" s="9"/>
      <c r="AA211" s="14"/>
      <c r="AB211" s="14"/>
      <c r="AC211" s="14"/>
      <c r="AD211" s="9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x14ac:dyDescent="0.25">
      <c r="A212" s="14"/>
      <c r="B212" s="14"/>
      <c r="C212" s="14"/>
      <c r="D212" s="14"/>
      <c r="E212" s="14"/>
      <c r="F212" s="14"/>
      <c r="G212" s="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7"/>
      <c r="Z212" s="9"/>
      <c r="AA212" s="14"/>
      <c r="AB212" s="14"/>
      <c r="AC212" s="14"/>
      <c r="AD212" s="9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x14ac:dyDescent="0.25">
      <c r="A213" s="14"/>
      <c r="B213" s="14"/>
      <c r="C213" s="14"/>
      <c r="D213" s="14"/>
      <c r="E213" s="14"/>
      <c r="F213" s="14"/>
      <c r="G213" s="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7"/>
      <c r="Z213" s="9"/>
      <c r="AA213" s="14"/>
      <c r="AB213" s="14"/>
      <c r="AC213" s="14"/>
      <c r="AD213" s="9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x14ac:dyDescent="0.25">
      <c r="A214" s="14"/>
      <c r="B214" s="14"/>
      <c r="C214" s="14"/>
      <c r="D214" s="14"/>
      <c r="E214" s="14"/>
      <c r="F214" s="14"/>
      <c r="G214" s="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7"/>
      <c r="Z214" s="9"/>
      <c r="AA214" s="14"/>
      <c r="AB214" s="14"/>
      <c r="AC214" s="14"/>
      <c r="AD214" s="9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x14ac:dyDescent="0.25">
      <c r="A215" s="14"/>
      <c r="B215" s="14"/>
      <c r="C215" s="14"/>
      <c r="D215" s="14"/>
      <c r="E215" s="14"/>
      <c r="F215" s="14"/>
      <c r="G215" s="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7"/>
      <c r="Z215" s="9"/>
      <c r="AA215" s="14"/>
      <c r="AB215" s="14"/>
      <c r="AC215" s="14"/>
      <c r="AD215" s="9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x14ac:dyDescent="0.25">
      <c r="A216" s="14"/>
      <c r="B216" s="14"/>
      <c r="C216" s="14"/>
      <c r="D216" s="14"/>
      <c r="E216" s="14"/>
      <c r="F216" s="14"/>
      <c r="G216" s="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7"/>
      <c r="Z216" s="9"/>
      <c r="AA216" s="14"/>
      <c r="AB216" s="14"/>
      <c r="AC216" s="14"/>
      <c r="AD216" s="9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x14ac:dyDescent="0.25">
      <c r="A217" s="14"/>
      <c r="B217" s="14"/>
      <c r="C217" s="14"/>
      <c r="D217" s="14"/>
      <c r="E217" s="14"/>
      <c r="F217" s="14"/>
      <c r="G217" s="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7"/>
      <c r="Z217" s="9"/>
      <c r="AA217" s="14"/>
      <c r="AB217" s="14"/>
      <c r="AC217" s="14"/>
      <c r="AD217" s="9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x14ac:dyDescent="0.25">
      <c r="A218" s="14"/>
      <c r="B218" s="14"/>
      <c r="C218" s="14"/>
      <c r="D218" s="14"/>
      <c r="E218" s="14"/>
      <c r="F218" s="14"/>
      <c r="G218" s="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7"/>
      <c r="Z218" s="9"/>
      <c r="AA218" s="14"/>
      <c r="AB218" s="14"/>
      <c r="AC218" s="14"/>
      <c r="AD218" s="9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x14ac:dyDescent="0.25">
      <c r="A219" s="14"/>
      <c r="B219" s="14"/>
      <c r="C219" s="14"/>
      <c r="D219" s="14"/>
      <c r="E219" s="14"/>
      <c r="F219" s="14"/>
      <c r="G219" s="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7"/>
      <c r="Z219" s="9"/>
      <c r="AA219" s="14"/>
      <c r="AB219" s="14"/>
      <c r="AC219" s="14"/>
      <c r="AD219" s="9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x14ac:dyDescent="0.25">
      <c r="A220" s="14"/>
      <c r="B220" s="14"/>
      <c r="C220" s="14"/>
      <c r="D220" s="14"/>
      <c r="E220" s="14"/>
      <c r="F220" s="14"/>
      <c r="G220" s="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7"/>
      <c r="Z220" s="9"/>
      <c r="AA220" s="14"/>
      <c r="AB220" s="14"/>
      <c r="AC220" s="14"/>
      <c r="AD220" s="9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x14ac:dyDescent="0.25">
      <c r="A221" s="14"/>
      <c r="B221" s="14"/>
      <c r="C221" s="14"/>
      <c r="D221" s="14"/>
      <c r="E221" s="14"/>
      <c r="F221" s="14"/>
      <c r="G221" s="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7"/>
      <c r="Z221" s="9"/>
      <c r="AA221" s="14"/>
      <c r="AB221" s="14"/>
      <c r="AC221" s="14"/>
      <c r="AD221" s="9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x14ac:dyDescent="0.25">
      <c r="A222" s="14"/>
      <c r="B222" s="14"/>
      <c r="C222" s="14"/>
      <c r="D222" s="14"/>
      <c r="E222" s="14"/>
      <c r="F222" s="14"/>
      <c r="G222" s="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7"/>
      <c r="Z222" s="9"/>
      <c r="AA222" s="14"/>
      <c r="AB222" s="14"/>
      <c r="AC222" s="14"/>
      <c r="AD222" s="9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x14ac:dyDescent="0.25">
      <c r="A223" s="14"/>
      <c r="B223" s="14"/>
      <c r="C223" s="14"/>
      <c r="D223" s="14"/>
      <c r="E223" s="14"/>
      <c r="F223" s="14"/>
      <c r="G223" s="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7"/>
      <c r="Z223" s="9"/>
      <c r="AA223" s="14"/>
      <c r="AB223" s="14"/>
      <c r="AC223" s="14"/>
      <c r="AD223" s="9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x14ac:dyDescent="0.25">
      <c r="A224" s="14"/>
      <c r="B224" s="14"/>
      <c r="C224" s="14"/>
      <c r="D224" s="14"/>
      <c r="E224" s="14"/>
      <c r="F224" s="14"/>
      <c r="G224" s="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7"/>
      <c r="Z224" s="9"/>
      <c r="AA224" s="14"/>
      <c r="AB224" s="14"/>
      <c r="AC224" s="14"/>
      <c r="AD224" s="9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x14ac:dyDescent="0.25">
      <c r="A225" s="14"/>
      <c r="B225" s="14"/>
      <c r="C225" s="14"/>
      <c r="D225" s="14"/>
      <c r="E225" s="14"/>
      <c r="F225" s="14"/>
      <c r="G225" s="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7"/>
      <c r="Z225" s="9"/>
      <c r="AA225" s="14"/>
      <c r="AB225" s="14"/>
      <c r="AC225" s="14"/>
      <c r="AD225" s="9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x14ac:dyDescent="0.25">
      <c r="A226" s="14"/>
      <c r="B226" s="14"/>
      <c r="C226" s="14"/>
      <c r="D226" s="14"/>
      <c r="E226" s="14"/>
      <c r="F226" s="14"/>
      <c r="G226" s="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7"/>
      <c r="Z226" s="9"/>
      <c r="AA226" s="14"/>
      <c r="AB226" s="14"/>
      <c r="AC226" s="14"/>
      <c r="AD226" s="9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x14ac:dyDescent="0.25">
      <c r="A227" s="14"/>
      <c r="B227" s="14"/>
      <c r="C227" s="14"/>
      <c r="D227" s="14"/>
      <c r="E227" s="14"/>
      <c r="F227" s="14"/>
      <c r="G227" s="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7"/>
      <c r="Z227" s="9"/>
      <c r="AA227" s="14"/>
      <c r="AB227" s="14"/>
      <c r="AC227" s="14"/>
      <c r="AD227" s="9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x14ac:dyDescent="0.25">
      <c r="A228" s="14"/>
      <c r="B228" s="14"/>
      <c r="C228" s="14"/>
      <c r="D228" s="14"/>
      <c r="E228" s="14"/>
      <c r="F228" s="14"/>
      <c r="G228" s="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7"/>
      <c r="Z228" s="9"/>
      <c r="AA228" s="14"/>
      <c r="AB228" s="14"/>
      <c r="AC228" s="14"/>
      <c r="AD228" s="9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x14ac:dyDescent="0.25">
      <c r="A229" s="14"/>
      <c r="B229" s="14"/>
      <c r="C229" s="14"/>
      <c r="D229" s="14"/>
      <c r="E229" s="14"/>
      <c r="F229" s="14"/>
      <c r="G229" s="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7"/>
      <c r="Z229" s="9"/>
      <c r="AA229" s="14"/>
      <c r="AB229" s="14"/>
      <c r="AC229" s="14"/>
      <c r="AD229" s="9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x14ac:dyDescent="0.25">
      <c r="A230" s="14"/>
      <c r="B230" s="14"/>
      <c r="C230" s="14"/>
      <c r="D230" s="14"/>
      <c r="E230" s="14"/>
      <c r="F230" s="14"/>
      <c r="G230" s="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7"/>
      <c r="Z230" s="9"/>
      <c r="AA230" s="14"/>
      <c r="AB230" s="14"/>
      <c r="AC230" s="14"/>
      <c r="AD230" s="9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x14ac:dyDescent="0.25">
      <c r="A231" s="14"/>
      <c r="B231" s="14"/>
      <c r="C231" s="14"/>
      <c r="D231" s="14"/>
      <c r="E231" s="14"/>
      <c r="F231" s="14"/>
      <c r="G231" s="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7"/>
      <c r="Z231" s="9"/>
      <c r="AA231" s="14"/>
      <c r="AB231" s="14"/>
      <c r="AC231" s="14"/>
      <c r="AD231" s="9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x14ac:dyDescent="0.25">
      <c r="A232" s="14"/>
      <c r="B232" s="14"/>
      <c r="C232" s="14"/>
      <c r="D232" s="14"/>
      <c r="E232" s="14"/>
      <c r="F232" s="14"/>
      <c r="G232" s="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7"/>
      <c r="Z232" s="9"/>
      <c r="AA232" s="14"/>
      <c r="AB232" s="14"/>
      <c r="AC232" s="14"/>
      <c r="AD232" s="9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x14ac:dyDescent="0.25">
      <c r="A233" s="14"/>
      <c r="B233" s="14"/>
      <c r="C233" s="14"/>
      <c r="D233" s="14"/>
      <c r="E233" s="14"/>
      <c r="F233" s="14"/>
      <c r="G233" s="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7"/>
      <c r="Z233" s="9"/>
      <c r="AA233" s="14"/>
      <c r="AB233" s="14"/>
      <c r="AC233" s="14"/>
      <c r="AD233" s="9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x14ac:dyDescent="0.25">
      <c r="A234" s="14"/>
      <c r="B234" s="14"/>
      <c r="C234" s="14"/>
      <c r="D234" s="14"/>
      <c r="E234" s="14"/>
      <c r="F234" s="14"/>
      <c r="G234" s="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7"/>
      <c r="Z234" s="9"/>
      <c r="AA234" s="14"/>
      <c r="AB234" s="14"/>
      <c r="AC234" s="14"/>
      <c r="AD234" s="9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x14ac:dyDescent="0.25">
      <c r="A235" s="14"/>
      <c r="B235" s="14"/>
      <c r="C235" s="14"/>
      <c r="D235" s="14"/>
      <c r="E235" s="14"/>
      <c r="F235" s="14"/>
      <c r="G235" s="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7"/>
      <c r="Z235" s="9"/>
      <c r="AA235" s="14"/>
      <c r="AB235" s="14"/>
      <c r="AC235" s="14"/>
      <c r="AD235" s="9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 spans="1:40" x14ac:dyDescent="0.25">
      <c r="A236" s="14"/>
      <c r="B236" s="14"/>
      <c r="C236" s="14"/>
      <c r="D236" s="14"/>
      <c r="E236" s="14"/>
      <c r="F236" s="14"/>
      <c r="G236" s="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7"/>
      <c r="Z236" s="9"/>
      <c r="AA236" s="14"/>
      <c r="AB236" s="14"/>
      <c r="AC236" s="14"/>
      <c r="AD236" s="9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 spans="1:40" x14ac:dyDescent="0.25">
      <c r="A237" s="14"/>
      <c r="B237" s="14"/>
      <c r="C237" s="14"/>
      <c r="D237" s="14"/>
      <c r="E237" s="14"/>
      <c r="F237" s="14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7"/>
      <c r="Z237" s="9"/>
      <c r="AA237" s="14"/>
      <c r="AB237" s="14"/>
      <c r="AC237" s="14"/>
      <c r="AD237" s="9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 spans="1:40" x14ac:dyDescent="0.25">
      <c r="A238" s="14"/>
      <c r="B238" s="14"/>
      <c r="C238" s="14"/>
      <c r="D238" s="14"/>
      <c r="E238" s="14"/>
      <c r="F238" s="14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7"/>
      <c r="Z238" s="9"/>
      <c r="AA238" s="14"/>
      <c r="AB238" s="14"/>
      <c r="AC238" s="14"/>
      <c r="AD238" s="9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x14ac:dyDescent="0.25">
      <c r="A239" s="14"/>
      <c r="B239" s="14"/>
      <c r="C239" s="14"/>
      <c r="D239" s="14"/>
      <c r="E239" s="14"/>
      <c r="F239" s="14"/>
      <c r="G239" s="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7"/>
      <c r="Z239" s="9"/>
      <c r="AA239" s="14"/>
      <c r="AB239" s="14"/>
      <c r="AC239" s="14"/>
      <c r="AD239" s="9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x14ac:dyDescent="0.25">
      <c r="A240" s="14"/>
      <c r="B240" s="14"/>
      <c r="C240" s="14"/>
      <c r="D240" s="14"/>
      <c r="E240" s="14"/>
      <c r="F240" s="14"/>
      <c r="G240" s="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7"/>
      <c r="Z240" s="9"/>
      <c r="AA240" s="14"/>
      <c r="AB240" s="14"/>
      <c r="AC240" s="14"/>
      <c r="AD240" s="9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x14ac:dyDescent="0.25">
      <c r="A241" s="14"/>
      <c r="B241" s="14"/>
      <c r="C241" s="14"/>
      <c r="D241" s="14"/>
      <c r="E241" s="14"/>
      <c r="F241" s="14"/>
      <c r="G241" s="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7"/>
      <c r="Z241" s="9"/>
      <c r="AA241" s="14"/>
      <c r="AB241" s="14"/>
      <c r="AC241" s="14"/>
      <c r="AD241" s="9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x14ac:dyDescent="0.25">
      <c r="A242" s="14"/>
      <c r="B242" s="14"/>
      <c r="C242" s="14"/>
      <c r="D242" s="14"/>
      <c r="E242" s="14"/>
      <c r="F242" s="14"/>
      <c r="G242" s="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7"/>
      <c r="Z242" s="9"/>
      <c r="AA242" s="14"/>
      <c r="AB242" s="14"/>
      <c r="AC242" s="14"/>
      <c r="AD242" s="9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x14ac:dyDescent="0.25">
      <c r="A243" s="14"/>
      <c r="B243" s="14"/>
      <c r="C243" s="14"/>
      <c r="D243" s="14"/>
      <c r="E243" s="14"/>
      <c r="F243" s="14"/>
      <c r="G243" s="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7"/>
      <c r="Z243" s="9"/>
      <c r="AA243" s="14"/>
      <c r="AB243" s="14"/>
      <c r="AC243" s="14"/>
      <c r="AD243" s="9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x14ac:dyDescent="0.25">
      <c r="A244" s="14"/>
      <c r="B244" s="14"/>
      <c r="C244" s="14"/>
      <c r="D244" s="14"/>
      <c r="E244" s="14"/>
      <c r="F244" s="14"/>
      <c r="G244" s="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7"/>
      <c r="Z244" s="9"/>
      <c r="AA244" s="14"/>
      <c r="AB244" s="14"/>
      <c r="AC244" s="14"/>
      <c r="AD244" s="9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x14ac:dyDescent="0.25">
      <c r="A245" s="14"/>
      <c r="B245" s="14"/>
      <c r="C245" s="14"/>
      <c r="D245" s="14"/>
      <c r="E245" s="14"/>
      <c r="F245" s="14"/>
      <c r="G245" s="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7"/>
      <c r="Z245" s="9"/>
      <c r="AA245" s="14"/>
      <c r="AB245" s="14"/>
      <c r="AC245" s="14"/>
      <c r="AD245" s="9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x14ac:dyDescent="0.25">
      <c r="A246" s="14"/>
      <c r="B246" s="14"/>
      <c r="C246" s="14"/>
      <c r="D246" s="14"/>
      <c r="E246" s="14"/>
      <c r="F246" s="14"/>
      <c r="G246" s="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7"/>
      <c r="Z246" s="9"/>
      <c r="AA246" s="14"/>
      <c r="AB246" s="14"/>
      <c r="AC246" s="14"/>
      <c r="AD246" s="9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x14ac:dyDescent="0.25">
      <c r="A247" s="14"/>
      <c r="B247" s="14"/>
      <c r="C247" s="14"/>
      <c r="D247" s="14"/>
      <c r="E247" s="14"/>
      <c r="F247" s="14"/>
      <c r="G247" s="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7"/>
      <c r="Z247" s="9"/>
      <c r="AA247" s="14"/>
      <c r="AB247" s="14"/>
      <c r="AC247" s="14"/>
      <c r="AD247" s="9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x14ac:dyDescent="0.25">
      <c r="A248" s="14"/>
      <c r="B248" s="14"/>
      <c r="C248" s="14"/>
      <c r="D248" s="14"/>
      <c r="E248" s="14"/>
      <c r="F248" s="14"/>
      <c r="G248" s="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7"/>
      <c r="Z248" s="9"/>
      <c r="AA248" s="14"/>
      <c r="AB248" s="14"/>
      <c r="AC248" s="14"/>
      <c r="AD248" s="9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x14ac:dyDescent="0.25">
      <c r="A249" s="14"/>
      <c r="B249" s="14"/>
      <c r="C249" s="14"/>
      <c r="D249" s="14"/>
      <c r="E249" s="14"/>
      <c r="F249" s="14"/>
      <c r="G249" s="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7"/>
      <c r="Z249" s="9"/>
      <c r="AA249" s="14"/>
      <c r="AB249" s="14"/>
      <c r="AC249" s="14"/>
      <c r="AD249" s="9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x14ac:dyDescent="0.25">
      <c r="A250" s="14"/>
      <c r="B250" s="14"/>
      <c r="C250" s="14"/>
      <c r="D250" s="14"/>
      <c r="E250" s="14"/>
      <c r="F250" s="14"/>
      <c r="G250" s="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7"/>
      <c r="Z250" s="9"/>
      <c r="AA250" s="14"/>
      <c r="AB250" s="14"/>
      <c r="AC250" s="14"/>
      <c r="AD250" s="9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x14ac:dyDescent="0.25">
      <c r="A251" s="14"/>
      <c r="B251" s="14"/>
      <c r="C251" s="14"/>
      <c r="D251" s="14"/>
      <c r="E251" s="14"/>
      <c r="F251" s="14"/>
      <c r="G251" s="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7"/>
      <c r="Z251" s="9"/>
      <c r="AA251" s="14"/>
      <c r="AB251" s="14"/>
      <c r="AC251" s="14"/>
      <c r="AD251" s="9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x14ac:dyDescent="0.25">
      <c r="A252" s="14"/>
      <c r="B252" s="14"/>
      <c r="C252" s="14"/>
      <c r="D252" s="14"/>
      <c r="E252" s="14"/>
      <c r="F252" s="14"/>
      <c r="G252" s="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7"/>
      <c r="Z252" s="9"/>
      <c r="AA252" s="14"/>
      <c r="AB252" s="14"/>
      <c r="AC252" s="14"/>
      <c r="AD252" s="9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x14ac:dyDescent="0.25">
      <c r="A253" s="14"/>
      <c r="B253" s="14"/>
      <c r="C253" s="14"/>
      <c r="D253" s="14"/>
      <c r="E253" s="14"/>
      <c r="F253" s="14"/>
      <c r="G253" s="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7"/>
      <c r="Z253" s="9"/>
      <c r="AA253" s="14"/>
      <c r="AB253" s="14"/>
      <c r="AC253" s="14"/>
      <c r="AD253" s="9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x14ac:dyDescent="0.25">
      <c r="A254" s="14"/>
      <c r="B254" s="14"/>
      <c r="C254" s="14"/>
      <c r="D254" s="14"/>
      <c r="E254" s="14"/>
      <c r="F254" s="14"/>
      <c r="G254" s="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7"/>
      <c r="Z254" s="9"/>
      <c r="AA254" s="14"/>
      <c r="AB254" s="14"/>
      <c r="AC254" s="14"/>
      <c r="AD254" s="9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x14ac:dyDescent="0.25">
      <c r="A255" s="14"/>
      <c r="B255" s="14"/>
      <c r="C255" s="14"/>
      <c r="D255" s="14"/>
      <c r="E255" s="14"/>
      <c r="F255" s="14"/>
      <c r="G255" s="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7"/>
      <c r="Z255" s="9"/>
      <c r="AA255" s="14"/>
      <c r="AB255" s="14"/>
      <c r="AC255" s="14"/>
      <c r="AD255" s="9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x14ac:dyDescent="0.25">
      <c r="A256" s="14"/>
      <c r="B256" s="14"/>
      <c r="C256" s="14"/>
      <c r="D256" s="14"/>
      <c r="E256" s="14"/>
      <c r="F256" s="14"/>
      <c r="G256" s="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7"/>
      <c r="Z256" s="9"/>
      <c r="AA256" s="14"/>
      <c r="AB256" s="14"/>
      <c r="AC256" s="14"/>
      <c r="AD256" s="9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x14ac:dyDescent="0.25">
      <c r="A257" s="14"/>
      <c r="B257" s="14"/>
      <c r="C257" s="14"/>
      <c r="D257" s="14"/>
      <c r="E257" s="14"/>
      <c r="F257" s="14"/>
      <c r="G257" s="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7"/>
      <c r="Z257" s="9"/>
      <c r="AA257" s="14"/>
      <c r="AB257" s="14"/>
      <c r="AC257" s="14"/>
      <c r="AD257" s="9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x14ac:dyDescent="0.25">
      <c r="A258" s="14"/>
      <c r="B258" s="14"/>
      <c r="C258" s="14"/>
      <c r="D258" s="14"/>
      <c r="E258" s="14"/>
      <c r="F258" s="14"/>
      <c r="G258" s="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7"/>
      <c r="Z258" s="9"/>
      <c r="AA258" s="14"/>
      <c r="AB258" s="14"/>
      <c r="AC258" s="14"/>
      <c r="AD258" s="9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x14ac:dyDescent="0.25">
      <c r="A259" s="14"/>
      <c r="B259" s="14"/>
      <c r="C259" s="14"/>
      <c r="D259" s="14"/>
      <c r="E259" s="14"/>
      <c r="F259" s="14"/>
      <c r="G259" s="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7"/>
      <c r="Z259" s="9"/>
      <c r="AA259" s="14"/>
      <c r="AB259" s="14"/>
      <c r="AC259" s="14"/>
      <c r="AD259" s="9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x14ac:dyDescent="0.25">
      <c r="A260" s="14"/>
      <c r="B260" s="14"/>
      <c r="C260" s="14"/>
      <c r="D260" s="14"/>
      <c r="E260" s="14"/>
      <c r="F260" s="14"/>
      <c r="G260" s="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7"/>
      <c r="Z260" s="9"/>
      <c r="AA260" s="14"/>
      <c r="AB260" s="14"/>
      <c r="AC260" s="14"/>
      <c r="AD260" s="9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x14ac:dyDescent="0.25">
      <c r="A261" s="14"/>
      <c r="B261" s="14"/>
      <c r="C261" s="14"/>
      <c r="D261" s="14"/>
      <c r="E261" s="14"/>
      <c r="F261" s="14"/>
      <c r="G261" s="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7"/>
      <c r="Z261" s="9"/>
      <c r="AA261" s="14"/>
      <c r="AB261" s="14"/>
      <c r="AC261" s="14"/>
      <c r="AD261" s="9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x14ac:dyDescent="0.25">
      <c r="A262" s="14"/>
      <c r="B262" s="14"/>
      <c r="C262" s="14"/>
      <c r="D262" s="14"/>
      <c r="E262" s="14"/>
      <c r="F262" s="14"/>
      <c r="G262" s="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7"/>
      <c r="Z262" s="9"/>
      <c r="AA262" s="14"/>
      <c r="AB262" s="14"/>
      <c r="AC262" s="14"/>
      <c r="AD262" s="9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x14ac:dyDescent="0.25">
      <c r="A263" s="14"/>
      <c r="B263" s="14"/>
      <c r="C263" s="14"/>
      <c r="D263" s="14"/>
      <c r="E263" s="14"/>
      <c r="F263" s="14"/>
      <c r="G263" s="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7"/>
      <c r="Z263" s="9"/>
      <c r="AA263" s="14"/>
      <c r="AB263" s="14"/>
      <c r="AC263" s="14"/>
      <c r="AD263" s="9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x14ac:dyDescent="0.25">
      <c r="A264" s="14"/>
      <c r="B264" s="14"/>
      <c r="C264" s="14"/>
      <c r="D264" s="14"/>
      <c r="E264" s="14"/>
      <c r="F264" s="14"/>
      <c r="G264" s="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7"/>
      <c r="Z264" s="9"/>
      <c r="AA264" s="14"/>
      <c r="AB264" s="14"/>
      <c r="AC264" s="14"/>
      <c r="AD264" s="9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x14ac:dyDescent="0.25">
      <c r="A265" s="14"/>
      <c r="B265" s="14"/>
      <c r="C265" s="14"/>
      <c r="D265" s="14"/>
      <c r="E265" s="14"/>
      <c r="F265" s="14"/>
      <c r="G265" s="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7"/>
      <c r="Z265" s="9"/>
      <c r="AA265" s="14"/>
      <c r="AB265" s="14"/>
      <c r="AC265" s="14"/>
      <c r="AD265" s="9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x14ac:dyDescent="0.25">
      <c r="A266" s="14"/>
      <c r="B266" s="14"/>
      <c r="C266" s="14"/>
      <c r="D266" s="14"/>
      <c r="E266" s="14"/>
      <c r="F266" s="14"/>
      <c r="G266" s="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7"/>
      <c r="Z266" s="9"/>
      <c r="AA266" s="14"/>
      <c r="AB266" s="14"/>
      <c r="AC266" s="14"/>
      <c r="AD266" s="9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x14ac:dyDescent="0.25">
      <c r="A267" s="14"/>
      <c r="B267" s="14"/>
      <c r="C267" s="14"/>
      <c r="D267" s="14"/>
      <c r="E267" s="14"/>
      <c r="F267" s="14"/>
      <c r="G267" s="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7"/>
      <c r="Z267" s="9"/>
      <c r="AA267" s="14"/>
      <c r="AB267" s="14"/>
      <c r="AC267" s="14"/>
      <c r="AD267" s="9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x14ac:dyDescent="0.25">
      <c r="A268" s="14"/>
      <c r="B268" s="14"/>
      <c r="C268" s="14"/>
      <c r="D268" s="14"/>
      <c r="E268" s="14"/>
      <c r="F268" s="14"/>
      <c r="G268" s="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7"/>
      <c r="Z268" s="9"/>
      <c r="AA268" s="14"/>
      <c r="AB268" s="14"/>
      <c r="AC268" s="14"/>
      <c r="AD268" s="9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x14ac:dyDescent="0.25">
      <c r="A269" s="14"/>
      <c r="B269" s="14"/>
      <c r="C269" s="14"/>
      <c r="D269" s="14"/>
      <c r="E269" s="14"/>
      <c r="F269" s="14"/>
      <c r="G269" s="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7"/>
      <c r="Z269" s="9"/>
      <c r="AA269" s="14"/>
      <c r="AB269" s="14"/>
      <c r="AC269" s="14"/>
      <c r="AD269" s="9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x14ac:dyDescent="0.25">
      <c r="A270" s="14"/>
      <c r="B270" s="14"/>
      <c r="C270" s="14"/>
      <c r="D270" s="14"/>
      <c r="E270" s="14"/>
      <c r="F270" s="14"/>
      <c r="G270" s="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7"/>
      <c r="Z270" s="9"/>
      <c r="AA270" s="14"/>
      <c r="AB270" s="14"/>
      <c r="AC270" s="14"/>
      <c r="AD270" s="9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x14ac:dyDescent="0.25">
      <c r="A271" s="14"/>
      <c r="B271" s="14"/>
      <c r="C271" s="14"/>
      <c r="D271" s="14"/>
      <c r="E271" s="14"/>
      <c r="F271" s="14"/>
      <c r="G271" s="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7"/>
      <c r="Z271" s="9"/>
      <c r="AA271" s="14"/>
      <c r="AB271" s="14"/>
      <c r="AC271" s="14"/>
      <c r="AD271" s="9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x14ac:dyDescent="0.25">
      <c r="A272" s="14"/>
      <c r="B272" s="14"/>
      <c r="C272" s="14"/>
      <c r="D272" s="14"/>
      <c r="E272" s="14"/>
      <c r="F272" s="14"/>
      <c r="G272" s="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7"/>
      <c r="Z272" s="9"/>
      <c r="AA272" s="14"/>
      <c r="AB272" s="14"/>
      <c r="AC272" s="14"/>
      <c r="AD272" s="9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x14ac:dyDescent="0.25">
      <c r="A273" s="14"/>
      <c r="B273" s="14"/>
      <c r="C273" s="14"/>
      <c r="D273" s="14"/>
      <c r="E273" s="14"/>
      <c r="F273" s="14"/>
      <c r="G273" s="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7"/>
      <c r="Z273" s="9"/>
      <c r="AA273" s="14"/>
      <c r="AB273" s="14"/>
      <c r="AC273" s="14"/>
      <c r="AD273" s="9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x14ac:dyDescent="0.25">
      <c r="A274" s="14"/>
      <c r="B274" s="14"/>
      <c r="C274" s="14"/>
      <c r="D274" s="14"/>
      <c r="E274" s="14"/>
      <c r="F274" s="14"/>
      <c r="G274" s="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7"/>
      <c r="Z274" s="9"/>
      <c r="AA274" s="14"/>
      <c r="AB274" s="14"/>
      <c r="AC274" s="14"/>
      <c r="AD274" s="9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x14ac:dyDescent="0.25">
      <c r="A275" s="14"/>
      <c r="B275" s="14"/>
      <c r="C275" s="14"/>
      <c r="D275" s="14"/>
      <c r="E275" s="14"/>
      <c r="F275" s="14"/>
      <c r="G275" s="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7"/>
      <c r="Z275" s="9"/>
      <c r="AA275" s="14"/>
      <c r="AB275" s="14"/>
      <c r="AC275" s="14"/>
      <c r="AD275" s="9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x14ac:dyDescent="0.25">
      <c r="A276" s="14"/>
      <c r="B276" s="14"/>
      <c r="C276" s="14"/>
      <c r="D276" s="14"/>
      <c r="E276" s="14"/>
      <c r="F276" s="14"/>
      <c r="G276" s="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7"/>
      <c r="Z276" s="9"/>
      <c r="AA276" s="14"/>
      <c r="AB276" s="14"/>
      <c r="AC276" s="14"/>
      <c r="AD276" s="9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x14ac:dyDescent="0.25">
      <c r="A277" s="14"/>
      <c r="B277" s="14"/>
      <c r="C277" s="14"/>
      <c r="D277" s="14"/>
      <c r="E277" s="14"/>
      <c r="F277" s="14"/>
      <c r="G277" s="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7"/>
      <c r="Z277" s="9"/>
      <c r="AA277" s="14"/>
      <c r="AB277" s="14"/>
      <c r="AC277" s="14"/>
      <c r="AD277" s="9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x14ac:dyDescent="0.25">
      <c r="A278" s="14"/>
      <c r="B278" s="14"/>
      <c r="C278" s="14"/>
      <c r="D278" s="14"/>
      <c r="E278" s="14"/>
      <c r="F278" s="14"/>
      <c r="G278" s="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7"/>
      <c r="Z278" s="9"/>
      <c r="AA278" s="14"/>
      <c r="AB278" s="14"/>
      <c r="AC278" s="14"/>
      <c r="AD278" s="9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x14ac:dyDescent="0.25">
      <c r="A279" s="14"/>
      <c r="B279" s="14"/>
      <c r="C279" s="14"/>
      <c r="D279" s="14"/>
      <c r="E279" s="14"/>
      <c r="F279" s="14"/>
      <c r="G279" s="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7"/>
      <c r="Z279" s="9"/>
      <c r="AA279" s="14"/>
      <c r="AB279" s="14"/>
      <c r="AC279" s="14"/>
      <c r="AD279" s="9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x14ac:dyDescent="0.25">
      <c r="A280" s="14"/>
      <c r="B280" s="14"/>
      <c r="C280" s="14"/>
      <c r="D280" s="14"/>
      <c r="E280" s="14"/>
      <c r="F280" s="14"/>
      <c r="G280" s="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7"/>
      <c r="Z280" s="9"/>
      <c r="AA280" s="14"/>
      <c r="AB280" s="14"/>
      <c r="AC280" s="14"/>
      <c r="AD280" s="9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x14ac:dyDescent="0.25">
      <c r="A281" s="14"/>
      <c r="B281" s="14"/>
      <c r="C281" s="14"/>
      <c r="D281" s="14"/>
      <c r="E281" s="14"/>
      <c r="F281" s="14"/>
      <c r="G281" s="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7"/>
      <c r="Z281" s="9"/>
      <c r="AA281" s="14"/>
      <c r="AB281" s="14"/>
      <c r="AC281" s="14"/>
      <c r="AD281" s="9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x14ac:dyDescent="0.25">
      <c r="A282" s="14"/>
      <c r="B282" s="14"/>
      <c r="C282" s="14"/>
      <c r="D282" s="14"/>
      <c r="E282" s="14"/>
      <c r="F282" s="14"/>
      <c r="G282" s="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7"/>
      <c r="Z282" s="9"/>
      <c r="AA282" s="14"/>
      <c r="AB282" s="14"/>
      <c r="AC282" s="14"/>
      <c r="AD282" s="9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x14ac:dyDescent="0.25">
      <c r="A283" s="14"/>
      <c r="B283" s="14"/>
      <c r="C283" s="14"/>
      <c r="D283" s="14"/>
      <c r="E283" s="14"/>
      <c r="F283" s="14"/>
      <c r="G283" s="7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7"/>
      <c r="Z283" s="9"/>
      <c r="AA283" s="14"/>
      <c r="AB283" s="14"/>
      <c r="AC283" s="14"/>
      <c r="AD283" s="9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x14ac:dyDescent="0.25">
      <c r="A284" s="14"/>
      <c r="B284" s="14"/>
      <c r="C284" s="14"/>
      <c r="D284" s="14"/>
      <c r="E284" s="14"/>
      <c r="F284" s="14"/>
      <c r="G284" s="7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7"/>
      <c r="Z284" s="9"/>
      <c r="AA284" s="14"/>
      <c r="AB284" s="14"/>
      <c r="AC284" s="14"/>
      <c r="AD284" s="9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x14ac:dyDescent="0.25">
      <c r="A285" s="14"/>
      <c r="B285" s="14"/>
      <c r="C285" s="14"/>
      <c r="D285" s="14"/>
      <c r="E285" s="14"/>
      <c r="F285" s="14"/>
      <c r="G285" s="7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7"/>
      <c r="Z285" s="9"/>
      <c r="AA285" s="14"/>
      <c r="AB285" s="14"/>
      <c r="AC285" s="14"/>
      <c r="AD285" s="9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x14ac:dyDescent="0.25">
      <c r="A286" s="14"/>
      <c r="B286" s="14"/>
      <c r="C286" s="14"/>
      <c r="D286" s="14"/>
      <c r="E286" s="14"/>
      <c r="F286" s="14"/>
      <c r="G286" s="7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7"/>
      <c r="Z286" s="9"/>
      <c r="AA286" s="14"/>
      <c r="AB286" s="14"/>
      <c r="AC286" s="14"/>
      <c r="AD286" s="9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x14ac:dyDescent="0.25">
      <c r="A287" s="14"/>
      <c r="B287" s="14"/>
      <c r="C287" s="14"/>
      <c r="D287" s="14"/>
      <c r="E287" s="14"/>
      <c r="F287" s="14"/>
      <c r="G287" s="7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7"/>
      <c r="Z287" s="9"/>
      <c r="AA287" s="14"/>
      <c r="AB287" s="14"/>
      <c r="AC287" s="14"/>
      <c r="AD287" s="9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x14ac:dyDescent="0.25">
      <c r="A288" s="14"/>
      <c r="B288" s="14"/>
      <c r="C288" s="14"/>
      <c r="D288" s="14"/>
      <c r="E288" s="14"/>
      <c r="F288" s="14"/>
      <c r="G288" s="7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7"/>
      <c r="Z288" s="9"/>
      <c r="AA288" s="14"/>
      <c r="AB288" s="14"/>
      <c r="AC288" s="14"/>
      <c r="AD288" s="9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x14ac:dyDescent="0.25">
      <c r="A289" s="14"/>
      <c r="B289" s="14"/>
      <c r="C289" s="14"/>
      <c r="D289" s="14"/>
      <c r="E289" s="14"/>
      <c r="F289" s="14"/>
      <c r="G289" s="7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7"/>
      <c r="Z289" s="9"/>
      <c r="AA289" s="14"/>
      <c r="AB289" s="14"/>
      <c r="AC289" s="14"/>
      <c r="AD289" s="9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x14ac:dyDescent="0.25">
      <c r="A290" s="14"/>
      <c r="B290" s="14"/>
      <c r="C290" s="14"/>
      <c r="D290" s="14"/>
      <c r="E290" s="14"/>
      <c r="F290" s="14"/>
      <c r="G290" s="7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7"/>
      <c r="Z290" s="9"/>
      <c r="AA290" s="14"/>
      <c r="AB290" s="14"/>
      <c r="AC290" s="14"/>
      <c r="AD290" s="9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x14ac:dyDescent="0.25">
      <c r="A291" s="14"/>
      <c r="B291" s="14"/>
      <c r="C291" s="14"/>
      <c r="D291" s="14"/>
      <c r="E291" s="14"/>
      <c r="F291" s="14"/>
      <c r="G291" s="7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7"/>
      <c r="Z291" s="9"/>
      <c r="AA291" s="14"/>
      <c r="AB291" s="14"/>
      <c r="AC291" s="14"/>
      <c r="AD291" s="9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x14ac:dyDescent="0.25">
      <c r="A292" s="14"/>
      <c r="B292" s="14"/>
      <c r="C292" s="14"/>
      <c r="D292" s="14"/>
      <c r="E292" s="14"/>
      <c r="F292" s="14"/>
      <c r="G292" s="7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7"/>
      <c r="Z292" s="9"/>
      <c r="AA292" s="14"/>
      <c r="AB292" s="14"/>
      <c r="AC292" s="14"/>
      <c r="AD292" s="9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x14ac:dyDescent="0.25">
      <c r="A293" s="14"/>
      <c r="B293" s="14"/>
      <c r="C293" s="14"/>
      <c r="D293" s="14"/>
      <c r="E293" s="14"/>
      <c r="F293" s="14"/>
      <c r="G293" s="7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7"/>
      <c r="Z293" s="9"/>
      <c r="AA293" s="14"/>
      <c r="AB293" s="14"/>
      <c r="AC293" s="14"/>
      <c r="AD293" s="9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x14ac:dyDescent="0.25">
      <c r="A294" s="14"/>
      <c r="B294" s="14"/>
      <c r="C294" s="14"/>
      <c r="D294" s="14"/>
      <c r="E294" s="14"/>
      <c r="F294" s="14"/>
      <c r="G294" s="7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7"/>
      <c r="Z294" s="9"/>
      <c r="AA294" s="14"/>
      <c r="AB294" s="14"/>
      <c r="AC294" s="14"/>
      <c r="AD294" s="9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x14ac:dyDescent="0.25">
      <c r="A295" s="14"/>
      <c r="B295" s="14"/>
      <c r="C295" s="14"/>
      <c r="D295" s="14"/>
      <c r="E295" s="14"/>
      <c r="F295" s="14"/>
      <c r="G295" s="7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7"/>
      <c r="Z295" s="9"/>
      <c r="AA295" s="14"/>
      <c r="AB295" s="14"/>
      <c r="AC295" s="14"/>
      <c r="AD295" s="9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x14ac:dyDescent="0.25">
      <c r="A296" s="14"/>
      <c r="B296" s="14"/>
      <c r="C296" s="14"/>
      <c r="D296" s="14"/>
      <c r="E296" s="14"/>
      <c r="F296" s="14"/>
      <c r="G296" s="7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7"/>
      <c r="Z296" s="9"/>
      <c r="AA296" s="14"/>
      <c r="AB296" s="14"/>
      <c r="AC296" s="14"/>
      <c r="AD296" s="9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x14ac:dyDescent="0.25">
      <c r="A297" s="14"/>
      <c r="B297" s="14"/>
      <c r="C297" s="14"/>
      <c r="D297" s="14"/>
      <c r="E297" s="14"/>
      <c r="F297" s="14"/>
      <c r="G297" s="7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7"/>
      <c r="Z297" s="9"/>
      <c r="AA297" s="14"/>
      <c r="AB297" s="14"/>
      <c r="AC297" s="14"/>
      <c r="AD297" s="9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x14ac:dyDescent="0.25">
      <c r="A298" s="14"/>
      <c r="B298" s="14"/>
      <c r="C298" s="14"/>
      <c r="D298" s="14"/>
      <c r="E298" s="14"/>
      <c r="F298" s="14"/>
      <c r="G298" s="7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7"/>
      <c r="Z298" s="9"/>
      <c r="AA298" s="14"/>
      <c r="AB298" s="14"/>
      <c r="AC298" s="14"/>
      <c r="AD298" s="9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x14ac:dyDescent="0.25">
      <c r="A299" s="14"/>
      <c r="B299" s="14"/>
      <c r="C299" s="14"/>
      <c r="D299" s="14"/>
      <c r="E299" s="14"/>
      <c r="F299" s="14"/>
      <c r="G299" s="7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7"/>
      <c r="Z299" s="9"/>
      <c r="AA299" s="14"/>
      <c r="AB299" s="14"/>
      <c r="AC299" s="14"/>
      <c r="AD299" s="9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x14ac:dyDescent="0.25">
      <c r="A300" s="14"/>
      <c r="B300" s="14"/>
      <c r="C300" s="14"/>
      <c r="D300" s="14"/>
      <c r="E300" s="14"/>
      <c r="F300" s="14"/>
      <c r="G300" s="7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7"/>
      <c r="Z300" s="9"/>
      <c r="AA300" s="14"/>
      <c r="AB300" s="14"/>
      <c r="AC300" s="14"/>
      <c r="AD300" s="9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x14ac:dyDescent="0.25">
      <c r="A301" s="14"/>
      <c r="B301" s="14"/>
      <c r="C301" s="14"/>
      <c r="D301" s="14"/>
      <c r="E301" s="14"/>
      <c r="F301" s="14"/>
      <c r="G301" s="7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7"/>
      <c r="Z301" s="9"/>
      <c r="AA301" s="14"/>
      <c r="AB301" s="14"/>
      <c r="AC301" s="14"/>
      <c r="AD301" s="9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x14ac:dyDescent="0.25">
      <c r="A302" s="14"/>
      <c r="B302" s="14"/>
      <c r="C302" s="14"/>
      <c r="D302" s="14"/>
      <c r="E302" s="14"/>
      <c r="F302" s="14"/>
      <c r="G302" s="7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7"/>
      <c r="Z302" s="9"/>
      <c r="AA302" s="14"/>
      <c r="AB302" s="14"/>
      <c r="AC302" s="14"/>
      <c r="AD302" s="9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x14ac:dyDescent="0.25">
      <c r="A303" s="14"/>
      <c r="B303" s="14"/>
      <c r="C303" s="14"/>
      <c r="D303" s="14"/>
      <c r="E303" s="14"/>
      <c r="F303" s="14"/>
      <c r="G303" s="7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7"/>
      <c r="Z303" s="9"/>
      <c r="AA303" s="14"/>
      <c r="AB303" s="14"/>
      <c r="AC303" s="14"/>
      <c r="AD303" s="9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x14ac:dyDescent="0.25">
      <c r="A304" s="14"/>
      <c r="B304" s="14"/>
      <c r="C304" s="14"/>
      <c r="D304" s="14"/>
      <c r="E304" s="14"/>
      <c r="F304" s="14"/>
      <c r="G304" s="7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7"/>
      <c r="Z304" s="9"/>
      <c r="AA304" s="14"/>
      <c r="AB304" s="14"/>
      <c r="AC304" s="14"/>
      <c r="AD304" s="9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x14ac:dyDescent="0.25">
      <c r="A305" s="14"/>
      <c r="B305" s="14"/>
      <c r="C305" s="14"/>
      <c r="D305" s="14"/>
      <c r="E305" s="14"/>
      <c r="F305" s="14"/>
      <c r="G305" s="7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7"/>
      <c r="Z305" s="9"/>
      <c r="AA305" s="14"/>
      <c r="AB305" s="14"/>
      <c r="AC305" s="14"/>
      <c r="AD305" s="9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x14ac:dyDescent="0.25">
      <c r="A306" s="14"/>
      <c r="B306" s="14"/>
      <c r="C306" s="14"/>
      <c r="D306" s="14"/>
      <c r="E306" s="14"/>
      <c r="F306" s="14"/>
      <c r="G306" s="7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7"/>
      <c r="Z306" s="9"/>
      <c r="AA306" s="14"/>
      <c r="AB306" s="14"/>
      <c r="AC306" s="14"/>
      <c r="AD306" s="9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x14ac:dyDescent="0.25">
      <c r="A307" s="14"/>
      <c r="B307" s="14"/>
      <c r="C307" s="14"/>
      <c r="D307" s="14"/>
      <c r="E307" s="14"/>
      <c r="F307" s="14"/>
      <c r="G307" s="7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7"/>
      <c r="Z307" s="9"/>
      <c r="AA307" s="14"/>
      <c r="AB307" s="14"/>
      <c r="AC307" s="14"/>
      <c r="AD307" s="9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x14ac:dyDescent="0.25">
      <c r="A308" s="14"/>
      <c r="B308" s="14"/>
      <c r="C308" s="14"/>
      <c r="D308" s="14"/>
      <c r="E308" s="14"/>
      <c r="F308" s="14"/>
      <c r="G308" s="7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7"/>
      <c r="Z308" s="9"/>
      <c r="AA308" s="14"/>
      <c r="AB308" s="14"/>
      <c r="AC308" s="14"/>
      <c r="AD308" s="9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x14ac:dyDescent="0.25">
      <c r="A309" s="14"/>
      <c r="B309" s="14"/>
      <c r="C309" s="14"/>
      <c r="D309" s="14"/>
      <c r="E309" s="14"/>
      <c r="F309" s="14"/>
      <c r="G309" s="7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7"/>
      <c r="Z309" s="9"/>
      <c r="AA309" s="14"/>
      <c r="AB309" s="14"/>
      <c r="AC309" s="14"/>
      <c r="AD309" s="9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x14ac:dyDescent="0.25">
      <c r="A310" s="14"/>
      <c r="B310" s="14"/>
      <c r="C310" s="14"/>
      <c r="D310" s="14"/>
      <c r="E310" s="14"/>
      <c r="F310" s="14"/>
      <c r="G310" s="7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7"/>
      <c r="Z310" s="9"/>
      <c r="AA310" s="14"/>
      <c r="AB310" s="14"/>
      <c r="AC310" s="14"/>
      <c r="AD310" s="9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x14ac:dyDescent="0.25">
      <c r="A311" s="14"/>
      <c r="B311" s="14"/>
      <c r="C311" s="14"/>
      <c r="D311" s="14"/>
      <c r="E311" s="14"/>
      <c r="F311" s="14"/>
      <c r="G311" s="7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7"/>
      <c r="Z311" s="9"/>
      <c r="AA311" s="14"/>
      <c r="AB311" s="14"/>
      <c r="AC311" s="14"/>
      <c r="AD311" s="9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x14ac:dyDescent="0.25">
      <c r="A312" s="14"/>
      <c r="B312" s="14"/>
      <c r="C312" s="14"/>
      <c r="D312" s="14"/>
      <c r="E312" s="14"/>
      <c r="F312" s="14"/>
      <c r="G312" s="7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7"/>
      <c r="Z312" s="9"/>
      <c r="AA312" s="14"/>
      <c r="AB312" s="14"/>
      <c r="AC312" s="14"/>
      <c r="AD312" s="9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x14ac:dyDescent="0.25">
      <c r="A313" s="14"/>
      <c r="B313" s="14"/>
      <c r="C313" s="14"/>
      <c r="D313" s="14"/>
      <c r="E313" s="14"/>
      <c r="F313" s="14"/>
      <c r="G313" s="7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7"/>
      <c r="Z313" s="9"/>
      <c r="AA313" s="14"/>
      <c r="AB313" s="14"/>
      <c r="AC313" s="14"/>
      <c r="AD313" s="9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x14ac:dyDescent="0.25">
      <c r="A314" s="14"/>
      <c r="B314" s="14"/>
      <c r="C314" s="14"/>
      <c r="D314" s="14"/>
      <c r="E314" s="14"/>
      <c r="F314" s="14"/>
      <c r="G314" s="7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7"/>
      <c r="Z314" s="9"/>
      <c r="AA314" s="14"/>
      <c r="AB314" s="14"/>
      <c r="AC314" s="14"/>
      <c r="AD314" s="9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x14ac:dyDescent="0.25">
      <c r="A315" s="14"/>
      <c r="B315" s="14"/>
      <c r="C315" s="14"/>
      <c r="D315" s="14"/>
      <c r="E315" s="14"/>
      <c r="F315" s="14"/>
      <c r="G315" s="7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7"/>
      <c r="Z315" s="9"/>
      <c r="AA315" s="14"/>
      <c r="AB315" s="14"/>
      <c r="AC315" s="14"/>
      <c r="AD315" s="9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x14ac:dyDescent="0.25">
      <c r="A316" s="14"/>
      <c r="B316" s="14"/>
      <c r="C316" s="14"/>
      <c r="D316" s="14"/>
      <c r="E316" s="14"/>
      <c r="F316" s="14"/>
      <c r="G316" s="7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7"/>
      <c r="Z316" s="9"/>
      <c r="AA316" s="14"/>
      <c r="AB316" s="14"/>
      <c r="AC316" s="14"/>
      <c r="AD316" s="9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x14ac:dyDescent="0.25">
      <c r="A317" s="14"/>
      <c r="B317" s="14"/>
      <c r="C317" s="14"/>
      <c r="D317" s="14"/>
      <c r="E317" s="14"/>
      <c r="F317" s="14"/>
      <c r="G317" s="7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7"/>
      <c r="Z317" s="9"/>
      <c r="AA317" s="14"/>
      <c r="AB317" s="14"/>
      <c r="AC317" s="14"/>
      <c r="AD317" s="9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x14ac:dyDescent="0.25">
      <c r="A318" s="14"/>
      <c r="B318" s="14"/>
      <c r="C318" s="14"/>
      <c r="D318" s="14"/>
      <c r="E318" s="14"/>
      <c r="F318" s="14"/>
      <c r="G318" s="7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7"/>
      <c r="Z318" s="9"/>
      <c r="AA318" s="14"/>
      <c r="AB318" s="14"/>
      <c r="AC318" s="14"/>
      <c r="AD318" s="9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x14ac:dyDescent="0.25">
      <c r="A319" s="14"/>
      <c r="B319" s="14"/>
      <c r="C319" s="14"/>
      <c r="D319" s="14"/>
      <c r="E319" s="14"/>
      <c r="F319" s="14"/>
      <c r="G319" s="7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7"/>
      <c r="Z319" s="9"/>
      <c r="AA319" s="14"/>
      <c r="AB319" s="14"/>
      <c r="AC319" s="14"/>
      <c r="AD319" s="9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x14ac:dyDescent="0.25">
      <c r="A320" s="14"/>
      <c r="B320" s="14"/>
      <c r="C320" s="14"/>
      <c r="D320" s="14"/>
      <c r="E320" s="14"/>
      <c r="F320" s="14"/>
      <c r="G320" s="7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7"/>
      <c r="Z320" s="9"/>
      <c r="AA320" s="14"/>
      <c r="AB320" s="14"/>
      <c r="AC320" s="14"/>
      <c r="AD320" s="9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x14ac:dyDescent="0.25">
      <c r="A321" s="14"/>
      <c r="B321" s="14"/>
      <c r="C321" s="14"/>
      <c r="D321" s="14"/>
      <c r="E321" s="14"/>
      <c r="F321" s="14"/>
      <c r="G321" s="7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7"/>
      <c r="Z321" s="9"/>
      <c r="AA321" s="14"/>
      <c r="AB321" s="14"/>
      <c r="AC321" s="14"/>
      <c r="AD321" s="9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x14ac:dyDescent="0.25">
      <c r="A322" s="14"/>
      <c r="B322" s="14"/>
      <c r="C322" s="14"/>
      <c r="D322" s="14"/>
      <c r="E322" s="14"/>
      <c r="F322" s="14"/>
      <c r="G322" s="7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7"/>
      <c r="Z322" s="9"/>
      <c r="AA322" s="14"/>
      <c r="AB322" s="14"/>
      <c r="AC322" s="14"/>
      <c r="AD322" s="9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x14ac:dyDescent="0.25">
      <c r="A323" s="14"/>
      <c r="B323" s="14"/>
      <c r="C323" s="14"/>
      <c r="D323" s="14"/>
      <c r="E323" s="14"/>
      <c r="F323" s="14"/>
      <c r="G323" s="7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7"/>
      <c r="Z323" s="9"/>
      <c r="AA323" s="14"/>
      <c r="AB323" s="14"/>
      <c r="AC323" s="14"/>
      <c r="AD323" s="9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x14ac:dyDescent="0.25">
      <c r="A324" s="14"/>
      <c r="B324" s="14"/>
      <c r="C324" s="14"/>
      <c r="D324" s="14"/>
      <c r="E324" s="14"/>
      <c r="F324" s="14"/>
      <c r="G324" s="7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7"/>
      <c r="Z324" s="9"/>
      <c r="AA324" s="14"/>
      <c r="AB324" s="14"/>
      <c r="AC324" s="14"/>
      <c r="AD324" s="9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x14ac:dyDescent="0.25">
      <c r="A325" s="14"/>
      <c r="B325" s="14"/>
      <c r="C325" s="14"/>
      <c r="D325" s="14"/>
      <c r="E325" s="14"/>
      <c r="F325" s="14"/>
      <c r="G325" s="7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7"/>
      <c r="Z325" s="9"/>
      <c r="AA325" s="14"/>
      <c r="AB325" s="14"/>
      <c r="AC325" s="14"/>
      <c r="AD325" s="9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x14ac:dyDescent="0.25">
      <c r="A326" s="14"/>
      <c r="B326" s="14"/>
      <c r="C326" s="14"/>
      <c r="D326" s="14"/>
      <c r="E326" s="14"/>
      <c r="F326" s="14"/>
      <c r="G326" s="7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7"/>
      <c r="Z326" s="9"/>
      <c r="AA326" s="14"/>
      <c r="AB326" s="14"/>
      <c r="AC326" s="14"/>
      <c r="AD326" s="9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x14ac:dyDescent="0.25">
      <c r="A327" s="14"/>
      <c r="B327" s="14"/>
      <c r="C327" s="14"/>
      <c r="D327" s="14"/>
      <c r="E327" s="14"/>
      <c r="F327" s="14"/>
      <c r="G327" s="7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7"/>
      <c r="Z327" s="9"/>
      <c r="AA327" s="14"/>
      <c r="AB327" s="14"/>
      <c r="AC327" s="14"/>
      <c r="AD327" s="9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x14ac:dyDescent="0.25">
      <c r="A328" s="14"/>
      <c r="B328" s="14"/>
      <c r="C328" s="14"/>
      <c r="D328" s="14"/>
      <c r="E328" s="14"/>
      <c r="F328" s="14"/>
      <c r="G328" s="7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7"/>
      <c r="Z328" s="9"/>
      <c r="AA328" s="14"/>
      <c r="AB328" s="14"/>
      <c r="AC328" s="14"/>
      <c r="AD328" s="9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x14ac:dyDescent="0.25">
      <c r="A329" s="14"/>
      <c r="B329" s="14"/>
      <c r="C329" s="14"/>
      <c r="D329" s="14"/>
      <c r="E329" s="14"/>
      <c r="F329" s="14"/>
      <c r="G329" s="7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7"/>
      <c r="Z329" s="9"/>
      <c r="AA329" s="14"/>
      <c r="AB329" s="14"/>
      <c r="AC329" s="14"/>
      <c r="AD329" s="9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x14ac:dyDescent="0.25">
      <c r="A330" s="14"/>
      <c r="B330" s="14"/>
      <c r="C330" s="14"/>
      <c r="D330" s="14"/>
      <c r="E330" s="14"/>
      <c r="F330" s="14"/>
      <c r="G330" s="7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7"/>
      <c r="Z330" s="9"/>
      <c r="AA330" s="14"/>
      <c r="AB330" s="14"/>
      <c r="AC330" s="14"/>
      <c r="AD330" s="9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x14ac:dyDescent="0.25">
      <c r="A331" s="14"/>
      <c r="B331" s="14"/>
      <c r="C331" s="14"/>
      <c r="D331" s="14"/>
      <c r="E331" s="14"/>
      <c r="F331" s="14"/>
      <c r="G331" s="7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7"/>
      <c r="Z331" s="9"/>
      <c r="AA331" s="14"/>
      <c r="AB331" s="14"/>
      <c r="AC331" s="14"/>
      <c r="AD331" s="9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x14ac:dyDescent="0.25">
      <c r="A332" s="14"/>
      <c r="B332" s="14"/>
      <c r="C332" s="14"/>
      <c r="D332" s="14"/>
      <c r="E332" s="14"/>
      <c r="F332" s="14"/>
      <c r="G332" s="7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7"/>
      <c r="Z332" s="9"/>
      <c r="AA332" s="14"/>
      <c r="AB332" s="14"/>
      <c r="AC332" s="14"/>
      <c r="AD332" s="9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x14ac:dyDescent="0.25">
      <c r="A333" s="14"/>
      <c r="B333" s="14"/>
      <c r="C333" s="14"/>
      <c r="D333" s="14"/>
      <c r="E333" s="14"/>
      <c r="F333" s="14"/>
      <c r="G333" s="7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7"/>
      <c r="Z333" s="9"/>
      <c r="AA333" s="14"/>
      <c r="AB333" s="14"/>
      <c r="AC333" s="14"/>
      <c r="AD333" s="9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x14ac:dyDescent="0.25">
      <c r="A334" s="14"/>
      <c r="B334" s="14"/>
      <c r="C334" s="14"/>
      <c r="D334" s="14"/>
      <c r="E334" s="14"/>
      <c r="F334" s="14"/>
      <c r="G334" s="7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7"/>
      <c r="Z334" s="9"/>
      <c r="AA334" s="14"/>
      <c r="AB334" s="14"/>
      <c r="AC334" s="14"/>
      <c r="AD334" s="9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x14ac:dyDescent="0.25">
      <c r="A335" s="14"/>
      <c r="B335" s="14"/>
      <c r="C335" s="14"/>
      <c r="D335" s="14"/>
      <c r="E335" s="14"/>
      <c r="F335" s="14"/>
      <c r="G335" s="7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7"/>
      <c r="Z335" s="9"/>
      <c r="AA335" s="14"/>
      <c r="AB335" s="14"/>
      <c r="AC335" s="14"/>
      <c r="AD335" s="9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x14ac:dyDescent="0.25">
      <c r="A336" s="14"/>
      <c r="B336" s="14"/>
      <c r="C336" s="14"/>
      <c r="D336" s="14"/>
      <c r="E336" s="14"/>
      <c r="F336" s="14"/>
      <c r="G336" s="7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7"/>
      <c r="Z336" s="9"/>
      <c r="AA336" s="14"/>
      <c r="AB336" s="14"/>
      <c r="AC336" s="14"/>
      <c r="AD336" s="9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x14ac:dyDescent="0.25">
      <c r="A337" s="14"/>
      <c r="B337" s="14"/>
      <c r="C337" s="14"/>
      <c r="D337" s="14"/>
      <c r="E337" s="14"/>
      <c r="F337" s="14"/>
      <c r="G337" s="7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7"/>
      <c r="Z337" s="9"/>
      <c r="AA337" s="14"/>
      <c r="AB337" s="14"/>
      <c r="AC337" s="14"/>
      <c r="AD337" s="9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x14ac:dyDescent="0.25">
      <c r="A338" s="14"/>
      <c r="B338" s="14"/>
      <c r="C338" s="14"/>
      <c r="D338" s="14"/>
      <c r="E338" s="14"/>
      <c r="F338" s="14"/>
      <c r="G338" s="7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7"/>
      <c r="Z338" s="9"/>
      <c r="AA338" s="14"/>
      <c r="AB338" s="14"/>
      <c r="AC338" s="14"/>
      <c r="AD338" s="9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x14ac:dyDescent="0.25">
      <c r="A339" s="14"/>
      <c r="B339" s="14"/>
      <c r="C339" s="14"/>
      <c r="D339" s="14"/>
      <c r="E339" s="14"/>
      <c r="F339" s="14"/>
      <c r="G339" s="7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7"/>
      <c r="Z339" s="9"/>
      <c r="AA339" s="14"/>
      <c r="AB339" s="14"/>
      <c r="AC339" s="14"/>
      <c r="AD339" s="9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x14ac:dyDescent="0.25">
      <c r="A340" s="14"/>
      <c r="B340" s="14"/>
      <c r="C340" s="14"/>
      <c r="D340" s="14"/>
      <c r="E340" s="14"/>
      <c r="F340" s="14"/>
      <c r="G340" s="7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7"/>
      <c r="Z340" s="9"/>
      <c r="AA340" s="14"/>
      <c r="AB340" s="14"/>
      <c r="AC340" s="14"/>
      <c r="AD340" s="9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x14ac:dyDescent="0.25">
      <c r="A341" s="14"/>
      <c r="B341" s="14"/>
      <c r="C341" s="14"/>
      <c r="D341" s="14"/>
      <c r="E341" s="14"/>
      <c r="F341" s="14"/>
      <c r="G341" s="7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7"/>
      <c r="Z341" s="9"/>
      <c r="AA341" s="14"/>
      <c r="AB341" s="14"/>
      <c r="AC341" s="14"/>
      <c r="AD341" s="9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x14ac:dyDescent="0.25">
      <c r="A342" s="14"/>
      <c r="B342" s="14"/>
      <c r="C342" s="14"/>
      <c r="D342" s="14"/>
      <c r="E342" s="14"/>
      <c r="F342" s="14"/>
      <c r="G342" s="7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7"/>
      <c r="Z342" s="9"/>
      <c r="AA342" s="14"/>
      <c r="AB342" s="14"/>
      <c r="AC342" s="14"/>
      <c r="AD342" s="9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x14ac:dyDescent="0.25">
      <c r="A343" s="14"/>
      <c r="B343" s="14"/>
      <c r="C343" s="14"/>
      <c r="D343" s="14"/>
      <c r="E343" s="14"/>
      <c r="F343" s="14"/>
      <c r="G343" s="7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7"/>
      <c r="Z343" s="9"/>
      <c r="AA343" s="14"/>
      <c r="AB343" s="14"/>
      <c r="AC343" s="14"/>
      <c r="AD343" s="9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x14ac:dyDescent="0.25">
      <c r="A344" s="14"/>
      <c r="B344" s="14"/>
      <c r="C344" s="14"/>
      <c r="D344" s="14"/>
      <c r="E344" s="14"/>
      <c r="F344" s="14"/>
      <c r="G344" s="7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7"/>
      <c r="Z344" s="9"/>
      <c r="AA344" s="14"/>
      <c r="AB344" s="14"/>
      <c r="AC344" s="14"/>
      <c r="AD344" s="9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x14ac:dyDescent="0.25">
      <c r="A345" s="14"/>
      <c r="B345" s="14"/>
      <c r="C345" s="14"/>
      <c r="D345" s="14"/>
      <c r="E345" s="14"/>
      <c r="F345" s="14"/>
      <c r="G345" s="7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7"/>
      <c r="Z345" s="9"/>
      <c r="AA345" s="14"/>
      <c r="AB345" s="14"/>
      <c r="AC345" s="14"/>
      <c r="AD345" s="9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x14ac:dyDescent="0.25">
      <c r="A346" s="14"/>
      <c r="B346" s="14"/>
      <c r="C346" s="14"/>
      <c r="D346" s="14"/>
      <c r="E346" s="14"/>
      <c r="F346" s="14"/>
      <c r="G346" s="7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7"/>
      <c r="Z346" s="9"/>
      <c r="AA346" s="14"/>
      <c r="AB346" s="14"/>
      <c r="AC346" s="14"/>
      <c r="AD346" s="9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x14ac:dyDescent="0.25">
      <c r="A347" s="14"/>
      <c r="B347" s="14"/>
      <c r="C347" s="14"/>
      <c r="D347" s="14"/>
      <c r="E347" s="14"/>
      <c r="F347" s="14"/>
      <c r="G347" s="7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7"/>
      <c r="Z347" s="9"/>
      <c r="AA347" s="14"/>
      <c r="AB347" s="14"/>
      <c r="AC347" s="14"/>
      <c r="AD347" s="9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x14ac:dyDescent="0.25">
      <c r="A348" s="14"/>
      <c r="B348" s="14"/>
      <c r="C348" s="14"/>
      <c r="D348" s="14"/>
      <c r="E348" s="14"/>
      <c r="F348" s="14"/>
      <c r="G348" s="7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7"/>
      <c r="Z348" s="9"/>
      <c r="AA348" s="14"/>
      <c r="AB348" s="14"/>
      <c r="AC348" s="14"/>
      <c r="AD348" s="9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x14ac:dyDescent="0.25">
      <c r="A349" s="14"/>
      <c r="B349" s="14"/>
      <c r="C349" s="14"/>
      <c r="D349" s="14"/>
      <c r="E349" s="14"/>
      <c r="F349" s="14"/>
      <c r="G349" s="7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7"/>
      <c r="Z349" s="9"/>
      <c r="AA349" s="14"/>
      <c r="AB349" s="14"/>
      <c r="AC349" s="14"/>
      <c r="AD349" s="9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x14ac:dyDescent="0.25">
      <c r="A350" s="14"/>
      <c r="B350" s="14"/>
      <c r="C350" s="14"/>
      <c r="D350" s="14"/>
      <c r="E350" s="14"/>
      <c r="F350" s="14"/>
      <c r="G350" s="7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7"/>
      <c r="Z350" s="9"/>
      <c r="AA350" s="14"/>
      <c r="AB350" s="14"/>
      <c r="AC350" s="14"/>
      <c r="AD350" s="9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x14ac:dyDescent="0.25">
      <c r="A351" s="14"/>
      <c r="B351" s="14"/>
      <c r="C351" s="14"/>
      <c r="D351" s="14"/>
      <c r="E351" s="14"/>
      <c r="F351" s="14"/>
      <c r="G351" s="7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7"/>
      <c r="Z351" s="9"/>
      <c r="AA351" s="14"/>
      <c r="AB351" s="14"/>
      <c r="AC351" s="14"/>
      <c r="AD351" s="9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x14ac:dyDescent="0.25">
      <c r="A352" s="14"/>
      <c r="B352" s="14"/>
      <c r="C352" s="14"/>
      <c r="D352" s="14"/>
      <c r="E352" s="14"/>
      <c r="F352" s="14"/>
      <c r="G352" s="7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7"/>
      <c r="Z352" s="9"/>
      <c r="AA352" s="14"/>
      <c r="AB352" s="14"/>
      <c r="AC352" s="14"/>
      <c r="AD352" s="9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x14ac:dyDescent="0.25">
      <c r="A353" s="14"/>
      <c r="B353" s="14"/>
      <c r="C353" s="14"/>
      <c r="D353" s="14"/>
      <c r="E353" s="14"/>
      <c r="F353" s="14"/>
      <c r="G353" s="7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7"/>
      <c r="Z353" s="9"/>
      <c r="AA353" s="14"/>
      <c r="AB353" s="14"/>
      <c r="AC353" s="14"/>
      <c r="AD353" s="9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x14ac:dyDescent="0.25">
      <c r="A354" s="14"/>
      <c r="B354" s="14"/>
      <c r="C354" s="14"/>
      <c r="D354" s="14"/>
      <c r="E354" s="14"/>
      <c r="F354" s="14"/>
      <c r="G354" s="7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7"/>
      <c r="Z354" s="9"/>
      <c r="AA354" s="14"/>
      <c r="AB354" s="14"/>
      <c r="AC354" s="14"/>
      <c r="AD354" s="9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x14ac:dyDescent="0.25">
      <c r="A355" s="14"/>
      <c r="B355" s="14"/>
      <c r="C355" s="14"/>
      <c r="D355" s="14"/>
      <c r="E355" s="14"/>
      <c r="F355" s="14"/>
      <c r="G355" s="7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7"/>
      <c r="Z355" s="9"/>
      <c r="AA355" s="14"/>
      <c r="AB355" s="14"/>
      <c r="AC355" s="14"/>
      <c r="AD355" s="9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 spans="1:40" x14ac:dyDescent="0.25">
      <c r="A356" s="14"/>
      <c r="B356" s="14"/>
      <c r="C356" s="14"/>
      <c r="D356" s="14"/>
      <c r="E356" s="14"/>
      <c r="F356" s="14"/>
      <c r="G356" s="7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7"/>
      <c r="Z356" s="9"/>
      <c r="AA356" s="14"/>
      <c r="AB356" s="14"/>
      <c r="AC356" s="14"/>
      <c r="AD356" s="9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 spans="1:40" x14ac:dyDescent="0.25">
      <c r="A357" s="14"/>
      <c r="B357" s="14"/>
      <c r="C357" s="14"/>
      <c r="D357" s="14"/>
      <c r="E357" s="14"/>
      <c r="F357" s="14"/>
      <c r="G357" s="7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7"/>
      <c r="Z357" s="9"/>
      <c r="AA357" s="14"/>
      <c r="AB357" s="14"/>
      <c r="AC357" s="14"/>
      <c r="AD357" s="9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 spans="1:40" x14ac:dyDescent="0.25">
      <c r="A358" s="14"/>
      <c r="B358" s="14"/>
      <c r="C358" s="14"/>
      <c r="D358" s="14"/>
      <c r="E358" s="14"/>
      <c r="F358" s="14"/>
      <c r="G358" s="7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7"/>
      <c r="Z358" s="9"/>
      <c r="AA358" s="14"/>
      <c r="AB358" s="14"/>
      <c r="AC358" s="14"/>
      <c r="AD358" s="9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 spans="1:40" x14ac:dyDescent="0.25">
      <c r="A359" s="14"/>
      <c r="B359" s="14"/>
      <c r="C359" s="14"/>
      <c r="D359" s="14"/>
      <c r="E359" s="14"/>
      <c r="F359" s="14"/>
      <c r="G359" s="7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7"/>
      <c r="Z359" s="9"/>
      <c r="AA359" s="14"/>
      <c r="AB359" s="14"/>
      <c r="AC359" s="14"/>
      <c r="AD359" s="9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 spans="1:40" x14ac:dyDescent="0.25">
      <c r="A360" s="14"/>
      <c r="B360" s="14"/>
      <c r="C360" s="14"/>
      <c r="D360" s="14"/>
      <c r="E360" s="14"/>
      <c r="F360" s="14"/>
      <c r="G360" s="7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7"/>
      <c r="Z360" s="9"/>
      <c r="AA360" s="14"/>
      <c r="AB360" s="14"/>
      <c r="AC360" s="14"/>
      <c r="AD360" s="9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 spans="1:40" x14ac:dyDescent="0.25">
      <c r="A361" s="14"/>
      <c r="B361" s="14"/>
      <c r="C361" s="14"/>
      <c r="D361" s="14"/>
      <c r="E361" s="14"/>
      <c r="F361" s="14"/>
      <c r="G361" s="7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7"/>
      <c r="Z361" s="9"/>
      <c r="AA361" s="14"/>
      <c r="AB361" s="14"/>
      <c r="AC361" s="14"/>
      <c r="AD361" s="9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 spans="1:40" x14ac:dyDescent="0.25">
      <c r="A362" s="14"/>
      <c r="B362" s="14"/>
      <c r="C362" s="14"/>
      <c r="D362" s="14"/>
      <c r="E362" s="14"/>
      <c r="F362" s="14"/>
      <c r="G362" s="7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7"/>
      <c r="Z362" s="9"/>
      <c r="AA362" s="14"/>
      <c r="AB362" s="14"/>
      <c r="AC362" s="14"/>
      <c r="AD362" s="9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 spans="1:40" x14ac:dyDescent="0.25">
      <c r="A363" s="14"/>
      <c r="B363" s="14"/>
      <c r="C363" s="14"/>
      <c r="D363" s="14"/>
      <c r="E363" s="14"/>
      <c r="F363" s="14"/>
      <c r="G363" s="7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7"/>
      <c r="Z363" s="9"/>
      <c r="AA363" s="14"/>
      <c r="AB363" s="14"/>
      <c r="AC363" s="14"/>
      <c r="AD363" s="9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 spans="1:40" x14ac:dyDescent="0.25">
      <c r="A364" s="14"/>
      <c r="B364" s="14"/>
      <c r="C364" s="14"/>
      <c r="D364" s="14"/>
      <c r="E364" s="14"/>
      <c r="F364" s="14"/>
      <c r="G364" s="7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7"/>
      <c r="Z364" s="9"/>
      <c r="AA364" s="14"/>
      <c r="AB364" s="14"/>
      <c r="AC364" s="14"/>
      <c r="AD364" s="9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 spans="1:40" x14ac:dyDescent="0.25">
      <c r="A365" s="14"/>
      <c r="B365" s="14"/>
      <c r="C365" s="14"/>
      <c r="D365" s="14"/>
      <c r="E365" s="14"/>
      <c r="F365" s="14"/>
      <c r="G365" s="7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7"/>
      <c r="Z365" s="9"/>
      <c r="AA365" s="14"/>
      <c r="AB365" s="14"/>
      <c r="AC365" s="14"/>
      <c r="AD365" s="9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 spans="1:40" x14ac:dyDescent="0.25">
      <c r="A366" s="14"/>
      <c r="B366" s="14"/>
      <c r="C366" s="14"/>
      <c r="D366" s="14"/>
      <c r="E366" s="14"/>
      <c r="F366" s="14"/>
      <c r="G366" s="7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7"/>
      <c r="Z366" s="9"/>
      <c r="AA366" s="14"/>
      <c r="AB366" s="14"/>
      <c r="AC366" s="14"/>
      <c r="AD366" s="9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 spans="1:40" x14ac:dyDescent="0.25">
      <c r="A367" s="14"/>
      <c r="B367" s="14"/>
      <c r="C367" s="14"/>
      <c r="D367" s="14"/>
      <c r="E367" s="14"/>
      <c r="F367" s="14"/>
      <c r="G367" s="7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7"/>
      <c r="Z367" s="9"/>
      <c r="AA367" s="14"/>
      <c r="AB367" s="14"/>
      <c r="AC367" s="14"/>
      <c r="AD367" s="9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 spans="1:40" x14ac:dyDescent="0.25">
      <c r="A368" s="14"/>
      <c r="B368" s="14"/>
      <c r="C368" s="14"/>
      <c r="D368" s="14"/>
      <c r="E368" s="14"/>
      <c r="F368" s="14"/>
      <c r="G368" s="7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7"/>
      <c r="Z368" s="9"/>
      <c r="AA368" s="14"/>
      <c r="AB368" s="14"/>
      <c r="AC368" s="14"/>
      <c r="AD368" s="9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 spans="1:40" x14ac:dyDescent="0.25">
      <c r="A369" s="14"/>
      <c r="B369" s="14"/>
      <c r="C369" s="14"/>
      <c r="D369" s="14"/>
      <c r="E369" s="14"/>
      <c r="F369" s="14"/>
      <c r="G369" s="7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7"/>
      <c r="Z369" s="9"/>
      <c r="AA369" s="14"/>
      <c r="AB369" s="14"/>
      <c r="AC369" s="14"/>
      <c r="AD369" s="9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1:40" x14ac:dyDescent="0.25">
      <c r="A370" s="14"/>
      <c r="B370" s="14"/>
      <c r="C370" s="14"/>
      <c r="D370" s="14"/>
      <c r="E370" s="14"/>
      <c r="F370" s="14"/>
      <c r="G370" s="7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7"/>
      <c r="Z370" s="9"/>
      <c r="AA370" s="14"/>
      <c r="AB370" s="14"/>
      <c r="AC370" s="14"/>
      <c r="AD370" s="9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1:40" x14ac:dyDescent="0.25">
      <c r="A371" s="14"/>
      <c r="B371" s="14"/>
      <c r="C371" s="14"/>
      <c r="D371" s="14"/>
      <c r="E371" s="14"/>
      <c r="F371" s="14"/>
      <c r="G371" s="7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7"/>
      <c r="Z371" s="9"/>
      <c r="AA371" s="14"/>
      <c r="AB371" s="14"/>
      <c r="AC371" s="14"/>
      <c r="AD371" s="9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1:40" x14ac:dyDescent="0.25">
      <c r="A372" s="14"/>
      <c r="B372" s="14"/>
      <c r="C372" s="14"/>
      <c r="D372" s="14"/>
      <c r="E372" s="14"/>
      <c r="F372" s="14"/>
      <c r="G372" s="7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7"/>
      <c r="Z372" s="9"/>
      <c r="AA372" s="14"/>
      <c r="AB372" s="14"/>
      <c r="AC372" s="14"/>
      <c r="AD372" s="9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1:40" x14ac:dyDescent="0.25">
      <c r="A373" s="14"/>
      <c r="B373" s="14"/>
      <c r="C373" s="14"/>
      <c r="D373" s="14"/>
      <c r="E373" s="14"/>
      <c r="F373" s="14"/>
      <c r="G373" s="7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7"/>
      <c r="Z373" s="9"/>
      <c r="AA373" s="14"/>
      <c r="AB373" s="14"/>
      <c r="AC373" s="14"/>
      <c r="AD373" s="9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1:40" x14ac:dyDescent="0.25">
      <c r="A374" s="14"/>
      <c r="B374" s="14"/>
      <c r="C374" s="14"/>
      <c r="D374" s="14"/>
      <c r="E374" s="14"/>
      <c r="F374" s="14"/>
      <c r="G374" s="7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7"/>
      <c r="Z374" s="9"/>
      <c r="AA374" s="14"/>
      <c r="AB374" s="14"/>
      <c r="AC374" s="14"/>
      <c r="AD374" s="9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1:40" x14ac:dyDescent="0.25">
      <c r="A375" s="14"/>
      <c r="B375" s="14"/>
      <c r="C375" s="14"/>
      <c r="D375" s="14"/>
      <c r="E375" s="14"/>
      <c r="F375" s="14"/>
      <c r="G375" s="7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7"/>
      <c r="Z375" s="9"/>
      <c r="AA375" s="14"/>
      <c r="AB375" s="14"/>
      <c r="AC375" s="14"/>
      <c r="AD375" s="9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1:40" x14ac:dyDescent="0.25">
      <c r="A376" s="14"/>
      <c r="B376" s="14"/>
      <c r="C376" s="14"/>
      <c r="D376" s="14"/>
      <c r="E376" s="14"/>
      <c r="F376" s="14"/>
      <c r="G376" s="7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7"/>
      <c r="Z376" s="9"/>
      <c r="AA376" s="14"/>
      <c r="AB376" s="14"/>
      <c r="AC376" s="14"/>
      <c r="AD376" s="9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1:40" x14ac:dyDescent="0.25">
      <c r="A377" s="14"/>
      <c r="B377" s="14"/>
      <c r="C377" s="14"/>
      <c r="D377" s="14"/>
      <c r="E377" s="14"/>
      <c r="F377" s="14"/>
      <c r="G377" s="7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7"/>
      <c r="Z377" s="9"/>
      <c r="AA377" s="14"/>
      <c r="AB377" s="14"/>
      <c r="AC377" s="14"/>
      <c r="AD377" s="9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1:40" x14ac:dyDescent="0.25">
      <c r="A378" s="14"/>
      <c r="B378" s="14"/>
      <c r="C378" s="14"/>
      <c r="D378" s="14"/>
      <c r="E378" s="14"/>
      <c r="F378" s="14"/>
      <c r="G378" s="7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7"/>
      <c r="Z378" s="9"/>
      <c r="AA378" s="14"/>
      <c r="AB378" s="14"/>
      <c r="AC378" s="14"/>
      <c r="AD378" s="9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1:40" x14ac:dyDescent="0.25">
      <c r="A379" s="14"/>
      <c r="B379" s="14"/>
      <c r="C379" s="14"/>
      <c r="D379" s="14"/>
      <c r="E379" s="14"/>
      <c r="F379" s="14"/>
      <c r="G379" s="7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7"/>
      <c r="Z379" s="9"/>
      <c r="AA379" s="14"/>
      <c r="AB379" s="14"/>
      <c r="AC379" s="14"/>
      <c r="AD379" s="9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1:40" x14ac:dyDescent="0.25">
      <c r="A380" s="14"/>
      <c r="B380" s="14"/>
      <c r="C380" s="14"/>
      <c r="D380" s="14"/>
      <c r="E380" s="14"/>
      <c r="F380" s="14"/>
      <c r="G380" s="7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7"/>
      <c r="Z380" s="9"/>
      <c r="AA380" s="14"/>
      <c r="AB380" s="14"/>
      <c r="AC380" s="14"/>
      <c r="AD380" s="9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1:40" x14ac:dyDescent="0.25">
      <c r="A381" s="14"/>
      <c r="B381" s="14"/>
      <c r="C381" s="14"/>
      <c r="D381" s="14"/>
      <c r="E381" s="14"/>
      <c r="F381" s="14"/>
      <c r="G381" s="7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7"/>
      <c r="Z381" s="9"/>
      <c r="AA381" s="14"/>
      <c r="AB381" s="14"/>
      <c r="AC381" s="14"/>
      <c r="AD381" s="9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1:40" x14ac:dyDescent="0.25">
      <c r="A382" s="14"/>
      <c r="B382" s="14"/>
      <c r="C382" s="14"/>
      <c r="D382" s="14"/>
      <c r="E382" s="14"/>
      <c r="F382" s="14"/>
      <c r="G382" s="7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7"/>
      <c r="Z382" s="9"/>
      <c r="AA382" s="14"/>
      <c r="AB382" s="14"/>
      <c r="AC382" s="14"/>
      <c r="AD382" s="9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1:40" x14ac:dyDescent="0.25">
      <c r="A383" s="14"/>
      <c r="B383" s="14"/>
      <c r="C383" s="14"/>
      <c r="D383" s="14"/>
      <c r="E383" s="14"/>
      <c r="F383" s="14"/>
      <c r="G383" s="7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7"/>
      <c r="Z383" s="9"/>
      <c r="AA383" s="14"/>
      <c r="AB383" s="14"/>
      <c r="AC383" s="14"/>
      <c r="AD383" s="9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1:40" x14ac:dyDescent="0.25">
      <c r="A384" s="14"/>
      <c r="B384" s="14"/>
      <c r="C384" s="14"/>
      <c r="D384" s="14"/>
      <c r="E384" s="14"/>
      <c r="F384" s="14"/>
      <c r="G384" s="7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7"/>
      <c r="Z384" s="9"/>
      <c r="AA384" s="14"/>
      <c r="AB384" s="14"/>
      <c r="AC384" s="14"/>
      <c r="AD384" s="9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1:40" x14ac:dyDescent="0.25">
      <c r="A385" s="14"/>
      <c r="B385" s="14"/>
      <c r="C385" s="14"/>
      <c r="D385" s="14"/>
      <c r="E385" s="14"/>
      <c r="F385" s="14"/>
      <c r="G385" s="7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7"/>
      <c r="Z385" s="9"/>
      <c r="AA385" s="14"/>
      <c r="AB385" s="14"/>
      <c r="AC385" s="14"/>
      <c r="AD385" s="9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1:40" x14ac:dyDescent="0.25">
      <c r="A386" s="14"/>
      <c r="B386" s="14"/>
      <c r="C386" s="14"/>
      <c r="D386" s="14"/>
      <c r="E386" s="14"/>
      <c r="F386" s="14"/>
      <c r="G386" s="7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7"/>
      <c r="Z386" s="9"/>
      <c r="AA386" s="14"/>
      <c r="AB386" s="14"/>
      <c r="AC386" s="14"/>
      <c r="AD386" s="9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1:40" x14ac:dyDescent="0.25">
      <c r="A387" s="14"/>
      <c r="B387" s="14"/>
      <c r="C387" s="14"/>
      <c r="D387" s="14"/>
      <c r="E387" s="14"/>
      <c r="F387" s="14"/>
      <c r="G387" s="7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7"/>
      <c r="Z387" s="9"/>
      <c r="AA387" s="14"/>
      <c r="AB387" s="14"/>
      <c r="AC387" s="14"/>
      <c r="AD387" s="9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1:40" x14ac:dyDescent="0.25">
      <c r="A388" s="14"/>
      <c r="B388" s="14"/>
      <c r="C388" s="14"/>
      <c r="D388" s="14"/>
      <c r="E388" s="14"/>
      <c r="F388" s="14"/>
      <c r="G388" s="7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7"/>
      <c r="Z388" s="9"/>
      <c r="AA388" s="14"/>
      <c r="AB388" s="14"/>
      <c r="AC388" s="14"/>
      <c r="AD388" s="9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1:40" x14ac:dyDescent="0.25">
      <c r="A389" s="14"/>
      <c r="B389" s="14"/>
      <c r="C389" s="14"/>
      <c r="D389" s="14"/>
      <c r="E389" s="14"/>
      <c r="F389" s="14"/>
      <c r="G389" s="7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7"/>
      <c r="Z389" s="9"/>
      <c r="AA389" s="14"/>
      <c r="AB389" s="14"/>
      <c r="AC389" s="14"/>
      <c r="AD389" s="9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1:40" x14ac:dyDescent="0.25">
      <c r="A390" s="14"/>
      <c r="B390" s="14"/>
      <c r="C390" s="14"/>
      <c r="D390" s="14"/>
      <c r="E390" s="14"/>
      <c r="F390" s="14"/>
      <c r="G390" s="7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7"/>
      <c r="Z390" s="9"/>
      <c r="AA390" s="14"/>
      <c r="AB390" s="14"/>
      <c r="AC390" s="14"/>
      <c r="AD390" s="9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1:40" x14ac:dyDescent="0.25">
      <c r="A391" s="14"/>
      <c r="B391" s="14"/>
      <c r="C391" s="14"/>
      <c r="D391" s="14"/>
      <c r="E391" s="14"/>
      <c r="F391" s="14"/>
      <c r="G391" s="7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7"/>
      <c r="Z391" s="9"/>
      <c r="AA391" s="14"/>
      <c r="AB391" s="14"/>
      <c r="AC391" s="14"/>
      <c r="AD391" s="9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1:40" x14ac:dyDescent="0.25">
      <c r="A392" s="14"/>
      <c r="B392" s="14"/>
      <c r="C392" s="14"/>
      <c r="D392" s="14"/>
      <c r="E392" s="14"/>
      <c r="F392" s="14"/>
      <c r="G392" s="7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7"/>
      <c r="Z392" s="9"/>
      <c r="AA392" s="14"/>
      <c r="AB392" s="14"/>
      <c r="AC392" s="14"/>
      <c r="AD392" s="9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1:40" x14ac:dyDescent="0.25">
      <c r="A393" s="14"/>
      <c r="B393" s="14"/>
      <c r="C393" s="14"/>
      <c r="D393" s="14"/>
      <c r="E393" s="14"/>
      <c r="F393" s="14"/>
      <c r="G393" s="7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7"/>
      <c r="Z393" s="9"/>
      <c r="AA393" s="14"/>
      <c r="AB393" s="14"/>
      <c r="AC393" s="14"/>
      <c r="AD393" s="9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1:40" x14ac:dyDescent="0.25">
      <c r="A394" s="14"/>
      <c r="B394" s="14"/>
      <c r="C394" s="14"/>
      <c r="D394" s="14"/>
      <c r="E394" s="14"/>
      <c r="F394" s="14"/>
      <c r="G394" s="7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7"/>
      <c r="Z394" s="9"/>
      <c r="AA394" s="14"/>
      <c r="AB394" s="14"/>
      <c r="AC394" s="14"/>
      <c r="AD394" s="9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1:40" x14ac:dyDescent="0.25">
      <c r="A395" s="14"/>
      <c r="B395" s="14"/>
      <c r="C395" s="14"/>
      <c r="D395" s="14"/>
      <c r="E395" s="14"/>
      <c r="F395" s="14"/>
      <c r="G395" s="7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7"/>
      <c r="Z395" s="9"/>
      <c r="AA395" s="14"/>
      <c r="AB395" s="14"/>
      <c r="AC395" s="14"/>
      <c r="AD395" s="9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1:40" x14ac:dyDescent="0.25">
      <c r="A396" s="14"/>
      <c r="B396" s="14"/>
      <c r="C396" s="14"/>
      <c r="D396" s="14"/>
      <c r="E396" s="14"/>
      <c r="F396" s="14"/>
      <c r="G396" s="7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7"/>
      <c r="Z396" s="9"/>
      <c r="AA396" s="14"/>
      <c r="AB396" s="14"/>
      <c r="AC396" s="14"/>
      <c r="AD396" s="9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1:40" x14ac:dyDescent="0.25">
      <c r="A397" s="14"/>
      <c r="B397" s="14"/>
      <c r="C397" s="14"/>
      <c r="D397" s="14"/>
      <c r="E397" s="14"/>
      <c r="F397" s="14"/>
      <c r="G397" s="7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7"/>
      <c r="Z397" s="9"/>
      <c r="AA397" s="14"/>
      <c r="AB397" s="14"/>
      <c r="AC397" s="14"/>
      <c r="AD397" s="9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1:40" x14ac:dyDescent="0.25">
      <c r="A398" s="14"/>
      <c r="B398" s="14"/>
      <c r="C398" s="14"/>
      <c r="D398" s="14"/>
      <c r="E398" s="14"/>
      <c r="F398" s="14"/>
      <c r="G398" s="7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7"/>
      <c r="Z398" s="9"/>
      <c r="AA398" s="14"/>
      <c r="AB398" s="14"/>
      <c r="AC398" s="14"/>
      <c r="AD398" s="9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1:40" x14ac:dyDescent="0.25">
      <c r="A399" s="14"/>
      <c r="B399" s="14"/>
      <c r="C399" s="14"/>
      <c r="D399" s="14"/>
      <c r="E399" s="14"/>
      <c r="F399" s="14"/>
      <c r="G399" s="7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7"/>
      <c r="Z399" s="9"/>
      <c r="AA399" s="14"/>
      <c r="AB399" s="14"/>
      <c r="AC399" s="14"/>
      <c r="AD399" s="9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x14ac:dyDescent="0.25">
      <c r="A400" s="14"/>
      <c r="B400" s="14"/>
      <c r="C400" s="14"/>
      <c r="D400" s="14"/>
      <c r="E400" s="14"/>
      <c r="F400" s="14"/>
      <c r="G400" s="7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7"/>
      <c r="Z400" s="9"/>
      <c r="AA400" s="14"/>
      <c r="AB400" s="14"/>
      <c r="AC400" s="14"/>
      <c r="AD400" s="9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1:40" x14ac:dyDescent="0.25">
      <c r="A401" s="14"/>
      <c r="B401" s="14"/>
      <c r="C401" s="14"/>
      <c r="D401" s="14"/>
      <c r="E401" s="14"/>
      <c r="F401" s="14"/>
      <c r="G401" s="7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7"/>
      <c r="Z401" s="9"/>
      <c r="AA401" s="14"/>
      <c r="AB401" s="14"/>
      <c r="AC401" s="14"/>
      <c r="AD401" s="9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1:40" x14ac:dyDescent="0.25">
      <c r="A402" s="14"/>
      <c r="B402" s="14"/>
      <c r="C402" s="14"/>
      <c r="D402" s="14"/>
      <c r="E402" s="14"/>
      <c r="F402" s="14"/>
      <c r="G402" s="7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7"/>
      <c r="Z402" s="9"/>
      <c r="AA402" s="14"/>
      <c r="AB402" s="14"/>
      <c r="AC402" s="14"/>
      <c r="AD402" s="9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1:40" x14ac:dyDescent="0.25">
      <c r="A403" s="14"/>
      <c r="B403" s="14"/>
      <c r="C403" s="14"/>
      <c r="D403" s="14"/>
      <c r="E403" s="14"/>
      <c r="F403" s="14"/>
      <c r="G403" s="7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7"/>
      <c r="Z403" s="9"/>
      <c r="AA403" s="14"/>
      <c r="AB403" s="14"/>
      <c r="AC403" s="14"/>
      <c r="AD403" s="9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1:40" x14ac:dyDescent="0.25">
      <c r="A404" s="14"/>
      <c r="B404" s="14"/>
      <c r="C404" s="14"/>
      <c r="D404" s="14"/>
      <c r="E404" s="14"/>
      <c r="F404" s="14"/>
      <c r="G404" s="7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7"/>
      <c r="Z404" s="9"/>
      <c r="AA404" s="14"/>
      <c r="AB404" s="14"/>
      <c r="AC404" s="14"/>
      <c r="AD404" s="9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1:40" x14ac:dyDescent="0.25">
      <c r="A405" s="14"/>
      <c r="B405" s="14"/>
      <c r="C405" s="14"/>
      <c r="D405" s="14"/>
      <c r="E405" s="14"/>
      <c r="F405" s="14"/>
      <c r="G405" s="7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7"/>
      <c r="Z405" s="9"/>
      <c r="AA405" s="14"/>
      <c r="AB405" s="14"/>
      <c r="AC405" s="14"/>
      <c r="AD405" s="9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1:40" x14ac:dyDescent="0.25">
      <c r="A406" s="14"/>
      <c r="B406" s="14"/>
      <c r="C406" s="14"/>
      <c r="D406" s="14"/>
      <c r="E406" s="14"/>
      <c r="F406" s="14"/>
      <c r="G406" s="7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7"/>
      <c r="Z406" s="9"/>
      <c r="AA406" s="14"/>
      <c r="AB406" s="14"/>
      <c r="AC406" s="14"/>
      <c r="AD406" s="9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1:40" x14ac:dyDescent="0.25">
      <c r="A407" s="14"/>
      <c r="B407" s="14"/>
      <c r="C407" s="14"/>
      <c r="D407" s="14"/>
      <c r="E407" s="14"/>
      <c r="F407" s="14"/>
      <c r="G407" s="7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7"/>
      <c r="Z407" s="9"/>
      <c r="AA407" s="14"/>
      <c r="AB407" s="14"/>
      <c r="AC407" s="14"/>
      <c r="AD407" s="9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1:40" x14ac:dyDescent="0.25">
      <c r="A408" s="14"/>
      <c r="B408" s="14"/>
      <c r="C408" s="14"/>
      <c r="D408" s="14"/>
      <c r="E408" s="14"/>
      <c r="F408" s="14"/>
      <c r="G408" s="7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7"/>
      <c r="Z408" s="9"/>
      <c r="AA408" s="14"/>
      <c r="AB408" s="14"/>
      <c r="AC408" s="14"/>
      <c r="AD408" s="9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1:40" x14ac:dyDescent="0.25">
      <c r="A409" s="14"/>
      <c r="B409" s="14"/>
      <c r="C409" s="14"/>
      <c r="D409" s="14"/>
      <c r="E409" s="14"/>
      <c r="F409" s="14"/>
      <c r="G409" s="7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7"/>
      <c r="Z409" s="9"/>
      <c r="AA409" s="14"/>
      <c r="AB409" s="14"/>
      <c r="AC409" s="14"/>
      <c r="AD409" s="9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1:40" x14ac:dyDescent="0.25">
      <c r="A410" s="14"/>
      <c r="B410" s="14"/>
      <c r="C410" s="14"/>
      <c r="D410" s="14"/>
      <c r="E410" s="14"/>
      <c r="F410" s="14"/>
      <c r="G410" s="7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7"/>
      <c r="Z410" s="9"/>
      <c r="AA410" s="14"/>
      <c r="AB410" s="14"/>
      <c r="AC410" s="14"/>
      <c r="AD410" s="9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1:40" x14ac:dyDescent="0.25">
      <c r="A411" s="14"/>
      <c r="B411" s="14"/>
      <c r="C411" s="14"/>
      <c r="D411" s="14"/>
      <c r="E411" s="14"/>
      <c r="F411" s="14"/>
      <c r="G411" s="7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7"/>
      <c r="Z411" s="9"/>
      <c r="AA411" s="14"/>
      <c r="AB411" s="14"/>
      <c r="AC411" s="14"/>
      <c r="AD411" s="9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1:40" x14ac:dyDescent="0.25">
      <c r="A412" s="14"/>
      <c r="B412" s="14"/>
      <c r="C412" s="14"/>
      <c r="D412" s="14"/>
      <c r="E412" s="14"/>
      <c r="F412" s="14"/>
      <c r="G412" s="7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7"/>
      <c r="Z412" s="9"/>
      <c r="AA412" s="14"/>
      <c r="AB412" s="14"/>
      <c r="AC412" s="14"/>
      <c r="AD412" s="9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1:40" x14ac:dyDescent="0.25">
      <c r="A413" s="14"/>
      <c r="B413" s="14"/>
      <c r="C413" s="14"/>
      <c r="D413" s="14"/>
      <c r="E413" s="14"/>
      <c r="F413" s="14"/>
      <c r="G413" s="7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7"/>
      <c r="Z413" s="9"/>
      <c r="AA413" s="14"/>
      <c r="AB413" s="14"/>
      <c r="AC413" s="14"/>
      <c r="AD413" s="9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1:40" x14ac:dyDescent="0.25">
      <c r="A414" s="14"/>
      <c r="B414" s="14"/>
      <c r="C414" s="14"/>
      <c r="D414" s="14"/>
      <c r="E414" s="14"/>
      <c r="F414" s="14"/>
      <c r="G414" s="7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7"/>
      <c r="Z414" s="9"/>
      <c r="AA414" s="14"/>
      <c r="AB414" s="14"/>
      <c r="AC414" s="14"/>
      <c r="AD414" s="9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1:40" x14ac:dyDescent="0.25">
      <c r="A415" s="14"/>
      <c r="B415" s="14"/>
      <c r="C415" s="14"/>
      <c r="D415" s="14"/>
      <c r="E415" s="14"/>
      <c r="F415" s="14"/>
      <c r="G415" s="7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7"/>
      <c r="Z415" s="9"/>
      <c r="AA415" s="14"/>
      <c r="AB415" s="14"/>
      <c r="AC415" s="14"/>
      <c r="AD415" s="9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1:40" x14ac:dyDescent="0.25">
      <c r="A416" s="14"/>
      <c r="B416" s="14"/>
      <c r="C416" s="14"/>
      <c r="D416" s="14"/>
      <c r="E416" s="14"/>
      <c r="F416" s="14"/>
      <c r="G416" s="7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7"/>
      <c r="Z416" s="9"/>
      <c r="AA416" s="14"/>
      <c r="AB416" s="14"/>
      <c r="AC416" s="14"/>
      <c r="AD416" s="9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1:40" x14ac:dyDescent="0.25">
      <c r="A417" s="14"/>
      <c r="B417" s="14"/>
      <c r="C417" s="14"/>
      <c r="D417" s="14"/>
      <c r="E417" s="14"/>
      <c r="F417" s="14"/>
      <c r="G417" s="7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7"/>
      <c r="Z417" s="9"/>
      <c r="AA417" s="14"/>
      <c r="AB417" s="14"/>
      <c r="AC417" s="14"/>
      <c r="AD417" s="9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1:40" x14ac:dyDescent="0.25">
      <c r="A418" s="14"/>
      <c r="B418" s="14"/>
      <c r="C418" s="14"/>
      <c r="D418" s="14"/>
      <c r="E418" s="14"/>
      <c r="F418" s="14"/>
      <c r="G418" s="7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7"/>
      <c r="Z418" s="9"/>
      <c r="AA418" s="14"/>
      <c r="AB418" s="14"/>
      <c r="AC418" s="14"/>
      <c r="AD418" s="9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1:40" x14ac:dyDescent="0.25">
      <c r="A419" s="14"/>
      <c r="B419" s="14"/>
      <c r="C419" s="14"/>
      <c r="D419" s="14"/>
      <c r="E419" s="14"/>
      <c r="F419" s="14"/>
      <c r="G419" s="7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7"/>
      <c r="Z419" s="9"/>
      <c r="AA419" s="14"/>
      <c r="AB419" s="14"/>
      <c r="AC419" s="14"/>
      <c r="AD419" s="9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1:40" x14ac:dyDescent="0.25">
      <c r="A420" s="14"/>
      <c r="B420" s="14"/>
      <c r="C420" s="14"/>
      <c r="D420" s="14"/>
      <c r="E420" s="14"/>
      <c r="F420" s="14"/>
      <c r="G420" s="7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7"/>
      <c r="Z420" s="9"/>
      <c r="AA420" s="14"/>
      <c r="AB420" s="14"/>
      <c r="AC420" s="14"/>
      <c r="AD420" s="9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1:40" x14ac:dyDescent="0.25">
      <c r="A421" s="14"/>
      <c r="B421" s="14"/>
      <c r="C421" s="14"/>
      <c r="D421" s="14"/>
      <c r="E421" s="14"/>
      <c r="F421" s="14"/>
      <c r="G421" s="7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7"/>
      <c r="Z421" s="9"/>
      <c r="AA421" s="14"/>
      <c r="AB421" s="14"/>
      <c r="AC421" s="14"/>
      <c r="AD421" s="9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1:40" x14ac:dyDescent="0.25">
      <c r="A422" s="14"/>
      <c r="B422" s="14"/>
      <c r="C422" s="14"/>
      <c r="D422" s="14"/>
      <c r="E422" s="14"/>
      <c r="F422" s="14"/>
      <c r="G422" s="7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7"/>
      <c r="Z422" s="9"/>
      <c r="AA422" s="14"/>
      <c r="AB422" s="14"/>
      <c r="AC422" s="14"/>
      <c r="AD422" s="9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1:40" x14ac:dyDescent="0.25">
      <c r="A423" s="14"/>
      <c r="B423" s="14"/>
      <c r="C423" s="14"/>
      <c r="D423" s="14"/>
      <c r="E423" s="14"/>
      <c r="F423" s="14"/>
      <c r="G423" s="7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7"/>
      <c r="Z423" s="9"/>
      <c r="AA423" s="14"/>
      <c r="AB423" s="14"/>
      <c r="AC423" s="14"/>
      <c r="AD423" s="9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1:40" x14ac:dyDescent="0.25">
      <c r="A424" s="14"/>
      <c r="B424" s="14"/>
      <c r="C424" s="14"/>
      <c r="D424" s="14"/>
      <c r="E424" s="14"/>
      <c r="F424" s="14"/>
      <c r="G424" s="7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7"/>
      <c r="Z424" s="9"/>
      <c r="AA424" s="14"/>
      <c r="AB424" s="14"/>
      <c r="AC424" s="14"/>
      <c r="AD424" s="9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1:40" x14ac:dyDescent="0.25">
      <c r="A425" s="14"/>
      <c r="B425" s="14"/>
      <c r="C425" s="14"/>
      <c r="D425" s="14"/>
      <c r="E425" s="14"/>
      <c r="F425" s="14"/>
      <c r="G425" s="7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7"/>
      <c r="Z425" s="9"/>
      <c r="AA425" s="14"/>
      <c r="AB425" s="14"/>
      <c r="AC425" s="14"/>
      <c r="AD425" s="9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1:40" x14ac:dyDescent="0.25">
      <c r="A426" s="14"/>
      <c r="B426" s="14"/>
      <c r="C426" s="14"/>
      <c r="D426" s="14"/>
      <c r="E426" s="14"/>
      <c r="F426" s="14"/>
      <c r="G426" s="7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7"/>
      <c r="Z426" s="9"/>
      <c r="AA426" s="14"/>
      <c r="AB426" s="14"/>
      <c r="AC426" s="14"/>
      <c r="AD426" s="9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1:40" x14ac:dyDescent="0.25">
      <c r="A427" s="14"/>
      <c r="B427" s="14"/>
      <c r="C427" s="14"/>
      <c r="D427" s="14"/>
      <c r="E427" s="14"/>
      <c r="F427" s="14"/>
      <c r="G427" s="7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7"/>
      <c r="Z427" s="9"/>
      <c r="AA427" s="14"/>
      <c r="AB427" s="14"/>
      <c r="AC427" s="14"/>
      <c r="AD427" s="9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1:40" x14ac:dyDescent="0.25">
      <c r="A428" s="14"/>
      <c r="B428" s="14"/>
      <c r="C428" s="14"/>
      <c r="D428" s="14"/>
      <c r="E428" s="14"/>
      <c r="F428" s="14"/>
      <c r="G428" s="7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7"/>
      <c r="Z428" s="9"/>
      <c r="AA428" s="14"/>
      <c r="AB428" s="14"/>
      <c r="AC428" s="14"/>
      <c r="AD428" s="9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1:40" x14ac:dyDescent="0.25">
      <c r="A429" s="14"/>
      <c r="B429" s="14"/>
      <c r="C429" s="14"/>
      <c r="D429" s="14"/>
      <c r="E429" s="14"/>
      <c r="F429" s="14"/>
      <c r="G429" s="7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7"/>
      <c r="Z429" s="9"/>
      <c r="AA429" s="14"/>
      <c r="AB429" s="14"/>
      <c r="AC429" s="14"/>
      <c r="AD429" s="9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1:40" x14ac:dyDescent="0.25">
      <c r="A430" s="14"/>
      <c r="B430" s="14"/>
      <c r="C430" s="14"/>
      <c r="D430" s="14"/>
      <c r="E430" s="14"/>
      <c r="F430" s="14"/>
      <c r="G430" s="7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7"/>
      <c r="Z430" s="9"/>
      <c r="AA430" s="14"/>
      <c r="AB430" s="14"/>
      <c r="AC430" s="14"/>
      <c r="AD430" s="9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1:40" x14ac:dyDescent="0.25">
      <c r="A431" s="14"/>
      <c r="B431" s="14"/>
      <c r="C431" s="14"/>
      <c r="D431" s="14"/>
      <c r="E431" s="14"/>
      <c r="F431" s="14"/>
      <c r="G431" s="7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7"/>
      <c r="Z431" s="9"/>
      <c r="AA431" s="14"/>
      <c r="AB431" s="14"/>
      <c r="AC431" s="14"/>
      <c r="AD431" s="9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1:40" x14ac:dyDescent="0.25">
      <c r="A432" s="14"/>
      <c r="B432" s="14"/>
      <c r="C432" s="14"/>
      <c r="D432" s="14"/>
      <c r="E432" s="14"/>
      <c r="F432" s="14"/>
      <c r="G432" s="7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7"/>
      <c r="Z432" s="9"/>
      <c r="AA432" s="14"/>
      <c r="AB432" s="14"/>
      <c r="AC432" s="14"/>
      <c r="AD432" s="9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1:40" x14ac:dyDescent="0.25">
      <c r="A433" s="14"/>
      <c r="B433" s="14"/>
      <c r="C433" s="14"/>
      <c r="D433" s="14"/>
      <c r="E433" s="14"/>
      <c r="F433" s="14"/>
      <c r="G433" s="7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7"/>
      <c r="Z433" s="9"/>
      <c r="AA433" s="14"/>
      <c r="AB433" s="14"/>
      <c r="AC433" s="14"/>
      <c r="AD433" s="9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1:40" x14ac:dyDescent="0.25">
      <c r="A434" s="14"/>
      <c r="B434" s="14"/>
      <c r="C434" s="14"/>
      <c r="D434" s="14"/>
      <c r="E434" s="14"/>
      <c r="F434" s="14"/>
      <c r="G434" s="7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7"/>
      <c r="Z434" s="9"/>
      <c r="AA434" s="14"/>
      <c r="AB434" s="14"/>
      <c r="AC434" s="14"/>
      <c r="AD434" s="9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1:40" x14ac:dyDescent="0.25">
      <c r="A435" s="14"/>
      <c r="B435" s="14"/>
      <c r="C435" s="14"/>
      <c r="D435" s="14"/>
      <c r="E435" s="14"/>
      <c r="F435" s="14"/>
      <c r="G435" s="7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7"/>
      <c r="Z435" s="9"/>
      <c r="AA435" s="14"/>
      <c r="AB435" s="14"/>
      <c r="AC435" s="14"/>
      <c r="AD435" s="9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1:40" x14ac:dyDescent="0.25">
      <c r="A436" s="14"/>
      <c r="B436" s="14"/>
      <c r="C436" s="14"/>
      <c r="D436" s="14"/>
      <c r="E436" s="14"/>
      <c r="F436" s="14"/>
      <c r="G436" s="7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7"/>
      <c r="Z436" s="9"/>
      <c r="AA436" s="14"/>
      <c r="AB436" s="14"/>
      <c r="AC436" s="14"/>
      <c r="AD436" s="9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1:40" x14ac:dyDescent="0.25">
      <c r="A437" s="14"/>
      <c r="B437" s="14"/>
      <c r="C437" s="14"/>
      <c r="D437" s="14"/>
      <c r="E437" s="14"/>
      <c r="F437" s="14"/>
      <c r="G437" s="7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7"/>
      <c r="Z437" s="9"/>
      <c r="AA437" s="14"/>
      <c r="AB437" s="14"/>
      <c r="AC437" s="14"/>
      <c r="AD437" s="9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1:40" x14ac:dyDescent="0.25">
      <c r="A438" s="14"/>
      <c r="B438" s="14"/>
      <c r="C438" s="14"/>
      <c r="D438" s="14"/>
      <c r="E438" s="14"/>
      <c r="F438" s="14"/>
      <c r="G438" s="7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7"/>
      <c r="Z438" s="9"/>
      <c r="AA438" s="14"/>
      <c r="AB438" s="14"/>
      <c r="AC438" s="14"/>
      <c r="AD438" s="9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1:40" x14ac:dyDescent="0.25">
      <c r="A439" s="14"/>
      <c r="B439" s="14"/>
      <c r="C439" s="14"/>
      <c r="D439" s="14"/>
      <c r="E439" s="14"/>
      <c r="F439" s="14"/>
      <c r="G439" s="7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7"/>
      <c r="Z439" s="9"/>
      <c r="AA439" s="14"/>
      <c r="AB439" s="14"/>
      <c r="AC439" s="14"/>
      <c r="AD439" s="9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1:40" x14ac:dyDescent="0.25">
      <c r="A440" s="14"/>
      <c r="B440" s="14"/>
      <c r="C440" s="14"/>
      <c r="D440" s="14"/>
      <c r="E440" s="14"/>
      <c r="F440" s="14"/>
      <c r="G440" s="7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7"/>
      <c r="Z440" s="9"/>
      <c r="AA440" s="14"/>
      <c r="AB440" s="14"/>
      <c r="AC440" s="14"/>
      <c r="AD440" s="9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1:40" x14ac:dyDescent="0.25">
      <c r="A441" s="14"/>
      <c r="B441" s="14"/>
      <c r="C441" s="14"/>
      <c r="D441" s="14"/>
      <c r="E441" s="14"/>
      <c r="F441" s="14"/>
      <c r="G441" s="7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7"/>
      <c r="Z441" s="9"/>
      <c r="AA441" s="14"/>
      <c r="AB441" s="14"/>
      <c r="AC441" s="14"/>
      <c r="AD441" s="9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1:40" x14ac:dyDescent="0.25">
      <c r="A442" s="14"/>
      <c r="B442" s="14"/>
      <c r="C442" s="14"/>
      <c r="D442" s="14"/>
      <c r="E442" s="14"/>
      <c r="F442" s="14"/>
      <c r="G442" s="7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7"/>
      <c r="Z442" s="9"/>
      <c r="AA442" s="14"/>
      <c r="AB442" s="14"/>
      <c r="AC442" s="14"/>
      <c r="AD442" s="9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1:40" x14ac:dyDescent="0.25">
      <c r="A443" s="14"/>
      <c r="B443" s="14"/>
      <c r="C443" s="14"/>
      <c r="D443" s="14"/>
      <c r="E443" s="14"/>
      <c r="F443" s="14"/>
      <c r="G443" s="7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7"/>
      <c r="Z443" s="9"/>
      <c r="AA443" s="14"/>
      <c r="AB443" s="14"/>
      <c r="AC443" s="14"/>
      <c r="AD443" s="9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1:40" x14ac:dyDescent="0.25">
      <c r="A444" s="14"/>
      <c r="B444" s="14"/>
      <c r="C444" s="14"/>
      <c r="D444" s="14"/>
      <c r="E444" s="14"/>
      <c r="F444" s="14"/>
      <c r="G444" s="7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7"/>
      <c r="Z444" s="9"/>
      <c r="AA444" s="14"/>
      <c r="AB444" s="14"/>
      <c r="AC444" s="14"/>
      <c r="AD444" s="9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1:40" x14ac:dyDescent="0.25">
      <c r="A445" s="14"/>
      <c r="B445" s="14"/>
      <c r="C445" s="14"/>
      <c r="D445" s="14"/>
      <c r="E445" s="14"/>
      <c r="F445" s="14"/>
      <c r="G445" s="7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7"/>
      <c r="Z445" s="9"/>
      <c r="AA445" s="14"/>
      <c r="AB445" s="14"/>
      <c r="AC445" s="14"/>
      <c r="AD445" s="9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1:40" x14ac:dyDescent="0.25">
      <c r="A446" s="14"/>
      <c r="B446" s="14"/>
      <c r="C446" s="14"/>
      <c r="D446" s="14"/>
      <c r="E446" s="14"/>
      <c r="F446" s="14"/>
      <c r="G446" s="7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7"/>
      <c r="Z446" s="9"/>
      <c r="AA446" s="14"/>
      <c r="AB446" s="14"/>
      <c r="AC446" s="14"/>
      <c r="AD446" s="9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1:40" x14ac:dyDescent="0.25">
      <c r="A447" s="14"/>
      <c r="B447" s="14"/>
      <c r="C447" s="14"/>
      <c r="D447" s="14"/>
      <c r="E447" s="14"/>
      <c r="F447" s="14"/>
      <c r="G447" s="7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7"/>
      <c r="Z447" s="9"/>
      <c r="AA447" s="14"/>
      <c r="AB447" s="14"/>
      <c r="AC447" s="14"/>
      <c r="AD447" s="9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1:40" x14ac:dyDescent="0.25">
      <c r="A448" s="14"/>
      <c r="B448" s="14"/>
      <c r="C448" s="14"/>
      <c r="D448" s="14"/>
      <c r="E448" s="14"/>
      <c r="F448" s="14"/>
      <c r="G448" s="7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7"/>
      <c r="Z448" s="9"/>
      <c r="AA448" s="14"/>
      <c r="AB448" s="14"/>
      <c r="AC448" s="14"/>
      <c r="AD448" s="9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1:40" x14ac:dyDescent="0.25">
      <c r="A449" s="14"/>
      <c r="B449" s="14"/>
      <c r="C449" s="14"/>
      <c r="D449" s="14"/>
      <c r="E449" s="14"/>
      <c r="F449" s="14"/>
      <c r="G449" s="7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7"/>
      <c r="Z449" s="9"/>
      <c r="AA449" s="14"/>
      <c r="AB449" s="14"/>
      <c r="AC449" s="14"/>
      <c r="AD449" s="9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1:40" x14ac:dyDescent="0.25">
      <c r="A450" s="14"/>
      <c r="B450" s="14"/>
      <c r="C450" s="14"/>
      <c r="D450" s="14"/>
      <c r="E450" s="14"/>
      <c r="F450" s="14"/>
      <c r="G450" s="7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7"/>
      <c r="Z450" s="9"/>
      <c r="AA450" s="14"/>
      <c r="AB450" s="14"/>
      <c r="AC450" s="14"/>
      <c r="AD450" s="9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1:40" x14ac:dyDescent="0.25">
      <c r="A451" s="14"/>
      <c r="B451" s="14"/>
      <c r="C451" s="14"/>
      <c r="D451" s="14"/>
      <c r="E451" s="14"/>
      <c r="F451" s="14"/>
      <c r="G451" s="7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7"/>
      <c r="Z451" s="9"/>
      <c r="AA451" s="14"/>
      <c r="AB451" s="14"/>
      <c r="AC451" s="14"/>
      <c r="AD451" s="9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1:40" x14ac:dyDescent="0.25">
      <c r="A452" s="14"/>
      <c r="B452" s="14"/>
      <c r="C452" s="14"/>
      <c r="D452" s="14"/>
      <c r="E452" s="14"/>
      <c r="F452" s="14"/>
      <c r="G452" s="7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7"/>
      <c r="Z452" s="9"/>
      <c r="AA452" s="14"/>
      <c r="AB452" s="14"/>
      <c r="AC452" s="14"/>
      <c r="AD452" s="9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1:40" x14ac:dyDescent="0.25">
      <c r="A453" s="14"/>
      <c r="B453" s="14"/>
      <c r="C453" s="14"/>
      <c r="D453" s="14"/>
      <c r="E453" s="14"/>
      <c r="F453" s="14"/>
      <c r="G453" s="7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7"/>
      <c r="Z453" s="9"/>
      <c r="AA453" s="14"/>
      <c r="AB453" s="14"/>
      <c r="AC453" s="14"/>
      <c r="AD453" s="9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1:40" x14ac:dyDescent="0.25">
      <c r="A454" s="14"/>
      <c r="B454" s="14"/>
      <c r="C454" s="14"/>
      <c r="D454" s="14"/>
      <c r="E454" s="14"/>
      <c r="F454" s="14"/>
      <c r="G454" s="7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7"/>
      <c r="Z454" s="9"/>
      <c r="AA454" s="14"/>
      <c r="AB454" s="14"/>
      <c r="AC454" s="14"/>
      <c r="AD454" s="9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1:40" x14ac:dyDescent="0.25">
      <c r="A455" s="14"/>
      <c r="B455" s="14"/>
      <c r="C455" s="14"/>
      <c r="D455" s="14"/>
      <c r="E455" s="14"/>
      <c r="F455" s="14"/>
      <c r="G455" s="7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7"/>
      <c r="Z455" s="9"/>
      <c r="AA455" s="14"/>
      <c r="AB455" s="14"/>
      <c r="AC455" s="14"/>
      <c r="AD455" s="9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1:40" x14ac:dyDescent="0.25">
      <c r="A456" s="14"/>
      <c r="B456" s="14"/>
      <c r="C456" s="14"/>
      <c r="D456" s="14"/>
      <c r="E456" s="14"/>
      <c r="F456" s="14"/>
      <c r="G456" s="7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7"/>
      <c r="Z456" s="9"/>
      <c r="AA456" s="14"/>
      <c r="AB456" s="14"/>
      <c r="AC456" s="14"/>
      <c r="AD456" s="9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1:40" x14ac:dyDescent="0.25">
      <c r="A457" s="14"/>
      <c r="B457" s="14"/>
      <c r="C457" s="14"/>
      <c r="D457" s="14"/>
      <c r="E457" s="14"/>
      <c r="F457" s="14"/>
      <c r="G457" s="7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7"/>
      <c r="Z457" s="9"/>
      <c r="AA457" s="14"/>
      <c r="AB457" s="14"/>
      <c r="AC457" s="14"/>
      <c r="AD457" s="9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1:40" x14ac:dyDescent="0.25">
      <c r="A458" s="14"/>
      <c r="B458" s="14"/>
      <c r="C458" s="14"/>
      <c r="D458" s="14"/>
      <c r="E458" s="14"/>
      <c r="F458" s="14"/>
      <c r="G458" s="7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7"/>
      <c r="Z458" s="9"/>
      <c r="AA458" s="14"/>
      <c r="AB458" s="14"/>
      <c r="AC458" s="14"/>
      <c r="AD458" s="9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1:40" x14ac:dyDescent="0.25">
      <c r="A459" s="14"/>
      <c r="B459" s="14"/>
      <c r="C459" s="14"/>
      <c r="D459" s="14"/>
      <c r="E459" s="14"/>
      <c r="F459" s="14"/>
      <c r="G459" s="7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7"/>
      <c r="Z459" s="9"/>
      <c r="AA459" s="14"/>
      <c r="AB459" s="14"/>
      <c r="AC459" s="14"/>
      <c r="AD459" s="9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1:40" x14ac:dyDescent="0.25">
      <c r="A460" s="14"/>
      <c r="B460" s="14"/>
      <c r="C460" s="14"/>
      <c r="D460" s="14"/>
      <c r="E460" s="14"/>
      <c r="F460" s="14"/>
      <c r="G460" s="7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7"/>
      <c r="Z460" s="9"/>
      <c r="AA460" s="14"/>
      <c r="AB460" s="14"/>
      <c r="AC460" s="14"/>
      <c r="AD460" s="9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1:40" x14ac:dyDescent="0.25">
      <c r="A461" s="14"/>
      <c r="B461" s="14"/>
      <c r="C461" s="14"/>
      <c r="D461" s="14"/>
      <c r="E461" s="14"/>
      <c r="F461" s="14"/>
      <c r="G461" s="7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7"/>
      <c r="Z461" s="9"/>
      <c r="AA461" s="14"/>
      <c r="AB461" s="14"/>
      <c r="AC461" s="14"/>
      <c r="AD461" s="9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1:40" x14ac:dyDescent="0.25">
      <c r="A462" s="14"/>
      <c r="B462" s="14"/>
      <c r="C462" s="14"/>
      <c r="D462" s="14"/>
      <c r="E462" s="14"/>
      <c r="F462" s="14"/>
      <c r="G462" s="7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7"/>
      <c r="Z462" s="9"/>
      <c r="AA462" s="14"/>
      <c r="AB462" s="14"/>
      <c r="AC462" s="14"/>
      <c r="AD462" s="9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1:40" x14ac:dyDescent="0.25">
      <c r="A463" s="14"/>
      <c r="B463" s="14"/>
      <c r="C463" s="14"/>
      <c r="D463" s="14"/>
      <c r="E463" s="14"/>
      <c r="F463" s="14"/>
      <c r="G463" s="7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7"/>
      <c r="Z463" s="9"/>
      <c r="AA463" s="14"/>
      <c r="AB463" s="14"/>
      <c r="AC463" s="14"/>
      <c r="AD463" s="9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1:40" x14ac:dyDescent="0.25">
      <c r="A464" s="14"/>
      <c r="B464" s="14"/>
      <c r="C464" s="14"/>
      <c r="D464" s="14"/>
      <c r="E464" s="14"/>
      <c r="F464" s="14"/>
      <c r="G464" s="7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7"/>
      <c r="Z464" s="9"/>
      <c r="AA464" s="14"/>
      <c r="AB464" s="14"/>
      <c r="AC464" s="14"/>
      <c r="AD464" s="9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1:40" x14ac:dyDescent="0.25">
      <c r="A465" s="14"/>
      <c r="B465" s="14"/>
      <c r="C465" s="14"/>
      <c r="D465" s="14"/>
      <c r="E465" s="14"/>
      <c r="F465" s="14"/>
      <c r="G465" s="7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7"/>
      <c r="Z465" s="9"/>
      <c r="AA465" s="14"/>
      <c r="AB465" s="14"/>
      <c r="AC465" s="14"/>
      <c r="AD465" s="9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1:40" x14ac:dyDescent="0.25">
      <c r="A466" s="14"/>
      <c r="B466" s="14"/>
      <c r="C466" s="14"/>
      <c r="D466" s="14"/>
      <c r="E466" s="14"/>
      <c r="F466" s="14"/>
      <c r="G466" s="7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7"/>
      <c r="Z466" s="9"/>
      <c r="AA466" s="14"/>
      <c r="AB466" s="14"/>
      <c r="AC466" s="14"/>
      <c r="AD466" s="9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1:40" x14ac:dyDescent="0.25">
      <c r="A467" s="14"/>
      <c r="B467" s="14"/>
      <c r="C467" s="14"/>
      <c r="D467" s="14"/>
      <c r="E467" s="14"/>
      <c r="F467" s="14"/>
      <c r="G467" s="7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7"/>
      <c r="Z467" s="9"/>
      <c r="AA467" s="14"/>
      <c r="AB467" s="14"/>
      <c r="AC467" s="14"/>
      <c r="AD467" s="9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1:40" x14ac:dyDescent="0.25">
      <c r="A468" s="14"/>
      <c r="B468" s="14"/>
      <c r="C468" s="14"/>
      <c r="D468" s="14"/>
      <c r="E468" s="14"/>
      <c r="F468" s="14"/>
      <c r="G468" s="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7"/>
      <c r="Z468" s="9"/>
      <c r="AA468" s="14"/>
      <c r="AB468" s="14"/>
      <c r="AC468" s="14"/>
      <c r="AD468" s="9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1:40" x14ac:dyDescent="0.25">
      <c r="A469" s="14"/>
      <c r="B469" s="14"/>
      <c r="C469" s="14"/>
      <c r="D469" s="14"/>
      <c r="E469" s="14"/>
      <c r="F469" s="14"/>
      <c r="G469" s="7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7"/>
      <c r="Z469" s="9"/>
      <c r="AA469" s="14"/>
      <c r="AB469" s="14"/>
      <c r="AC469" s="14"/>
      <c r="AD469" s="9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1:40" x14ac:dyDescent="0.25">
      <c r="A470" s="14"/>
      <c r="B470" s="14"/>
      <c r="C470" s="14"/>
      <c r="D470" s="14"/>
      <c r="E470" s="14"/>
      <c r="F470" s="14"/>
      <c r="G470" s="7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7"/>
      <c r="Z470" s="9"/>
      <c r="AA470" s="14"/>
      <c r="AB470" s="14"/>
      <c r="AC470" s="14"/>
      <c r="AD470" s="9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1:40" x14ac:dyDescent="0.25">
      <c r="A471" s="14"/>
      <c r="B471" s="14"/>
      <c r="C471" s="14"/>
      <c r="D471" s="14"/>
      <c r="E471" s="14"/>
      <c r="F471" s="14"/>
      <c r="G471" s="7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7"/>
      <c r="Z471" s="9"/>
      <c r="AA471" s="14"/>
      <c r="AB471" s="14"/>
      <c r="AC471" s="14"/>
      <c r="AD471" s="9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1:40" x14ac:dyDescent="0.25">
      <c r="A472" s="14"/>
      <c r="B472" s="14"/>
      <c r="C472" s="14"/>
      <c r="D472" s="14"/>
      <c r="E472" s="14"/>
      <c r="F472" s="14"/>
      <c r="G472" s="7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7"/>
      <c r="Z472" s="9"/>
      <c r="AA472" s="14"/>
      <c r="AB472" s="14"/>
      <c r="AC472" s="14"/>
      <c r="AD472" s="9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1:40" x14ac:dyDescent="0.25">
      <c r="A473" s="14"/>
      <c r="B473" s="14"/>
      <c r="C473" s="14"/>
      <c r="D473" s="14"/>
      <c r="E473" s="14"/>
      <c r="F473" s="14"/>
      <c r="G473" s="7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7"/>
      <c r="Z473" s="9"/>
      <c r="AA473" s="14"/>
      <c r="AB473" s="14"/>
      <c r="AC473" s="14"/>
      <c r="AD473" s="9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1:40" x14ac:dyDescent="0.25">
      <c r="A474" s="14"/>
      <c r="B474" s="14"/>
      <c r="C474" s="14"/>
      <c r="D474" s="14"/>
      <c r="E474" s="14"/>
      <c r="F474" s="14"/>
      <c r="G474" s="7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7"/>
      <c r="Z474" s="9"/>
      <c r="AA474" s="14"/>
      <c r="AB474" s="14"/>
      <c r="AC474" s="14"/>
      <c r="AD474" s="9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1:40" x14ac:dyDescent="0.25">
      <c r="A475" s="14"/>
      <c r="B475" s="14"/>
      <c r="C475" s="14"/>
      <c r="D475" s="14"/>
      <c r="E475" s="14"/>
      <c r="F475" s="14"/>
      <c r="G475" s="7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7"/>
      <c r="Z475" s="9"/>
      <c r="AA475" s="14"/>
      <c r="AB475" s="14"/>
      <c r="AC475" s="14"/>
      <c r="AD475" s="9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1:40" x14ac:dyDescent="0.25">
      <c r="A476" s="14"/>
      <c r="B476" s="14"/>
      <c r="C476" s="14"/>
      <c r="D476" s="14"/>
      <c r="E476" s="14"/>
      <c r="F476" s="14"/>
      <c r="G476" s="7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7"/>
      <c r="Z476" s="9"/>
      <c r="AA476" s="14"/>
      <c r="AB476" s="14"/>
      <c r="AC476" s="14"/>
      <c r="AD476" s="9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1:40" x14ac:dyDescent="0.25">
      <c r="A477" s="14"/>
      <c r="B477" s="14"/>
      <c r="C477" s="14"/>
      <c r="D477" s="14"/>
      <c r="E477" s="14"/>
      <c r="F477" s="14"/>
      <c r="G477" s="7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7"/>
      <c r="Z477" s="9"/>
      <c r="AA477" s="14"/>
      <c r="AB477" s="14"/>
      <c r="AC477" s="14"/>
      <c r="AD477" s="9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1:40" x14ac:dyDescent="0.25">
      <c r="A478" s="14"/>
      <c r="B478" s="14"/>
      <c r="C478" s="14"/>
      <c r="D478" s="14"/>
      <c r="E478" s="14"/>
      <c r="F478" s="14"/>
      <c r="G478" s="7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7"/>
      <c r="Z478" s="9"/>
      <c r="AA478" s="14"/>
      <c r="AB478" s="14"/>
      <c r="AC478" s="14"/>
      <c r="AD478" s="9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1:40" x14ac:dyDescent="0.25">
      <c r="A479" s="14"/>
      <c r="B479" s="14"/>
      <c r="C479" s="14"/>
      <c r="D479" s="14"/>
      <c r="E479" s="14"/>
      <c r="F479" s="14"/>
      <c r="G479" s="7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7"/>
      <c r="Z479" s="9"/>
      <c r="AA479" s="14"/>
      <c r="AB479" s="14"/>
      <c r="AC479" s="14"/>
      <c r="AD479" s="9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1:40" x14ac:dyDescent="0.25">
      <c r="A480" s="14"/>
      <c r="B480" s="14"/>
      <c r="C480" s="14"/>
      <c r="D480" s="14"/>
      <c r="E480" s="14"/>
      <c r="F480" s="14"/>
      <c r="G480" s="7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7"/>
      <c r="Z480" s="9"/>
      <c r="AA480" s="14"/>
      <c r="AB480" s="14"/>
      <c r="AC480" s="14"/>
      <c r="AD480" s="9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1:40" x14ac:dyDescent="0.25">
      <c r="A481" s="14"/>
      <c r="B481" s="14"/>
      <c r="C481" s="14"/>
      <c r="D481" s="14"/>
      <c r="E481" s="14"/>
      <c r="F481" s="14"/>
      <c r="G481" s="7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7"/>
      <c r="Z481" s="9"/>
      <c r="AA481" s="14"/>
      <c r="AB481" s="14"/>
      <c r="AC481" s="14"/>
      <c r="AD481" s="9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1:40" x14ac:dyDescent="0.25">
      <c r="A482" s="14"/>
      <c r="B482" s="14"/>
      <c r="C482" s="14"/>
      <c r="D482" s="14"/>
      <c r="E482" s="14"/>
      <c r="F482" s="14"/>
      <c r="G482" s="7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7"/>
      <c r="Z482" s="9"/>
      <c r="AA482" s="14"/>
      <c r="AB482" s="14"/>
      <c r="AC482" s="14"/>
      <c r="AD482" s="9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1:40" x14ac:dyDescent="0.25">
      <c r="A483" s="14"/>
      <c r="B483" s="14"/>
      <c r="C483" s="14"/>
      <c r="D483" s="14"/>
      <c r="E483" s="14"/>
      <c r="F483" s="14"/>
      <c r="G483" s="7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7"/>
      <c r="Z483" s="9"/>
      <c r="AA483" s="14"/>
      <c r="AB483" s="14"/>
      <c r="AC483" s="14"/>
      <c r="AD483" s="9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1:40" x14ac:dyDescent="0.25">
      <c r="A484" s="14"/>
      <c r="B484" s="14"/>
      <c r="C484" s="14"/>
      <c r="D484" s="14"/>
      <c r="E484" s="14"/>
      <c r="F484" s="14"/>
      <c r="G484" s="7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7"/>
      <c r="Z484" s="9"/>
      <c r="AA484" s="14"/>
      <c r="AB484" s="14"/>
      <c r="AC484" s="14"/>
      <c r="AD484" s="9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1:40" x14ac:dyDescent="0.25">
      <c r="A485" s="14"/>
      <c r="B485" s="14"/>
      <c r="C485" s="14"/>
      <c r="D485" s="14"/>
      <c r="E485" s="14"/>
      <c r="F485" s="14"/>
      <c r="G485" s="7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7"/>
      <c r="Z485" s="9"/>
      <c r="AA485" s="14"/>
      <c r="AB485" s="14"/>
      <c r="AC485" s="14"/>
      <c r="AD485" s="9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1:40" x14ac:dyDescent="0.25">
      <c r="A486" s="14"/>
      <c r="B486" s="14"/>
      <c r="C486" s="14"/>
      <c r="D486" s="14"/>
      <c r="E486" s="14"/>
      <c r="F486" s="14"/>
      <c r="G486" s="7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7"/>
      <c r="Z486" s="9"/>
      <c r="AA486" s="14"/>
      <c r="AB486" s="14"/>
      <c r="AC486" s="14"/>
      <c r="AD486" s="9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1:40" x14ac:dyDescent="0.25">
      <c r="A487" s="14"/>
      <c r="B487" s="14"/>
      <c r="C487" s="14"/>
      <c r="D487" s="14"/>
      <c r="E487" s="14"/>
      <c r="F487" s="14"/>
      <c r="G487" s="7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7"/>
      <c r="Z487" s="9"/>
      <c r="AA487" s="14"/>
      <c r="AB487" s="14"/>
      <c r="AC487" s="14"/>
      <c r="AD487" s="9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1:40" x14ac:dyDescent="0.25">
      <c r="A488" s="14"/>
      <c r="B488" s="14"/>
      <c r="C488" s="14"/>
      <c r="D488" s="14"/>
      <c r="E488" s="14"/>
      <c r="F488" s="14"/>
      <c r="G488" s="7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7"/>
      <c r="Z488" s="9"/>
      <c r="AA488" s="14"/>
      <c r="AB488" s="14"/>
      <c r="AC488" s="14"/>
      <c r="AD488" s="9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1:40" x14ac:dyDescent="0.25">
      <c r="A489" s="14"/>
      <c r="B489" s="14"/>
      <c r="C489" s="14"/>
      <c r="D489" s="14"/>
      <c r="E489" s="14"/>
      <c r="F489" s="14"/>
      <c r="G489" s="7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7"/>
      <c r="Z489" s="9"/>
      <c r="AA489" s="14"/>
      <c r="AB489" s="14"/>
      <c r="AC489" s="14"/>
      <c r="AD489" s="9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1:40" x14ac:dyDescent="0.25">
      <c r="A490" s="14"/>
      <c r="B490" s="14"/>
      <c r="C490" s="14"/>
      <c r="D490" s="14"/>
      <c r="E490" s="14"/>
      <c r="F490" s="14"/>
      <c r="G490" s="7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7"/>
      <c r="Z490" s="9"/>
      <c r="AA490" s="14"/>
      <c r="AB490" s="14"/>
      <c r="AC490" s="14"/>
      <c r="AD490" s="9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1:40" x14ac:dyDescent="0.25">
      <c r="A491" s="14"/>
      <c r="B491" s="14"/>
      <c r="C491" s="14"/>
      <c r="D491" s="14"/>
      <c r="E491" s="14"/>
      <c r="F491" s="14"/>
      <c r="G491" s="7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7"/>
      <c r="Z491" s="9"/>
      <c r="AA491" s="14"/>
      <c r="AB491" s="14"/>
      <c r="AC491" s="14"/>
      <c r="AD491" s="9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1:40" x14ac:dyDescent="0.25">
      <c r="A492" s="14"/>
      <c r="B492" s="14"/>
      <c r="C492" s="14"/>
      <c r="D492" s="14"/>
      <c r="E492" s="14"/>
      <c r="F492" s="14"/>
      <c r="G492" s="7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7"/>
      <c r="Z492" s="9"/>
      <c r="AA492" s="14"/>
      <c r="AB492" s="14"/>
      <c r="AC492" s="14"/>
      <c r="AD492" s="9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1:40" x14ac:dyDescent="0.25">
      <c r="A493" s="14"/>
      <c r="B493" s="14"/>
      <c r="C493" s="14"/>
      <c r="D493" s="14"/>
      <c r="E493" s="14"/>
      <c r="F493" s="14"/>
      <c r="G493" s="7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7"/>
      <c r="Z493" s="9"/>
      <c r="AA493" s="14"/>
      <c r="AB493" s="14"/>
      <c r="AC493" s="14"/>
      <c r="AD493" s="9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1:40" x14ac:dyDescent="0.25">
      <c r="A494" s="14"/>
      <c r="B494" s="14"/>
      <c r="C494" s="14"/>
      <c r="D494" s="14"/>
      <c r="E494" s="14"/>
      <c r="F494" s="14"/>
      <c r="G494" s="7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7"/>
      <c r="Z494" s="9"/>
      <c r="AA494" s="14"/>
      <c r="AB494" s="14"/>
      <c r="AC494" s="14"/>
      <c r="AD494" s="9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1:40" x14ac:dyDescent="0.25">
      <c r="A495" s="14"/>
      <c r="B495" s="14"/>
      <c r="C495" s="14"/>
      <c r="D495" s="14"/>
      <c r="E495" s="14"/>
      <c r="F495" s="14"/>
      <c r="G495" s="7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7"/>
      <c r="Z495" s="9"/>
      <c r="AA495" s="14"/>
      <c r="AB495" s="14"/>
      <c r="AC495" s="14"/>
      <c r="AD495" s="9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1:40" x14ac:dyDescent="0.25">
      <c r="A496" s="14"/>
      <c r="B496" s="14"/>
      <c r="C496" s="14"/>
      <c r="D496" s="14"/>
      <c r="E496" s="14"/>
      <c r="F496" s="14"/>
      <c r="G496" s="7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7"/>
      <c r="Z496" s="9"/>
      <c r="AA496" s="14"/>
      <c r="AB496" s="14"/>
      <c r="AC496" s="14"/>
      <c r="AD496" s="9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1:40" x14ac:dyDescent="0.25">
      <c r="A497" s="14"/>
      <c r="B497" s="14"/>
      <c r="C497" s="14"/>
      <c r="D497" s="14"/>
      <c r="E497" s="14"/>
      <c r="F497" s="14"/>
      <c r="G497" s="7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7"/>
      <c r="Z497" s="9"/>
      <c r="AA497" s="14"/>
      <c r="AB497" s="14"/>
      <c r="AC497" s="14"/>
      <c r="AD497" s="9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</sheetData>
  <autoFilter ref="A3:AD7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2026-09-24T12:16:47Z</dcterms:created>
  <dcterms:modified xsi:type="dcterms:W3CDTF">2026-09-29T12:16:31Z</dcterms:modified>
</cp:coreProperties>
</file>