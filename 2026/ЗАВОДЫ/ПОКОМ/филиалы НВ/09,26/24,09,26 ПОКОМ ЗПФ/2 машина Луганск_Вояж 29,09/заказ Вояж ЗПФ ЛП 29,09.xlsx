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3,09 Вояж(Луганск) ЗПФ ЛП с филиалами на 28,09\"/>
    </mc:Choice>
  </mc:AlternateContent>
  <xr:revisionPtr revIDLastSave="0" documentId="13_ncr:1_{EEAB93DB-6F5C-4934-85CB-D024386BBB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Z257" i="2"/>
  <c r="BN256" i="2"/>
  <c r="Z267" i="2"/>
  <c r="BN264" i="2"/>
  <c r="Y30" i="2"/>
  <c r="Z43" i="2"/>
  <c r="Z67" i="2"/>
  <c r="Z90" i="2"/>
  <c r="BN116" i="2"/>
  <c r="BN118" i="2"/>
  <c r="BN122" i="2"/>
  <c r="Z195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B295" i="2" l="1"/>
  <c r="Y285" i="2"/>
  <c r="A295" i="2" s="1"/>
  <c r="C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<sst xmlns="http://schemas.openxmlformats.org/spreadsheetml/2006/main" count="1761" uniqueCount="407">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</sst>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46272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Понедельник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42</v>
      </c>
      <c r="Y90" s="43">
        <f>IFERROR(SUM(Y88:Y89),"0")</f>
        <v>42</v>
      </c>
      <c r="Z90" s="43">
        <f>IFERROR(IF(Z88="",0,Z88),"0")+IFERROR(IF(Z89="",0,Z89),"0")</f>
        <v>0.75095999999999996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151.20000000000002</v>
      </c>
      <c r="Y91" s="43">
        <f>IFERROR(SUMPRODUCT(Y88:Y89*H88:H89),"0")</f>
        <v>151.20000000000002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56</v>
      </c>
      <c r="Y100" s="43">
        <f>IFERROR(SUM(Y94:Y99),"0")</f>
        <v>56</v>
      </c>
      <c r="Z100" s="43">
        <f>IFERROR(IF(Z94="",0,Z94),"0")+IFERROR(IF(Z95="",0,Z95),"0")+IFERROR(IF(Z96="",0,Z96),"0")+IFERROR(IF(Z97="",0,Z97),"0")+IFERROR(IF(Z98="",0,Z98),"0")+IFERROR(IF(Z99="",0,Z99),"0")</f>
        <v>1.0012799999999999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161.28</v>
      </c>
      <c r="Y101" s="43">
        <f>IFERROR(SUMPRODUCT(Y94:Y99*H94:H99),"0")</f>
        <v>161.28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60</v>
      </c>
      <c r="Y114" s="55">
        <f t="shared" si="12"/>
        <v>60</v>
      </c>
      <c r="Z114" s="41">
        <f t="shared" si="13"/>
        <v>0.92999999999999994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438</v>
      </c>
      <c r="BN114" s="81">
        <f t="shared" si="15"/>
        <v>438</v>
      </c>
      <c r="BO114" s="81">
        <f t="shared" si="16"/>
        <v>0.7142857142857143</v>
      </c>
      <c r="BP114" s="81">
        <f t="shared" si="17"/>
        <v>0.7142857142857143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120</v>
      </c>
      <c r="Y119" s="43">
        <f>IFERROR(SUM(Y110:Y118),"0")</f>
        <v>120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1.8599999999999999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840</v>
      </c>
      <c r="Y120" s="43">
        <f>IFERROR(SUMPRODUCT(Y110:Y118*H110:H118),"0")</f>
        <v>840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168</v>
      </c>
      <c r="Y132" s="55">
        <f>IFERROR(IF(X132="","",X132),"")</f>
        <v>168</v>
      </c>
      <c r="Z132" s="41">
        <f>IFERROR(IF(X132="","",X132*0.00941),"")</f>
        <v>1.5808800000000001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302.40000000000003</v>
      </c>
      <c r="BN132" s="81">
        <f>IFERROR(Y132*I132,"0")</f>
        <v>302.40000000000003</v>
      </c>
      <c r="BO132" s="81">
        <f>IFERROR(X132/J132,"0")</f>
        <v>1.2</v>
      </c>
      <c r="BP132" s="81">
        <f>IFERROR(Y132/J132,"0")</f>
        <v>1.2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168</v>
      </c>
      <c r="Y134" s="55">
        <f>IFERROR(IF(X134="","",X134),"")</f>
        <v>168</v>
      </c>
      <c r="Z134" s="41">
        <f>IFERROR(IF(X134="","",X134*0.00941),"")</f>
        <v>1.5808800000000001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302.40000000000003</v>
      </c>
      <c r="BN134" s="81">
        <f>IFERROR(Y134*I134,"0")</f>
        <v>302.40000000000003</v>
      </c>
      <c r="BO134" s="81">
        <f>IFERROR(X134/J134,"0")</f>
        <v>1.2</v>
      </c>
      <c r="BP134" s="81">
        <f>IFERROR(Y134/J134,"0")</f>
        <v>1.2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336</v>
      </c>
      <c r="Y135" s="43">
        <f>IFERROR(SUM(Y131:Y134),"0")</f>
        <v>336</v>
      </c>
      <c r="Z135" s="43">
        <f>IFERROR(IF(Z131="",0,Z131),"0")+IFERROR(IF(Z132="",0,Z132),"0")+IFERROR(IF(Z133="",0,Z133),"0")+IFERROR(IF(Z134="",0,Z134),"0")</f>
        <v>3.1617600000000001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463.67999999999995</v>
      </c>
      <c r="Y136" s="43">
        <f>IFERROR(SUMPRODUCT(Y131:Y134*H131:H134),"0")</f>
        <v>463.67999999999995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98</v>
      </c>
      <c r="Y145" s="55">
        <f>IFERROR(IF(X145="","",X145),"")</f>
        <v>98</v>
      </c>
      <c r="Z145" s="41">
        <f>IFERROR(IF(X145="","",X145*0.01788),"")</f>
        <v>1.75224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362.95279999999997</v>
      </c>
      <c r="BN145" s="81">
        <f>IFERROR(Y145*I145,"0")</f>
        <v>362.95279999999997</v>
      </c>
      <c r="BO145" s="81">
        <f>IFERROR(X145/J145,"0")</f>
        <v>1.4</v>
      </c>
      <c r="BP145" s="81">
        <f>IFERROR(Y145/J145,"0")</f>
        <v>1.4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98</v>
      </c>
      <c r="Y146" s="55">
        <f>IFERROR(IF(X146="","",X146),"")</f>
        <v>98</v>
      </c>
      <c r="Z146" s="41">
        <f>IFERROR(IF(X146="","",X146*0.01788),"")</f>
        <v>1.75224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362.95279999999997</v>
      </c>
      <c r="BN146" s="81">
        <f>IFERROR(Y146*I146,"0")</f>
        <v>362.95279999999997</v>
      </c>
      <c r="BO146" s="81">
        <f>IFERROR(X146/J146,"0")</f>
        <v>1.4</v>
      </c>
      <c r="BP146" s="81">
        <f>IFERROR(Y146/J146,"0")</f>
        <v>1.4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196</v>
      </c>
      <c r="Y147" s="43">
        <f>IFERROR(SUM(Y145:Y146),"0")</f>
        <v>196</v>
      </c>
      <c r="Z147" s="43">
        <f>IFERROR(IF(Z145="",0,Z145),"0")+IFERROR(IF(Z146="",0,Z146),"0")</f>
        <v>3.50448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588</v>
      </c>
      <c r="Y148" s="43">
        <f>IFERROR(SUMPRODUCT(Y145:Y146*H145:H146),"0")</f>
        <v>588</v>
      </c>
      <c r="Z148" s="42"/>
      <c r="AA148" s="67"/>
      <c r="AB148" s="67"/>
      <c r="AC148" s="67"/>
    </row>
    <row r="149" spans="1:68" ht="16.5" hidden="1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84</v>
      </c>
      <c r="Y153" s="43">
        <f>IFERROR(SUM(Y151:Y152),"0")</f>
        <v>84</v>
      </c>
      <c r="Z153" s="43">
        <f>IFERROR(IF(Z151="",0,Z151),"0")+IFERROR(IF(Z152="",0,Z152),"0")</f>
        <v>1.5019199999999999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252</v>
      </c>
      <c r="Y154" s="43">
        <f>IFERROR(SUMPRODUCT(Y151:Y152*H151:H152),"0")</f>
        <v>252</v>
      </c>
      <c r="Z154" s="42"/>
      <c r="AA154" s="67"/>
      <c r="AB154" s="67"/>
      <c r="AC154" s="67"/>
    </row>
    <row r="155" spans="1:68" ht="16.5" hidden="1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idden="1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70</v>
      </c>
      <c r="Y191" s="55">
        <f>IFERROR(IF(X191="","",X191),"")</f>
        <v>70</v>
      </c>
      <c r="Z191" s="41">
        <f>IFERROR(IF(X191="","",X191*0.01788),"")</f>
        <v>1.2516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237.16</v>
      </c>
      <c r="BN191" s="81">
        <f>IFERROR(Y191*I191,"0")</f>
        <v>237.16</v>
      </c>
      <c r="BO191" s="81">
        <f>IFERROR(X191/J191,"0")</f>
        <v>1</v>
      </c>
      <c r="BP191" s="81">
        <f>IFERROR(Y191/J191,"0")</f>
        <v>1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70</v>
      </c>
      <c r="Y195" s="43">
        <f>IFERROR(SUM(Y191:Y194),"0")</f>
        <v>70</v>
      </c>
      <c r="Z195" s="43">
        <f>IFERROR(IF(Z191="",0,Z191),"0")+IFERROR(IF(Z192="",0,Z192),"0")+IFERROR(IF(Z193="",0,Z193),"0")+IFERROR(IF(Z194="",0,Z194),"0")</f>
        <v>1.2516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210</v>
      </c>
      <c r="Y196" s="43">
        <f>IFERROR(SUMPRODUCT(Y191:Y194*H191:H194),"0")</f>
        <v>210</v>
      </c>
      <c r="Z196" s="42"/>
      <c r="AA196" s="67"/>
      <c r="AB196" s="67"/>
      <c r="AC196" s="67"/>
    </row>
    <row r="197" spans="1:68" ht="27.75" hidden="1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2750.16</v>
      </c>
      <c r="Y282" s="43">
        <f>IFERROR(Y31+Y37+Y44+Y50+Y58+Y63+Y68+Y74+Y80+Y85+Y91+Y101+Y107+Y120+Y124+Y128+Y136+Y142+Y148+Y154+Y160+Y165+Y170+Y175+Y182+Y187+Y196+Y202+Y208+Y214+Y219+Y224+Y230+Y236+Y240+Y246+Y250+Y258+Y262+Y268+Y281,"0")</f>
        <v>2750.16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3244.0216</v>
      </c>
      <c r="Y283" s="43">
        <f>IFERROR(SUM(BN22:BN279),"0")</f>
        <v>3244.0216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11</v>
      </c>
      <c r="Y284" s="44">
        <f>ROUNDUP(SUM(BP22:BP279),0)</f>
        <v>11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3519.0216</v>
      </c>
      <c r="Y285" s="43">
        <f>GrossWeightTotalR+PalletQtyTotalR*25</f>
        <v>3519.0216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960</v>
      </c>
      <c r="Y286" s="43">
        <f>IFERROR(Y30+Y36+Y43+Y49+Y57+Y62+Y67+Y73+Y79+Y84+Y90+Y100+Y106+Y119+Y123+Y127+Y135+Y141+Y147+Y153+Y159+Y164+Y169+Y174+Y181+Y186+Y195+Y201+Y207+Y213+Y218+Y223+Y229+Y235+Y239+Y245+Y249+Y257+Y261+Y267+Y280,"0")</f>
        <v>960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13.558960000000001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84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151.20000000000002</v>
      </c>
      <c r="K292" s="52">
        <f>IFERROR(X94*H94,"0")+IFERROR(X95*H95,"0")+IFERROR(X96*H96,"0")+IFERROR(X97*H97,"0")+IFERROR(X98*H98,"0")+IFERROR(X99*H99,"0")</f>
        <v>161.28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840</v>
      </c>
      <c r="N292" s="1"/>
      <c r="O292" s="52">
        <f>IFERROR(X131*H131,"0")+IFERROR(X132*H132,"0")+IFERROR(X133*H133,"0")+IFERROR(X134*H134,"0")+IFERROR(X138*H138,"0")+IFERROR(X139*H139,"0")+IFERROR(X140*H140,"0")</f>
        <v>463.67999999999995</v>
      </c>
      <c r="P292" s="52">
        <f>IFERROR(X145*H145,"0")+IFERROR(X146*H146,"0")</f>
        <v>588</v>
      </c>
      <c r="Q292" s="52">
        <f>IFERROR(X151*H151,"0")+IFERROR(X152*H152,"0")</f>
        <v>252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210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840</v>
      </c>
      <c r="B295" s="72">
        <f>SUMPRODUCT(--(BB:BB="ПГП"),--(W:W="кор"),H:H,Y:Y)+SUMPRODUCT(--(BB:BB="ПГП"),--(W:W="кг"),Y:Y)</f>
        <v>1910.1599999999999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120,00"/>
        <filter val="151,20"/>
        <filter val="161,28"/>
        <filter val="168,00"/>
        <filter val="196,00"/>
        <filter val="2 750,16"/>
        <filter val="210,00"/>
        <filter val="252,00"/>
        <filter val="3 244,02"/>
        <filter val="3 519,02"/>
        <filter val="336,00"/>
        <filter val="42,00"/>
        <filter val="463,68"/>
        <filter val="56,00"/>
        <filter val="588,00"/>
        <filter val="60,00"/>
        <filter val="70,00"/>
        <filter val="84,00"/>
        <filter val="840,00"/>
        <filter val="960,00"/>
        <filter val="98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