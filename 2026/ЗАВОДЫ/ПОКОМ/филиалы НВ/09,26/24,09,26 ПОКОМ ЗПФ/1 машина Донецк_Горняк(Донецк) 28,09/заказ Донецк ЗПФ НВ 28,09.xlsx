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E775CA14-FAEC-4015-B59F-1CF60F1B6F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P183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Z138" i="1" s="1"/>
  <c r="Y136" i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Z99" i="1" s="1"/>
  <c r="Y93" i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0" i="1" s="1"/>
  <c r="Z22" i="1"/>
  <c r="Y22" i="1"/>
  <c r="Y31" i="1" s="1"/>
  <c r="P22" i="1"/>
  <c r="H10" i="1"/>
  <c r="A9" i="1"/>
  <c r="F10" i="1" s="1"/>
  <c r="D7" i="1"/>
  <c r="Q6" i="1"/>
  <c r="P2" i="1"/>
  <c r="Y36" i="1" l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Z284" i="1" s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Y279" i="1" l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<sst xmlns="http://schemas.openxmlformats.org/spreadsheetml/2006/main" count="1284" uniqueCount="419">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</sst>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1"/>
      <c r="B1" s="41"/>
      <c r="C1" s="41"/>
      <c r="D1" s="328" t="s">
        <v>0</v>
      </c>
      <c r="E1" s="296"/>
      <c r="F1" s="296"/>
      <c r="G1" s="12" t="s">
        <v>1</v>
      </c>
      <c r="H1" s="328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3" customFormat="1" ht="23.45" customHeight="1" x14ac:dyDescent="0.2">
      <c r="A5" s="357" t="s">
        <v>8</v>
      </c>
      <c r="B5" s="325"/>
      <c r="C5" s="326"/>
      <c r="D5" s="331"/>
      <c r="E5" s="332"/>
      <c r="F5" s="450" t="s">
        <v>9</v>
      </c>
      <c r="G5" s="326"/>
      <c r="H5" s="331"/>
      <c r="I5" s="414"/>
      <c r="J5" s="414"/>
      <c r="K5" s="414"/>
      <c r="L5" s="414"/>
      <c r="M5" s="332"/>
      <c r="N5" s="61"/>
      <c r="P5" s="24" t="s">
        <v>10</v>
      </c>
      <c r="Q5" s="456">
        <v>46286</v>
      </c>
      <c r="R5" s="356"/>
      <c r="T5" s="374" t="s">
        <v>11</v>
      </c>
      <c r="U5" s="375"/>
      <c r="V5" s="377" t="s">
        <v>12</v>
      </c>
      <c r="W5" s="356"/>
      <c r="AB5" s="51"/>
      <c r="AC5" s="51"/>
      <c r="AD5" s="51"/>
      <c r="AE5" s="51"/>
    </row>
    <row r="6" spans="1:32" s="273" customFormat="1" ht="24" customHeight="1" x14ac:dyDescent="0.2">
      <c r="A6" s="357" t="s">
        <v>13</v>
      </c>
      <c r="B6" s="325"/>
      <c r="C6" s="326"/>
      <c r="D6" s="416"/>
      <c r="E6" s="417"/>
      <c r="F6" s="417"/>
      <c r="G6" s="417"/>
      <c r="H6" s="417"/>
      <c r="I6" s="417"/>
      <c r="J6" s="417"/>
      <c r="K6" s="417"/>
      <c r="L6" s="417"/>
      <c r="M6" s="35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1" t="s">
        <v>15</v>
      </c>
      <c r="U6" s="375"/>
      <c r="V6" s="403" t="s">
        <v>16</v>
      </c>
      <c r="W6" s="312"/>
      <c r="AB6" s="51"/>
      <c r="AC6" s="51"/>
      <c r="AD6" s="51"/>
      <c r="AE6" s="51"/>
    </row>
    <row r="7" spans="1:32" s="273" customFormat="1" ht="21.75" hidden="1" customHeight="1" x14ac:dyDescent="0.2">
      <c r="A7" s="55"/>
      <c r="B7" s="55"/>
      <c r="C7" s="55"/>
      <c r="D7" s="314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2"/>
      <c r="U7" s="375"/>
      <c r="V7" s="404"/>
      <c r="W7" s="405"/>
      <c r="AB7" s="51"/>
      <c r="AC7" s="51"/>
      <c r="AD7" s="51"/>
      <c r="AE7" s="51"/>
    </row>
    <row r="8" spans="1:32" s="273" customFormat="1" ht="25.5" customHeight="1" x14ac:dyDescent="0.2">
      <c r="A8" s="467" t="s">
        <v>17</v>
      </c>
      <c r="B8" s="283"/>
      <c r="C8" s="284"/>
      <c r="D8" s="321"/>
      <c r="E8" s="322"/>
      <c r="F8" s="322"/>
      <c r="G8" s="322"/>
      <c r="H8" s="322"/>
      <c r="I8" s="322"/>
      <c r="J8" s="322"/>
      <c r="K8" s="322"/>
      <c r="L8" s="322"/>
      <c r="M8" s="323"/>
      <c r="N8" s="64"/>
      <c r="P8" s="24" t="s">
        <v>18</v>
      </c>
      <c r="Q8" s="360">
        <v>0.41666666666666669</v>
      </c>
      <c r="R8" s="316"/>
      <c r="T8" s="292"/>
      <c r="U8" s="375"/>
      <c r="V8" s="404"/>
      <c r="W8" s="405"/>
      <c r="AB8" s="51"/>
      <c r="AC8" s="51"/>
      <c r="AD8" s="51"/>
      <c r="AE8" s="51"/>
    </row>
    <row r="9" spans="1:32" s="273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4"/>
      <c r="E9" s="281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74"/>
      <c r="P9" s="26" t="s">
        <v>19</v>
      </c>
      <c r="Q9" s="353"/>
      <c r="R9" s="354"/>
      <c r="T9" s="292"/>
      <c r="U9" s="375"/>
      <c r="V9" s="406"/>
      <c r="W9" s="407"/>
      <c r="X9" s="43"/>
      <c r="Y9" s="43"/>
      <c r="Z9" s="43"/>
      <c r="AA9" s="43"/>
      <c r="AB9" s="51"/>
      <c r="AC9" s="51"/>
      <c r="AD9" s="51"/>
      <c r="AE9" s="51"/>
    </row>
    <row r="10" spans="1:32" s="273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4"/>
      <c r="E10" s="281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0" t="str">
        <f>IFERROR(VLOOKUP($D$10,Proxy,2,FALSE),"")</f>
        <v/>
      </c>
      <c r="I10" s="292"/>
      <c r="J10" s="292"/>
      <c r="K10" s="292"/>
      <c r="L10" s="292"/>
      <c r="M10" s="292"/>
      <c r="N10" s="272"/>
      <c r="P10" s="26" t="s">
        <v>20</v>
      </c>
      <c r="Q10" s="383"/>
      <c r="R10" s="384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3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431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73" customFormat="1" ht="18.600000000000001" customHeight="1" x14ac:dyDescent="0.2">
      <c r="A12" s="373" t="s">
        <v>27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28</v>
      </c>
      <c r="Q12" s="360"/>
      <c r="R12" s="316"/>
      <c r="S12" s="23"/>
      <c r="U12" s="24"/>
      <c r="V12" s="296"/>
      <c r="W12" s="292"/>
      <c r="AB12" s="51"/>
      <c r="AC12" s="51"/>
      <c r="AD12" s="51"/>
      <c r="AE12" s="51"/>
    </row>
    <row r="13" spans="1:32" s="273" customFormat="1" ht="23.25" customHeight="1" x14ac:dyDescent="0.2">
      <c r="A13" s="373" t="s">
        <v>29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30</v>
      </c>
      <c r="Q13" s="431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3" customFormat="1" ht="18.600000000000001" customHeight="1" x14ac:dyDescent="0.2">
      <c r="A14" s="373" t="s">
        <v>31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3" customFormat="1" ht="22.5" customHeight="1" x14ac:dyDescent="0.2">
      <c r="A15" s="390" t="s">
        <v>32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68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3" t="s">
        <v>36</v>
      </c>
      <c r="D17" s="304" t="s">
        <v>37</v>
      </c>
      <c r="E17" s="344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3"/>
      <c r="R17" s="343"/>
      <c r="S17" s="343"/>
      <c r="T17" s="344"/>
      <c r="U17" s="464" t="s">
        <v>49</v>
      </c>
      <c r="V17" s="326"/>
      <c r="W17" s="304" t="s">
        <v>50</v>
      </c>
      <c r="X17" s="304" t="s">
        <v>51</v>
      </c>
      <c r="Y17" s="465" t="s">
        <v>52</v>
      </c>
      <c r="Z17" s="412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5"/>
      <c r="E18" s="347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5"/>
      <c r="Q18" s="346"/>
      <c r="R18" s="346"/>
      <c r="S18" s="346"/>
      <c r="T18" s="347"/>
      <c r="U18" s="70" t="s">
        <v>59</v>
      </c>
      <c r="V18" s="70" t="s">
        <v>60</v>
      </c>
      <c r="W18" s="305"/>
      <c r="X18" s="305"/>
      <c r="Y18" s="466"/>
      <c r="Z18" s="413"/>
      <c r="AA18" s="402"/>
      <c r="AB18" s="402"/>
      <c r="AC18" s="402"/>
      <c r="AD18" s="447"/>
      <c r="AE18" s="448"/>
      <c r="AF18" s="449"/>
      <c r="AG18" s="69"/>
      <c r="BD18" s="68"/>
    </row>
    <row r="19" spans="1:68" ht="27.75" hidden="1" customHeight="1" x14ac:dyDescent="0.2">
      <c r="A19" s="348" t="s">
        <v>61</v>
      </c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48"/>
      <c r="AB19" s="48"/>
      <c r="AC19" s="48"/>
    </row>
    <row r="20" spans="1:68" ht="16.5" hidden="1" customHeight="1" x14ac:dyDescent="0.25">
      <c r="A20" s="294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hidden="1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4"/>
      <c r="V23" s="34"/>
      <c r="W23" s="35" t="s">
        <v>68</v>
      </c>
      <c r="X23" s="276">
        <v>48</v>
      </c>
      <c r="Y23" s="277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2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78">
        <f>IFERROR(SUM(X22:X29),"0")</f>
        <v>48</v>
      </c>
      <c r="Y30" s="278">
        <f>IFERROR(SUM(Y22:Y29),"0")</f>
        <v>48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2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78">
        <f>IFERROR(SUMPRODUCT(X22:X29*H22:H29),"0")</f>
        <v>307.20000000000005</v>
      </c>
      <c r="Y31" s="278">
        <f>IFERROR(SUMPRODUCT(Y22:Y29*H22:H29),"0")</f>
        <v>307.20000000000005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hidden="1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0"/>
      <c r="AB33" s="270"/>
      <c r="AC33" s="270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8">
        <v>4607111039019</v>
      </c>
      <c r="E34" s="289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8">
        <v>4607111038708</v>
      </c>
      <c r="E35" s="289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2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2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48" t="s">
        <v>95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48"/>
      <c r="AB38" s="48"/>
      <c r="AC38" s="48"/>
    </row>
    <row r="39" spans="1:68" ht="16.5" hidden="1" customHeight="1" x14ac:dyDescent="0.25">
      <c r="A39" s="294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hidden="1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0"/>
      <c r="AB40" s="270"/>
      <c r="AC40" s="270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8">
        <v>4607111036537</v>
      </c>
      <c r="E41" s="289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4"/>
      <c r="V41" s="34"/>
      <c r="W41" s="35" t="s">
        <v>68</v>
      </c>
      <c r="X41" s="276">
        <v>0</v>
      </c>
      <c r="Y41" s="277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8">
        <v>4607111036605</v>
      </c>
      <c r="E42" s="289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2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idden="1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2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78">
        <f>IFERROR(SUMPRODUCT(X41:X42*H41:H42),"0")</f>
        <v>0</v>
      </c>
      <c r="Y44" s="278">
        <f>IFERROR(SUMPRODUCT(Y41:Y42*H41:H42),"0")</f>
        <v>0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hidden="1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0"/>
      <c r="AB46" s="270"/>
      <c r="AC46" s="270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8">
        <v>4620207490075</v>
      </c>
      <c r="E47" s="289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68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8">
        <v>4620207490174</v>
      </c>
      <c r="E48" s="289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2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78">
        <f>IFERROR(SUM(X47:X48),"0")</f>
        <v>0</v>
      </c>
      <c r="Y49" s="278">
        <f>IFERROR(SUM(Y47:Y48),"0")</f>
        <v>0</v>
      </c>
      <c r="Z49" s="278">
        <f>IFERROR(IF(Z47="",0,Z47),"0")+IFERROR(IF(Z48="",0,Z48),"0")</f>
        <v>0</v>
      </c>
      <c r="AA49" s="279"/>
      <c r="AB49" s="279"/>
      <c r="AC49" s="279"/>
    </row>
    <row r="50" spans="1:68" hidden="1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2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78">
        <f>IFERROR(SUMPRODUCT(X47:X48*H47:H48),"0")</f>
        <v>0</v>
      </c>
      <c r="Y50" s="278">
        <f>IFERROR(SUMPRODUCT(Y47:Y48*H47:H48),"0")</f>
        <v>0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hidden="1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0"/>
      <c r="AB52" s="270"/>
      <c r="AC52" s="270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8">
        <v>4607111039385</v>
      </c>
      <c r="E53" s="289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8">
        <v>4607111038982</v>
      </c>
      <c r="E54" s="289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8">
        <v>4607111039354</v>
      </c>
      <c r="E55" s="289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8">
        <v>4607111039330</v>
      </c>
      <c r="E56" s="289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2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78">
        <f>IFERROR(SUM(X53:X56),"0")</f>
        <v>0</v>
      </c>
      <c r="Y57" s="278">
        <f>IFERROR(SUM(Y53:Y56),"0")</f>
        <v>0</v>
      </c>
      <c r="Z57" s="278">
        <f>IFERROR(IF(Z53="",0,Z53),"0")+IFERROR(IF(Z54="",0,Z54),"0")+IFERROR(IF(Z55="",0,Z55),"0")+IFERROR(IF(Z56="",0,Z56),"0")</f>
        <v>0</v>
      </c>
      <c r="AA57" s="279"/>
      <c r="AB57" s="279"/>
      <c r="AC57" s="279"/>
    </row>
    <row r="58" spans="1:68" hidden="1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2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78">
        <f>IFERROR(SUMPRODUCT(X53:X56*H53:H56),"0")</f>
        <v>0</v>
      </c>
      <c r="Y58" s="278">
        <f>IFERROR(SUMPRODUCT(Y53:Y56*H53:H56),"0")</f>
        <v>0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hidden="1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0"/>
      <c r="AB60" s="270"/>
      <c r="AC60" s="270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8">
        <v>4607111039712</v>
      </c>
      <c r="E61" s="289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2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2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0"/>
      <c r="AB64" s="270"/>
      <c r="AC64" s="270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8">
        <v>4607111037398</v>
      </c>
      <c r="E65" s="289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1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3"/>
      <c r="P66" s="282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2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8" t="s">
        <v>133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70"/>
      <c r="AB68" s="270"/>
      <c r="AC68" s="270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8">
        <v>4607111039705</v>
      </c>
      <c r="E69" s="289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8">
        <v>4607111039729</v>
      </c>
      <c r="E70" s="289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8">
        <v>4620207490228</v>
      </c>
      <c r="E71" s="289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1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3"/>
      <c r="P72" s="282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78">
        <f>IFERROR(SUM(X69:X71),"0")</f>
        <v>0</v>
      </c>
      <c r="Y72" s="278">
        <f>IFERROR(SUM(Y69:Y71),"0")</f>
        <v>0</v>
      </c>
      <c r="Z72" s="278">
        <f>IFERROR(IF(Z69="",0,Z69),"0")+IFERROR(IF(Z70="",0,Z70),"0")+IFERROR(IF(Z71="",0,Z71),"0")</f>
        <v>0</v>
      </c>
      <c r="AA72" s="279"/>
      <c r="AB72" s="279"/>
      <c r="AC72" s="279"/>
    </row>
    <row r="73" spans="1:68" hidden="1" x14ac:dyDescent="0.2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2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78">
        <f>IFERROR(SUMPRODUCT(X69:X71*H69:H71),"0")</f>
        <v>0</v>
      </c>
      <c r="Y73" s="278">
        <f>IFERROR(SUMPRODUCT(Y69:Y71*H69:H71),"0")</f>
        <v>0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71"/>
      <c r="AB74" s="271"/>
      <c r="AC74" s="271"/>
    </row>
    <row r="75" spans="1:68" ht="14.25" hidden="1" customHeight="1" x14ac:dyDescent="0.25">
      <c r="A75" s="308" t="s">
        <v>62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0"/>
      <c r="AB75" s="270"/>
      <c r="AC75" s="270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8">
        <v>4607111037411</v>
      </c>
      <c r="E76" s="289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8">
        <v>4607111036728</v>
      </c>
      <c r="E77" s="289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91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3"/>
      <c r="P78" s="282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78">
        <f>IFERROR(SUM(X76:X77),"0")</f>
        <v>0</v>
      </c>
      <c r="Y78" s="278">
        <f>IFERROR(SUM(Y76:Y77),"0")</f>
        <v>0</v>
      </c>
      <c r="Z78" s="278">
        <f>IFERROR(IF(Z76="",0,Z76),"0")+IFERROR(IF(Z77="",0,Z77),"0")</f>
        <v>0</v>
      </c>
      <c r="AA78" s="279"/>
      <c r="AB78" s="279"/>
      <c r="AC78" s="279"/>
    </row>
    <row r="79" spans="1:68" hidden="1" x14ac:dyDescent="0.2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2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78">
        <f>IFERROR(SUMPRODUCT(X76:X77*H76:H77),"0")</f>
        <v>0</v>
      </c>
      <c r="Y79" s="278">
        <f>IFERROR(SUMPRODUCT(Y76:Y77*H76:H77),"0")</f>
        <v>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  <c r="AA80" s="271"/>
      <c r="AB80" s="271"/>
      <c r="AC80" s="271"/>
    </row>
    <row r="81" spans="1:68" ht="14.25" hidden="1" customHeight="1" x14ac:dyDescent="0.25">
      <c r="A81" s="308" t="s">
        <v>133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0"/>
      <c r="AB81" s="270"/>
      <c r="AC81" s="270"/>
    </row>
    <row r="82" spans="1:68" ht="27" hidden="1" customHeight="1" x14ac:dyDescent="0.25">
      <c r="A82" s="54" t="s">
        <v>149</v>
      </c>
      <c r="B82" s="54" t="s">
        <v>150</v>
      </c>
      <c r="C82" s="31">
        <v>4301135574</v>
      </c>
      <c r="D82" s="288">
        <v>4607111033659</v>
      </c>
      <c r="E82" s="289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68</v>
      </c>
      <c r="X82" s="276">
        <v>0</v>
      </c>
      <c r="Y82" s="277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3"/>
      <c r="P83" s="282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78">
        <f>IFERROR(SUM(X82:X82),"0")</f>
        <v>0</v>
      </c>
      <c r="Y83" s="278">
        <f>IFERROR(SUM(Y82:Y82),"0")</f>
        <v>0</v>
      </c>
      <c r="Z83" s="278">
        <f>IFERROR(IF(Z82="",0,Z82),"0")</f>
        <v>0</v>
      </c>
      <c r="AA83" s="279"/>
      <c r="AB83" s="279"/>
      <c r="AC83" s="279"/>
    </row>
    <row r="84" spans="1:68" hidden="1" x14ac:dyDescent="0.2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2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78">
        <f>IFERROR(SUMPRODUCT(X82:X82*H82:H82),"0")</f>
        <v>0</v>
      </c>
      <c r="Y84" s="278">
        <f>IFERROR(SUMPRODUCT(Y82:Y82*H82:H82),"0")</f>
        <v>0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71"/>
      <c r="AB85" s="271"/>
      <c r="AC85" s="271"/>
    </row>
    <row r="86" spans="1:68" ht="14.25" hidden="1" customHeight="1" x14ac:dyDescent="0.25">
      <c r="A86" s="308" t="s">
        <v>153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0"/>
      <c r="AB86" s="270"/>
      <c r="AC86" s="270"/>
    </row>
    <row r="87" spans="1:68" ht="27" hidden="1" customHeight="1" x14ac:dyDescent="0.25">
      <c r="A87" s="54" t="s">
        <v>154</v>
      </c>
      <c r="B87" s="54" t="s">
        <v>155</v>
      </c>
      <c r="C87" s="31">
        <v>4301131047</v>
      </c>
      <c r="D87" s="288">
        <v>4607111034120</v>
      </c>
      <c r="E87" s="289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4"/>
      <c r="V87" s="34"/>
      <c r="W87" s="35" t="s">
        <v>68</v>
      </c>
      <c r="X87" s="276">
        <v>0</v>
      </c>
      <c r="Y87" s="277">
        <f>IFERROR(IF(X87="","",X87),"")</f>
        <v>0</v>
      </c>
      <c r="Z87" s="36">
        <f>IFERROR(IF(X87="","",X87*0.01788),"")</f>
        <v>0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0</v>
      </c>
      <c r="BN87" s="67">
        <f>IFERROR(Y87*I87,"0")</f>
        <v>0</v>
      </c>
      <c r="BO87" s="67">
        <f>IFERROR(X87/J87,"0")</f>
        <v>0</v>
      </c>
      <c r="BP87" s="67">
        <f>IFERROR(Y87/J87,"0")</f>
        <v>0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8">
        <v>4607111034137</v>
      </c>
      <c r="E88" s="289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291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3"/>
      <c r="P89" s="282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78">
        <f>IFERROR(SUM(X87:X88),"0")</f>
        <v>0</v>
      </c>
      <c r="Y89" s="278">
        <f>IFERROR(SUM(Y87:Y88),"0")</f>
        <v>0</v>
      </c>
      <c r="Z89" s="278">
        <f>IFERROR(IF(Z87="",0,Z87),"0")+IFERROR(IF(Z88="",0,Z88),"0")</f>
        <v>0</v>
      </c>
      <c r="AA89" s="279"/>
      <c r="AB89" s="279"/>
      <c r="AC89" s="279"/>
    </row>
    <row r="90" spans="1:68" hidden="1" x14ac:dyDescent="0.2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2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78">
        <f>IFERROR(SUMPRODUCT(X87:X88*H87:H88),"0")</f>
        <v>0</v>
      </c>
      <c r="Y90" s="278">
        <f>IFERROR(SUMPRODUCT(Y87:Y88*H87:H88),"0")</f>
        <v>0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71"/>
      <c r="AB91" s="271"/>
      <c r="AC91" s="271"/>
    </row>
    <row r="92" spans="1:68" ht="14.25" hidden="1" customHeight="1" x14ac:dyDescent="0.25">
      <c r="A92" s="308" t="s">
        <v>133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0"/>
      <c r="AB92" s="270"/>
      <c r="AC92" s="270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8">
        <v>4620207491027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1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4"/>
      <c r="V93" s="34"/>
      <c r="W93" s="35" t="s">
        <v>68</v>
      </c>
      <c r="X93" s="276">
        <v>0</v>
      </c>
      <c r="Y93" s="277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customHeight="1" x14ac:dyDescent="0.25">
      <c r="A94" s="54" t="s">
        <v>163</v>
      </c>
      <c r="B94" s="54" t="s">
        <v>164</v>
      </c>
      <c r="C94" s="31">
        <v>4301135914</v>
      </c>
      <c r="D94" s="288">
        <v>4620207491621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4"/>
      <c r="V94" s="34"/>
      <c r="W94" s="35" t="s">
        <v>68</v>
      </c>
      <c r="X94" s="276">
        <v>14</v>
      </c>
      <c r="Y94" s="277">
        <f t="shared" si="6"/>
        <v>14</v>
      </c>
      <c r="Z94" s="36">
        <f t="shared" si="7"/>
        <v>0.25031999999999999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166</v>
      </c>
      <c r="B95" s="54" t="s">
        <v>167</v>
      </c>
      <c r="C95" s="31">
        <v>4301135990</v>
      </c>
      <c r="D95" s="288">
        <v>4620207491881</v>
      </c>
      <c r="E95" s="289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168</v>
      </c>
      <c r="B96" s="54" t="s">
        <v>169</v>
      </c>
      <c r="C96" s="31">
        <v>4301135920</v>
      </c>
      <c r="D96" s="288">
        <v>4620207491577</v>
      </c>
      <c r="E96" s="289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4"/>
      <c r="V96" s="34"/>
      <c r="W96" s="35" t="s">
        <v>68</v>
      </c>
      <c r="X96" s="276">
        <v>0</v>
      </c>
      <c r="Y96" s="277">
        <f t="shared" si="6"/>
        <v>0</v>
      </c>
      <c r="Z96" s="36">
        <f t="shared" si="7"/>
        <v>0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88">
        <v>4620207491874</v>
      </c>
      <c r="E97" s="289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88">
        <v>4607111036407</v>
      </c>
      <c r="E98" s="289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1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91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3"/>
      <c r="P99" s="282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78">
        <f>IFERROR(SUM(X93:X98),"0")</f>
        <v>14</v>
      </c>
      <c r="Y99" s="278">
        <f>IFERROR(SUM(Y93:Y98),"0")</f>
        <v>14</v>
      </c>
      <c r="Z99" s="278">
        <f>IFERROR(IF(Z93="",0,Z93),"0")+IFERROR(IF(Z94="",0,Z94),"0")+IFERROR(IF(Z95="",0,Z95),"0")+IFERROR(IF(Z96="",0,Z96),"0")+IFERROR(IF(Z97="",0,Z97),"0")+IFERROR(IF(Z98="",0,Z98),"0")</f>
        <v>0.25031999999999999</v>
      </c>
      <c r="AA99" s="279"/>
      <c r="AB99" s="279"/>
      <c r="AC99" s="279"/>
    </row>
    <row r="100" spans="1:68" x14ac:dyDescent="0.2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2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78">
        <f>IFERROR(SUMPRODUCT(X93:X98*H93:H98),"0")</f>
        <v>40.32</v>
      </c>
      <c r="Y100" s="278">
        <f>IFERROR(SUMPRODUCT(Y93:Y98*H93:H98),"0")</f>
        <v>40.32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71"/>
      <c r="AB101" s="271"/>
      <c r="AC101" s="271"/>
    </row>
    <row r="102" spans="1:68" ht="14.25" hidden="1" customHeight="1" x14ac:dyDescent="0.25">
      <c r="A102" s="308" t="s">
        <v>129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0"/>
      <c r="AB102" s="270"/>
      <c r="AC102" s="270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8">
        <v>4620207491652</v>
      </c>
      <c r="E103" s="289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4"/>
      <c r="V103" s="34"/>
      <c r="W103" s="35" t="s">
        <v>68</v>
      </c>
      <c r="X103" s="276">
        <v>0</v>
      </c>
      <c r="Y103" s="277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8">
        <v>4620207491645</v>
      </c>
      <c r="E104" s="289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82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78">
        <f>IFERROR(SUM(X103:X104),"0")</f>
        <v>0</v>
      </c>
      <c r="Y105" s="278">
        <f>IFERROR(SUM(Y103:Y104),"0")</f>
        <v>0</v>
      </c>
      <c r="Z105" s="278">
        <f>IFERROR(IF(Z103="",0,Z103),"0")+IFERROR(IF(Z104="",0,Z104),"0")</f>
        <v>0</v>
      </c>
      <c r="AA105" s="279"/>
      <c r="AB105" s="279"/>
      <c r="AC105" s="279"/>
    </row>
    <row r="106" spans="1:68" hidden="1" x14ac:dyDescent="0.2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2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78">
        <f>IFERROR(SUMPRODUCT(X103:X104*H103:H104),"0")</f>
        <v>0</v>
      </c>
      <c r="Y106" s="278">
        <f>IFERROR(SUMPRODUCT(Y103:Y104*H103:H104),"0")</f>
        <v>0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71"/>
      <c r="AB107" s="271"/>
      <c r="AC107" s="271"/>
    </row>
    <row r="108" spans="1:68" ht="14.25" hidden="1" customHeight="1" x14ac:dyDescent="0.25">
      <c r="A108" s="308" t="s">
        <v>62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0"/>
      <c r="AB108" s="270"/>
      <c r="AC108" s="270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8">
        <v>4620207491157</v>
      </c>
      <c r="E109" s="289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4"/>
      <c r="V109" s="34"/>
      <c r="W109" s="35" t="s">
        <v>68</v>
      </c>
      <c r="X109" s="276">
        <v>0</v>
      </c>
      <c r="Y109" s="277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8">
        <v>4620207491393</v>
      </c>
      <c r="E110" s="289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8">
        <v>4607111039262</v>
      </c>
      <c r="E111" s="289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8">
        <v>4607111039248</v>
      </c>
      <c r="E112" s="289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4"/>
      <c r="V112" s="34"/>
      <c r="W112" s="35" t="s">
        <v>68</v>
      </c>
      <c r="X112" s="276">
        <v>24</v>
      </c>
      <c r="Y112" s="277">
        <f t="shared" si="12"/>
        <v>24</v>
      </c>
      <c r="Z112" s="36">
        <f t="shared" si="13"/>
        <v>0.372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175.2</v>
      </c>
      <c r="BN112" s="67">
        <f t="shared" si="15"/>
        <v>175.2</v>
      </c>
      <c r="BO112" s="67">
        <f t="shared" si="16"/>
        <v>0.2857142857142857</v>
      </c>
      <c r="BP112" s="67">
        <f t="shared" si="17"/>
        <v>0.2857142857142857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8">
        <v>4607111037145</v>
      </c>
      <c r="E113" s="289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4301071049</v>
      </c>
      <c r="D114" s="288">
        <v>4607111039293</v>
      </c>
      <c r="E114" s="289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197</v>
      </c>
      <c r="B115" s="54" t="s">
        <v>198</v>
      </c>
      <c r="C115" s="31">
        <v>4301071039</v>
      </c>
      <c r="D115" s="288">
        <v>4607111039279</v>
      </c>
      <c r="E115" s="289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291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3"/>
      <c r="P116" s="282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78">
        <f>IFERROR(SUM(X109:X115),"0")</f>
        <v>24</v>
      </c>
      <c r="Y116" s="278">
        <f>IFERROR(SUM(Y109:Y115),"0")</f>
        <v>24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0.372</v>
      </c>
      <c r="AA116" s="279"/>
      <c r="AB116" s="279"/>
      <c r="AC116" s="279"/>
    </row>
    <row r="117" spans="1:68" x14ac:dyDescent="0.2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2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78">
        <f>IFERROR(SUMPRODUCT(X109:X115*H109:H115),"0")</f>
        <v>168</v>
      </c>
      <c r="Y117" s="278">
        <f>IFERROR(SUMPRODUCT(Y109:Y115*H109:H115),"0")</f>
        <v>168</v>
      </c>
      <c r="Z117" s="37"/>
      <c r="AA117" s="279"/>
      <c r="AB117" s="279"/>
      <c r="AC117" s="279"/>
    </row>
    <row r="118" spans="1:68" ht="14.25" hidden="1" customHeight="1" x14ac:dyDescent="0.25">
      <c r="A118" s="308" t="s">
        <v>133</v>
      </c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70"/>
      <c r="AB118" s="270"/>
      <c r="AC118" s="270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88">
        <v>4620207490983</v>
      </c>
      <c r="E119" s="289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1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3"/>
      <c r="P120" s="282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2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8" t="s">
        <v>202</v>
      </c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70"/>
      <c r="AB122" s="270"/>
      <c r="AC122" s="270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88">
        <v>4620207491140</v>
      </c>
      <c r="E123" s="289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1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3"/>
      <c r="P124" s="282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2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71"/>
      <c r="AB126" s="271"/>
      <c r="AC126" s="271"/>
    </row>
    <row r="127" spans="1:68" ht="14.25" hidden="1" customHeight="1" x14ac:dyDescent="0.25">
      <c r="A127" s="308" t="s">
        <v>133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0"/>
      <c r="AB127" s="270"/>
      <c r="AC127" s="270"/>
    </row>
    <row r="128" spans="1:68" ht="27" hidden="1" customHeight="1" x14ac:dyDescent="0.25">
      <c r="A128" s="54" t="s">
        <v>207</v>
      </c>
      <c r="B128" s="54" t="s">
        <v>208</v>
      </c>
      <c r="C128" s="31">
        <v>4301135848</v>
      </c>
      <c r="D128" s="288">
        <v>4620207491799</v>
      </c>
      <c r="E128" s="289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4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4"/>
      <c r="V128" s="34"/>
      <c r="W128" s="35" t="s">
        <v>68</v>
      </c>
      <c r="X128" s="276">
        <v>0</v>
      </c>
      <c r="Y128" s="277">
        <f>IFERROR(IF(X128="","",X128),"")</f>
        <v>0</v>
      </c>
      <c r="Z128" s="36">
        <f>IFERROR(IF(X128="","",X128*0.00941),"")</f>
        <v>0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88">
        <v>4620207491492</v>
      </c>
      <c r="E129" s="289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88">
        <v>4620207491461</v>
      </c>
      <c r="E130" s="289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214</v>
      </c>
      <c r="B131" s="54" t="s">
        <v>215</v>
      </c>
      <c r="C131" s="31">
        <v>4301135865</v>
      </c>
      <c r="D131" s="288">
        <v>4620207491485</v>
      </c>
      <c r="E131" s="289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4"/>
      <c r="V131" s="34"/>
      <c r="W131" s="35" t="s">
        <v>68</v>
      </c>
      <c r="X131" s="276">
        <v>0</v>
      </c>
      <c r="Y131" s="277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291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3"/>
      <c r="P132" s="282" t="s">
        <v>87</v>
      </c>
      <c r="Q132" s="283"/>
      <c r="R132" s="283"/>
      <c r="S132" s="283"/>
      <c r="T132" s="283"/>
      <c r="U132" s="283"/>
      <c r="V132" s="284"/>
      <c r="W132" s="37" t="s">
        <v>68</v>
      </c>
      <c r="X132" s="278">
        <f>IFERROR(SUM(X128:X131),"0")</f>
        <v>0</v>
      </c>
      <c r="Y132" s="278">
        <f>IFERROR(SUM(Y128:Y131),"0")</f>
        <v>0</v>
      </c>
      <c r="Z132" s="278">
        <f>IFERROR(IF(Z128="",0,Z128),"0")+IFERROR(IF(Z129="",0,Z129),"0")+IFERROR(IF(Z130="",0,Z130),"0")+IFERROR(IF(Z131="",0,Z131),"0")</f>
        <v>0</v>
      </c>
      <c r="AA132" s="279"/>
      <c r="AB132" s="279"/>
      <c r="AC132" s="279"/>
    </row>
    <row r="133" spans="1:68" hidden="1" x14ac:dyDescent="0.2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2" t="s">
        <v>87</v>
      </c>
      <c r="Q133" s="283"/>
      <c r="R133" s="283"/>
      <c r="S133" s="283"/>
      <c r="T133" s="283"/>
      <c r="U133" s="283"/>
      <c r="V133" s="284"/>
      <c r="W133" s="37" t="s">
        <v>88</v>
      </c>
      <c r="X133" s="278">
        <f>IFERROR(SUMPRODUCT(X128:X131*H128:H131),"0")</f>
        <v>0</v>
      </c>
      <c r="Y133" s="278">
        <f>IFERROR(SUMPRODUCT(Y128:Y131*H128:H131),"0")</f>
        <v>0</v>
      </c>
      <c r="Z133" s="37"/>
      <c r="AA133" s="279"/>
      <c r="AB133" s="279"/>
      <c r="AC133" s="279"/>
    </row>
    <row r="134" spans="1:68" ht="14.25" hidden="1" customHeight="1" x14ac:dyDescent="0.25">
      <c r="A134" s="308" t="s">
        <v>216</v>
      </c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70"/>
      <c r="AB134" s="270"/>
      <c r="AC134" s="270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88">
        <v>4620207491386</v>
      </c>
      <c r="E135" s="289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88">
        <v>4620207491362</v>
      </c>
      <c r="E136" s="289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88">
        <v>4620207491379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1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3"/>
      <c r="P138" s="282" t="s">
        <v>87</v>
      </c>
      <c r="Q138" s="283"/>
      <c r="R138" s="283"/>
      <c r="S138" s="283"/>
      <c r="T138" s="283"/>
      <c r="U138" s="283"/>
      <c r="V138" s="284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2" t="s">
        <v>87</v>
      </c>
      <c r="Q139" s="283"/>
      <c r="R139" s="283"/>
      <c r="S139" s="283"/>
      <c r="T139" s="283"/>
      <c r="U139" s="283"/>
      <c r="V139" s="284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71"/>
      <c r="AB140" s="271"/>
      <c r="AC140" s="271"/>
    </row>
    <row r="141" spans="1:68" ht="14.25" hidden="1" customHeight="1" x14ac:dyDescent="0.25">
      <c r="A141" s="308" t="s">
        <v>133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0"/>
      <c r="AB141" s="270"/>
      <c r="AC141" s="270"/>
    </row>
    <row r="142" spans="1:68" ht="27" hidden="1" customHeight="1" x14ac:dyDescent="0.25">
      <c r="A142" s="54" t="s">
        <v>225</v>
      </c>
      <c r="B142" s="54" t="s">
        <v>226</v>
      </c>
      <c r="C142" s="31">
        <v>4301135555</v>
      </c>
      <c r="D142" s="288">
        <v>4607111034014</v>
      </c>
      <c r="E142" s="289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4"/>
      <c r="V142" s="34"/>
      <c r="W142" s="35" t="s">
        <v>68</v>
      </c>
      <c r="X142" s="276">
        <v>0</v>
      </c>
      <c r="Y142" s="277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228</v>
      </c>
      <c r="B143" s="54" t="s">
        <v>229</v>
      </c>
      <c r="C143" s="31">
        <v>4301135532</v>
      </c>
      <c r="D143" s="288">
        <v>4607111033994</v>
      </c>
      <c r="E143" s="289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4"/>
      <c r="V143" s="34"/>
      <c r="W143" s="35" t="s">
        <v>68</v>
      </c>
      <c r="X143" s="276">
        <v>0</v>
      </c>
      <c r="Y143" s="277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291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3"/>
      <c r="P144" s="282" t="s">
        <v>87</v>
      </c>
      <c r="Q144" s="283"/>
      <c r="R144" s="283"/>
      <c r="S144" s="283"/>
      <c r="T144" s="283"/>
      <c r="U144" s="283"/>
      <c r="V144" s="284"/>
      <c r="W144" s="37" t="s">
        <v>68</v>
      </c>
      <c r="X144" s="278">
        <f>IFERROR(SUM(X142:X143),"0")</f>
        <v>0</v>
      </c>
      <c r="Y144" s="278">
        <f>IFERROR(SUM(Y142:Y143),"0")</f>
        <v>0</v>
      </c>
      <c r="Z144" s="278">
        <f>IFERROR(IF(Z142="",0,Z142),"0")+IFERROR(IF(Z143="",0,Z143),"0")</f>
        <v>0</v>
      </c>
      <c r="AA144" s="279"/>
      <c r="AB144" s="279"/>
      <c r="AC144" s="279"/>
    </row>
    <row r="145" spans="1:68" hidden="1" x14ac:dyDescent="0.2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2" t="s">
        <v>87</v>
      </c>
      <c r="Q145" s="283"/>
      <c r="R145" s="283"/>
      <c r="S145" s="283"/>
      <c r="T145" s="283"/>
      <c r="U145" s="283"/>
      <c r="V145" s="284"/>
      <c r="W145" s="37" t="s">
        <v>88</v>
      </c>
      <c r="X145" s="278">
        <f>IFERROR(SUMPRODUCT(X142:X143*H142:H143),"0")</f>
        <v>0</v>
      </c>
      <c r="Y145" s="278">
        <f>IFERROR(SUMPRODUCT(Y142:Y143*H142:H143),"0")</f>
        <v>0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71"/>
      <c r="AB146" s="271"/>
      <c r="AC146" s="271"/>
    </row>
    <row r="147" spans="1:68" ht="14.25" hidden="1" customHeight="1" x14ac:dyDescent="0.25">
      <c r="A147" s="308" t="s">
        <v>133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0"/>
      <c r="AB147" s="270"/>
      <c r="AC147" s="270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88">
        <v>4607111039095</v>
      </c>
      <c r="E148" s="289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3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88">
        <v>4620207491768</v>
      </c>
      <c r="E149" s="289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88">
        <v>4620207491553</v>
      </c>
      <c r="E150" s="289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29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2" t="s">
        <v>87</v>
      </c>
      <c r="Q151" s="283"/>
      <c r="R151" s="283"/>
      <c r="S151" s="283"/>
      <c r="T151" s="283"/>
      <c r="U151" s="283"/>
      <c r="V151" s="284"/>
      <c r="W151" s="37" t="s">
        <v>68</v>
      </c>
      <c r="X151" s="278">
        <f>IFERROR(SUM(X148:X150),"0")</f>
        <v>0</v>
      </c>
      <c r="Y151" s="278">
        <f>IFERROR(SUM(Y148:Y150),"0")</f>
        <v>0</v>
      </c>
      <c r="Z151" s="278">
        <f>IFERROR(IF(Z148="",0,Z148),"0")+IFERROR(IF(Z149="",0,Z149),"0")+IFERROR(IF(Z150="",0,Z150),"0")</f>
        <v>0</v>
      </c>
      <c r="AA151" s="279"/>
      <c r="AB151" s="279"/>
      <c r="AC151" s="279"/>
    </row>
    <row r="152" spans="1:68" hidden="1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2" t="s">
        <v>87</v>
      </c>
      <c r="Q152" s="283"/>
      <c r="R152" s="283"/>
      <c r="S152" s="283"/>
      <c r="T152" s="283"/>
      <c r="U152" s="283"/>
      <c r="V152" s="284"/>
      <c r="W152" s="37" t="s">
        <v>88</v>
      </c>
      <c r="X152" s="278">
        <f>IFERROR(SUMPRODUCT(X148:X150*H148:H150),"0")</f>
        <v>0</v>
      </c>
      <c r="Y152" s="278">
        <f>IFERROR(SUMPRODUCT(Y148:Y150*H148:H150),"0")</f>
        <v>0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hidden="1" customHeight="1" x14ac:dyDescent="0.25">
      <c r="A154" s="308" t="s">
        <v>133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0"/>
      <c r="AB154" s="270"/>
      <c r="AC154" s="270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88">
        <v>4620207490914</v>
      </c>
      <c r="E155" s="289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88">
        <v>4620207491676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2" t="s">
        <v>87</v>
      </c>
      <c r="Q157" s="283"/>
      <c r="R157" s="283"/>
      <c r="S157" s="283"/>
      <c r="T157" s="283"/>
      <c r="U157" s="283"/>
      <c r="V157" s="284"/>
      <c r="W157" s="37" t="s">
        <v>68</v>
      </c>
      <c r="X157" s="278">
        <f>IFERROR(SUM(X155:X156),"0")</f>
        <v>0</v>
      </c>
      <c r="Y157" s="278">
        <f>IFERROR(SUM(Y155:Y156),"0")</f>
        <v>0</v>
      </c>
      <c r="Z157" s="278">
        <f>IFERROR(IF(Z155="",0,Z155),"0")+IFERROR(IF(Z156="",0,Z156),"0")</f>
        <v>0</v>
      </c>
      <c r="AA157" s="279"/>
      <c r="AB157" s="279"/>
      <c r="AC157" s="279"/>
    </row>
    <row r="158" spans="1:68" hidden="1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2" t="s">
        <v>87</v>
      </c>
      <c r="Q158" s="283"/>
      <c r="R158" s="283"/>
      <c r="S158" s="283"/>
      <c r="T158" s="283"/>
      <c r="U158" s="283"/>
      <c r="V158" s="284"/>
      <c r="W158" s="37" t="s">
        <v>88</v>
      </c>
      <c r="X158" s="278">
        <f>IFERROR(SUMPRODUCT(X155:X156*H155:H156),"0")</f>
        <v>0</v>
      </c>
      <c r="Y158" s="278">
        <f>IFERROR(SUMPRODUCT(Y155:Y156*H155:H156),"0")</f>
        <v>0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hidden="1" customHeight="1" x14ac:dyDescent="0.25">
      <c r="A160" s="308" t="s">
        <v>133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0"/>
      <c r="AB160" s="270"/>
      <c r="AC160" s="270"/>
    </row>
    <row r="161" spans="1:68" ht="27" hidden="1" customHeight="1" x14ac:dyDescent="0.25">
      <c r="A161" s="54" t="s">
        <v>246</v>
      </c>
      <c r="B161" s="54" t="s">
        <v>247</v>
      </c>
      <c r="C161" s="31">
        <v>4301135940</v>
      </c>
      <c r="D161" s="288">
        <v>4620207491614</v>
      </c>
      <c r="E161" s="289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9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4"/>
      <c r="V161" s="34"/>
      <c r="W161" s="35" t="s">
        <v>68</v>
      </c>
      <c r="X161" s="276">
        <v>0</v>
      </c>
      <c r="Y161" s="277">
        <f>IFERROR(IF(X161="","",X161),"")</f>
        <v>0</v>
      </c>
      <c r="Z161" s="36">
        <f>IFERROR(IF(X161="","",X161*0.01788),"")</f>
        <v>0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2" t="s">
        <v>87</v>
      </c>
      <c r="Q162" s="283"/>
      <c r="R162" s="283"/>
      <c r="S162" s="283"/>
      <c r="T162" s="283"/>
      <c r="U162" s="283"/>
      <c r="V162" s="284"/>
      <c r="W162" s="37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2" t="s">
        <v>87</v>
      </c>
      <c r="Q163" s="283"/>
      <c r="R163" s="283"/>
      <c r="S163" s="283"/>
      <c r="T163" s="283"/>
      <c r="U163" s="283"/>
      <c r="V163" s="284"/>
      <c r="W163" s="37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hidden="1" customHeight="1" x14ac:dyDescent="0.25">
      <c r="A165" s="308" t="s">
        <v>133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0"/>
      <c r="AB165" s="270"/>
      <c r="AC165" s="270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88">
        <v>4607111039613</v>
      </c>
      <c r="E166" s="289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2" t="s">
        <v>87</v>
      </c>
      <c r="Q167" s="283"/>
      <c r="R167" s="283"/>
      <c r="S167" s="283"/>
      <c r="T167" s="283"/>
      <c r="U167" s="283"/>
      <c r="V167" s="284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2" t="s">
        <v>87</v>
      </c>
      <c r="Q168" s="283"/>
      <c r="R168" s="283"/>
      <c r="S168" s="283"/>
      <c r="T168" s="283"/>
      <c r="U168" s="283"/>
      <c r="V168" s="284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hidden="1" customHeight="1" x14ac:dyDescent="0.25">
      <c r="A170" s="308" t="s">
        <v>133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0"/>
      <c r="AB170" s="270"/>
      <c r="AC170" s="270"/>
    </row>
    <row r="171" spans="1:68" ht="27" hidden="1" customHeight="1" x14ac:dyDescent="0.25">
      <c r="A171" s="54" t="s">
        <v>253</v>
      </c>
      <c r="B171" s="54" t="s">
        <v>254</v>
      </c>
      <c r="C171" s="31">
        <v>4301135591</v>
      </c>
      <c r="D171" s="288">
        <v>4607111036568</v>
      </c>
      <c r="E171" s="289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4"/>
      <c r="V171" s="34"/>
      <c r="W171" s="35" t="s">
        <v>68</v>
      </c>
      <c r="X171" s="276">
        <v>0</v>
      </c>
      <c r="Y171" s="277">
        <f>IFERROR(IF(X171="","",X171),"")</f>
        <v>0</v>
      </c>
      <c r="Z171" s="36">
        <f>IFERROR(IF(X171="","",X171*0.00941),"")</f>
        <v>0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2" t="s">
        <v>87</v>
      </c>
      <c r="Q172" s="283"/>
      <c r="R172" s="283"/>
      <c r="S172" s="283"/>
      <c r="T172" s="283"/>
      <c r="U172" s="283"/>
      <c r="V172" s="284"/>
      <c r="W172" s="37" t="s">
        <v>68</v>
      </c>
      <c r="X172" s="278">
        <f>IFERROR(SUM(X171:X171),"0")</f>
        <v>0</v>
      </c>
      <c r="Y172" s="278">
        <f>IFERROR(SUM(Y171:Y171),"0")</f>
        <v>0</v>
      </c>
      <c r="Z172" s="278">
        <f>IFERROR(IF(Z171="",0,Z171),"0")</f>
        <v>0</v>
      </c>
      <c r="AA172" s="279"/>
      <c r="AB172" s="279"/>
      <c r="AC172" s="279"/>
    </row>
    <row r="173" spans="1:68" hidden="1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2" t="s">
        <v>87</v>
      </c>
      <c r="Q173" s="283"/>
      <c r="R173" s="283"/>
      <c r="S173" s="283"/>
      <c r="T173" s="283"/>
      <c r="U173" s="283"/>
      <c r="V173" s="284"/>
      <c r="W173" s="37" t="s">
        <v>88</v>
      </c>
      <c r="X173" s="278">
        <f>IFERROR(SUMPRODUCT(X171:X171*H171:H171),"0")</f>
        <v>0</v>
      </c>
      <c r="Y173" s="278">
        <f>IFERROR(SUMPRODUCT(Y171:Y171*H171:H171),"0")</f>
        <v>0</v>
      </c>
      <c r="Z173" s="37"/>
      <c r="AA173" s="279"/>
      <c r="AB173" s="279"/>
      <c r="AC173" s="279"/>
    </row>
    <row r="174" spans="1:68" ht="27.75" hidden="1" customHeight="1" x14ac:dyDescent="0.2">
      <c r="A174" s="348" t="s">
        <v>256</v>
      </c>
      <c r="B174" s="349"/>
      <c r="C174" s="349"/>
      <c r="D174" s="349"/>
      <c r="E174" s="349"/>
      <c r="F174" s="349"/>
      <c r="G174" s="349"/>
      <c r="H174" s="349"/>
      <c r="I174" s="349"/>
      <c r="J174" s="349"/>
      <c r="K174" s="349"/>
      <c r="L174" s="349"/>
      <c r="M174" s="349"/>
      <c r="N174" s="349"/>
      <c r="O174" s="349"/>
      <c r="P174" s="349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48"/>
      <c r="AB174" s="48"/>
      <c r="AC174" s="48"/>
    </row>
    <row r="175" spans="1:68" ht="16.5" hidden="1" customHeight="1" x14ac:dyDescent="0.25">
      <c r="A175" s="294" t="s">
        <v>257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hidden="1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0"/>
      <c r="AB176" s="270"/>
      <c r="AC176" s="270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88">
        <v>4607111036384</v>
      </c>
      <c r="E177" s="289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88">
        <v>4607111036216</v>
      </c>
      <c r="E178" s="289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4"/>
      <c r="V178" s="34"/>
      <c r="W178" s="35" t="s">
        <v>68</v>
      </c>
      <c r="X178" s="276">
        <v>12</v>
      </c>
      <c r="Y178" s="277">
        <f>IFERROR(IF(X178="","",X178),"")</f>
        <v>12</v>
      </c>
      <c r="Z178" s="36">
        <f>IFERROR(IF(X178="","",X178*0.00866),"")</f>
        <v>0.10391999999999998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2" t="s">
        <v>87</v>
      </c>
      <c r="Q179" s="283"/>
      <c r="R179" s="283"/>
      <c r="S179" s="283"/>
      <c r="T179" s="283"/>
      <c r="U179" s="283"/>
      <c r="V179" s="284"/>
      <c r="W179" s="37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2" t="s">
        <v>87</v>
      </c>
      <c r="Q180" s="283"/>
      <c r="R180" s="283"/>
      <c r="S180" s="283"/>
      <c r="T180" s="283"/>
      <c r="U180" s="283"/>
      <c r="V180" s="284"/>
      <c r="W180" s="37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hidden="1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0"/>
      <c r="AB182" s="270"/>
      <c r="AC182" s="270"/>
    </row>
    <row r="183" spans="1:68" ht="27" customHeight="1" x14ac:dyDescent="0.25">
      <c r="A183" s="54" t="s">
        <v>265</v>
      </c>
      <c r="B183" s="54" t="s">
        <v>266</v>
      </c>
      <c r="C183" s="31">
        <v>4301071117</v>
      </c>
      <c r="D183" s="288">
        <v>4620207491737</v>
      </c>
      <c r="E183" s="289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4"/>
      <c r="V183" s="34"/>
      <c r="W183" s="35" t="s">
        <v>68</v>
      </c>
      <c r="X183" s="276">
        <v>216</v>
      </c>
      <c r="Y183" s="277">
        <f>IFERROR(IF(X183="","",X183),"")</f>
        <v>216</v>
      </c>
      <c r="Z183" s="36">
        <f>IFERROR(IF(X183="","",X183*0.0155),"")</f>
        <v>3.3479999999999999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1136.5919999999999</v>
      </c>
      <c r="BN183" s="67">
        <f>IFERROR(Y183*I183,"0")</f>
        <v>1136.5919999999999</v>
      </c>
      <c r="BO183" s="67">
        <f>IFERROR(X183/J183,"0")</f>
        <v>2.5714285714285716</v>
      </c>
      <c r="BP183" s="67">
        <f>IFERROR(Y183/J183,"0")</f>
        <v>2.5714285714285716</v>
      </c>
    </row>
    <row r="184" spans="1:68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2" t="s">
        <v>87</v>
      </c>
      <c r="Q184" s="283"/>
      <c r="R184" s="283"/>
      <c r="S184" s="283"/>
      <c r="T184" s="283"/>
      <c r="U184" s="283"/>
      <c r="V184" s="284"/>
      <c r="W184" s="37" t="s">
        <v>68</v>
      </c>
      <c r="X184" s="278">
        <f>IFERROR(SUM(X183:X183),"0")</f>
        <v>216</v>
      </c>
      <c r="Y184" s="278">
        <f>IFERROR(SUM(Y183:Y183),"0")</f>
        <v>216</v>
      </c>
      <c r="Z184" s="278">
        <f>IFERROR(IF(Z183="",0,Z183),"0")</f>
        <v>3.3479999999999999</v>
      </c>
      <c r="AA184" s="279"/>
      <c r="AB184" s="279"/>
      <c r="AC184" s="279"/>
    </row>
    <row r="185" spans="1:68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2" t="s">
        <v>87</v>
      </c>
      <c r="Q185" s="283"/>
      <c r="R185" s="283"/>
      <c r="S185" s="283"/>
      <c r="T185" s="283"/>
      <c r="U185" s="283"/>
      <c r="V185" s="284"/>
      <c r="W185" s="37" t="s">
        <v>88</v>
      </c>
      <c r="X185" s="278">
        <f>IFERROR(SUMPRODUCT(X183:X183*H183:H183),"0")</f>
        <v>1080</v>
      </c>
      <c r="Y185" s="278">
        <f>IFERROR(SUMPRODUCT(Y183:Y183*H183:H183),"0")</f>
        <v>1080</v>
      </c>
      <c r="Z185" s="37"/>
      <c r="AA185" s="279"/>
      <c r="AB185" s="279"/>
      <c r="AC185" s="279"/>
    </row>
    <row r="186" spans="1:68" ht="27.75" hidden="1" customHeight="1" x14ac:dyDescent="0.2">
      <c r="A186" s="348" t="s">
        <v>267</v>
      </c>
      <c r="B186" s="349"/>
      <c r="C186" s="349"/>
      <c r="D186" s="349"/>
      <c r="E186" s="349"/>
      <c r="F186" s="349"/>
      <c r="G186" s="349"/>
      <c r="H186" s="349"/>
      <c r="I186" s="349"/>
      <c r="J186" s="349"/>
      <c r="K186" s="349"/>
      <c r="L186" s="349"/>
      <c r="M186" s="349"/>
      <c r="N186" s="349"/>
      <c r="O186" s="349"/>
      <c r="P186" s="349"/>
      <c r="Q186" s="349"/>
      <c r="R186" s="349"/>
      <c r="S186" s="349"/>
      <c r="T186" s="349"/>
      <c r="U186" s="349"/>
      <c r="V186" s="349"/>
      <c r="W186" s="349"/>
      <c r="X186" s="349"/>
      <c r="Y186" s="349"/>
      <c r="Z186" s="349"/>
      <c r="AA186" s="48"/>
      <c r="AB186" s="48"/>
      <c r="AC186" s="48"/>
    </row>
    <row r="187" spans="1:68" ht="16.5" hidden="1" customHeight="1" x14ac:dyDescent="0.25">
      <c r="A187" s="294" t="s">
        <v>268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hidden="1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0"/>
      <c r="AB188" s="270"/>
      <c r="AC188" s="270"/>
    </row>
    <row r="189" spans="1:68" ht="16.5" hidden="1" customHeight="1" x14ac:dyDescent="0.25">
      <c r="A189" s="54" t="s">
        <v>269</v>
      </c>
      <c r="B189" s="54" t="s">
        <v>270</v>
      </c>
      <c r="C189" s="31">
        <v>4301132179</v>
      </c>
      <c r="D189" s="288">
        <v>4607111035691</v>
      </c>
      <c r="E189" s="289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4"/>
      <c r="V189" s="34"/>
      <c r="W189" s="35" t="s">
        <v>68</v>
      </c>
      <c r="X189" s="276">
        <v>0</v>
      </c>
      <c r="Y189" s="277">
        <f>IFERROR(IF(X189="","",X189),"")</f>
        <v>0</v>
      </c>
      <c r="Z189" s="36">
        <f>IFERROR(IF(X189="","",X189*0.01788),"")</f>
        <v>0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272</v>
      </c>
      <c r="B190" s="54" t="s">
        <v>273</v>
      </c>
      <c r="C190" s="31">
        <v>4301132182</v>
      </c>
      <c r="D190" s="288">
        <v>4607111035721</v>
      </c>
      <c r="E190" s="289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4"/>
      <c r="V190" s="34"/>
      <c r="W190" s="35" t="s">
        <v>68</v>
      </c>
      <c r="X190" s="276">
        <v>0</v>
      </c>
      <c r="Y190" s="277">
        <f>IFERROR(IF(X190="","",X190),"")</f>
        <v>0</v>
      </c>
      <c r="Z190" s="36">
        <f>IFERROR(IF(X190="","",X190*0.01788),"")</f>
        <v>0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hidden="1" customHeight="1" x14ac:dyDescent="0.25">
      <c r="A191" s="54" t="s">
        <v>275</v>
      </c>
      <c r="B191" s="54" t="s">
        <v>276</v>
      </c>
      <c r="C191" s="31">
        <v>4301132170</v>
      </c>
      <c r="D191" s="288">
        <v>4607111038487</v>
      </c>
      <c r="E191" s="289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4"/>
      <c r="V191" s="34"/>
      <c r="W191" s="35" t="s">
        <v>68</v>
      </c>
      <c r="X191" s="276">
        <v>0</v>
      </c>
      <c r="Y191" s="277">
        <f>IFERROR(IF(X191="","",X191),"")</f>
        <v>0</v>
      </c>
      <c r="Z191" s="36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88">
        <v>4620207491195</v>
      </c>
      <c r="E192" s="289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2" t="s">
        <v>87</v>
      </c>
      <c r="Q193" s="283"/>
      <c r="R193" s="283"/>
      <c r="S193" s="283"/>
      <c r="T193" s="283"/>
      <c r="U193" s="283"/>
      <c r="V193" s="284"/>
      <c r="W193" s="37" t="s">
        <v>68</v>
      </c>
      <c r="X193" s="278">
        <f>IFERROR(SUM(X189:X192),"0")</f>
        <v>0</v>
      </c>
      <c r="Y193" s="278">
        <f>IFERROR(SUM(Y189:Y192),"0")</f>
        <v>0</v>
      </c>
      <c r="Z193" s="278">
        <f>IFERROR(IF(Z189="",0,Z189),"0")+IFERROR(IF(Z190="",0,Z190),"0")+IFERROR(IF(Z191="",0,Z191),"0")+IFERROR(IF(Z192="",0,Z192),"0")</f>
        <v>0</v>
      </c>
      <c r="AA193" s="279"/>
      <c r="AB193" s="279"/>
      <c r="AC193" s="279"/>
    </row>
    <row r="194" spans="1:68" hidden="1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2" t="s">
        <v>87</v>
      </c>
      <c r="Q194" s="283"/>
      <c r="R194" s="283"/>
      <c r="S194" s="283"/>
      <c r="T194" s="283"/>
      <c r="U194" s="283"/>
      <c r="V194" s="284"/>
      <c r="W194" s="37" t="s">
        <v>88</v>
      </c>
      <c r="X194" s="278">
        <f>IFERROR(SUMPRODUCT(X189:X192*H189:H192),"0")</f>
        <v>0</v>
      </c>
      <c r="Y194" s="278">
        <f>IFERROR(SUMPRODUCT(Y189:Y192*H189:H192),"0")</f>
        <v>0</v>
      </c>
      <c r="Z194" s="37"/>
      <c r="AA194" s="279"/>
      <c r="AB194" s="279"/>
      <c r="AC194" s="279"/>
    </row>
    <row r="195" spans="1:68" ht="27.75" hidden="1" customHeight="1" x14ac:dyDescent="0.2">
      <c r="A195" s="348" t="s">
        <v>281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48"/>
      <c r="AB195" s="48"/>
      <c r="AC195" s="48"/>
    </row>
    <row r="196" spans="1:68" ht="16.5" hidden="1" customHeight="1" x14ac:dyDescent="0.25">
      <c r="A196" s="294" t="s">
        <v>282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hidden="1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0"/>
      <c r="AB197" s="270"/>
      <c r="AC197" s="270"/>
    </row>
    <row r="198" spans="1:68" ht="27" hidden="1" customHeight="1" x14ac:dyDescent="0.25">
      <c r="A198" s="54" t="s">
        <v>283</v>
      </c>
      <c r="B198" s="54" t="s">
        <v>284</v>
      </c>
      <c r="C198" s="31">
        <v>4301132227</v>
      </c>
      <c r="D198" s="288">
        <v>4620207491133</v>
      </c>
      <c r="E198" s="289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4"/>
      <c r="V198" s="34"/>
      <c r="W198" s="35" t="s">
        <v>68</v>
      </c>
      <c r="X198" s="276">
        <v>0</v>
      </c>
      <c r="Y198" s="277">
        <f>IFERROR(IF(X198="","",X198),"")</f>
        <v>0</v>
      </c>
      <c r="Z198" s="36">
        <f>IFERROR(IF(X198="","",X198*0.01788),"")</f>
        <v>0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2" t="s">
        <v>87</v>
      </c>
      <c r="Q199" s="283"/>
      <c r="R199" s="283"/>
      <c r="S199" s="283"/>
      <c r="T199" s="283"/>
      <c r="U199" s="283"/>
      <c r="V199" s="284"/>
      <c r="W199" s="37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2" t="s">
        <v>87</v>
      </c>
      <c r="Q200" s="283"/>
      <c r="R200" s="283"/>
      <c r="S200" s="283"/>
      <c r="T200" s="283"/>
      <c r="U200" s="283"/>
      <c r="V200" s="284"/>
      <c r="W200" s="37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7"/>
      <c r="AA200" s="279"/>
      <c r="AB200" s="279"/>
      <c r="AC200" s="279"/>
    </row>
    <row r="201" spans="1:68" ht="14.25" hidden="1" customHeight="1" x14ac:dyDescent="0.25">
      <c r="A201" s="308" t="s">
        <v>133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0"/>
      <c r="AB201" s="270"/>
      <c r="AC201" s="270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88">
        <v>4620207491188</v>
      </c>
      <c r="E202" s="289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88">
        <v>4620207490235</v>
      </c>
      <c r="E203" s="289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88">
        <v>4620207490259</v>
      </c>
      <c r="E204" s="289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2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2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hidden="1" customHeight="1" x14ac:dyDescent="0.25">
      <c r="A208" s="308" t="s">
        <v>133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0"/>
      <c r="AB208" s="270"/>
      <c r="AC208" s="270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88">
        <v>4620207491706</v>
      </c>
      <c r="E209" s="289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88">
        <v>4620207491522</v>
      </c>
      <c r="E210" s="289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2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2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hidden="1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0"/>
      <c r="AB214" s="270"/>
      <c r="AC214" s="270"/>
    </row>
    <row r="215" spans="1:68" ht="27" hidden="1" customHeight="1" x14ac:dyDescent="0.25">
      <c r="A215" s="54" t="s">
        <v>303</v>
      </c>
      <c r="B215" s="54" t="s">
        <v>304</v>
      </c>
      <c r="C215" s="31">
        <v>4301071097</v>
      </c>
      <c r="D215" s="288">
        <v>4620207491096</v>
      </c>
      <c r="E215" s="289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4"/>
      <c r="V215" s="34"/>
      <c r="W215" s="35" t="s">
        <v>68</v>
      </c>
      <c r="X215" s="276">
        <v>0</v>
      </c>
      <c r="Y215" s="277">
        <f>IFERROR(IF(X215="","",X215),"")</f>
        <v>0</v>
      </c>
      <c r="Z215" s="36">
        <f>IFERROR(IF(X215="","",X215*0.0155),"")</f>
        <v>0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2" t="s">
        <v>87</v>
      </c>
      <c r="Q216" s="283"/>
      <c r="R216" s="283"/>
      <c r="S216" s="283"/>
      <c r="T216" s="283"/>
      <c r="U216" s="283"/>
      <c r="V216" s="284"/>
      <c r="W216" s="37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idden="1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2" t="s">
        <v>87</v>
      </c>
      <c r="Q217" s="283"/>
      <c r="R217" s="283"/>
      <c r="S217" s="283"/>
      <c r="T217" s="283"/>
      <c r="U217" s="283"/>
      <c r="V217" s="284"/>
      <c r="W217" s="37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hidden="1" customHeight="1" x14ac:dyDescent="0.25">
      <c r="A219" s="308" t="s">
        <v>133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0"/>
      <c r="AB219" s="270"/>
      <c r="AC219" s="270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88">
        <v>4620207490501</v>
      </c>
      <c r="E220" s="289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2" t="s">
        <v>87</v>
      </c>
      <c r="Q221" s="283"/>
      <c r="R221" s="283"/>
      <c r="S221" s="283"/>
      <c r="T221" s="283"/>
      <c r="U221" s="283"/>
      <c r="V221" s="284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2" t="s">
        <v>87</v>
      </c>
      <c r="Q222" s="283"/>
      <c r="R222" s="283"/>
      <c r="S222" s="283"/>
      <c r="T222" s="283"/>
      <c r="U222" s="283"/>
      <c r="V222" s="284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48" t="s">
        <v>310</v>
      </c>
      <c r="B223" s="349"/>
      <c r="C223" s="349"/>
      <c r="D223" s="349"/>
      <c r="E223" s="349"/>
      <c r="F223" s="349"/>
      <c r="G223" s="349"/>
      <c r="H223" s="349"/>
      <c r="I223" s="349"/>
      <c r="J223" s="349"/>
      <c r="K223" s="349"/>
      <c r="L223" s="349"/>
      <c r="M223" s="349"/>
      <c r="N223" s="349"/>
      <c r="O223" s="349"/>
      <c r="P223" s="349"/>
      <c r="Q223" s="349"/>
      <c r="R223" s="349"/>
      <c r="S223" s="349"/>
      <c r="T223" s="349"/>
      <c r="U223" s="349"/>
      <c r="V223" s="349"/>
      <c r="W223" s="349"/>
      <c r="X223" s="349"/>
      <c r="Y223" s="349"/>
      <c r="Z223" s="349"/>
      <c r="AA223" s="48"/>
      <c r="AB223" s="48"/>
      <c r="AC223" s="48"/>
    </row>
    <row r="224" spans="1:68" ht="16.5" hidden="1" customHeight="1" x14ac:dyDescent="0.25">
      <c r="A224" s="294" t="s">
        <v>311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hidden="1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0"/>
      <c r="AB225" s="270"/>
      <c r="AC225" s="270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88">
        <v>4607111036162</v>
      </c>
      <c r="E226" s="289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2" t="s">
        <v>87</v>
      </c>
      <c r="Q227" s="283"/>
      <c r="R227" s="283"/>
      <c r="S227" s="283"/>
      <c r="T227" s="283"/>
      <c r="U227" s="283"/>
      <c r="V227" s="284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2" t="s">
        <v>87</v>
      </c>
      <c r="Q228" s="283"/>
      <c r="R228" s="283"/>
      <c r="S228" s="283"/>
      <c r="T228" s="283"/>
      <c r="U228" s="283"/>
      <c r="V228" s="284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48" t="s">
        <v>315</v>
      </c>
      <c r="B229" s="349"/>
      <c r="C229" s="349"/>
      <c r="D229" s="349"/>
      <c r="E229" s="349"/>
      <c r="F229" s="349"/>
      <c r="G229" s="349"/>
      <c r="H229" s="349"/>
      <c r="I229" s="349"/>
      <c r="J229" s="349"/>
      <c r="K229" s="349"/>
      <c r="L229" s="349"/>
      <c r="M229" s="349"/>
      <c r="N229" s="349"/>
      <c r="O229" s="349"/>
      <c r="P229" s="349"/>
      <c r="Q229" s="349"/>
      <c r="R229" s="349"/>
      <c r="S229" s="349"/>
      <c r="T229" s="349"/>
      <c r="U229" s="349"/>
      <c r="V229" s="349"/>
      <c r="W229" s="349"/>
      <c r="X229" s="349"/>
      <c r="Y229" s="349"/>
      <c r="Z229" s="349"/>
      <c r="AA229" s="48"/>
      <c r="AB229" s="48"/>
      <c r="AC229" s="48"/>
    </row>
    <row r="230" spans="1:68" ht="16.5" hidden="1" customHeight="1" x14ac:dyDescent="0.25">
      <c r="A230" s="294" t="s">
        <v>316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hidden="1" customHeight="1" x14ac:dyDescent="0.25">
      <c r="A231" s="308" t="s">
        <v>317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0"/>
      <c r="AB231" s="270"/>
      <c r="AC231" s="270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88">
        <v>4607111039774</v>
      </c>
      <c r="E232" s="289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2" t="s">
        <v>87</v>
      </c>
      <c r="Q233" s="283"/>
      <c r="R233" s="283"/>
      <c r="S233" s="283"/>
      <c r="T233" s="283"/>
      <c r="U233" s="283"/>
      <c r="V233" s="284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2" t="s">
        <v>87</v>
      </c>
      <c r="Q234" s="283"/>
      <c r="R234" s="283"/>
      <c r="S234" s="283"/>
      <c r="T234" s="283"/>
      <c r="U234" s="283"/>
      <c r="V234" s="284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8" t="s">
        <v>133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0"/>
      <c r="AB235" s="270"/>
      <c r="AC235" s="270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88">
        <v>4607111039361</v>
      </c>
      <c r="E236" s="289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2" t="s">
        <v>87</v>
      </c>
      <c r="Q237" s="283"/>
      <c r="R237" s="283"/>
      <c r="S237" s="283"/>
      <c r="T237" s="283"/>
      <c r="U237" s="283"/>
      <c r="V237" s="284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2" t="s">
        <v>87</v>
      </c>
      <c r="Q238" s="283"/>
      <c r="R238" s="283"/>
      <c r="S238" s="283"/>
      <c r="T238" s="283"/>
      <c r="U238" s="283"/>
      <c r="V238" s="284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48" t="s">
        <v>323</v>
      </c>
      <c r="B239" s="349"/>
      <c r="C239" s="349"/>
      <c r="D239" s="349"/>
      <c r="E239" s="349"/>
      <c r="F239" s="349"/>
      <c r="G239" s="349"/>
      <c r="H239" s="349"/>
      <c r="I239" s="349"/>
      <c r="J239" s="349"/>
      <c r="K239" s="349"/>
      <c r="L239" s="349"/>
      <c r="M239" s="349"/>
      <c r="N239" s="349"/>
      <c r="O239" s="349"/>
      <c r="P239" s="349"/>
      <c r="Q239" s="349"/>
      <c r="R239" s="349"/>
      <c r="S239" s="349"/>
      <c r="T239" s="349"/>
      <c r="U239" s="349"/>
      <c r="V239" s="349"/>
      <c r="W239" s="349"/>
      <c r="X239" s="349"/>
      <c r="Y239" s="349"/>
      <c r="Z239" s="349"/>
      <c r="AA239" s="48"/>
      <c r="AB239" s="48"/>
      <c r="AC239" s="48"/>
    </row>
    <row r="240" spans="1:68" ht="16.5" hidden="1" customHeight="1" x14ac:dyDescent="0.25">
      <c r="A240" s="294" t="s">
        <v>323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hidden="1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0"/>
      <c r="AB241" s="270"/>
      <c r="AC241" s="270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88">
        <v>4640242181950</v>
      </c>
      <c r="E242" s="289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2" t="s">
        <v>87</v>
      </c>
      <c r="Q243" s="283"/>
      <c r="R243" s="283"/>
      <c r="S243" s="283"/>
      <c r="T243" s="283"/>
      <c r="U243" s="283"/>
      <c r="V243" s="284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2" t="s">
        <v>87</v>
      </c>
      <c r="Q244" s="283"/>
      <c r="R244" s="283"/>
      <c r="S244" s="283"/>
      <c r="T244" s="283"/>
      <c r="U244" s="283"/>
      <c r="V244" s="284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0"/>
      <c r="AB245" s="270"/>
      <c r="AC245" s="270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88">
        <v>4640242181943</v>
      </c>
      <c r="E246" s="289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2" t="s">
        <v>87</v>
      </c>
      <c r="Q247" s="283"/>
      <c r="R247" s="283"/>
      <c r="S247" s="283"/>
      <c r="T247" s="283"/>
      <c r="U247" s="283"/>
      <c r="V247" s="284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2" t="s">
        <v>87</v>
      </c>
      <c r="Q248" s="283"/>
      <c r="R248" s="283"/>
      <c r="S248" s="283"/>
      <c r="T248" s="283"/>
      <c r="U248" s="283"/>
      <c r="V248" s="284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48" t="s">
        <v>330</v>
      </c>
      <c r="B249" s="349"/>
      <c r="C249" s="349"/>
      <c r="D249" s="349"/>
      <c r="E249" s="349"/>
      <c r="F249" s="349"/>
      <c r="G249" s="349"/>
      <c r="H249" s="349"/>
      <c r="I249" s="349"/>
      <c r="J249" s="349"/>
      <c r="K249" s="349"/>
      <c r="L249" s="349"/>
      <c r="M249" s="349"/>
      <c r="N249" s="349"/>
      <c r="O249" s="349"/>
      <c r="P249" s="349"/>
      <c r="Q249" s="349"/>
      <c r="R249" s="349"/>
      <c r="S249" s="349"/>
      <c r="T249" s="349"/>
      <c r="U249" s="349"/>
      <c r="V249" s="349"/>
      <c r="W249" s="349"/>
      <c r="X249" s="349"/>
      <c r="Y249" s="349"/>
      <c r="Z249" s="349"/>
      <c r="AA249" s="48"/>
      <c r="AB249" s="48"/>
      <c r="AC249" s="48"/>
    </row>
    <row r="250" spans="1:68" ht="16.5" hidden="1" customHeight="1" x14ac:dyDescent="0.25">
      <c r="A250" s="294" t="s">
        <v>330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hidden="1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0"/>
      <c r="AB251" s="270"/>
      <c r="AC251" s="270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88">
        <v>4640242181264</v>
      </c>
      <c r="E252" s="289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88">
        <v>4620207491980</v>
      </c>
      <c r="E253" s="289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2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2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0"/>
      <c r="AB256" s="270"/>
      <c r="AC256" s="270"/>
    </row>
    <row r="257" spans="1:68" ht="27" hidden="1" customHeight="1" x14ac:dyDescent="0.25">
      <c r="A257" s="54" t="s">
        <v>337</v>
      </c>
      <c r="B257" s="54" t="s">
        <v>338</v>
      </c>
      <c r="C257" s="31">
        <v>4301132080</v>
      </c>
      <c r="D257" s="288">
        <v>4640242180397</v>
      </c>
      <c r="E257" s="289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2" t="s">
        <v>87</v>
      </c>
      <c r="Q258" s="283"/>
      <c r="R258" s="283"/>
      <c r="S258" s="283"/>
      <c r="T258" s="283"/>
      <c r="U258" s="283"/>
      <c r="V258" s="284"/>
      <c r="W258" s="37" t="s">
        <v>68</v>
      </c>
      <c r="X258" s="278">
        <f>IFERROR(SUM(X257:X257),"0")</f>
        <v>0</v>
      </c>
      <c r="Y258" s="278">
        <f>IFERROR(SUM(Y257:Y257),"0")</f>
        <v>0</v>
      </c>
      <c r="Z258" s="278">
        <f>IFERROR(IF(Z257="",0,Z257),"0")</f>
        <v>0</v>
      </c>
      <c r="AA258" s="279"/>
      <c r="AB258" s="279"/>
      <c r="AC258" s="279"/>
    </row>
    <row r="259" spans="1:68" hidden="1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2" t="s">
        <v>87</v>
      </c>
      <c r="Q259" s="283"/>
      <c r="R259" s="283"/>
      <c r="S259" s="283"/>
      <c r="T259" s="283"/>
      <c r="U259" s="283"/>
      <c r="V259" s="284"/>
      <c r="W259" s="37" t="s">
        <v>88</v>
      </c>
      <c r="X259" s="278">
        <f>IFERROR(SUMPRODUCT(X257:X257*H257:H257),"0")</f>
        <v>0</v>
      </c>
      <c r="Y259" s="278">
        <f>IFERROR(SUMPRODUCT(Y257:Y257*H257:H257),"0")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0"/>
      <c r="AB260" s="270"/>
      <c r="AC260" s="270"/>
    </row>
    <row r="261" spans="1:68" ht="27" hidden="1" customHeight="1" x14ac:dyDescent="0.25">
      <c r="A261" s="54" t="s">
        <v>340</v>
      </c>
      <c r="B261" s="54" t="s">
        <v>341</v>
      </c>
      <c r="C261" s="31">
        <v>4301136051</v>
      </c>
      <c r="D261" s="288">
        <v>4640242180304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88">
        <v>4640242180236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4"/>
      <c r="V262" s="34"/>
      <c r="W262" s="35" t="s">
        <v>68</v>
      </c>
      <c r="X262" s="276">
        <v>24</v>
      </c>
      <c r="Y262" s="277">
        <f>IFERROR(IF(X262="","",X262),"")</f>
        <v>24</v>
      </c>
      <c r="Z262" s="36">
        <f>IFERROR(IF(X262="","",X262*0.0155),"")</f>
        <v>0.372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125.64000000000001</v>
      </c>
      <c r="BN262" s="67">
        <f>IFERROR(Y262*I262,"0")</f>
        <v>125.64000000000001</v>
      </c>
      <c r="BO262" s="67">
        <f>IFERROR(X262/J262,"0")</f>
        <v>0.2857142857142857</v>
      </c>
      <c r="BP262" s="67">
        <f>IFERROR(Y262/J262,"0")</f>
        <v>0.2857142857142857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88">
        <v>4640242180410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2" t="s">
        <v>87</v>
      </c>
      <c r="Q264" s="283"/>
      <c r="R264" s="283"/>
      <c r="S264" s="283"/>
      <c r="T264" s="283"/>
      <c r="U264" s="283"/>
      <c r="V264" s="284"/>
      <c r="W264" s="37" t="s">
        <v>68</v>
      </c>
      <c r="X264" s="278">
        <f>IFERROR(SUM(X261:X263),"0")</f>
        <v>24</v>
      </c>
      <c r="Y264" s="278">
        <f>IFERROR(SUM(Y261:Y263),"0")</f>
        <v>24</v>
      </c>
      <c r="Z264" s="278">
        <f>IFERROR(IF(Z261="",0,Z261),"0")+IFERROR(IF(Z262="",0,Z262),"0")+IFERROR(IF(Z263="",0,Z263),"0")</f>
        <v>0.372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2" t="s">
        <v>87</v>
      </c>
      <c r="Q265" s="283"/>
      <c r="R265" s="283"/>
      <c r="S265" s="283"/>
      <c r="T265" s="283"/>
      <c r="U265" s="283"/>
      <c r="V265" s="284"/>
      <c r="W265" s="37" t="s">
        <v>88</v>
      </c>
      <c r="X265" s="278">
        <f>IFERROR(SUMPRODUCT(X261:X263*H261:H263),"0")</f>
        <v>120</v>
      </c>
      <c r="Y265" s="278">
        <f>IFERROR(SUMPRODUCT(Y261:Y263*H261:H263),"0")</f>
        <v>120</v>
      </c>
      <c r="Z265" s="37"/>
      <c r="AA265" s="279"/>
      <c r="AB265" s="279"/>
      <c r="AC265" s="279"/>
    </row>
    <row r="266" spans="1:68" ht="14.25" hidden="1" customHeight="1" x14ac:dyDescent="0.25">
      <c r="A266" s="308" t="s">
        <v>133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0"/>
      <c r="AB266" s="270"/>
      <c r="AC266" s="270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88">
        <v>4640242181554</v>
      </c>
      <c r="E267" s="289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88">
        <v>4620207492093</v>
      </c>
      <c r="E268" s="289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9" t="s">
        <v>352</v>
      </c>
      <c r="Q268" s="286"/>
      <c r="R268" s="286"/>
      <c r="S268" s="286"/>
      <c r="T268" s="287"/>
      <c r="U268" s="34"/>
      <c r="V268" s="34"/>
      <c r="W268" s="35" t="s">
        <v>68</v>
      </c>
      <c r="X268" s="276">
        <v>42</v>
      </c>
      <c r="Y268" s="277">
        <f t="shared" si="18"/>
        <v>42</v>
      </c>
      <c r="Z268" s="36">
        <f>IFERROR(IF(X268="","",X268*0.00936),"")</f>
        <v>0.39312000000000002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163.464</v>
      </c>
      <c r="BN268" s="67">
        <f t="shared" si="20"/>
        <v>163.464</v>
      </c>
      <c r="BO268" s="67">
        <f t="shared" si="21"/>
        <v>0.33333333333333331</v>
      </c>
      <c r="BP268" s="67">
        <f t="shared" si="22"/>
        <v>0.33333333333333331</v>
      </c>
    </row>
    <row r="269" spans="1:68" ht="27" hidden="1" customHeight="1" x14ac:dyDescent="0.25">
      <c r="A269" s="54" t="s">
        <v>354</v>
      </c>
      <c r="B269" s="54" t="s">
        <v>355</v>
      </c>
      <c r="C269" s="31">
        <v>4301135374</v>
      </c>
      <c r="D269" s="288">
        <v>4640242181424</v>
      </c>
      <c r="E269" s="289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356</v>
      </c>
      <c r="B270" s="54" t="s">
        <v>357</v>
      </c>
      <c r="C270" s="31">
        <v>4301135405</v>
      </c>
      <c r="D270" s="288">
        <v>4640242181523</v>
      </c>
      <c r="E270" s="289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 t="shared" ref="Z270:Z276" si="23">IFERROR(IF(X270="","",X270*0.00936),"")</f>
        <v>0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359</v>
      </c>
      <c r="B271" s="54" t="s">
        <v>360</v>
      </c>
      <c r="C271" s="31">
        <v>4301135375</v>
      </c>
      <c r="D271" s="288">
        <v>4640242181486</v>
      </c>
      <c r="E271" s="289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4"/>
      <c r="V271" s="34"/>
      <c r="W271" s="35" t="s">
        <v>68</v>
      </c>
      <c r="X271" s="276">
        <v>14</v>
      </c>
      <c r="Y271" s="277">
        <f t="shared" si="18"/>
        <v>14</v>
      </c>
      <c r="Z271" s="36">
        <f t="shared" si="23"/>
        <v>0.13103999999999999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54.488</v>
      </c>
      <c r="BN271" s="67">
        <f t="shared" si="20"/>
        <v>54.488</v>
      </c>
      <c r="BO271" s="67">
        <f t="shared" si="21"/>
        <v>0.1111111111111111</v>
      </c>
      <c r="BP271" s="67">
        <f t="shared" si="22"/>
        <v>0.1111111111111111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88">
        <v>4640242181493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88">
        <v>4640242181509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88">
        <v>4640242181240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88">
        <v>4640242181318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2" t="s">
        <v>87</v>
      </c>
      <c r="Q277" s="283"/>
      <c r="R277" s="283"/>
      <c r="S277" s="283"/>
      <c r="T277" s="283"/>
      <c r="U277" s="283"/>
      <c r="V277" s="284"/>
      <c r="W277" s="37" t="s">
        <v>68</v>
      </c>
      <c r="X277" s="278">
        <f>IFERROR(SUM(X267:X276),"0")</f>
        <v>56</v>
      </c>
      <c r="Y277" s="278">
        <f>IFERROR(SUM(Y267:Y276),"0")</f>
        <v>56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0.52415999999999996</v>
      </c>
      <c r="AA277" s="279"/>
      <c r="AB277" s="279"/>
      <c r="AC277" s="279"/>
    </row>
    <row r="278" spans="1:68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2" t="s">
        <v>87</v>
      </c>
      <c r="Q278" s="283"/>
      <c r="R278" s="283"/>
      <c r="S278" s="283"/>
      <c r="T278" s="283"/>
      <c r="U278" s="283"/>
      <c r="V278" s="284"/>
      <c r="W278" s="37" t="s">
        <v>88</v>
      </c>
      <c r="X278" s="278">
        <f>IFERROR(SUMPRODUCT(X267:X276*H267:H276),"0")</f>
        <v>207.20000000000002</v>
      </c>
      <c r="Y278" s="278">
        <f>IFERROR(SUMPRODUCT(Y267:Y276*H267:H276),"0")</f>
        <v>207.20000000000002</v>
      </c>
      <c r="Z278" s="37"/>
      <c r="AA278" s="279"/>
      <c r="AB278" s="279"/>
      <c r="AC278" s="279"/>
    </row>
    <row r="279" spans="1:68" ht="15" customHeight="1" x14ac:dyDescent="0.2">
      <c r="A279" s="38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5"/>
      <c r="P279" s="324" t="s">
        <v>372</v>
      </c>
      <c r="Q279" s="325"/>
      <c r="R279" s="325"/>
      <c r="S279" s="325"/>
      <c r="T279" s="325"/>
      <c r="U279" s="325"/>
      <c r="V279" s="326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1982.72</v>
      </c>
      <c r="Y279" s="278">
        <f>IFERROR(Y31+Y37+Y44+Y50+Y58+Y63+Y67+Y73+Y79+Y84+Y90+Y100+Y106+Y117+Y121+Y125+Y133+Y139+Y145+Y152+Y158+Y163+Y168+Y173+Y180+Y185+Y194+Y200+Y206+Y212+Y217+Y222+Y228+Y234+Y238+Y244+Y248+Y255+Y259+Y265+Y278,"0")</f>
        <v>1982.72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5"/>
      <c r="P280" s="324" t="s">
        <v>373</v>
      </c>
      <c r="Q280" s="325"/>
      <c r="R280" s="325"/>
      <c r="S280" s="325"/>
      <c r="T280" s="325"/>
      <c r="U280" s="325"/>
      <c r="V280" s="326"/>
      <c r="W280" s="37" t="s">
        <v>88</v>
      </c>
      <c r="X280" s="278">
        <f>IFERROR(SUM(BM22:BM276),"0")</f>
        <v>2086.3528000000001</v>
      </c>
      <c r="Y280" s="278">
        <f>IFERROR(SUM(BN22:BN276),"0")</f>
        <v>2086.3528000000001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5"/>
      <c r="P281" s="324" t="s">
        <v>374</v>
      </c>
      <c r="Q281" s="325"/>
      <c r="R281" s="325"/>
      <c r="S281" s="325"/>
      <c r="T281" s="325"/>
      <c r="U281" s="325"/>
      <c r="V281" s="326"/>
      <c r="W281" s="37" t="s">
        <v>375</v>
      </c>
      <c r="X281" s="38">
        <f>ROUNDUP(SUM(BO22:BO276),0)</f>
        <v>5</v>
      </c>
      <c r="Y281" s="38">
        <f>ROUNDUP(SUM(BP22:BP276),0)</f>
        <v>5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5"/>
      <c r="P282" s="324" t="s">
        <v>376</v>
      </c>
      <c r="Q282" s="325"/>
      <c r="R282" s="325"/>
      <c r="S282" s="325"/>
      <c r="T282" s="325"/>
      <c r="U282" s="325"/>
      <c r="V282" s="326"/>
      <c r="W282" s="37" t="s">
        <v>88</v>
      </c>
      <c r="X282" s="278">
        <f>GrossWeightTotal+PalletQtyTotal*25</f>
        <v>2211.3528000000001</v>
      </c>
      <c r="Y282" s="278">
        <f>GrossWeightTotalR+PalletQtyTotalR*25</f>
        <v>2211.3528000000001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5"/>
      <c r="P283" s="324" t="s">
        <v>377</v>
      </c>
      <c r="Q283" s="325"/>
      <c r="R283" s="325"/>
      <c r="S283" s="325"/>
      <c r="T283" s="325"/>
      <c r="U283" s="325"/>
      <c r="V283" s="326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394</v>
      </c>
      <c r="Y283" s="278">
        <f>IFERROR(Y30+Y36+Y43+Y49+Y57+Y62+Y66+Y72+Y78+Y83+Y89+Y99+Y105+Y116+Y120+Y124+Y132+Y138+Y144+Y151+Y157+Y162+Y167+Y172+Y179+Y184+Y193+Y199+Y205+Y211+Y216+Y221+Y227+Y233+Y237+Y243+Y247+Y254+Y258+Y264+Y277,"0")</f>
        <v>394</v>
      </c>
      <c r="Z283" s="37"/>
      <c r="AA283" s="279"/>
      <c r="AB283" s="279"/>
      <c r="AC283" s="279"/>
    </row>
    <row r="284" spans="1:68" ht="14.25" hidden="1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5"/>
      <c r="P284" s="324" t="s">
        <v>378</v>
      </c>
      <c r="Q284" s="325"/>
      <c r="R284" s="325"/>
      <c r="S284" s="325"/>
      <c r="T284" s="325"/>
      <c r="U284" s="325"/>
      <c r="V284" s="326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5.7143999999999995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97" t="s">
        <v>61</v>
      </c>
      <c r="C286" s="429"/>
      <c r="D286" s="297" t="s">
        <v>95</v>
      </c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9"/>
      <c r="V286" s="297" t="s">
        <v>256</v>
      </c>
      <c r="W286" s="429"/>
      <c r="X286" s="268" t="s">
        <v>267</v>
      </c>
      <c r="Y286" s="297" t="s">
        <v>281</v>
      </c>
      <c r="Z286" s="428"/>
      <c r="AA286" s="428"/>
      <c r="AB286" s="429"/>
      <c r="AC286" s="268" t="s">
        <v>310</v>
      </c>
      <c r="AD286" s="268" t="s">
        <v>315</v>
      </c>
      <c r="AE286" s="268" t="s">
        <v>323</v>
      </c>
      <c r="AF286" s="268" t="s">
        <v>330</v>
      </c>
    </row>
    <row r="287" spans="1:68" ht="14.25" customHeight="1" thickTop="1" x14ac:dyDescent="0.2">
      <c r="A287" s="306" t="s">
        <v>381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141</v>
      </c>
      <c r="I287" s="297" t="s">
        <v>148</v>
      </c>
      <c r="J287" s="297" t="s">
        <v>152</v>
      </c>
      <c r="K287" s="297" t="s">
        <v>160</v>
      </c>
      <c r="L287" s="297" t="s">
        <v>175</v>
      </c>
      <c r="M287" s="297" t="s">
        <v>181</v>
      </c>
      <c r="N287" s="269"/>
      <c r="O287" s="297" t="s">
        <v>206</v>
      </c>
      <c r="P287" s="297" t="s">
        <v>224</v>
      </c>
      <c r="Q287" s="297" t="s">
        <v>230</v>
      </c>
      <c r="R287" s="297" t="s">
        <v>239</v>
      </c>
      <c r="S287" s="297" t="s">
        <v>245</v>
      </c>
      <c r="T287" s="297" t="s">
        <v>249</v>
      </c>
      <c r="U287" s="297" t="s">
        <v>252</v>
      </c>
      <c r="V287" s="297" t="s">
        <v>257</v>
      </c>
      <c r="W287" s="297" t="s">
        <v>264</v>
      </c>
      <c r="X287" s="297" t="s">
        <v>268</v>
      </c>
      <c r="Y287" s="297" t="s">
        <v>282</v>
      </c>
      <c r="Z287" s="297" t="s">
        <v>295</v>
      </c>
      <c r="AA287" s="297" t="s">
        <v>302</v>
      </c>
      <c r="AB287" s="297" t="s">
        <v>306</v>
      </c>
      <c r="AC287" s="297" t="s">
        <v>311</v>
      </c>
      <c r="AD287" s="297" t="s">
        <v>316</v>
      </c>
      <c r="AE287" s="297" t="s">
        <v>323</v>
      </c>
      <c r="AF287" s="297" t="s">
        <v>330</v>
      </c>
    </row>
    <row r="288" spans="1:68" ht="13.5" customHeight="1" thickBot="1" x14ac:dyDescent="0.25">
      <c r="A288" s="307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307.20000000000005</v>
      </c>
      <c r="C289" s="46">
        <f>IFERROR(X34*H34,"0")+IFERROR(X35*H35,"0")</f>
        <v>0</v>
      </c>
      <c r="D289" s="46">
        <f>IFERROR(X41*H41,"0")+IFERROR(X42*H42,"0")</f>
        <v>0</v>
      </c>
      <c r="E289" s="46">
        <f>IFERROR(X47*H47,"0")+IFERROR(X48*H48,"0")</f>
        <v>0</v>
      </c>
      <c r="F289" s="46">
        <f>IFERROR(X53*H53,"0")+IFERROR(X54*H54,"0")+IFERROR(X55*H55,"0")+IFERROR(X56*H56,"0")</f>
        <v>0</v>
      </c>
      <c r="G289" s="46">
        <f>IFERROR(X61*H61,"0")+IFERROR(X65*H65,"0")+IFERROR(X69*H69,"0")+IFERROR(X70*H70,"0")+IFERROR(X71*H71,"0")</f>
        <v>0</v>
      </c>
      <c r="H289" s="46">
        <f>IFERROR(X76*H76,"0")+IFERROR(X77*H77,"0")</f>
        <v>0</v>
      </c>
      <c r="I289" s="46">
        <f>IFERROR(X82*H82,"0")</f>
        <v>0</v>
      </c>
      <c r="J289" s="46">
        <f>IFERROR(X87*H87,"0")+IFERROR(X88*H88,"0")</f>
        <v>0</v>
      </c>
      <c r="K289" s="46">
        <f>IFERROR(X93*H93,"0")+IFERROR(X94*H94,"0")+IFERROR(X95*H95,"0")+IFERROR(X96*H96,"0")+IFERROR(X97*H97,"0")+IFERROR(X98*H98,"0")</f>
        <v>40.32</v>
      </c>
      <c r="L289" s="46">
        <f>IFERROR(X103*H103,"0")+IFERROR(X104*H104,"0")</f>
        <v>0</v>
      </c>
      <c r="M289" s="46">
        <f>IFERROR(X109*H109,"0")+IFERROR(X110*H110,"0")+IFERROR(X111*H111,"0")+IFERROR(X112*H112,"0")+IFERROR(X113*H113,"0")+IFERROR(X114*H114,"0")+IFERROR(X115*H115,"0")+IFERROR(X119*H119,"0")+IFERROR(X123*H123,"0")</f>
        <v>168</v>
      </c>
      <c r="N289" s="269"/>
      <c r="O289" s="46">
        <f>IFERROR(X128*H128,"0")+IFERROR(X129*H129,"0")+IFERROR(X130*H130,"0")+IFERROR(X131*H131,"0")+IFERROR(X135*H135,"0")+IFERROR(X136*H136,"0")+IFERROR(X137*H137,"0")</f>
        <v>0</v>
      </c>
      <c r="P289" s="46">
        <f>IFERROR(X142*H142,"0")+IFERROR(X143*H143,"0")</f>
        <v>0</v>
      </c>
      <c r="Q289" s="46">
        <f>IFERROR(X148*H148,"0")+IFERROR(X149*H149,"0")+IFERROR(X150*H150,"0")</f>
        <v>0</v>
      </c>
      <c r="R289" s="46">
        <f>IFERROR(X155*H155,"0")+IFERROR(X156*H156,"0")</f>
        <v>0</v>
      </c>
      <c r="S289" s="46">
        <f>IFERROR(X161*H161,"0")</f>
        <v>0</v>
      </c>
      <c r="T289" s="46">
        <f>IFERROR(X166*H166,"0")</f>
        <v>0</v>
      </c>
      <c r="U289" s="46">
        <f>IFERROR(X171*H171,"0")</f>
        <v>0</v>
      </c>
      <c r="V289" s="46">
        <f>IFERROR(X177*H177,"0")+IFERROR(X178*H178,"0")</f>
        <v>60</v>
      </c>
      <c r="W289" s="46">
        <f>IFERROR(X183*H183,"0")</f>
        <v>1080</v>
      </c>
      <c r="X289" s="46">
        <f>IFERROR(X189*H189,"0")+IFERROR(X190*H190,"0")+IFERROR(X191*H191,"0")+IFERROR(X192*H192,"0")</f>
        <v>0</v>
      </c>
      <c r="Y289" s="46">
        <f>IFERROR(X198*H198,"0")+IFERROR(X202*H202,"0")+IFERROR(X203*H203,"0")+IFERROR(X204*H204,"0")</f>
        <v>0</v>
      </c>
      <c r="Z289" s="46">
        <f>IFERROR(X209*H209,"0")+IFERROR(X210*H210,"0")</f>
        <v>0</v>
      </c>
      <c r="AA289" s="46">
        <f>IFERROR(X215*H215,"0")</f>
        <v>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327.2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1615.2</v>
      </c>
      <c r="B292" s="60">
        <f>SUMPRODUCT(--(BB:BB="ПГП"),--(W:W="кор"),H:H,Y:Y)+SUMPRODUCT(--(BB:BB="ПГП"),--(W:W="кг"),Y:Y)</f>
        <v>367.52000000000004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982,72"/>
        <filter val="12,00"/>
        <filter val="120,00"/>
        <filter val="14,00"/>
        <filter val="168,00"/>
        <filter val="2 086,35"/>
        <filter val="2 211,35"/>
        <filter val="207,20"/>
        <filter val="216,00"/>
        <filter val="24,00"/>
        <filter val="307,20"/>
        <filter val="394,00"/>
        <filter val="40,32"/>
        <filter val="42,00"/>
        <filter val="48,00"/>
        <filter val="5"/>
        <filter val="56,00"/>
        <filter val="60,00"/>
      </filters>
    </filterColumn>
    <filterColumn colId="29" showButton="0"/>
    <filterColumn colId="30" showButton="0"/>
  </autoFilter>
  <mergeCells count="507">
    <mergeCell ref="A52:Z52"/>
    <mergeCell ref="B286:C286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P163:V163"/>
    <mergeCell ref="A153:Z153"/>
    <mergeCell ref="D97:E97"/>
    <mergeCell ref="P138:V138"/>
    <mergeCell ref="D268:E268"/>
    <mergeCell ref="A21:Z21"/>
    <mergeCell ref="D192:E192"/>
    <mergeCell ref="A99:O100"/>
    <mergeCell ref="D42:E42"/>
    <mergeCell ref="A181:Z181"/>
    <mergeCell ref="P262:T262"/>
    <mergeCell ref="D276:E276"/>
    <mergeCell ref="A83:O84"/>
    <mergeCell ref="P132:V132"/>
    <mergeCell ref="N17:N18"/>
    <mergeCell ref="Q5:R5"/>
    <mergeCell ref="F17:F18"/>
    <mergeCell ref="D242:E242"/>
    <mergeCell ref="M287:M28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D54:E54"/>
    <mergeCell ref="J287:J288"/>
    <mergeCell ref="P185:V185"/>
    <mergeCell ref="S287:S288"/>
    <mergeCell ref="P128:T128"/>
    <mergeCell ref="U287:U288"/>
    <mergeCell ref="AD17:AF18"/>
    <mergeCell ref="P167:V167"/>
    <mergeCell ref="D76:E76"/>
    <mergeCell ref="F5:G5"/>
    <mergeCell ref="P117:V117"/>
    <mergeCell ref="B287:B288"/>
    <mergeCell ref="D287:D288"/>
    <mergeCell ref="P144:V144"/>
    <mergeCell ref="A36:O37"/>
    <mergeCell ref="P82:T82"/>
    <mergeCell ref="A223:Z223"/>
    <mergeCell ref="V11:W11"/>
    <mergeCell ref="P253:T253"/>
    <mergeCell ref="A205:O206"/>
    <mergeCell ref="D29:E29"/>
    <mergeCell ref="V286:W286"/>
    <mergeCell ref="D23:E23"/>
    <mergeCell ref="A20:Z20"/>
    <mergeCell ref="D252:E252"/>
    <mergeCell ref="P123:T123"/>
    <mergeCell ref="P110:T110"/>
    <mergeCell ref="P2:W3"/>
    <mergeCell ref="A57:O58"/>
    <mergeCell ref="P198:T198"/>
    <mergeCell ref="P54:T54"/>
    <mergeCell ref="D35:E35"/>
    <mergeCell ref="A170:Z170"/>
    <mergeCell ref="D10:E10"/>
    <mergeCell ref="F10:G10"/>
    <mergeCell ref="P135:T135"/>
    <mergeCell ref="D34:E34"/>
    <mergeCell ref="P191:T191"/>
    <mergeCell ref="P78:V78"/>
    <mergeCell ref="P66:V66"/>
    <mergeCell ref="A127:Z127"/>
    <mergeCell ref="A176:Z176"/>
    <mergeCell ref="A64:Z64"/>
    <mergeCell ref="A51:Z51"/>
    <mergeCell ref="A107:Z107"/>
    <mergeCell ref="A8:C8"/>
    <mergeCell ref="A10:C10"/>
    <mergeCell ref="D17:E18"/>
    <mergeCell ref="A151:O152"/>
    <mergeCell ref="P71:T71"/>
    <mergeCell ref="X17:X18"/>
    <mergeCell ref="Z287:Z288"/>
    <mergeCell ref="P255:V255"/>
    <mergeCell ref="P178:T178"/>
    <mergeCell ref="P34:T34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P50:V50"/>
    <mergeCell ref="A75:Z75"/>
    <mergeCell ref="P258:V258"/>
    <mergeCell ref="A175:Z175"/>
    <mergeCell ref="A235:Z235"/>
    <mergeCell ref="D286:U286"/>
    <mergeCell ref="D177:E177"/>
    <mergeCell ref="P281:V281"/>
    <mergeCell ref="P183:T183"/>
    <mergeCell ref="D226:E226"/>
    <mergeCell ref="D270:E270"/>
    <mergeCell ref="P205:V205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A85:Z85"/>
    <mergeCell ref="D143:E143"/>
    <mergeCell ref="P177:T177"/>
    <mergeCell ref="P93:T93"/>
    <mergeCell ref="P226:T226"/>
    <mergeCell ref="P269:T269"/>
    <mergeCell ref="P120:V120"/>
    <mergeCell ref="A230:Z230"/>
    <mergeCell ref="P35:T35"/>
    <mergeCell ref="AA17:AA18"/>
    <mergeCell ref="AC17:AC18"/>
    <mergeCell ref="A122:Z122"/>
    <mergeCell ref="A224:Z224"/>
    <mergeCell ref="V6:W9"/>
    <mergeCell ref="D128:E128"/>
    <mergeCell ref="P109:T109"/>
    <mergeCell ref="A59:Z59"/>
    <mergeCell ref="P234:V234"/>
    <mergeCell ref="P22:T22"/>
    <mergeCell ref="D65:E65"/>
    <mergeCell ref="D6:M6"/>
    <mergeCell ref="G17:G18"/>
    <mergeCell ref="P57:V57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111:T111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Y286:AB286"/>
    <mergeCell ref="A105:O106"/>
    <mergeCell ref="A243:O244"/>
    <mergeCell ref="C287:C288"/>
    <mergeCell ref="D202:E202"/>
    <mergeCell ref="E287:E288"/>
    <mergeCell ref="P112:T112"/>
    <mergeCell ref="A91:Z91"/>
    <mergeCell ref="P116:V116"/>
    <mergeCell ref="P114:T114"/>
    <mergeCell ref="X287:X288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A146:Z146"/>
    <mergeCell ref="P261:T261"/>
    <mergeCell ref="P161:T161"/>
    <mergeCell ref="D204:E204"/>
    <mergeCell ref="D198:E198"/>
    <mergeCell ref="D269:E269"/>
    <mergeCell ref="A157:O158"/>
    <mergeCell ref="W287:W288"/>
    <mergeCell ref="O287:O288"/>
    <mergeCell ref="P87:T87"/>
    <mergeCell ref="D130:E130"/>
    <mergeCell ref="P151:V151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73:V73"/>
    <mergeCell ref="P244:V244"/>
    <mergeCell ref="D61:E61"/>
    <mergeCell ref="P115:T115"/>
    <mergeCell ref="A256:Z256"/>
    <mergeCell ref="A196:Z196"/>
    <mergeCell ref="D48:E48"/>
    <mergeCell ref="P77:T77"/>
    <mergeCell ref="P204:T204"/>
    <mergeCell ref="P267:T267"/>
    <mergeCell ref="D104:E104"/>
    <mergeCell ref="D275:E275"/>
    <mergeCell ref="P83:V83"/>
    <mergeCell ref="P254:V254"/>
    <mergeCell ref="T6:U9"/>
    <mergeCell ref="A279:O284"/>
    <mergeCell ref="Q10:R10"/>
    <mergeCell ref="A30:O31"/>
    <mergeCell ref="D41:E41"/>
    <mergeCell ref="A208:Z208"/>
    <mergeCell ref="P84:V84"/>
    <mergeCell ref="D137:E137"/>
    <mergeCell ref="P124:V124"/>
    <mergeCell ref="A13:M13"/>
    <mergeCell ref="A15:M15"/>
    <mergeCell ref="J9:M9"/>
    <mergeCell ref="D112:E112"/>
    <mergeCell ref="P30:V30"/>
    <mergeCell ref="H17:H18"/>
    <mergeCell ref="P27:T27"/>
    <mergeCell ref="H10:M10"/>
    <mergeCell ref="P61:T61"/>
    <mergeCell ref="P48:T48"/>
    <mergeCell ref="T5:U5"/>
    <mergeCell ref="P76:T76"/>
    <mergeCell ref="D119:E119"/>
    <mergeCell ref="V5:W5"/>
    <mergeCell ref="D190:E190"/>
    <mergeCell ref="P203:T203"/>
    <mergeCell ref="D246:E246"/>
    <mergeCell ref="D111:E111"/>
    <mergeCell ref="P212:V212"/>
    <mergeCell ref="Q8:R8"/>
    <mergeCell ref="P69:T69"/>
    <mergeCell ref="D183:E183"/>
    <mergeCell ref="H5:M5"/>
    <mergeCell ref="Q13:R13"/>
    <mergeCell ref="P41:T41"/>
    <mergeCell ref="D22:E22"/>
    <mergeCell ref="D155:E155"/>
    <mergeCell ref="A62:O63"/>
    <mergeCell ref="D149:E149"/>
    <mergeCell ref="M17:M18"/>
    <mergeCell ref="O17:O18"/>
    <mergeCell ref="A201:Z201"/>
    <mergeCell ref="D123:E123"/>
    <mergeCell ref="P202:T202"/>
    <mergeCell ref="A5:C5"/>
    <mergeCell ref="A187:Z187"/>
    <mergeCell ref="A174:Z174"/>
    <mergeCell ref="A108:Z108"/>
    <mergeCell ref="D166:E166"/>
    <mergeCell ref="A17:A18"/>
    <mergeCell ref="K17:K18"/>
    <mergeCell ref="A118:Z118"/>
    <mergeCell ref="C17:C18"/>
    <mergeCell ref="D103:E103"/>
    <mergeCell ref="D9:E9"/>
    <mergeCell ref="P137:T137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AC287:AC288"/>
    <mergeCell ref="P55:T55"/>
    <mergeCell ref="D115:E115"/>
    <mergeCell ref="Q12:R12"/>
    <mergeCell ref="D261:E261"/>
    <mergeCell ref="P119:T119"/>
    <mergeCell ref="A43:O44"/>
    <mergeCell ref="P246:T246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D93:E93"/>
    <mergeCell ref="A277:O278"/>
    <mergeCell ref="P72:V72"/>
    <mergeCell ref="P278:V278"/>
    <mergeCell ref="D24:E24"/>
    <mergeCell ref="A159:Z159"/>
    <mergeCell ref="A219:Z219"/>
    <mergeCell ref="Q11:R11"/>
    <mergeCell ref="A6:C6"/>
    <mergeCell ref="D113:E113"/>
    <mergeCell ref="AA287:AA288"/>
    <mergeCell ref="D88:E88"/>
    <mergeCell ref="P142:T142"/>
    <mergeCell ref="D26:E26"/>
    <mergeCell ref="D148:E148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19:Z19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P17:T18"/>
    <mergeCell ref="A229:Z229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66:O67"/>
    <mergeCell ref="A237:O238"/>
    <mergeCell ref="D28:E28"/>
    <mergeCell ref="A101:Z101"/>
    <mergeCell ref="D236:E236"/>
    <mergeCell ref="A179:O180"/>
    <mergeCell ref="P171:T171"/>
    <mergeCell ref="D55:E55"/>
    <mergeCell ref="P242:T242"/>
    <mergeCell ref="D5:E5"/>
    <mergeCell ref="A140:Z140"/>
    <mergeCell ref="P42:T42"/>
    <mergeCell ref="D94:E94"/>
    <mergeCell ref="D69:E69"/>
    <mergeCell ref="P148:T148"/>
    <mergeCell ref="P162:V162"/>
    <mergeCell ref="P106:V106"/>
    <mergeCell ref="P264:V264"/>
    <mergeCell ref="A45:Z45"/>
    <mergeCell ref="D7:M7"/>
    <mergeCell ref="D129:E129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87:E87"/>
    <mergeCell ref="P166:T166"/>
    <mergeCell ref="D209:E209"/>
    <mergeCell ref="A162:O163"/>
    <mergeCell ref="A233:O234"/>
    <mergeCell ref="P103:T103"/>
    <mergeCell ref="A227:O228"/>
    <mergeCell ref="P97:T97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P279:V279"/>
    <mergeCell ref="P273:T273"/>
    <mergeCell ref="D272:E272"/>
    <mergeCell ref="D274:E274"/>
    <mergeCell ref="P268:T268"/>
    <mergeCell ref="F287:F288"/>
    <mergeCell ref="H287:H288"/>
    <mergeCell ref="P49:V49"/>
    <mergeCell ref="P36:V36"/>
    <mergeCell ref="A32:Z32"/>
    <mergeCell ref="R1:T1"/>
    <mergeCell ref="K287:K288"/>
    <mergeCell ref="D71:E71"/>
    <mergeCell ref="P150:T150"/>
    <mergeCell ref="P28:T28"/>
    <mergeCell ref="P215:T215"/>
    <mergeCell ref="A89:O9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P252:T252"/>
    <mergeCell ref="P56:T56"/>
    <mergeCell ref="H9:I9"/>
    <mergeCell ref="P211:V211"/>
    <mergeCell ref="P89:V89"/>
    <mergeCell ref="P259:V259"/>
    <mergeCell ref="P155:T155"/>
    <mergeCell ref="D70:E70"/>
    <mergeCell ref="P220:T220"/>
    <mergeCell ref="D263:E263"/>
    <mergeCell ref="A216:O217"/>
    <mergeCell ref="A80:Z80"/>
    <mergeCell ref="V10:W10"/>
    <mergeCell ref="A197:Z197"/>
    <mergeCell ref="D189:E189"/>
    <mergeCell ref="D253:E253"/>
    <mergeCell ref="D53:E53"/>
    <mergeCell ref="D47:E47"/>
    <mergeCell ref="P209:T209"/>
    <mergeCell ref="Q9:R9"/>
    <mergeCell ref="A68:Z68"/>
    <mergeCell ref="A14:M14"/>
    <mergeCell ref="D109:E109"/>
    <mergeCell ref="A9:C9"/>
    <mergeCell ref="A258:O259"/>
    <mergeCell ref="A249:Z24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