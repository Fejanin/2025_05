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0F99B464-CCAD-44FB-924E-EA32095468A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BO267" i="1"/>
  <c r="BM267" i="1"/>
  <c r="Z267" i="1"/>
  <c r="Y267" i="1"/>
  <c r="Y278" i="1" s="1"/>
  <c r="P267" i="1"/>
  <c r="X265" i="1"/>
  <c r="X264" i="1"/>
  <c r="BO263" i="1"/>
  <c r="BM263" i="1"/>
  <c r="Z263" i="1"/>
  <c r="Y263" i="1"/>
  <c r="P263" i="1"/>
  <c r="BO262" i="1"/>
  <c r="BM262" i="1"/>
  <c r="Z262" i="1"/>
  <c r="Y262" i="1"/>
  <c r="P262" i="1"/>
  <c r="BO261" i="1"/>
  <c r="BM261" i="1"/>
  <c r="Z261" i="1"/>
  <c r="Y261" i="1"/>
  <c r="P261" i="1"/>
  <c r="X259" i="1"/>
  <c r="X258" i="1"/>
  <c r="BO257" i="1"/>
  <c r="BM257" i="1"/>
  <c r="Z257" i="1"/>
  <c r="Z258" i="1" s="1"/>
  <c r="Y257" i="1"/>
  <c r="Y259" i="1" s="1"/>
  <c r="P257" i="1"/>
  <c r="X255" i="1"/>
  <c r="X254" i="1"/>
  <c r="BO253" i="1"/>
  <c r="BM253" i="1"/>
  <c r="Z253" i="1"/>
  <c r="Y253" i="1"/>
  <c r="P253" i="1"/>
  <c r="BO252" i="1"/>
  <c r="BM252" i="1"/>
  <c r="Z252" i="1"/>
  <c r="Y252" i="1"/>
  <c r="P252" i="1"/>
  <c r="X248" i="1"/>
  <c r="X247" i="1"/>
  <c r="BO246" i="1"/>
  <c r="BM246" i="1"/>
  <c r="Z246" i="1"/>
  <c r="Z247" i="1" s="1"/>
  <c r="Y246" i="1"/>
  <c r="P246" i="1"/>
  <c r="X244" i="1"/>
  <c r="X243" i="1"/>
  <c r="BO242" i="1"/>
  <c r="BM242" i="1"/>
  <c r="Z242" i="1"/>
  <c r="Z243" i="1" s="1"/>
  <c r="Y242" i="1"/>
  <c r="P242" i="1"/>
  <c r="X238" i="1"/>
  <c r="X237" i="1"/>
  <c r="BO236" i="1"/>
  <c r="BM236" i="1"/>
  <c r="Z236" i="1"/>
  <c r="Z237" i="1" s="1"/>
  <c r="Y236" i="1"/>
  <c r="P236" i="1"/>
  <c r="X234" i="1"/>
  <c r="X233" i="1"/>
  <c r="BO232" i="1"/>
  <c r="BM232" i="1"/>
  <c r="Z232" i="1"/>
  <c r="Z233" i="1" s="1"/>
  <c r="Y232" i="1"/>
  <c r="P232" i="1"/>
  <c r="X228" i="1"/>
  <c r="X227" i="1"/>
  <c r="BO226" i="1"/>
  <c r="BM226" i="1"/>
  <c r="Z226" i="1"/>
  <c r="Z227" i="1" s="1"/>
  <c r="Y226" i="1"/>
  <c r="P226" i="1"/>
  <c r="X222" i="1"/>
  <c r="X221" i="1"/>
  <c r="BO220" i="1"/>
  <c r="BM220" i="1"/>
  <c r="Z220" i="1"/>
  <c r="Z221" i="1" s="1"/>
  <c r="Y220" i="1"/>
  <c r="P220" i="1"/>
  <c r="X217" i="1"/>
  <c r="X216" i="1"/>
  <c r="BO215" i="1"/>
  <c r="BM215" i="1"/>
  <c r="Z215" i="1"/>
  <c r="Z216" i="1" s="1"/>
  <c r="Y215" i="1"/>
  <c r="P215" i="1"/>
  <c r="X212" i="1"/>
  <c r="X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6" i="1"/>
  <c r="X205" i="1"/>
  <c r="BO204" i="1"/>
  <c r="BM204" i="1"/>
  <c r="Z204" i="1"/>
  <c r="Y204" i="1"/>
  <c r="P204" i="1"/>
  <c r="BO203" i="1"/>
  <c r="BM203" i="1"/>
  <c r="Z203" i="1"/>
  <c r="Y203" i="1"/>
  <c r="P203" i="1"/>
  <c r="BO202" i="1"/>
  <c r="BM202" i="1"/>
  <c r="Z202" i="1"/>
  <c r="Z205" i="1" s="1"/>
  <c r="Y202" i="1"/>
  <c r="P202" i="1"/>
  <c r="X200" i="1"/>
  <c r="X199" i="1"/>
  <c r="BO198" i="1"/>
  <c r="BM198" i="1"/>
  <c r="Z198" i="1"/>
  <c r="Z199" i="1" s="1"/>
  <c r="Y198" i="1"/>
  <c r="P198" i="1"/>
  <c r="X194" i="1"/>
  <c r="X193" i="1"/>
  <c r="BO192" i="1"/>
  <c r="BM192" i="1"/>
  <c r="Z192" i="1"/>
  <c r="Y192" i="1"/>
  <c r="P192" i="1"/>
  <c r="BP191" i="1"/>
  <c r="BO191" i="1"/>
  <c r="BN191" i="1"/>
  <c r="BM191" i="1"/>
  <c r="Z191" i="1"/>
  <c r="Y191" i="1"/>
  <c r="P191" i="1"/>
  <c r="BO190" i="1"/>
  <c r="BM190" i="1"/>
  <c r="Z190" i="1"/>
  <c r="Y190" i="1"/>
  <c r="P190" i="1"/>
  <c r="BP189" i="1"/>
  <c r="BO189" i="1"/>
  <c r="BN189" i="1"/>
  <c r="BM189" i="1"/>
  <c r="Z189" i="1"/>
  <c r="Z193" i="1" s="1"/>
  <c r="Y189" i="1"/>
  <c r="P189" i="1"/>
  <c r="X185" i="1"/>
  <c r="Y184" i="1"/>
  <c r="X184" i="1"/>
  <c r="BP183" i="1"/>
  <c r="BO183" i="1"/>
  <c r="BN183" i="1"/>
  <c r="BM183" i="1"/>
  <c r="Z183" i="1"/>
  <c r="Z184" i="1" s="1"/>
  <c r="Y183" i="1"/>
  <c r="Y185" i="1" s="1"/>
  <c r="P183" i="1"/>
  <c r="X180" i="1"/>
  <c r="X179" i="1"/>
  <c r="BO178" i="1"/>
  <c r="BM178" i="1"/>
  <c r="Z178" i="1"/>
  <c r="Y178" i="1"/>
  <c r="P178" i="1"/>
  <c r="BO177" i="1"/>
  <c r="BM177" i="1"/>
  <c r="Z177" i="1"/>
  <c r="Z179" i="1" s="1"/>
  <c r="Y177" i="1"/>
  <c r="P177" i="1"/>
  <c r="X173" i="1"/>
  <c r="X172" i="1"/>
  <c r="BO171" i="1"/>
  <c r="BM171" i="1"/>
  <c r="Z171" i="1"/>
  <c r="Z172" i="1" s="1"/>
  <c r="Y171" i="1"/>
  <c r="P171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P161" i="1"/>
  <c r="X158" i="1"/>
  <c r="X157" i="1"/>
  <c r="BO156" i="1"/>
  <c r="BM156" i="1"/>
  <c r="Z156" i="1"/>
  <c r="Z157" i="1" s="1"/>
  <c r="Y156" i="1"/>
  <c r="P156" i="1"/>
  <c r="BO155" i="1"/>
  <c r="BM155" i="1"/>
  <c r="Z155" i="1"/>
  <c r="Y155" i="1"/>
  <c r="P155" i="1"/>
  <c r="X152" i="1"/>
  <c r="X151" i="1"/>
  <c r="BP150" i="1"/>
  <c r="BO150" i="1"/>
  <c r="BN150" i="1"/>
  <c r="BM150" i="1"/>
  <c r="Z150" i="1"/>
  <c r="Y150" i="1"/>
  <c r="P150" i="1"/>
  <c r="BO149" i="1"/>
  <c r="BM149" i="1"/>
  <c r="Z149" i="1"/>
  <c r="Y149" i="1"/>
  <c r="P149" i="1"/>
  <c r="BP148" i="1"/>
  <c r="BO148" i="1"/>
  <c r="BN148" i="1"/>
  <c r="BM148" i="1"/>
  <c r="Z148" i="1"/>
  <c r="Z151" i="1" s="1"/>
  <c r="Y148" i="1"/>
  <c r="P148" i="1"/>
  <c r="X145" i="1"/>
  <c r="X144" i="1"/>
  <c r="BO143" i="1"/>
  <c r="BM143" i="1"/>
  <c r="Z143" i="1"/>
  <c r="Y143" i="1"/>
  <c r="P143" i="1"/>
  <c r="BO142" i="1"/>
  <c r="BM142" i="1"/>
  <c r="Z142" i="1"/>
  <c r="Z144" i="1" s="1"/>
  <c r="Y142" i="1"/>
  <c r="P142" i="1"/>
  <c r="X139" i="1"/>
  <c r="X138" i="1"/>
  <c r="BO137" i="1"/>
  <c r="BM137" i="1"/>
  <c r="Z137" i="1"/>
  <c r="Y137" i="1"/>
  <c r="BP137" i="1" s="1"/>
  <c r="P137" i="1"/>
  <c r="BP136" i="1"/>
  <c r="BO136" i="1"/>
  <c r="BN136" i="1"/>
  <c r="BM136" i="1"/>
  <c r="Z136" i="1"/>
  <c r="Z138" i="1" s="1"/>
  <c r="Y136" i="1"/>
  <c r="P136" i="1"/>
  <c r="BO135" i="1"/>
  <c r="BM135" i="1"/>
  <c r="Z135" i="1"/>
  <c r="Y135" i="1"/>
  <c r="Y138" i="1" s="1"/>
  <c r="P135" i="1"/>
  <c r="X133" i="1"/>
  <c r="X132" i="1"/>
  <c r="BO131" i="1"/>
  <c r="BM131" i="1"/>
  <c r="Z131" i="1"/>
  <c r="Y131" i="1"/>
  <c r="BP131" i="1" s="1"/>
  <c r="P131" i="1"/>
  <c r="BO130" i="1"/>
  <c r="BM130" i="1"/>
  <c r="Z130" i="1"/>
  <c r="Y130" i="1"/>
  <c r="P130" i="1"/>
  <c r="BO129" i="1"/>
  <c r="BM129" i="1"/>
  <c r="Z129" i="1"/>
  <c r="Y129" i="1"/>
  <c r="BP129" i="1" s="1"/>
  <c r="P129" i="1"/>
  <c r="BO128" i="1"/>
  <c r="BM128" i="1"/>
  <c r="Z128" i="1"/>
  <c r="Y128" i="1"/>
  <c r="P128" i="1"/>
  <c r="X125" i="1"/>
  <c r="X124" i="1"/>
  <c r="BO123" i="1"/>
  <c r="BM123" i="1"/>
  <c r="Z123" i="1"/>
  <c r="Z124" i="1" s="1"/>
  <c r="Y123" i="1"/>
  <c r="P123" i="1"/>
  <c r="X121" i="1"/>
  <c r="X120" i="1"/>
  <c r="BO119" i="1"/>
  <c r="BM119" i="1"/>
  <c r="Z119" i="1"/>
  <c r="Z120" i="1" s="1"/>
  <c r="Y119" i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Z110" i="1"/>
  <c r="Y110" i="1"/>
  <c r="BP110" i="1" s="1"/>
  <c r="P110" i="1"/>
  <c r="BP109" i="1"/>
  <c r="BO109" i="1"/>
  <c r="BN109" i="1"/>
  <c r="BM109" i="1"/>
  <c r="Z109" i="1"/>
  <c r="Z116" i="1" s="1"/>
  <c r="Y109" i="1"/>
  <c r="P109" i="1"/>
  <c r="X106" i="1"/>
  <c r="X105" i="1"/>
  <c r="BO104" i="1"/>
  <c r="BM104" i="1"/>
  <c r="Z104" i="1"/>
  <c r="Y104" i="1"/>
  <c r="P104" i="1"/>
  <c r="BO103" i="1"/>
  <c r="BM103" i="1"/>
  <c r="Z103" i="1"/>
  <c r="Z105" i="1" s="1"/>
  <c r="Y103" i="1"/>
  <c r="P103" i="1"/>
  <c r="X100" i="1"/>
  <c r="X99" i="1"/>
  <c r="BO98" i="1"/>
  <c r="BM98" i="1"/>
  <c r="Z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Z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Z94" i="1"/>
  <c r="Y94" i="1"/>
  <c r="BP94" i="1" s="1"/>
  <c r="P94" i="1"/>
  <c r="BP93" i="1"/>
  <c r="BO93" i="1"/>
  <c r="BN93" i="1"/>
  <c r="BM93" i="1"/>
  <c r="Z93" i="1"/>
  <c r="Z99" i="1" s="1"/>
  <c r="Y93" i="1"/>
  <c r="P93" i="1"/>
  <c r="X90" i="1"/>
  <c r="X89" i="1"/>
  <c r="BO88" i="1"/>
  <c r="BM88" i="1"/>
  <c r="Z88" i="1"/>
  <c r="Y88" i="1"/>
  <c r="P88" i="1"/>
  <c r="BO87" i="1"/>
  <c r="BM87" i="1"/>
  <c r="Z87" i="1"/>
  <c r="Z89" i="1" s="1"/>
  <c r="Y87" i="1"/>
  <c r="P87" i="1"/>
  <c r="X84" i="1"/>
  <c r="X83" i="1"/>
  <c r="BO82" i="1"/>
  <c r="BM82" i="1"/>
  <c r="Z82" i="1"/>
  <c r="Z83" i="1" s="1"/>
  <c r="Y82" i="1"/>
  <c r="Y83" i="1" s="1"/>
  <c r="P82" i="1"/>
  <c r="X79" i="1"/>
  <c r="X78" i="1"/>
  <c r="BO77" i="1"/>
  <c r="BM77" i="1"/>
  <c r="Z77" i="1"/>
  <c r="Y77" i="1"/>
  <c r="BP77" i="1" s="1"/>
  <c r="P77" i="1"/>
  <c r="BP76" i="1"/>
  <c r="BO76" i="1"/>
  <c r="BN76" i="1"/>
  <c r="BM76" i="1"/>
  <c r="Z76" i="1"/>
  <c r="Z78" i="1" s="1"/>
  <c r="Y76" i="1"/>
  <c r="P76" i="1"/>
  <c r="X73" i="1"/>
  <c r="X72" i="1"/>
  <c r="BO71" i="1"/>
  <c r="BM71" i="1"/>
  <c r="Z71" i="1"/>
  <c r="Y71" i="1"/>
  <c r="P71" i="1"/>
  <c r="BO70" i="1"/>
  <c r="BM70" i="1"/>
  <c r="Z70" i="1"/>
  <c r="Y70" i="1"/>
  <c r="BP70" i="1" s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P65" i="1"/>
  <c r="X63" i="1"/>
  <c r="X62" i="1"/>
  <c r="BO61" i="1"/>
  <c r="BM61" i="1"/>
  <c r="Z61" i="1"/>
  <c r="Z62" i="1" s="1"/>
  <c r="Y61" i="1"/>
  <c r="P61" i="1"/>
  <c r="X58" i="1"/>
  <c r="X57" i="1"/>
  <c r="BP56" i="1"/>
  <c r="BO56" i="1"/>
  <c r="BN56" i="1"/>
  <c r="BM56" i="1"/>
  <c r="Z56" i="1"/>
  <c r="Y56" i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Y58" i="1" s="1"/>
  <c r="P53" i="1"/>
  <c r="X50" i="1"/>
  <c r="X49" i="1"/>
  <c r="BO48" i="1"/>
  <c r="BM48" i="1"/>
  <c r="Z48" i="1"/>
  <c r="Y48" i="1"/>
  <c r="BP48" i="1" s="1"/>
  <c r="P48" i="1"/>
  <c r="BO47" i="1"/>
  <c r="BM47" i="1"/>
  <c r="Z47" i="1"/>
  <c r="Y47" i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Y41" i="1"/>
  <c r="Y44" i="1" s="1"/>
  <c r="P41" i="1"/>
  <c r="X37" i="1"/>
  <c r="X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279" i="1" s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280" i="1" s="1"/>
  <c r="Z22" i="1"/>
  <c r="Y22" i="1"/>
  <c r="Y31" i="1" s="1"/>
  <c r="P22" i="1"/>
  <c r="H10" i="1"/>
  <c r="A9" i="1"/>
  <c r="F10" i="1" s="1"/>
  <c r="D7" i="1"/>
  <c r="Q6" i="1"/>
  <c r="P2" i="1"/>
  <c r="Y36" i="1" l="1"/>
  <c r="BP34" i="1"/>
  <c r="BN34" i="1"/>
  <c r="Y49" i="1"/>
  <c r="BP47" i="1"/>
  <c r="BN47" i="1"/>
  <c r="Y63" i="1"/>
  <c r="Y62" i="1"/>
  <c r="BP61" i="1"/>
  <c r="BN61" i="1"/>
  <c r="Y73" i="1"/>
  <c r="BP69" i="1"/>
  <c r="BN69" i="1"/>
  <c r="BP71" i="1"/>
  <c r="BN71" i="1"/>
  <c r="BP88" i="1"/>
  <c r="BN88" i="1"/>
  <c r="BP104" i="1"/>
  <c r="BN104" i="1"/>
  <c r="Y121" i="1"/>
  <c r="Y120" i="1"/>
  <c r="BP119" i="1"/>
  <c r="BN119" i="1"/>
  <c r="Y132" i="1"/>
  <c r="BP128" i="1"/>
  <c r="BN128" i="1"/>
  <c r="BP130" i="1"/>
  <c r="BN130" i="1"/>
  <c r="BP143" i="1"/>
  <c r="BN143" i="1"/>
  <c r="Y157" i="1"/>
  <c r="BP155" i="1"/>
  <c r="BN155" i="1"/>
  <c r="Y158" i="1"/>
  <c r="Y222" i="1"/>
  <c r="Y221" i="1"/>
  <c r="BP220" i="1"/>
  <c r="BN220" i="1"/>
  <c r="Y234" i="1"/>
  <c r="Y233" i="1"/>
  <c r="BP232" i="1"/>
  <c r="BN232" i="1"/>
  <c r="Y244" i="1"/>
  <c r="Y243" i="1"/>
  <c r="BP242" i="1"/>
  <c r="BN242" i="1"/>
  <c r="BP252" i="1"/>
  <c r="BN252" i="1"/>
  <c r="BP262" i="1"/>
  <c r="BN262" i="1"/>
  <c r="Z30" i="1"/>
  <c r="X281" i="1"/>
  <c r="X282" i="1" s="1"/>
  <c r="Z36" i="1"/>
  <c r="Y67" i="1"/>
  <c r="Y66" i="1"/>
  <c r="BP65" i="1"/>
  <c r="BN65" i="1"/>
  <c r="Y125" i="1"/>
  <c r="Y124" i="1"/>
  <c r="BP123" i="1"/>
  <c r="BN123" i="1"/>
  <c r="BP178" i="1"/>
  <c r="BN178" i="1"/>
  <c r="BP203" i="1"/>
  <c r="BN203" i="1"/>
  <c r="Y206" i="1"/>
  <c r="Y217" i="1"/>
  <c r="Y216" i="1"/>
  <c r="BP215" i="1"/>
  <c r="BN215" i="1"/>
  <c r="Y228" i="1"/>
  <c r="Y227" i="1"/>
  <c r="BP226" i="1"/>
  <c r="BN226" i="1"/>
  <c r="Y238" i="1"/>
  <c r="Y237" i="1"/>
  <c r="BP236" i="1"/>
  <c r="BN236" i="1"/>
  <c r="Y248" i="1"/>
  <c r="Y247" i="1"/>
  <c r="BP246" i="1"/>
  <c r="BN246" i="1"/>
  <c r="Z277" i="1"/>
  <c r="Z43" i="1"/>
  <c r="Z49" i="1"/>
  <c r="Z57" i="1"/>
  <c r="Z72" i="1"/>
  <c r="Y78" i="1"/>
  <c r="Y90" i="1"/>
  <c r="Y99" i="1"/>
  <c r="Y106" i="1"/>
  <c r="Y117" i="1"/>
  <c r="Z132" i="1"/>
  <c r="Y145" i="1"/>
  <c r="Y152" i="1"/>
  <c r="Y193" i="1"/>
  <c r="Y194" i="1"/>
  <c r="Z254" i="1"/>
  <c r="Z264" i="1"/>
  <c r="H9" i="1"/>
  <c r="A10" i="1"/>
  <c r="Y30" i="1"/>
  <c r="Y37" i="1"/>
  <c r="Y43" i="1"/>
  <c r="Y50" i="1"/>
  <c r="Y57" i="1"/>
  <c r="Y72" i="1"/>
  <c r="Y79" i="1"/>
  <c r="Y84" i="1"/>
  <c r="Y89" i="1"/>
  <c r="Y100" i="1"/>
  <c r="Y105" i="1"/>
  <c r="Y116" i="1"/>
  <c r="Y133" i="1"/>
  <c r="Y139" i="1"/>
  <c r="Y144" i="1"/>
  <c r="Y162" i="1"/>
  <c r="BP161" i="1"/>
  <c r="BN161" i="1"/>
  <c r="Y172" i="1"/>
  <c r="BP171" i="1"/>
  <c r="BN171" i="1"/>
  <c r="Y199" i="1"/>
  <c r="BP198" i="1"/>
  <c r="BN198" i="1"/>
  <c r="Y212" i="1"/>
  <c r="BP209" i="1"/>
  <c r="BN209" i="1"/>
  <c r="Y211" i="1"/>
  <c r="BP253" i="1"/>
  <c r="BN253" i="1"/>
  <c r="Y264" i="1"/>
  <c r="BP261" i="1"/>
  <c r="BN261" i="1"/>
  <c r="BP263" i="1"/>
  <c r="BN263" i="1"/>
  <c r="F9" i="1"/>
  <c r="J9" i="1"/>
  <c r="BN22" i="1"/>
  <c r="BP22" i="1"/>
  <c r="BN24" i="1"/>
  <c r="BN26" i="1"/>
  <c r="BN28" i="1"/>
  <c r="X283" i="1"/>
  <c r="BN35" i="1"/>
  <c r="BN41" i="1"/>
  <c r="BP41" i="1"/>
  <c r="BN48" i="1"/>
  <c r="BN53" i="1"/>
  <c r="BP53" i="1"/>
  <c r="BN55" i="1"/>
  <c r="BN70" i="1"/>
  <c r="BN77" i="1"/>
  <c r="BN82" i="1"/>
  <c r="BP82" i="1"/>
  <c r="BN87" i="1"/>
  <c r="BP87" i="1"/>
  <c r="BN94" i="1"/>
  <c r="BN96" i="1"/>
  <c r="BN98" i="1"/>
  <c r="BN103" i="1"/>
  <c r="BP103" i="1"/>
  <c r="BN110" i="1"/>
  <c r="BN112" i="1"/>
  <c r="BN114" i="1"/>
  <c r="BN129" i="1"/>
  <c r="BN131" i="1"/>
  <c r="BN135" i="1"/>
  <c r="BP135" i="1"/>
  <c r="BN137" i="1"/>
  <c r="BN142" i="1"/>
  <c r="BP142" i="1"/>
  <c r="BP149" i="1"/>
  <c r="BN149" i="1"/>
  <c r="Y151" i="1"/>
  <c r="BP156" i="1"/>
  <c r="BN156" i="1"/>
  <c r="Y163" i="1"/>
  <c r="Y167" i="1"/>
  <c r="BP166" i="1"/>
  <c r="BN166" i="1"/>
  <c r="Y173" i="1"/>
  <c r="Y180" i="1"/>
  <c r="BP177" i="1"/>
  <c r="BN177" i="1"/>
  <c r="Y179" i="1"/>
  <c r="BP190" i="1"/>
  <c r="BN190" i="1"/>
  <c r="BP192" i="1"/>
  <c r="BN192" i="1"/>
  <c r="Y200" i="1"/>
  <c r="Y205" i="1"/>
  <c r="BP202" i="1"/>
  <c r="BN202" i="1"/>
  <c r="BP204" i="1"/>
  <c r="BN204" i="1"/>
  <c r="Z211" i="1"/>
  <c r="Z284" i="1" s="1"/>
  <c r="Y254" i="1"/>
  <c r="Y255" i="1"/>
  <c r="Y258" i="1"/>
  <c r="BP257" i="1"/>
  <c r="BN257" i="1"/>
  <c r="Y265" i="1"/>
  <c r="Y277" i="1"/>
  <c r="BP267" i="1"/>
  <c r="BN267" i="1"/>
  <c r="BP268" i="1"/>
  <c r="BN268" i="1"/>
  <c r="BP270" i="1"/>
  <c r="BN270" i="1"/>
  <c r="BP272" i="1"/>
  <c r="BN272" i="1"/>
  <c r="BP274" i="1"/>
  <c r="BN274" i="1"/>
  <c r="BP276" i="1"/>
  <c r="BN276" i="1"/>
  <c r="Y279" i="1" l="1"/>
  <c r="Y281" i="1"/>
  <c r="Y280" i="1"/>
  <c r="Y283" i="1"/>
  <c r="Y282" i="1" l="1"/>
  <c r="A292" i="1" s="1"/>
  <c r="B292" i="1"/>
  <c r="C292" i="1"/>
</calcChain>
</file>

<file path=xl/sharedStrings.xml><?xml version="1.0" encoding="utf-8"?>
<sst xmlns="http://schemas.openxmlformats.org/spreadsheetml/2006/main" count="1284" uniqueCount="419">
  <si>
    <t xml:space="preserve">  БЛАНК ЗАКАЗА </t>
  </si>
  <si>
    <t>ЗПФ</t>
  </si>
  <si>
    <t>на отгрузку продукции с ООО Трейд-Сервис с</t>
  </si>
  <si>
    <t>15.09.2026</t>
  </si>
  <si>
    <t>бланк создан</t>
  </si>
  <si>
    <t>14.09.2026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</si>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</sst>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0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8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7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10" sqref="AA10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28" t="s">
        <v>0</v>
      </c>
      <c r="E1" s="298"/>
      <c r="F1" s="298"/>
      <c r="G1" s="12" t="s">
        <v>1</v>
      </c>
      <c r="H1" s="328" t="s">
        <v>2</v>
      </c>
      <c r="I1" s="298"/>
      <c r="J1" s="298"/>
      <c r="K1" s="298"/>
      <c r="L1" s="298"/>
      <c r="M1" s="298"/>
      <c r="N1" s="298"/>
      <c r="O1" s="298"/>
      <c r="P1" s="298"/>
      <c r="Q1" s="298"/>
      <c r="R1" s="297" t="s">
        <v>3</v>
      </c>
      <c r="S1" s="298"/>
      <c r="T1" s="2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2"/>
      <c r="R2" s="292"/>
      <c r="S2" s="292"/>
      <c r="T2" s="292"/>
      <c r="U2" s="292"/>
      <c r="V2" s="292"/>
      <c r="W2" s="292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2"/>
      <c r="Q3" s="292"/>
      <c r="R3" s="292"/>
      <c r="S3" s="292"/>
      <c r="T3" s="292"/>
      <c r="U3" s="292"/>
      <c r="V3" s="292"/>
      <c r="W3" s="292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7" t="s">
        <v>8</v>
      </c>
      <c r="B5" s="325"/>
      <c r="C5" s="326"/>
      <c r="D5" s="331"/>
      <c r="E5" s="332"/>
      <c r="F5" s="450" t="s">
        <v>9</v>
      </c>
      <c r="G5" s="326"/>
      <c r="H5" s="331"/>
      <c r="I5" s="414"/>
      <c r="J5" s="414"/>
      <c r="K5" s="414"/>
      <c r="L5" s="414"/>
      <c r="M5" s="332"/>
      <c r="N5" s="61"/>
      <c r="P5" s="24" t="s">
        <v>10</v>
      </c>
      <c r="Q5" s="456">
        <v>46286</v>
      </c>
      <c r="R5" s="356"/>
      <c r="T5" s="374" t="s">
        <v>11</v>
      </c>
      <c r="U5" s="375"/>
      <c r="V5" s="378" t="s">
        <v>12</v>
      </c>
      <c r="W5" s="356"/>
      <c r="AB5" s="51"/>
      <c r="AC5" s="51"/>
      <c r="AD5" s="51"/>
      <c r="AE5" s="51"/>
    </row>
    <row r="6" spans="1:32" s="270" customFormat="1" ht="24" customHeight="1" x14ac:dyDescent="0.2">
      <c r="A6" s="357" t="s">
        <v>13</v>
      </c>
      <c r="B6" s="325"/>
      <c r="C6" s="326"/>
      <c r="D6" s="416"/>
      <c r="E6" s="417"/>
      <c r="F6" s="417"/>
      <c r="G6" s="417"/>
      <c r="H6" s="417"/>
      <c r="I6" s="417"/>
      <c r="J6" s="417"/>
      <c r="K6" s="417"/>
      <c r="L6" s="417"/>
      <c r="M6" s="356"/>
      <c r="N6" s="62"/>
      <c r="P6" s="24" t="s">
        <v>14</v>
      </c>
      <c r="Q6" s="461" t="str">
        <f>IF(Q5=0," ",CHOOSE(WEEKDAY(Q5,2),"Понедельник","Вторник","Среда","Четверг","Пятница","Суббота","Воскресенье"))</f>
        <v>Понедельник</v>
      </c>
      <c r="R6" s="289"/>
      <c r="T6" s="381" t="s">
        <v>15</v>
      </c>
      <c r="U6" s="375"/>
      <c r="V6" s="403" t="s">
        <v>16</v>
      </c>
      <c r="W6" s="312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4">
        <f>IFERROR(VLOOKUP(DeliveryAddress,Table,3,0),1)</f>
        <v>1</v>
      </c>
      <c r="E7" s="315"/>
      <c r="F7" s="315"/>
      <c r="G7" s="315"/>
      <c r="H7" s="315"/>
      <c r="I7" s="315"/>
      <c r="J7" s="315"/>
      <c r="K7" s="315"/>
      <c r="L7" s="315"/>
      <c r="M7" s="316"/>
      <c r="N7" s="63"/>
      <c r="P7" s="24"/>
      <c r="Q7" s="42"/>
      <c r="R7" s="42"/>
      <c r="T7" s="292"/>
      <c r="U7" s="375"/>
      <c r="V7" s="404"/>
      <c r="W7" s="405"/>
      <c r="AB7" s="51"/>
      <c r="AC7" s="51"/>
      <c r="AD7" s="51"/>
      <c r="AE7" s="51"/>
    </row>
    <row r="8" spans="1:32" s="270" customFormat="1" ht="25.5" customHeight="1" x14ac:dyDescent="0.2">
      <c r="A8" s="467" t="s">
        <v>17</v>
      </c>
      <c r="B8" s="283"/>
      <c r="C8" s="284"/>
      <c r="D8" s="321"/>
      <c r="E8" s="322"/>
      <c r="F8" s="322"/>
      <c r="G8" s="322"/>
      <c r="H8" s="322"/>
      <c r="I8" s="322"/>
      <c r="J8" s="322"/>
      <c r="K8" s="322"/>
      <c r="L8" s="322"/>
      <c r="M8" s="323"/>
      <c r="N8" s="64"/>
      <c r="P8" s="24" t="s">
        <v>18</v>
      </c>
      <c r="Q8" s="360">
        <v>0.41666666666666669</v>
      </c>
      <c r="R8" s="316"/>
      <c r="T8" s="292"/>
      <c r="U8" s="375"/>
      <c r="V8" s="404"/>
      <c r="W8" s="405"/>
      <c r="AB8" s="51"/>
      <c r="AC8" s="51"/>
      <c r="AD8" s="51"/>
      <c r="AE8" s="51"/>
    </row>
    <row r="9" spans="1:32" s="270" customFormat="1" ht="39.950000000000003" customHeight="1" x14ac:dyDescent="0.2">
      <c r="A9" s="3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2"/>
      <c r="C9" s="292"/>
      <c r="D9" s="365"/>
      <c r="E9" s="281"/>
      <c r="F9" s="3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2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8"/>
      <c r="P9" s="26" t="s">
        <v>19</v>
      </c>
      <c r="Q9" s="353"/>
      <c r="R9" s="354"/>
      <c r="T9" s="292"/>
      <c r="U9" s="375"/>
      <c r="V9" s="406"/>
      <c r="W9" s="407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2"/>
      <c r="C10" s="292"/>
      <c r="D10" s="365"/>
      <c r="E10" s="281"/>
      <c r="F10" s="3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2"/>
      <c r="H10" s="402" t="str">
        <f>IFERROR(VLOOKUP($D$10,Proxy,2,FALSE),"")</f>
        <v/>
      </c>
      <c r="I10" s="292"/>
      <c r="J10" s="292"/>
      <c r="K10" s="292"/>
      <c r="L10" s="292"/>
      <c r="M10" s="292"/>
      <c r="N10" s="269"/>
      <c r="P10" s="26" t="s">
        <v>20</v>
      </c>
      <c r="Q10" s="383"/>
      <c r="R10" s="384"/>
      <c r="U10" s="24" t="s">
        <v>21</v>
      </c>
      <c r="V10" s="311" t="s">
        <v>22</v>
      </c>
      <c r="W10" s="312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5"/>
      <c r="R11" s="356"/>
      <c r="U11" s="24" t="s">
        <v>25</v>
      </c>
      <c r="V11" s="431" t="s">
        <v>26</v>
      </c>
      <c r="W11" s="354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3" t="s">
        <v>27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6"/>
      <c r="N12" s="65"/>
      <c r="P12" s="24" t="s">
        <v>28</v>
      </c>
      <c r="Q12" s="360"/>
      <c r="R12" s="316"/>
      <c r="S12" s="23"/>
      <c r="U12" s="24"/>
      <c r="V12" s="298"/>
      <c r="W12" s="292"/>
      <c r="AB12" s="51"/>
      <c r="AC12" s="51"/>
      <c r="AD12" s="51"/>
      <c r="AE12" s="51"/>
    </row>
    <row r="13" spans="1:32" s="270" customFormat="1" ht="23.25" customHeight="1" x14ac:dyDescent="0.2">
      <c r="A13" s="373" t="s">
        <v>29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6"/>
      <c r="N13" s="65"/>
      <c r="O13" s="26"/>
      <c r="P13" s="26" t="s">
        <v>30</v>
      </c>
      <c r="Q13" s="431"/>
      <c r="R13" s="3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3" t="s">
        <v>31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90" t="s">
        <v>32</v>
      </c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6"/>
      <c r="N15" s="66"/>
      <c r="P15" s="368" t="s">
        <v>33</v>
      </c>
      <c r="Q15" s="298"/>
      <c r="R15" s="298"/>
      <c r="S15" s="298"/>
      <c r="T15" s="2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9"/>
      <c r="Q16" s="369"/>
      <c r="R16" s="369"/>
      <c r="S16" s="369"/>
      <c r="T16" s="36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34</v>
      </c>
      <c r="B17" s="304" t="s">
        <v>35</v>
      </c>
      <c r="C17" s="363" t="s">
        <v>36</v>
      </c>
      <c r="D17" s="304" t="s">
        <v>37</v>
      </c>
      <c r="E17" s="346"/>
      <c r="F17" s="304" t="s">
        <v>38</v>
      </c>
      <c r="G17" s="304" t="s">
        <v>39</v>
      </c>
      <c r="H17" s="304" t="s">
        <v>40</v>
      </c>
      <c r="I17" s="304" t="s">
        <v>41</v>
      </c>
      <c r="J17" s="304" t="s">
        <v>42</v>
      </c>
      <c r="K17" s="304" t="s">
        <v>43</v>
      </c>
      <c r="L17" s="304" t="s">
        <v>44</v>
      </c>
      <c r="M17" s="304" t="s">
        <v>45</v>
      </c>
      <c r="N17" s="304" t="s">
        <v>46</v>
      </c>
      <c r="O17" s="304" t="s">
        <v>47</v>
      </c>
      <c r="P17" s="304" t="s">
        <v>48</v>
      </c>
      <c r="Q17" s="345"/>
      <c r="R17" s="345"/>
      <c r="S17" s="345"/>
      <c r="T17" s="346"/>
      <c r="U17" s="464" t="s">
        <v>49</v>
      </c>
      <c r="V17" s="326"/>
      <c r="W17" s="304" t="s">
        <v>50</v>
      </c>
      <c r="X17" s="304" t="s">
        <v>51</v>
      </c>
      <c r="Y17" s="465" t="s">
        <v>52</v>
      </c>
      <c r="Z17" s="412" t="s">
        <v>53</v>
      </c>
      <c r="AA17" s="400" t="s">
        <v>54</v>
      </c>
      <c r="AB17" s="400" t="s">
        <v>55</v>
      </c>
      <c r="AC17" s="400" t="s">
        <v>56</v>
      </c>
      <c r="AD17" s="400" t="s">
        <v>57</v>
      </c>
      <c r="AE17" s="445"/>
      <c r="AF17" s="446"/>
      <c r="AG17" s="69"/>
      <c r="BD17" s="68" t="s">
        <v>58</v>
      </c>
    </row>
    <row r="18" spans="1:68" ht="14.25" customHeight="1" x14ac:dyDescent="0.2">
      <c r="A18" s="305"/>
      <c r="B18" s="305"/>
      <c r="C18" s="305"/>
      <c r="D18" s="347"/>
      <c r="E18" s="349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7"/>
      <c r="Q18" s="348"/>
      <c r="R18" s="348"/>
      <c r="S18" s="348"/>
      <c r="T18" s="349"/>
      <c r="U18" s="70" t="s">
        <v>59</v>
      </c>
      <c r="V18" s="70" t="s">
        <v>60</v>
      </c>
      <c r="W18" s="305"/>
      <c r="X18" s="305"/>
      <c r="Y18" s="466"/>
      <c r="Z18" s="413"/>
      <c r="AA18" s="401"/>
      <c r="AB18" s="401"/>
      <c r="AC18" s="401"/>
      <c r="AD18" s="447"/>
      <c r="AE18" s="448"/>
      <c r="AF18" s="449"/>
      <c r="AG18" s="69"/>
      <c r="BD18" s="68"/>
    </row>
    <row r="19" spans="1:68" ht="27.75" hidden="1" customHeight="1" x14ac:dyDescent="0.2">
      <c r="A19" s="343" t="s">
        <v>61</v>
      </c>
      <c r="B19" s="344"/>
      <c r="C19" s="344"/>
      <c r="D19" s="344"/>
      <c r="E19" s="344"/>
      <c r="F19" s="344"/>
      <c r="G19" s="344"/>
      <c r="H19" s="344"/>
      <c r="I19" s="344"/>
      <c r="J19" s="344"/>
      <c r="K19" s="344"/>
      <c r="L19" s="344"/>
      <c r="M19" s="344"/>
      <c r="N19" s="344"/>
      <c r="O19" s="344"/>
      <c r="P19" s="344"/>
      <c r="Q19" s="344"/>
      <c r="R19" s="344"/>
      <c r="S19" s="344"/>
      <c r="T19" s="344"/>
      <c r="U19" s="344"/>
      <c r="V19" s="344"/>
      <c r="W19" s="344"/>
      <c r="X19" s="344"/>
      <c r="Y19" s="344"/>
      <c r="Z19" s="344"/>
      <c r="AA19" s="48"/>
      <c r="AB19" s="48"/>
      <c r="AC19" s="48"/>
    </row>
    <row r="20" spans="1:68" ht="16.5" hidden="1" customHeight="1" x14ac:dyDescent="0.25">
      <c r="A20" s="294" t="s">
        <v>61</v>
      </c>
      <c r="B20" s="292"/>
      <c r="C20" s="292"/>
      <c r="D20" s="292"/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  <c r="AA20" s="271"/>
      <c r="AB20" s="271"/>
      <c r="AC20" s="271"/>
    </row>
    <row r="21" spans="1:68" ht="14.25" hidden="1" customHeight="1" x14ac:dyDescent="0.25">
      <c r="A21" s="308" t="s">
        <v>62</v>
      </c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8">
        <v>4620207491508</v>
      </c>
      <c r="E22" s="289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6"/>
      <c r="R22" s="286"/>
      <c r="S22" s="286"/>
      <c r="T22" s="287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8">
        <v>4620207491256</v>
      </c>
      <c r="E23" s="289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6"/>
      <c r="R23" s="286"/>
      <c r="S23" s="286"/>
      <c r="T23" s="287"/>
      <c r="U23" s="34"/>
      <c r="V23" s="34"/>
      <c r="W23" s="35" t="s">
        <v>68</v>
      </c>
      <c r="X23" s="276">
        <v>48</v>
      </c>
      <c r="Y23" s="277">
        <f t="shared" si="0"/>
        <v>48</v>
      </c>
      <c r="Z23" s="36">
        <f t="shared" si="1"/>
        <v>0.74399999999999999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318.24</v>
      </c>
      <c r="BN23" s="67">
        <f t="shared" si="3"/>
        <v>318.24</v>
      </c>
      <c r="BO23" s="67">
        <f t="shared" si="4"/>
        <v>0.5714285714285714</v>
      </c>
      <c r="BP23" s="67">
        <f t="shared" si="5"/>
        <v>0.5714285714285714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8">
        <v>4620207491713</v>
      </c>
      <c r="E24" s="289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6"/>
      <c r="R24" s="286"/>
      <c r="S24" s="286"/>
      <c r="T24" s="287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8">
        <v>4620207491720</v>
      </c>
      <c r="E25" s="289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6"/>
      <c r="R25" s="286"/>
      <c r="S25" s="286"/>
      <c r="T25" s="287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8">
        <v>4607111035912</v>
      </c>
      <c r="E26" s="289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6"/>
      <c r="R26" s="286"/>
      <c r="S26" s="286"/>
      <c r="T26" s="287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8">
        <v>4607111035929</v>
      </c>
      <c r="E27" s="289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68</v>
      </c>
      <c r="X27" s="276">
        <v>12</v>
      </c>
      <c r="Y27" s="277">
        <f t="shared" si="0"/>
        <v>12</v>
      </c>
      <c r="Z27" s="36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8">
        <v>4607111035882</v>
      </c>
      <c r="E28" s="289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6"/>
      <c r="R28" s="286"/>
      <c r="S28" s="286"/>
      <c r="T28" s="287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8">
        <v>4607111035905</v>
      </c>
      <c r="E29" s="289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6"/>
      <c r="R29" s="286"/>
      <c r="S29" s="286"/>
      <c r="T29" s="287"/>
      <c r="U29" s="34"/>
      <c r="V29" s="34"/>
      <c r="W29" s="35" t="s">
        <v>68</v>
      </c>
      <c r="X29" s="276">
        <v>0</v>
      </c>
      <c r="Y29" s="277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1"/>
      <c r="B30" s="292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3"/>
      <c r="P30" s="282" t="s">
        <v>87</v>
      </c>
      <c r="Q30" s="283"/>
      <c r="R30" s="283"/>
      <c r="S30" s="283"/>
      <c r="T30" s="283"/>
      <c r="U30" s="283"/>
      <c r="V30" s="284"/>
      <c r="W30" s="37" t="s">
        <v>68</v>
      </c>
      <c r="X30" s="278">
        <f>IFERROR(SUM(X22:X29),"0")</f>
        <v>60</v>
      </c>
      <c r="Y30" s="278">
        <f>IFERROR(SUM(Y22:Y29),"0")</f>
        <v>60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0.92999999999999994</v>
      </c>
      <c r="AA30" s="279"/>
      <c r="AB30" s="279"/>
      <c r="AC30" s="279"/>
    </row>
    <row r="31" spans="1:68" x14ac:dyDescent="0.2">
      <c r="A31" s="292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3"/>
      <c r="P31" s="282" t="s">
        <v>87</v>
      </c>
      <c r="Q31" s="283"/>
      <c r="R31" s="283"/>
      <c r="S31" s="283"/>
      <c r="T31" s="283"/>
      <c r="U31" s="283"/>
      <c r="V31" s="284"/>
      <c r="W31" s="37" t="s">
        <v>88</v>
      </c>
      <c r="X31" s="278">
        <f>IFERROR(SUMPRODUCT(X22:X29*H22:H29),"0")</f>
        <v>393.6</v>
      </c>
      <c r="Y31" s="278">
        <f>IFERROR(SUMPRODUCT(Y22:Y29*H22:H29),"0")</f>
        <v>393.6</v>
      </c>
      <c r="Z31" s="37"/>
      <c r="AA31" s="279"/>
      <c r="AB31" s="279"/>
      <c r="AC31" s="279"/>
    </row>
    <row r="32" spans="1:68" ht="16.5" hidden="1" customHeight="1" x14ac:dyDescent="0.25">
      <c r="A32" s="294" t="s">
        <v>89</v>
      </c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  <c r="Y32" s="292"/>
      <c r="Z32" s="292"/>
      <c r="AA32" s="271"/>
      <c r="AB32" s="271"/>
      <c r="AC32" s="271"/>
    </row>
    <row r="33" spans="1:68" ht="14.25" hidden="1" customHeight="1" x14ac:dyDescent="0.25">
      <c r="A33" s="308" t="s">
        <v>62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8">
        <v>4607111039019</v>
      </c>
      <c r="E34" s="289"/>
      <c r="F34" s="275">
        <v>0.43</v>
      </c>
      <c r="G34" s="32">
        <v>16</v>
      </c>
      <c r="H34" s="275">
        <v>6.88</v>
      </c>
      <c r="I34" s="275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6"/>
      <c r="R34" s="286"/>
      <c r="S34" s="286"/>
      <c r="T34" s="287"/>
      <c r="U34" s="34"/>
      <c r="V34" s="34"/>
      <c r="W34" s="35" t="s">
        <v>68</v>
      </c>
      <c r="X34" s="276">
        <v>0</v>
      </c>
      <c r="Y34" s="277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8">
        <v>4607111038708</v>
      </c>
      <c r="E35" s="289"/>
      <c r="F35" s="275">
        <v>0.8</v>
      </c>
      <c r="G35" s="32">
        <v>8</v>
      </c>
      <c r="H35" s="275">
        <v>6.4</v>
      </c>
      <c r="I35" s="275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6"/>
      <c r="R35" s="286"/>
      <c r="S35" s="286"/>
      <c r="T35" s="287"/>
      <c r="U35" s="34"/>
      <c r="V35" s="34"/>
      <c r="W35" s="35" t="s">
        <v>68</v>
      </c>
      <c r="X35" s="276">
        <v>0</v>
      </c>
      <c r="Y35" s="277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1"/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3"/>
      <c r="P36" s="282" t="s">
        <v>87</v>
      </c>
      <c r="Q36" s="283"/>
      <c r="R36" s="283"/>
      <c r="S36" s="283"/>
      <c r="T36" s="283"/>
      <c r="U36" s="283"/>
      <c r="V36" s="284"/>
      <c r="W36" s="37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hidden="1" x14ac:dyDescent="0.2">
      <c r="A37" s="292"/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3"/>
      <c r="P37" s="282" t="s">
        <v>87</v>
      </c>
      <c r="Q37" s="283"/>
      <c r="R37" s="283"/>
      <c r="S37" s="283"/>
      <c r="T37" s="283"/>
      <c r="U37" s="283"/>
      <c r="V37" s="284"/>
      <c r="W37" s="37" t="s">
        <v>88</v>
      </c>
      <c r="X37" s="278">
        <f>IFERROR(SUMPRODUCT(X34:X35*H34:H35),"0")</f>
        <v>0</v>
      </c>
      <c r="Y37" s="278">
        <f>IFERROR(SUMPRODUCT(Y34:Y35*H34:H35),"0")</f>
        <v>0</v>
      </c>
      <c r="Z37" s="37"/>
      <c r="AA37" s="279"/>
      <c r="AB37" s="279"/>
      <c r="AC37" s="279"/>
    </row>
    <row r="38" spans="1:68" ht="27.75" hidden="1" customHeight="1" x14ac:dyDescent="0.2">
      <c r="A38" s="343" t="s">
        <v>95</v>
      </c>
      <c r="B38" s="344"/>
      <c r="C38" s="344"/>
      <c r="D38" s="344"/>
      <c r="E38" s="344"/>
      <c r="F38" s="344"/>
      <c r="G38" s="344"/>
      <c r="H38" s="344"/>
      <c r="I38" s="344"/>
      <c r="J38" s="344"/>
      <c r="K38" s="344"/>
      <c r="L38" s="344"/>
      <c r="M38" s="344"/>
      <c r="N38" s="344"/>
      <c r="O38" s="344"/>
      <c r="P38" s="344"/>
      <c r="Q38" s="344"/>
      <c r="R38" s="344"/>
      <c r="S38" s="344"/>
      <c r="T38" s="344"/>
      <c r="U38" s="344"/>
      <c r="V38" s="344"/>
      <c r="W38" s="344"/>
      <c r="X38" s="344"/>
      <c r="Y38" s="344"/>
      <c r="Z38" s="344"/>
      <c r="AA38" s="48"/>
      <c r="AB38" s="48"/>
      <c r="AC38" s="48"/>
    </row>
    <row r="39" spans="1:68" ht="16.5" hidden="1" customHeight="1" x14ac:dyDescent="0.25">
      <c r="A39" s="294" t="s">
        <v>96</v>
      </c>
      <c r="B39" s="292"/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71"/>
      <c r="AB39" s="271"/>
      <c r="AC39" s="271"/>
    </row>
    <row r="40" spans="1:68" ht="14.25" hidden="1" customHeight="1" x14ac:dyDescent="0.25">
      <c r="A40" s="308" t="s">
        <v>97</v>
      </c>
      <c r="B40" s="292"/>
      <c r="C40" s="292"/>
      <c r="D40" s="292"/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  <c r="X40" s="292"/>
      <c r="Y40" s="292"/>
      <c r="Z40" s="292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8">
        <v>4607111036537</v>
      </c>
      <c r="E41" s="289"/>
      <c r="F41" s="275">
        <v>0.25</v>
      </c>
      <c r="G41" s="32">
        <v>6</v>
      </c>
      <c r="H41" s="275">
        <v>1.5</v>
      </c>
      <c r="I41" s="275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6"/>
      <c r="R41" s="286"/>
      <c r="S41" s="286"/>
      <c r="T41" s="287"/>
      <c r="U41" s="34"/>
      <c r="V41" s="34"/>
      <c r="W41" s="35" t="s">
        <v>68</v>
      </c>
      <c r="X41" s="276">
        <v>196</v>
      </c>
      <c r="Y41" s="277">
        <f>IFERROR(IF(X41="","",X41),"")</f>
        <v>196</v>
      </c>
      <c r="Z41" s="36">
        <f>IFERROR(IF(X41="","",X41*0.00941),"")</f>
        <v>1.84436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376.6728</v>
      </c>
      <c r="BN41" s="67">
        <f>IFERROR(Y41*I41,"0")</f>
        <v>376.6728</v>
      </c>
      <c r="BO41" s="67">
        <f>IFERROR(X41/J41,"0")</f>
        <v>1.4</v>
      </c>
      <c r="BP41" s="67">
        <f>IFERROR(Y41/J41,"0")</f>
        <v>1.4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8">
        <v>4607111036605</v>
      </c>
      <c r="E42" s="289"/>
      <c r="F42" s="275">
        <v>0.25</v>
      </c>
      <c r="G42" s="32">
        <v>6</v>
      </c>
      <c r="H42" s="275">
        <v>1.5</v>
      </c>
      <c r="I42" s="275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6"/>
      <c r="R42" s="286"/>
      <c r="S42" s="286"/>
      <c r="T42" s="287"/>
      <c r="U42" s="34"/>
      <c r="V42" s="34"/>
      <c r="W42" s="35" t="s">
        <v>68</v>
      </c>
      <c r="X42" s="276">
        <v>84</v>
      </c>
      <c r="Y42" s="277">
        <f>IFERROR(IF(X42="","",X42),"")</f>
        <v>84</v>
      </c>
      <c r="Z42" s="36">
        <f>IFERROR(IF(X42="","",X42*0.00941),"")</f>
        <v>0.79044000000000003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161.43119999999999</v>
      </c>
      <c r="BN42" s="67">
        <f>IFERROR(Y42*I42,"0")</f>
        <v>161.43119999999999</v>
      </c>
      <c r="BO42" s="67">
        <f>IFERROR(X42/J42,"0")</f>
        <v>0.6</v>
      </c>
      <c r="BP42" s="67">
        <f>IFERROR(Y42/J42,"0")</f>
        <v>0.6</v>
      </c>
    </row>
    <row r="43" spans="1:68" x14ac:dyDescent="0.2">
      <c r="A43" s="291"/>
      <c r="B43" s="29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3"/>
      <c r="P43" s="282" t="s">
        <v>87</v>
      </c>
      <c r="Q43" s="283"/>
      <c r="R43" s="283"/>
      <c r="S43" s="283"/>
      <c r="T43" s="283"/>
      <c r="U43" s="283"/>
      <c r="V43" s="284"/>
      <c r="W43" s="37" t="s">
        <v>68</v>
      </c>
      <c r="X43" s="278">
        <f>IFERROR(SUM(X41:X42),"0")</f>
        <v>280</v>
      </c>
      <c r="Y43" s="278">
        <f>IFERROR(SUM(Y41:Y42),"0")</f>
        <v>280</v>
      </c>
      <c r="Z43" s="278">
        <f>IFERROR(IF(Z41="",0,Z41),"0")+IFERROR(IF(Z42="",0,Z42),"0")</f>
        <v>2.6348000000000003</v>
      </c>
      <c r="AA43" s="279"/>
      <c r="AB43" s="279"/>
      <c r="AC43" s="279"/>
    </row>
    <row r="44" spans="1:68" x14ac:dyDescent="0.2">
      <c r="A44" s="292"/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3"/>
      <c r="P44" s="282" t="s">
        <v>87</v>
      </c>
      <c r="Q44" s="283"/>
      <c r="R44" s="283"/>
      <c r="S44" s="283"/>
      <c r="T44" s="283"/>
      <c r="U44" s="283"/>
      <c r="V44" s="284"/>
      <c r="W44" s="37" t="s">
        <v>88</v>
      </c>
      <c r="X44" s="278">
        <f>IFERROR(SUMPRODUCT(X41:X42*H41:H42),"0")</f>
        <v>420</v>
      </c>
      <c r="Y44" s="278">
        <f>IFERROR(SUMPRODUCT(Y41:Y42*H41:H42),"0")</f>
        <v>420</v>
      </c>
      <c r="Z44" s="37"/>
      <c r="AA44" s="279"/>
      <c r="AB44" s="279"/>
      <c r="AC44" s="279"/>
    </row>
    <row r="45" spans="1:68" ht="16.5" hidden="1" customHeight="1" x14ac:dyDescent="0.25">
      <c r="A45" s="294" t="s">
        <v>107</v>
      </c>
      <c r="B45" s="29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  <c r="AA45" s="271"/>
      <c r="AB45" s="271"/>
      <c r="AC45" s="271"/>
    </row>
    <row r="46" spans="1:68" ht="14.25" hidden="1" customHeight="1" x14ac:dyDescent="0.25">
      <c r="A46" s="308" t="s">
        <v>62</v>
      </c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  <c r="X46" s="292"/>
      <c r="Y46" s="292"/>
      <c r="Z46" s="292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8">
        <v>4620207490075</v>
      </c>
      <c r="E47" s="289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68</v>
      </c>
      <c r="X47" s="276">
        <v>84</v>
      </c>
      <c r="Y47" s="277">
        <f>IFERROR(IF(X47="","",X47),"")</f>
        <v>84</v>
      </c>
      <c r="Z47" s="36">
        <f>IFERROR(IF(X47="","",X47*0.0155),"")</f>
        <v>1.302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493.08</v>
      </c>
      <c r="BN47" s="67">
        <f>IFERROR(Y47*I47,"0")</f>
        <v>493.08</v>
      </c>
      <c r="BO47" s="67">
        <f>IFERROR(X47/J47,"0")</f>
        <v>1</v>
      </c>
      <c r="BP47" s="67">
        <f>IFERROR(Y47/J47,"0")</f>
        <v>1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288">
        <v>4620207490174</v>
      </c>
      <c r="E48" s="289"/>
      <c r="F48" s="275">
        <v>0.7</v>
      </c>
      <c r="G48" s="32">
        <v>8</v>
      </c>
      <c r="H48" s="275">
        <v>5.6</v>
      </c>
      <c r="I48" s="275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6"/>
      <c r="R48" s="286"/>
      <c r="S48" s="286"/>
      <c r="T48" s="287"/>
      <c r="U48" s="34"/>
      <c r="V48" s="34"/>
      <c r="W48" s="35" t="s">
        <v>68</v>
      </c>
      <c r="X48" s="276">
        <v>0</v>
      </c>
      <c r="Y48" s="277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x14ac:dyDescent="0.2">
      <c r="A49" s="291"/>
      <c r="B49" s="292"/>
      <c r="C49" s="292"/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93"/>
      <c r="P49" s="282" t="s">
        <v>87</v>
      </c>
      <c r="Q49" s="283"/>
      <c r="R49" s="283"/>
      <c r="S49" s="283"/>
      <c r="T49" s="283"/>
      <c r="U49" s="283"/>
      <c r="V49" s="284"/>
      <c r="W49" s="37" t="s">
        <v>68</v>
      </c>
      <c r="X49" s="278">
        <f>IFERROR(SUM(X47:X48),"0")</f>
        <v>84</v>
      </c>
      <c r="Y49" s="278">
        <f>IFERROR(SUM(Y47:Y48),"0")</f>
        <v>84</v>
      </c>
      <c r="Z49" s="278">
        <f>IFERROR(IF(Z47="",0,Z47),"0")+IFERROR(IF(Z48="",0,Z48),"0")</f>
        <v>1.302</v>
      </c>
      <c r="AA49" s="279"/>
      <c r="AB49" s="279"/>
      <c r="AC49" s="279"/>
    </row>
    <row r="50" spans="1:68" x14ac:dyDescent="0.2">
      <c r="A50" s="292"/>
      <c r="B50" s="292"/>
      <c r="C50" s="292"/>
      <c r="D50" s="292"/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3"/>
      <c r="P50" s="282" t="s">
        <v>87</v>
      </c>
      <c r="Q50" s="283"/>
      <c r="R50" s="283"/>
      <c r="S50" s="283"/>
      <c r="T50" s="283"/>
      <c r="U50" s="283"/>
      <c r="V50" s="284"/>
      <c r="W50" s="37" t="s">
        <v>88</v>
      </c>
      <c r="X50" s="278">
        <f>IFERROR(SUMPRODUCT(X47:X48*H47:H48),"0")</f>
        <v>470.4</v>
      </c>
      <c r="Y50" s="278">
        <f>IFERROR(SUMPRODUCT(Y47:Y48*H47:H48),"0")</f>
        <v>470.4</v>
      </c>
      <c r="Z50" s="37"/>
      <c r="AA50" s="279"/>
      <c r="AB50" s="279"/>
      <c r="AC50" s="279"/>
    </row>
    <row r="51" spans="1:68" ht="16.5" hidden="1" customHeight="1" x14ac:dyDescent="0.25">
      <c r="A51" s="294" t="s">
        <v>114</v>
      </c>
      <c r="B51" s="292"/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71"/>
      <c r="AB51" s="271"/>
      <c r="AC51" s="271"/>
    </row>
    <row r="52" spans="1:68" ht="14.25" hidden="1" customHeight="1" x14ac:dyDescent="0.25">
      <c r="A52" s="308" t="s">
        <v>62</v>
      </c>
      <c r="B52" s="292"/>
      <c r="C52" s="292"/>
      <c r="D52" s="292"/>
      <c r="E52" s="292"/>
      <c r="F52" s="292"/>
      <c r="G52" s="292"/>
      <c r="H52" s="292"/>
      <c r="I52" s="292"/>
      <c r="J52" s="292"/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2"/>
      <c r="Z52" s="292"/>
      <c r="AA52" s="272"/>
      <c r="AB52" s="272"/>
      <c r="AC52" s="272"/>
    </row>
    <row r="53" spans="1:68" ht="27" hidden="1" customHeight="1" x14ac:dyDescent="0.25">
      <c r="A53" s="54" t="s">
        <v>115</v>
      </c>
      <c r="B53" s="54" t="s">
        <v>116</v>
      </c>
      <c r="C53" s="31">
        <v>4301071044</v>
      </c>
      <c r="D53" s="288">
        <v>4607111039385</v>
      </c>
      <c r="E53" s="289"/>
      <c r="F53" s="275">
        <v>0.7</v>
      </c>
      <c r="G53" s="32">
        <v>10</v>
      </c>
      <c r="H53" s="275">
        <v>7</v>
      </c>
      <c r="I53" s="275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6"/>
      <c r="R53" s="286"/>
      <c r="S53" s="286"/>
      <c r="T53" s="287"/>
      <c r="U53" s="34"/>
      <c r="V53" s="34"/>
      <c r="W53" s="35" t="s">
        <v>68</v>
      </c>
      <c r="X53" s="276">
        <v>0</v>
      </c>
      <c r="Y53" s="277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8">
        <v>4607111038982</v>
      </c>
      <c r="E54" s="289"/>
      <c r="F54" s="275">
        <v>0.7</v>
      </c>
      <c r="G54" s="32">
        <v>10</v>
      </c>
      <c r="H54" s="275">
        <v>7</v>
      </c>
      <c r="I54" s="275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6"/>
      <c r="R54" s="286"/>
      <c r="S54" s="286"/>
      <c r="T54" s="287"/>
      <c r="U54" s="34"/>
      <c r="V54" s="34"/>
      <c r="W54" s="35" t="s">
        <v>68</v>
      </c>
      <c r="X54" s="276">
        <v>60</v>
      </c>
      <c r="Y54" s="277">
        <f>IFERROR(IF(X54="","",X54),"")</f>
        <v>60</v>
      </c>
      <c r="Z54" s="36">
        <f>IFERROR(IF(X54="","",X54*0.0155),"")</f>
        <v>0.92999999999999994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437.15999999999997</v>
      </c>
      <c r="BN54" s="67">
        <f>IFERROR(Y54*I54,"0")</f>
        <v>437.15999999999997</v>
      </c>
      <c r="BO54" s="67">
        <f>IFERROR(X54/J54,"0")</f>
        <v>0.7142857142857143</v>
      </c>
      <c r="BP54" s="67">
        <f>IFERROR(Y54/J54,"0")</f>
        <v>0.7142857142857143</v>
      </c>
    </row>
    <row r="55" spans="1:68" ht="27" customHeight="1" x14ac:dyDescent="0.25">
      <c r="A55" s="54" t="s">
        <v>121</v>
      </c>
      <c r="B55" s="54" t="s">
        <v>122</v>
      </c>
      <c r="C55" s="31">
        <v>4301071046</v>
      </c>
      <c r="D55" s="288">
        <v>4607111039354</v>
      </c>
      <c r="E55" s="289"/>
      <c r="F55" s="275">
        <v>0.4</v>
      </c>
      <c r="G55" s="32">
        <v>16</v>
      </c>
      <c r="H55" s="275">
        <v>6.4</v>
      </c>
      <c r="I55" s="275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6"/>
      <c r="R55" s="286"/>
      <c r="S55" s="286"/>
      <c r="T55" s="287"/>
      <c r="U55" s="34"/>
      <c r="V55" s="34"/>
      <c r="W55" s="35" t="s">
        <v>68</v>
      </c>
      <c r="X55" s="276">
        <v>48</v>
      </c>
      <c r="Y55" s="277">
        <f>IFERROR(IF(X55="","",X55),"")</f>
        <v>48</v>
      </c>
      <c r="Z55" s="36">
        <f>IFERROR(IF(X55="","",X55*0.0155),"")</f>
        <v>0.74399999999999999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322.54079999999999</v>
      </c>
      <c r="BN55" s="67">
        <f>IFERROR(Y55*I55,"0")</f>
        <v>322.54079999999999</v>
      </c>
      <c r="BO55" s="67">
        <f>IFERROR(X55/J55,"0")</f>
        <v>0.5714285714285714</v>
      </c>
      <c r="BP55" s="67">
        <f>IFERROR(Y55/J55,"0")</f>
        <v>0.5714285714285714</v>
      </c>
    </row>
    <row r="56" spans="1:68" ht="27" customHeight="1" x14ac:dyDescent="0.25">
      <c r="A56" s="54" t="s">
        <v>123</v>
      </c>
      <c r="B56" s="54" t="s">
        <v>124</v>
      </c>
      <c r="C56" s="31">
        <v>4301071047</v>
      </c>
      <c r="D56" s="288">
        <v>4607111039330</v>
      </c>
      <c r="E56" s="289"/>
      <c r="F56" s="275">
        <v>0.7</v>
      </c>
      <c r="G56" s="32">
        <v>10</v>
      </c>
      <c r="H56" s="275">
        <v>7</v>
      </c>
      <c r="I56" s="275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6"/>
      <c r="R56" s="286"/>
      <c r="S56" s="286"/>
      <c r="T56" s="287"/>
      <c r="U56" s="34"/>
      <c r="V56" s="34"/>
      <c r="W56" s="35" t="s">
        <v>68</v>
      </c>
      <c r="X56" s="276">
        <v>36</v>
      </c>
      <c r="Y56" s="277">
        <f>IFERROR(IF(X56="","",X56),"")</f>
        <v>36</v>
      </c>
      <c r="Z56" s="36">
        <f>IFERROR(IF(X56="","",X56*0.0155),"")</f>
        <v>0.55800000000000005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262.8</v>
      </c>
      <c r="BN56" s="67">
        <f>IFERROR(Y56*I56,"0")</f>
        <v>262.8</v>
      </c>
      <c r="BO56" s="67">
        <f>IFERROR(X56/J56,"0")</f>
        <v>0.42857142857142855</v>
      </c>
      <c r="BP56" s="67">
        <f>IFERROR(Y56/J56,"0")</f>
        <v>0.42857142857142855</v>
      </c>
    </row>
    <row r="57" spans="1:68" x14ac:dyDescent="0.2">
      <c r="A57" s="291"/>
      <c r="B57" s="292"/>
      <c r="C57" s="292"/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93"/>
      <c r="P57" s="282" t="s">
        <v>87</v>
      </c>
      <c r="Q57" s="283"/>
      <c r="R57" s="283"/>
      <c r="S57" s="283"/>
      <c r="T57" s="283"/>
      <c r="U57" s="283"/>
      <c r="V57" s="284"/>
      <c r="W57" s="37" t="s">
        <v>68</v>
      </c>
      <c r="X57" s="278">
        <f>IFERROR(SUM(X53:X56),"0")</f>
        <v>144</v>
      </c>
      <c r="Y57" s="278">
        <f>IFERROR(SUM(Y53:Y56),"0")</f>
        <v>144</v>
      </c>
      <c r="Z57" s="278">
        <f>IFERROR(IF(Z53="",0,Z53),"0")+IFERROR(IF(Z54="",0,Z54),"0")+IFERROR(IF(Z55="",0,Z55),"0")+IFERROR(IF(Z56="",0,Z56),"0")</f>
        <v>2.2320000000000002</v>
      </c>
      <c r="AA57" s="279"/>
      <c r="AB57" s="279"/>
      <c r="AC57" s="279"/>
    </row>
    <row r="58" spans="1:68" x14ac:dyDescent="0.2">
      <c r="A58" s="292"/>
      <c r="B58" s="292"/>
      <c r="C58" s="292"/>
      <c r="D58" s="292"/>
      <c r="E58" s="292"/>
      <c r="F58" s="292"/>
      <c r="G58" s="292"/>
      <c r="H58" s="292"/>
      <c r="I58" s="292"/>
      <c r="J58" s="292"/>
      <c r="K58" s="292"/>
      <c r="L58" s="292"/>
      <c r="M58" s="292"/>
      <c r="N58" s="292"/>
      <c r="O58" s="293"/>
      <c r="P58" s="282" t="s">
        <v>87</v>
      </c>
      <c r="Q58" s="283"/>
      <c r="R58" s="283"/>
      <c r="S58" s="283"/>
      <c r="T58" s="283"/>
      <c r="U58" s="283"/>
      <c r="V58" s="284"/>
      <c r="W58" s="37" t="s">
        <v>88</v>
      </c>
      <c r="X58" s="278">
        <f>IFERROR(SUMPRODUCT(X53:X56*H53:H56),"0")</f>
        <v>979.2</v>
      </c>
      <c r="Y58" s="278">
        <f>IFERROR(SUMPRODUCT(Y53:Y56*H53:H56),"0")</f>
        <v>979.2</v>
      </c>
      <c r="Z58" s="37"/>
      <c r="AA58" s="279"/>
      <c r="AB58" s="279"/>
      <c r="AC58" s="279"/>
    </row>
    <row r="59" spans="1:68" ht="16.5" hidden="1" customHeight="1" x14ac:dyDescent="0.25">
      <c r="A59" s="294" t="s">
        <v>125</v>
      </c>
      <c r="B59" s="292"/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92"/>
      <c r="P59" s="292"/>
      <c r="Q59" s="292"/>
      <c r="R59" s="292"/>
      <c r="S59" s="292"/>
      <c r="T59" s="292"/>
      <c r="U59" s="292"/>
      <c r="V59" s="292"/>
      <c r="W59" s="292"/>
      <c r="X59" s="292"/>
      <c r="Y59" s="292"/>
      <c r="Z59" s="292"/>
      <c r="AA59" s="271"/>
      <c r="AB59" s="271"/>
      <c r="AC59" s="271"/>
    </row>
    <row r="60" spans="1:68" ht="14.25" hidden="1" customHeight="1" x14ac:dyDescent="0.25">
      <c r="A60" s="308" t="s">
        <v>97</v>
      </c>
      <c r="B60" s="292"/>
      <c r="C60" s="292"/>
      <c r="D60" s="292"/>
      <c r="E60" s="292"/>
      <c r="F60" s="292"/>
      <c r="G60" s="292"/>
      <c r="H60" s="292"/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  <c r="T60" s="292"/>
      <c r="U60" s="292"/>
      <c r="V60" s="292"/>
      <c r="W60" s="292"/>
      <c r="X60" s="292"/>
      <c r="Y60" s="292"/>
      <c r="Z60" s="292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8">
        <v>4607111039712</v>
      </c>
      <c r="E61" s="289"/>
      <c r="F61" s="275">
        <v>0.2</v>
      </c>
      <c r="G61" s="32">
        <v>6</v>
      </c>
      <c r="H61" s="275">
        <v>1.2</v>
      </c>
      <c r="I61" s="275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2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6"/>
      <c r="R61" s="286"/>
      <c r="S61" s="286"/>
      <c r="T61" s="287"/>
      <c r="U61" s="34"/>
      <c r="V61" s="34"/>
      <c r="W61" s="35" t="s">
        <v>68</v>
      </c>
      <c r="X61" s="276">
        <v>0</v>
      </c>
      <c r="Y61" s="277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91"/>
      <c r="B62" s="29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3"/>
      <c r="P62" s="282" t="s">
        <v>87</v>
      </c>
      <c r="Q62" s="283"/>
      <c r="R62" s="283"/>
      <c r="S62" s="283"/>
      <c r="T62" s="283"/>
      <c r="U62" s="283"/>
      <c r="V62" s="284"/>
      <c r="W62" s="37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hidden="1" x14ac:dyDescent="0.2">
      <c r="A63" s="292"/>
      <c r="B63" s="292"/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93"/>
      <c r="P63" s="282" t="s">
        <v>87</v>
      </c>
      <c r="Q63" s="283"/>
      <c r="R63" s="283"/>
      <c r="S63" s="283"/>
      <c r="T63" s="283"/>
      <c r="U63" s="283"/>
      <c r="V63" s="284"/>
      <c r="W63" s="37" t="s">
        <v>88</v>
      </c>
      <c r="X63" s="278">
        <f>IFERROR(SUMPRODUCT(X61:X61*H61:H61),"0")</f>
        <v>0</v>
      </c>
      <c r="Y63" s="278">
        <f>IFERROR(SUMPRODUCT(Y61:Y61*H61:H61),"0")</f>
        <v>0</v>
      </c>
      <c r="Z63" s="37"/>
      <c r="AA63" s="279"/>
      <c r="AB63" s="279"/>
      <c r="AC63" s="279"/>
    </row>
    <row r="64" spans="1:68" ht="14.25" hidden="1" customHeight="1" x14ac:dyDescent="0.25">
      <c r="A64" s="308" t="s">
        <v>129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2"/>
      <c r="Z64" s="292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8">
        <v>4607111037398</v>
      </c>
      <c r="E65" s="289"/>
      <c r="F65" s="275">
        <v>0.09</v>
      </c>
      <c r="G65" s="32">
        <v>24</v>
      </c>
      <c r="H65" s="275">
        <v>2.16</v>
      </c>
      <c r="I65" s="275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86"/>
      <c r="R65" s="286"/>
      <c r="S65" s="286"/>
      <c r="T65" s="287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91"/>
      <c r="B66" s="292"/>
      <c r="C66" s="292"/>
      <c r="D66" s="292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3"/>
      <c r="P66" s="282" t="s">
        <v>87</v>
      </c>
      <c r="Q66" s="283"/>
      <c r="R66" s="283"/>
      <c r="S66" s="283"/>
      <c r="T66" s="283"/>
      <c r="U66" s="283"/>
      <c r="V66" s="284"/>
      <c r="W66" s="37" t="s">
        <v>68</v>
      </c>
      <c r="X66" s="278">
        <f>IFERROR(SUM(X65:X65),"0")</f>
        <v>0</v>
      </c>
      <c r="Y66" s="278">
        <f>IFERROR(SUM(Y65:Y65),"0")</f>
        <v>0</v>
      </c>
      <c r="Z66" s="278">
        <f>IFERROR(IF(Z65="",0,Z65),"0")</f>
        <v>0</v>
      </c>
      <c r="AA66" s="279"/>
      <c r="AB66" s="279"/>
      <c r="AC66" s="279"/>
    </row>
    <row r="67" spans="1:68" hidden="1" x14ac:dyDescent="0.2">
      <c r="A67" s="292"/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3"/>
      <c r="P67" s="282" t="s">
        <v>87</v>
      </c>
      <c r="Q67" s="283"/>
      <c r="R67" s="283"/>
      <c r="S67" s="283"/>
      <c r="T67" s="283"/>
      <c r="U67" s="283"/>
      <c r="V67" s="284"/>
      <c r="W67" s="37" t="s">
        <v>88</v>
      </c>
      <c r="X67" s="278">
        <f>IFERROR(SUMPRODUCT(X65:X65*H65:H65),"0")</f>
        <v>0</v>
      </c>
      <c r="Y67" s="278">
        <f>IFERROR(SUMPRODUCT(Y65:Y65*H65:H65),"0")</f>
        <v>0</v>
      </c>
      <c r="Z67" s="37"/>
      <c r="AA67" s="279"/>
      <c r="AB67" s="279"/>
      <c r="AC67" s="279"/>
    </row>
    <row r="68" spans="1:68" ht="14.25" hidden="1" customHeight="1" x14ac:dyDescent="0.25">
      <c r="A68" s="308" t="s">
        <v>133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292"/>
      <c r="R68" s="292"/>
      <c r="S68" s="292"/>
      <c r="T68" s="292"/>
      <c r="U68" s="292"/>
      <c r="V68" s="292"/>
      <c r="W68" s="292"/>
      <c r="X68" s="292"/>
      <c r="Y68" s="292"/>
      <c r="Z68" s="292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8">
        <v>4607111039705</v>
      </c>
      <c r="E69" s="289"/>
      <c r="F69" s="275">
        <v>0.2</v>
      </c>
      <c r="G69" s="32">
        <v>6</v>
      </c>
      <c r="H69" s="275">
        <v>1.2</v>
      </c>
      <c r="I69" s="275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7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86"/>
      <c r="R69" s="286"/>
      <c r="S69" s="286"/>
      <c r="T69" s="287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8">
        <v>4607111039729</v>
      </c>
      <c r="E70" s="289"/>
      <c r="F70" s="275">
        <v>0.2</v>
      </c>
      <c r="G70" s="32">
        <v>6</v>
      </c>
      <c r="H70" s="275">
        <v>1.2</v>
      </c>
      <c r="I70" s="275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86"/>
      <c r="R70" s="286"/>
      <c r="S70" s="286"/>
      <c r="T70" s="287"/>
      <c r="U70" s="34"/>
      <c r="V70" s="34"/>
      <c r="W70" s="35" t="s">
        <v>68</v>
      </c>
      <c r="X70" s="276">
        <v>0</v>
      </c>
      <c r="Y70" s="277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139</v>
      </c>
      <c r="B71" s="54" t="s">
        <v>140</v>
      </c>
      <c r="C71" s="31">
        <v>4301135702</v>
      </c>
      <c r="D71" s="288">
        <v>4620207490228</v>
      </c>
      <c r="E71" s="289"/>
      <c r="F71" s="275">
        <v>0.2</v>
      </c>
      <c r="G71" s="32">
        <v>6</v>
      </c>
      <c r="H71" s="275">
        <v>1.2</v>
      </c>
      <c r="I71" s="275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6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86"/>
      <c r="R71" s="286"/>
      <c r="S71" s="286"/>
      <c r="T71" s="287"/>
      <c r="U71" s="34"/>
      <c r="V71" s="34"/>
      <c r="W71" s="35" t="s">
        <v>68</v>
      </c>
      <c r="X71" s="276">
        <v>168</v>
      </c>
      <c r="Y71" s="277">
        <f>IFERROR(IF(X71="","",X71),"")</f>
        <v>168</v>
      </c>
      <c r="Z71" s="36">
        <f>IFERROR(IF(X71="","",X71*0.00941),"")</f>
        <v>1.5808800000000001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262.08</v>
      </c>
      <c r="BN71" s="67">
        <f>IFERROR(Y71*I71,"0")</f>
        <v>262.08</v>
      </c>
      <c r="BO71" s="67">
        <f>IFERROR(X71/J71,"0")</f>
        <v>1.2</v>
      </c>
      <c r="BP71" s="67">
        <f>IFERROR(Y71/J71,"0")</f>
        <v>1.2</v>
      </c>
    </row>
    <row r="72" spans="1:68" x14ac:dyDescent="0.2">
      <c r="A72" s="291"/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3"/>
      <c r="P72" s="282" t="s">
        <v>87</v>
      </c>
      <c r="Q72" s="283"/>
      <c r="R72" s="283"/>
      <c r="S72" s="283"/>
      <c r="T72" s="283"/>
      <c r="U72" s="283"/>
      <c r="V72" s="284"/>
      <c r="W72" s="37" t="s">
        <v>68</v>
      </c>
      <c r="X72" s="278">
        <f>IFERROR(SUM(X69:X71),"0")</f>
        <v>168</v>
      </c>
      <c r="Y72" s="278">
        <f>IFERROR(SUM(Y69:Y71),"0")</f>
        <v>168</v>
      </c>
      <c r="Z72" s="278">
        <f>IFERROR(IF(Z69="",0,Z69),"0")+IFERROR(IF(Z70="",0,Z70),"0")+IFERROR(IF(Z71="",0,Z71),"0")</f>
        <v>1.5808800000000001</v>
      </c>
      <c r="AA72" s="279"/>
      <c r="AB72" s="279"/>
      <c r="AC72" s="279"/>
    </row>
    <row r="73" spans="1:68" x14ac:dyDescent="0.2">
      <c r="A73" s="292"/>
      <c r="B73" s="292"/>
      <c r="C73" s="292"/>
      <c r="D73" s="292"/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93"/>
      <c r="P73" s="282" t="s">
        <v>87</v>
      </c>
      <c r="Q73" s="283"/>
      <c r="R73" s="283"/>
      <c r="S73" s="283"/>
      <c r="T73" s="283"/>
      <c r="U73" s="283"/>
      <c r="V73" s="284"/>
      <c r="W73" s="37" t="s">
        <v>88</v>
      </c>
      <c r="X73" s="278">
        <f>IFERROR(SUMPRODUCT(X69:X71*H69:H71),"0")</f>
        <v>201.6</v>
      </c>
      <c r="Y73" s="278">
        <f>IFERROR(SUMPRODUCT(Y69:Y71*H69:H71),"0")</f>
        <v>201.6</v>
      </c>
      <c r="Z73" s="37"/>
      <c r="AA73" s="279"/>
      <c r="AB73" s="279"/>
      <c r="AC73" s="279"/>
    </row>
    <row r="74" spans="1:68" ht="16.5" hidden="1" customHeight="1" x14ac:dyDescent="0.25">
      <c r="A74" s="294" t="s">
        <v>141</v>
      </c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2"/>
      <c r="Q74" s="292"/>
      <c r="R74" s="292"/>
      <c r="S74" s="292"/>
      <c r="T74" s="292"/>
      <c r="U74" s="292"/>
      <c r="V74" s="292"/>
      <c r="W74" s="292"/>
      <c r="X74" s="292"/>
      <c r="Y74" s="292"/>
      <c r="Z74" s="292"/>
      <c r="AA74" s="271"/>
      <c r="AB74" s="271"/>
      <c r="AC74" s="271"/>
    </row>
    <row r="75" spans="1:68" ht="14.25" hidden="1" customHeight="1" x14ac:dyDescent="0.25">
      <c r="A75" s="308" t="s">
        <v>62</v>
      </c>
      <c r="B75" s="292"/>
      <c r="C75" s="292"/>
      <c r="D75" s="292"/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8">
        <v>4607111037411</v>
      </c>
      <c r="E76" s="289"/>
      <c r="F76" s="275">
        <v>2.7</v>
      </c>
      <c r="G76" s="32">
        <v>1</v>
      </c>
      <c r="H76" s="275">
        <v>2.7</v>
      </c>
      <c r="I76" s="275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86"/>
      <c r="R76" s="286"/>
      <c r="S76" s="286"/>
      <c r="T76" s="287"/>
      <c r="U76" s="34"/>
      <c r="V76" s="34"/>
      <c r="W76" s="35" t="s">
        <v>68</v>
      </c>
      <c r="X76" s="276">
        <v>0</v>
      </c>
      <c r="Y76" s="277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146</v>
      </c>
      <c r="B77" s="54" t="s">
        <v>147</v>
      </c>
      <c r="C77" s="31">
        <v>4301070981</v>
      </c>
      <c r="D77" s="288">
        <v>4607111036728</v>
      </c>
      <c r="E77" s="289"/>
      <c r="F77" s="275">
        <v>5</v>
      </c>
      <c r="G77" s="32">
        <v>1</v>
      </c>
      <c r="H77" s="275">
        <v>5</v>
      </c>
      <c r="I77" s="275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86"/>
      <c r="R77" s="286"/>
      <c r="S77" s="286"/>
      <c r="T77" s="287"/>
      <c r="U77" s="34"/>
      <c r="V77" s="34"/>
      <c r="W77" s="35" t="s">
        <v>68</v>
      </c>
      <c r="X77" s="276">
        <v>0</v>
      </c>
      <c r="Y77" s="277">
        <f>IFERROR(IF(X77="","",X77),"")</f>
        <v>0</v>
      </c>
      <c r="Z77" s="36">
        <f>IFERROR(IF(X77="","",X77*0.00866),"")</f>
        <v>0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291"/>
      <c r="B78" s="292"/>
      <c r="C78" s="292"/>
      <c r="D78" s="292"/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O78" s="293"/>
      <c r="P78" s="282" t="s">
        <v>87</v>
      </c>
      <c r="Q78" s="283"/>
      <c r="R78" s="283"/>
      <c r="S78" s="283"/>
      <c r="T78" s="283"/>
      <c r="U78" s="283"/>
      <c r="V78" s="284"/>
      <c r="W78" s="37" t="s">
        <v>68</v>
      </c>
      <c r="X78" s="278">
        <f>IFERROR(SUM(X76:X77),"0")</f>
        <v>0</v>
      </c>
      <c r="Y78" s="278">
        <f>IFERROR(SUM(Y76:Y77),"0")</f>
        <v>0</v>
      </c>
      <c r="Z78" s="278">
        <f>IFERROR(IF(Z76="",0,Z76),"0")+IFERROR(IF(Z77="",0,Z77),"0")</f>
        <v>0</v>
      </c>
      <c r="AA78" s="279"/>
      <c r="AB78" s="279"/>
      <c r="AC78" s="279"/>
    </row>
    <row r="79" spans="1:68" hidden="1" x14ac:dyDescent="0.2">
      <c r="A79" s="292"/>
      <c r="B79" s="292"/>
      <c r="C79" s="292"/>
      <c r="D79" s="292"/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93"/>
      <c r="P79" s="282" t="s">
        <v>87</v>
      </c>
      <c r="Q79" s="283"/>
      <c r="R79" s="283"/>
      <c r="S79" s="283"/>
      <c r="T79" s="283"/>
      <c r="U79" s="283"/>
      <c r="V79" s="284"/>
      <c r="W79" s="37" t="s">
        <v>88</v>
      </c>
      <c r="X79" s="278">
        <f>IFERROR(SUMPRODUCT(X76:X77*H76:H77),"0")</f>
        <v>0</v>
      </c>
      <c r="Y79" s="278">
        <f>IFERROR(SUMPRODUCT(Y76:Y77*H76:H77),"0")</f>
        <v>0</v>
      </c>
      <c r="Z79" s="37"/>
      <c r="AA79" s="279"/>
      <c r="AB79" s="279"/>
      <c r="AC79" s="279"/>
    </row>
    <row r="80" spans="1:68" ht="16.5" hidden="1" customHeight="1" x14ac:dyDescent="0.25">
      <c r="A80" s="294" t="s">
        <v>148</v>
      </c>
      <c r="B80" s="292"/>
      <c r="C80" s="292"/>
      <c r="D80" s="292"/>
      <c r="E80" s="292"/>
      <c r="F80" s="292"/>
      <c r="G80" s="292"/>
      <c r="H80" s="292"/>
      <c r="I80" s="292"/>
      <c r="J80" s="292"/>
      <c r="K80" s="292"/>
      <c r="L80" s="292"/>
      <c r="M80" s="292"/>
      <c r="N80" s="292"/>
      <c r="O80" s="292"/>
      <c r="P80" s="292"/>
      <c r="Q80" s="292"/>
      <c r="R80" s="292"/>
      <c r="S80" s="292"/>
      <c r="T80" s="292"/>
      <c r="U80" s="292"/>
      <c r="V80" s="292"/>
      <c r="W80" s="292"/>
      <c r="X80" s="292"/>
      <c r="Y80" s="292"/>
      <c r="Z80" s="292"/>
      <c r="AA80" s="271"/>
      <c r="AB80" s="271"/>
      <c r="AC80" s="271"/>
    </row>
    <row r="81" spans="1:68" ht="14.25" hidden="1" customHeight="1" x14ac:dyDescent="0.25">
      <c r="A81" s="308" t="s">
        <v>133</v>
      </c>
      <c r="B81" s="292"/>
      <c r="C81" s="292"/>
      <c r="D81" s="292"/>
      <c r="E81" s="292"/>
      <c r="F81" s="292"/>
      <c r="G81" s="292"/>
      <c r="H81" s="292"/>
      <c r="I81" s="292"/>
      <c r="J81" s="292"/>
      <c r="K81" s="292"/>
      <c r="L81" s="292"/>
      <c r="M81" s="292"/>
      <c r="N81" s="292"/>
      <c r="O81" s="292"/>
      <c r="P81" s="292"/>
      <c r="Q81" s="292"/>
      <c r="R81" s="292"/>
      <c r="S81" s="292"/>
      <c r="T81" s="292"/>
      <c r="U81" s="292"/>
      <c r="V81" s="292"/>
      <c r="W81" s="292"/>
      <c r="X81" s="292"/>
      <c r="Y81" s="292"/>
      <c r="Z81" s="292"/>
      <c r="AA81" s="272"/>
      <c r="AB81" s="272"/>
      <c r="AC81" s="272"/>
    </row>
    <row r="82" spans="1:68" ht="27" customHeight="1" x14ac:dyDescent="0.25">
      <c r="A82" s="54" t="s">
        <v>149</v>
      </c>
      <c r="B82" s="54" t="s">
        <v>150</v>
      </c>
      <c r="C82" s="31">
        <v>4301135574</v>
      </c>
      <c r="D82" s="288">
        <v>4607111033659</v>
      </c>
      <c r="E82" s="289"/>
      <c r="F82" s="275">
        <v>0.3</v>
      </c>
      <c r="G82" s="32">
        <v>12</v>
      </c>
      <c r="H82" s="275">
        <v>3.6</v>
      </c>
      <c r="I82" s="275">
        <v>4.3036000000000003</v>
      </c>
      <c r="J82" s="32">
        <v>70</v>
      </c>
      <c r="K82" s="32" t="s">
        <v>100</v>
      </c>
      <c r="L82" s="32" t="s">
        <v>101</v>
      </c>
      <c r="M82" s="33" t="s">
        <v>67</v>
      </c>
      <c r="N82" s="33"/>
      <c r="O82" s="32">
        <v>180</v>
      </c>
      <c r="P82" s="45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286"/>
      <c r="R82" s="286"/>
      <c r="S82" s="286"/>
      <c r="T82" s="287"/>
      <c r="U82" s="34"/>
      <c r="V82" s="34"/>
      <c r="W82" s="35" t="s">
        <v>68</v>
      </c>
      <c r="X82" s="276">
        <v>42</v>
      </c>
      <c r="Y82" s="277">
        <f>IFERROR(IF(X82="","",X82),"")</f>
        <v>42</v>
      </c>
      <c r="Z82" s="36">
        <f>IFERROR(IF(X82="","",X82*0.01788),"")</f>
        <v>0.75095999999999996</v>
      </c>
      <c r="AA82" s="56"/>
      <c r="AB82" s="57"/>
      <c r="AC82" s="122" t="s">
        <v>151</v>
      </c>
      <c r="AG82" s="67"/>
      <c r="AJ82" s="71" t="s">
        <v>103</v>
      </c>
      <c r="AK82" s="71">
        <v>14</v>
      </c>
      <c r="BB82" s="123" t="s">
        <v>104</v>
      </c>
      <c r="BM82" s="67">
        <f>IFERROR(X82*I82,"0")</f>
        <v>180.75120000000001</v>
      </c>
      <c r="BN82" s="67">
        <f>IFERROR(Y82*I82,"0")</f>
        <v>180.75120000000001</v>
      </c>
      <c r="BO82" s="67">
        <f>IFERROR(X82/J82,"0")</f>
        <v>0.6</v>
      </c>
      <c r="BP82" s="67">
        <f>IFERROR(Y82/J82,"0")</f>
        <v>0.6</v>
      </c>
    </row>
    <row r="83" spans="1:68" x14ac:dyDescent="0.2">
      <c r="A83" s="291"/>
      <c r="B83" s="292"/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292"/>
      <c r="N83" s="292"/>
      <c r="O83" s="293"/>
      <c r="P83" s="282" t="s">
        <v>87</v>
      </c>
      <c r="Q83" s="283"/>
      <c r="R83" s="283"/>
      <c r="S83" s="283"/>
      <c r="T83" s="283"/>
      <c r="U83" s="283"/>
      <c r="V83" s="284"/>
      <c r="W83" s="37" t="s">
        <v>68</v>
      </c>
      <c r="X83" s="278">
        <f>IFERROR(SUM(X82:X82),"0")</f>
        <v>42</v>
      </c>
      <c r="Y83" s="278">
        <f>IFERROR(SUM(Y82:Y82),"0")</f>
        <v>42</v>
      </c>
      <c r="Z83" s="278">
        <f>IFERROR(IF(Z82="",0,Z82),"0")</f>
        <v>0.75095999999999996</v>
      </c>
      <c r="AA83" s="279"/>
      <c r="AB83" s="279"/>
      <c r="AC83" s="279"/>
    </row>
    <row r="84" spans="1:68" x14ac:dyDescent="0.2">
      <c r="A84" s="292"/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3"/>
      <c r="P84" s="282" t="s">
        <v>87</v>
      </c>
      <c r="Q84" s="283"/>
      <c r="R84" s="283"/>
      <c r="S84" s="283"/>
      <c r="T84" s="283"/>
      <c r="U84" s="283"/>
      <c r="V84" s="284"/>
      <c r="W84" s="37" t="s">
        <v>88</v>
      </c>
      <c r="X84" s="278">
        <f>IFERROR(SUMPRODUCT(X82:X82*H82:H82),"0")</f>
        <v>151.20000000000002</v>
      </c>
      <c r="Y84" s="278">
        <f>IFERROR(SUMPRODUCT(Y82:Y82*H82:H82),"0")</f>
        <v>151.20000000000002</v>
      </c>
      <c r="Z84" s="37"/>
      <c r="AA84" s="279"/>
      <c r="AB84" s="279"/>
      <c r="AC84" s="279"/>
    </row>
    <row r="85" spans="1:68" ht="16.5" hidden="1" customHeight="1" x14ac:dyDescent="0.25">
      <c r="A85" s="294" t="s">
        <v>152</v>
      </c>
      <c r="B85" s="292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  <c r="AA85" s="271"/>
      <c r="AB85" s="271"/>
      <c r="AC85" s="271"/>
    </row>
    <row r="86" spans="1:68" ht="14.25" hidden="1" customHeight="1" x14ac:dyDescent="0.25">
      <c r="A86" s="308" t="s">
        <v>153</v>
      </c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92"/>
      <c r="V86" s="292"/>
      <c r="W86" s="292"/>
      <c r="X86" s="292"/>
      <c r="Y86" s="292"/>
      <c r="Z86" s="292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8">
        <v>4607111034120</v>
      </c>
      <c r="E87" s="289"/>
      <c r="F87" s="275">
        <v>0.3</v>
      </c>
      <c r="G87" s="32">
        <v>12</v>
      </c>
      <c r="H87" s="275">
        <v>3.6</v>
      </c>
      <c r="I87" s="275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8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86"/>
      <c r="R87" s="286"/>
      <c r="S87" s="286"/>
      <c r="T87" s="287"/>
      <c r="U87" s="34"/>
      <c r="V87" s="34"/>
      <c r="W87" s="35" t="s">
        <v>68</v>
      </c>
      <c r="X87" s="276">
        <v>112</v>
      </c>
      <c r="Y87" s="277">
        <f>IFERROR(IF(X87="","",X87),"")</f>
        <v>112</v>
      </c>
      <c r="Z87" s="36">
        <f>IFERROR(IF(X87="","",X87*0.01788),"")</f>
        <v>2.0025599999999999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482.00320000000005</v>
      </c>
      <c r="BN87" s="67">
        <f>IFERROR(Y87*I87,"0")</f>
        <v>482.00320000000005</v>
      </c>
      <c r="BO87" s="67">
        <f>IFERROR(X87/J87,"0")</f>
        <v>1.6</v>
      </c>
      <c r="BP87" s="67">
        <f>IFERROR(Y87/J87,"0")</f>
        <v>1.6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88">
        <v>4607111034137</v>
      </c>
      <c r="E88" s="289"/>
      <c r="F88" s="275">
        <v>0.3</v>
      </c>
      <c r="G88" s="32">
        <v>12</v>
      </c>
      <c r="H88" s="275">
        <v>3.6</v>
      </c>
      <c r="I88" s="275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8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86"/>
      <c r="R88" s="286"/>
      <c r="S88" s="286"/>
      <c r="T88" s="287"/>
      <c r="U88" s="34"/>
      <c r="V88" s="34"/>
      <c r="W88" s="35" t="s">
        <v>68</v>
      </c>
      <c r="X88" s="276">
        <v>84</v>
      </c>
      <c r="Y88" s="277">
        <f>IFERROR(IF(X88="","",X88),"")</f>
        <v>84</v>
      </c>
      <c r="Z88" s="36">
        <f>IFERROR(IF(X88="","",X88*0.01788),"")</f>
        <v>1.5019199999999999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361.50240000000002</v>
      </c>
      <c r="BN88" s="67">
        <f>IFERROR(Y88*I88,"0")</f>
        <v>361.50240000000002</v>
      </c>
      <c r="BO88" s="67">
        <f>IFERROR(X88/J88,"0")</f>
        <v>1.2</v>
      </c>
      <c r="BP88" s="67">
        <f>IFERROR(Y88/J88,"0")</f>
        <v>1.2</v>
      </c>
    </row>
    <row r="89" spans="1:68" x14ac:dyDescent="0.2">
      <c r="A89" s="291"/>
      <c r="B89" s="292"/>
      <c r="C89" s="292"/>
      <c r="D89" s="292"/>
      <c r="E89" s="292"/>
      <c r="F89" s="292"/>
      <c r="G89" s="292"/>
      <c r="H89" s="292"/>
      <c r="I89" s="292"/>
      <c r="J89" s="292"/>
      <c r="K89" s="292"/>
      <c r="L89" s="292"/>
      <c r="M89" s="292"/>
      <c r="N89" s="292"/>
      <c r="O89" s="293"/>
      <c r="P89" s="282" t="s">
        <v>87</v>
      </c>
      <c r="Q89" s="283"/>
      <c r="R89" s="283"/>
      <c r="S89" s="283"/>
      <c r="T89" s="283"/>
      <c r="U89" s="283"/>
      <c r="V89" s="284"/>
      <c r="W89" s="37" t="s">
        <v>68</v>
      </c>
      <c r="X89" s="278">
        <f>IFERROR(SUM(X87:X88),"0")</f>
        <v>196</v>
      </c>
      <c r="Y89" s="278">
        <f>IFERROR(SUM(Y87:Y88),"0")</f>
        <v>196</v>
      </c>
      <c r="Z89" s="278">
        <f>IFERROR(IF(Z87="",0,Z87),"0")+IFERROR(IF(Z88="",0,Z88),"0")</f>
        <v>3.50448</v>
      </c>
      <c r="AA89" s="279"/>
      <c r="AB89" s="279"/>
      <c r="AC89" s="279"/>
    </row>
    <row r="90" spans="1:68" x14ac:dyDescent="0.2">
      <c r="A90" s="292"/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3"/>
      <c r="P90" s="282" t="s">
        <v>87</v>
      </c>
      <c r="Q90" s="283"/>
      <c r="R90" s="283"/>
      <c r="S90" s="283"/>
      <c r="T90" s="283"/>
      <c r="U90" s="283"/>
      <c r="V90" s="284"/>
      <c r="W90" s="37" t="s">
        <v>88</v>
      </c>
      <c r="X90" s="278">
        <f>IFERROR(SUMPRODUCT(X87:X88*H87:H88),"0")</f>
        <v>705.6</v>
      </c>
      <c r="Y90" s="278">
        <f>IFERROR(SUMPRODUCT(Y87:Y88*H87:H88),"0")</f>
        <v>705.6</v>
      </c>
      <c r="Z90" s="37"/>
      <c r="AA90" s="279"/>
      <c r="AB90" s="279"/>
      <c r="AC90" s="279"/>
    </row>
    <row r="91" spans="1:68" ht="16.5" hidden="1" customHeight="1" x14ac:dyDescent="0.25">
      <c r="A91" s="294" t="s">
        <v>160</v>
      </c>
      <c r="B91" s="292"/>
      <c r="C91" s="292"/>
      <c r="D91" s="292"/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92"/>
      <c r="P91" s="292"/>
      <c r="Q91" s="292"/>
      <c r="R91" s="292"/>
      <c r="S91" s="292"/>
      <c r="T91" s="292"/>
      <c r="U91" s="292"/>
      <c r="V91" s="292"/>
      <c r="W91" s="292"/>
      <c r="X91" s="292"/>
      <c r="Y91" s="292"/>
      <c r="Z91" s="292"/>
      <c r="AA91" s="271"/>
      <c r="AB91" s="271"/>
      <c r="AC91" s="271"/>
    </row>
    <row r="92" spans="1:68" ht="14.25" hidden="1" customHeight="1" x14ac:dyDescent="0.25">
      <c r="A92" s="308" t="s">
        <v>133</v>
      </c>
      <c r="B92" s="292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  <c r="AA92" s="272"/>
      <c r="AB92" s="272"/>
      <c r="AC92" s="272"/>
    </row>
    <row r="93" spans="1:68" ht="27" customHeight="1" x14ac:dyDescent="0.25">
      <c r="A93" s="54" t="s">
        <v>161</v>
      </c>
      <c r="B93" s="54" t="s">
        <v>162</v>
      </c>
      <c r="C93" s="31">
        <v>4301135763</v>
      </c>
      <c r="D93" s="288">
        <v>4620207491027</v>
      </c>
      <c r="E93" s="289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86"/>
      <c r="R93" s="286"/>
      <c r="S93" s="286"/>
      <c r="T93" s="287"/>
      <c r="U93" s="34"/>
      <c r="V93" s="34"/>
      <c r="W93" s="35" t="s">
        <v>68</v>
      </c>
      <c r="X93" s="276">
        <v>56</v>
      </c>
      <c r="Y93" s="277">
        <f t="shared" ref="Y93:Y98" si="6">IFERROR(IF(X93="","",X93),"")</f>
        <v>56</v>
      </c>
      <c r="Z93" s="36">
        <f t="shared" ref="Z93:Z98" si="7">IFERROR(IF(X93="","",X93*0.01788),"")</f>
        <v>1.0012799999999999</v>
      </c>
      <c r="AA93" s="56"/>
      <c r="AB93" s="57"/>
      <c r="AC93" s="128" t="s">
        <v>151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200.6816</v>
      </c>
      <c r="BN93" s="67">
        <f t="shared" ref="BN93:BN98" si="9">IFERROR(Y93*I93,"0")</f>
        <v>200.6816</v>
      </c>
      <c r="BO93" s="67">
        <f t="shared" ref="BO93:BO98" si="10">IFERROR(X93/J93,"0")</f>
        <v>0.8</v>
      </c>
      <c r="BP93" s="67">
        <f t="shared" ref="BP93:BP98" si="11">IFERROR(Y93/J93,"0")</f>
        <v>0.8</v>
      </c>
    </row>
    <row r="94" spans="1:68" ht="27" hidden="1" customHeight="1" x14ac:dyDescent="0.25">
      <c r="A94" s="54" t="s">
        <v>163</v>
      </c>
      <c r="B94" s="54" t="s">
        <v>164</v>
      </c>
      <c r="C94" s="31">
        <v>4301135914</v>
      </c>
      <c r="D94" s="288">
        <v>4620207491621</v>
      </c>
      <c r="E94" s="289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20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86"/>
      <c r="R94" s="286"/>
      <c r="S94" s="286"/>
      <c r="T94" s="287"/>
      <c r="U94" s="34"/>
      <c r="V94" s="34"/>
      <c r="W94" s="35" t="s">
        <v>68</v>
      </c>
      <c r="X94" s="276">
        <v>0</v>
      </c>
      <c r="Y94" s="277">
        <f t="shared" si="6"/>
        <v>0</v>
      </c>
      <c r="Z94" s="36">
        <f t="shared" si="7"/>
        <v>0</v>
      </c>
      <c r="AA94" s="56"/>
      <c r="AB94" s="57"/>
      <c r="AC94" s="130" t="s">
        <v>165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customHeight="1" x14ac:dyDescent="0.25">
      <c r="A95" s="54" t="s">
        <v>166</v>
      </c>
      <c r="B95" s="54" t="s">
        <v>167</v>
      </c>
      <c r="C95" s="31">
        <v>4301135990</v>
      </c>
      <c r="D95" s="288">
        <v>4620207491881</v>
      </c>
      <c r="E95" s="289"/>
      <c r="F95" s="275">
        <v>0.24</v>
      </c>
      <c r="G95" s="32">
        <v>12</v>
      </c>
      <c r="H95" s="275">
        <v>2.88</v>
      </c>
      <c r="I95" s="275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86"/>
      <c r="R95" s="286"/>
      <c r="S95" s="286"/>
      <c r="T95" s="287"/>
      <c r="U95" s="34"/>
      <c r="V95" s="34"/>
      <c r="W95" s="35" t="s">
        <v>68</v>
      </c>
      <c r="X95" s="276">
        <v>14</v>
      </c>
      <c r="Y95" s="277">
        <f t="shared" si="6"/>
        <v>14</v>
      </c>
      <c r="Z95" s="36">
        <f t="shared" si="7"/>
        <v>0.25031999999999999</v>
      </c>
      <c r="AA95" s="56"/>
      <c r="AB95" s="57"/>
      <c r="AC95" s="132" t="s">
        <v>165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50.170400000000001</v>
      </c>
      <c r="BN95" s="67">
        <f t="shared" si="9"/>
        <v>50.170400000000001</v>
      </c>
      <c r="BO95" s="67">
        <f t="shared" si="10"/>
        <v>0.2</v>
      </c>
      <c r="BP95" s="67">
        <f t="shared" si="11"/>
        <v>0.2</v>
      </c>
    </row>
    <row r="96" spans="1:68" ht="27" customHeight="1" x14ac:dyDescent="0.25">
      <c r="A96" s="54" t="s">
        <v>168</v>
      </c>
      <c r="B96" s="54" t="s">
        <v>169</v>
      </c>
      <c r="C96" s="31">
        <v>4301135920</v>
      </c>
      <c r="D96" s="288">
        <v>4620207491577</v>
      </c>
      <c r="E96" s="289"/>
      <c r="F96" s="275">
        <v>0.24</v>
      </c>
      <c r="G96" s="32">
        <v>12</v>
      </c>
      <c r="H96" s="275">
        <v>2.88</v>
      </c>
      <c r="I96" s="275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39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86"/>
      <c r="R96" s="286"/>
      <c r="S96" s="286"/>
      <c r="T96" s="287"/>
      <c r="U96" s="34"/>
      <c r="V96" s="34"/>
      <c r="W96" s="35" t="s">
        <v>68</v>
      </c>
      <c r="X96" s="276">
        <v>70</v>
      </c>
      <c r="Y96" s="277">
        <f t="shared" si="6"/>
        <v>70</v>
      </c>
      <c r="Z96" s="36">
        <f t="shared" si="7"/>
        <v>1.2516</v>
      </c>
      <c r="AA96" s="56"/>
      <c r="AB96" s="57"/>
      <c r="AC96" s="134" t="s">
        <v>165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250.852</v>
      </c>
      <c r="BN96" s="67">
        <f t="shared" si="9"/>
        <v>250.852</v>
      </c>
      <c r="BO96" s="67">
        <f t="shared" si="10"/>
        <v>1</v>
      </c>
      <c r="BP96" s="67">
        <f t="shared" si="11"/>
        <v>1</v>
      </c>
    </row>
    <row r="97" spans="1:68" ht="27" hidden="1" customHeight="1" x14ac:dyDescent="0.25">
      <c r="A97" s="54" t="s">
        <v>170</v>
      </c>
      <c r="B97" s="54" t="s">
        <v>171</v>
      </c>
      <c r="C97" s="31">
        <v>4301135984</v>
      </c>
      <c r="D97" s="288">
        <v>4620207491874</v>
      </c>
      <c r="E97" s="289"/>
      <c r="F97" s="275">
        <v>0.48</v>
      </c>
      <c r="G97" s="32">
        <v>8</v>
      </c>
      <c r="H97" s="275">
        <v>3.84</v>
      </c>
      <c r="I97" s="275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86"/>
      <c r="R97" s="286"/>
      <c r="S97" s="286"/>
      <c r="T97" s="287"/>
      <c r="U97" s="34"/>
      <c r="V97" s="34"/>
      <c r="W97" s="35" t="s">
        <v>68</v>
      </c>
      <c r="X97" s="276">
        <v>0</v>
      </c>
      <c r="Y97" s="277">
        <f t="shared" si="6"/>
        <v>0</v>
      </c>
      <c r="Z97" s="36">
        <f t="shared" si="7"/>
        <v>0</v>
      </c>
      <c r="AA97" s="56"/>
      <c r="AB97" s="57"/>
      <c r="AC97" s="136" t="s">
        <v>165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hidden="1" customHeight="1" x14ac:dyDescent="0.25">
      <c r="A98" s="54" t="s">
        <v>172</v>
      </c>
      <c r="B98" s="54" t="s">
        <v>173</v>
      </c>
      <c r="C98" s="31">
        <v>4301135285</v>
      </c>
      <c r="D98" s="288">
        <v>4607111036407</v>
      </c>
      <c r="E98" s="289"/>
      <c r="F98" s="275">
        <v>0.3</v>
      </c>
      <c r="G98" s="32">
        <v>14</v>
      </c>
      <c r="H98" s="275">
        <v>4.2</v>
      </c>
      <c r="I98" s="275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1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286"/>
      <c r="R98" s="286"/>
      <c r="S98" s="286"/>
      <c r="T98" s="287"/>
      <c r="U98" s="34"/>
      <c r="V98" s="34"/>
      <c r="W98" s="35" t="s">
        <v>68</v>
      </c>
      <c r="X98" s="276">
        <v>0</v>
      </c>
      <c r="Y98" s="277">
        <f t="shared" si="6"/>
        <v>0</v>
      </c>
      <c r="Z98" s="36">
        <f t="shared" si="7"/>
        <v>0</v>
      </c>
      <c r="AA98" s="56"/>
      <c r="AB98" s="57"/>
      <c r="AC98" s="138" t="s">
        <v>174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x14ac:dyDescent="0.2">
      <c r="A99" s="291"/>
      <c r="B99" s="292"/>
      <c r="C99" s="292"/>
      <c r="D99" s="292"/>
      <c r="E99" s="292"/>
      <c r="F99" s="292"/>
      <c r="G99" s="292"/>
      <c r="H99" s="292"/>
      <c r="I99" s="292"/>
      <c r="J99" s="292"/>
      <c r="K99" s="292"/>
      <c r="L99" s="292"/>
      <c r="M99" s="292"/>
      <c r="N99" s="292"/>
      <c r="O99" s="293"/>
      <c r="P99" s="282" t="s">
        <v>87</v>
      </c>
      <c r="Q99" s="283"/>
      <c r="R99" s="283"/>
      <c r="S99" s="283"/>
      <c r="T99" s="283"/>
      <c r="U99" s="283"/>
      <c r="V99" s="284"/>
      <c r="W99" s="37" t="s">
        <v>68</v>
      </c>
      <c r="X99" s="278">
        <f>IFERROR(SUM(X93:X98),"0")</f>
        <v>140</v>
      </c>
      <c r="Y99" s="278">
        <f>IFERROR(SUM(Y93:Y98),"0")</f>
        <v>140</v>
      </c>
      <c r="Z99" s="278">
        <f>IFERROR(IF(Z93="",0,Z93),"0")+IFERROR(IF(Z94="",0,Z94),"0")+IFERROR(IF(Z95="",0,Z95),"0")+IFERROR(IF(Z96="",0,Z96),"0")+IFERROR(IF(Z97="",0,Z97),"0")+IFERROR(IF(Z98="",0,Z98),"0")</f>
        <v>2.5031999999999996</v>
      </c>
      <c r="AA99" s="279"/>
      <c r="AB99" s="279"/>
      <c r="AC99" s="279"/>
    </row>
    <row r="100" spans="1:68" x14ac:dyDescent="0.2">
      <c r="A100" s="292"/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3"/>
      <c r="P100" s="282" t="s">
        <v>87</v>
      </c>
      <c r="Q100" s="283"/>
      <c r="R100" s="283"/>
      <c r="S100" s="283"/>
      <c r="T100" s="283"/>
      <c r="U100" s="283"/>
      <c r="V100" s="284"/>
      <c r="W100" s="37" t="s">
        <v>88</v>
      </c>
      <c r="X100" s="278">
        <f>IFERROR(SUMPRODUCT(X93:X98*H93:H98),"0")</f>
        <v>403.2</v>
      </c>
      <c r="Y100" s="278">
        <f>IFERROR(SUMPRODUCT(Y93:Y98*H93:H98),"0")</f>
        <v>403.2</v>
      </c>
      <c r="Z100" s="37"/>
      <c r="AA100" s="279"/>
      <c r="AB100" s="279"/>
      <c r="AC100" s="279"/>
    </row>
    <row r="101" spans="1:68" ht="16.5" hidden="1" customHeight="1" x14ac:dyDescent="0.25">
      <c r="A101" s="294" t="s">
        <v>175</v>
      </c>
      <c r="B101" s="292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292"/>
      <c r="Z101" s="292"/>
      <c r="AA101" s="271"/>
      <c r="AB101" s="271"/>
      <c r="AC101" s="271"/>
    </row>
    <row r="102" spans="1:68" ht="14.25" hidden="1" customHeight="1" x14ac:dyDescent="0.25">
      <c r="A102" s="308" t="s">
        <v>129</v>
      </c>
      <c r="B102" s="292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  <c r="AA102" s="272"/>
      <c r="AB102" s="272"/>
      <c r="AC102" s="272"/>
    </row>
    <row r="103" spans="1:68" ht="27" customHeight="1" x14ac:dyDescent="0.25">
      <c r="A103" s="54" t="s">
        <v>176</v>
      </c>
      <c r="B103" s="54" t="s">
        <v>177</v>
      </c>
      <c r="C103" s="31">
        <v>4301136101</v>
      </c>
      <c r="D103" s="288">
        <v>4620207491652</v>
      </c>
      <c r="E103" s="289"/>
      <c r="F103" s="275">
        <v>0.09</v>
      </c>
      <c r="G103" s="32">
        <v>24</v>
      </c>
      <c r="H103" s="275">
        <v>2.16</v>
      </c>
      <c r="I103" s="275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7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86"/>
      <c r="R103" s="286"/>
      <c r="S103" s="286"/>
      <c r="T103" s="287"/>
      <c r="U103" s="34"/>
      <c r="V103" s="34"/>
      <c r="W103" s="35" t="s">
        <v>68</v>
      </c>
      <c r="X103" s="276">
        <v>84</v>
      </c>
      <c r="Y103" s="277">
        <f>IFERROR(IF(X103="","",X103),"")</f>
        <v>84</v>
      </c>
      <c r="Z103" s="36">
        <f>IFERROR(IF(X103="","",X103*0.00936),"")</f>
        <v>0.78624000000000005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209.26080000000002</v>
      </c>
      <c r="BN103" s="67">
        <f>IFERROR(Y103*I103,"0")</f>
        <v>209.26080000000002</v>
      </c>
      <c r="BO103" s="67">
        <f>IFERROR(X103/J103,"0")</f>
        <v>0.66666666666666663</v>
      </c>
      <c r="BP103" s="67">
        <f>IFERROR(Y103/J103,"0")</f>
        <v>0.66666666666666663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8">
        <v>4620207491645</v>
      </c>
      <c r="E104" s="289"/>
      <c r="F104" s="275">
        <v>0.36</v>
      </c>
      <c r="G104" s="32">
        <v>10</v>
      </c>
      <c r="H104" s="275">
        <v>3.6</v>
      </c>
      <c r="I104" s="275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86"/>
      <c r="R104" s="286"/>
      <c r="S104" s="286"/>
      <c r="T104" s="287"/>
      <c r="U104" s="34"/>
      <c r="V104" s="34"/>
      <c r="W104" s="35" t="s">
        <v>68</v>
      </c>
      <c r="X104" s="276">
        <v>0</v>
      </c>
      <c r="Y104" s="277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x14ac:dyDescent="0.2">
      <c r="A105" s="291"/>
      <c r="B105" s="292"/>
      <c r="C105" s="292"/>
      <c r="D105" s="292"/>
      <c r="E105" s="292"/>
      <c r="F105" s="292"/>
      <c r="G105" s="292"/>
      <c r="H105" s="292"/>
      <c r="I105" s="292"/>
      <c r="J105" s="292"/>
      <c r="K105" s="292"/>
      <c r="L105" s="292"/>
      <c r="M105" s="292"/>
      <c r="N105" s="292"/>
      <c r="O105" s="293"/>
      <c r="P105" s="282" t="s">
        <v>87</v>
      </c>
      <c r="Q105" s="283"/>
      <c r="R105" s="283"/>
      <c r="S105" s="283"/>
      <c r="T105" s="283"/>
      <c r="U105" s="283"/>
      <c r="V105" s="284"/>
      <c r="W105" s="37" t="s">
        <v>68</v>
      </c>
      <c r="X105" s="278">
        <f>IFERROR(SUM(X103:X104),"0")</f>
        <v>84</v>
      </c>
      <c r="Y105" s="278">
        <f>IFERROR(SUM(Y103:Y104),"0")</f>
        <v>84</v>
      </c>
      <c r="Z105" s="278">
        <f>IFERROR(IF(Z103="",0,Z103),"0")+IFERROR(IF(Z104="",0,Z104),"0")</f>
        <v>0.78624000000000005</v>
      </c>
      <c r="AA105" s="279"/>
      <c r="AB105" s="279"/>
      <c r="AC105" s="279"/>
    </row>
    <row r="106" spans="1:68" x14ac:dyDescent="0.2">
      <c r="A106" s="292"/>
      <c r="B106" s="292"/>
      <c r="C106" s="292"/>
      <c r="D106" s="292"/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93"/>
      <c r="P106" s="282" t="s">
        <v>87</v>
      </c>
      <c r="Q106" s="283"/>
      <c r="R106" s="283"/>
      <c r="S106" s="283"/>
      <c r="T106" s="283"/>
      <c r="U106" s="283"/>
      <c r="V106" s="284"/>
      <c r="W106" s="37" t="s">
        <v>88</v>
      </c>
      <c r="X106" s="278">
        <f>IFERROR(SUMPRODUCT(X103:X104*H103:H104),"0")</f>
        <v>181.44</v>
      </c>
      <c r="Y106" s="278">
        <f>IFERROR(SUMPRODUCT(Y103:Y104*H103:H104),"0")</f>
        <v>181.44</v>
      </c>
      <c r="Z106" s="37"/>
      <c r="AA106" s="279"/>
      <c r="AB106" s="279"/>
      <c r="AC106" s="279"/>
    </row>
    <row r="107" spans="1:68" ht="16.5" hidden="1" customHeight="1" x14ac:dyDescent="0.25">
      <c r="A107" s="294" t="s">
        <v>181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71"/>
      <c r="AB107" s="271"/>
      <c r="AC107" s="271"/>
    </row>
    <row r="108" spans="1:68" ht="14.25" hidden="1" customHeight="1" x14ac:dyDescent="0.25">
      <c r="A108" s="308" t="s">
        <v>62</v>
      </c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88">
        <v>4620207491157</v>
      </c>
      <c r="E109" s="289"/>
      <c r="F109" s="275">
        <v>0.7</v>
      </c>
      <c r="G109" s="32">
        <v>10</v>
      </c>
      <c r="H109" s="275">
        <v>7</v>
      </c>
      <c r="I109" s="275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0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86"/>
      <c r="R109" s="286"/>
      <c r="S109" s="286"/>
      <c r="T109" s="287"/>
      <c r="U109" s="34"/>
      <c r="V109" s="34"/>
      <c r="W109" s="35" t="s">
        <v>68</v>
      </c>
      <c r="X109" s="276">
        <v>96</v>
      </c>
      <c r="Y109" s="277">
        <f t="shared" ref="Y109:Y115" si="12">IFERROR(IF(X109="","",X109),"")</f>
        <v>96</v>
      </c>
      <c r="Z109" s="36">
        <f t="shared" ref="Z109:Z115" si="13">IFERROR(IF(X109="","",X109*0.0155),"")</f>
        <v>1.488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698.88</v>
      </c>
      <c r="BN109" s="67">
        <f t="shared" ref="BN109:BN115" si="15">IFERROR(Y109*I109,"0")</f>
        <v>698.88</v>
      </c>
      <c r="BO109" s="67">
        <f t="shared" ref="BO109:BO115" si="16">IFERROR(X109/J109,"0")</f>
        <v>1.1428571428571428</v>
      </c>
      <c r="BP109" s="67">
        <f t="shared" ref="BP109:BP115" si="17">IFERROR(Y109/J109,"0")</f>
        <v>1.1428571428571428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8">
        <v>4620207491393</v>
      </c>
      <c r="E110" s="289"/>
      <c r="F110" s="275">
        <v>0.4</v>
      </c>
      <c r="G110" s="32">
        <v>16</v>
      </c>
      <c r="H110" s="275">
        <v>6.4</v>
      </c>
      <c r="I110" s="275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86"/>
      <c r="R110" s="286"/>
      <c r="S110" s="286"/>
      <c r="T110" s="287"/>
      <c r="U110" s="34"/>
      <c r="V110" s="34"/>
      <c r="W110" s="35" t="s">
        <v>68</v>
      </c>
      <c r="X110" s="276">
        <v>0</v>
      </c>
      <c r="Y110" s="277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customHeight="1" x14ac:dyDescent="0.25">
      <c r="A111" s="54" t="s">
        <v>188</v>
      </c>
      <c r="B111" s="54" t="s">
        <v>189</v>
      </c>
      <c r="C111" s="31">
        <v>4301071051</v>
      </c>
      <c r="D111" s="288">
        <v>4607111039262</v>
      </c>
      <c r="E111" s="289"/>
      <c r="F111" s="275">
        <v>0.4</v>
      </c>
      <c r="G111" s="32">
        <v>16</v>
      </c>
      <c r="H111" s="275">
        <v>6.4</v>
      </c>
      <c r="I111" s="275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2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86"/>
      <c r="R111" s="286"/>
      <c r="S111" s="286"/>
      <c r="T111" s="287"/>
      <c r="U111" s="34"/>
      <c r="V111" s="34"/>
      <c r="W111" s="35" t="s">
        <v>68</v>
      </c>
      <c r="X111" s="276">
        <v>36</v>
      </c>
      <c r="Y111" s="277">
        <f t="shared" si="12"/>
        <v>36</v>
      </c>
      <c r="Z111" s="36">
        <f t="shared" si="13"/>
        <v>0.55800000000000005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241.90559999999999</v>
      </c>
      <c r="BN111" s="67">
        <f t="shared" si="15"/>
        <v>241.90559999999999</v>
      </c>
      <c r="BO111" s="67">
        <f t="shared" si="16"/>
        <v>0.42857142857142855</v>
      </c>
      <c r="BP111" s="67">
        <f t="shared" si="17"/>
        <v>0.42857142857142855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8">
        <v>4607111039248</v>
      </c>
      <c r="E112" s="289"/>
      <c r="F112" s="275">
        <v>0.7</v>
      </c>
      <c r="G112" s="32">
        <v>10</v>
      </c>
      <c r="H112" s="275">
        <v>7</v>
      </c>
      <c r="I112" s="275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3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86"/>
      <c r="R112" s="286"/>
      <c r="S112" s="286"/>
      <c r="T112" s="287"/>
      <c r="U112" s="34"/>
      <c r="V112" s="34"/>
      <c r="W112" s="35" t="s">
        <v>68</v>
      </c>
      <c r="X112" s="276">
        <v>96</v>
      </c>
      <c r="Y112" s="277">
        <f t="shared" si="12"/>
        <v>96</v>
      </c>
      <c r="Z112" s="36">
        <f t="shared" si="13"/>
        <v>1.488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700.8</v>
      </c>
      <c r="BN112" s="67">
        <f t="shared" si="15"/>
        <v>700.8</v>
      </c>
      <c r="BO112" s="67">
        <f t="shared" si="16"/>
        <v>1.1428571428571428</v>
      </c>
      <c r="BP112" s="67">
        <f t="shared" si="17"/>
        <v>1.1428571428571428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8">
        <v>4607111037145</v>
      </c>
      <c r="E113" s="289"/>
      <c r="F113" s="275">
        <v>0.8</v>
      </c>
      <c r="G113" s="32">
        <v>8</v>
      </c>
      <c r="H113" s="275">
        <v>6.4</v>
      </c>
      <c r="I113" s="275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4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86"/>
      <c r="R113" s="286"/>
      <c r="S113" s="286"/>
      <c r="T113" s="287"/>
      <c r="U113" s="34"/>
      <c r="V113" s="34"/>
      <c r="W113" s="35" t="s">
        <v>68</v>
      </c>
      <c r="X113" s="276">
        <v>0</v>
      </c>
      <c r="Y113" s="277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4301071049</v>
      </c>
      <c r="D114" s="288">
        <v>4607111039293</v>
      </c>
      <c r="E114" s="289"/>
      <c r="F114" s="275">
        <v>0.4</v>
      </c>
      <c r="G114" s="32">
        <v>16</v>
      </c>
      <c r="H114" s="275">
        <v>6.4</v>
      </c>
      <c r="I114" s="275">
        <v>6.7195999999999998</v>
      </c>
      <c r="J114" s="32">
        <v>84</v>
      </c>
      <c r="K114" s="32" t="s">
        <v>65</v>
      </c>
      <c r="L114" s="32" t="s">
        <v>101</v>
      </c>
      <c r="M114" s="33" t="s">
        <v>67</v>
      </c>
      <c r="N114" s="33"/>
      <c r="O114" s="32">
        <v>180</v>
      </c>
      <c r="P114" s="43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86"/>
      <c r="R114" s="286"/>
      <c r="S114" s="286"/>
      <c r="T114" s="287"/>
      <c r="U114" s="34"/>
      <c r="V114" s="34"/>
      <c r="W114" s="35" t="s">
        <v>68</v>
      </c>
      <c r="X114" s="276">
        <v>36</v>
      </c>
      <c r="Y114" s="277">
        <f t="shared" si="12"/>
        <v>36</v>
      </c>
      <c r="Z114" s="36">
        <f t="shared" si="13"/>
        <v>0.55800000000000005</v>
      </c>
      <c r="AA114" s="56"/>
      <c r="AB114" s="57"/>
      <c r="AC114" s="154" t="s">
        <v>145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241.90559999999999</v>
      </c>
      <c r="BN114" s="67">
        <f t="shared" si="15"/>
        <v>241.90559999999999</v>
      </c>
      <c r="BO114" s="67">
        <f t="shared" si="16"/>
        <v>0.42857142857142855</v>
      </c>
      <c r="BP114" s="67">
        <f t="shared" si="17"/>
        <v>0.42857142857142855</v>
      </c>
    </row>
    <row r="115" spans="1:68" ht="27" customHeight="1" x14ac:dyDescent="0.25">
      <c r="A115" s="54" t="s">
        <v>197</v>
      </c>
      <c r="B115" s="54" t="s">
        <v>198</v>
      </c>
      <c r="C115" s="31">
        <v>4301071039</v>
      </c>
      <c r="D115" s="288">
        <v>4607111039279</v>
      </c>
      <c r="E115" s="289"/>
      <c r="F115" s="275">
        <v>0.7</v>
      </c>
      <c r="G115" s="32">
        <v>10</v>
      </c>
      <c r="H115" s="275">
        <v>7</v>
      </c>
      <c r="I115" s="275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8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86"/>
      <c r="R115" s="286"/>
      <c r="S115" s="286"/>
      <c r="T115" s="287"/>
      <c r="U115" s="34"/>
      <c r="V115" s="34"/>
      <c r="W115" s="35" t="s">
        <v>68</v>
      </c>
      <c r="X115" s="276">
        <v>156</v>
      </c>
      <c r="Y115" s="277">
        <f t="shared" si="12"/>
        <v>156</v>
      </c>
      <c r="Z115" s="36">
        <f t="shared" si="13"/>
        <v>2.4180000000000001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1138.8</v>
      </c>
      <c r="BN115" s="67">
        <f t="shared" si="15"/>
        <v>1138.8</v>
      </c>
      <c r="BO115" s="67">
        <f t="shared" si="16"/>
        <v>1.8571428571428572</v>
      </c>
      <c r="BP115" s="67">
        <f t="shared" si="17"/>
        <v>1.8571428571428572</v>
      </c>
    </row>
    <row r="116" spans="1:68" x14ac:dyDescent="0.2">
      <c r="A116" s="291"/>
      <c r="B116" s="292"/>
      <c r="C116" s="292"/>
      <c r="D116" s="292"/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93"/>
      <c r="P116" s="282" t="s">
        <v>87</v>
      </c>
      <c r="Q116" s="283"/>
      <c r="R116" s="283"/>
      <c r="S116" s="283"/>
      <c r="T116" s="283"/>
      <c r="U116" s="283"/>
      <c r="V116" s="284"/>
      <c r="W116" s="37" t="s">
        <v>68</v>
      </c>
      <c r="X116" s="278">
        <f>IFERROR(SUM(X109:X115),"0")</f>
        <v>420</v>
      </c>
      <c r="Y116" s="278">
        <f>IFERROR(SUM(Y109:Y115),"0")</f>
        <v>420</v>
      </c>
      <c r="Z116" s="278">
        <f>IFERROR(IF(Z109="",0,Z109),"0")+IFERROR(IF(Z110="",0,Z110),"0")+IFERROR(IF(Z111="",0,Z111),"0")+IFERROR(IF(Z112="",0,Z112),"0")+IFERROR(IF(Z113="",0,Z113),"0")+IFERROR(IF(Z114="",0,Z114),"0")+IFERROR(IF(Z115="",0,Z115),"0")</f>
        <v>6.5100000000000007</v>
      </c>
      <c r="AA116" s="279"/>
      <c r="AB116" s="279"/>
      <c r="AC116" s="279"/>
    </row>
    <row r="117" spans="1:68" x14ac:dyDescent="0.2">
      <c r="A117" s="292"/>
      <c r="B117" s="292"/>
      <c r="C117" s="292"/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93"/>
      <c r="P117" s="282" t="s">
        <v>87</v>
      </c>
      <c r="Q117" s="283"/>
      <c r="R117" s="283"/>
      <c r="S117" s="283"/>
      <c r="T117" s="283"/>
      <c r="U117" s="283"/>
      <c r="V117" s="284"/>
      <c r="W117" s="37" t="s">
        <v>88</v>
      </c>
      <c r="X117" s="278">
        <f>IFERROR(SUMPRODUCT(X109:X115*H109:H115),"0")</f>
        <v>2896.8</v>
      </c>
      <c r="Y117" s="278">
        <f>IFERROR(SUMPRODUCT(Y109:Y115*H109:H115),"0")</f>
        <v>2896.8</v>
      </c>
      <c r="Z117" s="37"/>
      <c r="AA117" s="279"/>
      <c r="AB117" s="279"/>
      <c r="AC117" s="279"/>
    </row>
    <row r="118" spans="1:68" ht="14.25" hidden="1" customHeight="1" x14ac:dyDescent="0.25">
      <c r="A118" s="308" t="s">
        <v>133</v>
      </c>
      <c r="B118" s="292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292"/>
      <c r="S118" s="292"/>
      <c r="T118" s="292"/>
      <c r="U118" s="292"/>
      <c r="V118" s="292"/>
      <c r="W118" s="292"/>
      <c r="X118" s="292"/>
      <c r="Y118" s="292"/>
      <c r="Z118" s="292"/>
      <c r="AA118" s="272"/>
      <c r="AB118" s="272"/>
      <c r="AC118" s="272"/>
    </row>
    <row r="119" spans="1:68" ht="27" hidden="1" customHeight="1" x14ac:dyDescent="0.25">
      <c r="A119" s="54" t="s">
        <v>199</v>
      </c>
      <c r="B119" s="54" t="s">
        <v>200</v>
      </c>
      <c r="C119" s="31">
        <v>4301135826</v>
      </c>
      <c r="D119" s="288">
        <v>4620207490983</v>
      </c>
      <c r="E119" s="289"/>
      <c r="F119" s="275">
        <v>0.22</v>
      </c>
      <c r="G119" s="32">
        <v>12</v>
      </c>
      <c r="H119" s="275">
        <v>2.64</v>
      </c>
      <c r="I119" s="275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6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86"/>
      <c r="R119" s="286"/>
      <c r="S119" s="286"/>
      <c r="T119" s="287"/>
      <c r="U119" s="34"/>
      <c r="V119" s="34"/>
      <c r="W119" s="35" t="s">
        <v>68</v>
      </c>
      <c r="X119" s="276">
        <v>0</v>
      </c>
      <c r="Y119" s="277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201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91"/>
      <c r="B120" s="292"/>
      <c r="C120" s="292"/>
      <c r="D120" s="292"/>
      <c r="E120" s="292"/>
      <c r="F120" s="292"/>
      <c r="G120" s="292"/>
      <c r="H120" s="292"/>
      <c r="I120" s="292"/>
      <c r="J120" s="292"/>
      <c r="K120" s="292"/>
      <c r="L120" s="292"/>
      <c r="M120" s="292"/>
      <c r="N120" s="292"/>
      <c r="O120" s="293"/>
      <c r="P120" s="282" t="s">
        <v>87</v>
      </c>
      <c r="Q120" s="283"/>
      <c r="R120" s="283"/>
      <c r="S120" s="283"/>
      <c r="T120" s="283"/>
      <c r="U120" s="283"/>
      <c r="V120" s="284"/>
      <c r="W120" s="37" t="s">
        <v>68</v>
      </c>
      <c r="X120" s="278">
        <f>IFERROR(SUM(X119:X119),"0")</f>
        <v>0</v>
      </c>
      <c r="Y120" s="278">
        <f>IFERROR(SUM(Y119:Y119),"0")</f>
        <v>0</v>
      </c>
      <c r="Z120" s="278">
        <f>IFERROR(IF(Z119="",0,Z119),"0")</f>
        <v>0</v>
      </c>
      <c r="AA120" s="279"/>
      <c r="AB120" s="279"/>
      <c r="AC120" s="279"/>
    </row>
    <row r="121" spans="1:68" hidden="1" x14ac:dyDescent="0.2">
      <c r="A121" s="292"/>
      <c r="B121" s="292"/>
      <c r="C121" s="292"/>
      <c r="D121" s="292"/>
      <c r="E121" s="292"/>
      <c r="F121" s="292"/>
      <c r="G121" s="292"/>
      <c r="H121" s="292"/>
      <c r="I121" s="292"/>
      <c r="J121" s="292"/>
      <c r="K121" s="292"/>
      <c r="L121" s="292"/>
      <c r="M121" s="292"/>
      <c r="N121" s="292"/>
      <c r="O121" s="293"/>
      <c r="P121" s="282" t="s">
        <v>87</v>
      </c>
      <c r="Q121" s="283"/>
      <c r="R121" s="283"/>
      <c r="S121" s="283"/>
      <c r="T121" s="283"/>
      <c r="U121" s="283"/>
      <c r="V121" s="284"/>
      <c r="W121" s="37" t="s">
        <v>88</v>
      </c>
      <c r="X121" s="278">
        <f>IFERROR(SUMPRODUCT(X119:X119*H119:H119),"0")</f>
        <v>0</v>
      </c>
      <c r="Y121" s="278">
        <f>IFERROR(SUMPRODUCT(Y119:Y119*H119:H119),"0")</f>
        <v>0</v>
      </c>
      <c r="Z121" s="37"/>
      <c r="AA121" s="279"/>
      <c r="AB121" s="279"/>
      <c r="AC121" s="279"/>
    </row>
    <row r="122" spans="1:68" ht="14.25" hidden="1" customHeight="1" x14ac:dyDescent="0.25">
      <c r="A122" s="308" t="s">
        <v>202</v>
      </c>
      <c r="B122" s="292"/>
      <c r="C122" s="292"/>
      <c r="D122" s="292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92"/>
      <c r="P122" s="292"/>
      <c r="Q122" s="292"/>
      <c r="R122" s="292"/>
      <c r="S122" s="292"/>
      <c r="T122" s="292"/>
      <c r="U122" s="292"/>
      <c r="V122" s="292"/>
      <c r="W122" s="292"/>
      <c r="X122" s="292"/>
      <c r="Y122" s="292"/>
      <c r="Z122" s="292"/>
      <c r="AA122" s="272"/>
      <c r="AB122" s="272"/>
      <c r="AC122" s="272"/>
    </row>
    <row r="123" spans="1:68" ht="27" hidden="1" customHeight="1" x14ac:dyDescent="0.25">
      <c r="A123" s="54" t="s">
        <v>203</v>
      </c>
      <c r="B123" s="54" t="s">
        <v>204</v>
      </c>
      <c r="C123" s="31">
        <v>4301071094</v>
      </c>
      <c r="D123" s="288">
        <v>4620207491140</v>
      </c>
      <c r="E123" s="289"/>
      <c r="F123" s="275">
        <v>0.6</v>
      </c>
      <c r="G123" s="32">
        <v>10</v>
      </c>
      <c r="H123" s="275">
        <v>6</v>
      </c>
      <c r="I123" s="275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86"/>
      <c r="R123" s="286"/>
      <c r="S123" s="286"/>
      <c r="T123" s="287"/>
      <c r="U123" s="34"/>
      <c r="V123" s="34"/>
      <c r="W123" s="35" t="s">
        <v>68</v>
      </c>
      <c r="X123" s="276">
        <v>0</v>
      </c>
      <c r="Y123" s="277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205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91"/>
      <c r="B124" s="292"/>
      <c r="C124" s="292"/>
      <c r="D124" s="292"/>
      <c r="E124" s="292"/>
      <c r="F124" s="292"/>
      <c r="G124" s="292"/>
      <c r="H124" s="292"/>
      <c r="I124" s="292"/>
      <c r="J124" s="292"/>
      <c r="K124" s="292"/>
      <c r="L124" s="292"/>
      <c r="M124" s="292"/>
      <c r="N124" s="292"/>
      <c r="O124" s="293"/>
      <c r="P124" s="282" t="s">
        <v>87</v>
      </c>
      <c r="Q124" s="283"/>
      <c r="R124" s="283"/>
      <c r="S124" s="283"/>
      <c r="T124" s="283"/>
      <c r="U124" s="283"/>
      <c r="V124" s="284"/>
      <c r="W124" s="37" t="s">
        <v>68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hidden="1" x14ac:dyDescent="0.2">
      <c r="A125" s="292"/>
      <c r="B125" s="292"/>
      <c r="C125" s="292"/>
      <c r="D125" s="292"/>
      <c r="E125" s="292"/>
      <c r="F125" s="292"/>
      <c r="G125" s="292"/>
      <c r="H125" s="292"/>
      <c r="I125" s="292"/>
      <c r="J125" s="292"/>
      <c r="K125" s="292"/>
      <c r="L125" s="292"/>
      <c r="M125" s="292"/>
      <c r="N125" s="292"/>
      <c r="O125" s="293"/>
      <c r="P125" s="282" t="s">
        <v>87</v>
      </c>
      <c r="Q125" s="283"/>
      <c r="R125" s="283"/>
      <c r="S125" s="283"/>
      <c r="T125" s="283"/>
      <c r="U125" s="283"/>
      <c r="V125" s="284"/>
      <c r="W125" s="37" t="s">
        <v>88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6.5" hidden="1" customHeight="1" x14ac:dyDescent="0.25">
      <c r="A126" s="294" t="s">
        <v>206</v>
      </c>
      <c r="B126" s="292"/>
      <c r="C126" s="292"/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292"/>
      <c r="S126" s="292"/>
      <c r="T126" s="292"/>
      <c r="U126" s="292"/>
      <c r="V126" s="292"/>
      <c r="W126" s="292"/>
      <c r="X126" s="292"/>
      <c r="Y126" s="292"/>
      <c r="Z126" s="292"/>
      <c r="AA126" s="271"/>
      <c r="AB126" s="271"/>
      <c r="AC126" s="271"/>
    </row>
    <row r="127" spans="1:68" ht="14.25" hidden="1" customHeight="1" x14ac:dyDescent="0.25">
      <c r="A127" s="308" t="s">
        <v>133</v>
      </c>
      <c r="B127" s="292"/>
      <c r="C127" s="292"/>
      <c r="D127" s="292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2"/>
      <c r="P127" s="292"/>
      <c r="Q127" s="292"/>
      <c r="R127" s="292"/>
      <c r="S127" s="292"/>
      <c r="T127" s="292"/>
      <c r="U127" s="292"/>
      <c r="V127" s="292"/>
      <c r="W127" s="292"/>
      <c r="X127" s="292"/>
      <c r="Y127" s="292"/>
      <c r="Z127" s="292"/>
      <c r="AA127" s="272"/>
      <c r="AB127" s="272"/>
      <c r="AC127" s="272"/>
    </row>
    <row r="128" spans="1:68" ht="27" customHeight="1" x14ac:dyDescent="0.25">
      <c r="A128" s="54" t="s">
        <v>207</v>
      </c>
      <c r="B128" s="54" t="s">
        <v>208</v>
      </c>
      <c r="C128" s="31">
        <v>4301135848</v>
      </c>
      <c r="D128" s="288">
        <v>4620207491799</v>
      </c>
      <c r="E128" s="289"/>
      <c r="F128" s="275">
        <v>0.23</v>
      </c>
      <c r="G128" s="32">
        <v>6</v>
      </c>
      <c r="H128" s="275">
        <v>1.38</v>
      </c>
      <c r="I128" s="275">
        <v>1.8</v>
      </c>
      <c r="J128" s="32">
        <v>140</v>
      </c>
      <c r="K128" s="32" t="s">
        <v>100</v>
      </c>
      <c r="L128" s="32" t="s">
        <v>66</v>
      </c>
      <c r="M128" s="33" t="s">
        <v>67</v>
      </c>
      <c r="N128" s="33"/>
      <c r="O128" s="32">
        <v>180</v>
      </c>
      <c r="P128" s="44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286"/>
      <c r="R128" s="286"/>
      <c r="S128" s="286"/>
      <c r="T128" s="287"/>
      <c r="U128" s="34"/>
      <c r="V128" s="34"/>
      <c r="W128" s="35" t="s">
        <v>68</v>
      </c>
      <c r="X128" s="276">
        <v>42</v>
      </c>
      <c r="Y128" s="277">
        <f>IFERROR(IF(X128="","",X128),"")</f>
        <v>42</v>
      </c>
      <c r="Z128" s="36">
        <f>IFERROR(IF(X128="","",X128*0.00941),"")</f>
        <v>0.39522000000000002</v>
      </c>
      <c r="AA128" s="56"/>
      <c r="AB128" s="57"/>
      <c r="AC128" s="162" t="s">
        <v>209</v>
      </c>
      <c r="AG128" s="67"/>
      <c r="AJ128" s="71" t="s">
        <v>70</v>
      </c>
      <c r="AK128" s="71">
        <v>1</v>
      </c>
      <c r="BB128" s="163" t="s">
        <v>104</v>
      </c>
      <c r="BM128" s="67">
        <f>IFERROR(X128*I128,"0")</f>
        <v>75.600000000000009</v>
      </c>
      <c r="BN128" s="67">
        <f>IFERROR(Y128*I128,"0")</f>
        <v>75.600000000000009</v>
      </c>
      <c r="BO128" s="67">
        <f>IFERROR(X128/J128,"0")</f>
        <v>0.3</v>
      </c>
      <c r="BP128" s="67">
        <f>IFERROR(Y128/J128,"0")</f>
        <v>0.3</v>
      </c>
    </row>
    <row r="129" spans="1:68" ht="27" customHeight="1" x14ac:dyDescent="0.25">
      <c r="A129" s="54" t="s">
        <v>210</v>
      </c>
      <c r="B129" s="54" t="s">
        <v>211</v>
      </c>
      <c r="C129" s="31">
        <v>4301135850</v>
      </c>
      <c r="D129" s="288">
        <v>4620207491492</v>
      </c>
      <c r="E129" s="289"/>
      <c r="F129" s="275">
        <v>0.23</v>
      </c>
      <c r="G129" s="32">
        <v>6</v>
      </c>
      <c r="H129" s="275">
        <v>1.38</v>
      </c>
      <c r="I129" s="275">
        <v>1.8</v>
      </c>
      <c r="J129" s="32">
        <v>140</v>
      </c>
      <c r="K129" s="32" t="s">
        <v>100</v>
      </c>
      <c r="L129" s="32" t="s">
        <v>66</v>
      </c>
      <c r="M129" s="33" t="s">
        <v>67</v>
      </c>
      <c r="N129" s="33"/>
      <c r="O129" s="32">
        <v>180</v>
      </c>
      <c r="P129" s="35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286"/>
      <c r="R129" s="286"/>
      <c r="S129" s="286"/>
      <c r="T129" s="287"/>
      <c r="U129" s="34"/>
      <c r="V129" s="34"/>
      <c r="W129" s="35" t="s">
        <v>68</v>
      </c>
      <c r="X129" s="276">
        <v>42</v>
      </c>
      <c r="Y129" s="277">
        <f>IFERROR(IF(X129="","",X129),"")</f>
        <v>42</v>
      </c>
      <c r="Z129" s="36">
        <f>IFERROR(IF(X129="","",X129*0.00941),"")</f>
        <v>0.39522000000000002</v>
      </c>
      <c r="AA129" s="56"/>
      <c r="AB129" s="57"/>
      <c r="AC129" s="164" t="s">
        <v>209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75.600000000000009</v>
      </c>
      <c r="BN129" s="67">
        <f>IFERROR(Y129*I129,"0")</f>
        <v>75.600000000000009</v>
      </c>
      <c r="BO129" s="67">
        <f>IFERROR(X129/J129,"0")</f>
        <v>0.3</v>
      </c>
      <c r="BP129" s="67">
        <f>IFERROR(Y129/J129,"0")</f>
        <v>0.3</v>
      </c>
    </row>
    <row r="130" spans="1:68" ht="27" customHeight="1" x14ac:dyDescent="0.25">
      <c r="A130" s="54" t="s">
        <v>212</v>
      </c>
      <c r="B130" s="54" t="s">
        <v>213</v>
      </c>
      <c r="C130" s="31">
        <v>4301190118</v>
      </c>
      <c r="D130" s="288">
        <v>4620207491461</v>
      </c>
      <c r="E130" s="289"/>
      <c r="F130" s="275">
        <v>0.22</v>
      </c>
      <c r="G130" s="32">
        <v>6</v>
      </c>
      <c r="H130" s="275">
        <v>1.32</v>
      </c>
      <c r="I130" s="275">
        <v>1.74</v>
      </c>
      <c r="J130" s="32">
        <v>140</v>
      </c>
      <c r="K130" s="32" t="s">
        <v>100</v>
      </c>
      <c r="L130" s="32" t="s">
        <v>66</v>
      </c>
      <c r="M130" s="33" t="s">
        <v>67</v>
      </c>
      <c r="N130" s="33"/>
      <c r="O130" s="32">
        <v>180</v>
      </c>
      <c r="P130" s="42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286"/>
      <c r="R130" s="286"/>
      <c r="S130" s="286"/>
      <c r="T130" s="287"/>
      <c r="U130" s="34"/>
      <c r="V130" s="34"/>
      <c r="W130" s="35" t="s">
        <v>68</v>
      </c>
      <c r="X130" s="276">
        <v>28</v>
      </c>
      <c r="Y130" s="277">
        <f>IFERROR(IF(X130="","",X130),"")</f>
        <v>28</v>
      </c>
      <c r="Z130" s="36">
        <f>IFERROR(IF(X130="","",X130*0.00941),"")</f>
        <v>0.26347999999999999</v>
      </c>
      <c r="AA130" s="56"/>
      <c r="AB130" s="57"/>
      <c r="AC130" s="166" t="s">
        <v>209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48.72</v>
      </c>
      <c r="BN130" s="67">
        <f>IFERROR(Y130*I130,"0")</f>
        <v>48.72</v>
      </c>
      <c r="BO130" s="67">
        <f>IFERROR(X130/J130,"0")</f>
        <v>0.2</v>
      </c>
      <c r="BP130" s="67">
        <f>IFERROR(Y130/J130,"0")</f>
        <v>0.2</v>
      </c>
    </row>
    <row r="131" spans="1:68" ht="27" customHeight="1" x14ac:dyDescent="0.25">
      <c r="A131" s="54" t="s">
        <v>214</v>
      </c>
      <c r="B131" s="54" t="s">
        <v>215</v>
      </c>
      <c r="C131" s="31">
        <v>4301135865</v>
      </c>
      <c r="D131" s="288">
        <v>4620207491485</v>
      </c>
      <c r="E131" s="289"/>
      <c r="F131" s="275">
        <v>0.23</v>
      </c>
      <c r="G131" s="32">
        <v>6</v>
      </c>
      <c r="H131" s="275">
        <v>1.38</v>
      </c>
      <c r="I131" s="275">
        <v>1.8</v>
      </c>
      <c r="J131" s="32">
        <v>140</v>
      </c>
      <c r="K131" s="32" t="s">
        <v>100</v>
      </c>
      <c r="L131" s="32" t="s">
        <v>66</v>
      </c>
      <c r="M131" s="33" t="s">
        <v>67</v>
      </c>
      <c r="N131" s="33"/>
      <c r="O131" s="32">
        <v>180</v>
      </c>
      <c r="P131" s="35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286"/>
      <c r="R131" s="286"/>
      <c r="S131" s="286"/>
      <c r="T131" s="287"/>
      <c r="U131" s="34"/>
      <c r="V131" s="34"/>
      <c r="W131" s="35" t="s">
        <v>68</v>
      </c>
      <c r="X131" s="276">
        <v>224</v>
      </c>
      <c r="Y131" s="277">
        <f>IFERROR(IF(X131="","",X131),"")</f>
        <v>224</v>
      </c>
      <c r="Z131" s="36">
        <f>IFERROR(IF(X131="","",X131*0.00941),"")</f>
        <v>2.1078399999999999</v>
      </c>
      <c r="AA131" s="56"/>
      <c r="AB131" s="57"/>
      <c r="AC131" s="168" t="s">
        <v>209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403.2</v>
      </c>
      <c r="BN131" s="67">
        <f>IFERROR(Y131*I131,"0")</f>
        <v>403.2</v>
      </c>
      <c r="BO131" s="67">
        <f>IFERROR(X131/J131,"0")</f>
        <v>1.6</v>
      </c>
      <c r="BP131" s="67">
        <f>IFERROR(Y131/J131,"0")</f>
        <v>1.6</v>
      </c>
    </row>
    <row r="132" spans="1:68" x14ac:dyDescent="0.2">
      <c r="A132" s="291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92"/>
      <c r="M132" s="292"/>
      <c r="N132" s="292"/>
      <c r="O132" s="293"/>
      <c r="P132" s="282" t="s">
        <v>87</v>
      </c>
      <c r="Q132" s="283"/>
      <c r="R132" s="283"/>
      <c r="S132" s="283"/>
      <c r="T132" s="283"/>
      <c r="U132" s="283"/>
      <c r="V132" s="284"/>
      <c r="W132" s="37" t="s">
        <v>68</v>
      </c>
      <c r="X132" s="278">
        <f>IFERROR(SUM(X128:X131),"0")</f>
        <v>336</v>
      </c>
      <c r="Y132" s="278">
        <f>IFERROR(SUM(Y128:Y131),"0")</f>
        <v>336</v>
      </c>
      <c r="Z132" s="278">
        <f>IFERROR(IF(Z128="",0,Z128),"0")+IFERROR(IF(Z129="",0,Z129),"0")+IFERROR(IF(Z130="",0,Z130),"0")+IFERROR(IF(Z131="",0,Z131),"0")</f>
        <v>3.1617600000000001</v>
      </c>
      <c r="AA132" s="279"/>
      <c r="AB132" s="279"/>
      <c r="AC132" s="279"/>
    </row>
    <row r="133" spans="1:68" x14ac:dyDescent="0.2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92"/>
      <c r="M133" s="292"/>
      <c r="N133" s="292"/>
      <c r="O133" s="293"/>
      <c r="P133" s="282" t="s">
        <v>87</v>
      </c>
      <c r="Q133" s="283"/>
      <c r="R133" s="283"/>
      <c r="S133" s="283"/>
      <c r="T133" s="283"/>
      <c r="U133" s="283"/>
      <c r="V133" s="284"/>
      <c r="W133" s="37" t="s">
        <v>88</v>
      </c>
      <c r="X133" s="278">
        <f>IFERROR(SUMPRODUCT(X128:X131*H128:H131),"0")</f>
        <v>462</v>
      </c>
      <c r="Y133" s="278">
        <f>IFERROR(SUMPRODUCT(Y128:Y131*H128:H131),"0")</f>
        <v>462</v>
      </c>
      <c r="Z133" s="37"/>
      <c r="AA133" s="279"/>
      <c r="AB133" s="279"/>
      <c r="AC133" s="279"/>
    </row>
    <row r="134" spans="1:68" ht="14.25" hidden="1" customHeight="1" x14ac:dyDescent="0.25">
      <c r="A134" s="308" t="s">
        <v>216</v>
      </c>
      <c r="B134" s="292"/>
      <c r="C134" s="292"/>
      <c r="D134" s="292"/>
      <c r="E134" s="292"/>
      <c r="F134" s="292"/>
      <c r="G134" s="292"/>
      <c r="H134" s="292"/>
      <c r="I134" s="292"/>
      <c r="J134" s="292"/>
      <c r="K134" s="292"/>
      <c r="L134" s="292"/>
      <c r="M134" s="292"/>
      <c r="N134" s="292"/>
      <c r="O134" s="292"/>
      <c r="P134" s="292"/>
      <c r="Q134" s="292"/>
      <c r="R134" s="292"/>
      <c r="S134" s="292"/>
      <c r="T134" s="292"/>
      <c r="U134" s="292"/>
      <c r="V134" s="292"/>
      <c r="W134" s="292"/>
      <c r="X134" s="292"/>
      <c r="Y134" s="292"/>
      <c r="Z134" s="292"/>
      <c r="AA134" s="272"/>
      <c r="AB134" s="272"/>
      <c r="AC134" s="272"/>
    </row>
    <row r="135" spans="1:68" ht="27" customHeight="1" x14ac:dyDescent="0.25">
      <c r="A135" s="54" t="s">
        <v>217</v>
      </c>
      <c r="B135" s="54" t="s">
        <v>218</v>
      </c>
      <c r="C135" s="31">
        <v>4301190117</v>
      </c>
      <c r="D135" s="288">
        <v>4620207491386</v>
      </c>
      <c r="E135" s="289"/>
      <c r="F135" s="275">
        <v>0.18</v>
      </c>
      <c r="G135" s="32">
        <v>6</v>
      </c>
      <c r="H135" s="275">
        <v>1.08</v>
      </c>
      <c r="I135" s="275">
        <v>1.3979999999999999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286"/>
      <c r="R135" s="286"/>
      <c r="S135" s="286"/>
      <c r="T135" s="287"/>
      <c r="U135" s="34"/>
      <c r="V135" s="34"/>
      <c r="W135" s="35" t="s">
        <v>68</v>
      </c>
      <c r="X135" s="276">
        <v>14</v>
      </c>
      <c r="Y135" s="277">
        <f>IFERROR(IF(X135="","",X135),"")</f>
        <v>14</v>
      </c>
      <c r="Z135" s="36">
        <f>IFERROR(IF(X135="","",X135*0.00941),"")</f>
        <v>0.13174</v>
      </c>
      <c r="AA135" s="56"/>
      <c r="AB135" s="57"/>
      <c r="AC135" s="170" t="s">
        <v>219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19.571999999999999</v>
      </c>
      <c r="BN135" s="67">
        <f>IFERROR(Y135*I135,"0")</f>
        <v>19.571999999999999</v>
      </c>
      <c r="BO135" s="67">
        <f>IFERROR(X135/J135,"0")</f>
        <v>0.1</v>
      </c>
      <c r="BP135" s="67">
        <f>IFERROR(Y135/J135,"0")</f>
        <v>0.1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4301190115</v>
      </c>
      <c r="D136" s="288">
        <v>4620207491362</v>
      </c>
      <c r="E136" s="289"/>
      <c r="F136" s="275">
        <v>0.18</v>
      </c>
      <c r="G136" s="32">
        <v>6</v>
      </c>
      <c r="H136" s="275">
        <v>1.08</v>
      </c>
      <c r="I136" s="275">
        <v>1.3979999999999999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5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286"/>
      <c r="R136" s="286"/>
      <c r="S136" s="286"/>
      <c r="T136" s="287"/>
      <c r="U136" s="34"/>
      <c r="V136" s="34"/>
      <c r="W136" s="35" t="s">
        <v>68</v>
      </c>
      <c r="X136" s="276">
        <v>0</v>
      </c>
      <c r="Y136" s="277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219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222</v>
      </c>
      <c r="B137" s="54" t="s">
        <v>223</v>
      </c>
      <c r="C137" s="31">
        <v>4301190116</v>
      </c>
      <c r="D137" s="288">
        <v>4620207491379</v>
      </c>
      <c r="E137" s="289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6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286"/>
      <c r="R137" s="286"/>
      <c r="S137" s="286"/>
      <c r="T137" s="287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219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x14ac:dyDescent="0.2">
      <c r="A138" s="291"/>
      <c r="B138" s="292"/>
      <c r="C138" s="292"/>
      <c r="D138" s="292"/>
      <c r="E138" s="292"/>
      <c r="F138" s="292"/>
      <c r="G138" s="292"/>
      <c r="H138" s="292"/>
      <c r="I138" s="292"/>
      <c r="J138" s="292"/>
      <c r="K138" s="292"/>
      <c r="L138" s="292"/>
      <c r="M138" s="292"/>
      <c r="N138" s="292"/>
      <c r="O138" s="293"/>
      <c r="P138" s="282" t="s">
        <v>87</v>
      </c>
      <c r="Q138" s="283"/>
      <c r="R138" s="283"/>
      <c r="S138" s="283"/>
      <c r="T138" s="283"/>
      <c r="U138" s="283"/>
      <c r="V138" s="284"/>
      <c r="W138" s="37" t="s">
        <v>68</v>
      </c>
      <c r="X138" s="278">
        <f>IFERROR(SUM(X135:X137),"0")</f>
        <v>14</v>
      </c>
      <c r="Y138" s="278">
        <f>IFERROR(SUM(Y135:Y137),"0")</f>
        <v>14</v>
      </c>
      <c r="Z138" s="278">
        <f>IFERROR(IF(Z135="",0,Z135),"0")+IFERROR(IF(Z136="",0,Z136),"0")+IFERROR(IF(Z137="",0,Z137),"0")</f>
        <v>0.13174</v>
      </c>
      <c r="AA138" s="279"/>
      <c r="AB138" s="279"/>
      <c r="AC138" s="279"/>
    </row>
    <row r="139" spans="1:68" x14ac:dyDescent="0.2">
      <c r="A139" s="292"/>
      <c r="B139" s="292"/>
      <c r="C139" s="292"/>
      <c r="D139" s="292"/>
      <c r="E139" s="292"/>
      <c r="F139" s="292"/>
      <c r="G139" s="292"/>
      <c r="H139" s="292"/>
      <c r="I139" s="292"/>
      <c r="J139" s="292"/>
      <c r="K139" s="292"/>
      <c r="L139" s="292"/>
      <c r="M139" s="292"/>
      <c r="N139" s="292"/>
      <c r="O139" s="293"/>
      <c r="P139" s="282" t="s">
        <v>87</v>
      </c>
      <c r="Q139" s="283"/>
      <c r="R139" s="283"/>
      <c r="S139" s="283"/>
      <c r="T139" s="283"/>
      <c r="U139" s="283"/>
      <c r="V139" s="284"/>
      <c r="W139" s="37" t="s">
        <v>88</v>
      </c>
      <c r="X139" s="278">
        <f>IFERROR(SUMPRODUCT(X135:X137*H135:H137),"0")</f>
        <v>15.120000000000001</v>
      </c>
      <c r="Y139" s="278">
        <f>IFERROR(SUMPRODUCT(Y135:Y137*H135:H137),"0")</f>
        <v>15.120000000000001</v>
      </c>
      <c r="Z139" s="37"/>
      <c r="AA139" s="279"/>
      <c r="AB139" s="279"/>
      <c r="AC139" s="279"/>
    </row>
    <row r="140" spans="1:68" ht="16.5" hidden="1" customHeight="1" x14ac:dyDescent="0.25">
      <c r="A140" s="294" t="s">
        <v>224</v>
      </c>
      <c r="B140" s="292"/>
      <c r="C140" s="292"/>
      <c r="D140" s="292"/>
      <c r="E140" s="292"/>
      <c r="F140" s="292"/>
      <c r="G140" s="292"/>
      <c r="H140" s="292"/>
      <c r="I140" s="292"/>
      <c r="J140" s="292"/>
      <c r="K140" s="292"/>
      <c r="L140" s="292"/>
      <c r="M140" s="292"/>
      <c r="N140" s="292"/>
      <c r="O140" s="292"/>
      <c r="P140" s="292"/>
      <c r="Q140" s="292"/>
      <c r="R140" s="292"/>
      <c r="S140" s="292"/>
      <c r="T140" s="292"/>
      <c r="U140" s="292"/>
      <c r="V140" s="292"/>
      <c r="W140" s="292"/>
      <c r="X140" s="292"/>
      <c r="Y140" s="292"/>
      <c r="Z140" s="292"/>
      <c r="AA140" s="271"/>
      <c r="AB140" s="271"/>
      <c r="AC140" s="271"/>
    </row>
    <row r="141" spans="1:68" ht="14.25" hidden="1" customHeight="1" x14ac:dyDescent="0.25">
      <c r="A141" s="308" t="s">
        <v>133</v>
      </c>
      <c r="B141" s="292"/>
      <c r="C141" s="292"/>
      <c r="D141" s="292"/>
      <c r="E141" s="292"/>
      <c r="F141" s="292"/>
      <c r="G141" s="292"/>
      <c r="H141" s="292"/>
      <c r="I141" s="292"/>
      <c r="J141" s="292"/>
      <c r="K141" s="292"/>
      <c r="L141" s="292"/>
      <c r="M141" s="292"/>
      <c r="N141" s="292"/>
      <c r="O141" s="292"/>
      <c r="P141" s="292"/>
      <c r="Q141" s="292"/>
      <c r="R141" s="292"/>
      <c r="S141" s="292"/>
      <c r="T141" s="292"/>
      <c r="U141" s="292"/>
      <c r="V141" s="292"/>
      <c r="W141" s="292"/>
      <c r="X141" s="292"/>
      <c r="Y141" s="292"/>
      <c r="Z141" s="292"/>
      <c r="AA141" s="272"/>
      <c r="AB141" s="272"/>
      <c r="AC141" s="272"/>
    </row>
    <row r="142" spans="1:68" ht="27" customHeight="1" x14ac:dyDescent="0.25">
      <c r="A142" s="54" t="s">
        <v>225</v>
      </c>
      <c r="B142" s="54" t="s">
        <v>226</v>
      </c>
      <c r="C142" s="31">
        <v>4301135555</v>
      </c>
      <c r="D142" s="288">
        <v>4607111034014</v>
      </c>
      <c r="E142" s="289"/>
      <c r="F142" s="275">
        <v>0.25</v>
      </c>
      <c r="G142" s="32">
        <v>12</v>
      </c>
      <c r="H142" s="275">
        <v>3</v>
      </c>
      <c r="I142" s="275">
        <v>3.7035999999999998</v>
      </c>
      <c r="J142" s="32">
        <v>70</v>
      </c>
      <c r="K142" s="32" t="s">
        <v>100</v>
      </c>
      <c r="L142" s="32" t="s">
        <v>101</v>
      </c>
      <c r="M142" s="33" t="s">
        <v>67</v>
      </c>
      <c r="N142" s="33"/>
      <c r="O142" s="32">
        <v>180</v>
      </c>
      <c r="P142" s="35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86"/>
      <c r="R142" s="286"/>
      <c r="S142" s="286"/>
      <c r="T142" s="287"/>
      <c r="U142" s="34"/>
      <c r="V142" s="34"/>
      <c r="W142" s="35" t="s">
        <v>68</v>
      </c>
      <c r="X142" s="276">
        <v>210</v>
      </c>
      <c r="Y142" s="277">
        <f>IFERROR(IF(X142="","",X142),"")</f>
        <v>210</v>
      </c>
      <c r="Z142" s="36">
        <f>IFERROR(IF(X142="","",X142*0.01788),"")</f>
        <v>3.7547999999999999</v>
      </c>
      <c r="AA142" s="56"/>
      <c r="AB142" s="57"/>
      <c r="AC142" s="176" t="s">
        <v>227</v>
      </c>
      <c r="AG142" s="67"/>
      <c r="AJ142" s="71" t="s">
        <v>103</v>
      </c>
      <c r="AK142" s="71">
        <v>14</v>
      </c>
      <c r="BB142" s="177" t="s">
        <v>104</v>
      </c>
      <c r="BM142" s="67">
        <f>IFERROR(X142*I142,"0")</f>
        <v>777.75599999999997</v>
      </c>
      <c r="BN142" s="67">
        <f>IFERROR(Y142*I142,"0")</f>
        <v>777.75599999999997</v>
      </c>
      <c r="BO142" s="67">
        <f>IFERROR(X142/J142,"0")</f>
        <v>3</v>
      </c>
      <c r="BP142" s="67">
        <f>IFERROR(Y142/J142,"0")</f>
        <v>3</v>
      </c>
    </row>
    <row r="143" spans="1:68" ht="27" customHeight="1" x14ac:dyDescent="0.25">
      <c r="A143" s="54" t="s">
        <v>228</v>
      </c>
      <c r="B143" s="54" t="s">
        <v>229</v>
      </c>
      <c r="C143" s="31">
        <v>4301135532</v>
      </c>
      <c r="D143" s="288">
        <v>4607111033994</v>
      </c>
      <c r="E143" s="289"/>
      <c r="F143" s="275">
        <v>0.25</v>
      </c>
      <c r="G143" s="32">
        <v>12</v>
      </c>
      <c r="H143" s="275">
        <v>3</v>
      </c>
      <c r="I143" s="275">
        <v>3.7035999999999998</v>
      </c>
      <c r="J143" s="32">
        <v>70</v>
      </c>
      <c r="K143" s="32" t="s">
        <v>100</v>
      </c>
      <c r="L143" s="32" t="s">
        <v>101</v>
      </c>
      <c r="M143" s="33" t="s">
        <v>67</v>
      </c>
      <c r="N143" s="33"/>
      <c r="O143" s="32">
        <v>180</v>
      </c>
      <c r="P143" s="39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86"/>
      <c r="R143" s="286"/>
      <c r="S143" s="286"/>
      <c r="T143" s="287"/>
      <c r="U143" s="34"/>
      <c r="V143" s="34"/>
      <c r="W143" s="35" t="s">
        <v>68</v>
      </c>
      <c r="X143" s="276">
        <v>210</v>
      </c>
      <c r="Y143" s="277">
        <f>IFERROR(IF(X143="","",X143),"")</f>
        <v>210</v>
      </c>
      <c r="Z143" s="36">
        <f>IFERROR(IF(X143="","",X143*0.01788),"")</f>
        <v>3.7547999999999999</v>
      </c>
      <c r="AA143" s="56"/>
      <c r="AB143" s="57"/>
      <c r="AC143" s="178" t="s">
        <v>151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777.75599999999997</v>
      </c>
      <c r="BN143" s="67">
        <f>IFERROR(Y143*I143,"0")</f>
        <v>777.75599999999997</v>
      </c>
      <c r="BO143" s="67">
        <f>IFERROR(X143/J143,"0")</f>
        <v>3</v>
      </c>
      <c r="BP143" s="67">
        <f>IFERROR(Y143/J143,"0")</f>
        <v>3</v>
      </c>
    </row>
    <row r="144" spans="1:68" x14ac:dyDescent="0.2">
      <c r="A144" s="291"/>
      <c r="B144" s="292"/>
      <c r="C144" s="292"/>
      <c r="D144" s="292"/>
      <c r="E144" s="292"/>
      <c r="F144" s="292"/>
      <c r="G144" s="292"/>
      <c r="H144" s="292"/>
      <c r="I144" s="292"/>
      <c r="J144" s="292"/>
      <c r="K144" s="292"/>
      <c r="L144" s="292"/>
      <c r="M144" s="292"/>
      <c r="N144" s="292"/>
      <c r="O144" s="293"/>
      <c r="P144" s="282" t="s">
        <v>87</v>
      </c>
      <c r="Q144" s="283"/>
      <c r="R144" s="283"/>
      <c r="S144" s="283"/>
      <c r="T144" s="283"/>
      <c r="U144" s="283"/>
      <c r="V144" s="284"/>
      <c r="W144" s="37" t="s">
        <v>68</v>
      </c>
      <c r="X144" s="278">
        <f>IFERROR(SUM(X142:X143),"0")</f>
        <v>420</v>
      </c>
      <c r="Y144" s="278">
        <f>IFERROR(SUM(Y142:Y143),"0")</f>
        <v>420</v>
      </c>
      <c r="Z144" s="278">
        <f>IFERROR(IF(Z142="",0,Z142),"0")+IFERROR(IF(Z143="",0,Z143),"0")</f>
        <v>7.5095999999999998</v>
      </c>
      <c r="AA144" s="279"/>
      <c r="AB144" s="279"/>
      <c r="AC144" s="279"/>
    </row>
    <row r="145" spans="1:68" x14ac:dyDescent="0.2">
      <c r="A145" s="292"/>
      <c r="B145" s="292"/>
      <c r="C145" s="292"/>
      <c r="D145" s="292"/>
      <c r="E145" s="292"/>
      <c r="F145" s="292"/>
      <c r="G145" s="292"/>
      <c r="H145" s="292"/>
      <c r="I145" s="292"/>
      <c r="J145" s="292"/>
      <c r="K145" s="292"/>
      <c r="L145" s="292"/>
      <c r="M145" s="292"/>
      <c r="N145" s="292"/>
      <c r="O145" s="293"/>
      <c r="P145" s="282" t="s">
        <v>87</v>
      </c>
      <c r="Q145" s="283"/>
      <c r="R145" s="283"/>
      <c r="S145" s="283"/>
      <c r="T145" s="283"/>
      <c r="U145" s="283"/>
      <c r="V145" s="284"/>
      <c r="W145" s="37" t="s">
        <v>88</v>
      </c>
      <c r="X145" s="278">
        <f>IFERROR(SUMPRODUCT(X142:X143*H142:H143),"0")</f>
        <v>1260</v>
      </c>
      <c r="Y145" s="278">
        <f>IFERROR(SUMPRODUCT(Y142:Y143*H142:H143),"0")</f>
        <v>1260</v>
      </c>
      <c r="Z145" s="37"/>
      <c r="AA145" s="279"/>
      <c r="AB145" s="279"/>
      <c r="AC145" s="279"/>
    </row>
    <row r="146" spans="1:68" ht="16.5" hidden="1" customHeight="1" x14ac:dyDescent="0.25">
      <c r="A146" s="294" t="s">
        <v>230</v>
      </c>
      <c r="B146" s="292"/>
      <c r="C146" s="292"/>
      <c r="D146" s="292"/>
      <c r="E146" s="292"/>
      <c r="F146" s="292"/>
      <c r="G146" s="292"/>
      <c r="H146" s="292"/>
      <c r="I146" s="292"/>
      <c r="J146" s="292"/>
      <c r="K146" s="292"/>
      <c r="L146" s="292"/>
      <c r="M146" s="292"/>
      <c r="N146" s="292"/>
      <c r="O146" s="292"/>
      <c r="P146" s="292"/>
      <c r="Q146" s="292"/>
      <c r="R146" s="292"/>
      <c r="S146" s="292"/>
      <c r="T146" s="292"/>
      <c r="U146" s="292"/>
      <c r="V146" s="292"/>
      <c r="W146" s="292"/>
      <c r="X146" s="292"/>
      <c r="Y146" s="292"/>
      <c r="Z146" s="292"/>
      <c r="AA146" s="271"/>
      <c r="AB146" s="271"/>
      <c r="AC146" s="271"/>
    </row>
    <row r="147" spans="1:68" ht="14.25" hidden="1" customHeight="1" x14ac:dyDescent="0.25">
      <c r="A147" s="308" t="s">
        <v>133</v>
      </c>
      <c r="B147" s="292"/>
      <c r="C147" s="292"/>
      <c r="D147" s="292"/>
      <c r="E147" s="292"/>
      <c r="F147" s="292"/>
      <c r="G147" s="292"/>
      <c r="H147" s="292"/>
      <c r="I147" s="292"/>
      <c r="J147" s="292"/>
      <c r="K147" s="292"/>
      <c r="L147" s="292"/>
      <c r="M147" s="292"/>
      <c r="N147" s="292"/>
      <c r="O147" s="292"/>
      <c r="P147" s="292"/>
      <c r="Q147" s="292"/>
      <c r="R147" s="292"/>
      <c r="S147" s="292"/>
      <c r="T147" s="292"/>
      <c r="U147" s="292"/>
      <c r="V147" s="292"/>
      <c r="W147" s="292"/>
      <c r="X147" s="292"/>
      <c r="Y147" s="292"/>
      <c r="Z147" s="292"/>
      <c r="AA147" s="272"/>
      <c r="AB147" s="272"/>
      <c r="AC147" s="272"/>
    </row>
    <row r="148" spans="1:68" ht="27" customHeight="1" x14ac:dyDescent="0.25">
      <c r="A148" s="54" t="s">
        <v>231</v>
      </c>
      <c r="B148" s="54" t="s">
        <v>232</v>
      </c>
      <c r="C148" s="31">
        <v>4301135824</v>
      </c>
      <c r="D148" s="288">
        <v>4607111039095</v>
      </c>
      <c r="E148" s="289"/>
      <c r="F148" s="275">
        <v>0.25</v>
      </c>
      <c r="G148" s="32">
        <v>12</v>
      </c>
      <c r="H148" s="275">
        <v>3</v>
      </c>
      <c r="I148" s="275">
        <v>3.7480000000000002</v>
      </c>
      <c r="J148" s="32">
        <v>70</v>
      </c>
      <c r="K148" s="32" t="s">
        <v>100</v>
      </c>
      <c r="L148" s="32" t="s">
        <v>66</v>
      </c>
      <c r="M148" s="33" t="s">
        <v>67</v>
      </c>
      <c r="N148" s="33"/>
      <c r="O148" s="32">
        <v>180</v>
      </c>
      <c r="P148" s="33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6"/>
      <c r="R148" s="286"/>
      <c r="S148" s="286"/>
      <c r="T148" s="287"/>
      <c r="U148" s="34"/>
      <c r="V148" s="34"/>
      <c r="W148" s="35" t="s">
        <v>68</v>
      </c>
      <c r="X148" s="276">
        <v>42</v>
      </c>
      <c r="Y148" s="277">
        <f>IFERROR(IF(X148="","",X148),"")</f>
        <v>42</v>
      </c>
      <c r="Z148" s="36">
        <f>IFERROR(IF(X148="","",X148*0.01788),"")</f>
        <v>0.75095999999999996</v>
      </c>
      <c r="AA148" s="56"/>
      <c r="AB148" s="57"/>
      <c r="AC148" s="180" t="s">
        <v>233</v>
      </c>
      <c r="AG148" s="67"/>
      <c r="AJ148" s="71" t="s">
        <v>70</v>
      </c>
      <c r="AK148" s="71">
        <v>1</v>
      </c>
      <c r="BB148" s="181" t="s">
        <v>104</v>
      </c>
      <c r="BM148" s="67">
        <f>IFERROR(X148*I148,"0")</f>
        <v>157.416</v>
      </c>
      <c r="BN148" s="67">
        <f>IFERROR(Y148*I148,"0")</f>
        <v>157.416</v>
      </c>
      <c r="BO148" s="67">
        <f>IFERROR(X148/J148,"0")</f>
        <v>0.6</v>
      </c>
      <c r="BP148" s="67">
        <f>IFERROR(Y148/J148,"0")</f>
        <v>0.6</v>
      </c>
    </row>
    <row r="149" spans="1:68" ht="27" hidden="1" customHeight="1" x14ac:dyDescent="0.25">
      <c r="A149" s="54" t="s">
        <v>234</v>
      </c>
      <c r="B149" s="54" t="s">
        <v>235</v>
      </c>
      <c r="C149" s="31">
        <v>4301135954</v>
      </c>
      <c r="D149" s="288">
        <v>4620207491768</v>
      </c>
      <c r="E149" s="289"/>
      <c r="F149" s="275">
        <v>0.25</v>
      </c>
      <c r="G149" s="32">
        <v>12</v>
      </c>
      <c r="H149" s="275">
        <v>3</v>
      </c>
      <c r="I149" s="275">
        <v>3.7480000000000002</v>
      </c>
      <c r="J149" s="32">
        <v>70</v>
      </c>
      <c r="K149" s="32" t="s">
        <v>100</v>
      </c>
      <c r="L149" s="32" t="s">
        <v>66</v>
      </c>
      <c r="M149" s="33" t="s">
        <v>67</v>
      </c>
      <c r="N149" s="33"/>
      <c r="O149" s="32">
        <v>180</v>
      </c>
      <c r="P149" s="46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286"/>
      <c r="R149" s="286"/>
      <c r="S149" s="286"/>
      <c r="T149" s="287"/>
      <c r="U149" s="34"/>
      <c r="V149" s="34"/>
      <c r="W149" s="35" t="s">
        <v>68</v>
      </c>
      <c r="X149" s="276">
        <v>0</v>
      </c>
      <c r="Y149" s="277">
        <f>IFERROR(IF(X149="","",X149),"")</f>
        <v>0</v>
      </c>
      <c r="Z149" s="36">
        <f>IFERROR(IF(X149="","",X149*0.01788),"")</f>
        <v>0</v>
      </c>
      <c r="AA149" s="56"/>
      <c r="AB149" s="57"/>
      <c r="AC149" s="182" t="s">
        <v>236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t="16.5" hidden="1" customHeight="1" x14ac:dyDescent="0.25">
      <c r="A150" s="54" t="s">
        <v>237</v>
      </c>
      <c r="B150" s="54" t="s">
        <v>238</v>
      </c>
      <c r="C150" s="31">
        <v>4301135946</v>
      </c>
      <c r="D150" s="288">
        <v>4620207491553</v>
      </c>
      <c r="E150" s="289"/>
      <c r="F150" s="275">
        <v>0.25</v>
      </c>
      <c r="G150" s="32">
        <v>12</v>
      </c>
      <c r="H150" s="275">
        <v>3</v>
      </c>
      <c r="I150" s="275">
        <v>3.7035999999999998</v>
      </c>
      <c r="J150" s="32">
        <v>70</v>
      </c>
      <c r="K150" s="32" t="s">
        <v>100</v>
      </c>
      <c r="L150" s="32" t="s">
        <v>66</v>
      </c>
      <c r="M150" s="33" t="s">
        <v>67</v>
      </c>
      <c r="N150" s="33"/>
      <c r="O150" s="32">
        <v>180</v>
      </c>
      <c r="P150" s="300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286"/>
      <c r="R150" s="286"/>
      <c r="S150" s="286"/>
      <c r="T150" s="287"/>
      <c r="U150" s="34"/>
      <c r="V150" s="34"/>
      <c r="W150" s="35" t="s">
        <v>68</v>
      </c>
      <c r="X150" s="276">
        <v>0</v>
      </c>
      <c r="Y150" s="277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236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91"/>
      <c r="B151" s="292"/>
      <c r="C151" s="292"/>
      <c r="D151" s="292"/>
      <c r="E151" s="292"/>
      <c r="F151" s="292"/>
      <c r="G151" s="292"/>
      <c r="H151" s="292"/>
      <c r="I151" s="292"/>
      <c r="J151" s="292"/>
      <c r="K151" s="292"/>
      <c r="L151" s="292"/>
      <c r="M151" s="292"/>
      <c r="N151" s="292"/>
      <c r="O151" s="293"/>
      <c r="P151" s="282" t="s">
        <v>87</v>
      </c>
      <c r="Q151" s="283"/>
      <c r="R151" s="283"/>
      <c r="S151" s="283"/>
      <c r="T151" s="283"/>
      <c r="U151" s="283"/>
      <c r="V151" s="284"/>
      <c r="W151" s="37" t="s">
        <v>68</v>
      </c>
      <c r="X151" s="278">
        <f>IFERROR(SUM(X148:X150),"0")</f>
        <v>42</v>
      </c>
      <c r="Y151" s="278">
        <f>IFERROR(SUM(Y148:Y150),"0")</f>
        <v>42</v>
      </c>
      <c r="Z151" s="278">
        <f>IFERROR(IF(Z148="",0,Z148),"0")+IFERROR(IF(Z149="",0,Z149),"0")+IFERROR(IF(Z150="",0,Z150),"0")</f>
        <v>0.75095999999999996</v>
      </c>
      <c r="AA151" s="279"/>
      <c r="AB151" s="279"/>
      <c r="AC151" s="279"/>
    </row>
    <row r="152" spans="1:68" x14ac:dyDescent="0.2">
      <c r="A152" s="292"/>
      <c r="B152" s="292"/>
      <c r="C152" s="292"/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93"/>
      <c r="P152" s="282" t="s">
        <v>87</v>
      </c>
      <c r="Q152" s="283"/>
      <c r="R152" s="283"/>
      <c r="S152" s="283"/>
      <c r="T152" s="283"/>
      <c r="U152" s="283"/>
      <c r="V152" s="284"/>
      <c r="W152" s="37" t="s">
        <v>88</v>
      </c>
      <c r="X152" s="278">
        <f>IFERROR(SUMPRODUCT(X148:X150*H148:H150),"0")</f>
        <v>126</v>
      </c>
      <c r="Y152" s="278">
        <f>IFERROR(SUMPRODUCT(Y148:Y150*H148:H150),"0")</f>
        <v>126</v>
      </c>
      <c r="Z152" s="37"/>
      <c r="AA152" s="279"/>
      <c r="AB152" s="279"/>
      <c r="AC152" s="279"/>
    </row>
    <row r="153" spans="1:68" ht="16.5" hidden="1" customHeight="1" x14ac:dyDescent="0.25">
      <c r="A153" s="294" t="s">
        <v>239</v>
      </c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  <c r="X153" s="292"/>
      <c r="Y153" s="292"/>
      <c r="Z153" s="292"/>
      <c r="AA153" s="271"/>
      <c r="AB153" s="271"/>
      <c r="AC153" s="271"/>
    </row>
    <row r="154" spans="1:68" ht="14.25" hidden="1" customHeight="1" x14ac:dyDescent="0.25">
      <c r="A154" s="308" t="s">
        <v>133</v>
      </c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  <c r="AA154" s="272"/>
      <c r="AB154" s="272"/>
      <c r="AC154" s="272"/>
    </row>
    <row r="155" spans="1:68" ht="27" customHeight="1" x14ac:dyDescent="0.25">
      <c r="A155" s="54" t="s">
        <v>240</v>
      </c>
      <c r="B155" s="54" t="s">
        <v>241</v>
      </c>
      <c r="C155" s="31">
        <v>4301135753</v>
      </c>
      <c r="D155" s="288">
        <v>4620207490914</v>
      </c>
      <c r="E155" s="289"/>
      <c r="F155" s="275">
        <v>0.2</v>
      </c>
      <c r="G155" s="32">
        <v>12</v>
      </c>
      <c r="H155" s="275">
        <v>2.4</v>
      </c>
      <c r="I155" s="275">
        <v>2.68</v>
      </c>
      <c r="J155" s="32">
        <v>70</v>
      </c>
      <c r="K155" s="32" t="s">
        <v>100</v>
      </c>
      <c r="L155" s="32" t="s">
        <v>66</v>
      </c>
      <c r="M155" s="33" t="s">
        <v>67</v>
      </c>
      <c r="N155" s="33"/>
      <c r="O155" s="32">
        <v>180</v>
      </c>
      <c r="P155" s="28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6"/>
      <c r="R155" s="286"/>
      <c r="S155" s="286"/>
      <c r="T155" s="287"/>
      <c r="U155" s="34"/>
      <c r="V155" s="34"/>
      <c r="W155" s="35" t="s">
        <v>68</v>
      </c>
      <c r="X155" s="276">
        <v>84</v>
      </c>
      <c r="Y155" s="277">
        <f>IFERROR(IF(X155="","",X155),"")</f>
        <v>84</v>
      </c>
      <c r="Z155" s="36">
        <f>IFERROR(IF(X155="","",X155*0.01788),"")</f>
        <v>1.5019199999999999</v>
      </c>
      <c r="AA155" s="56"/>
      <c r="AB155" s="57"/>
      <c r="AC155" s="186" t="s">
        <v>227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225.12</v>
      </c>
      <c r="BN155" s="67">
        <f>IFERROR(Y155*I155,"0")</f>
        <v>225.12</v>
      </c>
      <c r="BO155" s="67">
        <f>IFERROR(X155/J155,"0")</f>
        <v>1.2</v>
      </c>
      <c r="BP155" s="67">
        <f>IFERROR(Y155/J155,"0")</f>
        <v>1.2</v>
      </c>
    </row>
    <row r="156" spans="1:68" ht="27" hidden="1" customHeight="1" x14ac:dyDescent="0.25">
      <c r="A156" s="54" t="s">
        <v>242</v>
      </c>
      <c r="B156" s="54" t="s">
        <v>243</v>
      </c>
      <c r="C156" s="31">
        <v>4301135932</v>
      </c>
      <c r="D156" s="288">
        <v>4620207491676</v>
      </c>
      <c r="E156" s="289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100</v>
      </c>
      <c r="L156" s="32" t="s">
        <v>66</v>
      </c>
      <c r="M156" s="33" t="s">
        <v>67</v>
      </c>
      <c r="N156" s="33"/>
      <c r="O156" s="32">
        <v>180</v>
      </c>
      <c r="P156" s="39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286"/>
      <c r="R156" s="286"/>
      <c r="S156" s="286"/>
      <c r="T156" s="287"/>
      <c r="U156" s="34"/>
      <c r="V156" s="34"/>
      <c r="W156" s="35" t="s">
        <v>68</v>
      </c>
      <c r="X156" s="276">
        <v>0</v>
      </c>
      <c r="Y156" s="277">
        <f>IFERROR(IF(X156="","",X156),"")</f>
        <v>0</v>
      </c>
      <c r="Z156" s="36">
        <f>IFERROR(IF(X156="","",X156*0.01788),"")</f>
        <v>0</v>
      </c>
      <c r="AA156" s="56"/>
      <c r="AB156" s="57"/>
      <c r="AC156" s="188" t="s">
        <v>244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91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3"/>
      <c r="P157" s="282" t="s">
        <v>87</v>
      </c>
      <c r="Q157" s="283"/>
      <c r="R157" s="283"/>
      <c r="S157" s="283"/>
      <c r="T157" s="283"/>
      <c r="U157" s="283"/>
      <c r="V157" s="284"/>
      <c r="W157" s="37" t="s">
        <v>68</v>
      </c>
      <c r="X157" s="278">
        <f>IFERROR(SUM(X155:X156),"0")</f>
        <v>84</v>
      </c>
      <c r="Y157" s="278">
        <f>IFERROR(SUM(Y155:Y156),"0")</f>
        <v>84</v>
      </c>
      <c r="Z157" s="278">
        <f>IFERROR(IF(Z155="",0,Z155),"0")+IFERROR(IF(Z156="",0,Z156),"0")</f>
        <v>1.5019199999999999</v>
      </c>
      <c r="AA157" s="279"/>
      <c r="AB157" s="279"/>
      <c r="AC157" s="279"/>
    </row>
    <row r="158" spans="1:68" x14ac:dyDescent="0.2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93"/>
      <c r="P158" s="282" t="s">
        <v>87</v>
      </c>
      <c r="Q158" s="283"/>
      <c r="R158" s="283"/>
      <c r="S158" s="283"/>
      <c r="T158" s="283"/>
      <c r="U158" s="283"/>
      <c r="V158" s="284"/>
      <c r="W158" s="37" t="s">
        <v>88</v>
      </c>
      <c r="X158" s="278">
        <f>IFERROR(SUMPRODUCT(X155:X156*H155:H156),"0")</f>
        <v>201.6</v>
      </c>
      <c r="Y158" s="278">
        <f>IFERROR(SUMPRODUCT(Y155:Y156*H155:H156),"0")</f>
        <v>201.6</v>
      </c>
      <c r="Z158" s="37"/>
      <c r="AA158" s="279"/>
      <c r="AB158" s="279"/>
      <c r="AC158" s="279"/>
    </row>
    <row r="159" spans="1:68" ht="16.5" hidden="1" customHeight="1" x14ac:dyDescent="0.25">
      <c r="A159" s="294" t="s">
        <v>245</v>
      </c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2"/>
      <c r="P159" s="292"/>
      <c r="Q159" s="292"/>
      <c r="R159" s="292"/>
      <c r="S159" s="292"/>
      <c r="T159" s="292"/>
      <c r="U159" s="292"/>
      <c r="V159" s="292"/>
      <c r="W159" s="292"/>
      <c r="X159" s="292"/>
      <c r="Y159" s="292"/>
      <c r="Z159" s="292"/>
      <c r="AA159" s="271"/>
      <c r="AB159" s="271"/>
      <c r="AC159" s="271"/>
    </row>
    <row r="160" spans="1:68" ht="14.25" hidden="1" customHeight="1" x14ac:dyDescent="0.25">
      <c r="A160" s="308" t="s">
        <v>133</v>
      </c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292"/>
      <c r="O160" s="292"/>
      <c r="P160" s="292"/>
      <c r="Q160" s="292"/>
      <c r="R160" s="292"/>
      <c r="S160" s="292"/>
      <c r="T160" s="292"/>
      <c r="U160" s="292"/>
      <c r="V160" s="292"/>
      <c r="W160" s="292"/>
      <c r="X160" s="292"/>
      <c r="Y160" s="292"/>
      <c r="Z160" s="292"/>
      <c r="AA160" s="272"/>
      <c r="AB160" s="272"/>
      <c r="AC160" s="272"/>
    </row>
    <row r="161" spans="1:68" ht="27" customHeight="1" x14ac:dyDescent="0.25">
      <c r="A161" s="54" t="s">
        <v>246</v>
      </c>
      <c r="B161" s="54" t="s">
        <v>247</v>
      </c>
      <c r="C161" s="31">
        <v>4301135940</v>
      </c>
      <c r="D161" s="288">
        <v>4620207491614</v>
      </c>
      <c r="E161" s="289"/>
      <c r="F161" s="275">
        <v>0.25</v>
      </c>
      <c r="G161" s="32">
        <v>12</v>
      </c>
      <c r="H161" s="275">
        <v>3</v>
      </c>
      <c r="I161" s="275">
        <v>3.7035999999999998</v>
      </c>
      <c r="J161" s="32">
        <v>70</v>
      </c>
      <c r="K161" s="32" t="s">
        <v>100</v>
      </c>
      <c r="L161" s="32" t="s">
        <v>66</v>
      </c>
      <c r="M161" s="33" t="s">
        <v>67</v>
      </c>
      <c r="N161" s="33"/>
      <c r="O161" s="32">
        <v>180</v>
      </c>
      <c r="P161" s="397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286"/>
      <c r="R161" s="286"/>
      <c r="S161" s="286"/>
      <c r="T161" s="287"/>
      <c r="U161" s="34"/>
      <c r="V161" s="34"/>
      <c r="W161" s="35" t="s">
        <v>68</v>
      </c>
      <c r="X161" s="276">
        <v>70</v>
      </c>
      <c r="Y161" s="277">
        <f>IFERROR(IF(X161="","",X161),"")</f>
        <v>70</v>
      </c>
      <c r="Z161" s="36">
        <f>IFERROR(IF(X161="","",X161*0.01788),"")</f>
        <v>1.2516</v>
      </c>
      <c r="AA161" s="56"/>
      <c r="AB161" s="57"/>
      <c r="AC161" s="190" t="s">
        <v>248</v>
      </c>
      <c r="AG161" s="67"/>
      <c r="AJ161" s="71" t="s">
        <v>70</v>
      </c>
      <c r="AK161" s="71">
        <v>1</v>
      </c>
      <c r="BB161" s="191" t="s">
        <v>104</v>
      </c>
      <c r="BM161" s="67">
        <f>IFERROR(X161*I161,"0")</f>
        <v>259.25200000000001</v>
      </c>
      <c r="BN161" s="67">
        <f>IFERROR(Y161*I161,"0")</f>
        <v>259.25200000000001</v>
      </c>
      <c r="BO161" s="67">
        <f>IFERROR(X161/J161,"0")</f>
        <v>1</v>
      </c>
      <c r="BP161" s="67">
        <f>IFERROR(Y161/J161,"0")</f>
        <v>1</v>
      </c>
    </row>
    <row r="162" spans="1:68" x14ac:dyDescent="0.2">
      <c r="A162" s="291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292"/>
      <c r="O162" s="293"/>
      <c r="P162" s="282" t="s">
        <v>87</v>
      </c>
      <c r="Q162" s="283"/>
      <c r="R162" s="283"/>
      <c r="S162" s="283"/>
      <c r="T162" s="283"/>
      <c r="U162" s="283"/>
      <c r="V162" s="284"/>
      <c r="W162" s="37" t="s">
        <v>68</v>
      </c>
      <c r="X162" s="278">
        <f>IFERROR(SUM(X161:X161),"0")</f>
        <v>70</v>
      </c>
      <c r="Y162" s="278">
        <f>IFERROR(SUM(Y161:Y161),"0")</f>
        <v>70</v>
      </c>
      <c r="Z162" s="278">
        <f>IFERROR(IF(Z161="",0,Z161),"0")</f>
        <v>1.2516</v>
      </c>
      <c r="AA162" s="279"/>
      <c r="AB162" s="279"/>
      <c r="AC162" s="279"/>
    </row>
    <row r="163" spans="1:68" x14ac:dyDescent="0.2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93"/>
      <c r="P163" s="282" t="s">
        <v>87</v>
      </c>
      <c r="Q163" s="283"/>
      <c r="R163" s="283"/>
      <c r="S163" s="283"/>
      <c r="T163" s="283"/>
      <c r="U163" s="283"/>
      <c r="V163" s="284"/>
      <c r="W163" s="37" t="s">
        <v>88</v>
      </c>
      <c r="X163" s="278">
        <f>IFERROR(SUMPRODUCT(X161:X161*H161:H161),"0")</f>
        <v>210</v>
      </c>
      <c r="Y163" s="278">
        <f>IFERROR(SUMPRODUCT(Y161:Y161*H161:H161),"0")</f>
        <v>210</v>
      </c>
      <c r="Z163" s="37"/>
      <c r="AA163" s="279"/>
      <c r="AB163" s="279"/>
      <c r="AC163" s="279"/>
    </row>
    <row r="164" spans="1:68" ht="16.5" hidden="1" customHeight="1" x14ac:dyDescent="0.25">
      <c r="A164" s="294" t="s">
        <v>249</v>
      </c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2"/>
      <c r="R164" s="292"/>
      <c r="S164" s="292"/>
      <c r="T164" s="292"/>
      <c r="U164" s="292"/>
      <c r="V164" s="292"/>
      <c r="W164" s="292"/>
      <c r="X164" s="292"/>
      <c r="Y164" s="292"/>
      <c r="Z164" s="292"/>
      <c r="AA164" s="271"/>
      <c r="AB164" s="271"/>
      <c r="AC164" s="271"/>
    </row>
    <row r="165" spans="1:68" ht="14.25" hidden="1" customHeight="1" x14ac:dyDescent="0.25">
      <c r="A165" s="308" t="s">
        <v>133</v>
      </c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2"/>
      <c r="R165" s="292"/>
      <c r="S165" s="292"/>
      <c r="T165" s="292"/>
      <c r="U165" s="292"/>
      <c r="V165" s="292"/>
      <c r="W165" s="292"/>
      <c r="X165" s="292"/>
      <c r="Y165" s="292"/>
      <c r="Z165" s="292"/>
      <c r="AA165" s="272"/>
      <c r="AB165" s="272"/>
      <c r="AC165" s="272"/>
    </row>
    <row r="166" spans="1:68" ht="16.5" hidden="1" customHeight="1" x14ac:dyDescent="0.25">
      <c r="A166" s="54" t="s">
        <v>250</v>
      </c>
      <c r="B166" s="54" t="s">
        <v>251</v>
      </c>
      <c r="C166" s="31">
        <v>4301135607</v>
      </c>
      <c r="D166" s="288">
        <v>4607111039613</v>
      </c>
      <c r="E166" s="289"/>
      <c r="F166" s="275">
        <v>0.09</v>
      </c>
      <c r="G166" s="32">
        <v>30</v>
      </c>
      <c r="H166" s="275">
        <v>2.7</v>
      </c>
      <c r="I166" s="275">
        <v>3.09</v>
      </c>
      <c r="J166" s="32">
        <v>126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3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6"/>
      <c r="R166" s="286"/>
      <c r="S166" s="286"/>
      <c r="T166" s="287"/>
      <c r="U166" s="34"/>
      <c r="V166" s="34"/>
      <c r="W166" s="35" t="s">
        <v>68</v>
      </c>
      <c r="X166" s="276">
        <v>0</v>
      </c>
      <c r="Y166" s="277">
        <f>IFERROR(IF(X166="","",X166),"")</f>
        <v>0</v>
      </c>
      <c r="Z166" s="36">
        <f>IFERROR(IF(X166="","",X166*0.00936),"")</f>
        <v>0</v>
      </c>
      <c r="AA166" s="56"/>
      <c r="AB166" s="57"/>
      <c r="AC166" s="192" t="s">
        <v>233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91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292"/>
      <c r="O167" s="293"/>
      <c r="P167" s="282" t="s">
        <v>87</v>
      </c>
      <c r="Q167" s="283"/>
      <c r="R167" s="283"/>
      <c r="S167" s="283"/>
      <c r="T167" s="283"/>
      <c r="U167" s="283"/>
      <c r="V167" s="284"/>
      <c r="W167" s="37" t="s">
        <v>68</v>
      </c>
      <c r="X167" s="278">
        <f>IFERROR(SUM(X166:X166),"0")</f>
        <v>0</v>
      </c>
      <c r="Y167" s="278">
        <f>IFERROR(SUM(Y166:Y166),"0")</f>
        <v>0</v>
      </c>
      <c r="Z167" s="278">
        <f>IFERROR(IF(Z166="",0,Z166),"0")</f>
        <v>0</v>
      </c>
      <c r="AA167" s="279"/>
      <c r="AB167" s="279"/>
      <c r="AC167" s="279"/>
    </row>
    <row r="168" spans="1:68" hidden="1" x14ac:dyDescent="0.2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93"/>
      <c r="P168" s="282" t="s">
        <v>87</v>
      </c>
      <c r="Q168" s="283"/>
      <c r="R168" s="283"/>
      <c r="S168" s="283"/>
      <c r="T168" s="283"/>
      <c r="U168" s="283"/>
      <c r="V168" s="284"/>
      <c r="W168" s="37" t="s">
        <v>88</v>
      </c>
      <c r="X168" s="278">
        <f>IFERROR(SUMPRODUCT(X166:X166*H166:H166),"0")</f>
        <v>0</v>
      </c>
      <c r="Y168" s="278">
        <f>IFERROR(SUMPRODUCT(Y166:Y166*H166:H166),"0")</f>
        <v>0</v>
      </c>
      <c r="Z168" s="37"/>
      <c r="AA168" s="279"/>
      <c r="AB168" s="279"/>
      <c r="AC168" s="279"/>
    </row>
    <row r="169" spans="1:68" ht="16.5" hidden="1" customHeight="1" x14ac:dyDescent="0.25">
      <c r="A169" s="294" t="s">
        <v>252</v>
      </c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92"/>
      <c r="P169" s="292"/>
      <c r="Q169" s="292"/>
      <c r="R169" s="292"/>
      <c r="S169" s="292"/>
      <c r="T169" s="292"/>
      <c r="U169" s="292"/>
      <c r="V169" s="292"/>
      <c r="W169" s="292"/>
      <c r="X169" s="292"/>
      <c r="Y169" s="292"/>
      <c r="Z169" s="292"/>
      <c r="AA169" s="271"/>
      <c r="AB169" s="271"/>
      <c r="AC169" s="271"/>
    </row>
    <row r="170" spans="1:68" ht="14.25" hidden="1" customHeight="1" x14ac:dyDescent="0.25">
      <c r="A170" s="308" t="s">
        <v>133</v>
      </c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292"/>
      <c r="O170" s="292"/>
      <c r="P170" s="292"/>
      <c r="Q170" s="292"/>
      <c r="R170" s="292"/>
      <c r="S170" s="292"/>
      <c r="T170" s="292"/>
      <c r="U170" s="292"/>
      <c r="V170" s="292"/>
      <c r="W170" s="292"/>
      <c r="X170" s="292"/>
      <c r="Y170" s="292"/>
      <c r="Z170" s="292"/>
      <c r="AA170" s="272"/>
      <c r="AB170" s="272"/>
      <c r="AC170" s="272"/>
    </row>
    <row r="171" spans="1:68" ht="27" customHeight="1" x14ac:dyDescent="0.25">
      <c r="A171" s="54" t="s">
        <v>253</v>
      </c>
      <c r="B171" s="54" t="s">
        <v>254</v>
      </c>
      <c r="C171" s="31">
        <v>4301135591</v>
      </c>
      <c r="D171" s="288">
        <v>4607111036568</v>
      </c>
      <c r="E171" s="289"/>
      <c r="F171" s="275">
        <v>0.28000000000000003</v>
      </c>
      <c r="G171" s="32">
        <v>6</v>
      </c>
      <c r="H171" s="275">
        <v>1.68</v>
      </c>
      <c r="I171" s="275">
        <v>2.1017999999999999</v>
      </c>
      <c r="J171" s="32">
        <v>140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2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86"/>
      <c r="R171" s="286"/>
      <c r="S171" s="286"/>
      <c r="T171" s="287"/>
      <c r="U171" s="34"/>
      <c r="V171" s="34"/>
      <c r="W171" s="35" t="s">
        <v>68</v>
      </c>
      <c r="X171" s="276">
        <v>126</v>
      </c>
      <c r="Y171" s="277">
        <f>IFERROR(IF(X171="","",X171),"")</f>
        <v>126</v>
      </c>
      <c r="Z171" s="36">
        <f>IFERROR(IF(X171="","",X171*0.00941),"")</f>
        <v>1.1856599999999999</v>
      </c>
      <c r="AA171" s="56"/>
      <c r="AB171" s="57"/>
      <c r="AC171" s="194" t="s">
        <v>255</v>
      </c>
      <c r="AG171" s="67"/>
      <c r="AJ171" s="71" t="s">
        <v>103</v>
      </c>
      <c r="AK171" s="71">
        <v>14</v>
      </c>
      <c r="BB171" s="195" t="s">
        <v>104</v>
      </c>
      <c r="BM171" s="67">
        <f>IFERROR(X171*I171,"0")</f>
        <v>264.82679999999999</v>
      </c>
      <c r="BN171" s="67">
        <f>IFERROR(Y171*I171,"0")</f>
        <v>264.82679999999999</v>
      </c>
      <c r="BO171" s="67">
        <f>IFERROR(X171/J171,"0")</f>
        <v>0.9</v>
      </c>
      <c r="BP171" s="67">
        <f>IFERROR(Y171/J171,"0")</f>
        <v>0.9</v>
      </c>
    </row>
    <row r="172" spans="1:68" x14ac:dyDescent="0.2">
      <c r="A172" s="291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292"/>
      <c r="O172" s="293"/>
      <c r="P172" s="282" t="s">
        <v>87</v>
      </c>
      <c r="Q172" s="283"/>
      <c r="R172" s="283"/>
      <c r="S172" s="283"/>
      <c r="T172" s="283"/>
      <c r="U172" s="283"/>
      <c r="V172" s="284"/>
      <c r="W172" s="37" t="s">
        <v>68</v>
      </c>
      <c r="X172" s="278">
        <f>IFERROR(SUM(X171:X171),"0")</f>
        <v>126</v>
      </c>
      <c r="Y172" s="278">
        <f>IFERROR(SUM(Y171:Y171),"0")</f>
        <v>126</v>
      </c>
      <c r="Z172" s="278">
        <f>IFERROR(IF(Z171="",0,Z171),"0")</f>
        <v>1.1856599999999999</v>
      </c>
      <c r="AA172" s="279"/>
      <c r="AB172" s="279"/>
      <c r="AC172" s="279"/>
    </row>
    <row r="173" spans="1:68" x14ac:dyDescent="0.2">
      <c r="A173" s="292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292"/>
      <c r="O173" s="293"/>
      <c r="P173" s="282" t="s">
        <v>87</v>
      </c>
      <c r="Q173" s="283"/>
      <c r="R173" s="283"/>
      <c r="S173" s="283"/>
      <c r="T173" s="283"/>
      <c r="U173" s="283"/>
      <c r="V173" s="284"/>
      <c r="W173" s="37" t="s">
        <v>88</v>
      </c>
      <c r="X173" s="278">
        <f>IFERROR(SUMPRODUCT(X171:X171*H171:H171),"0")</f>
        <v>211.67999999999998</v>
      </c>
      <c r="Y173" s="278">
        <f>IFERROR(SUMPRODUCT(Y171:Y171*H171:H171),"0")</f>
        <v>211.67999999999998</v>
      </c>
      <c r="Z173" s="37"/>
      <c r="AA173" s="279"/>
      <c r="AB173" s="279"/>
      <c r="AC173" s="279"/>
    </row>
    <row r="174" spans="1:68" ht="27.75" hidden="1" customHeight="1" x14ac:dyDescent="0.2">
      <c r="A174" s="343" t="s">
        <v>256</v>
      </c>
      <c r="B174" s="344"/>
      <c r="C174" s="344"/>
      <c r="D174" s="344"/>
      <c r="E174" s="344"/>
      <c r="F174" s="344"/>
      <c r="G174" s="344"/>
      <c r="H174" s="344"/>
      <c r="I174" s="344"/>
      <c r="J174" s="344"/>
      <c r="K174" s="344"/>
      <c r="L174" s="344"/>
      <c r="M174" s="344"/>
      <c r="N174" s="344"/>
      <c r="O174" s="344"/>
      <c r="P174" s="344"/>
      <c r="Q174" s="344"/>
      <c r="R174" s="344"/>
      <c r="S174" s="344"/>
      <c r="T174" s="344"/>
      <c r="U174" s="344"/>
      <c r="V174" s="344"/>
      <c r="W174" s="344"/>
      <c r="X174" s="344"/>
      <c r="Y174" s="344"/>
      <c r="Z174" s="344"/>
      <c r="AA174" s="48"/>
      <c r="AB174" s="48"/>
      <c r="AC174" s="48"/>
    </row>
    <row r="175" spans="1:68" ht="16.5" hidden="1" customHeight="1" x14ac:dyDescent="0.25">
      <c r="A175" s="294" t="s">
        <v>257</v>
      </c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  <c r="AA175" s="271"/>
      <c r="AB175" s="271"/>
      <c r="AC175" s="271"/>
    </row>
    <row r="176" spans="1:68" ht="14.25" hidden="1" customHeight="1" x14ac:dyDescent="0.25">
      <c r="A176" s="308" t="s">
        <v>62</v>
      </c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  <c r="AA176" s="272"/>
      <c r="AB176" s="272"/>
      <c r="AC176" s="272"/>
    </row>
    <row r="177" spans="1:68" ht="16.5" hidden="1" customHeight="1" x14ac:dyDescent="0.25">
      <c r="A177" s="54" t="s">
        <v>258</v>
      </c>
      <c r="B177" s="54" t="s">
        <v>259</v>
      </c>
      <c r="C177" s="31">
        <v>4301071062</v>
      </c>
      <c r="D177" s="288">
        <v>4607111036384</v>
      </c>
      <c r="E177" s="289"/>
      <c r="F177" s="275">
        <v>5</v>
      </c>
      <c r="G177" s="32">
        <v>1</v>
      </c>
      <c r="H177" s="275">
        <v>5</v>
      </c>
      <c r="I177" s="275">
        <v>5.2106000000000003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180</v>
      </c>
      <c r="P177" s="41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6"/>
      <c r="R177" s="286"/>
      <c r="S177" s="286"/>
      <c r="T177" s="287"/>
      <c r="U177" s="34"/>
      <c r="V177" s="34"/>
      <c r="W177" s="35" t="s">
        <v>68</v>
      </c>
      <c r="X177" s="276">
        <v>0</v>
      </c>
      <c r="Y177" s="277">
        <f>IFERROR(IF(X177="","",X177),"")</f>
        <v>0</v>
      </c>
      <c r="Z177" s="36">
        <f>IFERROR(IF(X177="","",X177*0.00866),"")</f>
        <v>0</v>
      </c>
      <c r="AA177" s="56"/>
      <c r="AB177" s="57"/>
      <c r="AC177" s="196" t="s">
        <v>260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hidden="1" customHeight="1" x14ac:dyDescent="0.25">
      <c r="A178" s="54" t="s">
        <v>261</v>
      </c>
      <c r="B178" s="54" t="s">
        <v>262</v>
      </c>
      <c r="C178" s="31">
        <v>4301071050</v>
      </c>
      <c r="D178" s="288">
        <v>4607111036216</v>
      </c>
      <c r="E178" s="289"/>
      <c r="F178" s="275">
        <v>5</v>
      </c>
      <c r="G178" s="32">
        <v>1</v>
      </c>
      <c r="H178" s="275">
        <v>5</v>
      </c>
      <c r="I178" s="275">
        <v>5.2131999999999996</v>
      </c>
      <c r="J178" s="32">
        <v>144</v>
      </c>
      <c r="K178" s="32" t="s">
        <v>65</v>
      </c>
      <c r="L178" s="32" t="s">
        <v>101</v>
      </c>
      <c r="M178" s="33" t="s">
        <v>67</v>
      </c>
      <c r="N178" s="33"/>
      <c r="O178" s="32">
        <v>180</v>
      </c>
      <c r="P178" s="4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6"/>
      <c r="R178" s="286"/>
      <c r="S178" s="286"/>
      <c r="T178" s="287"/>
      <c r="U178" s="34"/>
      <c r="V178" s="34"/>
      <c r="W178" s="35" t="s">
        <v>68</v>
      </c>
      <c r="X178" s="276">
        <v>0</v>
      </c>
      <c r="Y178" s="277">
        <f>IFERROR(IF(X178="","",X178),"")</f>
        <v>0</v>
      </c>
      <c r="Z178" s="36">
        <f>IFERROR(IF(X178="","",X178*0.00866),"")</f>
        <v>0</v>
      </c>
      <c r="AA178" s="56"/>
      <c r="AB178" s="57"/>
      <c r="AC178" s="198" t="s">
        <v>263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idden="1" x14ac:dyDescent="0.2">
      <c r="A179" s="291"/>
      <c r="B179" s="292"/>
      <c r="C179" s="292"/>
      <c r="D179" s="292"/>
      <c r="E179" s="292"/>
      <c r="F179" s="292"/>
      <c r="G179" s="292"/>
      <c r="H179" s="292"/>
      <c r="I179" s="292"/>
      <c r="J179" s="292"/>
      <c r="K179" s="292"/>
      <c r="L179" s="292"/>
      <c r="M179" s="292"/>
      <c r="N179" s="292"/>
      <c r="O179" s="293"/>
      <c r="P179" s="282" t="s">
        <v>87</v>
      </c>
      <c r="Q179" s="283"/>
      <c r="R179" s="283"/>
      <c r="S179" s="283"/>
      <c r="T179" s="283"/>
      <c r="U179" s="283"/>
      <c r="V179" s="284"/>
      <c r="W179" s="37" t="s">
        <v>68</v>
      </c>
      <c r="X179" s="278">
        <f>IFERROR(SUM(X177:X178),"0")</f>
        <v>0</v>
      </c>
      <c r="Y179" s="278">
        <f>IFERROR(SUM(Y177:Y178),"0")</f>
        <v>0</v>
      </c>
      <c r="Z179" s="278">
        <f>IFERROR(IF(Z177="",0,Z177),"0")+IFERROR(IF(Z178="",0,Z178),"0")</f>
        <v>0</v>
      </c>
      <c r="AA179" s="279"/>
      <c r="AB179" s="279"/>
      <c r="AC179" s="279"/>
    </row>
    <row r="180" spans="1:68" hidden="1" x14ac:dyDescent="0.2">
      <c r="A180" s="292"/>
      <c r="B180" s="292"/>
      <c r="C180" s="292"/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93"/>
      <c r="P180" s="282" t="s">
        <v>87</v>
      </c>
      <c r="Q180" s="283"/>
      <c r="R180" s="283"/>
      <c r="S180" s="283"/>
      <c r="T180" s="283"/>
      <c r="U180" s="283"/>
      <c r="V180" s="284"/>
      <c r="W180" s="37" t="s">
        <v>88</v>
      </c>
      <c r="X180" s="278">
        <f>IFERROR(SUMPRODUCT(X177:X178*H177:H178),"0")</f>
        <v>0</v>
      </c>
      <c r="Y180" s="278">
        <f>IFERROR(SUMPRODUCT(Y177:Y178*H177:H178),"0")</f>
        <v>0</v>
      </c>
      <c r="Z180" s="37"/>
      <c r="AA180" s="279"/>
      <c r="AB180" s="279"/>
      <c r="AC180" s="279"/>
    </row>
    <row r="181" spans="1:68" ht="16.5" hidden="1" customHeight="1" x14ac:dyDescent="0.25">
      <c r="A181" s="294" t="s">
        <v>264</v>
      </c>
      <c r="B181" s="292"/>
      <c r="C181" s="292"/>
      <c r="D181" s="292"/>
      <c r="E181" s="292"/>
      <c r="F181" s="292"/>
      <c r="G181" s="292"/>
      <c r="H181" s="292"/>
      <c r="I181" s="292"/>
      <c r="J181" s="292"/>
      <c r="K181" s="292"/>
      <c r="L181" s="292"/>
      <c r="M181" s="292"/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  <c r="X181" s="292"/>
      <c r="Y181" s="292"/>
      <c r="Z181" s="292"/>
      <c r="AA181" s="271"/>
      <c r="AB181" s="271"/>
      <c r="AC181" s="271"/>
    </row>
    <row r="182" spans="1:68" ht="14.25" hidden="1" customHeight="1" x14ac:dyDescent="0.25">
      <c r="A182" s="308" t="s">
        <v>62</v>
      </c>
      <c r="B182" s="292"/>
      <c r="C182" s="292"/>
      <c r="D182" s="292"/>
      <c r="E182" s="292"/>
      <c r="F182" s="292"/>
      <c r="G182" s="292"/>
      <c r="H182" s="292"/>
      <c r="I182" s="292"/>
      <c r="J182" s="292"/>
      <c r="K182" s="292"/>
      <c r="L182" s="292"/>
      <c r="M182" s="292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  <c r="AA182" s="272"/>
      <c r="AB182" s="272"/>
      <c r="AC182" s="272"/>
    </row>
    <row r="183" spans="1:68" ht="27" customHeight="1" x14ac:dyDescent="0.25">
      <c r="A183" s="54" t="s">
        <v>265</v>
      </c>
      <c r="B183" s="54" t="s">
        <v>266</v>
      </c>
      <c r="C183" s="31">
        <v>4301071117</v>
      </c>
      <c r="D183" s="288">
        <v>4620207491737</v>
      </c>
      <c r="E183" s="289"/>
      <c r="F183" s="275">
        <v>1</v>
      </c>
      <c r="G183" s="32">
        <v>5</v>
      </c>
      <c r="H183" s="275">
        <v>5</v>
      </c>
      <c r="I183" s="275">
        <v>5.2619999999999996</v>
      </c>
      <c r="J183" s="32">
        <v>84</v>
      </c>
      <c r="K183" s="32" t="s">
        <v>65</v>
      </c>
      <c r="L183" s="32" t="s">
        <v>66</v>
      </c>
      <c r="M183" s="33" t="s">
        <v>67</v>
      </c>
      <c r="N183" s="33"/>
      <c r="O183" s="32">
        <v>180</v>
      </c>
      <c r="P183" s="43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6"/>
      <c r="R183" s="286"/>
      <c r="S183" s="286"/>
      <c r="T183" s="287"/>
      <c r="U183" s="34"/>
      <c r="V183" s="34"/>
      <c r="W183" s="35" t="s">
        <v>68</v>
      </c>
      <c r="X183" s="276">
        <v>96</v>
      </c>
      <c r="Y183" s="277">
        <f>IFERROR(IF(X183="","",X183),"")</f>
        <v>96</v>
      </c>
      <c r="Z183" s="36">
        <f>IFERROR(IF(X183="","",X183*0.0155),"")</f>
        <v>1.488</v>
      </c>
      <c r="AA183" s="56"/>
      <c r="AB183" s="57"/>
      <c r="AC183" s="200" t="s">
        <v>263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505.15199999999993</v>
      </c>
      <c r="BN183" s="67">
        <f>IFERROR(Y183*I183,"0")</f>
        <v>505.15199999999993</v>
      </c>
      <c r="BO183" s="67">
        <f>IFERROR(X183/J183,"0")</f>
        <v>1.1428571428571428</v>
      </c>
      <c r="BP183" s="67">
        <f>IFERROR(Y183/J183,"0")</f>
        <v>1.1428571428571428</v>
      </c>
    </row>
    <row r="184" spans="1:68" x14ac:dyDescent="0.2">
      <c r="A184" s="291"/>
      <c r="B184" s="292"/>
      <c r="C184" s="292"/>
      <c r="D184" s="292"/>
      <c r="E184" s="292"/>
      <c r="F184" s="292"/>
      <c r="G184" s="292"/>
      <c r="H184" s="292"/>
      <c r="I184" s="292"/>
      <c r="J184" s="292"/>
      <c r="K184" s="292"/>
      <c r="L184" s="292"/>
      <c r="M184" s="292"/>
      <c r="N184" s="292"/>
      <c r="O184" s="293"/>
      <c r="P184" s="282" t="s">
        <v>87</v>
      </c>
      <c r="Q184" s="283"/>
      <c r="R184" s="283"/>
      <c r="S184" s="283"/>
      <c r="T184" s="283"/>
      <c r="U184" s="283"/>
      <c r="V184" s="284"/>
      <c r="W184" s="37" t="s">
        <v>68</v>
      </c>
      <c r="X184" s="278">
        <f>IFERROR(SUM(X183:X183),"0")</f>
        <v>96</v>
      </c>
      <c r="Y184" s="278">
        <f>IFERROR(SUM(Y183:Y183),"0")</f>
        <v>96</v>
      </c>
      <c r="Z184" s="278">
        <f>IFERROR(IF(Z183="",0,Z183),"0")</f>
        <v>1.488</v>
      </c>
      <c r="AA184" s="279"/>
      <c r="AB184" s="279"/>
      <c r="AC184" s="279"/>
    </row>
    <row r="185" spans="1:68" x14ac:dyDescent="0.2">
      <c r="A185" s="292"/>
      <c r="B185" s="292"/>
      <c r="C185" s="292"/>
      <c r="D185" s="292"/>
      <c r="E185" s="292"/>
      <c r="F185" s="292"/>
      <c r="G185" s="292"/>
      <c r="H185" s="292"/>
      <c r="I185" s="292"/>
      <c r="J185" s="292"/>
      <c r="K185" s="292"/>
      <c r="L185" s="292"/>
      <c r="M185" s="292"/>
      <c r="N185" s="292"/>
      <c r="O185" s="293"/>
      <c r="P185" s="282" t="s">
        <v>87</v>
      </c>
      <c r="Q185" s="283"/>
      <c r="R185" s="283"/>
      <c r="S185" s="283"/>
      <c r="T185" s="283"/>
      <c r="U185" s="283"/>
      <c r="V185" s="284"/>
      <c r="W185" s="37" t="s">
        <v>88</v>
      </c>
      <c r="X185" s="278">
        <f>IFERROR(SUMPRODUCT(X183:X183*H183:H183),"0")</f>
        <v>480</v>
      </c>
      <c r="Y185" s="278">
        <f>IFERROR(SUMPRODUCT(Y183:Y183*H183:H183),"0")</f>
        <v>480</v>
      </c>
      <c r="Z185" s="37"/>
      <c r="AA185" s="279"/>
      <c r="AB185" s="279"/>
      <c r="AC185" s="279"/>
    </row>
    <row r="186" spans="1:68" ht="27.75" hidden="1" customHeight="1" x14ac:dyDescent="0.2">
      <c r="A186" s="343" t="s">
        <v>267</v>
      </c>
      <c r="B186" s="344"/>
      <c r="C186" s="344"/>
      <c r="D186" s="344"/>
      <c r="E186" s="344"/>
      <c r="F186" s="344"/>
      <c r="G186" s="344"/>
      <c r="H186" s="344"/>
      <c r="I186" s="344"/>
      <c r="J186" s="344"/>
      <c r="K186" s="344"/>
      <c r="L186" s="344"/>
      <c r="M186" s="344"/>
      <c r="N186" s="344"/>
      <c r="O186" s="344"/>
      <c r="P186" s="344"/>
      <c r="Q186" s="344"/>
      <c r="R186" s="344"/>
      <c r="S186" s="344"/>
      <c r="T186" s="344"/>
      <c r="U186" s="344"/>
      <c r="V186" s="344"/>
      <c r="W186" s="344"/>
      <c r="X186" s="344"/>
      <c r="Y186" s="344"/>
      <c r="Z186" s="344"/>
      <c r="AA186" s="48"/>
      <c r="AB186" s="48"/>
      <c r="AC186" s="48"/>
    </row>
    <row r="187" spans="1:68" ht="16.5" hidden="1" customHeight="1" x14ac:dyDescent="0.25">
      <c r="A187" s="294" t="s">
        <v>268</v>
      </c>
      <c r="B187" s="292"/>
      <c r="C187" s="292"/>
      <c r="D187" s="292"/>
      <c r="E187" s="292"/>
      <c r="F187" s="292"/>
      <c r="G187" s="292"/>
      <c r="H187" s="292"/>
      <c r="I187" s="292"/>
      <c r="J187" s="292"/>
      <c r="K187" s="292"/>
      <c r="L187" s="292"/>
      <c r="M187" s="292"/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  <c r="X187" s="292"/>
      <c r="Y187" s="292"/>
      <c r="Z187" s="292"/>
      <c r="AA187" s="271"/>
      <c r="AB187" s="271"/>
      <c r="AC187" s="271"/>
    </row>
    <row r="188" spans="1:68" ht="14.25" hidden="1" customHeight="1" x14ac:dyDescent="0.25">
      <c r="A188" s="308" t="s">
        <v>97</v>
      </c>
      <c r="B188" s="292"/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  <c r="AA188" s="272"/>
      <c r="AB188" s="272"/>
      <c r="AC188" s="272"/>
    </row>
    <row r="189" spans="1:68" ht="16.5" customHeight="1" x14ac:dyDescent="0.25">
      <c r="A189" s="54" t="s">
        <v>269</v>
      </c>
      <c r="B189" s="54" t="s">
        <v>270</v>
      </c>
      <c r="C189" s="31">
        <v>4301132179</v>
      </c>
      <c r="D189" s="288">
        <v>4607111035691</v>
      </c>
      <c r="E189" s="289"/>
      <c r="F189" s="275">
        <v>0.25</v>
      </c>
      <c r="G189" s="32">
        <v>12</v>
      </c>
      <c r="H189" s="275">
        <v>3</v>
      </c>
      <c r="I189" s="275">
        <v>3.3879999999999999</v>
      </c>
      <c r="J189" s="32">
        <v>70</v>
      </c>
      <c r="K189" s="32" t="s">
        <v>100</v>
      </c>
      <c r="L189" s="32" t="s">
        <v>101</v>
      </c>
      <c r="M189" s="33" t="s">
        <v>67</v>
      </c>
      <c r="N189" s="33"/>
      <c r="O189" s="32">
        <v>365</v>
      </c>
      <c r="P189" s="35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6"/>
      <c r="R189" s="286"/>
      <c r="S189" s="286"/>
      <c r="T189" s="287"/>
      <c r="U189" s="34"/>
      <c r="V189" s="34"/>
      <c r="W189" s="35" t="s">
        <v>68</v>
      </c>
      <c r="X189" s="276">
        <v>168</v>
      </c>
      <c r="Y189" s="277">
        <f>IFERROR(IF(X189="","",X189),"")</f>
        <v>168</v>
      </c>
      <c r="Z189" s="36">
        <f>IFERROR(IF(X189="","",X189*0.01788),"")</f>
        <v>3.0038399999999998</v>
      </c>
      <c r="AA189" s="56"/>
      <c r="AB189" s="57"/>
      <c r="AC189" s="202" t="s">
        <v>271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569.18399999999997</v>
      </c>
      <c r="BN189" s="67">
        <f>IFERROR(Y189*I189,"0")</f>
        <v>569.18399999999997</v>
      </c>
      <c r="BO189" s="67">
        <f>IFERROR(X189/J189,"0")</f>
        <v>2.4</v>
      </c>
      <c r="BP189" s="67">
        <f>IFERROR(Y189/J189,"0")</f>
        <v>2.4</v>
      </c>
    </row>
    <row r="190" spans="1:68" ht="27" customHeight="1" x14ac:dyDescent="0.25">
      <c r="A190" s="54" t="s">
        <v>272</v>
      </c>
      <c r="B190" s="54" t="s">
        <v>273</v>
      </c>
      <c r="C190" s="31">
        <v>4301132182</v>
      </c>
      <c r="D190" s="288">
        <v>4607111035721</v>
      </c>
      <c r="E190" s="289"/>
      <c r="F190" s="275">
        <v>0.25</v>
      </c>
      <c r="G190" s="32">
        <v>12</v>
      </c>
      <c r="H190" s="275">
        <v>3</v>
      </c>
      <c r="I190" s="275">
        <v>3.3879999999999999</v>
      </c>
      <c r="J190" s="32">
        <v>70</v>
      </c>
      <c r="K190" s="32" t="s">
        <v>100</v>
      </c>
      <c r="L190" s="32" t="s">
        <v>101</v>
      </c>
      <c r="M190" s="33" t="s">
        <v>67</v>
      </c>
      <c r="N190" s="33"/>
      <c r="O190" s="32">
        <v>365</v>
      </c>
      <c r="P190" s="42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6"/>
      <c r="R190" s="286"/>
      <c r="S190" s="286"/>
      <c r="T190" s="287"/>
      <c r="U190" s="34"/>
      <c r="V190" s="34"/>
      <c r="W190" s="35" t="s">
        <v>68</v>
      </c>
      <c r="X190" s="276">
        <v>182</v>
      </c>
      <c r="Y190" s="277">
        <f>IFERROR(IF(X190="","",X190),"")</f>
        <v>182</v>
      </c>
      <c r="Z190" s="36">
        <f>IFERROR(IF(X190="","",X190*0.01788),"")</f>
        <v>3.2541600000000002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616.61599999999999</v>
      </c>
      <c r="BN190" s="67">
        <f>IFERROR(Y190*I190,"0")</f>
        <v>616.61599999999999</v>
      </c>
      <c r="BO190" s="67">
        <f>IFERROR(X190/J190,"0")</f>
        <v>2.6</v>
      </c>
      <c r="BP190" s="67">
        <f>IFERROR(Y190/J190,"0")</f>
        <v>2.6</v>
      </c>
    </row>
    <row r="191" spans="1:68" ht="27" customHeight="1" x14ac:dyDescent="0.25">
      <c r="A191" s="54" t="s">
        <v>275</v>
      </c>
      <c r="B191" s="54" t="s">
        <v>276</v>
      </c>
      <c r="C191" s="31">
        <v>4301132170</v>
      </c>
      <c r="D191" s="288">
        <v>4607111038487</v>
      </c>
      <c r="E191" s="289"/>
      <c r="F191" s="275">
        <v>0.25</v>
      </c>
      <c r="G191" s="32">
        <v>12</v>
      </c>
      <c r="H191" s="275">
        <v>3</v>
      </c>
      <c r="I191" s="275">
        <v>3.7360000000000002</v>
      </c>
      <c r="J191" s="32">
        <v>70</v>
      </c>
      <c r="K191" s="32" t="s">
        <v>100</v>
      </c>
      <c r="L191" s="32" t="s">
        <v>101</v>
      </c>
      <c r="M191" s="33" t="s">
        <v>67</v>
      </c>
      <c r="N191" s="33"/>
      <c r="O191" s="32">
        <v>180</v>
      </c>
      <c r="P191" s="44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6"/>
      <c r="R191" s="286"/>
      <c r="S191" s="286"/>
      <c r="T191" s="287"/>
      <c r="U191" s="34"/>
      <c r="V191" s="34"/>
      <c r="W191" s="35" t="s">
        <v>68</v>
      </c>
      <c r="X191" s="276">
        <v>98</v>
      </c>
      <c r="Y191" s="277">
        <f>IFERROR(IF(X191="","",X191),"")</f>
        <v>98</v>
      </c>
      <c r="Z191" s="36">
        <f>IFERROR(IF(X191="","",X191*0.01788),"")</f>
        <v>1.75224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366.12800000000004</v>
      </c>
      <c r="BN191" s="67">
        <f>IFERROR(Y191*I191,"0")</f>
        <v>366.12800000000004</v>
      </c>
      <c r="BO191" s="67">
        <f>IFERROR(X191/J191,"0")</f>
        <v>1.4</v>
      </c>
      <c r="BP191" s="67">
        <f>IFERROR(Y191/J191,"0")</f>
        <v>1.4</v>
      </c>
    </row>
    <row r="192" spans="1:68" ht="27" hidden="1" customHeight="1" x14ac:dyDescent="0.25">
      <c r="A192" s="54" t="s">
        <v>278</v>
      </c>
      <c r="B192" s="54" t="s">
        <v>279</v>
      </c>
      <c r="C192" s="31">
        <v>4301132243</v>
      </c>
      <c r="D192" s="288">
        <v>4620207491195</v>
      </c>
      <c r="E192" s="289"/>
      <c r="F192" s="275">
        <v>0.23</v>
      </c>
      <c r="G192" s="32">
        <v>12</v>
      </c>
      <c r="H192" s="275">
        <v>2.76</v>
      </c>
      <c r="I192" s="275">
        <v>3.1480000000000001</v>
      </c>
      <c r="J192" s="32">
        <v>70</v>
      </c>
      <c r="K192" s="32" t="s">
        <v>100</v>
      </c>
      <c r="L192" s="32" t="s">
        <v>66</v>
      </c>
      <c r="M192" s="33" t="s">
        <v>67</v>
      </c>
      <c r="N192" s="33"/>
      <c r="O192" s="32">
        <v>180</v>
      </c>
      <c r="P192" s="34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6"/>
      <c r="R192" s="286"/>
      <c r="S192" s="286"/>
      <c r="T192" s="287"/>
      <c r="U192" s="34"/>
      <c r="V192" s="34"/>
      <c r="W192" s="35" t="s">
        <v>68</v>
      </c>
      <c r="X192" s="276">
        <v>0</v>
      </c>
      <c r="Y192" s="277">
        <f>IFERROR(IF(X192="","",X192),"")</f>
        <v>0</v>
      </c>
      <c r="Z192" s="36">
        <f>IFERROR(IF(X192="","",X192*0.01788),"")</f>
        <v>0</v>
      </c>
      <c r="AA192" s="56"/>
      <c r="AB192" s="57"/>
      <c r="AC192" s="208" t="s">
        <v>280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91"/>
      <c r="B193" s="292"/>
      <c r="C193" s="292"/>
      <c r="D193" s="292"/>
      <c r="E193" s="292"/>
      <c r="F193" s="292"/>
      <c r="G193" s="292"/>
      <c r="H193" s="292"/>
      <c r="I193" s="292"/>
      <c r="J193" s="292"/>
      <c r="K193" s="292"/>
      <c r="L193" s="292"/>
      <c r="M193" s="292"/>
      <c r="N193" s="292"/>
      <c r="O193" s="293"/>
      <c r="P193" s="282" t="s">
        <v>87</v>
      </c>
      <c r="Q193" s="283"/>
      <c r="R193" s="283"/>
      <c r="S193" s="283"/>
      <c r="T193" s="283"/>
      <c r="U193" s="283"/>
      <c r="V193" s="284"/>
      <c r="W193" s="37" t="s">
        <v>68</v>
      </c>
      <c r="X193" s="278">
        <f>IFERROR(SUM(X189:X192),"0")</f>
        <v>448</v>
      </c>
      <c r="Y193" s="278">
        <f>IFERROR(SUM(Y189:Y192),"0")</f>
        <v>448</v>
      </c>
      <c r="Z193" s="278">
        <f>IFERROR(IF(Z189="",0,Z189),"0")+IFERROR(IF(Z190="",0,Z190),"0")+IFERROR(IF(Z191="",0,Z191),"0")+IFERROR(IF(Z192="",0,Z192),"0")</f>
        <v>8.0102399999999996</v>
      </c>
      <c r="AA193" s="279"/>
      <c r="AB193" s="279"/>
      <c r="AC193" s="279"/>
    </row>
    <row r="194" spans="1:68" x14ac:dyDescent="0.2">
      <c r="A194" s="292"/>
      <c r="B194" s="292"/>
      <c r="C194" s="292"/>
      <c r="D194" s="292"/>
      <c r="E194" s="292"/>
      <c r="F194" s="292"/>
      <c r="G194" s="292"/>
      <c r="H194" s="292"/>
      <c r="I194" s="292"/>
      <c r="J194" s="292"/>
      <c r="K194" s="292"/>
      <c r="L194" s="292"/>
      <c r="M194" s="292"/>
      <c r="N194" s="292"/>
      <c r="O194" s="293"/>
      <c r="P194" s="282" t="s">
        <v>87</v>
      </c>
      <c r="Q194" s="283"/>
      <c r="R194" s="283"/>
      <c r="S194" s="283"/>
      <c r="T194" s="283"/>
      <c r="U194" s="283"/>
      <c r="V194" s="284"/>
      <c r="W194" s="37" t="s">
        <v>88</v>
      </c>
      <c r="X194" s="278">
        <f>IFERROR(SUMPRODUCT(X189:X192*H189:H192),"0")</f>
        <v>1344</v>
      </c>
      <c r="Y194" s="278">
        <f>IFERROR(SUMPRODUCT(Y189:Y192*H189:H192),"0")</f>
        <v>1344</v>
      </c>
      <c r="Z194" s="37"/>
      <c r="AA194" s="279"/>
      <c r="AB194" s="279"/>
      <c r="AC194" s="279"/>
    </row>
    <row r="195" spans="1:68" ht="27.75" hidden="1" customHeight="1" x14ac:dyDescent="0.2">
      <c r="A195" s="343" t="s">
        <v>281</v>
      </c>
      <c r="B195" s="344"/>
      <c r="C195" s="344"/>
      <c r="D195" s="344"/>
      <c r="E195" s="344"/>
      <c r="F195" s="344"/>
      <c r="G195" s="344"/>
      <c r="H195" s="344"/>
      <c r="I195" s="344"/>
      <c r="J195" s="344"/>
      <c r="K195" s="344"/>
      <c r="L195" s="344"/>
      <c r="M195" s="344"/>
      <c r="N195" s="344"/>
      <c r="O195" s="344"/>
      <c r="P195" s="344"/>
      <c r="Q195" s="344"/>
      <c r="R195" s="344"/>
      <c r="S195" s="344"/>
      <c r="T195" s="344"/>
      <c r="U195" s="344"/>
      <c r="V195" s="344"/>
      <c r="W195" s="344"/>
      <c r="X195" s="344"/>
      <c r="Y195" s="344"/>
      <c r="Z195" s="344"/>
      <c r="AA195" s="48"/>
      <c r="AB195" s="48"/>
      <c r="AC195" s="48"/>
    </row>
    <row r="196" spans="1:68" ht="16.5" hidden="1" customHeight="1" x14ac:dyDescent="0.25">
      <c r="A196" s="294" t="s">
        <v>282</v>
      </c>
      <c r="B196" s="292"/>
      <c r="C196" s="292"/>
      <c r="D196" s="292"/>
      <c r="E196" s="292"/>
      <c r="F196" s="292"/>
      <c r="G196" s="29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  <c r="AA196" s="271"/>
      <c r="AB196" s="271"/>
      <c r="AC196" s="271"/>
    </row>
    <row r="197" spans="1:68" ht="14.25" hidden="1" customHeight="1" x14ac:dyDescent="0.25">
      <c r="A197" s="308" t="s">
        <v>97</v>
      </c>
      <c r="B197" s="292"/>
      <c r="C197" s="292"/>
      <c r="D197" s="292"/>
      <c r="E197" s="292"/>
      <c r="F197" s="292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  <c r="AA197" s="272"/>
      <c r="AB197" s="272"/>
      <c r="AC197" s="272"/>
    </row>
    <row r="198" spans="1:68" ht="27" hidden="1" customHeight="1" x14ac:dyDescent="0.25">
      <c r="A198" s="54" t="s">
        <v>283</v>
      </c>
      <c r="B198" s="54" t="s">
        <v>284</v>
      </c>
      <c r="C198" s="31">
        <v>4301132227</v>
      </c>
      <c r="D198" s="288">
        <v>4620207491133</v>
      </c>
      <c r="E198" s="289"/>
      <c r="F198" s="275">
        <v>0.23</v>
      </c>
      <c r="G198" s="32">
        <v>12</v>
      </c>
      <c r="H198" s="275">
        <v>2.76</v>
      </c>
      <c r="I198" s="275">
        <v>2.98</v>
      </c>
      <c r="J198" s="32">
        <v>70</v>
      </c>
      <c r="K198" s="32" t="s">
        <v>100</v>
      </c>
      <c r="L198" s="32" t="s">
        <v>101</v>
      </c>
      <c r="M198" s="33" t="s">
        <v>67</v>
      </c>
      <c r="N198" s="33"/>
      <c r="O198" s="32">
        <v>180</v>
      </c>
      <c r="P198" s="44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6"/>
      <c r="R198" s="286"/>
      <c r="S198" s="286"/>
      <c r="T198" s="287"/>
      <c r="U198" s="34"/>
      <c r="V198" s="34"/>
      <c r="W198" s="35" t="s">
        <v>68</v>
      </c>
      <c r="X198" s="276">
        <v>0</v>
      </c>
      <c r="Y198" s="277">
        <f>IFERROR(IF(X198="","",X198),"")</f>
        <v>0</v>
      </c>
      <c r="Z198" s="36">
        <f>IFERROR(IF(X198="","",X198*0.01788),"")</f>
        <v>0</v>
      </c>
      <c r="AA198" s="56"/>
      <c r="AB198" s="57"/>
      <c r="AC198" s="210" t="s">
        <v>285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idden="1" x14ac:dyDescent="0.2">
      <c r="A199" s="291"/>
      <c r="B199" s="292"/>
      <c r="C199" s="292"/>
      <c r="D199" s="292"/>
      <c r="E199" s="292"/>
      <c r="F199" s="292"/>
      <c r="G199" s="292"/>
      <c r="H199" s="292"/>
      <c r="I199" s="292"/>
      <c r="J199" s="292"/>
      <c r="K199" s="292"/>
      <c r="L199" s="292"/>
      <c r="M199" s="292"/>
      <c r="N199" s="292"/>
      <c r="O199" s="293"/>
      <c r="P199" s="282" t="s">
        <v>87</v>
      </c>
      <c r="Q199" s="283"/>
      <c r="R199" s="283"/>
      <c r="S199" s="283"/>
      <c r="T199" s="283"/>
      <c r="U199" s="283"/>
      <c r="V199" s="284"/>
      <c r="W199" s="37" t="s">
        <v>68</v>
      </c>
      <c r="X199" s="278">
        <f>IFERROR(SUM(X198:X198),"0")</f>
        <v>0</v>
      </c>
      <c r="Y199" s="278">
        <f>IFERROR(SUM(Y198:Y198),"0")</f>
        <v>0</v>
      </c>
      <c r="Z199" s="278">
        <f>IFERROR(IF(Z198="",0,Z198),"0")</f>
        <v>0</v>
      </c>
      <c r="AA199" s="279"/>
      <c r="AB199" s="279"/>
      <c r="AC199" s="279"/>
    </row>
    <row r="200" spans="1:68" hidden="1" x14ac:dyDescent="0.2">
      <c r="A200" s="292"/>
      <c r="B200" s="292"/>
      <c r="C200" s="292"/>
      <c r="D200" s="292"/>
      <c r="E200" s="292"/>
      <c r="F200" s="292"/>
      <c r="G200" s="292"/>
      <c r="H200" s="292"/>
      <c r="I200" s="292"/>
      <c r="J200" s="292"/>
      <c r="K200" s="292"/>
      <c r="L200" s="292"/>
      <c r="M200" s="292"/>
      <c r="N200" s="292"/>
      <c r="O200" s="293"/>
      <c r="P200" s="282" t="s">
        <v>87</v>
      </c>
      <c r="Q200" s="283"/>
      <c r="R200" s="283"/>
      <c r="S200" s="283"/>
      <c r="T200" s="283"/>
      <c r="U200" s="283"/>
      <c r="V200" s="284"/>
      <c r="W200" s="37" t="s">
        <v>88</v>
      </c>
      <c r="X200" s="278">
        <f>IFERROR(SUMPRODUCT(X198:X198*H198:H198),"0")</f>
        <v>0</v>
      </c>
      <c r="Y200" s="278">
        <f>IFERROR(SUMPRODUCT(Y198:Y198*H198:H198),"0")</f>
        <v>0</v>
      </c>
      <c r="Z200" s="37"/>
      <c r="AA200" s="279"/>
      <c r="AB200" s="279"/>
      <c r="AC200" s="279"/>
    </row>
    <row r="201" spans="1:68" ht="14.25" hidden="1" customHeight="1" x14ac:dyDescent="0.25">
      <c r="A201" s="308" t="s">
        <v>133</v>
      </c>
      <c r="B201" s="292"/>
      <c r="C201" s="292"/>
      <c r="D201" s="292"/>
      <c r="E201" s="292"/>
      <c r="F201" s="292"/>
      <c r="G201" s="292"/>
      <c r="H201" s="292"/>
      <c r="I201" s="292"/>
      <c r="J201" s="292"/>
      <c r="K201" s="292"/>
      <c r="L201" s="292"/>
      <c r="M201" s="292"/>
      <c r="N201" s="292"/>
      <c r="O201" s="292"/>
      <c r="P201" s="292"/>
      <c r="Q201" s="292"/>
      <c r="R201" s="292"/>
      <c r="S201" s="292"/>
      <c r="T201" s="292"/>
      <c r="U201" s="292"/>
      <c r="V201" s="292"/>
      <c r="W201" s="292"/>
      <c r="X201" s="292"/>
      <c r="Y201" s="292"/>
      <c r="Z201" s="292"/>
      <c r="AA201" s="272"/>
      <c r="AB201" s="272"/>
      <c r="AC201" s="272"/>
    </row>
    <row r="202" spans="1:68" ht="27" customHeight="1" x14ac:dyDescent="0.25">
      <c r="A202" s="54" t="s">
        <v>286</v>
      </c>
      <c r="B202" s="54" t="s">
        <v>287</v>
      </c>
      <c r="C202" s="31">
        <v>4301135834</v>
      </c>
      <c r="D202" s="288">
        <v>4620207491188</v>
      </c>
      <c r="E202" s="289"/>
      <c r="F202" s="275">
        <v>0.2</v>
      </c>
      <c r="G202" s="32">
        <v>12</v>
      </c>
      <c r="H202" s="275">
        <v>2.4</v>
      </c>
      <c r="I202" s="275">
        <v>3.1036000000000001</v>
      </c>
      <c r="J202" s="32">
        <v>70</v>
      </c>
      <c r="K202" s="32" t="s">
        <v>100</v>
      </c>
      <c r="L202" s="32" t="s">
        <v>66</v>
      </c>
      <c r="M202" s="33" t="s">
        <v>67</v>
      </c>
      <c r="N202" s="33"/>
      <c r="O202" s="32">
        <v>180</v>
      </c>
      <c r="P202" s="46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6"/>
      <c r="R202" s="286"/>
      <c r="S202" s="286"/>
      <c r="T202" s="287"/>
      <c r="U202" s="34"/>
      <c r="V202" s="34"/>
      <c r="W202" s="35" t="s">
        <v>68</v>
      </c>
      <c r="X202" s="276">
        <v>28</v>
      </c>
      <c r="Y202" s="277">
        <f>IFERROR(IF(X202="","",X202),"")</f>
        <v>28</v>
      </c>
      <c r="Z202" s="36">
        <f>IFERROR(IF(X202="","",X202*0.01788),"")</f>
        <v>0.50063999999999997</v>
      </c>
      <c r="AA202" s="56"/>
      <c r="AB202" s="57"/>
      <c r="AC202" s="212" t="s">
        <v>288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86.900800000000004</v>
      </c>
      <c r="BN202" s="67">
        <f>IFERROR(Y202*I202,"0")</f>
        <v>86.900800000000004</v>
      </c>
      <c r="BO202" s="67">
        <f>IFERROR(X202/J202,"0")</f>
        <v>0.4</v>
      </c>
      <c r="BP202" s="67">
        <f>IFERROR(Y202/J202,"0")</f>
        <v>0.4</v>
      </c>
    </row>
    <row r="203" spans="1:68" ht="27" hidden="1" customHeight="1" x14ac:dyDescent="0.25">
      <c r="A203" s="54" t="s">
        <v>289</v>
      </c>
      <c r="B203" s="54" t="s">
        <v>290</v>
      </c>
      <c r="C203" s="31">
        <v>4301135696</v>
      </c>
      <c r="D203" s="288">
        <v>4620207490235</v>
      </c>
      <c r="E203" s="289"/>
      <c r="F203" s="275">
        <v>0.2</v>
      </c>
      <c r="G203" s="32">
        <v>12</v>
      </c>
      <c r="H203" s="275">
        <v>2.4</v>
      </c>
      <c r="I203" s="275">
        <v>3.1036000000000001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7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6"/>
      <c r="R203" s="286"/>
      <c r="S203" s="286"/>
      <c r="T203" s="287"/>
      <c r="U203" s="34"/>
      <c r="V203" s="34"/>
      <c r="W203" s="35" t="s">
        <v>68</v>
      </c>
      <c r="X203" s="276">
        <v>0</v>
      </c>
      <c r="Y203" s="277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291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292</v>
      </c>
      <c r="B204" s="54" t="s">
        <v>293</v>
      </c>
      <c r="C204" s="31">
        <v>4301135697</v>
      </c>
      <c r="D204" s="288">
        <v>4620207490259</v>
      </c>
      <c r="E204" s="289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100</v>
      </c>
      <c r="L204" s="32" t="s">
        <v>101</v>
      </c>
      <c r="M204" s="33" t="s">
        <v>67</v>
      </c>
      <c r="N204" s="33"/>
      <c r="O204" s="32">
        <v>180</v>
      </c>
      <c r="P204" s="39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6"/>
      <c r="R204" s="286"/>
      <c r="S204" s="286"/>
      <c r="T204" s="287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91"/>
      <c r="B205" s="292"/>
      <c r="C205" s="292"/>
      <c r="D205" s="292"/>
      <c r="E205" s="292"/>
      <c r="F205" s="292"/>
      <c r="G205" s="292"/>
      <c r="H205" s="292"/>
      <c r="I205" s="292"/>
      <c r="J205" s="292"/>
      <c r="K205" s="292"/>
      <c r="L205" s="292"/>
      <c r="M205" s="292"/>
      <c r="N205" s="292"/>
      <c r="O205" s="293"/>
      <c r="P205" s="282" t="s">
        <v>87</v>
      </c>
      <c r="Q205" s="283"/>
      <c r="R205" s="283"/>
      <c r="S205" s="283"/>
      <c r="T205" s="283"/>
      <c r="U205" s="283"/>
      <c r="V205" s="284"/>
      <c r="W205" s="37" t="s">
        <v>68</v>
      </c>
      <c r="X205" s="278">
        <f>IFERROR(SUM(X202:X204),"0")</f>
        <v>28</v>
      </c>
      <c r="Y205" s="278">
        <f>IFERROR(SUM(Y202:Y204),"0")</f>
        <v>28</v>
      </c>
      <c r="Z205" s="278">
        <f>IFERROR(IF(Z202="",0,Z202),"0")+IFERROR(IF(Z203="",0,Z203),"0")+IFERROR(IF(Z204="",0,Z204),"0")</f>
        <v>0.50063999999999997</v>
      </c>
      <c r="AA205" s="279"/>
      <c r="AB205" s="279"/>
      <c r="AC205" s="279"/>
    </row>
    <row r="206" spans="1:68" x14ac:dyDescent="0.2">
      <c r="A206" s="292"/>
      <c r="B206" s="292"/>
      <c r="C206" s="292"/>
      <c r="D206" s="292"/>
      <c r="E206" s="292"/>
      <c r="F206" s="292"/>
      <c r="G206" s="292"/>
      <c r="H206" s="292"/>
      <c r="I206" s="292"/>
      <c r="J206" s="292"/>
      <c r="K206" s="292"/>
      <c r="L206" s="292"/>
      <c r="M206" s="292"/>
      <c r="N206" s="292"/>
      <c r="O206" s="293"/>
      <c r="P206" s="282" t="s">
        <v>87</v>
      </c>
      <c r="Q206" s="283"/>
      <c r="R206" s="283"/>
      <c r="S206" s="283"/>
      <c r="T206" s="283"/>
      <c r="U206" s="283"/>
      <c r="V206" s="284"/>
      <c r="W206" s="37" t="s">
        <v>88</v>
      </c>
      <c r="X206" s="278">
        <f>IFERROR(SUMPRODUCT(X202:X204*H202:H204),"0")</f>
        <v>67.2</v>
      </c>
      <c r="Y206" s="278">
        <f>IFERROR(SUMPRODUCT(Y202:Y204*H202:H204),"0")</f>
        <v>67.2</v>
      </c>
      <c r="Z206" s="37"/>
      <c r="AA206" s="279"/>
      <c r="AB206" s="279"/>
      <c r="AC206" s="279"/>
    </row>
    <row r="207" spans="1:68" ht="16.5" hidden="1" customHeight="1" x14ac:dyDescent="0.25">
      <c r="A207" s="294" t="s">
        <v>295</v>
      </c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  <c r="X207" s="292"/>
      <c r="Y207" s="292"/>
      <c r="Z207" s="292"/>
      <c r="AA207" s="271"/>
      <c r="AB207" s="271"/>
      <c r="AC207" s="271"/>
    </row>
    <row r="208" spans="1:68" ht="14.25" hidden="1" customHeight="1" x14ac:dyDescent="0.25">
      <c r="A208" s="308" t="s">
        <v>133</v>
      </c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  <c r="AA208" s="272"/>
      <c r="AB208" s="272"/>
      <c r="AC208" s="272"/>
    </row>
    <row r="209" spans="1:68" ht="27" hidden="1" customHeight="1" x14ac:dyDescent="0.25">
      <c r="A209" s="54" t="s">
        <v>296</v>
      </c>
      <c r="B209" s="54" t="s">
        <v>297</v>
      </c>
      <c r="C209" s="31">
        <v>4301135854</v>
      </c>
      <c r="D209" s="288">
        <v>4620207491706</v>
      </c>
      <c r="E209" s="289"/>
      <c r="F209" s="275">
        <v>0.2</v>
      </c>
      <c r="G209" s="32">
        <v>12</v>
      </c>
      <c r="H209" s="275">
        <v>2.4</v>
      </c>
      <c r="I209" s="275">
        <v>3.1036000000000001</v>
      </c>
      <c r="J209" s="32">
        <v>70</v>
      </c>
      <c r="K209" s="32" t="s">
        <v>100</v>
      </c>
      <c r="L209" s="32" t="s">
        <v>66</v>
      </c>
      <c r="M209" s="33" t="s">
        <v>67</v>
      </c>
      <c r="N209" s="33"/>
      <c r="O209" s="32">
        <v>180</v>
      </c>
      <c r="P209" s="31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6"/>
      <c r="R209" s="286"/>
      <c r="S209" s="286"/>
      <c r="T209" s="287"/>
      <c r="U209" s="34"/>
      <c r="V209" s="34"/>
      <c r="W209" s="35" t="s">
        <v>68</v>
      </c>
      <c r="X209" s="276">
        <v>0</v>
      </c>
      <c r="Y209" s="277">
        <f>IFERROR(IF(X209="","",X209),"")</f>
        <v>0</v>
      </c>
      <c r="Z209" s="36">
        <f>IFERROR(IF(X209="","",X209*0.01788),"")</f>
        <v>0</v>
      </c>
      <c r="AA209" s="56"/>
      <c r="AB209" s="57"/>
      <c r="AC209" s="218" t="s">
        <v>298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299</v>
      </c>
      <c r="B210" s="54" t="s">
        <v>300</v>
      </c>
      <c r="C210" s="31">
        <v>4301135895</v>
      </c>
      <c r="D210" s="288">
        <v>4620207491522</v>
      </c>
      <c r="E210" s="289"/>
      <c r="F210" s="275">
        <v>0.28000000000000003</v>
      </c>
      <c r="G210" s="32">
        <v>12</v>
      </c>
      <c r="H210" s="275">
        <v>3.36</v>
      </c>
      <c r="I210" s="275">
        <v>4.0636000000000001</v>
      </c>
      <c r="J210" s="32">
        <v>70</v>
      </c>
      <c r="K210" s="32" t="s">
        <v>100</v>
      </c>
      <c r="L210" s="32" t="s">
        <v>66</v>
      </c>
      <c r="M210" s="33" t="s">
        <v>67</v>
      </c>
      <c r="N210" s="33"/>
      <c r="O210" s="32">
        <v>180</v>
      </c>
      <c r="P210" s="37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6"/>
      <c r="R210" s="286"/>
      <c r="S210" s="286"/>
      <c r="T210" s="287"/>
      <c r="U210" s="34"/>
      <c r="V210" s="34"/>
      <c r="W210" s="35" t="s">
        <v>68</v>
      </c>
      <c r="X210" s="276">
        <v>0</v>
      </c>
      <c r="Y210" s="277">
        <f>IFERROR(IF(X210="","",X210),"")</f>
        <v>0</v>
      </c>
      <c r="Z210" s="36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1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3"/>
      <c r="P211" s="282" t="s">
        <v>87</v>
      </c>
      <c r="Q211" s="283"/>
      <c r="R211" s="283"/>
      <c r="S211" s="283"/>
      <c r="T211" s="283"/>
      <c r="U211" s="283"/>
      <c r="V211" s="284"/>
      <c r="W211" s="37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hidden="1" x14ac:dyDescent="0.2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3"/>
      <c r="P212" s="282" t="s">
        <v>87</v>
      </c>
      <c r="Q212" s="283"/>
      <c r="R212" s="283"/>
      <c r="S212" s="283"/>
      <c r="T212" s="283"/>
      <c r="U212" s="283"/>
      <c r="V212" s="284"/>
      <c r="W212" s="37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7"/>
      <c r="AA212" s="279"/>
      <c r="AB212" s="279"/>
      <c r="AC212" s="279"/>
    </row>
    <row r="213" spans="1:68" ht="16.5" hidden="1" customHeight="1" x14ac:dyDescent="0.25">
      <c r="A213" s="294" t="s">
        <v>302</v>
      </c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  <c r="V213" s="292"/>
      <c r="W213" s="292"/>
      <c r="X213" s="292"/>
      <c r="Y213" s="292"/>
      <c r="Z213" s="292"/>
      <c r="AA213" s="271"/>
      <c r="AB213" s="271"/>
      <c r="AC213" s="271"/>
    </row>
    <row r="214" spans="1:68" ht="14.25" hidden="1" customHeight="1" x14ac:dyDescent="0.25">
      <c r="A214" s="308" t="s">
        <v>62</v>
      </c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  <c r="AA214" s="272"/>
      <c r="AB214" s="272"/>
      <c r="AC214" s="272"/>
    </row>
    <row r="215" spans="1:68" ht="27" hidden="1" customHeight="1" x14ac:dyDescent="0.25">
      <c r="A215" s="54" t="s">
        <v>303</v>
      </c>
      <c r="B215" s="54" t="s">
        <v>304</v>
      </c>
      <c r="C215" s="31">
        <v>4301071097</v>
      </c>
      <c r="D215" s="288">
        <v>4620207491096</v>
      </c>
      <c r="E215" s="289"/>
      <c r="F215" s="275">
        <v>1</v>
      </c>
      <c r="G215" s="32">
        <v>5</v>
      </c>
      <c r="H215" s="275">
        <v>5</v>
      </c>
      <c r="I215" s="275">
        <v>5.23</v>
      </c>
      <c r="J215" s="32">
        <v>84</v>
      </c>
      <c r="K215" s="32" t="s">
        <v>65</v>
      </c>
      <c r="L215" s="32" t="s">
        <v>101</v>
      </c>
      <c r="M215" s="33" t="s">
        <v>67</v>
      </c>
      <c r="N215" s="33"/>
      <c r="O215" s="32">
        <v>180</v>
      </c>
      <c r="P215" s="30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6"/>
      <c r="R215" s="286"/>
      <c r="S215" s="286"/>
      <c r="T215" s="287"/>
      <c r="U215" s="34"/>
      <c r="V215" s="34"/>
      <c r="W215" s="35" t="s">
        <v>68</v>
      </c>
      <c r="X215" s="276">
        <v>0</v>
      </c>
      <c r="Y215" s="277">
        <f>IFERROR(IF(X215="","",X215),"")</f>
        <v>0</v>
      </c>
      <c r="Z215" s="36">
        <f>IFERROR(IF(X215="","",X215*0.0155),"")</f>
        <v>0</v>
      </c>
      <c r="AA215" s="56"/>
      <c r="AB215" s="57"/>
      <c r="AC215" s="222" t="s">
        <v>305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291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3"/>
      <c r="P216" s="282" t="s">
        <v>87</v>
      </c>
      <c r="Q216" s="283"/>
      <c r="R216" s="283"/>
      <c r="S216" s="283"/>
      <c r="T216" s="283"/>
      <c r="U216" s="283"/>
      <c r="V216" s="284"/>
      <c r="W216" s="37" t="s">
        <v>68</v>
      </c>
      <c r="X216" s="278">
        <f>IFERROR(SUM(X215:X215),"0")</f>
        <v>0</v>
      </c>
      <c r="Y216" s="278">
        <f>IFERROR(SUM(Y215:Y215),"0")</f>
        <v>0</v>
      </c>
      <c r="Z216" s="278">
        <f>IFERROR(IF(Z215="",0,Z215),"0")</f>
        <v>0</v>
      </c>
      <c r="AA216" s="279"/>
      <c r="AB216" s="279"/>
      <c r="AC216" s="279"/>
    </row>
    <row r="217" spans="1:68" hidden="1" x14ac:dyDescent="0.2">
      <c r="A217" s="292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3"/>
      <c r="P217" s="282" t="s">
        <v>87</v>
      </c>
      <c r="Q217" s="283"/>
      <c r="R217" s="283"/>
      <c r="S217" s="283"/>
      <c r="T217" s="283"/>
      <c r="U217" s="283"/>
      <c r="V217" s="284"/>
      <c r="W217" s="37" t="s">
        <v>88</v>
      </c>
      <c r="X217" s="278">
        <f>IFERROR(SUMPRODUCT(X215:X215*H215:H215),"0")</f>
        <v>0</v>
      </c>
      <c r="Y217" s="278">
        <f>IFERROR(SUMPRODUCT(Y215:Y215*H215:H215),"0")</f>
        <v>0</v>
      </c>
      <c r="Z217" s="37"/>
      <c r="AA217" s="279"/>
      <c r="AB217" s="279"/>
      <c r="AC217" s="279"/>
    </row>
    <row r="218" spans="1:68" ht="16.5" hidden="1" customHeight="1" x14ac:dyDescent="0.25">
      <c r="A218" s="294" t="s">
        <v>306</v>
      </c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  <c r="AA218" s="271"/>
      <c r="AB218" s="271"/>
      <c r="AC218" s="271"/>
    </row>
    <row r="219" spans="1:68" ht="14.25" hidden="1" customHeight="1" x14ac:dyDescent="0.25">
      <c r="A219" s="308" t="s">
        <v>133</v>
      </c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272"/>
      <c r="AB219" s="272"/>
      <c r="AC219" s="272"/>
    </row>
    <row r="220" spans="1:68" ht="27" hidden="1" customHeight="1" x14ac:dyDescent="0.25">
      <c r="A220" s="54" t="s">
        <v>307</v>
      </c>
      <c r="B220" s="54" t="s">
        <v>308</v>
      </c>
      <c r="C220" s="31">
        <v>4301135694</v>
      </c>
      <c r="D220" s="288">
        <v>4620207490501</v>
      </c>
      <c r="E220" s="289"/>
      <c r="F220" s="275">
        <v>0.2</v>
      </c>
      <c r="G220" s="32">
        <v>12</v>
      </c>
      <c r="H220" s="275">
        <v>2.4</v>
      </c>
      <c r="I220" s="275">
        <v>3.1036000000000001</v>
      </c>
      <c r="J220" s="32">
        <v>70</v>
      </c>
      <c r="K220" s="32" t="s">
        <v>100</v>
      </c>
      <c r="L220" s="32" t="s">
        <v>66</v>
      </c>
      <c r="M220" s="33" t="s">
        <v>67</v>
      </c>
      <c r="N220" s="33"/>
      <c r="O220" s="32">
        <v>180</v>
      </c>
      <c r="P220" s="29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6"/>
      <c r="R220" s="286"/>
      <c r="S220" s="286"/>
      <c r="T220" s="287"/>
      <c r="U220" s="34"/>
      <c r="V220" s="34"/>
      <c r="W220" s="35" t="s">
        <v>68</v>
      </c>
      <c r="X220" s="276">
        <v>0</v>
      </c>
      <c r="Y220" s="277">
        <f>IFERROR(IF(X220="","",X220),"")</f>
        <v>0</v>
      </c>
      <c r="Z220" s="36">
        <f>IFERROR(IF(X220="","",X220*0.01788),"")</f>
        <v>0</v>
      </c>
      <c r="AA220" s="56"/>
      <c r="AB220" s="57"/>
      <c r="AC220" s="224" t="s">
        <v>309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1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3"/>
      <c r="P221" s="282" t="s">
        <v>87</v>
      </c>
      <c r="Q221" s="283"/>
      <c r="R221" s="283"/>
      <c r="S221" s="283"/>
      <c r="T221" s="283"/>
      <c r="U221" s="283"/>
      <c r="V221" s="284"/>
      <c r="W221" s="37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hidden="1" x14ac:dyDescent="0.2">
      <c r="A222" s="292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3"/>
      <c r="P222" s="282" t="s">
        <v>87</v>
      </c>
      <c r="Q222" s="283"/>
      <c r="R222" s="283"/>
      <c r="S222" s="283"/>
      <c r="T222" s="283"/>
      <c r="U222" s="283"/>
      <c r="V222" s="284"/>
      <c r="W222" s="37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7"/>
      <c r="AA222" s="279"/>
      <c r="AB222" s="279"/>
      <c r="AC222" s="279"/>
    </row>
    <row r="223" spans="1:68" ht="27.75" hidden="1" customHeight="1" x14ac:dyDescent="0.2">
      <c r="A223" s="343" t="s">
        <v>310</v>
      </c>
      <c r="B223" s="344"/>
      <c r="C223" s="344"/>
      <c r="D223" s="344"/>
      <c r="E223" s="344"/>
      <c r="F223" s="344"/>
      <c r="G223" s="344"/>
      <c r="H223" s="344"/>
      <c r="I223" s="344"/>
      <c r="J223" s="344"/>
      <c r="K223" s="344"/>
      <c r="L223" s="344"/>
      <c r="M223" s="344"/>
      <c r="N223" s="344"/>
      <c r="O223" s="344"/>
      <c r="P223" s="344"/>
      <c r="Q223" s="344"/>
      <c r="R223" s="344"/>
      <c r="S223" s="344"/>
      <c r="T223" s="344"/>
      <c r="U223" s="344"/>
      <c r="V223" s="344"/>
      <c r="W223" s="344"/>
      <c r="X223" s="344"/>
      <c r="Y223" s="344"/>
      <c r="Z223" s="344"/>
      <c r="AA223" s="48"/>
      <c r="AB223" s="48"/>
      <c r="AC223" s="48"/>
    </row>
    <row r="224" spans="1:68" ht="16.5" hidden="1" customHeight="1" x14ac:dyDescent="0.25">
      <c r="A224" s="294" t="s">
        <v>311</v>
      </c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  <c r="AA224" s="271"/>
      <c r="AB224" s="271"/>
      <c r="AC224" s="271"/>
    </row>
    <row r="225" spans="1:68" ht="14.25" hidden="1" customHeight="1" x14ac:dyDescent="0.25">
      <c r="A225" s="308" t="s">
        <v>62</v>
      </c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272"/>
      <c r="AB225" s="272"/>
      <c r="AC225" s="272"/>
    </row>
    <row r="226" spans="1:68" ht="27" hidden="1" customHeight="1" x14ac:dyDescent="0.25">
      <c r="A226" s="54" t="s">
        <v>312</v>
      </c>
      <c r="B226" s="54" t="s">
        <v>313</v>
      </c>
      <c r="C226" s="31">
        <v>4301071036</v>
      </c>
      <c r="D226" s="288">
        <v>4607111036162</v>
      </c>
      <c r="E226" s="289"/>
      <c r="F226" s="275">
        <v>0.8</v>
      </c>
      <c r="G226" s="32">
        <v>8</v>
      </c>
      <c r="H226" s="275">
        <v>6.4</v>
      </c>
      <c r="I226" s="275">
        <v>6.6811999999999996</v>
      </c>
      <c r="J226" s="32">
        <v>84</v>
      </c>
      <c r="K226" s="32" t="s">
        <v>65</v>
      </c>
      <c r="L226" s="32" t="s">
        <v>66</v>
      </c>
      <c r="M226" s="33" t="s">
        <v>67</v>
      </c>
      <c r="N226" s="33"/>
      <c r="O226" s="32">
        <v>90</v>
      </c>
      <c r="P226" s="41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6"/>
      <c r="R226" s="286"/>
      <c r="S226" s="286"/>
      <c r="T226" s="287"/>
      <c r="U226" s="34"/>
      <c r="V226" s="34"/>
      <c r="W226" s="35" t="s">
        <v>68</v>
      </c>
      <c r="X226" s="276">
        <v>0</v>
      </c>
      <c r="Y226" s="277">
        <f>IFERROR(IF(X226="","",X226),"")</f>
        <v>0</v>
      </c>
      <c r="Z226" s="36">
        <f>IFERROR(IF(X226="","",X226*0.0155),"")</f>
        <v>0</v>
      </c>
      <c r="AA226" s="56"/>
      <c r="AB226" s="57"/>
      <c r="AC226" s="226" t="s">
        <v>314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1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3"/>
      <c r="P227" s="282" t="s">
        <v>87</v>
      </c>
      <c r="Q227" s="283"/>
      <c r="R227" s="283"/>
      <c r="S227" s="283"/>
      <c r="T227" s="283"/>
      <c r="U227" s="283"/>
      <c r="V227" s="284"/>
      <c r="W227" s="37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hidden="1" x14ac:dyDescent="0.2">
      <c r="A228" s="292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3"/>
      <c r="P228" s="282" t="s">
        <v>87</v>
      </c>
      <c r="Q228" s="283"/>
      <c r="R228" s="283"/>
      <c r="S228" s="283"/>
      <c r="T228" s="283"/>
      <c r="U228" s="283"/>
      <c r="V228" s="284"/>
      <c r="W228" s="37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7"/>
      <c r="AA228" s="279"/>
      <c r="AB228" s="279"/>
      <c r="AC228" s="279"/>
    </row>
    <row r="229" spans="1:68" ht="27.75" hidden="1" customHeight="1" x14ac:dyDescent="0.2">
      <c r="A229" s="343" t="s">
        <v>315</v>
      </c>
      <c r="B229" s="344"/>
      <c r="C229" s="344"/>
      <c r="D229" s="344"/>
      <c r="E229" s="344"/>
      <c r="F229" s="344"/>
      <c r="G229" s="344"/>
      <c r="H229" s="344"/>
      <c r="I229" s="344"/>
      <c r="J229" s="344"/>
      <c r="K229" s="344"/>
      <c r="L229" s="344"/>
      <c r="M229" s="344"/>
      <c r="N229" s="344"/>
      <c r="O229" s="344"/>
      <c r="P229" s="344"/>
      <c r="Q229" s="344"/>
      <c r="R229" s="344"/>
      <c r="S229" s="344"/>
      <c r="T229" s="344"/>
      <c r="U229" s="344"/>
      <c r="V229" s="344"/>
      <c r="W229" s="344"/>
      <c r="X229" s="344"/>
      <c r="Y229" s="344"/>
      <c r="Z229" s="344"/>
      <c r="AA229" s="48"/>
      <c r="AB229" s="48"/>
      <c r="AC229" s="48"/>
    </row>
    <row r="230" spans="1:68" ht="16.5" hidden="1" customHeight="1" x14ac:dyDescent="0.25">
      <c r="A230" s="294" t="s">
        <v>316</v>
      </c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  <c r="V230" s="292"/>
      <c r="W230" s="292"/>
      <c r="X230" s="292"/>
      <c r="Y230" s="292"/>
      <c r="Z230" s="292"/>
      <c r="AA230" s="271"/>
      <c r="AB230" s="271"/>
      <c r="AC230" s="271"/>
    </row>
    <row r="231" spans="1:68" ht="14.25" hidden="1" customHeight="1" x14ac:dyDescent="0.25">
      <c r="A231" s="308" t="s">
        <v>317</v>
      </c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272"/>
      <c r="AB231" s="272"/>
      <c r="AC231" s="272"/>
    </row>
    <row r="232" spans="1:68" ht="27" hidden="1" customHeight="1" x14ac:dyDescent="0.25">
      <c r="A232" s="54" t="s">
        <v>318</v>
      </c>
      <c r="B232" s="54" t="s">
        <v>319</v>
      </c>
      <c r="C232" s="31">
        <v>4301133004</v>
      </c>
      <c r="D232" s="288">
        <v>4607111039774</v>
      </c>
      <c r="E232" s="289"/>
      <c r="F232" s="275">
        <v>0.25</v>
      </c>
      <c r="G232" s="32">
        <v>12</v>
      </c>
      <c r="H232" s="275">
        <v>3</v>
      </c>
      <c r="I232" s="275">
        <v>3.22</v>
      </c>
      <c r="J232" s="32">
        <v>70</v>
      </c>
      <c r="K232" s="32" t="s">
        <v>100</v>
      </c>
      <c r="L232" s="32" t="s">
        <v>66</v>
      </c>
      <c r="M232" s="33" t="s">
        <v>67</v>
      </c>
      <c r="N232" s="33"/>
      <c r="O232" s="32">
        <v>180</v>
      </c>
      <c r="P232" s="39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6"/>
      <c r="R232" s="286"/>
      <c r="S232" s="286"/>
      <c r="T232" s="287"/>
      <c r="U232" s="34"/>
      <c r="V232" s="34"/>
      <c r="W232" s="35" t="s">
        <v>68</v>
      </c>
      <c r="X232" s="276">
        <v>0</v>
      </c>
      <c r="Y232" s="277">
        <f>IFERROR(IF(X232="","",X232),"")</f>
        <v>0</v>
      </c>
      <c r="Z232" s="36">
        <f>IFERROR(IF(X232="","",X232*0.01788),"")</f>
        <v>0</v>
      </c>
      <c r="AA232" s="56"/>
      <c r="AB232" s="57"/>
      <c r="AC232" s="228" t="s">
        <v>320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1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3"/>
      <c r="P233" s="282" t="s">
        <v>87</v>
      </c>
      <c r="Q233" s="283"/>
      <c r="R233" s="283"/>
      <c r="S233" s="283"/>
      <c r="T233" s="283"/>
      <c r="U233" s="283"/>
      <c r="V233" s="284"/>
      <c r="W233" s="37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hidden="1" x14ac:dyDescent="0.2">
      <c r="A234" s="292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3"/>
      <c r="P234" s="282" t="s">
        <v>87</v>
      </c>
      <c r="Q234" s="283"/>
      <c r="R234" s="283"/>
      <c r="S234" s="283"/>
      <c r="T234" s="283"/>
      <c r="U234" s="283"/>
      <c r="V234" s="284"/>
      <c r="W234" s="37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7"/>
      <c r="AA234" s="279"/>
      <c r="AB234" s="279"/>
      <c r="AC234" s="279"/>
    </row>
    <row r="235" spans="1:68" ht="14.25" hidden="1" customHeight="1" x14ac:dyDescent="0.25">
      <c r="A235" s="308" t="s">
        <v>133</v>
      </c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  <c r="X235" s="292"/>
      <c r="Y235" s="292"/>
      <c r="Z235" s="292"/>
      <c r="AA235" s="272"/>
      <c r="AB235" s="272"/>
      <c r="AC235" s="272"/>
    </row>
    <row r="236" spans="1:68" ht="37.5" hidden="1" customHeight="1" x14ac:dyDescent="0.25">
      <c r="A236" s="54" t="s">
        <v>321</v>
      </c>
      <c r="B236" s="54" t="s">
        <v>322</v>
      </c>
      <c r="C236" s="31">
        <v>4301135400</v>
      </c>
      <c r="D236" s="288">
        <v>4607111039361</v>
      </c>
      <c r="E236" s="289"/>
      <c r="F236" s="275">
        <v>0.25</v>
      </c>
      <c r="G236" s="32">
        <v>12</v>
      </c>
      <c r="H236" s="275">
        <v>3</v>
      </c>
      <c r="I236" s="275">
        <v>3.7035999999999998</v>
      </c>
      <c r="J236" s="32">
        <v>70</v>
      </c>
      <c r="K236" s="32" t="s">
        <v>100</v>
      </c>
      <c r="L236" s="32" t="s">
        <v>66</v>
      </c>
      <c r="M236" s="33" t="s">
        <v>67</v>
      </c>
      <c r="N236" s="33"/>
      <c r="O236" s="32">
        <v>180</v>
      </c>
      <c r="P236" s="31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6"/>
      <c r="R236" s="286"/>
      <c r="S236" s="286"/>
      <c r="T236" s="287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320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1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3"/>
      <c r="P237" s="282" t="s">
        <v>87</v>
      </c>
      <c r="Q237" s="283"/>
      <c r="R237" s="283"/>
      <c r="S237" s="283"/>
      <c r="T237" s="283"/>
      <c r="U237" s="283"/>
      <c r="V237" s="284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92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3"/>
      <c r="P238" s="282" t="s">
        <v>87</v>
      </c>
      <c r="Q238" s="283"/>
      <c r="R238" s="283"/>
      <c r="S238" s="283"/>
      <c r="T238" s="283"/>
      <c r="U238" s="283"/>
      <c r="V238" s="284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27.75" hidden="1" customHeight="1" x14ac:dyDescent="0.2">
      <c r="A239" s="343" t="s">
        <v>323</v>
      </c>
      <c r="B239" s="344"/>
      <c r="C239" s="344"/>
      <c r="D239" s="344"/>
      <c r="E239" s="344"/>
      <c r="F239" s="344"/>
      <c r="G239" s="344"/>
      <c r="H239" s="344"/>
      <c r="I239" s="344"/>
      <c r="J239" s="344"/>
      <c r="K239" s="344"/>
      <c r="L239" s="344"/>
      <c r="M239" s="344"/>
      <c r="N239" s="344"/>
      <c r="O239" s="344"/>
      <c r="P239" s="344"/>
      <c r="Q239" s="344"/>
      <c r="R239" s="344"/>
      <c r="S239" s="344"/>
      <c r="T239" s="344"/>
      <c r="U239" s="344"/>
      <c r="V239" s="344"/>
      <c r="W239" s="344"/>
      <c r="X239" s="344"/>
      <c r="Y239" s="344"/>
      <c r="Z239" s="344"/>
      <c r="AA239" s="48"/>
      <c r="AB239" s="48"/>
      <c r="AC239" s="48"/>
    </row>
    <row r="240" spans="1:68" ht="16.5" hidden="1" customHeight="1" x14ac:dyDescent="0.25">
      <c r="A240" s="294" t="s">
        <v>323</v>
      </c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  <c r="V240" s="292"/>
      <c r="W240" s="292"/>
      <c r="X240" s="292"/>
      <c r="Y240" s="292"/>
      <c r="Z240" s="292"/>
      <c r="AA240" s="271"/>
      <c r="AB240" s="271"/>
      <c r="AC240" s="271"/>
    </row>
    <row r="241" spans="1:68" ht="14.25" hidden="1" customHeight="1" x14ac:dyDescent="0.25">
      <c r="A241" s="308" t="s">
        <v>97</v>
      </c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272"/>
      <c r="AB241" s="272"/>
      <c r="AC241" s="272"/>
    </row>
    <row r="242" spans="1:68" ht="27" hidden="1" customHeight="1" x14ac:dyDescent="0.25">
      <c r="A242" s="54" t="s">
        <v>324</v>
      </c>
      <c r="B242" s="54" t="s">
        <v>325</v>
      </c>
      <c r="C242" s="31">
        <v>4301132228</v>
      </c>
      <c r="D242" s="288">
        <v>4640242181950</v>
      </c>
      <c r="E242" s="289"/>
      <c r="F242" s="275">
        <v>0.23</v>
      </c>
      <c r="G242" s="32">
        <v>12</v>
      </c>
      <c r="H242" s="275">
        <v>2.76</v>
      </c>
      <c r="I242" s="275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365</v>
      </c>
      <c r="P242" s="330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6"/>
      <c r="R242" s="286"/>
      <c r="S242" s="286"/>
      <c r="T242" s="287"/>
      <c r="U242" s="34"/>
      <c r="V242" s="34"/>
      <c r="W242" s="35" t="s">
        <v>68</v>
      </c>
      <c r="X242" s="276">
        <v>0</v>
      </c>
      <c r="Y242" s="277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326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91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3"/>
      <c r="P243" s="282" t="s">
        <v>87</v>
      </c>
      <c r="Q243" s="283"/>
      <c r="R243" s="283"/>
      <c r="S243" s="283"/>
      <c r="T243" s="283"/>
      <c r="U243" s="283"/>
      <c r="V243" s="284"/>
      <c r="W243" s="37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hidden="1" x14ac:dyDescent="0.2">
      <c r="A244" s="292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3"/>
      <c r="P244" s="282" t="s">
        <v>87</v>
      </c>
      <c r="Q244" s="283"/>
      <c r="R244" s="283"/>
      <c r="S244" s="283"/>
      <c r="T244" s="283"/>
      <c r="U244" s="283"/>
      <c r="V244" s="284"/>
      <c r="W244" s="37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7"/>
      <c r="AA244" s="279"/>
      <c r="AB244" s="279"/>
      <c r="AC244" s="279"/>
    </row>
    <row r="245" spans="1:68" ht="14.25" hidden="1" customHeight="1" x14ac:dyDescent="0.25">
      <c r="A245" s="308" t="s">
        <v>129</v>
      </c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  <c r="V245" s="292"/>
      <c r="W245" s="292"/>
      <c r="X245" s="292"/>
      <c r="Y245" s="292"/>
      <c r="Z245" s="292"/>
      <c r="AA245" s="272"/>
      <c r="AB245" s="272"/>
      <c r="AC245" s="272"/>
    </row>
    <row r="246" spans="1:68" ht="27" hidden="1" customHeight="1" x14ac:dyDescent="0.25">
      <c r="A246" s="54" t="s">
        <v>327</v>
      </c>
      <c r="B246" s="54" t="s">
        <v>328</v>
      </c>
      <c r="C246" s="31">
        <v>4301136098</v>
      </c>
      <c r="D246" s="288">
        <v>4640242181943</v>
      </c>
      <c r="E246" s="289"/>
      <c r="F246" s="275">
        <v>0.09</v>
      </c>
      <c r="G246" s="32">
        <v>24</v>
      </c>
      <c r="H246" s="275">
        <v>2.16</v>
      </c>
      <c r="I246" s="275">
        <v>2.34</v>
      </c>
      <c r="J246" s="32">
        <v>126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36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6"/>
      <c r="R246" s="286"/>
      <c r="S246" s="286"/>
      <c r="T246" s="287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IFERROR(IF(X246="","",X246*0.00936),"")</f>
        <v>0</v>
      </c>
      <c r="AA246" s="56"/>
      <c r="AB246" s="57"/>
      <c r="AC246" s="234" t="s">
        <v>329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91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3"/>
      <c r="P247" s="282" t="s">
        <v>87</v>
      </c>
      <c r="Q247" s="283"/>
      <c r="R247" s="283"/>
      <c r="S247" s="283"/>
      <c r="T247" s="283"/>
      <c r="U247" s="283"/>
      <c r="V247" s="284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3"/>
      <c r="P248" s="282" t="s">
        <v>87</v>
      </c>
      <c r="Q248" s="283"/>
      <c r="R248" s="283"/>
      <c r="S248" s="283"/>
      <c r="T248" s="283"/>
      <c r="U248" s="283"/>
      <c r="V248" s="284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27.75" hidden="1" customHeight="1" x14ac:dyDescent="0.2">
      <c r="A249" s="343" t="s">
        <v>330</v>
      </c>
      <c r="B249" s="344"/>
      <c r="C249" s="344"/>
      <c r="D249" s="344"/>
      <c r="E249" s="344"/>
      <c r="F249" s="344"/>
      <c r="G249" s="344"/>
      <c r="H249" s="344"/>
      <c r="I249" s="344"/>
      <c r="J249" s="344"/>
      <c r="K249" s="344"/>
      <c r="L249" s="344"/>
      <c r="M249" s="344"/>
      <c r="N249" s="344"/>
      <c r="O249" s="344"/>
      <c r="P249" s="344"/>
      <c r="Q249" s="344"/>
      <c r="R249" s="344"/>
      <c r="S249" s="344"/>
      <c r="T249" s="344"/>
      <c r="U249" s="344"/>
      <c r="V249" s="344"/>
      <c r="W249" s="344"/>
      <c r="X249" s="344"/>
      <c r="Y249" s="344"/>
      <c r="Z249" s="344"/>
      <c r="AA249" s="48"/>
      <c r="AB249" s="48"/>
      <c r="AC249" s="48"/>
    </row>
    <row r="250" spans="1:68" ht="16.5" hidden="1" customHeight="1" x14ac:dyDescent="0.25">
      <c r="A250" s="294" t="s">
        <v>330</v>
      </c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  <c r="V250" s="292"/>
      <c r="W250" s="292"/>
      <c r="X250" s="292"/>
      <c r="Y250" s="292"/>
      <c r="Z250" s="292"/>
      <c r="AA250" s="271"/>
      <c r="AB250" s="271"/>
      <c r="AC250" s="271"/>
    </row>
    <row r="251" spans="1:68" ht="14.25" hidden="1" customHeight="1" x14ac:dyDescent="0.25">
      <c r="A251" s="308" t="s">
        <v>62</v>
      </c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  <c r="X251" s="292"/>
      <c r="Y251" s="292"/>
      <c r="Z251" s="292"/>
      <c r="AA251" s="272"/>
      <c r="AB251" s="272"/>
      <c r="AC251" s="272"/>
    </row>
    <row r="252" spans="1:68" ht="27" hidden="1" customHeight="1" x14ac:dyDescent="0.25">
      <c r="A252" s="54" t="s">
        <v>331</v>
      </c>
      <c r="B252" s="54" t="s">
        <v>332</v>
      </c>
      <c r="C252" s="31">
        <v>4301071014</v>
      </c>
      <c r="D252" s="288">
        <v>4640242181264</v>
      </c>
      <c r="E252" s="289"/>
      <c r="F252" s="275">
        <v>0.7</v>
      </c>
      <c r="G252" s="32">
        <v>10</v>
      </c>
      <c r="H252" s="275">
        <v>7</v>
      </c>
      <c r="I252" s="275">
        <v>7.28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180</v>
      </c>
      <c r="P252" s="30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6"/>
      <c r="R252" s="286"/>
      <c r="S252" s="286"/>
      <c r="T252" s="287"/>
      <c r="U252" s="34"/>
      <c r="V252" s="34"/>
      <c r="W252" s="35" t="s">
        <v>68</v>
      </c>
      <c r="X252" s="276">
        <v>0</v>
      </c>
      <c r="Y252" s="277">
        <f>IFERROR(IF(X252="","",X252),"")</f>
        <v>0</v>
      </c>
      <c r="Z252" s="36">
        <f>IFERROR(IF(X252="","",X252*0.0155),"")</f>
        <v>0</v>
      </c>
      <c r="AA252" s="56"/>
      <c r="AB252" s="57"/>
      <c r="AC252" s="236" t="s">
        <v>333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334</v>
      </c>
      <c r="B253" s="54" t="s">
        <v>335</v>
      </c>
      <c r="C253" s="31">
        <v>4301071141</v>
      </c>
      <c r="D253" s="288">
        <v>4620207491980</v>
      </c>
      <c r="E253" s="289"/>
      <c r="F253" s="275">
        <v>0.7</v>
      </c>
      <c r="G253" s="32">
        <v>10</v>
      </c>
      <c r="H253" s="275">
        <v>7</v>
      </c>
      <c r="I253" s="275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286"/>
      <c r="R253" s="286"/>
      <c r="S253" s="286"/>
      <c r="T253" s="287"/>
      <c r="U253" s="34"/>
      <c r="V253" s="34"/>
      <c r="W253" s="35" t="s">
        <v>68</v>
      </c>
      <c r="X253" s="276">
        <v>0</v>
      </c>
      <c r="Y253" s="277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91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3"/>
      <c r="P254" s="282" t="s">
        <v>87</v>
      </c>
      <c r="Q254" s="283"/>
      <c r="R254" s="283"/>
      <c r="S254" s="283"/>
      <c r="T254" s="283"/>
      <c r="U254" s="283"/>
      <c r="V254" s="284"/>
      <c r="W254" s="37" t="s">
        <v>68</v>
      </c>
      <c r="X254" s="278">
        <f>IFERROR(SUM(X252:X253),"0")</f>
        <v>0</v>
      </c>
      <c r="Y254" s="278">
        <f>IFERROR(SUM(Y252:Y253),"0")</f>
        <v>0</v>
      </c>
      <c r="Z254" s="278">
        <f>IFERROR(IF(Z252="",0,Z252),"0")+IFERROR(IF(Z253="",0,Z253),"0")</f>
        <v>0</v>
      </c>
      <c r="AA254" s="279"/>
      <c r="AB254" s="279"/>
      <c r="AC254" s="279"/>
    </row>
    <row r="255" spans="1:68" hidden="1" x14ac:dyDescent="0.2">
      <c r="A255" s="292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3"/>
      <c r="P255" s="282" t="s">
        <v>87</v>
      </c>
      <c r="Q255" s="283"/>
      <c r="R255" s="283"/>
      <c r="S255" s="283"/>
      <c r="T255" s="283"/>
      <c r="U255" s="283"/>
      <c r="V255" s="284"/>
      <c r="W255" s="37" t="s">
        <v>88</v>
      </c>
      <c r="X255" s="278">
        <f>IFERROR(SUMPRODUCT(X252:X253*H252:H253),"0")</f>
        <v>0</v>
      </c>
      <c r="Y255" s="278">
        <f>IFERROR(SUMPRODUCT(Y252:Y253*H252:H253),"0")</f>
        <v>0</v>
      </c>
      <c r="Z255" s="37"/>
      <c r="AA255" s="279"/>
      <c r="AB255" s="279"/>
      <c r="AC255" s="279"/>
    </row>
    <row r="256" spans="1:68" ht="14.25" hidden="1" customHeight="1" x14ac:dyDescent="0.25">
      <c r="A256" s="308" t="s">
        <v>97</v>
      </c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  <c r="V256" s="292"/>
      <c r="W256" s="292"/>
      <c r="X256" s="292"/>
      <c r="Y256" s="292"/>
      <c r="Z256" s="292"/>
      <c r="AA256" s="272"/>
      <c r="AB256" s="272"/>
      <c r="AC256" s="272"/>
    </row>
    <row r="257" spans="1:68" ht="27" customHeight="1" x14ac:dyDescent="0.25">
      <c r="A257" s="54" t="s">
        <v>337</v>
      </c>
      <c r="B257" s="54" t="s">
        <v>338</v>
      </c>
      <c r="C257" s="31">
        <v>4301132080</v>
      </c>
      <c r="D257" s="288">
        <v>4640242180397</v>
      </c>
      <c r="E257" s="289"/>
      <c r="F257" s="275">
        <v>1</v>
      </c>
      <c r="G257" s="32">
        <v>6</v>
      </c>
      <c r="H257" s="275">
        <v>6</v>
      </c>
      <c r="I257" s="275">
        <v>6.26</v>
      </c>
      <c r="J257" s="32">
        <v>84</v>
      </c>
      <c r="K257" s="32" t="s">
        <v>65</v>
      </c>
      <c r="L257" s="32" t="s">
        <v>101</v>
      </c>
      <c r="M257" s="33" t="s">
        <v>67</v>
      </c>
      <c r="N257" s="33"/>
      <c r="O257" s="32">
        <v>180</v>
      </c>
      <c r="P257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6"/>
      <c r="R257" s="286"/>
      <c r="S257" s="286"/>
      <c r="T257" s="287"/>
      <c r="U257" s="34"/>
      <c r="V257" s="34"/>
      <c r="W257" s="35" t="s">
        <v>68</v>
      </c>
      <c r="X257" s="276">
        <v>72</v>
      </c>
      <c r="Y257" s="277">
        <f>IFERROR(IF(X257="","",X257),"")</f>
        <v>72</v>
      </c>
      <c r="Z257" s="36">
        <f>IFERROR(IF(X257="","",X257*0.0155),"")</f>
        <v>1.1160000000000001</v>
      </c>
      <c r="AA257" s="56"/>
      <c r="AB257" s="57"/>
      <c r="AC257" s="240" t="s">
        <v>339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450.71999999999997</v>
      </c>
      <c r="BN257" s="67">
        <f>IFERROR(Y257*I257,"0")</f>
        <v>450.71999999999997</v>
      </c>
      <c r="BO257" s="67">
        <f>IFERROR(X257/J257,"0")</f>
        <v>0.8571428571428571</v>
      </c>
      <c r="BP257" s="67">
        <f>IFERROR(Y257/J257,"0")</f>
        <v>0.8571428571428571</v>
      </c>
    </row>
    <row r="258" spans="1:68" x14ac:dyDescent="0.2">
      <c r="A258" s="291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3"/>
      <c r="P258" s="282" t="s">
        <v>87</v>
      </c>
      <c r="Q258" s="283"/>
      <c r="R258" s="283"/>
      <c r="S258" s="283"/>
      <c r="T258" s="283"/>
      <c r="U258" s="283"/>
      <c r="V258" s="284"/>
      <c r="W258" s="37" t="s">
        <v>68</v>
      </c>
      <c r="X258" s="278">
        <f>IFERROR(SUM(X257:X257),"0")</f>
        <v>72</v>
      </c>
      <c r="Y258" s="278">
        <f>IFERROR(SUM(Y257:Y257),"0")</f>
        <v>72</v>
      </c>
      <c r="Z258" s="278">
        <f>IFERROR(IF(Z257="",0,Z257),"0")</f>
        <v>1.1160000000000001</v>
      </c>
      <c r="AA258" s="279"/>
      <c r="AB258" s="279"/>
      <c r="AC258" s="279"/>
    </row>
    <row r="259" spans="1:68" x14ac:dyDescent="0.2">
      <c r="A259" s="292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3"/>
      <c r="P259" s="282" t="s">
        <v>87</v>
      </c>
      <c r="Q259" s="283"/>
      <c r="R259" s="283"/>
      <c r="S259" s="283"/>
      <c r="T259" s="283"/>
      <c r="U259" s="283"/>
      <c r="V259" s="284"/>
      <c r="W259" s="37" t="s">
        <v>88</v>
      </c>
      <c r="X259" s="278">
        <f>IFERROR(SUMPRODUCT(X257:X257*H257:H257),"0")</f>
        <v>432</v>
      </c>
      <c r="Y259" s="278">
        <f>IFERROR(SUMPRODUCT(Y257:Y257*H257:H257),"0")</f>
        <v>432</v>
      </c>
      <c r="Z259" s="37"/>
      <c r="AA259" s="279"/>
      <c r="AB259" s="279"/>
      <c r="AC259" s="279"/>
    </row>
    <row r="260" spans="1:68" ht="14.25" hidden="1" customHeight="1" x14ac:dyDescent="0.25">
      <c r="A260" s="308" t="s">
        <v>129</v>
      </c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  <c r="V260" s="292"/>
      <c r="W260" s="292"/>
      <c r="X260" s="292"/>
      <c r="Y260" s="292"/>
      <c r="Z260" s="292"/>
      <c r="AA260" s="272"/>
      <c r="AB260" s="272"/>
      <c r="AC260" s="272"/>
    </row>
    <row r="261" spans="1:68" ht="27" hidden="1" customHeight="1" x14ac:dyDescent="0.25">
      <c r="A261" s="54" t="s">
        <v>340</v>
      </c>
      <c r="B261" s="54" t="s">
        <v>341</v>
      </c>
      <c r="C261" s="31">
        <v>4301136051</v>
      </c>
      <c r="D261" s="288">
        <v>4640242180304</v>
      </c>
      <c r="E261" s="289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100</v>
      </c>
      <c r="L261" s="32" t="s">
        <v>101</v>
      </c>
      <c r="M261" s="33" t="s">
        <v>67</v>
      </c>
      <c r="N261" s="33"/>
      <c r="O261" s="32">
        <v>180</v>
      </c>
      <c r="P261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6"/>
      <c r="R261" s="286"/>
      <c r="S261" s="286"/>
      <c r="T261" s="287"/>
      <c r="U261" s="34"/>
      <c r="V261" s="34"/>
      <c r="W261" s="35" t="s">
        <v>68</v>
      </c>
      <c r="X261" s="276">
        <v>0</v>
      </c>
      <c r="Y261" s="277">
        <f>IFERROR(IF(X261="","",X261),"")</f>
        <v>0</v>
      </c>
      <c r="Z261" s="36">
        <f>IFERROR(IF(X261="","",X261*0.00936),"")</f>
        <v>0</v>
      </c>
      <c r="AA261" s="56"/>
      <c r="AB261" s="57"/>
      <c r="AC261" s="242" t="s">
        <v>342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343</v>
      </c>
      <c r="B262" s="54" t="s">
        <v>344</v>
      </c>
      <c r="C262" s="31">
        <v>4301136053</v>
      </c>
      <c r="D262" s="288">
        <v>4640242180236</v>
      </c>
      <c r="E262" s="289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101</v>
      </c>
      <c r="M262" s="33" t="s">
        <v>67</v>
      </c>
      <c r="N262" s="33"/>
      <c r="O262" s="32">
        <v>180</v>
      </c>
      <c r="P262" s="45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6"/>
      <c r="R262" s="286"/>
      <c r="S262" s="286"/>
      <c r="T262" s="287"/>
      <c r="U262" s="34"/>
      <c r="V262" s="34"/>
      <c r="W262" s="35" t="s">
        <v>68</v>
      </c>
      <c r="X262" s="276">
        <v>60</v>
      </c>
      <c r="Y262" s="277">
        <f>IFERROR(IF(X262="","",X262),"")</f>
        <v>60</v>
      </c>
      <c r="Z262" s="36">
        <f>IFERROR(IF(X262="","",X262*0.0155),"")</f>
        <v>0.92999999999999994</v>
      </c>
      <c r="AA262" s="56"/>
      <c r="AB262" s="57"/>
      <c r="AC262" s="244" t="s">
        <v>342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314.10000000000002</v>
      </c>
      <c r="BN262" s="67">
        <f>IFERROR(Y262*I262,"0")</f>
        <v>314.10000000000002</v>
      </c>
      <c r="BO262" s="67">
        <f>IFERROR(X262/J262,"0")</f>
        <v>0.7142857142857143</v>
      </c>
      <c r="BP262" s="67">
        <f>IFERROR(Y262/J262,"0")</f>
        <v>0.7142857142857143</v>
      </c>
    </row>
    <row r="263" spans="1:68" ht="27" hidden="1" customHeight="1" x14ac:dyDescent="0.25">
      <c r="A263" s="54" t="s">
        <v>345</v>
      </c>
      <c r="B263" s="54" t="s">
        <v>346</v>
      </c>
      <c r="C263" s="31">
        <v>4301136052</v>
      </c>
      <c r="D263" s="288">
        <v>4640242180410</v>
      </c>
      <c r="E263" s="289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100</v>
      </c>
      <c r="L263" s="32" t="s">
        <v>66</v>
      </c>
      <c r="M263" s="33" t="s">
        <v>67</v>
      </c>
      <c r="N263" s="33"/>
      <c r="O263" s="32">
        <v>180</v>
      </c>
      <c r="P263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6"/>
      <c r="R263" s="286"/>
      <c r="S263" s="286"/>
      <c r="T263" s="287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342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91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3"/>
      <c r="P264" s="282" t="s">
        <v>87</v>
      </c>
      <c r="Q264" s="283"/>
      <c r="R264" s="283"/>
      <c r="S264" s="283"/>
      <c r="T264" s="283"/>
      <c r="U264" s="283"/>
      <c r="V264" s="284"/>
      <c r="W264" s="37" t="s">
        <v>68</v>
      </c>
      <c r="X264" s="278">
        <f>IFERROR(SUM(X261:X263),"0")</f>
        <v>60</v>
      </c>
      <c r="Y264" s="278">
        <f>IFERROR(SUM(Y261:Y263),"0")</f>
        <v>60</v>
      </c>
      <c r="Z264" s="278">
        <f>IFERROR(IF(Z261="",0,Z261),"0")+IFERROR(IF(Z262="",0,Z262),"0")+IFERROR(IF(Z263="",0,Z263),"0")</f>
        <v>0.92999999999999994</v>
      </c>
      <c r="AA264" s="279"/>
      <c r="AB264" s="279"/>
      <c r="AC264" s="279"/>
    </row>
    <row r="265" spans="1:68" x14ac:dyDescent="0.2">
      <c r="A265" s="292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3"/>
      <c r="P265" s="282" t="s">
        <v>87</v>
      </c>
      <c r="Q265" s="283"/>
      <c r="R265" s="283"/>
      <c r="S265" s="283"/>
      <c r="T265" s="283"/>
      <c r="U265" s="283"/>
      <c r="V265" s="284"/>
      <c r="W265" s="37" t="s">
        <v>88</v>
      </c>
      <c r="X265" s="278">
        <f>IFERROR(SUMPRODUCT(X261:X263*H261:H263),"0")</f>
        <v>300</v>
      </c>
      <c r="Y265" s="278">
        <f>IFERROR(SUMPRODUCT(Y261:Y263*H261:H263),"0")</f>
        <v>300</v>
      </c>
      <c r="Z265" s="37"/>
      <c r="AA265" s="279"/>
      <c r="AB265" s="279"/>
      <c r="AC265" s="279"/>
    </row>
    <row r="266" spans="1:68" ht="14.25" hidden="1" customHeight="1" x14ac:dyDescent="0.25">
      <c r="A266" s="308" t="s">
        <v>133</v>
      </c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  <c r="V266" s="292"/>
      <c r="W266" s="292"/>
      <c r="X266" s="292"/>
      <c r="Y266" s="292"/>
      <c r="Z266" s="292"/>
      <c r="AA266" s="272"/>
      <c r="AB266" s="272"/>
      <c r="AC266" s="272"/>
    </row>
    <row r="267" spans="1:68" ht="37.5" hidden="1" customHeight="1" x14ac:dyDescent="0.25">
      <c r="A267" s="54" t="s">
        <v>347</v>
      </c>
      <c r="B267" s="54" t="s">
        <v>348</v>
      </c>
      <c r="C267" s="31">
        <v>4301135504</v>
      </c>
      <c r="D267" s="288">
        <v>4640242181554</v>
      </c>
      <c r="E267" s="289"/>
      <c r="F267" s="275">
        <v>3</v>
      </c>
      <c r="G267" s="32">
        <v>1</v>
      </c>
      <c r="H267" s="275">
        <v>3</v>
      </c>
      <c r="I267" s="275">
        <v>3.1920000000000002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38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6"/>
      <c r="R267" s="286"/>
      <c r="S267" s="286"/>
      <c r="T267" s="287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IFERROR(IF(X267="","",X267*0.00936),"")</f>
        <v>0</v>
      </c>
      <c r="AA267" s="56"/>
      <c r="AB267" s="57"/>
      <c r="AC267" s="248" t="s">
        <v>349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customHeight="1" x14ac:dyDescent="0.25">
      <c r="A268" s="54" t="s">
        <v>350</v>
      </c>
      <c r="B268" s="54" t="s">
        <v>351</v>
      </c>
      <c r="C268" s="31">
        <v>4301137046</v>
      </c>
      <c r="D268" s="288">
        <v>4620207492093</v>
      </c>
      <c r="E268" s="289"/>
      <c r="F268" s="275">
        <v>3.7</v>
      </c>
      <c r="G268" s="32">
        <v>1</v>
      </c>
      <c r="H268" s="275">
        <v>3.7</v>
      </c>
      <c r="I268" s="275">
        <v>3.8919999999999999</v>
      </c>
      <c r="J268" s="32">
        <v>126</v>
      </c>
      <c r="K268" s="32" t="s">
        <v>100</v>
      </c>
      <c r="L268" s="32" t="s">
        <v>66</v>
      </c>
      <c r="M268" s="33" t="s">
        <v>67</v>
      </c>
      <c r="N268" s="33"/>
      <c r="O268" s="32">
        <v>180</v>
      </c>
      <c r="P268" s="338" t="s">
        <v>352</v>
      </c>
      <c r="Q268" s="286"/>
      <c r="R268" s="286"/>
      <c r="S268" s="286"/>
      <c r="T268" s="287"/>
      <c r="U268" s="34"/>
      <c r="V268" s="34"/>
      <c r="W268" s="35" t="s">
        <v>68</v>
      </c>
      <c r="X268" s="276">
        <v>56</v>
      </c>
      <c r="Y268" s="277">
        <f t="shared" si="18"/>
        <v>56</v>
      </c>
      <c r="Z268" s="36">
        <f>IFERROR(IF(X268="","",X268*0.00936),"")</f>
        <v>0.52415999999999996</v>
      </c>
      <c r="AA268" s="56"/>
      <c r="AB268" s="57"/>
      <c r="AC268" s="250" t="s">
        <v>353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217.952</v>
      </c>
      <c r="BN268" s="67">
        <f t="shared" si="20"/>
        <v>217.952</v>
      </c>
      <c r="BO268" s="67">
        <f t="shared" si="21"/>
        <v>0.44444444444444442</v>
      </c>
      <c r="BP268" s="67">
        <f t="shared" si="22"/>
        <v>0.44444444444444442</v>
      </c>
    </row>
    <row r="269" spans="1:68" ht="27" customHeight="1" x14ac:dyDescent="0.25">
      <c r="A269" s="54" t="s">
        <v>354</v>
      </c>
      <c r="B269" s="54" t="s">
        <v>355</v>
      </c>
      <c r="C269" s="31">
        <v>4301135374</v>
      </c>
      <c r="D269" s="288">
        <v>4640242181424</v>
      </c>
      <c r="E269" s="289"/>
      <c r="F269" s="275">
        <v>5.5</v>
      </c>
      <c r="G269" s="32">
        <v>1</v>
      </c>
      <c r="H269" s="275">
        <v>5.5</v>
      </c>
      <c r="I269" s="275">
        <v>5.7350000000000003</v>
      </c>
      <c r="J269" s="32">
        <v>84</v>
      </c>
      <c r="K269" s="32" t="s">
        <v>65</v>
      </c>
      <c r="L269" s="32" t="s">
        <v>101</v>
      </c>
      <c r="M269" s="33" t="s">
        <v>67</v>
      </c>
      <c r="N269" s="33"/>
      <c r="O269" s="32">
        <v>180</v>
      </c>
      <c r="P269" s="4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6"/>
      <c r="R269" s="286"/>
      <c r="S269" s="286"/>
      <c r="T269" s="287"/>
      <c r="U269" s="34"/>
      <c r="V269" s="34"/>
      <c r="W269" s="35" t="s">
        <v>68</v>
      </c>
      <c r="X269" s="276">
        <v>12</v>
      </c>
      <c r="Y269" s="277">
        <f t="shared" si="18"/>
        <v>12</v>
      </c>
      <c r="Z269" s="36">
        <f>IFERROR(IF(X269="","",X269*0.0155),"")</f>
        <v>0.186</v>
      </c>
      <c r="AA269" s="56"/>
      <c r="AB269" s="57"/>
      <c r="AC269" s="252" t="s">
        <v>349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68.820000000000007</v>
      </c>
      <c r="BN269" s="67">
        <f t="shared" si="20"/>
        <v>68.820000000000007</v>
      </c>
      <c r="BO269" s="67">
        <f t="shared" si="21"/>
        <v>0.14285714285714285</v>
      </c>
      <c r="BP269" s="67">
        <f t="shared" si="22"/>
        <v>0.14285714285714285</v>
      </c>
    </row>
    <row r="270" spans="1:68" ht="27" customHeight="1" x14ac:dyDescent="0.25">
      <c r="A270" s="54" t="s">
        <v>356</v>
      </c>
      <c r="B270" s="54" t="s">
        <v>357</v>
      </c>
      <c r="C270" s="31">
        <v>4301135405</v>
      </c>
      <c r="D270" s="288">
        <v>4640242181523</v>
      </c>
      <c r="E270" s="289"/>
      <c r="F270" s="275">
        <v>3</v>
      </c>
      <c r="G270" s="32">
        <v>1</v>
      </c>
      <c r="H270" s="275">
        <v>3</v>
      </c>
      <c r="I270" s="275">
        <v>3.1920000000000002</v>
      </c>
      <c r="J270" s="32">
        <v>126</v>
      </c>
      <c r="K270" s="32" t="s">
        <v>100</v>
      </c>
      <c r="L270" s="32" t="s">
        <v>101</v>
      </c>
      <c r="M270" s="33" t="s">
        <v>67</v>
      </c>
      <c r="N270" s="33"/>
      <c r="O270" s="32">
        <v>180</v>
      </c>
      <c r="P270" s="43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6"/>
      <c r="R270" s="286"/>
      <c r="S270" s="286"/>
      <c r="T270" s="287"/>
      <c r="U270" s="34"/>
      <c r="V270" s="34"/>
      <c r="W270" s="35" t="s">
        <v>68</v>
      </c>
      <c r="X270" s="276">
        <v>14</v>
      </c>
      <c r="Y270" s="277">
        <f t="shared" si="18"/>
        <v>14</v>
      </c>
      <c r="Z270" s="36">
        <f t="shared" ref="Z270:Z276" si="23">IFERROR(IF(X270="","",X270*0.00936),"")</f>
        <v>0.13103999999999999</v>
      </c>
      <c r="AA270" s="56"/>
      <c r="AB270" s="57"/>
      <c r="AC270" s="254" t="s">
        <v>358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44.688000000000002</v>
      </c>
      <c r="BN270" s="67">
        <f t="shared" si="20"/>
        <v>44.688000000000002</v>
      </c>
      <c r="BO270" s="67">
        <f t="shared" si="21"/>
        <v>0.1111111111111111</v>
      </c>
      <c r="BP270" s="67">
        <f t="shared" si="22"/>
        <v>0.1111111111111111</v>
      </c>
    </row>
    <row r="271" spans="1:68" ht="27" customHeight="1" x14ac:dyDescent="0.25">
      <c r="A271" s="54" t="s">
        <v>359</v>
      </c>
      <c r="B271" s="54" t="s">
        <v>360</v>
      </c>
      <c r="C271" s="31">
        <v>4301135375</v>
      </c>
      <c r="D271" s="288">
        <v>4640242181486</v>
      </c>
      <c r="E271" s="289"/>
      <c r="F271" s="275">
        <v>3.7</v>
      </c>
      <c r="G271" s="32">
        <v>1</v>
      </c>
      <c r="H271" s="275">
        <v>3.7</v>
      </c>
      <c r="I271" s="275">
        <v>3.8919999999999999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6"/>
      <c r="R271" s="286"/>
      <c r="S271" s="286"/>
      <c r="T271" s="287"/>
      <c r="U271" s="34"/>
      <c r="V271" s="34"/>
      <c r="W271" s="35" t="s">
        <v>68</v>
      </c>
      <c r="X271" s="276">
        <v>42</v>
      </c>
      <c r="Y271" s="277">
        <f t="shared" si="18"/>
        <v>42</v>
      </c>
      <c r="Z271" s="36">
        <f t="shared" si="23"/>
        <v>0.39312000000000002</v>
      </c>
      <c r="AA271" s="56"/>
      <c r="AB271" s="57"/>
      <c r="AC271" s="256" t="s">
        <v>349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163.464</v>
      </c>
      <c r="BN271" s="67">
        <f t="shared" si="20"/>
        <v>163.464</v>
      </c>
      <c r="BO271" s="67">
        <f t="shared" si="21"/>
        <v>0.33333333333333331</v>
      </c>
      <c r="BP271" s="67">
        <f t="shared" si="22"/>
        <v>0.33333333333333331</v>
      </c>
    </row>
    <row r="272" spans="1:68" ht="37.5" hidden="1" customHeight="1" x14ac:dyDescent="0.25">
      <c r="A272" s="54" t="s">
        <v>361</v>
      </c>
      <c r="B272" s="54" t="s">
        <v>362</v>
      </c>
      <c r="C272" s="31">
        <v>4301135402</v>
      </c>
      <c r="D272" s="288">
        <v>4640242181493</v>
      </c>
      <c r="E272" s="289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7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6"/>
      <c r="R272" s="286"/>
      <c r="S272" s="286"/>
      <c r="T272" s="287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349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363</v>
      </c>
      <c r="B273" s="54" t="s">
        <v>364</v>
      </c>
      <c r="C273" s="31">
        <v>4301135403</v>
      </c>
      <c r="D273" s="288">
        <v>4640242181509</v>
      </c>
      <c r="E273" s="289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6"/>
      <c r="R273" s="286"/>
      <c r="S273" s="286"/>
      <c r="T273" s="287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349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365</v>
      </c>
      <c r="B274" s="54" t="s">
        <v>366</v>
      </c>
      <c r="C274" s="31">
        <v>4301135304</v>
      </c>
      <c r="D274" s="288">
        <v>4640242181240</v>
      </c>
      <c r="E274" s="289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100</v>
      </c>
      <c r="L274" s="32" t="s">
        <v>101</v>
      </c>
      <c r="M274" s="33" t="s">
        <v>67</v>
      </c>
      <c r="N274" s="33"/>
      <c r="O274" s="32">
        <v>180</v>
      </c>
      <c r="P274" s="40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6"/>
      <c r="R274" s="286"/>
      <c r="S274" s="286"/>
      <c r="T274" s="287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349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367</v>
      </c>
      <c r="B275" s="54" t="s">
        <v>368</v>
      </c>
      <c r="C275" s="31">
        <v>4301135610</v>
      </c>
      <c r="D275" s="288">
        <v>4640242181318</v>
      </c>
      <c r="E275" s="289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6"/>
      <c r="R275" s="286"/>
      <c r="S275" s="286"/>
      <c r="T275" s="287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358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369</v>
      </c>
      <c r="B276" s="54" t="s">
        <v>370</v>
      </c>
      <c r="C276" s="31">
        <v>4301137012</v>
      </c>
      <c r="D276" s="288">
        <v>4620207491935</v>
      </c>
      <c r="E276" s="289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6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6"/>
      <c r="R276" s="286"/>
      <c r="S276" s="286"/>
      <c r="T276" s="287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371</v>
      </c>
      <c r="AG276" s="67"/>
      <c r="AJ276" s="71" t="s">
        <v>70</v>
      </c>
      <c r="AK276" s="71">
        <v>1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91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3"/>
      <c r="P277" s="282" t="s">
        <v>87</v>
      </c>
      <c r="Q277" s="283"/>
      <c r="R277" s="283"/>
      <c r="S277" s="283"/>
      <c r="T277" s="283"/>
      <c r="U277" s="283"/>
      <c r="V277" s="284"/>
      <c r="W277" s="37" t="s">
        <v>68</v>
      </c>
      <c r="X277" s="278">
        <f>IFERROR(SUM(X267:X276),"0")</f>
        <v>124</v>
      </c>
      <c r="Y277" s="278">
        <f>IFERROR(SUM(Y267:Y276),"0")</f>
        <v>124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1.2343199999999999</v>
      </c>
      <c r="AA277" s="279"/>
      <c r="AB277" s="279"/>
      <c r="AC277" s="279"/>
    </row>
    <row r="278" spans="1:68" x14ac:dyDescent="0.2">
      <c r="A278" s="292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3"/>
      <c r="P278" s="282" t="s">
        <v>87</v>
      </c>
      <c r="Q278" s="283"/>
      <c r="R278" s="283"/>
      <c r="S278" s="283"/>
      <c r="T278" s="283"/>
      <c r="U278" s="283"/>
      <c r="V278" s="284"/>
      <c r="W278" s="37" t="s">
        <v>88</v>
      </c>
      <c r="X278" s="278">
        <f>IFERROR(SUMPRODUCT(X267:X276*H267:H276),"0")</f>
        <v>470.6</v>
      </c>
      <c r="Y278" s="278">
        <f>IFERROR(SUMPRODUCT(Y267:Y276*H267:H276),"0")</f>
        <v>470.6</v>
      </c>
      <c r="Z278" s="37"/>
      <c r="AA278" s="279"/>
      <c r="AB278" s="279"/>
      <c r="AC278" s="279"/>
    </row>
    <row r="279" spans="1:68" ht="15" customHeight="1" x14ac:dyDescent="0.2">
      <c r="A279" s="382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375"/>
      <c r="P279" s="324" t="s">
        <v>372</v>
      </c>
      <c r="Q279" s="325"/>
      <c r="R279" s="325"/>
      <c r="S279" s="325"/>
      <c r="T279" s="325"/>
      <c r="U279" s="325"/>
      <c r="V279" s="326"/>
      <c r="W279" s="37" t="s">
        <v>88</v>
      </c>
      <c r="X279" s="278">
        <f>IFERROR(X31+X37+X44+X50+X58+X63+X67+X73+X79+X84+X90+X100+X106+X117+X121+X125+X133+X139+X145+X152+X158+X163+X168+X173+X180+X185+X194+X200+X206+X212+X217+X222+X228+X234+X238+X244+X248+X255+X259+X265+X278,"0")</f>
        <v>12383.240000000002</v>
      </c>
      <c r="Y279" s="278">
        <f>IFERROR(Y31+Y37+Y44+Y50+Y58+Y63+Y67+Y73+Y79+Y84+Y90+Y100+Y106+Y117+Y121+Y125+Y133+Y139+Y145+Y152+Y158+Y163+Y168+Y173+Y180+Y185+Y194+Y200+Y206+Y212+Y217+Y222+Y228+Y234+Y238+Y244+Y248+Y255+Y259+Y265+Y278,"0")</f>
        <v>12383.240000000002</v>
      </c>
      <c r="Z279" s="37"/>
      <c r="AA279" s="279"/>
      <c r="AB279" s="279"/>
      <c r="AC279" s="279"/>
    </row>
    <row r="280" spans="1:68" x14ac:dyDescent="0.2">
      <c r="A280" s="292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375"/>
      <c r="P280" s="324" t="s">
        <v>373</v>
      </c>
      <c r="Q280" s="325"/>
      <c r="R280" s="325"/>
      <c r="S280" s="325"/>
      <c r="T280" s="325"/>
      <c r="U280" s="325"/>
      <c r="V280" s="326"/>
      <c r="W280" s="37" t="s">
        <v>88</v>
      </c>
      <c r="X280" s="278">
        <f>IFERROR(SUM(BM22:BM276),"0")</f>
        <v>13969.7012</v>
      </c>
      <c r="Y280" s="278">
        <f>IFERROR(SUM(BN22:BN276),"0")</f>
        <v>13969.7012</v>
      </c>
      <c r="Z280" s="37"/>
      <c r="AA280" s="279"/>
      <c r="AB280" s="279"/>
      <c r="AC280" s="279"/>
    </row>
    <row r="281" spans="1:68" x14ac:dyDescent="0.2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375"/>
      <c r="P281" s="324" t="s">
        <v>374</v>
      </c>
      <c r="Q281" s="325"/>
      <c r="R281" s="325"/>
      <c r="S281" s="325"/>
      <c r="T281" s="325"/>
      <c r="U281" s="325"/>
      <c r="V281" s="326"/>
      <c r="W281" s="37" t="s">
        <v>375</v>
      </c>
      <c r="X281" s="38">
        <f>ROUNDUP(SUM(BO22:BO276),0)</f>
        <v>41</v>
      </c>
      <c r="Y281" s="38">
        <f>ROUNDUP(SUM(BP22:BP276),0)</f>
        <v>41</v>
      </c>
      <c r="Z281" s="37"/>
      <c r="AA281" s="279"/>
      <c r="AB281" s="279"/>
      <c r="AC281" s="279"/>
    </row>
    <row r="282" spans="1:68" x14ac:dyDescent="0.2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375"/>
      <c r="P282" s="324" t="s">
        <v>376</v>
      </c>
      <c r="Q282" s="325"/>
      <c r="R282" s="325"/>
      <c r="S282" s="325"/>
      <c r="T282" s="325"/>
      <c r="U282" s="325"/>
      <c r="V282" s="326"/>
      <c r="W282" s="37" t="s">
        <v>88</v>
      </c>
      <c r="X282" s="278">
        <f>GrossWeightTotal+PalletQtyTotal*25</f>
        <v>14994.7012</v>
      </c>
      <c r="Y282" s="278">
        <f>GrossWeightTotalR+PalletQtyTotalR*25</f>
        <v>14994.7012</v>
      </c>
      <c r="Z282" s="37"/>
      <c r="AA282" s="279"/>
      <c r="AB282" s="279"/>
      <c r="AC282" s="279"/>
    </row>
    <row r="283" spans="1:68" x14ac:dyDescent="0.2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375"/>
      <c r="P283" s="324" t="s">
        <v>377</v>
      </c>
      <c r="Q283" s="325"/>
      <c r="R283" s="325"/>
      <c r="S283" s="325"/>
      <c r="T283" s="325"/>
      <c r="U283" s="325"/>
      <c r="V283" s="326"/>
      <c r="W283" s="37" t="s">
        <v>375</v>
      </c>
      <c r="X283" s="278">
        <f>IFERROR(X30+X36+X43+X49+X57+X62+X66+X72+X78+X83+X89+X99+X105+X116+X120+X124+X132+X138+X144+X151+X157+X162+X167+X172+X179+X184+X193+X199+X205+X211+X216+X221+X227+X233+X237+X243+X247+X254+X258+X264+X277,"0")</f>
        <v>3538</v>
      </c>
      <c r="Y283" s="278">
        <f>IFERROR(Y30+Y36+Y43+Y49+Y57+Y62+Y66+Y72+Y78+Y83+Y89+Y99+Y105+Y116+Y120+Y124+Y132+Y138+Y144+Y151+Y157+Y162+Y167+Y172+Y179+Y184+Y193+Y199+Y205+Y211+Y216+Y221+Y227+Y233+Y237+Y243+Y247+Y254+Y258+Y264+Y277,"0")</f>
        <v>3538</v>
      </c>
      <c r="Z283" s="37"/>
      <c r="AA283" s="279"/>
      <c r="AB283" s="279"/>
      <c r="AC283" s="279"/>
    </row>
    <row r="284" spans="1:68" ht="14.25" hidden="1" customHeight="1" x14ac:dyDescent="0.2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375"/>
      <c r="P284" s="324" t="s">
        <v>378</v>
      </c>
      <c r="Q284" s="325"/>
      <c r="R284" s="325"/>
      <c r="S284" s="325"/>
      <c r="T284" s="325"/>
      <c r="U284" s="325"/>
      <c r="V284" s="326"/>
      <c r="W284" s="39" t="s">
        <v>379</v>
      </c>
      <c r="X284" s="37"/>
      <c r="Y284" s="37"/>
      <c r="Z284" s="37">
        <f>IFERROR(Z30+Z36+Z43+Z49+Z57+Z62+Z66+Z72+Z78+Z83+Z89+Z99+Z105+Z116+Z120+Z124+Z132+Z138+Z144+Z151+Z157+Z162+Z167+Z172+Z179+Z184+Z193+Z199+Z205+Z211+Z216+Z221+Z227+Z233+Z237+Z243+Z247+Z254+Z258+Z264+Z277,"0")</f>
        <v>51.506999999999991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380</v>
      </c>
      <c r="B286" s="295" t="s">
        <v>61</v>
      </c>
      <c r="C286" s="428"/>
      <c r="D286" s="295" t="s">
        <v>95</v>
      </c>
      <c r="E286" s="427"/>
      <c r="F286" s="427"/>
      <c r="G286" s="427"/>
      <c r="H286" s="427"/>
      <c r="I286" s="427"/>
      <c r="J286" s="427"/>
      <c r="K286" s="427"/>
      <c r="L286" s="427"/>
      <c r="M286" s="427"/>
      <c r="N286" s="427"/>
      <c r="O286" s="427"/>
      <c r="P286" s="427"/>
      <c r="Q286" s="427"/>
      <c r="R286" s="427"/>
      <c r="S286" s="427"/>
      <c r="T286" s="427"/>
      <c r="U286" s="428"/>
      <c r="V286" s="295" t="s">
        <v>256</v>
      </c>
      <c r="W286" s="428"/>
      <c r="X286" s="273" t="s">
        <v>267</v>
      </c>
      <c r="Y286" s="295" t="s">
        <v>281</v>
      </c>
      <c r="Z286" s="427"/>
      <c r="AA286" s="427"/>
      <c r="AB286" s="428"/>
      <c r="AC286" s="273" t="s">
        <v>310</v>
      </c>
      <c r="AD286" s="273" t="s">
        <v>315</v>
      </c>
      <c r="AE286" s="273" t="s">
        <v>323</v>
      </c>
      <c r="AF286" s="273" t="s">
        <v>330</v>
      </c>
    </row>
    <row r="287" spans="1:68" ht="14.25" customHeight="1" thickTop="1" x14ac:dyDescent="0.2">
      <c r="A287" s="306" t="s">
        <v>381</v>
      </c>
      <c r="B287" s="295" t="s">
        <v>61</v>
      </c>
      <c r="C287" s="295" t="s">
        <v>89</v>
      </c>
      <c r="D287" s="295" t="s">
        <v>96</v>
      </c>
      <c r="E287" s="295" t="s">
        <v>107</v>
      </c>
      <c r="F287" s="295" t="s">
        <v>114</v>
      </c>
      <c r="G287" s="295" t="s">
        <v>125</v>
      </c>
      <c r="H287" s="295" t="s">
        <v>141</v>
      </c>
      <c r="I287" s="295" t="s">
        <v>148</v>
      </c>
      <c r="J287" s="295" t="s">
        <v>152</v>
      </c>
      <c r="K287" s="295" t="s">
        <v>160</v>
      </c>
      <c r="L287" s="295" t="s">
        <v>175</v>
      </c>
      <c r="M287" s="295" t="s">
        <v>181</v>
      </c>
      <c r="N287" s="274"/>
      <c r="O287" s="295" t="s">
        <v>206</v>
      </c>
      <c r="P287" s="295" t="s">
        <v>224</v>
      </c>
      <c r="Q287" s="295" t="s">
        <v>230</v>
      </c>
      <c r="R287" s="295" t="s">
        <v>239</v>
      </c>
      <c r="S287" s="295" t="s">
        <v>245</v>
      </c>
      <c r="T287" s="295" t="s">
        <v>249</v>
      </c>
      <c r="U287" s="295" t="s">
        <v>252</v>
      </c>
      <c r="V287" s="295" t="s">
        <v>257</v>
      </c>
      <c r="W287" s="295" t="s">
        <v>264</v>
      </c>
      <c r="X287" s="295" t="s">
        <v>268</v>
      </c>
      <c r="Y287" s="295" t="s">
        <v>282</v>
      </c>
      <c r="Z287" s="295" t="s">
        <v>295</v>
      </c>
      <c r="AA287" s="295" t="s">
        <v>302</v>
      </c>
      <c r="AB287" s="295" t="s">
        <v>306</v>
      </c>
      <c r="AC287" s="295" t="s">
        <v>311</v>
      </c>
      <c r="AD287" s="295" t="s">
        <v>316</v>
      </c>
      <c r="AE287" s="295" t="s">
        <v>323</v>
      </c>
      <c r="AF287" s="295" t="s">
        <v>330</v>
      </c>
    </row>
    <row r="288" spans="1:68" ht="13.5" customHeight="1" thickBot="1" x14ac:dyDescent="0.25">
      <c r="A288" s="307"/>
      <c r="B288" s="296"/>
      <c r="C288" s="296"/>
      <c r="D288" s="296"/>
      <c r="E288" s="296"/>
      <c r="F288" s="296"/>
      <c r="G288" s="296"/>
      <c r="H288" s="296"/>
      <c r="I288" s="296"/>
      <c r="J288" s="296"/>
      <c r="K288" s="296"/>
      <c r="L288" s="296"/>
      <c r="M288" s="296"/>
      <c r="N288" s="274"/>
      <c r="O288" s="296"/>
      <c r="P288" s="296"/>
      <c r="Q288" s="296"/>
      <c r="R288" s="296"/>
      <c r="S288" s="296"/>
      <c r="T288" s="296"/>
      <c r="U288" s="296"/>
      <c r="V288" s="296"/>
      <c r="W288" s="296"/>
      <c r="X288" s="296"/>
      <c r="Y288" s="296"/>
      <c r="Z288" s="296"/>
      <c r="AA288" s="296"/>
      <c r="AB288" s="296"/>
      <c r="AC288" s="296"/>
      <c r="AD288" s="296"/>
      <c r="AE288" s="296"/>
      <c r="AF288" s="296"/>
    </row>
    <row r="289" spans="1:32" ht="18" customHeight="1" thickTop="1" thickBot="1" x14ac:dyDescent="0.25">
      <c r="A289" s="40" t="s">
        <v>382</v>
      </c>
      <c r="B289" s="46">
        <f>IFERROR(X22*H22,"0")+IFERROR(X23*H23,"0")+IFERROR(X24*H24,"0")+IFERROR(X25*H25,"0")+IFERROR(X26*H26,"0")+IFERROR(X27*H27,"0")+IFERROR(X28*H28,"0")+IFERROR(X29*H29,"0")</f>
        <v>393.6</v>
      </c>
      <c r="C289" s="46">
        <f>IFERROR(X34*H34,"0")+IFERROR(X35*H35,"0")</f>
        <v>0</v>
      </c>
      <c r="D289" s="46">
        <f>IFERROR(X41*H41,"0")+IFERROR(X42*H42,"0")</f>
        <v>420</v>
      </c>
      <c r="E289" s="46">
        <f>IFERROR(X47*H47,"0")+IFERROR(X48*H48,"0")</f>
        <v>470.4</v>
      </c>
      <c r="F289" s="46">
        <f>IFERROR(X53*H53,"0")+IFERROR(X54*H54,"0")+IFERROR(X55*H55,"0")+IFERROR(X56*H56,"0")</f>
        <v>979.2</v>
      </c>
      <c r="G289" s="46">
        <f>IFERROR(X61*H61,"0")+IFERROR(X65*H65,"0")+IFERROR(X69*H69,"0")+IFERROR(X70*H70,"0")+IFERROR(X71*H71,"0")</f>
        <v>201.6</v>
      </c>
      <c r="H289" s="46">
        <f>IFERROR(X76*H76,"0")+IFERROR(X77*H77,"0")</f>
        <v>0</v>
      </c>
      <c r="I289" s="46">
        <f>IFERROR(X82*H82,"0")</f>
        <v>151.20000000000002</v>
      </c>
      <c r="J289" s="46">
        <f>IFERROR(X87*H87,"0")+IFERROR(X88*H88,"0")</f>
        <v>705.6</v>
      </c>
      <c r="K289" s="46">
        <f>IFERROR(X93*H93,"0")+IFERROR(X94*H94,"0")+IFERROR(X95*H95,"0")+IFERROR(X96*H96,"0")+IFERROR(X97*H97,"0")+IFERROR(X98*H98,"0")</f>
        <v>403.2</v>
      </c>
      <c r="L289" s="46">
        <f>IFERROR(X103*H103,"0")+IFERROR(X104*H104,"0")</f>
        <v>181.44</v>
      </c>
      <c r="M289" s="46">
        <f>IFERROR(X109*H109,"0")+IFERROR(X110*H110,"0")+IFERROR(X111*H111,"0")+IFERROR(X112*H112,"0")+IFERROR(X113*H113,"0")+IFERROR(X114*H114,"0")+IFERROR(X115*H115,"0")+IFERROR(X119*H119,"0")+IFERROR(X123*H123,"0")</f>
        <v>2896.8</v>
      </c>
      <c r="N289" s="274"/>
      <c r="O289" s="46">
        <f>IFERROR(X128*H128,"0")+IFERROR(X129*H129,"0")+IFERROR(X130*H130,"0")+IFERROR(X131*H131,"0")+IFERROR(X135*H135,"0")+IFERROR(X136*H136,"0")+IFERROR(X137*H137,"0")</f>
        <v>477.12</v>
      </c>
      <c r="P289" s="46">
        <f>IFERROR(X142*H142,"0")+IFERROR(X143*H143,"0")</f>
        <v>1260</v>
      </c>
      <c r="Q289" s="46">
        <f>IFERROR(X148*H148,"0")+IFERROR(X149*H149,"0")+IFERROR(X150*H150,"0")</f>
        <v>126</v>
      </c>
      <c r="R289" s="46">
        <f>IFERROR(X155*H155,"0")+IFERROR(X156*H156,"0")</f>
        <v>201.6</v>
      </c>
      <c r="S289" s="46">
        <f>IFERROR(X161*H161,"0")</f>
        <v>210</v>
      </c>
      <c r="T289" s="46">
        <f>IFERROR(X166*H166,"0")</f>
        <v>0</v>
      </c>
      <c r="U289" s="46">
        <f>IFERROR(X171*H171,"0")</f>
        <v>211.67999999999998</v>
      </c>
      <c r="V289" s="46">
        <f>IFERROR(X177*H177,"0")+IFERROR(X178*H178,"0")</f>
        <v>0</v>
      </c>
      <c r="W289" s="46">
        <f>IFERROR(X183*H183,"0")</f>
        <v>480</v>
      </c>
      <c r="X289" s="46">
        <f>IFERROR(X189*H189,"0")+IFERROR(X190*H190,"0")+IFERROR(X191*H191,"0")+IFERROR(X192*H192,"0")</f>
        <v>1344</v>
      </c>
      <c r="Y289" s="46">
        <f>IFERROR(X198*H198,"0")+IFERROR(X202*H202,"0")+IFERROR(X203*H203,"0")+IFERROR(X204*H204,"0")</f>
        <v>67.2</v>
      </c>
      <c r="Z289" s="46">
        <f>IFERROR(X209*H209,"0")+IFERROR(X210*H210,"0")</f>
        <v>0</v>
      </c>
      <c r="AA289" s="46">
        <f>IFERROR(X215*H215,"0")</f>
        <v>0</v>
      </c>
      <c r="AB289" s="46">
        <f>IFERROR(X220*H220,"0")</f>
        <v>0</v>
      </c>
      <c r="AC289" s="46">
        <f>IFERROR(X226*H226,"0")</f>
        <v>0</v>
      </c>
      <c r="AD289" s="46">
        <f>IFERROR(X232*H232,"0")+IFERROR(X236*H236,"0")</f>
        <v>0</v>
      </c>
      <c r="AE289" s="46">
        <f>IFERROR(X242*H242,"0")+IFERROR(X246*H246,"0")</f>
        <v>0</v>
      </c>
      <c r="AF289" s="46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1202.6000000000001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383</v>
      </c>
      <c r="B291" s="58" t="s">
        <v>384</v>
      </c>
      <c r="C291" s="58" t="s">
        <v>385</v>
      </c>
    </row>
    <row r="292" spans="1:32" x14ac:dyDescent="0.2">
      <c r="A292" s="59">
        <f>SUMPRODUCT(--(BB:BB="ЗПФ"),--(W:W="кор"),H:H,Y:Y)+SUMPRODUCT(--(BB:BB="ЗПФ"),--(W:W="кг"),Y:Y)</f>
        <v>5220</v>
      </c>
      <c r="B292" s="60">
        <f>SUMPRODUCT(--(BB:BB="ПГП"),--(W:W="кор"),H:H,Y:Y)+SUMPRODUCT(--(BB:BB="ПГП"),--(W:W="кг"),Y:Y)</f>
        <v>7163.24</v>
      </c>
      <c r="C292" s="60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 344,00"/>
        <filter val="112,00"/>
        <filter val="12 383,24"/>
        <filter val="12,00"/>
        <filter val="124,00"/>
        <filter val="126,00"/>
        <filter val="13 969,70"/>
        <filter val="14 994,70"/>
        <filter val="14,00"/>
        <filter val="140,00"/>
        <filter val="144,00"/>
        <filter val="15,12"/>
        <filter val="151,20"/>
        <filter val="156,00"/>
        <filter val="168,00"/>
        <filter val="181,44"/>
        <filter val="182,00"/>
        <filter val="196,00"/>
        <filter val="2 896,80"/>
        <filter val="201,60"/>
        <filter val="210,00"/>
        <filter val="211,68"/>
        <filter val="224,00"/>
        <filter val="28,00"/>
        <filter val="280,00"/>
        <filter val="3 538,00"/>
        <filter val="300,00"/>
        <filter val="336,00"/>
        <filter val="36,00"/>
        <filter val="393,60"/>
        <filter val="403,20"/>
        <filter val="41"/>
        <filter val="42,00"/>
        <filter val="420,00"/>
        <filter val="432,00"/>
        <filter val="448,00"/>
        <filter val="462,00"/>
        <filter val="470,40"/>
        <filter val="470,60"/>
        <filter val="48,00"/>
        <filter val="480,00"/>
        <filter val="56,00"/>
        <filter val="60,00"/>
        <filter val="67,20"/>
        <filter val="70,00"/>
        <filter val="705,60"/>
        <filter val="72,00"/>
        <filter val="84,00"/>
        <filter val="96,00"/>
        <filter val="979,20"/>
        <filter val="98,00"/>
      </filters>
    </filterColumn>
    <filterColumn colId="29" showButton="0"/>
    <filterColumn colId="30" showButton="0"/>
  </autoFilter>
  <mergeCells count="507">
    <mergeCell ref="A8:C8"/>
    <mergeCell ref="P163:V163"/>
    <mergeCell ref="A153:Z153"/>
    <mergeCell ref="D268:E268"/>
    <mergeCell ref="P138:V138"/>
    <mergeCell ref="D97:E97"/>
    <mergeCell ref="A10:C10"/>
    <mergeCell ref="A21:Z21"/>
    <mergeCell ref="D192:E192"/>
    <mergeCell ref="A99:O100"/>
    <mergeCell ref="D42:E42"/>
    <mergeCell ref="A181:Z181"/>
    <mergeCell ref="D17:E18"/>
    <mergeCell ref="A151:O152"/>
    <mergeCell ref="P71:T71"/>
    <mergeCell ref="P202:T202"/>
    <mergeCell ref="D123:E123"/>
    <mergeCell ref="X17:X18"/>
    <mergeCell ref="A52:Z52"/>
    <mergeCell ref="P216:V216"/>
    <mergeCell ref="L287:L288"/>
    <mergeCell ref="P283:V283"/>
    <mergeCell ref="D271:E271"/>
    <mergeCell ref="V12:W12"/>
    <mergeCell ref="D191:E191"/>
    <mergeCell ref="D262:E262"/>
    <mergeCell ref="A245:Z245"/>
    <mergeCell ref="P43:V43"/>
    <mergeCell ref="A39:Z39"/>
    <mergeCell ref="P25:T25"/>
    <mergeCell ref="D95:E95"/>
    <mergeCell ref="P149:T149"/>
    <mergeCell ref="U17:V17"/>
    <mergeCell ref="Y17:Y18"/>
    <mergeCell ref="B286:C286"/>
    <mergeCell ref="D276:E276"/>
    <mergeCell ref="A107:Z107"/>
    <mergeCell ref="A51:Z51"/>
    <mergeCell ref="A83:O84"/>
    <mergeCell ref="P132:V132"/>
    <mergeCell ref="N17:N18"/>
    <mergeCell ref="Q5:R5"/>
    <mergeCell ref="D242:E242"/>
    <mergeCell ref="M287:M288"/>
    <mergeCell ref="F17:F18"/>
    <mergeCell ref="A49:O50"/>
    <mergeCell ref="P65:T65"/>
    <mergeCell ref="P136:T136"/>
    <mergeCell ref="P70:T70"/>
    <mergeCell ref="P263:T263"/>
    <mergeCell ref="D171:E171"/>
    <mergeCell ref="Q6:R6"/>
    <mergeCell ref="A124:O125"/>
    <mergeCell ref="A33:Z33"/>
    <mergeCell ref="D25:E25"/>
    <mergeCell ref="P145:V145"/>
    <mergeCell ref="A231:Z231"/>
    <mergeCell ref="J287:J288"/>
    <mergeCell ref="D54:E54"/>
    <mergeCell ref="S287:S288"/>
    <mergeCell ref="A201:Z201"/>
    <mergeCell ref="U287:U288"/>
    <mergeCell ref="P128:T128"/>
    <mergeCell ref="AD17:AF18"/>
    <mergeCell ref="P167:V167"/>
    <mergeCell ref="P117:V117"/>
    <mergeCell ref="D76:E76"/>
    <mergeCell ref="F5:G5"/>
    <mergeCell ref="B287:B288"/>
    <mergeCell ref="D287:D288"/>
    <mergeCell ref="P144:V144"/>
    <mergeCell ref="A36:O37"/>
    <mergeCell ref="P253:T253"/>
    <mergeCell ref="A223:Z223"/>
    <mergeCell ref="P82:T82"/>
    <mergeCell ref="V11:W11"/>
    <mergeCell ref="A205:O206"/>
    <mergeCell ref="D29:E29"/>
    <mergeCell ref="V286:W286"/>
    <mergeCell ref="D23:E23"/>
    <mergeCell ref="A20:Z20"/>
    <mergeCell ref="D252:E252"/>
    <mergeCell ref="P123:T123"/>
    <mergeCell ref="P281:V281"/>
    <mergeCell ref="D226:E226"/>
    <mergeCell ref="P183:T183"/>
    <mergeCell ref="P2:W3"/>
    <mergeCell ref="A57:O58"/>
    <mergeCell ref="P198:T198"/>
    <mergeCell ref="P54:T54"/>
    <mergeCell ref="A170:Z170"/>
    <mergeCell ref="D35:E35"/>
    <mergeCell ref="D10:E10"/>
    <mergeCell ref="P135:T135"/>
    <mergeCell ref="P191:T191"/>
    <mergeCell ref="D34:E34"/>
    <mergeCell ref="F10:G10"/>
    <mergeCell ref="D270:E270"/>
    <mergeCell ref="P78:V78"/>
    <mergeCell ref="P205:V205"/>
    <mergeCell ref="P110:T110"/>
    <mergeCell ref="P66:V66"/>
    <mergeCell ref="A258:O259"/>
    <mergeCell ref="A249:Z249"/>
    <mergeCell ref="A127:Z127"/>
    <mergeCell ref="A176:Z176"/>
    <mergeCell ref="A64:Z64"/>
    <mergeCell ref="X287:X288"/>
    <mergeCell ref="D155:E155"/>
    <mergeCell ref="D22:E22"/>
    <mergeCell ref="Z287:Z288"/>
    <mergeCell ref="D149:E149"/>
    <mergeCell ref="A62:O63"/>
    <mergeCell ref="P255:V255"/>
    <mergeCell ref="P178:T178"/>
    <mergeCell ref="P34:T34"/>
    <mergeCell ref="P276:T276"/>
    <mergeCell ref="D257:E257"/>
    <mergeCell ref="P270:T270"/>
    <mergeCell ref="P284:V284"/>
    <mergeCell ref="D150:E150"/>
    <mergeCell ref="P63:V63"/>
    <mergeCell ref="D215:E215"/>
    <mergeCell ref="P194:V194"/>
    <mergeCell ref="A75:Z75"/>
    <mergeCell ref="P50:V50"/>
    <mergeCell ref="P258:V258"/>
    <mergeCell ref="A175:Z175"/>
    <mergeCell ref="A235:Z235"/>
    <mergeCell ref="D286:U286"/>
    <mergeCell ref="D177:E177"/>
    <mergeCell ref="AE287:AE288"/>
    <mergeCell ref="Z17:Z18"/>
    <mergeCell ref="P173:V173"/>
    <mergeCell ref="A172:O173"/>
    <mergeCell ref="Y287:Y288"/>
    <mergeCell ref="P100:V100"/>
    <mergeCell ref="AB17:AB18"/>
    <mergeCell ref="P265:V265"/>
    <mergeCell ref="P44:V44"/>
    <mergeCell ref="P237:V237"/>
    <mergeCell ref="P31:V31"/>
    <mergeCell ref="P158:V158"/>
    <mergeCell ref="A154:Z154"/>
    <mergeCell ref="P98:T98"/>
    <mergeCell ref="A214:Z214"/>
    <mergeCell ref="A85:Z85"/>
    <mergeCell ref="D143:E143"/>
    <mergeCell ref="P177:T177"/>
    <mergeCell ref="P226:T226"/>
    <mergeCell ref="P93:T93"/>
    <mergeCell ref="P269:T269"/>
    <mergeCell ref="P120:V120"/>
    <mergeCell ref="A230:Z230"/>
    <mergeCell ref="P35:T35"/>
    <mergeCell ref="AA17:AA18"/>
    <mergeCell ref="H10:M10"/>
    <mergeCell ref="AC17:AC18"/>
    <mergeCell ref="A122:Z122"/>
    <mergeCell ref="A224:Z224"/>
    <mergeCell ref="D128:E128"/>
    <mergeCell ref="V6:W9"/>
    <mergeCell ref="P234:V234"/>
    <mergeCell ref="P109:T109"/>
    <mergeCell ref="A59:Z59"/>
    <mergeCell ref="D65:E65"/>
    <mergeCell ref="P22:T22"/>
    <mergeCell ref="D6:M6"/>
    <mergeCell ref="P57:V57"/>
    <mergeCell ref="G17:G18"/>
    <mergeCell ref="P184:V184"/>
    <mergeCell ref="P121:V121"/>
    <mergeCell ref="A207:Z207"/>
    <mergeCell ref="A182:Z182"/>
    <mergeCell ref="A169:Z169"/>
    <mergeCell ref="A225:Z225"/>
    <mergeCell ref="P130:T130"/>
    <mergeCell ref="D136:E136"/>
    <mergeCell ref="P190:T190"/>
    <mergeCell ref="P287:P288"/>
    <mergeCell ref="A78:O79"/>
    <mergeCell ref="P247:V247"/>
    <mergeCell ref="A221:O222"/>
    <mergeCell ref="D273:E273"/>
    <mergeCell ref="P156:T156"/>
    <mergeCell ref="P105:V105"/>
    <mergeCell ref="P99:V99"/>
    <mergeCell ref="A160:Z160"/>
    <mergeCell ref="A141:Z141"/>
    <mergeCell ref="A144:O145"/>
    <mergeCell ref="P274:T274"/>
    <mergeCell ref="P257:T257"/>
    <mergeCell ref="P111:T111"/>
    <mergeCell ref="Y286:AB286"/>
    <mergeCell ref="A105:O106"/>
    <mergeCell ref="A243:O244"/>
    <mergeCell ref="C287:C288"/>
    <mergeCell ref="E287:E288"/>
    <mergeCell ref="D202:E202"/>
    <mergeCell ref="P112:T112"/>
    <mergeCell ref="A91:Z91"/>
    <mergeCell ref="P116:V116"/>
    <mergeCell ref="P114:T114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A40:Z40"/>
    <mergeCell ref="D203:E203"/>
    <mergeCell ref="A186:Z186"/>
    <mergeCell ref="P232:T232"/>
    <mergeCell ref="P152:V152"/>
    <mergeCell ref="D267:E267"/>
    <mergeCell ref="P96:T96"/>
    <mergeCell ref="P261:T261"/>
    <mergeCell ref="A146:Z146"/>
    <mergeCell ref="D204:E204"/>
    <mergeCell ref="P161:T161"/>
    <mergeCell ref="D198:E198"/>
    <mergeCell ref="D269:E269"/>
    <mergeCell ref="A157:O158"/>
    <mergeCell ref="W287:W288"/>
    <mergeCell ref="P124:V124"/>
    <mergeCell ref="O287:O288"/>
    <mergeCell ref="P151:V151"/>
    <mergeCell ref="D130:E130"/>
    <mergeCell ref="P87:T87"/>
    <mergeCell ref="P24:T24"/>
    <mergeCell ref="D178:E178"/>
    <mergeCell ref="P88:T88"/>
    <mergeCell ref="P26:T26"/>
    <mergeCell ref="A72:O73"/>
    <mergeCell ref="A199:O200"/>
    <mergeCell ref="A92:Z92"/>
    <mergeCell ref="P227:V227"/>
    <mergeCell ref="P58:V58"/>
    <mergeCell ref="P79:V79"/>
    <mergeCell ref="P244:V244"/>
    <mergeCell ref="P73:V73"/>
    <mergeCell ref="A196:Z196"/>
    <mergeCell ref="P115:T115"/>
    <mergeCell ref="A256:Z256"/>
    <mergeCell ref="D61:E61"/>
    <mergeCell ref="D48:E48"/>
    <mergeCell ref="P77:T77"/>
    <mergeCell ref="P267:T267"/>
    <mergeCell ref="D275:E275"/>
    <mergeCell ref="D104:E104"/>
    <mergeCell ref="P254:V254"/>
    <mergeCell ref="P83:V83"/>
    <mergeCell ref="T6:U9"/>
    <mergeCell ref="A279:O284"/>
    <mergeCell ref="A30:O31"/>
    <mergeCell ref="Q10:R10"/>
    <mergeCell ref="D41:E41"/>
    <mergeCell ref="A208:Z208"/>
    <mergeCell ref="P84:V84"/>
    <mergeCell ref="D137:E137"/>
    <mergeCell ref="A13:M13"/>
    <mergeCell ref="A15:M15"/>
    <mergeCell ref="P204:T204"/>
    <mergeCell ref="J9:M9"/>
    <mergeCell ref="D112:E112"/>
    <mergeCell ref="P30:V30"/>
    <mergeCell ref="H17:H18"/>
    <mergeCell ref="P27:T27"/>
    <mergeCell ref="P61:T61"/>
    <mergeCell ref="P48:T48"/>
    <mergeCell ref="A9:C9"/>
    <mergeCell ref="T5:U5"/>
    <mergeCell ref="D119:E119"/>
    <mergeCell ref="P76:T76"/>
    <mergeCell ref="D190:E190"/>
    <mergeCell ref="D246:E246"/>
    <mergeCell ref="P203:T203"/>
    <mergeCell ref="V5:W5"/>
    <mergeCell ref="D111:E111"/>
    <mergeCell ref="P212:V212"/>
    <mergeCell ref="Q8:R8"/>
    <mergeCell ref="P69:T69"/>
    <mergeCell ref="D183:E183"/>
    <mergeCell ref="H5:M5"/>
    <mergeCell ref="Q13:R13"/>
    <mergeCell ref="P41:T41"/>
    <mergeCell ref="M17:M18"/>
    <mergeCell ref="O17:O18"/>
    <mergeCell ref="P185:V185"/>
    <mergeCell ref="A5:C5"/>
    <mergeCell ref="A187:Z187"/>
    <mergeCell ref="A174:Z174"/>
    <mergeCell ref="A108:Z108"/>
    <mergeCell ref="D166:E166"/>
    <mergeCell ref="A118:Z118"/>
    <mergeCell ref="A17:A18"/>
    <mergeCell ref="K17:K18"/>
    <mergeCell ref="C17:C18"/>
    <mergeCell ref="D103:E103"/>
    <mergeCell ref="P137:T137"/>
    <mergeCell ref="D9:E9"/>
    <mergeCell ref="F9:G9"/>
    <mergeCell ref="P53:T53"/>
    <mergeCell ref="D161:E161"/>
    <mergeCell ref="P67:V67"/>
    <mergeCell ref="A134:Z134"/>
    <mergeCell ref="D96:E96"/>
    <mergeCell ref="D27:E27"/>
    <mergeCell ref="A138:O139"/>
    <mergeCell ref="P15:T16"/>
    <mergeCell ref="A132:O133"/>
    <mergeCell ref="P23:T23"/>
    <mergeCell ref="A164:Z164"/>
    <mergeCell ref="AC287:AC288"/>
    <mergeCell ref="D148:E148"/>
    <mergeCell ref="P142:T142"/>
    <mergeCell ref="D26:E26"/>
    <mergeCell ref="P55:T55"/>
    <mergeCell ref="D115:E115"/>
    <mergeCell ref="Q12:R12"/>
    <mergeCell ref="D261:E261"/>
    <mergeCell ref="P119:T119"/>
    <mergeCell ref="P246:T246"/>
    <mergeCell ref="A43:O44"/>
    <mergeCell ref="P62:V62"/>
    <mergeCell ref="P133:V133"/>
    <mergeCell ref="R287:R288"/>
    <mergeCell ref="A250:Z250"/>
    <mergeCell ref="A254:O255"/>
    <mergeCell ref="D232:E232"/>
    <mergeCell ref="P238:V238"/>
    <mergeCell ref="A247:O248"/>
    <mergeCell ref="G287:G288"/>
    <mergeCell ref="I287:I288"/>
    <mergeCell ref="P272:T272"/>
    <mergeCell ref="D156:E156"/>
    <mergeCell ref="P210:T210"/>
    <mergeCell ref="P278:V278"/>
    <mergeCell ref="A159:Z159"/>
    <mergeCell ref="D24:E24"/>
    <mergeCell ref="A219:Z219"/>
    <mergeCell ref="Q11:R11"/>
    <mergeCell ref="A6:C6"/>
    <mergeCell ref="D113:E113"/>
    <mergeCell ref="AA287:AA288"/>
    <mergeCell ref="D88:E88"/>
    <mergeCell ref="A277:O278"/>
    <mergeCell ref="D93:E93"/>
    <mergeCell ref="P72:V72"/>
    <mergeCell ref="D220:E220"/>
    <mergeCell ref="P199:V199"/>
    <mergeCell ref="A195:Z195"/>
    <mergeCell ref="A251:Z251"/>
    <mergeCell ref="A188:Z188"/>
    <mergeCell ref="A126:Z126"/>
    <mergeCell ref="P228:V228"/>
    <mergeCell ref="A12:M12"/>
    <mergeCell ref="A240:Z240"/>
    <mergeCell ref="P200:V200"/>
    <mergeCell ref="P243:V243"/>
    <mergeCell ref="A68:Z68"/>
    <mergeCell ref="D1:F1"/>
    <mergeCell ref="P47:T47"/>
    <mergeCell ref="P282:V282"/>
    <mergeCell ref="J17:J18"/>
    <mergeCell ref="D82:E82"/>
    <mergeCell ref="L17:L18"/>
    <mergeCell ref="A165:Z165"/>
    <mergeCell ref="P125:V125"/>
    <mergeCell ref="P192:T192"/>
    <mergeCell ref="A116:O117"/>
    <mergeCell ref="P277:V277"/>
    <mergeCell ref="A102:Z102"/>
    <mergeCell ref="P113:T113"/>
    <mergeCell ref="A229:Z229"/>
    <mergeCell ref="P17:T18"/>
    <mergeCell ref="P129:T129"/>
    <mergeCell ref="A167:O168"/>
    <mergeCell ref="D77:E77"/>
    <mergeCell ref="P131:T131"/>
    <mergeCell ref="P139:V139"/>
    <mergeCell ref="I17:I18"/>
    <mergeCell ref="D135:E135"/>
    <mergeCell ref="P189:T189"/>
    <mergeCell ref="A239:Z239"/>
    <mergeCell ref="H1:Q1"/>
    <mergeCell ref="P280:V280"/>
    <mergeCell ref="P222:V222"/>
    <mergeCell ref="P193:V193"/>
    <mergeCell ref="A74:Z74"/>
    <mergeCell ref="A237:O238"/>
    <mergeCell ref="A66:O67"/>
    <mergeCell ref="D28:E28"/>
    <mergeCell ref="A101:Z101"/>
    <mergeCell ref="D236:E236"/>
    <mergeCell ref="A179:O180"/>
    <mergeCell ref="P171:T171"/>
    <mergeCell ref="D55:E55"/>
    <mergeCell ref="P242:T242"/>
    <mergeCell ref="A140:Z140"/>
    <mergeCell ref="D5:E5"/>
    <mergeCell ref="P42:T42"/>
    <mergeCell ref="D94:E94"/>
    <mergeCell ref="P148:T148"/>
    <mergeCell ref="D69:E69"/>
    <mergeCell ref="P162:V162"/>
    <mergeCell ref="P106:V106"/>
    <mergeCell ref="P264:V264"/>
    <mergeCell ref="A45:Z45"/>
    <mergeCell ref="D7:M7"/>
    <mergeCell ref="P236:T236"/>
    <mergeCell ref="A81:Z81"/>
    <mergeCell ref="A184:O185"/>
    <mergeCell ref="P29:T29"/>
    <mergeCell ref="P271:T271"/>
    <mergeCell ref="P94:T94"/>
    <mergeCell ref="D8:M8"/>
    <mergeCell ref="A211:O212"/>
    <mergeCell ref="P180:V180"/>
    <mergeCell ref="A241:Z241"/>
    <mergeCell ref="P95:T95"/>
    <mergeCell ref="A218:Z218"/>
    <mergeCell ref="D210:E210"/>
    <mergeCell ref="A46:Z46"/>
    <mergeCell ref="D209:E209"/>
    <mergeCell ref="P166:T166"/>
    <mergeCell ref="D87:E87"/>
    <mergeCell ref="A162:O163"/>
    <mergeCell ref="A233:O234"/>
    <mergeCell ref="P103:T103"/>
    <mergeCell ref="A227:O228"/>
    <mergeCell ref="P268:T268"/>
    <mergeCell ref="P97:T97"/>
    <mergeCell ref="AB287:AB288"/>
    <mergeCell ref="A193:O194"/>
    <mergeCell ref="W17:W18"/>
    <mergeCell ref="A264:O265"/>
    <mergeCell ref="AD287:AD288"/>
    <mergeCell ref="T287:T288"/>
    <mergeCell ref="V287:V288"/>
    <mergeCell ref="P90:V90"/>
    <mergeCell ref="A86:Z86"/>
    <mergeCell ref="P217:V217"/>
    <mergeCell ref="A213:Z213"/>
    <mergeCell ref="D110:E110"/>
    <mergeCell ref="D142:E142"/>
    <mergeCell ref="A120:O121"/>
    <mergeCell ref="D129:E129"/>
    <mergeCell ref="P279:V279"/>
    <mergeCell ref="P273:T273"/>
    <mergeCell ref="D272:E272"/>
    <mergeCell ref="D274:E274"/>
    <mergeCell ref="F287:F288"/>
    <mergeCell ref="H287:H288"/>
    <mergeCell ref="P49:V49"/>
    <mergeCell ref="P36:V36"/>
    <mergeCell ref="A32:Z32"/>
    <mergeCell ref="K287:K288"/>
    <mergeCell ref="R1:T1"/>
    <mergeCell ref="D71:E71"/>
    <mergeCell ref="P28:T28"/>
    <mergeCell ref="P150:T150"/>
    <mergeCell ref="P215:T215"/>
    <mergeCell ref="A89:O90"/>
    <mergeCell ref="D98:E98"/>
    <mergeCell ref="P179:V179"/>
    <mergeCell ref="P206:V206"/>
    <mergeCell ref="P233:V233"/>
    <mergeCell ref="P37:V37"/>
    <mergeCell ref="P275:T275"/>
    <mergeCell ref="P168:V168"/>
    <mergeCell ref="P104:T104"/>
    <mergeCell ref="B17:B18"/>
    <mergeCell ref="A287:A288"/>
    <mergeCell ref="P248:V248"/>
    <mergeCell ref="A266:Z266"/>
    <mergeCell ref="D131:E131"/>
    <mergeCell ref="A260:Z260"/>
    <mergeCell ref="A60:Z60"/>
    <mergeCell ref="P252:T252"/>
    <mergeCell ref="P56:T56"/>
    <mergeCell ref="H9:I9"/>
    <mergeCell ref="P89:V89"/>
    <mergeCell ref="P211:V211"/>
    <mergeCell ref="P259:V259"/>
    <mergeCell ref="P155:T155"/>
    <mergeCell ref="D70:E70"/>
    <mergeCell ref="D263:E263"/>
    <mergeCell ref="P220:T220"/>
    <mergeCell ref="A216:O217"/>
    <mergeCell ref="A80:Z80"/>
    <mergeCell ref="A197:Z197"/>
    <mergeCell ref="V10:W10"/>
    <mergeCell ref="D189:E189"/>
    <mergeCell ref="D253:E253"/>
    <mergeCell ref="D53:E53"/>
    <mergeCell ref="D47:E47"/>
    <mergeCell ref="P209:T209"/>
    <mergeCell ref="Q9:R9"/>
    <mergeCell ref="A19:Z19"/>
    <mergeCell ref="A14:M14"/>
    <mergeCell ref="D109:E109"/>
    <mergeCell ref="P262:T26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94:X98 X103:X104 X110 X113 X119 X123 X128:X131 X135:X137 X148:X150 X155:X156 X161 X177 X183 X192 X202 X209:X210 X220 X226 X232 X236 X242 X246 X252:X253 X263 X268 X273 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2 X87:X88 X93 X109 X111:X112 X114:X115 X142:X143 X166 X171 X178 X189:X191 X198 X203:X204 X215 X257 X261:X262 X267 X269:X272 X274:X275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52"/>
    </row>
    <row r="3" spans="2:8" x14ac:dyDescent="0.2">
      <c r="B3" s="47" t="s">
        <v>387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388</v>
      </c>
      <c r="C6" s="47" t="s">
        <v>389</v>
      </c>
      <c r="D6" s="47" t="s">
        <v>390</v>
      </c>
      <c r="E6" s="47"/>
    </row>
    <row r="7" spans="2:8" x14ac:dyDescent="0.2">
      <c r="B7" s="47" t="s">
        <v>391</v>
      </c>
      <c r="C7" s="47" t="s">
        <v>392</v>
      </c>
      <c r="D7" s="47" t="s">
        <v>393</v>
      </c>
      <c r="E7" s="47"/>
    </row>
    <row r="8" spans="2:8" x14ac:dyDescent="0.2">
      <c r="B8" s="47" t="s">
        <v>394</v>
      </c>
      <c r="C8" s="47" t="s">
        <v>395</v>
      </c>
      <c r="D8" s="47" t="s">
        <v>396</v>
      </c>
      <c r="E8" s="47"/>
    </row>
    <row r="9" spans="2:8" x14ac:dyDescent="0.2">
      <c r="B9" s="47" t="s">
        <v>397</v>
      </c>
      <c r="C9" s="47" t="s">
        <v>398</v>
      </c>
      <c r="D9" s="47" t="s">
        <v>399</v>
      </c>
      <c r="E9" s="47"/>
    </row>
    <row r="10" spans="2:8" x14ac:dyDescent="0.2">
      <c r="B10" s="47" t="s">
        <v>400</v>
      </c>
      <c r="C10" s="47" t="s">
        <v>401</v>
      </c>
      <c r="D10" s="47" t="s">
        <v>402</v>
      </c>
      <c r="E10" s="47"/>
    </row>
    <row r="12" spans="2:8" x14ac:dyDescent="0.2">
      <c r="B12" s="47" t="s">
        <v>403</v>
      </c>
      <c r="C12" s="47" t="s">
        <v>389</v>
      </c>
      <c r="D12" s="47"/>
      <c r="E12" s="47"/>
    </row>
    <row r="14" spans="2:8" x14ac:dyDescent="0.2">
      <c r="B14" s="47" t="s">
        <v>404</v>
      </c>
      <c r="C14" s="47" t="s">
        <v>392</v>
      </c>
      <c r="D14" s="47"/>
      <c r="E14" s="47"/>
    </row>
    <row r="16" spans="2:8" x14ac:dyDescent="0.2">
      <c r="B16" s="47" t="s">
        <v>405</v>
      </c>
      <c r="C16" s="47" t="s">
        <v>395</v>
      </c>
      <c r="D16" s="47"/>
      <c r="E16" s="47"/>
    </row>
    <row r="18" spans="2:5" x14ac:dyDescent="0.2">
      <c r="B18" s="47" t="s">
        <v>406</v>
      </c>
      <c r="C18" s="47" t="s">
        <v>398</v>
      </c>
      <c r="D18" s="47"/>
      <c r="E18" s="47"/>
    </row>
    <row r="20" spans="2:5" x14ac:dyDescent="0.2">
      <c r="B20" s="47" t="s">
        <v>407</v>
      </c>
      <c r="C20" s="47" t="s">
        <v>401</v>
      </c>
      <c r="D20" s="47"/>
      <c r="E20" s="47"/>
    </row>
    <row r="22" spans="2:5" x14ac:dyDescent="0.2">
      <c r="B22" s="47" t="s">
        <v>408</v>
      </c>
      <c r="C22" s="47"/>
      <c r="D22" s="47"/>
      <c r="E22" s="47"/>
    </row>
    <row r="23" spans="2:5" x14ac:dyDescent="0.2">
      <c r="B23" s="47" t="s">
        <v>409</v>
      </c>
      <c r="C23" s="47"/>
      <c r="D23" s="47"/>
      <c r="E23" s="47"/>
    </row>
    <row r="24" spans="2:5" x14ac:dyDescent="0.2">
      <c r="B24" s="47" t="s">
        <v>410</v>
      </c>
      <c r="C24" s="47"/>
      <c r="D24" s="47"/>
      <c r="E24" s="47"/>
    </row>
    <row r="25" spans="2:5" x14ac:dyDescent="0.2">
      <c r="B25" s="47" t="s">
        <v>411</v>
      </c>
      <c r="C25" s="47"/>
      <c r="D25" s="47"/>
      <c r="E25" s="47"/>
    </row>
    <row r="26" spans="2:5" x14ac:dyDescent="0.2">
      <c r="B26" s="47" t="s">
        <v>412</v>
      </c>
      <c r="C26" s="47"/>
      <c r="D26" s="47"/>
      <c r="E26" s="47"/>
    </row>
    <row r="27" spans="2:5" x14ac:dyDescent="0.2">
      <c r="B27" s="47" t="s">
        <v>413</v>
      </c>
      <c r="C27" s="47"/>
      <c r="D27" s="47"/>
      <c r="E27" s="47"/>
    </row>
    <row r="28" spans="2:5" x14ac:dyDescent="0.2">
      <c r="B28" s="47" t="s">
        <v>414</v>
      </c>
      <c r="C28" s="47"/>
      <c r="D28" s="47"/>
      <c r="E28" s="47"/>
    </row>
    <row r="29" spans="2:5" x14ac:dyDescent="0.2">
      <c r="B29" s="47" t="s">
        <v>415</v>
      </c>
      <c r="C29" s="47"/>
      <c r="D29" s="47"/>
      <c r="E29" s="47"/>
    </row>
    <row r="30" spans="2:5" x14ac:dyDescent="0.2">
      <c r="B30" s="47" t="s">
        <v>416</v>
      </c>
      <c r="C30" s="47"/>
      <c r="D30" s="47"/>
      <c r="E30" s="47"/>
    </row>
    <row r="31" spans="2:5" x14ac:dyDescent="0.2">
      <c r="B31" s="47" t="s">
        <v>417</v>
      </c>
      <c r="C31" s="47"/>
      <c r="D31" s="47"/>
      <c r="E31" s="47"/>
    </row>
    <row r="32" spans="2:5" x14ac:dyDescent="0.2">
      <c r="B32" s="47" t="s">
        <v>418</v>
      </c>
      <c r="C32" s="47"/>
      <c r="D32" s="47"/>
      <c r="E32" s="47"/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2026-09-23T08:05:05Z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