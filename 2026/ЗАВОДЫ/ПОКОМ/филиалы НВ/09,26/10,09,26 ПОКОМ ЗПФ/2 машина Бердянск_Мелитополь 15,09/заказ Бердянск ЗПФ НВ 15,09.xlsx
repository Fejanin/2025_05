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7B4F619-3622-43AF-85A9-C96B4568500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Z278" i="1" s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X259" i="1"/>
  <c r="BO258" i="1"/>
  <c r="BM258" i="1"/>
  <c r="Z258" i="1"/>
  <c r="Z259" i="1" s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Z206" i="1" s="1"/>
  <c r="Y203" i="1"/>
  <c r="Y207" i="1" s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Z194" i="1" s="1"/>
  <c r="Y191" i="1"/>
  <c r="P191" i="1"/>
  <c r="BO190" i="1"/>
  <c r="BM190" i="1"/>
  <c r="Z190" i="1"/>
  <c r="Y190" i="1"/>
  <c r="Y194" i="1" s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Y91" i="1" s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P70" i="1"/>
  <c r="X68" i="1"/>
  <c r="X67" i="1"/>
  <c r="BO66" i="1"/>
  <c r="BM66" i="1"/>
  <c r="Z66" i="1"/>
  <c r="Y66" i="1"/>
  <c r="BP66" i="1" s="1"/>
  <c r="P66" i="1"/>
  <c r="BO65" i="1"/>
  <c r="BM65" i="1"/>
  <c r="Z65" i="1"/>
  <c r="Z67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Y44" i="1" s="1"/>
  <c r="P42" i="1"/>
  <c r="BP41" i="1"/>
  <c r="BO41" i="1"/>
  <c r="BN41" i="1"/>
  <c r="BM41" i="1"/>
  <c r="Z41" i="1"/>
  <c r="Z43" i="1" s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A9" i="1"/>
  <c r="F10" i="1" s="1"/>
  <c r="D7" i="1"/>
  <c r="Q6" i="1"/>
  <c r="P2" i="1"/>
  <c r="Y195" i="1" l="1"/>
  <c r="Y31" i="1"/>
  <c r="Y36" i="1"/>
  <c r="BN35" i="1"/>
  <c r="Y43" i="1"/>
  <c r="Y49" i="1"/>
  <c r="BN48" i="1"/>
  <c r="Y68" i="1"/>
  <c r="BN66" i="1"/>
  <c r="Y74" i="1"/>
  <c r="Z79" i="1"/>
  <c r="BN77" i="1"/>
  <c r="BP77" i="1"/>
  <c r="Z90" i="1"/>
  <c r="Z100" i="1"/>
  <c r="BN94" i="1"/>
  <c r="BP94" i="1"/>
  <c r="BN96" i="1"/>
  <c r="BN98" i="1"/>
  <c r="Z106" i="1"/>
  <c r="Z118" i="1"/>
  <c r="BN110" i="1"/>
  <c r="BP110" i="1"/>
  <c r="BN112" i="1"/>
  <c r="BN114" i="1"/>
  <c r="BN116" i="1"/>
  <c r="Z134" i="1"/>
  <c r="Z140" i="1"/>
  <c r="BN137" i="1"/>
  <c r="BP137" i="1"/>
  <c r="BN139" i="1"/>
  <c r="BN151" i="1"/>
  <c r="Y158" i="1"/>
  <c r="Y159" i="1"/>
  <c r="Z180" i="1"/>
  <c r="BN184" i="1"/>
  <c r="BP184" i="1"/>
  <c r="Y185" i="1"/>
  <c r="BN190" i="1"/>
  <c r="BP190" i="1"/>
  <c r="BN192" i="1"/>
  <c r="BN211" i="1"/>
  <c r="Y279" i="1"/>
  <c r="BN270" i="1"/>
  <c r="BN272" i="1"/>
  <c r="BN274" i="1"/>
  <c r="BN276" i="1"/>
  <c r="H9" i="1"/>
  <c r="A10" i="1"/>
  <c r="X281" i="1"/>
  <c r="X282" i="1"/>
  <c r="BN23" i="1"/>
  <c r="BN25" i="1"/>
  <c r="BN27" i="1"/>
  <c r="BN29" i="1"/>
  <c r="Y30" i="1"/>
  <c r="X280" i="1"/>
  <c r="BN34" i="1"/>
  <c r="BP34" i="1"/>
  <c r="Y37" i="1"/>
  <c r="BN42" i="1"/>
  <c r="BP42" i="1"/>
  <c r="BN47" i="1"/>
  <c r="BP47" i="1"/>
  <c r="Y50" i="1"/>
  <c r="Y57" i="1"/>
  <c r="BN54" i="1"/>
  <c r="BP56" i="1"/>
  <c r="BN56" i="1"/>
  <c r="F9" i="1"/>
  <c r="J9" i="1"/>
  <c r="Y58" i="1"/>
  <c r="Y62" i="1"/>
  <c r="BP61" i="1"/>
  <c r="BN61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1" i="1" l="1"/>
  <c r="Z285" i="1"/>
  <c r="Y282" i="1"/>
  <c r="Y280" i="1"/>
  <c r="Y283" i="1"/>
  <c r="B293" i="1"/>
  <c r="Y284" i="1"/>
  <c r="A293" i="1" s="1"/>
  <c r="X283" i="1"/>
  <c r="C293" i="1" l="1"/>
</calcChain>
</file>

<file path=xl/sharedStrings.xml><?xml version="1.0" encoding="utf-8"?>
<sst xmlns="http://schemas.openxmlformats.org/spreadsheetml/2006/main" count="1293" uniqueCount="419">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</sst>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46279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0.41666666666666669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hidden="1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hidden="1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hidden="1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12</v>
      </c>
      <c r="Y23" s="279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163.20000000000002</v>
      </c>
      <c r="Y31" s="280">
        <f>IFERROR(SUMPRODUCT(Y22:Y29*H22:H29),"0")</f>
        <v>163.20000000000002</v>
      </c>
      <c r="Z31" s="38"/>
      <c r="AA31" s="281"/>
      <c r="AB31" s="281"/>
      <c r="AC31" s="281"/>
    </row>
    <row r="32" spans="1:68" ht="16.5" hidden="1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hidden="1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hidden="1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hidden="1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140</v>
      </c>
      <c r="Y41" s="279">
        <f>IFERROR(IF(X41="","",X41),"")</f>
        <v>140</v>
      </c>
      <c r="Z41" s="37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84</v>
      </c>
      <c r="Y42" s="279">
        <f>IFERROR(IF(X42="","",X42),"")</f>
        <v>84</v>
      </c>
      <c r="Z42" s="37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224</v>
      </c>
      <c r="Y43" s="280">
        <f>IFERROR(SUM(Y41:Y42),"0")</f>
        <v>224</v>
      </c>
      <c r="Z43" s="280">
        <f>IFERROR(IF(Z41="",0,Z41),"0")+IFERROR(IF(Z42="",0,Z42),"0")</f>
        <v>2.1078399999999999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336</v>
      </c>
      <c r="Y44" s="280">
        <f>IFERROR(SUMPRODUCT(Y41:Y42*H41:H42),"0")</f>
        <v>336</v>
      </c>
      <c r="Z44" s="38"/>
      <c r="AA44" s="281"/>
      <c r="AB44" s="281"/>
      <c r="AC44" s="281"/>
    </row>
    <row r="45" spans="1:68" ht="16.5" hidden="1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hidden="1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48</v>
      </c>
      <c r="Y47" s="279">
        <f>IFERROR(IF(X47="","",X47),"")</f>
        <v>48</v>
      </c>
      <c r="Z47" s="37">
        <f>IFERROR(IF(X47="","",X47*0.0155),"")</f>
        <v>0.74399999999999999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24</v>
      </c>
      <c r="Y48" s="279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72</v>
      </c>
      <c r="Y49" s="280">
        <f>IFERROR(SUM(Y47:Y48),"0")</f>
        <v>72</v>
      </c>
      <c r="Z49" s="280">
        <f>IFERROR(IF(Z47="",0,Z47),"0")+IFERROR(IF(Z48="",0,Z48),"0")</f>
        <v>1.1160000000000001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403.19999999999993</v>
      </c>
      <c r="Y50" s="280">
        <f>IFERROR(SUMPRODUCT(Y47:Y48*H47:H48),"0")</f>
        <v>403.19999999999993</v>
      </c>
      <c r="Z50" s="38"/>
      <c r="AA50" s="281"/>
      <c r="AB50" s="281"/>
      <c r="AC50" s="281"/>
    </row>
    <row r="51" spans="1:68" ht="16.5" hidden="1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hidden="1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48</v>
      </c>
      <c r="Y53" s="279">
        <f>IFERROR(IF(X53="","",X53),"")</f>
        <v>48</v>
      </c>
      <c r="Z53" s="37">
        <f>IFERROR(IF(X53="","",X53*0.0155),"")</f>
        <v>0.74399999999999999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350.4</v>
      </c>
      <c r="BN53" s="67">
        <f>IFERROR(Y53*I53,"0")</f>
        <v>350.4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84</v>
      </c>
      <c r="Y54" s="279">
        <f>IFERROR(IF(X54="","",X54),"")</f>
        <v>84</v>
      </c>
      <c r="Z54" s="37">
        <f>IFERROR(IF(X54="","",X54*0.0155),"")</f>
        <v>1.302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612.024</v>
      </c>
      <c r="BN54" s="67">
        <f>IFERROR(Y54*I54,"0")</f>
        <v>612.024</v>
      </c>
      <c r="BO54" s="67">
        <f>IFERROR(X54/J54,"0")</f>
        <v>1</v>
      </c>
      <c r="BP54" s="67">
        <f>IFERROR(Y54/J54,"0")</f>
        <v>1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48</v>
      </c>
      <c r="Y56" s="279">
        <f>IFERROR(IF(X56="","",X56),"")</f>
        <v>48</v>
      </c>
      <c r="Z56" s="37">
        <f>IFERROR(IF(X56="","",X56*0.0155),"")</f>
        <v>0.74399999999999999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350.4</v>
      </c>
      <c r="BN56" s="67">
        <f>IFERROR(Y56*I56,"0")</f>
        <v>350.4</v>
      </c>
      <c r="BO56" s="67">
        <f>IFERROR(X56/J56,"0")</f>
        <v>0.5714285714285714</v>
      </c>
      <c r="BP56" s="67">
        <f>IFERROR(Y56/J56,"0")</f>
        <v>0.5714285714285714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180</v>
      </c>
      <c r="Y57" s="280">
        <f>IFERROR(SUM(Y53:Y56),"0")</f>
        <v>180</v>
      </c>
      <c r="Z57" s="280">
        <f>IFERROR(IF(Z53="",0,Z53),"0")+IFERROR(IF(Z54="",0,Z54),"0")+IFERROR(IF(Z55="",0,Z55),"0")+IFERROR(IF(Z56="",0,Z56),"0")</f>
        <v>2.79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1260</v>
      </c>
      <c r="Y58" s="280">
        <f>IFERROR(SUMPRODUCT(Y53:Y56*H53:H56),"0")</f>
        <v>1260</v>
      </c>
      <c r="Z58" s="38"/>
      <c r="AA58" s="281"/>
      <c r="AB58" s="281"/>
      <c r="AC58" s="281"/>
    </row>
    <row r="59" spans="1:68" ht="16.5" hidden="1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hidden="1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14</v>
      </c>
      <c r="Y72" s="279">
        <f>IFERROR(IF(X72="","",X72),"")</f>
        <v>14</v>
      </c>
      <c r="Z72" s="37">
        <f>IFERROR(IF(X72="","",X72*0.00941),"")</f>
        <v>0.13174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21.84</v>
      </c>
      <c r="BN72" s="67">
        <f>IFERROR(Y72*I72,"0")</f>
        <v>21.84</v>
      </c>
      <c r="BO72" s="67">
        <f>IFERROR(X72/J72,"0")</f>
        <v>0.1</v>
      </c>
      <c r="BP72" s="67">
        <f>IFERROR(Y72/J72,"0")</f>
        <v>0.1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14</v>
      </c>
      <c r="Y73" s="280">
        <f>IFERROR(SUM(Y70:Y72),"0")</f>
        <v>14</v>
      </c>
      <c r="Z73" s="280">
        <f>IFERROR(IF(Z70="",0,Z70),"0")+IFERROR(IF(Z71="",0,Z71),"0")+IFERROR(IF(Z72="",0,Z72),"0")</f>
        <v>0.13174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16.8</v>
      </c>
      <c r="Y74" s="280">
        <f>IFERROR(SUMPRODUCT(Y70:Y72*H70:H72),"0")</f>
        <v>16.8</v>
      </c>
      <c r="Z74" s="38"/>
      <c r="AA74" s="281"/>
      <c r="AB74" s="281"/>
      <c r="AC74" s="281"/>
    </row>
    <row r="75" spans="1:68" ht="16.5" hidden="1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hidden="1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348</v>
      </c>
      <c r="Y78" s="279">
        <f>IFERROR(IF(X78="","",X78),"")</f>
        <v>348</v>
      </c>
      <c r="Z78" s="37">
        <f>IFERROR(IF(X78="","",X78*0.00866),"")</f>
        <v>3.0136799999999999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1814.1935999999998</v>
      </c>
      <c r="BN78" s="67">
        <f>IFERROR(Y78*I78,"0")</f>
        <v>1814.1935999999998</v>
      </c>
      <c r="BO78" s="67">
        <f>IFERROR(X78/J78,"0")</f>
        <v>2.4166666666666665</v>
      </c>
      <c r="BP78" s="67">
        <f>IFERROR(Y78/J78,"0")</f>
        <v>2.4166666666666665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348</v>
      </c>
      <c r="Y79" s="280">
        <f>IFERROR(SUM(Y77:Y78),"0")</f>
        <v>348</v>
      </c>
      <c r="Z79" s="280">
        <f>IFERROR(IF(Z77="",0,Z77),"0")+IFERROR(IF(Z78="",0,Z78),"0")</f>
        <v>3.0136799999999999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1740</v>
      </c>
      <c r="Y80" s="280">
        <f>IFERROR(SUMPRODUCT(Y77:Y78*H77:H78),"0")</f>
        <v>1740</v>
      </c>
      <c r="Z80" s="38"/>
      <c r="AA80" s="281"/>
      <c r="AB80" s="281"/>
      <c r="AC80" s="281"/>
    </row>
    <row r="81" spans="1:68" ht="16.5" hidden="1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hidden="1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28</v>
      </c>
      <c r="Y83" s="279">
        <f>IFERROR(IF(X83="","",X83),"")</f>
        <v>28</v>
      </c>
      <c r="Z83" s="37">
        <f>IFERROR(IF(X83="","",X83*0.01788),"")</f>
        <v>0.50063999999999997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28</v>
      </c>
      <c r="Y84" s="280">
        <f>IFERROR(SUM(Y83:Y83),"0")</f>
        <v>28</v>
      </c>
      <c r="Z84" s="280">
        <f>IFERROR(IF(Z83="",0,Z83),"0")</f>
        <v>0.50063999999999997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100.8</v>
      </c>
      <c r="Y85" s="280">
        <f>IFERROR(SUMPRODUCT(Y83:Y83*H83:H83),"0")</f>
        <v>100.8</v>
      </c>
      <c r="Z85" s="38"/>
      <c r="AA85" s="281"/>
      <c r="AB85" s="281"/>
      <c r="AC85" s="281"/>
    </row>
    <row r="86" spans="1:68" ht="16.5" hidden="1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hidden="1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84</v>
      </c>
      <c r="Y88" s="279">
        <f>IFERROR(IF(X88="","",X88),"")</f>
        <v>84</v>
      </c>
      <c r="Z88" s="37">
        <f>IFERROR(IF(X88="","",X88*0.01788),"")</f>
        <v>1.5019199999999999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361.50240000000002</v>
      </c>
      <c r="BN88" s="67">
        <f>IFERROR(Y88*I88,"0")</f>
        <v>361.50240000000002</v>
      </c>
      <c r="BO88" s="67">
        <f>IFERROR(X88/J88,"0")</f>
        <v>1.2</v>
      </c>
      <c r="BP88" s="67">
        <f>IFERROR(Y88/J88,"0")</f>
        <v>1.2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42</v>
      </c>
      <c r="Y89" s="279">
        <f>IFERROR(IF(X89="","",X89),"")</f>
        <v>42</v>
      </c>
      <c r="Z89" s="37">
        <f>IFERROR(IF(X89="","",X89*0.01788),"")</f>
        <v>0.75095999999999996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180.75120000000001</v>
      </c>
      <c r="BN89" s="67">
        <f>IFERROR(Y89*I89,"0")</f>
        <v>180.75120000000001</v>
      </c>
      <c r="BO89" s="67">
        <f>IFERROR(X89/J89,"0")</f>
        <v>0.6</v>
      </c>
      <c r="BP89" s="67">
        <f>IFERROR(Y89/J89,"0")</f>
        <v>0.6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126</v>
      </c>
      <c r="Y90" s="280">
        <f>IFERROR(SUM(Y88:Y89),"0")</f>
        <v>126</v>
      </c>
      <c r="Z90" s="280">
        <f>IFERROR(IF(Z88="",0,Z88),"0")+IFERROR(IF(Z89="",0,Z89),"0")</f>
        <v>2.2528799999999998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453.6</v>
      </c>
      <c r="Y91" s="280">
        <f>IFERROR(SUMPRODUCT(Y88:Y89*H88:H89),"0")</f>
        <v>453.6</v>
      </c>
      <c r="Z91" s="38"/>
      <c r="AA91" s="281"/>
      <c r="AB91" s="281"/>
      <c r="AC91" s="281"/>
    </row>
    <row r="92" spans="1:68" ht="16.5" hidden="1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hidden="1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42</v>
      </c>
      <c r="Y94" s="279">
        <f t="shared" ref="Y94:Y99" si="6">IFERROR(IF(X94="","",X94),"")</f>
        <v>42</v>
      </c>
      <c r="Z94" s="37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70</v>
      </c>
      <c r="Y95" s="279">
        <f t="shared" si="6"/>
        <v>70</v>
      </c>
      <c r="Z95" s="37">
        <f t="shared" si="7"/>
        <v>1.2516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250.852</v>
      </c>
      <c r="BN95" s="67">
        <f t="shared" si="9"/>
        <v>250.852</v>
      </c>
      <c r="BO95" s="67">
        <f t="shared" si="10"/>
        <v>1</v>
      </c>
      <c r="BP95" s="67">
        <f t="shared" si="11"/>
        <v>1</v>
      </c>
    </row>
    <row r="96" spans="1:68" ht="27" customHeight="1" x14ac:dyDescent="0.25">
      <c r="A96" s="54" t="s">
        <v>168</v>
      </c>
      <c r="B96" s="54" t="s">
        <v>169</v>
      </c>
      <c r="C96" s="32">
        <v>4301135990</v>
      </c>
      <c r="D96" s="295">
        <v>4620207491881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28</v>
      </c>
      <c r="Y96" s="279">
        <f t="shared" si="6"/>
        <v>28</v>
      </c>
      <c r="Z96" s="37">
        <f t="shared" si="7"/>
        <v>0.50063999999999997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170</v>
      </c>
      <c r="B97" s="54" t="s">
        <v>171</v>
      </c>
      <c r="C97" s="32">
        <v>4301135920</v>
      </c>
      <c r="D97" s="295">
        <v>4620207491577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56</v>
      </c>
      <c r="Y97" s="279">
        <f t="shared" si="6"/>
        <v>56</v>
      </c>
      <c r="Z97" s="37">
        <f t="shared" si="7"/>
        <v>1.0012799999999999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200.6816</v>
      </c>
      <c r="BN97" s="67">
        <f t="shared" si="9"/>
        <v>200.6816</v>
      </c>
      <c r="BO97" s="67">
        <f t="shared" si="10"/>
        <v>0.8</v>
      </c>
      <c r="BP97" s="67">
        <f t="shared" si="11"/>
        <v>0.8</v>
      </c>
    </row>
    <row r="98" spans="1:68" ht="27" customHeight="1" x14ac:dyDescent="0.25">
      <c r="A98" s="54" t="s">
        <v>172</v>
      </c>
      <c r="B98" s="54" t="s">
        <v>173</v>
      </c>
      <c r="C98" s="32">
        <v>4301135984</v>
      </c>
      <c r="D98" s="295">
        <v>4620207491874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28</v>
      </c>
      <c r="Y98" s="279">
        <f t="shared" si="6"/>
        <v>28</v>
      </c>
      <c r="Z98" s="37">
        <f t="shared" si="7"/>
        <v>0.50063999999999997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hidden="1" customHeight="1" x14ac:dyDescent="0.25">
      <c r="A99" s="54" t="s">
        <v>174</v>
      </c>
      <c r="B99" s="54" t="s">
        <v>175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224</v>
      </c>
      <c r="Y100" s="280">
        <f>IFERROR(SUM(Y94:Y99),"0")</f>
        <v>224</v>
      </c>
      <c r="Z100" s="280">
        <f>IFERROR(IF(Z94="",0,Z94),"0")+IFERROR(IF(Z95="",0,Z95),"0")+IFERROR(IF(Z96="",0,Z96),"0")+IFERROR(IF(Z97="",0,Z97),"0")+IFERROR(IF(Z98="",0,Z98),"0")+IFERROR(IF(Z99="",0,Z99),"0")</f>
        <v>4.0051199999999998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672</v>
      </c>
      <c r="Y101" s="280">
        <f>IFERROR(SUMPRODUCT(Y94:Y99*H94:H99),"0")</f>
        <v>672</v>
      </c>
      <c r="Z101" s="38"/>
      <c r="AA101" s="281"/>
      <c r="AB101" s="281"/>
      <c r="AC101" s="281"/>
    </row>
    <row r="102" spans="1:68" ht="16.5" hidden="1" customHeight="1" x14ac:dyDescent="0.25">
      <c r="A102" s="310" t="s">
        <v>177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hidden="1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hidden="1" customHeight="1" x14ac:dyDescent="0.25">
      <c r="A104" s="54" t="s">
        <v>178</v>
      </c>
      <c r="B104" s="54" t="s">
        <v>179</v>
      </c>
      <c r="C104" s="32">
        <v>4301136101</v>
      </c>
      <c r="D104" s="295">
        <v>4620207491652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10" t="s">
        <v>183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hidden="1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24</v>
      </c>
      <c r="Y110" s="279">
        <f t="shared" ref="Y110:Y117" si="12">IFERROR(IF(X110="","",X110),"")</f>
        <v>24</v>
      </c>
      <c r="Z110" s="37">
        <f t="shared" ref="Z110:Z117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174.72</v>
      </c>
      <c r="BN110" s="67">
        <f t="shared" ref="BN110:BN117" si="15">IFERROR(Y110*I110,"0")</f>
        <v>174.72</v>
      </c>
      <c r="BO110" s="67">
        <f t="shared" ref="BO110:BO117" si="16">IFERROR(X110/J110,"0")</f>
        <v>0.2857142857142857</v>
      </c>
      <c r="BP110" s="67">
        <f t="shared" ref="BP110:BP117" si="17">IFERROR(Y110/J110,"0")</f>
        <v>0.2857142857142857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36</v>
      </c>
      <c r="Y113" s="279">
        <f t="shared" si="12"/>
        <v>36</v>
      </c>
      <c r="Z113" s="37">
        <f t="shared" si="13"/>
        <v>0.55800000000000005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241.90559999999999</v>
      </c>
      <c r="BN113" s="67">
        <f t="shared" si="15"/>
        <v>241.90559999999999</v>
      </c>
      <c r="BO113" s="67">
        <f t="shared" si="16"/>
        <v>0.42857142857142855</v>
      </c>
      <c r="BP113" s="67">
        <f t="shared" si="17"/>
        <v>0.42857142857142855</v>
      </c>
    </row>
    <row r="114" spans="1:68" ht="27" customHeight="1" x14ac:dyDescent="0.25">
      <c r="A114" s="54" t="s">
        <v>194</v>
      </c>
      <c r="B114" s="54" t="s">
        <v>195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108</v>
      </c>
      <c r="Y114" s="279">
        <f t="shared" si="12"/>
        <v>108</v>
      </c>
      <c r="Z114" s="37">
        <f t="shared" si="13"/>
        <v>1.6739999999999999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168</v>
      </c>
      <c r="Y117" s="279">
        <f t="shared" si="12"/>
        <v>168</v>
      </c>
      <c r="Z117" s="37">
        <f t="shared" si="13"/>
        <v>2.6040000000000001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1226.3999999999999</v>
      </c>
      <c r="BN117" s="67">
        <f t="shared" si="15"/>
        <v>1226.3999999999999</v>
      </c>
      <c r="BO117" s="67">
        <f t="shared" si="16"/>
        <v>2</v>
      </c>
      <c r="BP117" s="67">
        <f t="shared" si="17"/>
        <v>2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336</v>
      </c>
      <c r="Y118" s="280">
        <f>IFERROR(SUM(Y110:Y117),"0")</f>
        <v>336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5.2080000000000002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2330.4</v>
      </c>
      <c r="Y119" s="280">
        <f>IFERROR(SUMPRODUCT(Y110:Y117*H110:H117),"0")</f>
        <v>2330.4</v>
      </c>
      <c r="Z119" s="38"/>
      <c r="AA119" s="281"/>
      <c r="AB119" s="281"/>
      <c r="AC119" s="281"/>
    </row>
    <row r="120" spans="1:68" ht="14.25" hidden="1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hidden="1" customHeight="1" x14ac:dyDescent="0.25">
      <c r="A121" s="54" t="s">
        <v>203</v>
      </c>
      <c r="B121" s="54" t="s">
        <v>204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4" t="s">
        <v>206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10" t="s">
        <v>210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hidden="1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112</v>
      </c>
      <c r="Y130" s="279">
        <f>IFERROR(IF(X130="","",X130),"")</f>
        <v>112</v>
      </c>
      <c r="Z130" s="37">
        <f>IFERROR(IF(X130="","",X130*0.00941),"")</f>
        <v>1.05392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201.6</v>
      </c>
      <c r="BN130" s="67">
        <f>IFERROR(Y130*I130,"0")</f>
        <v>201.6</v>
      </c>
      <c r="BO130" s="67">
        <f>IFERROR(X130/J130,"0")</f>
        <v>0.8</v>
      </c>
      <c r="BP130" s="67">
        <f>IFERROR(Y130/J130,"0")</f>
        <v>0.8</v>
      </c>
    </row>
    <row r="131" spans="1:68" ht="27" customHeight="1" x14ac:dyDescent="0.25">
      <c r="A131" s="54" t="s">
        <v>214</v>
      </c>
      <c r="B131" s="54" t="s">
        <v>215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28</v>
      </c>
      <c r="Y131" s="279">
        <f>IFERROR(IF(X131="","",X131),"")</f>
        <v>28</v>
      </c>
      <c r="Z131" s="37">
        <f>IFERROR(IF(X131="","",X131*0.00941),"")</f>
        <v>0.26347999999999999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56</v>
      </c>
      <c r="Y132" s="279">
        <f>IFERROR(IF(X132="","",X132),"")</f>
        <v>56</v>
      </c>
      <c r="Z132" s="37">
        <f>IFERROR(IF(X132="","",X132*0.00941),"")</f>
        <v>0.52695999999999998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97.44</v>
      </c>
      <c r="BN132" s="67">
        <f>IFERROR(Y132*I132,"0")</f>
        <v>97.44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218</v>
      </c>
      <c r="B133" s="54" t="s">
        <v>219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42</v>
      </c>
      <c r="Y133" s="279">
        <f>IFERROR(IF(X133="","",X133),"")</f>
        <v>42</v>
      </c>
      <c r="Z133" s="37">
        <f>IFERROR(IF(X133="","",X133*0.00941),"")</f>
        <v>0.39522000000000002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238</v>
      </c>
      <c r="Y134" s="280">
        <f>IFERROR(SUM(Y130:Y133),"0")</f>
        <v>238</v>
      </c>
      <c r="Z134" s="280">
        <f>IFERROR(IF(Z130="",0,Z130),"0")+IFERROR(IF(Z131="",0,Z131),"0")+IFERROR(IF(Z132="",0,Z132),"0")+IFERROR(IF(Z133="",0,Z133),"0")</f>
        <v>2.2395800000000001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325.08</v>
      </c>
      <c r="Y135" s="280">
        <f>IFERROR(SUMPRODUCT(Y130:Y133*H130:H133),"0")</f>
        <v>325.08</v>
      </c>
      <c r="Z135" s="38"/>
      <c r="AA135" s="281"/>
      <c r="AB135" s="281"/>
      <c r="AC135" s="281"/>
    </row>
    <row r="136" spans="1:68" ht="14.25" hidden="1" customHeight="1" x14ac:dyDescent="0.25">
      <c r="A136" s="304" t="s">
        <v>220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10" t="s">
        <v>228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hidden="1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229</v>
      </c>
      <c r="B144" s="54" t="s">
        <v>230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98</v>
      </c>
      <c r="Y144" s="279">
        <f>IFERROR(IF(X144="","",X144),"")</f>
        <v>98</v>
      </c>
      <c r="Z144" s="37">
        <f>IFERROR(IF(X144="","",X144*0.01788),"")</f>
        <v>1.75224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362.95279999999997</v>
      </c>
      <c r="BN144" s="67">
        <f>IFERROR(Y144*I144,"0")</f>
        <v>362.95279999999997</v>
      </c>
      <c r="BO144" s="67">
        <f>IFERROR(X144/J144,"0")</f>
        <v>1.4</v>
      </c>
      <c r="BP144" s="67">
        <f>IFERROR(Y144/J144,"0")</f>
        <v>1.4</v>
      </c>
    </row>
    <row r="145" spans="1:68" ht="27" customHeight="1" x14ac:dyDescent="0.25">
      <c r="A145" s="54" t="s">
        <v>232</v>
      </c>
      <c r="B145" s="54" t="s">
        <v>233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84</v>
      </c>
      <c r="Y145" s="279">
        <f>IFERROR(IF(X145="","",X145),"")</f>
        <v>84</v>
      </c>
      <c r="Z145" s="37">
        <f>IFERROR(IF(X145="","",X145*0.01788),"")</f>
        <v>1.5019199999999999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311.10239999999999</v>
      </c>
      <c r="BN145" s="67">
        <f>IFERROR(Y145*I145,"0")</f>
        <v>311.10239999999999</v>
      </c>
      <c r="BO145" s="67">
        <f>IFERROR(X145/J145,"0")</f>
        <v>1.2</v>
      </c>
      <c r="BP145" s="67">
        <f>IFERROR(Y145/J145,"0")</f>
        <v>1.2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182</v>
      </c>
      <c r="Y146" s="280">
        <f>IFERROR(SUM(Y144:Y145),"0")</f>
        <v>182</v>
      </c>
      <c r="Z146" s="280">
        <f>IFERROR(IF(Z144="",0,Z144),"0")+IFERROR(IF(Z145="",0,Z145),"0")</f>
        <v>3.2541599999999997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546</v>
      </c>
      <c r="Y147" s="280">
        <f>IFERROR(SUMPRODUCT(Y144:Y145*H144:H145),"0")</f>
        <v>546</v>
      </c>
      <c r="Z147" s="38"/>
      <c r="AA147" s="281"/>
      <c r="AB147" s="281"/>
      <c r="AC147" s="281"/>
    </row>
    <row r="148" spans="1:68" ht="16.5" hidden="1" customHeight="1" x14ac:dyDescent="0.25">
      <c r="A148" s="310" t="s">
        <v>234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hidden="1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235</v>
      </c>
      <c r="B150" s="54" t="s">
        <v>236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70</v>
      </c>
      <c r="Y150" s="279">
        <f>IFERROR(IF(X150="","",X150),"")</f>
        <v>70</v>
      </c>
      <c r="Z150" s="37">
        <f>IFERROR(IF(X150="","",X150*0.01788),"")</f>
        <v>1.2516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262.36</v>
      </c>
      <c r="BN150" s="67">
        <f>IFERROR(Y150*I150,"0")</f>
        <v>262.36</v>
      </c>
      <c r="BO150" s="67">
        <f>IFERROR(X150/J150,"0")</f>
        <v>1</v>
      </c>
      <c r="BP150" s="67">
        <f>IFERROR(Y150/J150,"0")</f>
        <v>1</v>
      </c>
    </row>
    <row r="151" spans="1:68" ht="16.5" customHeight="1" x14ac:dyDescent="0.25">
      <c r="A151" s="54" t="s">
        <v>238</v>
      </c>
      <c r="B151" s="54" t="s">
        <v>239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42</v>
      </c>
      <c r="Y151" s="279">
        <f>IFERROR(IF(X151="","",X151),"")</f>
        <v>42</v>
      </c>
      <c r="Z151" s="37">
        <f>IFERROR(IF(X151="","",X151*0.01788),"")</f>
        <v>0.75095999999999996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112</v>
      </c>
      <c r="Y152" s="280">
        <f>IFERROR(SUM(Y150:Y151),"0")</f>
        <v>112</v>
      </c>
      <c r="Z152" s="280">
        <f>IFERROR(IF(Z150="",0,Z150),"0")+IFERROR(IF(Z151="",0,Z151),"0")</f>
        <v>2.0025599999999999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336</v>
      </c>
      <c r="Y153" s="280">
        <f>IFERROR(SUMPRODUCT(Y150:Y151*H150:H151),"0")</f>
        <v>336</v>
      </c>
      <c r="Z153" s="38"/>
      <c r="AA153" s="281"/>
      <c r="AB153" s="281"/>
      <c r="AC153" s="281"/>
    </row>
    <row r="154" spans="1:68" ht="16.5" hidden="1" customHeight="1" x14ac:dyDescent="0.25">
      <c r="A154" s="310" t="s">
        <v>241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hidden="1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242</v>
      </c>
      <c r="B156" s="54" t="s">
        <v>243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56</v>
      </c>
      <c r="Y156" s="279">
        <f>IFERROR(IF(X156="","",X156),"")</f>
        <v>56</v>
      </c>
      <c r="Z156" s="37">
        <f>IFERROR(IF(X156="","",X156*0.01788),"")</f>
        <v>1.0012799999999999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150.08000000000001</v>
      </c>
      <c r="BN156" s="67">
        <f>IFERROR(Y156*I156,"0")</f>
        <v>150.08000000000001</v>
      </c>
      <c r="BO156" s="67">
        <f>IFERROR(X156/J156,"0")</f>
        <v>0.8</v>
      </c>
      <c r="BP156" s="67">
        <f>IFERROR(Y156/J156,"0")</f>
        <v>0.8</v>
      </c>
    </row>
    <row r="157" spans="1:68" ht="27" customHeight="1" x14ac:dyDescent="0.25">
      <c r="A157" s="54" t="s">
        <v>244</v>
      </c>
      <c r="B157" s="54" t="s">
        <v>245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14</v>
      </c>
      <c r="Y157" s="279">
        <f>IFERROR(IF(X157="","",X157),"")</f>
        <v>14</v>
      </c>
      <c r="Z157" s="37">
        <f>IFERROR(IF(X157="","",X157*0.01788),"")</f>
        <v>0.25031999999999999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37.520000000000003</v>
      </c>
      <c r="BN157" s="67">
        <f>IFERROR(Y157*I157,"0")</f>
        <v>37.520000000000003</v>
      </c>
      <c r="BO157" s="67">
        <f>IFERROR(X157/J157,"0")</f>
        <v>0.2</v>
      </c>
      <c r="BP157" s="67">
        <f>IFERROR(Y157/J157,"0")</f>
        <v>0.2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1.2515999999999998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168</v>
      </c>
      <c r="Y159" s="280">
        <f>IFERROR(SUMPRODUCT(Y156:Y157*H156:H157),"0")</f>
        <v>168</v>
      </c>
      <c r="Z159" s="38"/>
      <c r="AA159" s="281"/>
      <c r="AB159" s="281"/>
      <c r="AC159" s="281"/>
    </row>
    <row r="160" spans="1:68" ht="16.5" hidden="1" customHeight="1" x14ac:dyDescent="0.25">
      <c r="A160" s="310" t="s">
        <v>246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hidden="1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247</v>
      </c>
      <c r="B162" s="54" t="s">
        <v>248</v>
      </c>
      <c r="C162" s="32">
        <v>4301135940</v>
      </c>
      <c r="D162" s="295">
        <v>4620207491614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28</v>
      </c>
      <c r="Y162" s="279">
        <f>IFERROR(IF(X162="","",X162),"")</f>
        <v>28</v>
      </c>
      <c r="Z162" s="37">
        <f>IFERROR(IF(X162="","",X162*0.01788),"")</f>
        <v>0.50063999999999997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103.70079999999999</v>
      </c>
      <c r="BN162" s="67">
        <f>IFERROR(Y162*I162,"0")</f>
        <v>103.70079999999999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28</v>
      </c>
      <c r="Y163" s="280">
        <f>IFERROR(SUM(Y162:Y162),"0")</f>
        <v>28</v>
      </c>
      <c r="Z163" s="280">
        <f>IFERROR(IF(Z162="",0,Z162),"0")</f>
        <v>0.50063999999999997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84</v>
      </c>
      <c r="Y164" s="280">
        <f>IFERROR(SUMPRODUCT(Y162:Y162*H162:H162),"0")</f>
        <v>84</v>
      </c>
      <c r="Z164" s="38"/>
      <c r="AA164" s="281"/>
      <c r="AB164" s="281"/>
      <c r="AC164" s="281"/>
    </row>
    <row r="165" spans="1:68" ht="16.5" hidden="1" customHeight="1" x14ac:dyDescent="0.25">
      <c r="A165" s="310" t="s">
        <v>250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hidden="1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10" t="s">
        <v>253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hidden="1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254</v>
      </c>
      <c r="B172" s="54" t="s">
        <v>255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126</v>
      </c>
      <c r="Y172" s="279">
        <f>IFERROR(IF(X172="","",X172),"")</f>
        <v>126</v>
      </c>
      <c r="Z172" s="37">
        <f>IFERROR(IF(X172="","",X172*0.00941),"")</f>
        <v>1.1856599999999999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264.82679999999999</v>
      </c>
      <c r="BN172" s="67">
        <f>IFERROR(Y172*I172,"0")</f>
        <v>264.82679999999999</v>
      </c>
      <c r="BO172" s="67">
        <f>IFERROR(X172/J172,"0")</f>
        <v>0.9</v>
      </c>
      <c r="BP172" s="67">
        <f>IFERROR(Y172/J172,"0")</f>
        <v>0.9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126</v>
      </c>
      <c r="Y173" s="280">
        <f>IFERROR(SUM(Y172:Y172),"0")</f>
        <v>126</v>
      </c>
      <c r="Z173" s="280">
        <f>IFERROR(IF(Z172="",0,Z172),"0")</f>
        <v>1.1856599999999999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211.67999999999998</v>
      </c>
      <c r="Y174" s="280">
        <f>IFERROR(SUMPRODUCT(Y172:Y172*H172:H172),"0")</f>
        <v>211.67999999999998</v>
      </c>
      <c r="Z174" s="38"/>
      <c r="AA174" s="281"/>
      <c r="AB174" s="281"/>
      <c r="AC174" s="281"/>
    </row>
    <row r="175" spans="1:68" ht="27.75" hidden="1" customHeight="1" x14ac:dyDescent="0.2">
      <c r="A175" s="362" t="s">
        <v>257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hidden="1" customHeight="1" x14ac:dyDescent="0.25">
      <c r="A176" s="310" t="s">
        <v>258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hidden="1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262</v>
      </c>
      <c r="B179" s="54" t="s">
        <v>263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10" t="s">
        <v>265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hidden="1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24</v>
      </c>
      <c r="Y184" s="279">
        <f>IFERROR(IF(X184="","",X184),"")</f>
        <v>24</v>
      </c>
      <c r="Z184" s="37">
        <f>IFERROR(IF(X184="","",X184*0.0155),"")</f>
        <v>0.372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126.28799999999998</v>
      </c>
      <c r="BN184" s="67">
        <f>IFERROR(Y184*I184,"0")</f>
        <v>126.28799999999998</v>
      </c>
      <c r="BO184" s="67">
        <f>IFERROR(X184/J184,"0")</f>
        <v>0.2857142857142857</v>
      </c>
      <c r="BP184" s="67">
        <f>IFERROR(Y184/J184,"0")</f>
        <v>0.2857142857142857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24</v>
      </c>
      <c r="Y185" s="280">
        <f>IFERROR(SUM(Y184:Y184),"0")</f>
        <v>24</v>
      </c>
      <c r="Z185" s="280">
        <f>IFERROR(IF(Z184="",0,Z184),"0")</f>
        <v>0.372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120</v>
      </c>
      <c r="Y186" s="280">
        <f>IFERROR(SUMPRODUCT(Y184:Y184*H184:H184),"0")</f>
        <v>120</v>
      </c>
      <c r="Z186" s="38"/>
      <c r="AA186" s="281"/>
      <c r="AB186" s="281"/>
      <c r="AC186" s="281"/>
    </row>
    <row r="187" spans="1:68" ht="27.75" hidden="1" customHeight="1" x14ac:dyDescent="0.2">
      <c r="A187" s="362" t="s">
        <v>268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hidden="1" customHeight="1" x14ac:dyDescent="0.25">
      <c r="A188" s="310" t="s">
        <v>269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hidden="1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270</v>
      </c>
      <c r="B190" s="54" t="s">
        <v>271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42</v>
      </c>
      <c r="Y190" s="279">
        <f>IFERROR(IF(X190="","",X190),"")</f>
        <v>42</v>
      </c>
      <c r="Z190" s="37">
        <f>IFERROR(IF(X190="","",X190*0.01788),"")</f>
        <v>0.75095999999999996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273</v>
      </c>
      <c r="B191" s="54" t="s">
        <v>274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56</v>
      </c>
      <c r="Y191" s="279">
        <f>IFERROR(IF(X191="","",X191),"")</f>
        <v>56</v>
      </c>
      <c r="Z191" s="37">
        <f>IFERROR(IF(X191="","",X191*0.01788),"")</f>
        <v>1.0012799999999999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189.72800000000001</v>
      </c>
      <c r="BN191" s="67">
        <f>IFERROR(Y191*I191,"0")</f>
        <v>189.72800000000001</v>
      </c>
      <c r="BO191" s="67">
        <f>IFERROR(X191/J191,"0")</f>
        <v>0.8</v>
      </c>
      <c r="BP191" s="67">
        <f>IFERROR(Y191/J191,"0")</f>
        <v>0.8</v>
      </c>
    </row>
    <row r="192" spans="1:68" ht="27" customHeight="1" x14ac:dyDescent="0.25">
      <c r="A192" s="54" t="s">
        <v>276</v>
      </c>
      <c r="B192" s="54" t="s">
        <v>277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42</v>
      </c>
      <c r="Y192" s="279">
        <f>IFERROR(IF(X192="","",X192),"")</f>
        <v>42</v>
      </c>
      <c r="Z192" s="37">
        <f>IFERROR(IF(X192="","",X192*0.01788),"")</f>
        <v>0.75095999999999996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156.91200000000001</v>
      </c>
      <c r="BN192" s="67">
        <f>IFERROR(Y192*I192,"0")</f>
        <v>156.91200000000001</v>
      </c>
      <c r="BO192" s="67">
        <f>IFERROR(X192/J192,"0")</f>
        <v>0.6</v>
      </c>
      <c r="BP192" s="67">
        <f>IFERROR(Y192/J192,"0")</f>
        <v>0.6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140</v>
      </c>
      <c r="Y194" s="280">
        <f>IFERROR(SUM(Y190:Y193),"0")</f>
        <v>140</v>
      </c>
      <c r="Z194" s="280">
        <f>IFERROR(IF(Z190="",0,Z190),"0")+IFERROR(IF(Z191="",0,Z191),"0")+IFERROR(IF(Z192="",0,Z192),"0")+IFERROR(IF(Z193="",0,Z193),"0")</f>
        <v>2.5032000000000001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420</v>
      </c>
      <c r="Y195" s="280">
        <f>IFERROR(SUMPRODUCT(Y190:Y193*H190:H193),"0")</f>
        <v>420</v>
      </c>
      <c r="Z195" s="38"/>
      <c r="AA195" s="281"/>
      <c r="AB195" s="281"/>
      <c r="AC195" s="281"/>
    </row>
    <row r="196" spans="1:68" ht="27.75" hidden="1" customHeight="1" x14ac:dyDescent="0.2">
      <c r="A196" s="362" t="s">
        <v>282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hidden="1" customHeight="1" x14ac:dyDescent="0.25">
      <c r="A197" s="310" t="s">
        <v>283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hidden="1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284</v>
      </c>
      <c r="B199" s="54" t="s">
        <v>285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14</v>
      </c>
      <c r="Y199" s="279">
        <f>IFERROR(IF(X199="","",X199),"")</f>
        <v>14</v>
      </c>
      <c r="Z199" s="37">
        <f>IFERROR(IF(X199="","",X199*0.01788),"")</f>
        <v>0.25031999999999999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41.72</v>
      </c>
      <c r="BN199" s="67">
        <f>IFERROR(Y199*I199,"0")</f>
        <v>41.72</v>
      </c>
      <c r="BO199" s="67">
        <f>IFERROR(X199/J199,"0")</f>
        <v>0.2</v>
      </c>
      <c r="BP199" s="67">
        <f>IFERROR(Y199/J199,"0")</f>
        <v>0.2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14</v>
      </c>
      <c r="Y200" s="280">
        <f>IFERROR(SUM(Y199:Y199),"0")</f>
        <v>14</v>
      </c>
      <c r="Z200" s="280">
        <f>IFERROR(IF(Z199="",0,Z199),"0")</f>
        <v>0.25031999999999999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38.64</v>
      </c>
      <c r="Y201" s="280">
        <f>IFERROR(SUMPRODUCT(Y199:Y199*H199:H199),"0")</f>
        <v>38.64</v>
      </c>
      <c r="Z201" s="38"/>
      <c r="AA201" s="281"/>
      <c r="AB201" s="281"/>
      <c r="AC201" s="281"/>
    </row>
    <row r="202" spans="1:68" ht="14.25" hidden="1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hidden="1" customHeight="1" x14ac:dyDescent="0.25">
      <c r="A203" s="54" t="s">
        <v>287</v>
      </c>
      <c r="B203" s="54" t="s">
        <v>288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10" t="s">
        <v>296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hidden="1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10" t="s">
        <v>303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hidden="1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72</v>
      </c>
      <c r="Y216" s="279">
        <f>IFERROR(IF(X216="","",X216),"")</f>
        <v>72</v>
      </c>
      <c r="Z216" s="37">
        <f>IFERROR(IF(X216="","",X216*0.0155),"")</f>
        <v>1.1160000000000001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376.56000000000006</v>
      </c>
      <c r="BN216" s="67">
        <f>IFERROR(Y216*I216,"0")</f>
        <v>376.56000000000006</v>
      </c>
      <c r="BO216" s="67">
        <f>IFERROR(X216/J216,"0")</f>
        <v>0.8571428571428571</v>
      </c>
      <c r="BP216" s="67">
        <f>IFERROR(Y216/J216,"0")</f>
        <v>0.8571428571428571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72</v>
      </c>
      <c r="Y217" s="280">
        <f>IFERROR(SUM(Y216:Y216),"0")</f>
        <v>72</v>
      </c>
      <c r="Z217" s="280">
        <f>IFERROR(IF(Z216="",0,Z216),"0")</f>
        <v>1.1160000000000001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360</v>
      </c>
      <c r="Y218" s="280">
        <f>IFERROR(SUMPRODUCT(Y216:Y216*H216:H216),"0")</f>
        <v>360</v>
      </c>
      <c r="Z218" s="38"/>
      <c r="AA218" s="281"/>
      <c r="AB218" s="281"/>
      <c r="AC218" s="281"/>
    </row>
    <row r="219" spans="1:68" ht="16.5" hidden="1" customHeight="1" x14ac:dyDescent="0.25">
      <c r="A219" s="310" t="s">
        <v>307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hidden="1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2" t="s">
        <v>311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hidden="1" customHeight="1" x14ac:dyDescent="0.25">
      <c r="A225" s="310" t="s">
        <v>312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hidden="1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2" t="s">
        <v>316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hidden="1" customHeight="1" x14ac:dyDescent="0.25">
      <c r="A231" s="310" t="s">
        <v>317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hidden="1" customHeight="1" x14ac:dyDescent="0.25">
      <c r="A232" s="304" t="s">
        <v>318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2" t="s">
        <v>324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hidden="1" customHeight="1" x14ac:dyDescent="0.25">
      <c r="A241" s="310" t="s">
        <v>324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hidden="1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2" t="s">
        <v>331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hidden="1" customHeight="1" x14ac:dyDescent="0.25">
      <c r="A251" s="310" t="s">
        <v>331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hidden="1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335</v>
      </c>
      <c r="B254" s="54" t="s">
        <v>336</v>
      </c>
      <c r="C254" s="32">
        <v>4301071141</v>
      </c>
      <c r="D254" s="295">
        <v>4620207491980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36</v>
      </c>
      <c r="Y254" s="279">
        <f>IFERROR(IF(X254="","",X254),"")</f>
        <v>36</v>
      </c>
      <c r="Z254" s="37">
        <f>IFERROR(IF(X254="","",X254*0.0155),"")</f>
        <v>0.55800000000000005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262.08</v>
      </c>
      <c r="BN254" s="67">
        <f>IFERROR(Y254*I254,"0")</f>
        <v>262.08</v>
      </c>
      <c r="BO254" s="67">
        <f>IFERROR(X254/J254,"0")</f>
        <v>0.42857142857142855</v>
      </c>
      <c r="BP254" s="67">
        <f>IFERROR(Y254/J254,"0")</f>
        <v>0.42857142857142855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36</v>
      </c>
      <c r="Y255" s="280">
        <f>IFERROR(SUM(Y253:Y254),"0")</f>
        <v>36</v>
      </c>
      <c r="Z255" s="280">
        <f>IFERROR(IF(Z253="",0,Z253),"0")+IFERROR(IF(Z254="",0,Z254),"0")</f>
        <v>0.55800000000000005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252</v>
      </c>
      <c r="Y256" s="280">
        <f>IFERROR(SUMPRODUCT(Y253:Y254*H253:H254),"0")</f>
        <v>252</v>
      </c>
      <c r="Z256" s="38"/>
      <c r="AA256" s="281"/>
      <c r="AB256" s="281"/>
      <c r="AC256" s="281"/>
    </row>
    <row r="257" spans="1:68" ht="14.25" hidden="1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hidden="1" customHeight="1" x14ac:dyDescent="0.25">
      <c r="A258" s="54" t="s">
        <v>338</v>
      </c>
      <c r="B258" s="54" t="s">
        <v>339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0</v>
      </c>
      <c r="Y258" s="279">
        <f>IFERROR(IF(X258="","",X258),"")</f>
        <v>0</v>
      </c>
      <c r="Z258" s="37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8"/>
      <c r="AA260" s="281"/>
      <c r="AB260" s="281"/>
      <c r="AC260" s="281"/>
    </row>
    <row r="261" spans="1:68" ht="14.25" hidden="1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84</v>
      </c>
      <c r="Y263" s="279">
        <f>IFERROR(IF(X263="","",X263),"")</f>
        <v>84</v>
      </c>
      <c r="Z263" s="37">
        <f>IFERROR(IF(X263="","",X263*0.0155),"")</f>
        <v>1.302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439.74</v>
      </c>
      <c r="BN263" s="67">
        <f>IFERROR(Y263*I263,"0")</f>
        <v>439.74</v>
      </c>
      <c r="BO263" s="67">
        <f>IFERROR(X263/J263,"0")</f>
        <v>1</v>
      </c>
      <c r="BP263" s="67">
        <f>IFERROR(Y263/J263,"0")</f>
        <v>1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84</v>
      </c>
      <c r="Y265" s="280">
        <f>IFERROR(SUM(Y262:Y264),"0")</f>
        <v>84</v>
      </c>
      <c r="Z265" s="280">
        <f>IFERROR(IF(Z262="",0,Z262),"0")+IFERROR(IF(Z263="",0,Z263),"0")+IFERROR(IF(Z264="",0,Z264),"0")</f>
        <v>1.302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420</v>
      </c>
      <c r="Y266" s="280">
        <f>IFERROR(SUMPRODUCT(Y262:Y264*H262:H264),"0")</f>
        <v>420</v>
      </c>
      <c r="Z266" s="38"/>
      <c r="AA266" s="281"/>
      <c r="AB266" s="281"/>
      <c r="AC266" s="281"/>
    </row>
    <row r="267" spans="1:68" ht="14.25" hidden="1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353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14</v>
      </c>
      <c r="Y269" s="279">
        <f t="shared" si="18"/>
        <v>14</v>
      </c>
      <c r="Z269" s="37">
        <f>IFERROR(IF(X269="","",X269*0.00936),"")</f>
        <v>0.13103999999999999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54.488</v>
      </c>
      <c r="BN269" s="67">
        <f t="shared" si="20"/>
        <v>54.488</v>
      </c>
      <c r="BO269" s="67">
        <f t="shared" si="21"/>
        <v>0.1111111111111111</v>
      </c>
      <c r="BP269" s="67">
        <f t="shared" si="22"/>
        <v>0.1111111111111111</v>
      </c>
    </row>
    <row r="270" spans="1:68" ht="27" hidden="1" customHeight="1" x14ac:dyDescent="0.25">
      <c r="A270" s="54" t="s">
        <v>355</v>
      </c>
      <c r="B270" s="54" t="s">
        <v>356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357</v>
      </c>
      <c r="B271" s="54" t="s">
        <v>358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14</v>
      </c>
      <c r="Y271" s="279">
        <f t="shared" si="18"/>
        <v>14</v>
      </c>
      <c r="Z271" s="37">
        <f t="shared" ref="Z271:Z276" si="23">IFERROR(IF(X271="","",X271*0.00936),"")</f>
        <v>0.13103999999999999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44.688000000000002</v>
      </c>
      <c r="BN271" s="67">
        <f t="shared" si="20"/>
        <v>44.688000000000002</v>
      </c>
      <c r="BO271" s="67">
        <f t="shared" si="21"/>
        <v>0.1111111111111111</v>
      </c>
      <c r="BP271" s="67">
        <f t="shared" si="22"/>
        <v>0.1111111111111111</v>
      </c>
    </row>
    <row r="272" spans="1:68" ht="27" hidden="1" customHeight="1" x14ac:dyDescent="0.25">
      <c r="A272" s="54" t="s">
        <v>360</v>
      </c>
      <c r="B272" s="54" t="s">
        <v>361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28</v>
      </c>
      <c r="Y278" s="280">
        <f>IFERROR(SUM(Y268:Y277),"0")</f>
        <v>28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0.26207999999999998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93.800000000000011</v>
      </c>
      <c r="Y279" s="280">
        <f>IFERROR(SUMPRODUCT(Y268:Y277*H268:H277),"0")</f>
        <v>93.800000000000011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372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10851.199999999999</v>
      </c>
      <c r="Y280" s="280">
        <f>IFERROR(Y31+Y37+Y44+Y50+Y58+Y63+Y68+Y74+Y80+Y85+Y91+Y101+Y107+Y119+Y123+Y127+Y135+Y141+Y147+Y153+Y159+Y164+Y169+Y174+Y181+Y186+Y195+Y201+Y207+Y213+Y218+Y223+Y229+Y235+Y239+Y245+Y249+Y256+Y260+Y266+Y279,"0")</f>
        <v>10851.199999999999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373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11999.946799999998</v>
      </c>
      <c r="Y281" s="280">
        <f>IFERROR(SUM(BN22:BN277),"0")</f>
        <v>11999.946799999998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374</v>
      </c>
      <c r="Q282" s="329"/>
      <c r="R282" s="329"/>
      <c r="S282" s="329"/>
      <c r="T282" s="329"/>
      <c r="U282" s="329"/>
      <c r="V282" s="330"/>
      <c r="W282" s="38" t="s">
        <v>375</v>
      </c>
      <c r="X282" s="39">
        <f>ROUNDUP(SUM(BO22:BO277),0)</f>
        <v>30</v>
      </c>
      <c r="Y282" s="39">
        <f>ROUNDUP(SUM(BP22:BP277),0)</f>
        <v>30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376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12749.946799999998</v>
      </c>
      <c r="Y283" s="280">
        <f>GrossWeightTotalR+PalletQtyTotalR*25</f>
        <v>12749.946799999998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377</v>
      </c>
      <c r="Q284" s="329"/>
      <c r="R284" s="329"/>
      <c r="S284" s="329"/>
      <c r="T284" s="329"/>
      <c r="U284" s="329"/>
      <c r="V284" s="330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2730</v>
      </c>
      <c r="Y284" s="280">
        <f>IFERROR(Y30+Y36+Y43+Y49+Y57+Y62+Y67+Y73+Y79+Y84+Y90+Y100+Y106+Y118+Y122+Y126+Y134+Y140+Y146+Y152+Y158+Y163+Y168+Y173+Y180+Y185+Y194+Y200+Y206+Y212+Y217+Y222+Y228+Y234+Y238+Y244+Y248+Y255+Y259+Y265+Y278,"0")</f>
        <v>2730</v>
      </c>
      <c r="Z284" s="38"/>
      <c r="AA284" s="281"/>
      <c r="AB284" s="281"/>
      <c r="AC284" s="281"/>
    </row>
    <row r="285" spans="1:68" ht="14.25" hidden="1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378</v>
      </c>
      <c r="Q285" s="329"/>
      <c r="R285" s="329"/>
      <c r="S285" s="329"/>
      <c r="T285" s="329"/>
      <c r="U285" s="329"/>
      <c r="V285" s="330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38.295699999999997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257</v>
      </c>
      <c r="W287" s="313"/>
      <c r="X287" s="275" t="s">
        <v>268</v>
      </c>
      <c r="Y287" s="285" t="s">
        <v>282</v>
      </c>
      <c r="Z287" s="378"/>
      <c r="AA287" s="378"/>
      <c r="AB287" s="31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2" t="s">
        <v>381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177</v>
      </c>
      <c r="M288" s="285" t="s">
        <v>183</v>
      </c>
      <c r="N288" s="276"/>
      <c r="O288" s="285" t="s">
        <v>210</v>
      </c>
      <c r="P288" s="285" t="s">
        <v>228</v>
      </c>
      <c r="Q288" s="285" t="s">
        <v>234</v>
      </c>
      <c r="R288" s="285" t="s">
        <v>241</v>
      </c>
      <c r="S288" s="285" t="s">
        <v>246</v>
      </c>
      <c r="T288" s="285" t="s">
        <v>250</v>
      </c>
      <c r="U288" s="285" t="s">
        <v>253</v>
      </c>
      <c r="V288" s="285" t="s">
        <v>258</v>
      </c>
      <c r="W288" s="285" t="s">
        <v>265</v>
      </c>
      <c r="X288" s="285" t="s">
        <v>269</v>
      </c>
      <c r="Y288" s="285" t="s">
        <v>283</v>
      </c>
      <c r="Z288" s="285" t="s">
        <v>296</v>
      </c>
      <c r="AA288" s="285" t="s">
        <v>303</v>
      </c>
      <c r="AB288" s="285" t="s">
        <v>307</v>
      </c>
      <c r="AC288" s="285" t="s">
        <v>312</v>
      </c>
      <c r="AD288" s="285" t="s">
        <v>317</v>
      </c>
      <c r="AE288" s="285" t="s">
        <v>324</v>
      </c>
      <c r="AF288" s="285" t="s">
        <v>331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163.20000000000002</v>
      </c>
      <c r="C290" s="47">
        <f>IFERROR(X34*H34,"0")+IFERROR(X35*H35,"0")</f>
        <v>0</v>
      </c>
      <c r="D290" s="47">
        <f>IFERROR(X41*H41,"0")+IFERROR(X42*H42,"0")</f>
        <v>336</v>
      </c>
      <c r="E290" s="47">
        <f>IFERROR(X47*H47,"0")+IFERROR(X48*H48,"0")</f>
        <v>403.19999999999993</v>
      </c>
      <c r="F290" s="47">
        <f>IFERROR(X53*H53,"0")+IFERROR(X54*H54,"0")+IFERROR(X55*H55,"0")+IFERROR(X56*H56,"0")</f>
        <v>1260</v>
      </c>
      <c r="G290" s="47">
        <f>IFERROR(X61*H61,"0")+IFERROR(X65*H65,"0")+IFERROR(X66*H66,"0")+IFERROR(X70*H70,"0")+IFERROR(X71*H71,"0")+IFERROR(X72*H72,"0")</f>
        <v>16.8</v>
      </c>
      <c r="H290" s="47">
        <f>IFERROR(X77*H77,"0")+IFERROR(X78*H78,"0")</f>
        <v>1740</v>
      </c>
      <c r="I290" s="47">
        <f>IFERROR(X83*H83,"0")</f>
        <v>100.8</v>
      </c>
      <c r="J290" s="47">
        <f>IFERROR(X88*H88,"0")+IFERROR(X89*H89,"0")</f>
        <v>453.6</v>
      </c>
      <c r="K290" s="47">
        <f>IFERROR(X94*H94,"0")+IFERROR(X95*H95,"0")+IFERROR(X96*H96,"0")+IFERROR(X97*H97,"0")+IFERROR(X98*H98,"0")+IFERROR(X99*H99,"0")</f>
        <v>672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2330.4</v>
      </c>
      <c r="N290" s="276"/>
      <c r="O290" s="47">
        <f>IFERROR(X130*H130,"0")+IFERROR(X131*H131,"0")+IFERROR(X132*H132,"0")+IFERROR(X133*H133,"0")+IFERROR(X137*H137,"0")+IFERROR(X138*H138,"0")+IFERROR(X139*H139,"0")</f>
        <v>325.08</v>
      </c>
      <c r="P290" s="47">
        <f>IFERROR(X144*H144,"0")+IFERROR(X145*H145,"0")</f>
        <v>546</v>
      </c>
      <c r="Q290" s="47">
        <f>IFERROR(X150*H150,"0")+IFERROR(X151*H151,"0")</f>
        <v>336</v>
      </c>
      <c r="R290" s="47">
        <f>IFERROR(X156*H156,"0")+IFERROR(X157*H157,"0")</f>
        <v>168</v>
      </c>
      <c r="S290" s="47">
        <f>IFERROR(X162*H162,"0")</f>
        <v>84</v>
      </c>
      <c r="T290" s="47">
        <f>IFERROR(X167*H167,"0")</f>
        <v>0</v>
      </c>
      <c r="U290" s="47">
        <f>IFERROR(X172*H172,"0")</f>
        <v>211.67999999999998</v>
      </c>
      <c r="V290" s="47">
        <f>IFERROR(X178*H178,"0")+IFERROR(X179*H179,"0")</f>
        <v>0</v>
      </c>
      <c r="W290" s="47">
        <f>IFERROR(X184*H184,"0")</f>
        <v>120</v>
      </c>
      <c r="X290" s="47">
        <f>IFERROR(X190*H190,"0")+IFERROR(X191*H191,"0")+IFERROR(X192*H192,"0")+IFERROR(X193*H193,"0")</f>
        <v>420</v>
      </c>
      <c r="Y290" s="47">
        <f>IFERROR(X199*H199,"0")+IFERROR(X203*H203,"0")+IFERROR(X204*H204,"0")+IFERROR(X205*H205,"0")</f>
        <v>38.64</v>
      </c>
      <c r="Z290" s="47">
        <f>IFERROR(X210*H210,"0")+IFERROR(X211*H211,"0")</f>
        <v>0</v>
      </c>
      <c r="AA290" s="47">
        <f>IFERROR(X216*H216,"0")</f>
        <v>360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765.8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6628.8</v>
      </c>
      <c r="B293" s="60">
        <f>SUMPRODUCT(--(BB:BB="ПГП"),--(W:W="кор"),H:H,Y:Y)+SUMPRODUCT(--(BB:BB="ПГП"),--(W:W="кг"),Y:Y)</f>
        <v>4222.4000000000005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740,00"/>
        <filter val="10 851,20"/>
        <filter val="100,80"/>
        <filter val="108,00"/>
        <filter val="11 999,95"/>
        <filter val="112,00"/>
        <filter val="12 749,95"/>
        <filter val="12,00"/>
        <filter val="120,00"/>
        <filter val="126,00"/>
        <filter val="14,00"/>
        <filter val="140,00"/>
        <filter val="16,80"/>
        <filter val="163,20"/>
        <filter val="168,00"/>
        <filter val="180,00"/>
        <filter val="182,00"/>
        <filter val="2 330,40"/>
        <filter val="2 730,00"/>
        <filter val="211,68"/>
        <filter val="224,00"/>
        <filter val="238,00"/>
        <filter val="24,00"/>
        <filter val="252,00"/>
        <filter val="28,00"/>
        <filter val="30"/>
        <filter val="325,08"/>
        <filter val="336,00"/>
        <filter val="348,00"/>
        <filter val="36,00"/>
        <filter val="360,00"/>
        <filter val="38,64"/>
        <filter val="403,20"/>
        <filter val="42,00"/>
        <filter val="420,00"/>
        <filter val="453,60"/>
        <filter val="48,00"/>
        <filter val="546,00"/>
        <filter val="56,00"/>
        <filter val="672,00"/>
        <filter val="70,00"/>
        <filter val="72,00"/>
        <filter val="84,00"/>
        <filter val="93,8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