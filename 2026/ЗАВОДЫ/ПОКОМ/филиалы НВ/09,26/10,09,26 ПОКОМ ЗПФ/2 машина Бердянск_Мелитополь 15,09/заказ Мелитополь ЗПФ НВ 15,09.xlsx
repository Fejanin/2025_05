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5EC0E0BE-4928-457B-AE22-EFBAB25E63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Z278" i="1" s="1"/>
  <c r="Y268" i="1"/>
  <c r="P268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Z265" i="1" s="1"/>
  <c r="Y263" i="1"/>
  <c r="P263" i="1"/>
  <c r="BO262" i="1"/>
  <c r="BM262" i="1"/>
  <c r="Z262" i="1"/>
  <c r="Y262" i="1"/>
  <c r="P262" i="1"/>
  <c r="Y260" i="1"/>
  <c r="X260" i="1"/>
  <c r="X259" i="1"/>
  <c r="BO258" i="1"/>
  <c r="BM258" i="1"/>
  <c r="Z258" i="1"/>
  <c r="Z259" i="1" s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Z206" i="1" s="1"/>
  <c r="Y203" i="1"/>
  <c r="Y207" i="1" s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Z194" i="1" s="1"/>
  <c r="Y191" i="1"/>
  <c r="P191" i="1"/>
  <c r="BO190" i="1"/>
  <c r="BM190" i="1"/>
  <c r="Z190" i="1"/>
  <c r="Y190" i="1"/>
  <c r="Y194" i="1" s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M137" i="1"/>
  <c r="Z137" i="1"/>
  <c r="Y137" i="1"/>
  <c r="Y141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Y88" i="1"/>
  <c r="Y91" i="1" s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P70" i="1"/>
  <c r="X68" i="1"/>
  <c r="X67" i="1"/>
  <c r="BO66" i="1"/>
  <c r="BM66" i="1"/>
  <c r="Z66" i="1"/>
  <c r="Y66" i="1"/>
  <c r="BP66" i="1" s="1"/>
  <c r="P66" i="1"/>
  <c r="BO65" i="1"/>
  <c r="BM65" i="1"/>
  <c r="Z65" i="1"/>
  <c r="Z67" i="1" s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P47" i="1"/>
  <c r="X44" i="1"/>
  <c r="X43" i="1"/>
  <c r="BO42" i="1"/>
  <c r="BM42" i="1"/>
  <c r="Z42" i="1"/>
  <c r="Y42" i="1"/>
  <c r="Y44" i="1" s="1"/>
  <c r="P42" i="1"/>
  <c r="BP41" i="1"/>
  <c r="BO41" i="1"/>
  <c r="BN41" i="1"/>
  <c r="BM41" i="1"/>
  <c r="Z41" i="1"/>
  <c r="Z43" i="1" s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31" i="1" s="1"/>
  <c r="P23" i="1"/>
  <c r="BP22" i="1"/>
  <c r="BO22" i="1"/>
  <c r="BN22" i="1"/>
  <c r="BM22" i="1"/>
  <c r="Z22" i="1"/>
  <c r="Z30" i="1" s="1"/>
  <c r="Y22" i="1"/>
  <c r="P22" i="1"/>
  <c r="H10" i="1"/>
  <c r="A9" i="1"/>
  <c r="F10" i="1" s="1"/>
  <c r="D7" i="1"/>
  <c r="Q6" i="1"/>
  <c r="P2" i="1"/>
  <c r="Y195" i="1" l="1"/>
  <c r="Y30" i="1"/>
  <c r="Y36" i="1"/>
  <c r="BN35" i="1"/>
  <c r="Y43" i="1"/>
  <c r="Y49" i="1"/>
  <c r="BN48" i="1"/>
  <c r="Y68" i="1"/>
  <c r="BN66" i="1"/>
  <c r="Y74" i="1"/>
  <c r="Z79" i="1"/>
  <c r="BN77" i="1"/>
  <c r="BP77" i="1"/>
  <c r="Z90" i="1"/>
  <c r="Z100" i="1"/>
  <c r="BN94" i="1"/>
  <c r="BP94" i="1"/>
  <c r="BN96" i="1"/>
  <c r="BN98" i="1"/>
  <c r="Z106" i="1"/>
  <c r="Z118" i="1"/>
  <c r="BN110" i="1"/>
  <c r="BP110" i="1"/>
  <c r="BN112" i="1"/>
  <c r="BN114" i="1"/>
  <c r="BN116" i="1"/>
  <c r="Z134" i="1"/>
  <c r="Z140" i="1"/>
  <c r="BN137" i="1"/>
  <c r="BP137" i="1"/>
  <c r="BN139" i="1"/>
  <c r="BN151" i="1"/>
  <c r="Y158" i="1"/>
  <c r="Y159" i="1"/>
  <c r="Z180" i="1"/>
  <c r="BN184" i="1"/>
  <c r="BP184" i="1"/>
  <c r="Y185" i="1"/>
  <c r="BN190" i="1"/>
  <c r="BP190" i="1"/>
  <c r="BN192" i="1"/>
  <c r="BN211" i="1"/>
  <c r="Y279" i="1"/>
  <c r="BN270" i="1"/>
  <c r="BN272" i="1"/>
  <c r="BN274" i="1"/>
  <c r="BN276" i="1"/>
  <c r="H9" i="1"/>
  <c r="A10" i="1"/>
  <c r="X281" i="1"/>
  <c r="X282" i="1"/>
  <c r="BN23" i="1"/>
  <c r="BP23" i="1"/>
  <c r="BN25" i="1"/>
  <c r="BN27" i="1"/>
  <c r="BN29" i="1"/>
  <c r="X280" i="1"/>
  <c r="BN34" i="1"/>
  <c r="BP34" i="1"/>
  <c r="Y37" i="1"/>
  <c r="BN42" i="1"/>
  <c r="BP42" i="1"/>
  <c r="BN47" i="1"/>
  <c r="BP47" i="1"/>
  <c r="Y50" i="1"/>
  <c r="Y57" i="1"/>
  <c r="Y58" i="1"/>
  <c r="BN54" i="1"/>
  <c r="F9" i="1"/>
  <c r="J9" i="1"/>
  <c r="BN55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Z285" i="1" s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2" i="1" l="1"/>
  <c r="Y284" i="1"/>
  <c r="Y280" i="1"/>
  <c r="Y281" i="1"/>
  <c r="X283" i="1"/>
  <c r="Y283" i="1"/>
  <c r="C293" i="1" s="1"/>
  <c r="A293" i="1"/>
  <c r="B293" i="1" l="1"/>
</calcChain>
</file>

<file path=xl/sharedStrings.xml><?xml version="1.0" encoding="utf-8"?>
<sst xmlns="http://schemas.openxmlformats.org/spreadsheetml/2006/main" count="1293" uniqueCount="419">
  <si>
    <t xml:space="preserve">  БЛАНК ЗАКАЗА </t>
  </si>
  <si>
    <t>ЗПФ</t>
  </si>
  <si>
    <t>на отгрузку продукции с ООО Трейд-Сервис с</t>
  </si>
  <si>
    <t>14.09.2026</t>
  </si>
  <si>
    <t>бланк создан</t>
  </si>
  <si>
    <t>07.09.2026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</si>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</sst>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46279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0.41666666666666669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hidden="1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hidden="1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hidden="1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48</v>
      </c>
      <c r="Y23" s="279">
        <f t="shared" si="0"/>
        <v>48</v>
      </c>
      <c r="Z23" s="37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0</v>
      </c>
      <c r="Y27" s="279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307.20000000000005</v>
      </c>
      <c r="Y31" s="280">
        <f>IFERROR(SUMPRODUCT(Y22:Y29*H22:H29),"0")</f>
        <v>307.20000000000005</v>
      </c>
      <c r="Z31" s="38"/>
      <c r="AA31" s="281"/>
      <c r="AB31" s="281"/>
      <c r="AC31" s="281"/>
    </row>
    <row r="32" spans="1:68" ht="16.5" hidden="1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hidden="1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hidden="1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hidden="1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hidden="1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0</v>
      </c>
      <c r="Y41" s="279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0</v>
      </c>
      <c r="Y44" s="280">
        <f>IFERROR(SUMPRODUCT(Y41:Y42*H41:H42),"0")</f>
        <v>0</v>
      </c>
      <c r="Z44" s="38"/>
      <c r="AA44" s="281"/>
      <c r="AB44" s="281"/>
      <c r="AC44" s="281"/>
    </row>
    <row r="45" spans="1:68" ht="16.5" hidden="1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hidden="1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12</v>
      </c>
      <c r="Y47" s="279">
        <f>IFERROR(IF(X47="","",X47),"")</f>
        <v>12</v>
      </c>
      <c r="Z47" s="37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hidden="1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0</v>
      </c>
      <c r="Y48" s="279">
        <f>IFERROR(IF(X48="","",X48),"")</f>
        <v>0</v>
      </c>
      <c r="Z48" s="37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12</v>
      </c>
      <c r="Y49" s="280">
        <f>IFERROR(SUM(Y47:Y48),"0")</f>
        <v>12</v>
      </c>
      <c r="Z49" s="280">
        <f>IFERROR(IF(Z47="",0,Z47),"0")+IFERROR(IF(Z48="",0,Z48),"0")</f>
        <v>0.186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67.199999999999989</v>
      </c>
      <c r="Y50" s="280">
        <f>IFERROR(SUMPRODUCT(Y47:Y48*H47:H48),"0")</f>
        <v>67.199999999999989</v>
      </c>
      <c r="Z50" s="38"/>
      <c r="AA50" s="281"/>
      <c r="AB50" s="281"/>
      <c r="AC50" s="281"/>
    </row>
    <row r="51" spans="1:68" ht="16.5" hidden="1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hidden="1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hidden="1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0</v>
      </c>
      <c r="Y53" s="279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0</v>
      </c>
      <c r="Y57" s="280">
        <f>IFERROR(SUM(Y53:Y56),"0")</f>
        <v>0</v>
      </c>
      <c r="Z57" s="280">
        <f>IFERROR(IF(Z53="",0,Z53),"0")+IFERROR(IF(Z54="",0,Z54),"0")+IFERROR(IF(Z55="",0,Z55),"0")+IFERROR(IF(Z56="",0,Z56),"0")</f>
        <v>0</v>
      </c>
      <c r="AA57" s="281"/>
      <c r="AB57" s="281"/>
      <c r="AC57" s="281"/>
    </row>
    <row r="58" spans="1:68" hidden="1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0</v>
      </c>
      <c r="Y58" s="280">
        <f>IFERROR(SUMPRODUCT(Y53:Y56*H53:H56),"0")</f>
        <v>0</v>
      </c>
      <c r="Z58" s="38"/>
      <c r="AA58" s="281"/>
      <c r="AB58" s="281"/>
      <c r="AC58" s="281"/>
    </row>
    <row r="59" spans="1:68" ht="16.5" hidden="1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hidden="1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14</v>
      </c>
      <c r="Y72" s="279">
        <f>IFERROR(IF(X72="","",X72),"")</f>
        <v>14</v>
      </c>
      <c r="Z72" s="37">
        <f>IFERROR(IF(X72="","",X72*0.00941),"")</f>
        <v>0.13174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21.84</v>
      </c>
      <c r="BN72" s="67">
        <f>IFERROR(Y72*I72,"0")</f>
        <v>21.84</v>
      </c>
      <c r="BO72" s="67">
        <f>IFERROR(X72/J72,"0")</f>
        <v>0.1</v>
      </c>
      <c r="BP72" s="67">
        <f>IFERROR(Y72/J72,"0")</f>
        <v>0.1</v>
      </c>
    </row>
    <row r="73" spans="1:68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14</v>
      </c>
      <c r="Y73" s="280">
        <f>IFERROR(SUM(Y70:Y72),"0")</f>
        <v>14</v>
      </c>
      <c r="Z73" s="280">
        <f>IFERROR(IF(Z70="",0,Z70),"0")+IFERROR(IF(Z71="",0,Z71),"0")+IFERROR(IF(Z72="",0,Z72),"0")</f>
        <v>0.13174</v>
      </c>
      <c r="AA73" s="281"/>
      <c r="AB73" s="281"/>
      <c r="AC73" s="281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16.8</v>
      </c>
      <c r="Y74" s="280">
        <f>IFERROR(SUMPRODUCT(Y70:Y72*H70:H72),"0")</f>
        <v>16.8</v>
      </c>
      <c r="Z74" s="38"/>
      <c r="AA74" s="281"/>
      <c r="AB74" s="281"/>
      <c r="AC74" s="281"/>
    </row>
    <row r="75" spans="1:68" ht="16.5" hidden="1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hidden="1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96</v>
      </c>
      <c r="Y78" s="279">
        <f>IFERROR(IF(X78="","",X78),"")</f>
        <v>96</v>
      </c>
      <c r="Z78" s="37">
        <f>IFERROR(IF(X78="","",X78*0.00866),"")</f>
        <v>0.83135999999999988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500.46719999999993</v>
      </c>
      <c r="BN78" s="67">
        <f>IFERROR(Y78*I78,"0")</f>
        <v>500.46719999999993</v>
      </c>
      <c r="BO78" s="67">
        <f>IFERROR(X78/J78,"0")</f>
        <v>0.66666666666666663</v>
      </c>
      <c r="BP78" s="67">
        <f>IFERROR(Y78/J78,"0")</f>
        <v>0.66666666666666663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96</v>
      </c>
      <c r="Y79" s="280">
        <f>IFERROR(SUM(Y77:Y78),"0")</f>
        <v>96</v>
      </c>
      <c r="Z79" s="280">
        <f>IFERROR(IF(Z77="",0,Z77),"0")+IFERROR(IF(Z78="",0,Z78),"0")</f>
        <v>0.83135999999999988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480</v>
      </c>
      <c r="Y80" s="280">
        <f>IFERROR(SUMPRODUCT(Y77:Y78*H77:H78),"0")</f>
        <v>480</v>
      </c>
      <c r="Z80" s="38"/>
      <c r="AA80" s="281"/>
      <c r="AB80" s="281"/>
      <c r="AC80" s="281"/>
    </row>
    <row r="81" spans="1:68" ht="16.5" hidden="1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hidden="1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hidden="1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hidden="1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0</v>
      </c>
      <c r="Y88" s="279">
        <f>IFERROR(IF(X88="","",X88),"")</f>
        <v>0</v>
      </c>
      <c r="Z88" s="37">
        <f>IFERROR(IF(X88="","",X88*0.01788),"")</f>
        <v>0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0</v>
      </c>
      <c r="Y89" s="279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0</v>
      </c>
      <c r="Y90" s="280">
        <f>IFERROR(SUM(Y88:Y89),"0")</f>
        <v>0</v>
      </c>
      <c r="Z90" s="280">
        <f>IFERROR(IF(Z88="",0,Z88),"0")+IFERROR(IF(Z89="",0,Z89),"0")</f>
        <v>0</v>
      </c>
      <c r="AA90" s="281"/>
      <c r="AB90" s="281"/>
      <c r="AC90" s="281"/>
    </row>
    <row r="91" spans="1:68" hidden="1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0</v>
      </c>
      <c r="Y91" s="280">
        <f>IFERROR(SUMPRODUCT(Y88:Y89*H88:H89),"0")</f>
        <v>0</v>
      </c>
      <c r="Z91" s="38"/>
      <c r="AA91" s="281"/>
      <c r="AB91" s="281"/>
      <c r="AC91" s="281"/>
    </row>
    <row r="92" spans="1:68" ht="16.5" hidden="1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hidden="1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hidden="1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0</v>
      </c>
      <c r="Y94" s="279">
        <f t="shared" ref="Y94:Y99" si="6">IFERROR(IF(X94="","",X94),"")</f>
        <v>0</v>
      </c>
      <c r="Z94" s="37">
        <f t="shared" ref="Z94:Z99" si="7">IFERROR(IF(X94="","",X94*0.01788),"")</f>
        <v>0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hidden="1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0</v>
      </c>
      <c r="Y95" s="279">
        <f t="shared" si="6"/>
        <v>0</v>
      </c>
      <c r="Z95" s="37">
        <f t="shared" si="7"/>
        <v>0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168</v>
      </c>
      <c r="B96" s="54" t="s">
        <v>169</v>
      </c>
      <c r="C96" s="32">
        <v>4301135990</v>
      </c>
      <c r="D96" s="295">
        <v>4620207491881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66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28</v>
      </c>
      <c r="Y96" s="279">
        <f t="shared" si="6"/>
        <v>28</v>
      </c>
      <c r="Z96" s="37">
        <f t="shared" si="7"/>
        <v>0.50063999999999997</v>
      </c>
      <c r="AA96" s="56"/>
      <c r="AB96" s="57"/>
      <c r="AC96" s="134" t="s">
        <v>167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170</v>
      </c>
      <c r="B97" s="54" t="s">
        <v>171</v>
      </c>
      <c r="C97" s="32">
        <v>4301135920</v>
      </c>
      <c r="D97" s="295">
        <v>4620207491577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66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0</v>
      </c>
      <c r="Y97" s="279">
        <f t="shared" si="6"/>
        <v>0</v>
      </c>
      <c r="Z97" s="37">
        <f t="shared" si="7"/>
        <v>0</v>
      </c>
      <c r="AA97" s="56"/>
      <c r="AB97" s="57"/>
      <c r="AC97" s="136" t="s">
        <v>167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172</v>
      </c>
      <c r="B98" s="54" t="s">
        <v>173</v>
      </c>
      <c r="C98" s="32">
        <v>4301135984</v>
      </c>
      <c r="D98" s="295">
        <v>4620207491874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66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42</v>
      </c>
      <c r="Y98" s="279">
        <f t="shared" si="6"/>
        <v>42</v>
      </c>
      <c r="Z98" s="37">
        <f t="shared" si="7"/>
        <v>0.75095999999999996</v>
      </c>
      <c r="AA98" s="56"/>
      <c r="AB98" s="57"/>
      <c r="AC98" s="138" t="s">
        <v>167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186.84960000000001</v>
      </c>
      <c r="BN98" s="67">
        <f t="shared" si="9"/>
        <v>186.84960000000001</v>
      </c>
      <c r="BO98" s="67">
        <f t="shared" si="10"/>
        <v>0.6</v>
      </c>
      <c r="BP98" s="67">
        <f t="shared" si="11"/>
        <v>0.6</v>
      </c>
    </row>
    <row r="99" spans="1:68" ht="27" hidden="1" customHeight="1" x14ac:dyDescent="0.25">
      <c r="A99" s="54" t="s">
        <v>174</v>
      </c>
      <c r="B99" s="54" t="s">
        <v>175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70</v>
      </c>
      <c r="Y100" s="280">
        <f>IFERROR(SUM(Y94:Y99),"0")</f>
        <v>70</v>
      </c>
      <c r="Z100" s="280">
        <f>IFERROR(IF(Z94="",0,Z94),"0")+IFERROR(IF(Z95="",0,Z95),"0")+IFERROR(IF(Z96="",0,Z96),"0")+IFERROR(IF(Z97="",0,Z97),"0")+IFERROR(IF(Z98="",0,Z98),"0")+IFERROR(IF(Z99="",0,Z99),"0")</f>
        <v>1.2515999999999998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241.92000000000002</v>
      </c>
      <c r="Y101" s="280">
        <f>IFERROR(SUMPRODUCT(Y94:Y99*H94:H99),"0")</f>
        <v>241.92000000000002</v>
      </c>
      <c r="Z101" s="38"/>
      <c r="AA101" s="281"/>
      <c r="AB101" s="281"/>
      <c r="AC101" s="281"/>
    </row>
    <row r="102" spans="1:68" ht="16.5" hidden="1" customHeight="1" x14ac:dyDescent="0.25">
      <c r="A102" s="310" t="s">
        <v>177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hidden="1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hidden="1" customHeight="1" x14ac:dyDescent="0.25">
      <c r="A104" s="54" t="s">
        <v>178</v>
      </c>
      <c r="B104" s="54" t="s">
        <v>179</v>
      </c>
      <c r="C104" s="32">
        <v>4301136101</v>
      </c>
      <c r="D104" s="295">
        <v>4620207491652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66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180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10" t="s">
        <v>183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hidden="1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hidden="1" customHeight="1" x14ac:dyDescent="0.25">
      <c r="A110" s="54" t="s">
        <v>184</v>
      </c>
      <c r="B110" s="54" t="s">
        <v>185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189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194</v>
      </c>
      <c r="B114" s="54" t="s">
        <v>195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0</v>
      </c>
      <c r="Y114" s="279">
        <f t="shared" si="12"/>
        <v>0</v>
      </c>
      <c r="Z114" s="37">
        <f t="shared" si="13"/>
        <v>0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196</v>
      </c>
      <c r="B115" s="54" t="s">
        <v>197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198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199</v>
      </c>
      <c r="B116" s="54" t="s">
        <v>200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201</v>
      </c>
      <c r="B117" s="54" t="s">
        <v>202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60</v>
      </c>
      <c r="Y117" s="279">
        <f t="shared" si="12"/>
        <v>60</v>
      </c>
      <c r="Z117" s="37">
        <f t="shared" si="13"/>
        <v>0.92999999999999994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438</v>
      </c>
      <c r="BN117" s="67">
        <f t="shared" si="15"/>
        <v>438</v>
      </c>
      <c r="BO117" s="67">
        <f t="shared" si="16"/>
        <v>0.7142857142857143</v>
      </c>
      <c r="BP117" s="67">
        <f t="shared" si="17"/>
        <v>0.7142857142857143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60</v>
      </c>
      <c r="Y118" s="280">
        <f>IFERROR(SUM(Y110:Y117),"0")</f>
        <v>60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0.92999999999999994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420</v>
      </c>
      <c r="Y119" s="280">
        <f>IFERROR(SUMPRODUCT(Y110:Y117*H110:H117),"0")</f>
        <v>420</v>
      </c>
      <c r="Z119" s="38"/>
      <c r="AA119" s="281"/>
      <c r="AB119" s="281"/>
      <c r="AC119" s="281"/>
    </row>
    <row r="120" spans="1:68" ht="14.25" hidden="1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hidden="1" customHeight="1" x14ac:dyDescent="0.25">
      <c r="A121" s="54" t="s">
        <v>203</v>
      </c>
      <c r="B121" s="54" t="s">
        <v>204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205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4" t="s">
        <v>206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10" t="s">
        <v>210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hidden="1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211</v>
      </c>
      <c r="B130" s="54" t="s">
        <v>212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14</v>
      </c>
      <c r="Y130" s="279">
        <f>IFERROR(IF(X130="","",X130),"")</f>
        <v>14</v>
      </c>
      <c r="Z130" s="37">
        <f>IFERROR(IF(X130="","",X130*0.00941),"")</f>
        <v>0.13174</v>
      </c>
      <c r="AA130" s="56"/>
      <c r="AB130" s="57"/>
      <c r="AC130" s="166" t="s">
        <v>213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25.2</v>
      </c>
      <c r="BN130" s="67">
        <f>IFERROR(Y130*I130,"0")</f>
        <v>25.2</v>
      </c>
      <c r="BO130" s="67">
        <f>IFERROR(X130/J130,"0")</f>
        <v>0.1</v>
      </c>
      <c r="BP130" s="67">
        <f>IFERROR(Y130/J130,"0")</f>
        <v>0.1</v>
      </c>
    </row>
    <row r="131" spans="1:68" ht="27" hidden="1" customHeight="1" x14ac:dyDescent="0.25">
      <c r="A131" s="54" t="s">
        <v>214</v>
      </c>
      <c r="B131" s="54" t="s">
        <v>215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213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216</v>
      </c>
      <c r="B132" s="54" t="s">
        <v>217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14</v>
      </c>
      <c r="Y132" s="279">
        <f>IFERROR(IF(X132="","",X132),"")</f>
        <v>14</v>
      </c>
      <c r="Z132" s="37">
        <f>IFERROR(IF(X132="","",X132*0.00941),"")</f>
        <v>0.13174</v>
      </c>
      <c r="AA132" s="56"/>
      <c r="AB132" s="57"/>
      <c r="AC132" s="170" t="s">
        <v>213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24.36</v>
      </c>
      <c r="BN132" s="67">
        <f>IFERROR(Y132*I132,"0")</f>
        <v>24.36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218</v>
      </c>
      <c r="B133" s="54" t="s">
        <v>219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213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28</v>
      </c>
      <c r="Y134" s="280">
        <f>IFERROR(SUM(Y130:Y133),"0")</f>
        <v>28</v>
      </c>
      <c r="Z134" s="280">
        <f>IFERROR(IF(Z130="",0,Z130),"0")+IFERROR(IF(Z131="",0,Z131),"0")+IFERROR(IF(Z132="",0,Z132),"0")+IFERROR(IF(Z133="",0,Z133),"0")</f>
        <v>0.26347999999999999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37.799999999999997</v>
      </c>
      <c r="Y135" s="280">
        <f>IFERROR(SUMPRODUCT(Y130:Y133*H130:H133),"0")</f>
        <v>37.799999999999997</v>
      </c>
      <c r="Z135" s="38"/>
      <c r="AA135" s="281"/>
      <c r="AB135" s="281"/>
      <c r="AC135" s="281"/>
    </row>
    <row r="136" spans="1:68" ht="14.25" hidden="1" customHeight="1" x14ac:dyDescent="0.25">
      <c r="A136" s="304" t="s">
        <v>220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hidden="1" customHeight="1" x14ac:dyDescent="0.25">
      <c r="A137" s="54" t="s">
        <v>221</v>
      </c>
      <c r="B137" s="54" t="s">
        <v>222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223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223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226</v>
      </c>
      <c r="B139" s="54" t="s">
        <v>227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223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10" t="s">
        <v>228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hidden="1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hidden="1" customHeight="1" x14ac:dyDescent="0.25">
      <c r="A144" s="54" t="s">
        <v>229</v>
      </c>
      <c r="B144" s="54" t="s">
        <v>230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0</v>
      </c>
      <c r="Y144" s="279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231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232</v>
      </c>
      <c r="B145" s="54" t="s">
        <v>233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0</v>
      </c>
      <c r="Y147" s="280">
        <f>IFERROR(SUMPRODUCT(Y144:Y145*H144:H145),"0")</f>
        <v>0</v>
      </c>
      <c r="Z147" s="38"/>
      <c r="AA147" s="281"/>
      <c r="AB147" s="281"/>
      <c r="AC147" s="281"/>
    </row>
    <row r="148" spans="1:68" ht="16.5" hidden="1" customHeight="1" x14ac:dyDescent="0.25">
      <c r="A148" s="310" t="s">
        <v>234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hidden="1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235</v>
      </c>
      <c r="B150" s="54" t="s">
        <v>236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14</v>
      </c>
      <c r="Y150" s="279">
        <f>IFERROR(IF(X150="","",X150),"")</f>
        <v>14</v>
      </c>
      <c r="Z150" s="37">
        <f>IFERROR(IF(X150="","",X150*0.01788),"")</f>
        <v>0.25031999999999999</v>
      </c>
      <c r="AA150" s="56"/>
      <c r="AB150" s="57"/>
      <c r="AC150" s="184" t="s">
        <v>237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52.472000000000001</v>
      </c>
      <c r="BN150" s="67">
        <f>IFERROR(Y150*I150,"0")</f>
        <v>52.472000000000001</v>
      </c>
      <c r="BO150" s="67">
        <f>IFERROR(X150/J150,"0")</f>
        <v>0.2</v>
      </c>
      <c r="BP150" s="67">
        <f>IFERROR(Y150/J150,"0")</f>
        <v>0.2</v>
      </c>
    </row>
    <row r="151" spans="1:68" ht="16.5" hidden="1" customHeight="1" x14ac:dyDescent="0.25">
      <c r="A151" s="54" t="s">
        <v>238</v>
      </c>
      <c r="B151" s="54" t="s">
        <v>239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0</v>
      </c>
      <c r="Y151" s="279">
        <f>IFERROR(IF(X151="","",X151),"")</f>
        <v>0</v>
      </c>
      <c r="Z151" s="37">
        <f>IFERROR(IF(X151="","",X151*0.01788),"")</f>
        <v>0</v>
      </c>
      <c r="AA151" s="56"/>
      <c r="AB151" s="57"/>
      <c r="AC151" s="186" t="s">
        <v>240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14</v>
      </c>
      <c r="Y152" s="280">
        <f>IFERROR(SUM(Y150:Y151),"0")</f>
        <v>14</v>
      </c>
      <c r="Z152" s="280">
        <f>IFERROR(IF(Z150="",0,Z150),"0")+IFERROR(IF(Z151="",0,Z151),"0")</f>
        <v>0.25031999999999999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42</v>
      </c>
      <c r="Y153" s="280">
        <f>IFERROR(SUMPRODUCT(Y150:Y151*H150:H151),"0")</f>
        <v>42</v>
      </c>
      <c r="Z153" s="38"/>
      <c r="AA153" s="281"/>
      <c r="AB153" s="281"/>
      <c r="AC153" s="281"/>
    </row>
    <row r="154" spans="1:68" ht="16.5" hidden="1" customHeight="1" x14ac:dyDescent="0.25">
      <c r="A154" s="310" t="s">
        <v>241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hidden="1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hidden="1" customHeight="1" x14ac:dyDescent="0.25">
      <c r="A156" s="54" t="s">
        <v>242</v>
      </c>
      <c r="B156" s="54" t="s">
        <v>243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0</v>
      </c>
      <c r="Y156" s="279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231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customHeight="1" x14ac:dyDescent="0.25">
      <c r="A157" s="54" t="s">
        <v>244</v>
      </c>
      <c r="B157" s="54" t="s">
        <v>245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14</v>
      </c>
      <c r="Y157" s="279">
        <f>IFERROR(IF(X157="","",X157),"")</f>
        <v>14</v>
      </c>
      <c r="Z157" s="37">
        <f>IFERROR(IF(X157="","",X157*0.01788),"")</f>
        <v>0.25031999999999999</v>
      </c>
      <c r="AA157" s="56"/>
      <c r="AB157" s="57"/>
      <c r="AC157" s="190" t="s">
        <v>231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37.520000000000003</v>
      </c>
      <c r="BN157" s="67">
        <f>IFERROR(Y157*I157,"0")</f>
        <v>37.520000000000003</v>
      </c>
      <c r="BO157" s="67">
        <f>IFERROR(X157/J157,"0")</f>
        <v>0.2</v>
      </c>
      <c r="BP157" s="67">
        <f>IFERROR(Y157/J157,"0")</f>
        <v>0.2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14</v>
      </c>
      <c r="Y158" s="280">
        <f>IFERROR(SUM(Y156:Y157),"0")</f>
        <v>14</v>
      </c>
      <c r="Z158" s="280">
        <f>IFERROR(IF(Z156="",0,Z156),"0")+IFERROR(IF(Z157="",0,Z157),"0")</f>
        <v>0.25031999999999999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33.6</v>
      </c>
      <c r="Y159" s="280">
        <f>IFERROR(SUMPRODUCT(Y156:Y157*H156:H157),"0")</f>
        <v>33.6</v>
      </c>
      <c r="Z159" s="38"/>
      <c r="AA159" s="281"/>
      <c r="AB159" s="281"/>
      <c r="AC159" s="281"/>
    </row>
    <row r="160" spans="1:68" ht="16.5" hidden="1" customHeight="1" x14ac:dyDescent="0.25">
      <c r="A160" s="310" t="s">
        <v>246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hidden="1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247</v>
      </c>
      <c r="B162" s="54" t="s">
        <v>248</v>
      </c>
      <c r="C162" s="32">
        <v>4301135940</v>
      </c>
      <c r="D162" s="295">
        <v>4620207491614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66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14</v>
      </c>
      <c r="Y162" s="279">
        <f>IFERROR(IF(X162="","",X162),"")</f>
        <v>14</v>
      </c>
      <c r="Z162" s="37">
        <f>IFERROR(IF(X162="","",X162*0.01788),"")</f>
        <v>0.25031999999999999</v>
      </c>
      <c r="AA162" s="56"/>
      <c r="AB162" s="57"/>
      <c r="AC162" s="192" t="s">
        <v>249</v>
      </c>
      <c r="AG162" s="67"/>
      <c r="AJ162" s="71" t="s">
        <v>70</v>
      </c>
      <c r="AK162" s="71">
        <v>1</v>
      </c>
      <c r="BB162" s="193" t="s">
        <v>104</v>
      </c>
      <c r="BM162" s="67">
        <f>IFERROR(X162*I162,"0")</f>
        <v>51.850399999999993</v>
      </c>
      <c r="BN162" s="67">
        <f>IFERROR(Y162*I162,"0")</f>
        <v>51.850399999999993</v>
      </c>
      <c r="BO162" s="67">
        <f>IFERROR(X162/J162,"0")</f>
        <v>0.2</v>
      </c>
      <c r="BP162" s="67">
        <f>IFERROR(Y162/J162,"0")</f>
        <v>0.2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14</v>
      </c>
      <c r="Y163" s="280">
        <f>IFERROR(SUM(Y162:Y162),"0")</f>
        <v>14</v>
      </c>
      <c r="Z163" s="280">
        <f>IFERROR(IF(Z162="",0,Z162),"0")</f>
        <v>0.25031999999999999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42</v>
      </c>
      <c r="Y164" s="280">
        <f>IFERROR(SUMPRODUCT(Y162:Y162*H162:H162),"0")</f>
        <v>42</v>
      </c>
      <c r="Z164" s="38"/>
      <c r="AA164" s="281"/>
      <c r="AB164" s="281"/>
      <c r="AC164" s="281"/>
    </row>
    <row r="165" spans="1:68" ht="16.5" hidden="1" customHeight="1" x14ac:dyDescent="0.25">
      <c r="A165" s="310" t="s">
        <v>250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hidden="1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hidden="1" customHeight="1" x14ac:dyDescent="0.25">
      <c r="A167" s="54" t="s">
        <v>251</v>
      </c>
      <c r="B167" s="54" t="s">
        <v>252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237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10" t="s">
        <v>253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hidden="1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hidden="1" customHeight="1" x14ac:dyDescent="0.25">
      <c r="A172" s="54" t="s">
        <v>254</v>
      </c>
      <c r="B172" s="54" t="s">
        <v>255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0</v>
      </c>
      <c r="Y172" s="279">
        <f>IFERROR(IF(X172="","",X172),"")</f>
        <v>0</v>
      </c>
      <c r="Z172" s="37">
        <f>IFERROR(IF(X172="","",X172*0.00941),"")</f>
        <v>0</v>
      </c>
      <c r="AA172" s="56"/>
      <c r="AB172" s="57"/>
      <c r="AC172" s="196" t="s">
        <v>256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0</v>
      </c>
      <c r="Y174" s="280">
        <f>IFERROR(SUMPRODUCT(Y172:Y172*H172:H172),"0")</f>
        <v>0</v>
      </c>
      <c r="Z174" s="38"/>
      <c r="AA174" s="281"/>
      <c r="AB174" s="281"/>
      <c r="AC174" s="281"/>
    </row>
    <row r="175" spans="1:68" ht="27.75" hidden="1" customHeight="1" x14ac:dyDescent="0.2">
      <c r="A175" s="362" t="s">
        <v>257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hidden="1" customHeight="1" x14ac:dyDescent="0.25">
      <c r="A176" s="310" t="s">
        <v>258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hidden="1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hidden="1" customHeight="1" x14ac:dyDescent="0.25">
      <c r="A178" s="54" t="s">
        <v>259</v>
      </c>
      <c r="B178" s="54" t="s">
        <v>260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261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262</v>
      </c>
      <c r="B179" s="54" t="s">
        <v>263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264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hidden="1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hidden="1" customHeight="1" x14ac:dyDescent="0.25">
      <c r="A182" s="310" t="s">
        <v>265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hidden="1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266</v>
      </c>
      <c r="B184" s="54" t="s">
        <v>267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144</v>
      </c>
      <c r="Y184" s="279">
        <f>IFERROR(IF(X184="","",X184),"")</f>
        <v>144</v>
      </c>
      <c r="Z184" s="37">
        <f>IFERROR(IF(X184="","",X184*0.0155),"")</f>
        <v>2.2320000000000002</v>
      </c>
      <c r="AA184" s="56"/>
      <c r="AB184" s="57"/>
      <c r="AC184" s="202" t="s">
        <v>264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757.72799999999995</v>
      </c>
      <c r="BN184" s="67">
        <f>IFERROR(Y184*I184,"0")</f>
        <v>757.72799999999995</v>
      </c>
      <c r="BO184" s="67">
        <f>IFERROR(X184/J184,"0")</f>
        <v>1.7142857142857142</v>
      </c>
      <c r="BP184" s="67">
        <f>IFERROR(Y184/J184,"0")</f>
        <v>1.7142857142857142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144</v>
      </c>
      <c r="Y185" s="280">
        <f>IFERROR(SUM(Y184:Y184),"0")</f>
        <v>144</v>
      </c>
      <c r="Z185" s="280">
        <f>IFERROR(IF(Z184="",0,Z184),"0")</f>
        <v>2.2320000000000002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720</v>
      </c>
      <c r="Y186" s="280">
        <f>IFERROR(SUMPRODUCT(Y184:Y184*H184:H184),"0")</f>
        <v>720</v>
      </c>
      <c r="Z186" s="38"/>
      <c r="AA186" s="281"/>
      <c r="AB186" s="281"/>
      <c r="AC186" s="281"/>
    </row>
    <row r="187" spans="1:68" ht="27.75" hidden="1" customHeight="1" x14ac:dyDescent="0.2">
      <c r="A187" s="362" t="s">
        <v>268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hidden="1" customHeight="1" x14ac:dyDescent="0.25">
      <c r="A188" s="310" t="s">
        <v>269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hidden="1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hidden="1" customHeight="1" x14ac:dyDescent="0.25">
      <c r="A190" s="54" t="s">
        <v>270</v>
      </c>
      <c r="B190" s="54" t="s">
        <v>271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0</v>
      </c>
      <c r="Y190" s="279">
        <f>IFERROR(IF(X190="","",X190),"")</f>
        <v>0</v>
      </c>
      <c r="Z190" s="37">
        <f>IFERROR(IF(X190="","",X190*0.01788),"")</f>
        <v>0</v>
      </c>
      <c r="AA190" s="56"/>
      <c r="AB190" s="57"/>
      <c r="AC190" s="204" t="s">
        <v>272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hidden="1" customHeight="1" x14ac:dyDescent="0.25">
      <c r="A191" s="54" t="s">
        <v>273</v>
      </c>
      <c r="B191" s="54" t="s">
        <v>274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275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276</v>
      </c>
      <c r="B192" s="54" t="s">
        <v>277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0</v>
      </c>
      <c r="Y192" s="279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278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281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0</v>
      </c>
      <c r="Y194" s="280">
        <f>IFERROR(SUM(Y190:Y193),"0")</f>
        <v>0</v>
      </c>
      <c r="Z194" s="280">
        <f>IFERROR(IF(Z190="",0,Z190),"0")+IFERROR(IF(Z191="",0,Z191),"0")+IFERROR(IF(Z192="",0,Z192),"0")+IFERROR(IF(Z193="",0,Z193),"0")</f>
        <v>0</v>
      </c>
      <c r="AA194" s="281"/>
      <c r="AB194" s="281"/>
      <c r="AC194" s="281"/>
    </row>
    <row r="195" spans="1:68" hidden="1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0</v>
      </c>
      <c r="Y195" s="280">
        <f>IFERROR(SUMPRODUCT(Y190:Y193*H190:H193),"0")</f>
        <v>0</v>
      </c>
      <c r="Z195" s="38"/>
      <c r="AA195" s="281"/>
      <c r="AB195" s="281"/>
      <c r="AC195" s="281"/>
    </row>
    <row r="196" spans="1:68" ht="27.75" hidden="1" customHeight="1" x14ac:dyDescent="0.2">
      <c r="A196" s="362" t="s">
        <v>282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hidden="1" customHeight="1" x14ac:dyDescent="0.25">
      <c r="A197" s="310" t="s">
        <v>283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hidden="1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hidden="1" customHeight="1" x14ac:dyDescent="0.25">
      <c r="A199" s="54" t="s">
        <v>284</v>
      </c>
      <c r="B199" s="54" t="s">
        <v>285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286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hidden="1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hidden="1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hidden="1" customHeight="1" x14ac:dyDescent="0.25">
      <c r="A203" s="54" t="s">
        <v>287</v>
      </c>
      <c r="B203" s="54" t="s">
        <v>288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289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290</v>
      </c>
      <c r="B204" s="54" t="s">
        <v>291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292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293</v>
      </c>
      <c r="B205" s="54" t="s">
        <v>294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295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10" t="s">
        <v>296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hidden="1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hidden="1" customHeight="1" x14ac:dyDescent="0.25">
      <c r="A210" s="54" t="s">
        <v>297</v>
      </c>
      <c r="B210" s="54" t="s">
        <v>298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299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302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10" t="s">
        <v>303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hidden="1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304</v>
      </c>
      <c r="B216" s="54" t="s">
        <v>305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60</v>
      </c>
      <c r="Y216" s="279">
        <f>IFERROR(IF(X216="","",X216),"")</f>
        <v>60</v>
      </c>
      <c r="Z216" s="37">
        <f>IFERROR(IF(X216="","",X216*0.0155),"")</f>
        <v>0.92999999999999994</v>
      </c>
      <c r="AA216" s="56"/>
      <c r="AB216" s="57"/>
      <c r="AC216" s="224" t="s">
        <v>306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313.8</v>
      </c>
      <c r="BN216" s="67">
        <f>IFERROR(Y216*I216,"0")</f>
        <v>313.8</v>
      </c>
      <c r="BO216" s="67">
        <f>IFERROR(X216/J216,"0")</f>
        <v>0.7142857142857143</v>
      </c>
      <c r="BP216" s="67">
        <f>IFERROR(Y216/J216,"0")</f>
        <v>0.7142857142857143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60</v>
      </c>
      <c r="Y217" s="280">
        <f>IFERROR(SUM(Y216:Y216),"0")</f>
        <v>60</v>
      </c>
      <c r="Z217" s="280">
        <f>IFERROR(IF(Z216="",0,Z216),"0")</f>
        <v>0.92999999999999994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300</v>
      </c>
      <c r="Y218" s="280">
        <f>IFERROR(SUMPRODUCT(Y216:Y216*H216:H216),"0")</f>
        <v>300</v>
      </c>
      <c r="Z218" s="38"/>
      <c r="AA218" s="281"/>
      <c r="AB218" s="281"/>
      <c r="AC218" s="281"/>
    </row>
    <row r="219" spans="1:68" ht="16.5" hidden="1" customHeight="1" x14ac:dyDescent="0.25">
      <c r="A219" s="310" t="s">
        <v>307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hidden="1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hidden="1" customHeight="1" x14ac:dyDescent="0.25">
      <c r="A221" s="54" t="s">
        <v>308</v>
      </c>
      <c r="B221" s="54" t="s">
        <v>309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310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2" t="s">
        <v>311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hidden="1" customHeight="1" x14ac:dyDescent="0.25">
      <c r="A225" s="310" t="s">
        <v>312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hidden="1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hidden="1" customHeight="1" x14ac:dyDescent="0.25">
      <c r="A227" s="54" t="s">
        <v>313</v>
      </c>
      <c r="B227" s="54" t="s">
        <v>314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315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2" t="s">
        <v>316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hidden="1" customHeight="1" x14ac:dyDescent="0.25">
      <c r="A231" s="310" t="s">
        <v>317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hidden="1" customHeight="1" x14ac:dyDescent="0.25">
      <c r="A232" s="304" t="s">
        <v>318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hidden="1" customHeight="1" x14ac:dyDescent="0.25">
      <c r="A233" s="54" t="s">
        <v>319</v>
      </c>
      <c r="B233" s="54" t="s">
        <v>320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321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hidden="1" customHeight="1" x14ac:dyDescent="0.25">
      <c r="A237" s="54" t="s">
        <v>322</v>
      </c>
      <c r="B237" s="54" t="s">
        <v>323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321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2" t="s">
        <v>324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hidden="1" customHeight="1" x14ac:dyDescent="0.25">
      <c r="A241" s="310" t="s">
        <v>324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hidden="1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hidden="1" customHeight="1" x14ac:dyDescent="0.25">
      <c r="A243" s="54" t="s">
        <v>325</v>
      </c>
      <c r="B243" s="54" t="s">
        <v>326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327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hidden="1" customHeight="1" x14ac:dyDescent="0.25">
      <c r="A247" s="54" t="s">
        <v>328</v>
      </c>
      <c r="B247" s="54" t="s">
        <v>329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330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2" t="s">
        <v>331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hidden="1" customHeight="1" x14ac:dyDescent="0.25">
      <c r="A251" s="310" t="s">
        <v>331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hidden="1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hidden="1" customHeight="1" x14ac:dyDescent="0.25">
      <c r="A253" s="54" t="s">
        <v>332</v>
      </c>
      <c r="B253" s="54" t="s">
        <v>333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334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335</v>
      </c>
      <c r="B254" s="54" t="s">
        <v>336</v>
      </c>
      <c r="C254" s="32">
        <v>4301071141</v>
      </c>
      <c r="D254" s="295">
        <v>4620207491980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66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12</v>
      </c>
      <c r="Y254" s="279">
        <f>IFERROR(IF(X254="","",X254),"")</f>
        <v>12</v>
      </c>
      <c r="Z254" s="37">
        <f>IFERROR(IF(X254="","",X254*0.0155),"")</f>
        <v>0.186</v>
      </c>
      <c r="AA254" s="56"/>
      <c r="AB254" s="57"/>
      <c r="AC254" s="240" t="s">
        <v>337</v>
      </c>
      <c r="AG254" s="67"/>
      <c r="AJ254" s="71" t="s">
        <v>70</v>
      </c>
      <c r="AK254" s="71">
        <v>1</v>
      </c>
      <c r="BB254" s="241" t="s">
        <v>1</v>
      </c>
      <c r="BM254" s="67">
        <f>IFERROR(X254*I254,"0")</f>
        <v>87.36</v>
      </c>
      <c r="BN254" s="67">
        <f>IFERROR(Y254*I254,"0")</f>
        <v>87.36</v>
      </c>
      <c r="BO254" s="67">
        <f>IFERROR(X254/J254,"0")</f>
        <v>0.14285714285714285</v>
      </c>
      <c r="BP254" s="67">
        <f>IFERROR(Y254/J254,"0")</f>
        <v>0.14285714285714285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12</v>
      </c>
      <c r="Y255" s="280">
        <f>IFERROR(SUM(Y253:Y254),"0")</f>
        <v>12</v>
      </c>
      <c r="Z255" s="280">
        <f>IFERROR(IF(Z253="",0,Z253),"0")+IFERROR(IF(Z254="",0,Z254),"0")</f>
        <v>0.186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84</v>
      </c>
      <c r="Y256" s="280">
        <f>IFERROR(SUMPRODUCT(Y253:Y254*H253:H254),"0")</f>
        <v>84</v>
      </c>
      <c r="Z256" s="38"/>
      <c r="AA256" s="281"/>
      <c r="AB256" s="281"/>
      <c r="AC256" s="281"/>
    </row>
    <row r="257" spans="1:68" ht="14.25" hidden="1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24</v>
      </c>
      <c r="Y258" s="279">
        <f>IFERROR(IF(X258="","",X258),"")</f>
        <v>24</v>
      </c>
      <c r="Z258" s="37">
        <f>IFERROR(IF(X258="","",X258*0.0155),"")</f>
        <v>0.372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150.24</v>
      </c>
      <c r="BN258" s="67">
        <f>IFERROR(Y258*I258,"0")</f>
        <v>150.24</v>
      </c>
      <c r="BO258" s="67">
        <f>IFERROR(X258/J258,"0")</f>
        <v>0.2857142857142857</v>
      </c>
      <c r="BP258" s="67">
        <f>IFERROR(Y258/J258,"0")</f>
        <v>0.2857142857142857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24</v>
      </c>
      <c r="Y259" s="280">
        <f>IFERROR(SUM(Y258:Y258),"0")</f>
        <v>24</v>
      </c>
      <c r="Z259" s="280">
        <f>IFERROR(IF(Z258="",0,Z258),"0")</f>
        <v>0.372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144</v>
      </c>
      <c r="Y260" s="280">
        <f>IFERROR(SUMPRODUCT(Y258:Y258*H258:H258),"0")</f>
        <v>144</v>
      </c>
      <c r="Z260" s="38"/>
      <c r="AA260" s="281"/>
      <c r="AB260" s="281"/>
      <c r="AC260" s="281"/>
    </row>
    <row r="261" spans="1:68" ht="14.25" hidden="1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132</v>
      </c>
      <c r="Y263" s="279">
        <f>IFERROR(IF(X263="","",X263),"")</f>
        <v>132</v>
      </c>
      <c r="Z263" s="37">
        <f>IFERROR(IF(X263="","",X263*0.0155),"")</f>
        <v>2.0459999999999998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691.0200000000001</v>
      </c>
      <c r="BN263" s="67">
        <f>IFERROR(Y263*I263,"0")</f>
        <v>691.0200000000001</v>
      </c>
      <c r="BO263" s="67">
        <f>IFERROR(X263/J263,"0")</f>
        <v>1.5714285714285714</v>
      </c>
      <c r="BP263" s="67">
        <f>IFERROR(Y263/J263,"0")</f>
        <v>1.5714285714285714</v>
      </c>
    </row>
    <row r="264" spans="1:68" ht="27" hidden="1" customHeight="1" x14ac:dyDescent="0.25">
      <c r="A264" s="54" t="s">
        <v>346</v>
      </c>
      <c r="B264" s="54" t="s">
        <v>347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132</v>
      </c>
      <c r="Y265" s="280">
        <f>IFERROR(SUM(Y262:Y264),"0")</f>
        <v>132</v>
      </c>
      <c r="Z265" s="280">
        <f>IFERROR(IF(Z262="",0,Z262),"0")+IFERROR(IF(Z263="",0,Z263),"0")+IFERROR(IF(Z264="",0,Z264),"0")</f>
        <v>2.0459999999999998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660</v>
      </c>
      <c r="Y266" s="280">
        <f>IFERROR(SUMPRODUCT(Y262:Y264*H262:H264),"0")</f>
        <v>660</v>
      </c>
      <c r="Z266" s="38"/>
      <c r="AA266" s="281"/>
      <c r="AB266" s="281"/>
      <c r="AC266" s="281"/>
    </row>
    <row r="267" spans="1:68" ht="14.25" hidden="1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351</v>
      </c>
      <c r="B269" s="54" t="s">
        <v>352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353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0</v>
      </c>
      <c r="Y269" s="279">
        <f t="shared" si="18"/>
        <v>0</v>
      </c>
      <c r="Z269" s="37">
        <f>IFERROR(IF(X269="","",X269*0.00936),"")</f>
        <v>0</v>
      </c>
      <c r="AA269" s="56"/>
      <c r="AB269" s="57"/>
      <c r="AC269" s="252" t="s">
        <v>354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355</v>
      </c>
      <c r="B270" s="54" t="s">
        <v>356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12</v>
      </c>
      <c r="Y270" s="279">
        <f t="shared" si="18"/>
        <v>12</v>
      </c>
      <c r="Z270" s="37">
        <f>IFERROR(IF(X270="","",X270*0.0155),"")</f>
        <v>0.186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357</v>
      </c>
      <c r="B271" s="54" t="s">
        <v>358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28</v>
      </c>
      <c r="Y271" s="279">
        <f t="shared" si="18"/>
        <v>28</v>
      </c>
      <c r="Z271" s="37">
        <f t="shared" ref="Z271:Z276" si="23">IFERROR(IF(X271="","",X271*0.00936),"")</f>
        <v>0.26207999999999998</v>
      </c>
      <c r="AA271" s="56"/>
      <c r="AB271" s="57"/>
      <c r="AC271" s="256" t="s">
        <v>359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89.376000000000005</v>
      </c>
      <c r="BN271" s="67">
        <f t="shared" si="20"/>
        <v>89.376000000000005</v>
      </c>
      <c r="BO271" s="67">
        <f t="shared" si="21"/>
        <v>0.22222222222222221</v>
      </c>
      <c r="BP271" s="67">
        <f t="shared" si="22"/>
        <v>0.22222222222222221</v>
      </c>
    </row>
    <row r="272" spans="1:68" ht="27" hidden="1" customHeight="1" x14ac:dyDescent="0.25">
      <c r="A272" s="54" t="s">
        <v>360</v>
      </c>
      <c r="B272" s="54" t="s">
        <v>361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362</v>
      </c>
      <c r="B273" s="54" t="s">
        <v>363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364</v>
      </c>
      <c r="B274" s="54" t="s">
        <v>365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366</v>
      </c>
      <c r="B275" s="54" t="s">
        <v>367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368</v>
      </c>
      <c r="B276" s="54" t="s">
        <v>369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359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370</v>
      </c>
      <c r="B277" s="54" t="s">
        <v>371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40</v>
      </c>
      <c r="Y278" s="280">
        <f>IFERROR(SUM(Y268:Y277),"0")</f>
        <v>40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0.44807999999999998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150</v>
      </c>
      <c r="Y279" s="280">
        <f>IFERROR(SUMPRODUCT(Y268:Y277*H268:H277),"0")</f>
        <v>150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372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3746.52</v>
      </c>
      <c r="Y280" s="280">
        <f>IFERROR(Y31+Y37+Y44+Y50+Y58+Y63+Y68+Y74+Y80+Y85+Y91+Y101+Y107+Y119+Y123+Y127+Y135+Y141+Y147+Y153+Y159+Y164+Y169+Y174+Y181+Y186+Y195+Y201+Y207+Y213+Y218+Y223+Y229+Y235+Y239+Y245+Y249+Y256+Y260+Y266+Y279,"0")</f>
        <v>3746.52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373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3985.9240000000009</v>
      </c>
      <c r="Y281" s="280">
        <f>IFERROR(SUM(BN22:BN277),"0")</f>
        <v>3985.9240000000009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374</v>
      </c>
      <c r="Q282" s="329"/>
      <c r="R282" s="329"/>
      <c r="S282" s="329"/>
      <c r="T282" s="329"/>
      <c r="U282" s="329"/>
      <c r="V282" s="330"/>
      <c r="W282" s="38" t="s">
        <v>375</v>
      </c>
      <c r="X282" s="39">
        <f>ROUNDUP(SUM(BO22:BO277),0)</f>
        <v>9</v>
      </c>
      <c r="Y282" s="39">
        <f>ROUNDUP(SUM(BP22:BP277),0)</f>
        <v>9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376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4210.9240000000009</v>
      </c>
      <c r="Y283" s="280">
        <f>GrossWeightTotalR+PalletQtyTotalR*25</f>
        <v>4210.9240000000009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377</v>
      </c>
      <c r="Q284" s="329"/>
      <c r="R284" s="329"/>
      <c r="S284" s="329"/>
      <c r="T284" s="329"/>
      <c r="U284" s="329"/>
      <c r="V284" s="330"/>
      <c r="W284" s="38" t="s">
        <v>375</v>
      </c>
      <c r="X284" s="280">
        <f>IFERROR(X30+X36+X43+X49+X57+X62+X67+X73+X79+X84+X90+X100+X106+X118+X122+X126+X134+X140+X146+X152+X158+X163+X168+X173+X180+X185+X194+X200+X206+X212+X217+X222+X228+X234+X238+X244+X248+X255+X259+X265+X278,"0")</f>
        <v>782</v>
      </c>
      <c r="Y284" s="280">
        <f>IFERROR(Y30+Y36+Y43+Y49+Y57+Y62+Y67+Y73+Y79+Y84+Y90+Y100+Y106+Y118+Y122+Y126+Y134+Y140+Y146+Y152+Y158+Y163+Y168+Y173+Y180+Y185+Y194+Y200+Y206+Y212+Y217+Y222+Y228+Y234+Y238+Y244+Y248+Y255+Y259+Y265+Y278,"0")</f>
        <v>782</v>
      </c>
      <c r="Z284" s="38"/>
      <c r="AA284" s="281"/>
      <c r="AB284" s="281"/>
      <c r="AC284" s="281"/>
    </row>
    <row r="285" spans="1:68" ht="14.25" hidden="1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378</v>
      </c>
      <c r="Q285" s="329"/>
      <c r="R285" s="329"/>
      <c r="S285" s="329"/>
      <c r="T285" s="329"/>
      <c r="U285" s="329"/>
      <c r="V285" s="330"/>
      <c r="W285" s="40" t="s">
        <v>379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11.30322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380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257</v>
      </c>
      <c r="W287" s="313"/>
      <c r="X287" s="275" t="s">
        <v>268</v>
      </c>
      <c r="Y287" s="285" t="s">
        <v>282</v>
      </c>
      <c r="Z287" s="378"/>
      <c r="AA287" s="378"/>
      <c r="AB287" s="313"/>
      <c r="AC287" s="275" t="s">
        <v>311</v>
      </c>
      <c r="AD287" s="275" t="s">
        <v>316</v>
      </c>
      <c r="AE287" s="275" t="s">
        <v>324</v>
      </c>
      <c r="AF287" s="275" t="s">
        <v>331</v>
      </c>
    </row>
    <row r="288" spans="1:68" ht="14.25" customHeight="1" thickTop="1" x14ac:dyDescent="0.2">
      <c r="A288" s="332" t="s">
        <v>381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177</v>
      </c>
      <c r="M288" s="285" t="s">
        <v>183</v>
      </c>
      <c r="N288" s="276"/>
      <c r="O288" s="285" t="s">
        <v>210</v>
      </c>
      <c r="P288" s="285" t="s">
        <v>228</v>
      </c>
      <c r="Q288" s="285" t="s">
        <v>234</v>
      </c>
      <c r="R288" s="285" t="s">
        <v>241</v>
      </c>
      <c r="S288" s="285" t="s">
        <v>246</v>
      </c>
      <c r="T288" s="285" t="s">
        <v>250</v>
      </c>
      <c r="U288" s="285" t="s">
        <v>253</v>
      </c>
      <c r="V288" s="285" t="s">
        <v>258</v>
      </c>
      <c r="W288" s="285" t="s">
        <v>265</v>
      </c>
      <c r="X288" s="285" t="s">
        <v>269</v>
      </c>
      <c r="Y288" s="285" t="s">
        <v>283</v>
      </c>
      <c r="Z288" s="285" t="s">
        <v>296</v>
      </c>
      <c r="AA288" s="285" t="s">
        <v>303</v>
      </c>
      <c r="AB288" s="285" t="s">
        <v>307</v>
      </c>
      <c r="AC288" s="285" t="s">
        <v>312</v>
      </c>
      <c r="AD288" s="285" t="s">
        <v>317</v>
      </c>
      <c r="AE288" s="285" t="s">
        <v>324</v>
      </c>
      <c r="AF288" s="285" t="s">
        <v>331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382</v>
      </c>
      <c r="B290" s="47">
        <f>IFERROR(X22*H22,"0")+IFERROR(X23*H23,"0")+IFERROR(X24*H24,"0")+IFERROR(X25*H25,"0")+IFERROR(X26*H26,"0")+IFERROR(X27*H27,"0")+IFERROR(X28*H28,"0")+IFERROR(X29*H29,"0")</f>
        <v>307.20000000000005</v>
      </c>
      <c r="C290" s="47">
        <f>IFERROR(X34*H34,"0")+IFERROR(X35*H35,"0")</f>
        <v>0</v>
      </c>
      <c r="D290" s="47">
        <f>IFERROR(X41*H41,"0")+IFERROR(X42*H42,"0")</f>
        <v>0</v>
      </c>
      <c r="E290" s="47">
        <f>IFERROR(X47*H47,"0")+IFERROR(X48*H48,"0")</f>
        <v>67.199999999999989</v>
      </c>
      <c r="F290" s="47">
        <f>IFERROR(X53*H53,"0")+IFERROR(X54*H54,"0")+IFERROR(X55*H55,"0")+IFERROR(X56*H56,"0")</f>
        <v>0</v>
      </c>
      <c r="G290" s="47">
        <f>IFERROR(X61*H61,"0")+IFERROR(X65*H65,"0")+IFERROR(X66*H66,"0")+IFERROR(X70*H70,"0")+IFERROR(X71*H71,"0")+IFERROR(X72*H72,"0")</f>
        <v>16.8</v>
      </c>
      <c r="H290" s="47">
        <f>IFERROR(X77*H77,"0")+IFERROR(X78*H78,"0")</f>
        <v>480</v>
      </c>
      <c r="I290" s="47">
        <f>IFERROR(X83*H83,"0")</f>
        <v>0</v>
      </c>
      <c r="J290" s="47">
        <f>IFERROR(X88*H88,"0")+IFERROR(X89*H89,"0")</f>
        <v>0</v>
      </c>
      <c r="K290" s="47">
        <f>IFERROR(X94*H94,"0")+IFERROR(X95*H95,"0")+IFERROR(X96*H96,"0")+IFERROR(X97*H97,"0")+IFERROR(X98*H98,"0")+IFERROR(X99*H99,"0")</f>
        <v>241.92000000000002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420</v>
      </c>
      <c r="N290" s="276"/>
      <c r="O290" s="47">
        <f>IFERROR(X130*H130,"0")+IFERROR(X131*H131,"0")+IFERROR(X132*H132,"0")+IFERROR(X133*H133,"0")+IFERROR(X137*H137,"0")+IFERROR(X138*H138,"0")+IFERROR(X139*H139,"0")</f>
        <v>37.799999999999997</v>
      </c>
      <c r="P290" s="47">
        <f>IFERROR(X144*H144,"0")+IFERROR(X145*H145,"0")</f>
        <v>0</v>
      </c>
      <c r="Q290" s="47">
        <f>IFERROR(X150*H150,"0")+IFERROR(X151*H151,"0")</f>
        <v>42</v>
      </c>
      <c r="R290" s="47">
        <f>IFERROR(X156*H156,"0")+IFERROR(X157*H157,"0")</f>
        <v>33.6</v>
      </c>
      <c r="S290" s="47">
        <f>IFERROR(X162*H162,"0")</f>
        <v>42</v>
      </c>
      <c r="T290" s="47">
        <f>IFERROR(X167*H167,"0")</f>
        <v>0</v>
      </c>
      <c r="U290" s="47">
        <f>IFERROR(X172*H172,"0")</f>
        <v>0</v>
      </c>
      <c r="V290" s="47">
        <f>IFERROR(X178*H178,"0")+IFERROR(X179*H179,"0")</f>
        <v>0</v>
      </c>
      <c r="W290" s="47">
        <f>IFERROR(X184*H184,"0")</f>
        <v>720</v>
      </c>
      <c r="X290" s="47">
        <f>IFERROR(X190*H190,"0")+IFERROR(X191*H191,"0")+IFERROR(X192*H192,"0")+IFERROR(X193*H193,"0")</f>
        <v>0</v>
      </c>
      <c r="Y290" s="47">
        <f>IFERROR(X199*H199,"0")+IFERROR(X203*H203,"0")+IFERROR(X204*H204,"0")+IFERROR(X205*H205,"0")</f>
        <v>0</v>
      </c>
      <c r="Z290" s="47">
        <f>IFERROR(X210*H210,"0")+IFERROR(X211*H211,"0")</f>
        <v>0</v>
      </c>
      <c r="AA290" s="47">
        <f>IFERROR(X216*H216,"0")</f>
        <v>300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1038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383</v>
      </c>
      <c r="B292" s="58" t="s">
        <v>384</v>
      </c>
      <c r="C292" s="58" t="s">
        <v>385</v>
      </c>
    </row>
    <row r="293" spans="1:32" x14ac:dyDescent="0.2">
      <c r="A293" s="59">
        <f>SUMPRODUCT(--(BB:BB="ЗПФ"),--(W:W="кор"),H:H,Y:Y)+SUMPRODUCT(--(BB:BB="ЗПФ"),--(W:W="кг"),Y:Y)</f>
        <v>2378.4</v>
      </c>
      <c r="B293" s="60">
        <f>SUMPRODUCT(--(BB:BB="ПГП"),--(W:W="кор"),H:H,Y:Y)+SUMPRODUCT(--(BB:BB="ПГП"),--(W:W="кг"),Y:Y)</f>
        <v>1368.1200000000001</v>
      </c>
      <c r="C293" s="60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32,00"/>
        <filter val="14,00"/>
        <filter val="144,00"/>
        <filter val="150,00"/>
        <filter val="16,80"/>
        <filter val="24,00"/>
        <filter val="241,92"/>
        <filter val="28,00"/>
        <filter val="3 746,52"/>
        <filter val="3 985,92"/>
        <filter val="300,00"/>
        <filter val="307,20"/>
        <filter val="33,60"/>
        <filter val="37,80"/>
        <filter val="4 210,92"/>
        <filter val="40,00"/>
        <filter val="42,00"/>
        <filter val="420,00"/>
        <filter val="48,00"/>
        <filter val="480,00"/>
        <filter val="60,00"/>
        <filter val="660,00"/>
        <filter val="67,20"/>
        <filter val="70,00"/>
        <filter val="720,00"/>
        <filter val="782,00"/>
        <filter val="84,00"/>
        <filter val="9"/>
        <filter val="96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:X99 X104:X105 X111:X112 X115 X121 X125 X130:X133 X137:X139 X150:X151 X156 X162 X178 X184 X193 X203 X210:X211 X221 X227 X233 X237 X243 X247 X253:X254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110 X113:X114 X116:X117 X144:X145 X157 X167 X172 X179 X190:X192 X199 X204:X205 X216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8"/>
    </row>
    <row r="3" spans="2:8" x14ac:dyDescent="0.2">
      <c r="B3" s="48" t="s">
        <v>387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388</v>
      </c>
      <c r="C6" s="48" t="s">
        <v>389</v>
      </c>
      <c r="D6" s="48" t="s">
        <v>390</v>
      </c>
      <c r="E6" s="48"/>
    </row>
    <row r="7" spans="2:8" x14ac:dyDescent="0.2">
      <c r="B7" s="48" t="s">
        <v>391</v>
      </c>
      <c r="C7" s="48" t="s">
        <v>392</v>
      </c>
      <c r="D7" s="48" t="s">
        <v>393</v>
      </c>
      <c r="E7" s="48"/>
    </row>
    <row r="8" spans="2:8" x14ac:dyDescent="0.2">
      <c r="B8" s="48" t="s">
        <v>394</v>
      </c>
      <c r="C8" s="48" t="s">
        <v>395</v>
      </c>
      <c r="D8" s="48" t="s">
        <v>396</v>
      </c>
      <c r="E8" s="48"/>
    </row>
    <row r="9" spans="2:8" x14ac:dyDescent="0.2">
      <c r="B9" s="48" t="s">
        <v>397</v>
      </c>
      <c r="C9" s="48" t="s">
        <v>398</v>
      </c>
      <c r="D9" s="48" t="s">
        <v>399</v>
      </c>
      <c r="E9" s="48"/>
    </row>
    <row r="10" spans="2:8" x14ac:dyDescent="0.2">
      <c r="B10" s="48" t="s">
        <v>400</v>
      </c>
      <c r="C10" s="48" t="s">
        <v>401</v>
      </c>
      <c r="D10" s="48" t="s">
        <v>402</v>
      </c>
      <c r="E10" s="48"/>
    </row>
    <row r="12" spans="2:8" x14ac:dyDescent="0.2">
      <c r="B12" s="48" t="s">
        <v>403</v>
      </c>
      <c r="C12" s="48" t="s">
        <v>389</v>
      </c>
      <c r="D12" s="48"/>
      <c r="E12" s="48"/>
    </row>
    <row r="14" spans="2:8" x14ac:dyDescent="0.2">
      <c r="B14" s="48" t="s">
        <v>404</v>
      </c>
      <c r="C14" s="48" t="s">
        <v>392</v>
      </c>
      <c r="D14" s="48"/>
      <c r="E14" s="48"/>
    </row>
    <row r="16" spans="2:8" x14ac:dyDescent="0.2">
      <c r="B16" s="48" t="s">
        <v>405</v>
      </c>
      <c r="C16" s="48" t="s">
        <v>395</v>
      </c>
      <c r="D16" s="48"/>
      <c r="E16" s="48"/>
    </row>
    <row r="18" spans="2:5" x14ac:dyDescent="0.2">
      <c r="B18" s="48" t="s">
        <v>406</v>
      </c>
      <c r="C18" s="48" t="s">
        <v>398</v>
      </c>
      <c r="D18" s="48"/>
      <c r="E18" s="48"/>
    </row>
    <row r="20" spans="2:5" x14ac:dyDescent="0.2">
      <c r="B20" s="48" t="s">
        <v>407</v>
      </c>
      <c r="C20" s="48" t="s">
        <v>401</v>
      </c>
      <c r="D20" s="48"/>
      <c r="E20" s="48"/>
    </row>
    <row r="22" spans="2:5" x14ac:dyDescent="0.2">
      <c r="B22" s="48" t="s">
        <v>408</v>
      </c>
      <c r="C22" s="48"/>
      <c r="D22" s="48"/>
      <c r="E22" s="48"/>
    </row>
    <row r="23" spans="2:5" x14ac:dyDescent="0.2">
      <c r="B23" s="48" t="s">
        <v>409</v>
      </c>
      <c r="C23" s="48"/>
      <c r="D23" s="48"/>
      <c r="E23" s="48"/>
    </row>
    <row r="24" spans="2:5" x14ac:dyDescent="0.2">
      <c r="B24" s="48" t="s">
        <v>410</v>
      </c>
      <c r="C24" s="48"/>
      <c r="D24" s="48"/>
      <c r="E24" s="48"/>
    </row>
    <row r="25" spans="2:5" x14ac:dyDescent="0.2">
      <c r="B25" s="48" t="s">
        <v>411</v>
      </c>
      <c r="C25" s="48"/>
      <c r="D25" s="48"/>
      <c r="E25" s="48"/>
    </row>
    <row r="26" spans="2:5" x14ac:dyDescent="0.2">
      <c r="B26" s="48" t="s">
        <v>412</v>
      </c>
      <c r="C26" s="48"/>
      <c r="D26" s="48"/>
      <c r="E26" s="48"/>
    </row>
    <row r="27" spans="2:5" x14ac:dyDescent="0.2">
      <c r="B27" s="48" t="s">
        <v>413</v>
      </c>
      <c r="C27" s="48"/>
      <c r="D27" s="48"/>
      <c r="E27" s="48"/>
    </row>
    <row r="28" spans="2:5" x14ac:dyDescent="0.2">
      <c r="B28" s="48" t="s">
        <v>414</v>
      </c>
      <c r="C28" s="48"/>
      <c r="D28" s="48"/>
      <c r="E28" s="48"/>
    </row>
    <row r="29" spans="2:5" x14ac:dyDescent="0.2">
      <c r="B29" s="48" t="s">
        <v>415</v>
      </c>
      <c r="C29" s="48"/>
      <c r="D29" s="48"/>
      <c r="E29" s="48"/>
    </row>
    <row r="30" spans="2:5" x14ac:dyDescent="0.2">
      <c r="B30" s="48" t="s">
        <v>416</v>
      </c>
      <c r="C30" s="48"/>
      <c r="D30" s="48"/>
      <c r="E30" s="48"/>
    </row>
    <row r="31" spans="2:5" x14ac:dyDescent="0.2">
      <c r="B31" s="48" t="s">
        <v>417</v>
      </c>
      <c r="C31" s="48"/>
      <c r="D31" s="48"/>
      <c r="E31" s="48"/>
    </row>
    <row r="32" spans="2:5" x14ac:dyDescent="0.2">
      <c r="B32" s="48" t="s">
        <v>418</v>
      </c>
      <c r="C32" s="48"/>
      <c r="D32" s="48"/>
      <c r="E32" s="48"/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