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C7CA4DB-B4DB-43FF-849C-42A51199B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Sheet!$A$3:$AF$127</definedName>
  </definedNames>
  <calcPr calcId="191029"/>
</workbook>
</file>

<file path=xl/calcChain.xml><?xml version="1.0" encoding="utf-8"?>
<calcChain xmlns="http://schemas.openxmlformats.org/spreadsheetml/2006/main">
  <c r="T8" i="1" l="1"/>
  <c r="U8" i="1" s="1"/>
  <c r="AF8" i="1" s="1"/>
  <c r="T12" i="1"/>
  <c r="U12" i="1" s="1"/>
  <c r="T13" i="1"/>
  <c r="U13" i="1" s="1"/>
  <c r="T17" i="1"/>
  <c r="U17" i="1" s="1"/>
  <c r="T18" i="1"/>
  <c r="U18" i="1" s="1"/>
  <c r="T20" i="1"/>
  <c r="U20" i="1" s="1"/>
  <c r="T22" i="1"/>
  <c r="U22" i="1" s="1"/>
  <c r="T23" i="1"/>
  <c r="U23" i="1" s="1"/>
  <c r="T26" i="1"/>
  <c r="U26" i="1" s="1"/>
  <c r="T27" i="1"/>
  <c r="U27" i="1" s="1"/>
  <c r="T28" i="1"/>
  <c r="U28" i="1" s="1"/>
  <c r="T30" i="1"/>
  <c r="U30" i="1" s="1"/>
  <c r="T38" i="1"/>
  <c r="U38" i="1" s="1"/>
  <c r="T39" i="1"/>
  <c r="U39" i="1" s="1"/>
  <c r="T40" i="1"/>
  <c r="U40" i="1" s="1"/>
  <c r="T41" i="1"/>
  <c r="U41" i="1" s="1"/>
  <c r="T42" i="1"/>
  <c r="U42" i="1" s="1"/>
  <c r="T46" i="1"/>
  <c r="U46" i="1" s="1"/>
  <c r="T48" i="1"/>
  <c r="U48" i="1" s="1"/>
  <c r="T50" i="1"/>
  <c r="U50" i="1" s="1"/>
  <c r="T51" i="1"/>
  <c r="U51" i="1" s="1"/>
  <c r="T54" i="1"/>
  <c r="U54" i="1" s="1"/>
  <c r="T56" i="1"/>
  <c r="U56" i="1" s="1"/>
  <c r="T59" i="1"/>
  <c r="U59" i="1" s="1"/>
  <c r="T62" i="1"/>
  <c r="U62" i="1" s="1"/>
  <c r="T63" i="1"/>
  <c r="U63" i="1" s="1"/>
  <c r="T66" i="1"/>
  <c r="U66" i="1" s="1"/>
  <c r="T70" i="1"/>
  <c r="U70" i="1" s="1"/>
  <c r="T73" i="1"/>
  <c r="U73" i="1" s="1"/>
  <c r="T74" i="1"/>
  <c r="U74" i="1" s="1"/>
  <c r="T75" i="1"/>
  <c r="U75" i="1" s="1"/>
  <c r="T78" i="1"/>
  <c r="U78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8" i="1"/>
  <c r="U88" i="1" s="1"/>
  <c r="T89" i="1"/>
  <c r="U89" i="1" s="1"/>
  <c r="T90" i="1"/>
  <c r="U90" i="1" s="1"/>
  <c r="T91" i="1"/>
  <c r="U91" i="1" s="1"/>
  <c r="T92" i="1"/>
  <c r="U92" i="1" s="1"/>
  <c r="T95" i="1"/>
  <c r="U95" i="1" s="1"/>
  <c r="T96" i="1"/>
  <c r="U96" i="1" s="1"/>
  <c r="T97" i="1"/>
  <c r="U97" i="1" s="1"/>
  <c r="T98" i="1"/>
  <c r="U98" i="1" s="1"/>
  <c r="T101" i="1"/>
  <c r="U101" i="1" s="1"/>
  <c r="T102" i="1"/>
  <c r="U102" i="1" s="1"/>
  <c r="T104" i="1"/>
  <c r="U104" i="1" s="1"/>
  <c r="T105" i="1"/>
  <c r="U105" i="1" s="1"/>
  <c r="T107" i="1"/>
  <c r="U107" i="1" s="1"/>
  <c r="T108" i="1"/>
  <c r="U108" i="1" s="1"/>
  <c r="T109" i="1"/>
  <c r="U109" i="1" s="1"/>
  <c r="T110" i="1"/>
  <c r="U110" i="1" s="1"/>
  <c r="T112" i="1"/>
  <c r="U112" i="1" s="1"/>
  <c r="T115" i="1"/>
  <c r="U115" i="1" s="1"/>
  <c r="T116" i="1"/>
  <c r="U116" i="1" s="1"/>
  <c r="T117" i="1"/>
  <c r="U117" i="1" s="1"/>
  <c r="T118" i="1"/>
  <c r="U118" i="1" s="1"/>
  <c r="T120" i="1"/>
  <c r="U120" i="1" s="1"/>
  <c r="T124" i="1"/>
  <c r="U124" i="1" s="1"/>
  <c r="T125" i="1"/>
  <c r="U125" i="1" s="1"/>
  <c r="T126" i="1"/>
  <c r="U126" i="1" s="1"/>
  <c r="T127" i="1"/>
  <c r="U127" i="1" s="1"/>
  <c r="T6" i="1"/>
  <c r="U6" i="1" s="1"/>
  <c r="AF42" i="1" l="1"/>
  <c r="AF83" i="1"/>
  <c r="AF41" i="1"/>
  <c r="AF112" i="1"/>
  <c r="AF28" i="1"/>
  <c r="AF107" i="1"/>
  <c r="AF104" i="1"/>
  <c r="AF74" i="1"/>
  <c r="AF27" i="1"/>
  <c r="AF117" i="1"/>
  <c r="AF88" i="1"/>
  <c r="AF109" i="1"/>
  <c r="AF108" i="1"/>
  <c r="AF38" i="1"/>
  <c r="AF78" i="1"/>
  <c r="AF102" i="1"/>
  <c r="AF73" i="1"/>
  <c r="AF26" i="1"/>
  <c r="AF101" i="1"/>
  <c r="AF23" i="1"/>
  <c r="AF66" i="1"/>
  <c r="AF96" i="1"/>
  <c r="AF48" i="1"/>
  <c r="AF116" i="1"/>
  <c r="AF82" i="1"/>
  <c r="AF22" i="1"/>
  <c r="AF97" i="1"/>
  <c r="AF62" i="1"/>
  <c r="AF17" i="1"/>
  <c r="AF92" i="1"/>
  <c r="AF56" i="1"/>
  <c r="AF13" i="1"/>
  <c r="AF81" i="1"/>
  <c r="AF63" i="1"/>
  <c r="AF127" i="1"/>
  <c r="AF126" i="1"/>
  <c r="AF59" i="1"/>
  <c r="AF91" i="1"/>
  <c r="AF54" i="1"/>
  <c r="AF51" i="1"/>
  <c r="AF39" i="1"/>
  <c r="AF98" i="1"/>
  <c r="AF18" i="1"/>
  <c r="AF12" i="1"/>
  <c r="AF118" i="1"/>
  <c r="AF89" i="1"/>
  <c r="AF84" i="1"/>
  <c r="AF124" i="1"/>
  <c r="AF4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O123" i="1"/>
  <c r="O124" i="1"/>
  <c r="O125" i="1"/>
  <c r="O126" i="1"/>
  <c r="O127" i="1"/>
  <c r="O6" i="1"/>
  <c r="O5" i="1" l="1"/>
  <c r="R7" i="1" l="1"/>
  <c r="S7" i="1" s="1"/>
  <c r="T7" i="1" s="1"/>
  <c r="U7" i="1" s="1"/>
  <c r="R8" i="1"/>
  <c r="X8" i="1" s="1"/>
  <c r="R9" i="1"/>
  <c r="S9" i="1" s="1"/>
  <c r="T9" i="1" s="1"/>
  <c r="U9" i="1" s="1"/>
  <c r="R10" i="1"/>
  <c r="S10" i="1" s="1"/>
  <c r="T10" i="1" s="1"/>
  <c r="U10" i="1" s="1"/>
  <c r="R11" i="1"/>
  <c r="S11" i="1" s="1"/>
  <c r="T11" i="1" s="1"/>
  <c r="U11" i="1" s="1"/>
  <c r="R12" i="1"/>
  <c r="X12" i="1" s="1"/>
  <c r="R13" i="1"/>
  <c r="X13" i="1" s="1"/>
  <c r="R14" i="1"/>
  <c r="S14" i="1" s="1"/>
  <c r="T14" i="1" s="1"/>
  <c r="U14" i="1" s="1"/>
  <c r="R15" i="1"/>
  <c r="S15" i="1" s="1"/>
  <c r="T15" i="1" s="1"/>
  <c r="U15" i="1" s="1"/>
  <c r="R16" i="1"/>
  <c r="S16" i="1" s="1"/>
  <c r="T16" i="1" s="1"/>
  <c r="U16" i="1" s="1"/>
  <c r="R17" i="1"/>
  <c r="X17" i="1" s="1"/>
  <c r="R18" i="1"/>
  <c r="X18" i="1" s="1"/>
  <c r="R19" i="1"/>
  <c r="S19" i="1" s="1"/>
  <c r="T19" i="1" s="1"/>
  <c r="U19" i="1" s="1"/>
  <c r="R20" i="1"/>
  <c r="R21" i="1"/>
  <c r="S21" i="1" s="1"/>
  <c r="T21" i="1" s="1"/>
  <c r="U21" i="1" s="1"/>
  <c r="R22" i="1"/>
  <c r="X22" i="1" s="1"/>
  <c r="R23" i="1"/>
  <c r="X23" i="1" s="1"/>
  <c r="R24" i="1"/>
  <c r="S24" i="1" s="1"/>
  <c r="T24" i="1" s="1"/>
  <c r="U24" i="1" s="1"/>
  <c r="R25" i="1"/>
  <c r="S25" i="1" s="1"/>
  <c r="T25" i="1" s="1"/>
  <c r="U25" i="1" s="1"/>
  <c r="R26" i="1"/>
  <c r="X26" i="1" s="1"/>
  <c r="R27" i="1"/>
  <c r="X27" i="1" s="1"/>
  <c r="R28" i="1"/>
  <c r="X28" i="1" s="1"/>
  <c r="R29" i="1"/>
  <c r="S29" i="1" s="1"/>
  <c r="T29" i="1" s="1"/>
  <c r="U29" i="1" s="1"/>
  <c r="R30" i="1"/>
  <c r="R31" i="1"/>
  <c r="S31" i="1" s="1"/>
  <c r="T31" i="1" s="1"/>
  <c r="U31" i="1" s="1"/>
  <c r="R32" i="1"/>
  <c r="S32" i="1" s="1"/>
  <c r="T32" i="1" s="1"/>
  <c r="U32" i="1" s="1"/>
  <c r="R33" i="1"/>
  <c r="S33" i="1" s="1"/>
  <c r="T33" i="1" s="1"/>
  <c r="U33" i="1" s="1"/>
  <c r="R34" i="1"/>
  <c r="S34" i="1" s="1"/>
  <c r="T34" i="1" s="1"/>
  <c r="U34" i="1" s="1"/>
  <c r="R35" i="1"/>
  <c r="S35" i="1" s="1"/>
  <c r="T35" i="1" s="1"/>
  <c r="U35" i="1" s="1"/>
  <c r="R36" i="1"/>
  <c r="S36" i="1" s="1"/>
  <c r="T36" i="1" s="1"/>
  <c r="U36" i="1" s="1"/>
  <c r="R37" i="1"/>
  <c r="S37" i="1" s="1"/>
  <c r="T37" i="1" s="1"/>
  <c r="U37" i="1" s="1"/>
  <c r="R38" i="1"/>
  <c r="X38" i="1" s="1"/>
  <c r="R39" i="1"/>
  <c r="X39" i="1" s="1"/>
  <c r="R40" i="1"/>
  <c r="R41" i="1"/>
  <c r="X41" i="1" s="1"/>
  <c r="R42" i="1"/>
  <c r="X42" i="1" s="1"/>
  <c r="R43" i="1"/>
  <c r="S43" i="1" s="1"/>
  <c r="T43" i="1" s="1"/>
  <c r="U43" i="1" s="1"/>
  <c r="R44" i="1"/>
  <c r="S44" i="1" s="1"/>
  <c r="T44" i="1" s="1"/>
  <c r="U44" i="1" s="1"/>
  <c r="R45" i="1"/>
  <c r="S45" i="1" s="1"/>
  <c r="T45" i="1" s="1"/>
  <c r="U45" i="1" s="1"/>
  <c r="R46" i="1"/>
  <c r="X46" i="1" s="1"/>
  <c r="R47" i="1"/>
  <c r="S47" i="1" s="1"/>
  <c r="T47" i="1" s="1"/>
  <c r="U47" i="1" s="1"/>
  <c r="R48" i="1"/>
  <c r="X48" i="1" s="1"/>
  <c r="R49" i="1"/>
  <c r="S49" i="1" s="1"/>
  <c r="T49" i="1" s="1"/>
  <c r="U49" i="1" s="1"/>
  <c r="R50" i="1"/>
  <c r="R51" i="1"/>
  <c r="X51" i="1" s="1"/>
  <c r="R52" i="1"/>
  <c r="S52" i="1" s="1"/>
  <c r="T52" i="1" s="1"/>
  <c r="U52" i="1" s="1"/>
  <c r="R53" i="1"/>
  <c r="S53" i="1" s="1"/>
  <c r="T53" i="1" s="1"/>
  <c r="U53" i="1" s="1"/>
  <c r="R54" i="1"/>
  <c r="X54" i="1" s="1"/>
  <c r="R55" i="1"/>
  <c r="S55" i="1" s="1"/>
  <c r="T55" i="1" s="1"/>
  <c r="U55" i="1" s="1"/>
  <c r="R56" i="1"/>
  <c r="X56" i="1" s="1"/>
  <c r="R57" i="1"/>
  <c r="S57" i="1" s="1"/>
  <c r="T57" i="1" s="1"/>
  <c r="U57" i="1" s="1"/>
  <c r="R58" i="1"/>
  <c r="S58" i="1" s="1"/>
  <c r="T58" i="1" s="1"/>
  <c r="U58" i="1" s="1"/>
  <c r="R59" i="1"/>
  <c r="X59" i="1" s="1"/>
  <c r="R60" i="1"/>
  <c r="S60" i="1" s="1"/>
  <c r="T60" i="1" s="1"/>
  <c r="U60" i="1" s="1"/>
  <c r="R61" i="1"/>
  <c r="S61" i="1" s="1"/>
  <c r="T61" i="1" s="1"/>
  <c r="U61" i="1" s="1"/>
  <c r="R62" i="1"/>
  <c r="X62" i="1" s="1"/>
  <c r="R63" i="1"/>
  <c r="X63" i="1" s="1"/>
  <c r="R64" i="1"/>
  <c r="S64" i="1" s="1"/>
  <c r="T64" i="1" s="1"/>
  <c r="U64" i="1" s="1"/>
  <c r="R65" i="1"/>
  <c r="S65" i="1" s="1"/>
  <c r="T65" i="1" s="1"/>
  <c r="U65" i="1" s="1"/>
  <c r="R66" i="1"/>
  <c r="X66" i="1" s="1"/>
  <c r="R67" i="1"/>
  <c r="S67" i="1" s="1"/>
  <c r="T67" i="1" s="1"/>
  <c r="U67" i="1" s="1"/>
  <c r="R68" i="1"/>
  <c r="S68" i="1" s="1"/>
  <c r="T68" i="1" s="1"/>
  <c r="U68" i="1" s="1"/>
  <c r="R69" i="1"/>
  <c r="S69" i="1" s="1"/>
  <c r="T69" i="1" s="1"/>
  <c r="U69" i="1" s="1"/>
  <c r="R70" i="1"/>
  <c r="R71" i="1"/>
  <c r="S71" i="1" s="1"/>
  <c r="T71" i="1" s="1"/>
  <c r="U71" i="1" s="1"/>
  <c r="R72" i="1"/>
  <c r="S72" i="1" s="1"/>
  <c r="T72" i="1" s="1"/>
  <c r="U72" i="1" s="1"/>
  <c r="R73" i="1"/>
  <c r="X73" i="1" s="1"/>
  <c r="R74" i="1"/>
  <c r="X74" i="1" s="1"/>
  <c r="R75" i="1"/>
  <c r="R76" i="1"/>
  <c r="S76" i="1" s="1"/>
  <c r="T76" i="1" s="1"/>
  <c r="U76" i="1" s="1"/>
  <c r="R77" i="1"/>
  <c r="S77" i="1" s="1"/>
  <c r="T77" i="1" s="1"/>
  <c r="U77" i="1" s="1"/>
  <c r="R78" i="1"/>
  <c r="X78" i="1" s="1"/>
  <c r="R79" i="1"/>
  <c r="S79" i="1" s="1"/>
  <c r="T79" i="1" s="1"/>
  <c r="U79" i="1" s="1"/>
  <c r="R80" i="1"/>
  <c r="R81" i="1"/>
  <c r="X81" i="1" s="1"/>
  <c r="R82" i="1"/>
  <c r="X82" i="1" s="1"/>
  <c r="R83" i="1"/>
  <c r="X83" i="1" s="1"/>
  <c r="R84" i="1"/>
  <c r="X84" i="1" s="1"/>
  <c r="R85" i="1"/>
  <c r="R86" i="1"/>
  <c r="S86" i="1" s="1"/>
  <c r="T86" i="1" s="1"/>
  <c r="U86" i="1" s="1"/>
  <c r="R87" i="1"/>
  <c r="S87" i="1" s="1"/>
  <c r="T87" i="1" s="1"/>
  <c r="U87" i="1" s="1"/>
  <c r="R88" i="1"/>
  <c r="X88" i="1" s="1"/>
  <c r="R89" i="1"/>
  <c r="X89" i="1" s="1"/>
  <c r="R90" i="1"/>
  <c r="R91" i="1"/>
  <c r="X91" i="1" s="1"/>
  <c r="R92" i="1"/>
  <c r="X92" i="1" s="1"/>
  <c r="R93" i="1"/>
  <c r="S93" i="1" s="1"/>
  <c r="T93" i="1" s="1"/>
  <c r="U93" i="1" s="1"/>
  <c r="R94" i="1"/>
  <c r="S94" i="1" s="1"/>
  <c r="T94" i="1" s="1"/>
  <c r="U94" i="1" s="1"/>
  <c r="R95" i="1"/>
  <c r="R96" i="1"/>
  <c r="X96" i="1" s="1"/>
  <c r="R97" i="1"/>
  <c r="X97" i="1" s="1"/>
  <c r="R98" i="1"/>
  <c r="X98" i="1" s="1"/>
  <c r="R99" i="1"/>
  <c r="S99" i="1" s="1"/>
  <c r="T99" i="1" s="1"/>
  <c r="U99" i="1" s="1"/>
  <c r="R100" i="1"/>
  <c r="S100" i="1" s="1"/>
  <c r="T100" i="1" s="1"/>
  <c r="R101" i="1"/>
  <c r="X101" i="1" s="1"/>
  <c r="R102" i="1"/>
  <c r="X102" i="1" s="1"/>
  <c r="R103" i="1"/>
  <c r="S103" i="1" s="1"/>
  <c r="T103" i="1" s="1"/>
  <c r="U103" i="1" s="1"/>
  <c r="R104" i="1"/>
  <c r="X104" i="1" s="1"/>
  <c r="R105" i="1"/>
  <c r="R106" i="1"/>
  <c r="S106" i="1" s="1"/>
  <c r="T106" i="1" s="1"/>
  <c r="U106" i="1" s="1"/>
  <c r="R107" i="1"/>
  <c r="X107" i="1" s="1"/>
  <c r="R108" i="1"/>
  <c r="X108" i="1" s="1"/>
  <c r="R109" i="1"/>
  <c r="X109" i="1" s="1"/>
  <c r="R110" i="1"/>
  <c r="R111" i="1"/>
  <c r="S111" i="1" s="1"/>
  <c r="T111" i="1" s="1"/>
  <c r="U111" i="1" s="1"/>
  <c r="R112" i="1"/>
  <c r="X112" i="1" s="1"/>
  <c r="R113" i="1"/>
  <c r="S113" i="1" s="1"/>
  <c r="T113" i="1" s="1"/>
  <c r="U113" i="1" s="1"/>
  <c r="R114" i="1"/>
  <c r="S114" i="1" s="1"/>
  <c r="T114" i="1" s="1"/>
  <c r="U114" i="1" s="1"/>
  <c r="R115" i="1"/>
  <c r="R116" i="1"/>
  <c r="X116" i="1" s="1"/>
  <c r="R117" i="1"/>
  <c r="X117" i="1" s="1"/>
  <c r="R118" i="1"/>
  <c r="X118" i="1" s="1"/>
  <c r="R119" i="1"/>
  <c r="S119" i="1" s="1"/>
  <c r="T119" i="1" s="1"/>
  <c r="U119" i="1" s="1"/>
  <c r="R120" i="1"/>
  <c r="R121" i="1"/>
  <c r="S121" i="1" s="1"/>
  <c r="T121" i="1" s="1"/>
  <c r="U121" i="1" s="1"/>
  <c r="R122" i="1"/>
  <c r="S122" i="1" s="1"/>
  <c r="T122" i="1" s="1"/>
  <c r="U122" i="1" s="1"/>
  <c r="R123" i="1"/>
  <c r="S123" i="1" s="1"/>
  <c r="T123" i="1" s="1"/>
  <c r="U123" i="1" s="1"/>
  <c r="R124" i="1"/>
  <c r="X124" i="1" s="1"/>
  <c r="R125" i="1"/>
  <c r="R126" i="1"/>
  <c r="X126" i="1" s="1"/>
  <c r="R127" i="1"/>
  <c r="X127" i="1" s="1"/>
  <c r="R6" i="1"/>
  <c r="AF6" i="1" l="1"/>
  <c r="AF103" i="1"/>
  <c r="X103" i="1"/>
  <c r="AF86" i="1"/>
  <c r="X86" i="1"/>
  <c r="AF21" i="1"/>
  <c r="X21" i="1"/>
  <c r="X64" i="1"/>
  <c r="AF64" i="1"/>
  <c r="AF79" i="1"/>
  <c r="X79" i="1"/>
  <c r="AF19" i="1"/>
  <c r="X19" i="1"/>
  <c r="X24" i="1"/>
  <c r="AF24" i="1"/>
  <c r="X106" i="1"/>
  <c r="AF106" i="1"/>
  <c r="X44" i="1"/>
  <c r="AF44" i="1"/>
  <c r="AF77" i="1"/>
  <c r="X77" i="1"/>
  <c r="AF57" i="1"/>
  <c r="X57" i="1"/>
  <c r="AF37" i="1"/>
  <c r="X37" i="1"/>
  <c r="AF61" i="1"/>
  <c r="X61" i="1"/>
  <c r="AF36" i="1"/>
  <c r="X36" i="1"/>
  <c r="AF16" i="1"/>
  <c r="X16" i="1"/>
  <c r="AF121" i="1"/>
  <c r="X121" i="1"/>
  <c r="AF34" i="1"/>
  <c r="X34" i="1"/>
  <c r="AF14" i="1"/>
  <c r="X14" i="1"/>
  <c r="AF119" i="1"/>
  <c r="X119" i="1"/>
  <c r="AF93" i="1"/>
  <c r="X93" i="1"/>
  <c r="AF53" i="1"/>
  <c r="X53" i="1"/>
  <c r="AF33" i="1"/>
  <c r="X33" i="1"/>
  <c r="AF99" i="1"/>
  <c r="X99" i="1"/>
  <c r="AF76" i="1"/>
  <c r="X76" i="1"/>
  <c r="AF72" i="1"/>
  <c r="X72" i="1"/>
  <c r="AF52" i="1"/>
  <c r="X52" i="1"/>
  <c r="AF32" i="1"/>
  <c r="X32" i="1"/>
  <c r="AF111" i="1"/>
  <c r="X111" i="1"/>
  <c r="AF31" i="1"/>
  <c r="X31" i="1"/>
  <c r="AF11" i="1"/>
  <c r="X11" i="1"/>
  <c r="AF123" i="1"/>
  <c r="X123" i="1"/>
  <c r="AF114" i="1"/>
  <c r="X114" i="1"/>
  <c r="AF10" i="1"/>
  <c r="X10" i="1"/>
  <c r="AF43" i="1"/>
  <c r="X43" i="1"/>
  <c r="AF94" i="1"/>
  <c r="X94" i="1"/>
  <c r="AF71" i="1"/>
  <c r="X71" i="1"/>
  <c r="AF69" i="1"/>
  <c r="X69" i="1"/>
  <c r="AF49" i="1"/>
  <c r="X49" i="1"/>
  <c r="AF29" i="1"/>
  <c r="X29" i="1"/>
  <c r="AF9" i="1"/>
  <c r="X9" i="1"/>
  <c r="AF58" i="1"/>
  <c r="X58" i="1"/>
  <c r="AF68" i="1"/>
  <c r="X68" i="1"/>
  <c r="AF122" i="1"/>
  <c r="X122" i="1"/>
  <c r="AF113" i="1"/>
  <c r="X113" i="1"/>
  <c r="AF87" i="1"/>
  <c r="X87" i="1"/>
  <c r="AF67" i="1"/>
  <c r="X67" i="1"/>
  <c r="AF47" i="1"/>
  <c r="X47" i="1"/>
  <c r="AF7" i="1"/>
  <c r="U5" i="1"/>
  <c r="X7" i="1"/>
  <c r="T5" i="1"/>
  <c r="Y45" i="1"/>
  <c r="Y83" i="1"/>
  <c r="Y120" i="1"/>
  <c r="Y40" i="1"/>
  <c r="Y20" i="1"/>
  <c r="Y85" i="1"/>
  <c r="Y41" i="1"/>
  <c r="Y84" i="1"/>
  <c r="Y82" i="1"/>
  <c r="Y59" i="1"/>
  <c r="Y97" i="1"/>
  <c r="Y17" i="1"/>
  <c r="Y63" i="1"/>
  <c r="Y101" i="1"/>
  <c r="Y100" i="1"/>
  <c r="Y78" i="1"/>
  <c r="Y16" i="1"/>
  <c r="Y104" i="1"/>
  <c r="Y102" i="1"/>
  <c r="Y38" i="1"/>
  <c r="Y15" i="1"/>
  <c r="Y65" i="1"/>
  <c r="Y42" i="1"/>
  <c r="Y39" i="1"/>
  <c r="Y56" i="1"/>
  <c r="Y54" i="1"/>
  <c r="Y34" i="1"/>
  <c r="Y14" i="1"/>
  <c r="Y125" i="1"/>
  <c r="Y124" i="1"/>
  <c r="Y123" i="1"/>
  <c r="Y21" i="1"/>
  <c r="Y58" i="1"/>
  <c r="Y116" i="1"/>
  <c r="Y115" i="1"/>
  <c r="Y114" i="1"/>
  <c r="Y73" i="1"/>
  <c r="Y33" i="1"/>
  <c r="Y13" i="1"/>
  <c r="Y24" i="1"/>
  <c r="Y122" i="1"/>
  <c r="Y80" i="1"/>
  <c r="Y57" i="1"/>
  <c r="Y95" i="1"/>
  <c r="Y112" i="1"/>
  <c r="Y12" i="1"/>
  <c r="Y105" i="1"/>
  <c r="Y22" i="1"/>
  <c r="Y99" i="1"/>
  <c r="Y77" i="1"/>
  <c r="Y96" i="1"/>
  <c r="Y53" i="1"/>
  <c r="Y71" i="1"/>
  <c r="Y51" i="1"/>
  <c r="Y31" i="1"/>
  <c r="Y11" i="1"/>
  <c r="Y25" i="1"/>
  <c r="Y103" i="1"/>
  <c r="Y81" i="1"/>
  <c r="Y119" i="1"/>
  <c r="Y118" i="1"/>
  <c r="Y36" i="1"/>
  <c r="Y94" i="1"/>
  <c r="Y32" i="1"/>
  <c r="Y70" i="1"/>
  <c r="Y30" i="1"/>
  <c r="Y10" i="1"/>
  <c r="Y44" i="1"/>
  <c r="Y62" i="1"/>
  <c r="Y19" i="1"/>
  <c r="Y117" i="1"/>
  <c r="Y76" i="1"/>
  <c r="Y74" i="1"/>
  <c r="Y93" i="1"/>
  <c r="Y91" i="1"/>
  <c r="Y69" i="1"/>
  <c r="Y49" i="1"/>
  <c r="Y29" i="1"/>
  <c r="Y9" i="1"/>
  <c r="Y43" i="1"/>
  <c r="Y121" i="1"/>
  <c r="Y18" i="1"/>
  <c r="Y35" i="1"/>
  <c r="Y52" i="1"/>
  <c r="Y90" i="1"/>
  <c r="Y109" i="1"/>
  <c r="Y108" i="1"/>
  <c r="Y88" i="1"/>
  <c r="Y68" i="1"/>
  <c r="Y48" i="1"/>
  <c r="Y28" i="1"/>
  <c r="Y8" i="1"/>
  <c r="Y64" i="1"/>
  <c r="Y61" i="1"/>
  <c r="Y79" i="1"/>
  <c r="Y37" i="1"/>
  <c r="Y75" i="1"/>
  <c r="Y113" i="1"/>
  <c r="Y92" i="1"/>
  <c r="Y111" i="1"/>
  <c r="Y110" i="1"/>
  <c r="Y89" i="1"/>
  <c r="Y127" i="1"/>
  <c r="Y87" i="1"/>
  <c r="Y67" i="1"/>
  <c r="Y47" i="1"/>
  <c r="Y27" i="1"/>
  <c r="Y7" i="1"/>
  <c r="Y23" i="1"/>
  <c r="Y60" i="1"/>
  <c r="Y98" i="1"/>
  <c r="Y55" i="1"/>
  <c r="Y72" i="1"/>
  <c r="Y50" i="1"/>
  <c r="Y6" i="1"/>
  <c r="Y107" i="1"/>
  <c r="Y126" i="1"/>
  <c r="Y106" i="1"/>
  <c r="Y86" i="1"/>
  <c r="Y66" i="1"/>
  <c r="Y46" i="1"/>
  <c r="Y26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AB5" i="1"/>
  <c r="AC5" i="1"/>
  <c r="AD5" i="1"/>
  <c r="Z5" i="1"/>
  <c r="V5" i="1"/>
  <c r="S5" i="1"/>
  <c r="R5" i="1"/>
  <c r="Q5" i="1"/>
  <c r="P5" i="1"/>
  <c r="N5" i="1"/>
  <c r="M5" i="1"/>
  <c r="K5" i="1"/>
  <c r="F5" i="1"/>
  <c r="E5" i="1"/>
  <c r="X6" i="1" l="1"/>
  <c r="X15" i="1"/>
  <c r="AF15" i="1"/>
  <c r="AF20" i="1"/>
  <c r="X20" i="1"/>
  <c r="L5" i="1"/>
  <c r="X25" i="1" l="1"/>
  <c r="AF25" i="1"/>
  <c r="AF30" i="1" l="1"/>
  <c r="X30" i="1"/>
  <c r="AF35" i="1" l="1"/>
  <c r="X35" i="1"/>
  <c r="AF40" i="1" l="1"/>
  <c r="X40" i="1"/>
  <c r="AF45" i="1" l="1"/>
  <c r="X45" i="1"/>
  <c r="AF50" i="1" l="1"/>
  <c r="X50" i="1"/>
  <c r="AF55" i="1" l="1"/>
  <c r="X55" i="1"/>
  <c r="AF60" i="1" l="1"/>
  <c r="X60" i="1"/>
  <c r="AF65" i="1" l="1"/>
  <c r="X65" i="1"/>
  <c r="AF70" i="1" l="1"/>
  <c r="X70" i="1"/>
  <c r="AF75" i="1" l="1"/>
  <c r="X75" i="1"/>
  <c r="AF80" i="1" l="1"/>
  <c r="X80" i="1"/>
  <c r="AF85" i="1" l="1"/>
  <c r="X85" i="1"/>
  <c r="AF90" i="1" l="1"/>
  <c r="X90" i="1"/>
  <c r="AF95" i="1" l="1"/>
  <c r="X95" i="1"/>
  <c r="AF100" i="1" l="1"/>
  <c r="X100" i="1"/>
  <c r="AF105" i="1" l="1"/>
  <c r="X105" i="1"/>
  <c r="AF110" i="1" l="1"/>
  <c r="X110" i="1"/>
  <c r="AF115" i="1" l="1"/>
  <c r="X115" i="1"/>
  <c r="AF120" i="1" l="1"/>
  <c r="X120" i="1"/>
  <c r="AF125" i="1" l="1"/>
  <c r="AF5" i="1" s="1"/>
  <c r="X125" i="1"/>
</calcChain>
</file>

<file path=xl/sharedStrings.xml><?xml version="1.0" encoding="utf-8"?>
<sst xmlns="http://schemas.openxmlformats.org/spreadsheetml/2006/main" count="449" uniqueCount="289">
  <si>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</si>
  <si>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</si>
  <si>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</si>
  <si>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</si>
  <si>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</si>
  <si>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</si>
  <si>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</si>
  <si>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</si>
  <si>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</si>
  <si>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</si>
  <si>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</si>
  <si>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</si>
  <si>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</si>
  <si>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</si>
  <si>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</si>
  <si>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</si>
  <si>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</si>
  <si>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</si>
  <si>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</si>
  <si>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</si>
  <si>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</si>
  <si>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</si>
  <si>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</si>
  <si>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</si>
  <si>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</si>
  <si>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</si>
  <si>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25,06,</t>
  </si>
  <si>
    <t>23,06,</t>
  </si>
  <si>
    <t>28,05,</t>
  </si>
  <si>
    <t>04,06,</t>
  </si>
  <si>
    <t>11,06,</t>
  </si>
  <si>
    <t>18,06,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</si>
  <si>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</si>
  <si>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</si>
  <si>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</si>
  <si>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</si>
  <si>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</si>
  <si>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</si>
  <si>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</si>
  <si>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</si>
  <si>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</si>
  <si>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</si>
  <si>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</si>
  <si>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</si>
  <si>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</si>
  <si>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</si>
  <si>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</si>
  <si>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</si>
  <si>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</si>
  <si>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</si>
  <si>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</si>
  <si>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</si>
  <si>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</si>
  <si>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</si>
  <si>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</si>
  <si>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</si>
  <si>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</si>
  <si>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</si>
  <si>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</si>
  <si>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</si>
  <si>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</si>
  <si>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</si>
  <si>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</si>
  <si>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</si>
  <si>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</si>
  <si>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</si>
  <si>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</si>
  <si>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</si>
  <si>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</si>
  <si>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</si>
  <si>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</si>
  <si>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</si>
  <si>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</si>
  <si>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</si>
  <si>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</si>
  <si>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</si>
  <si>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</si>
  <si>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</si>
  <si>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</si>
  <si>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</si>
  <si>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</si>
  <si>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</si>
  <si>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</si>
  <si>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</si>
  <si>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</si>
  <si>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</si>
  <si>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</si>
  <si>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</si>
  <si>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</si>
  <si>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</si>
  <si>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</si>
  <si>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</si>
  <si>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</si>
  <si>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</si>
  <si>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</si>
  <si>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</si>
  <si>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282  Колбаса Балыкбургская рубленая, в/у 0,35 кг срез, БАВАРУШКА ПОКОМ</t>
  </si>
  <si>
    <t>P004400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</si>
  <si>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</si>
  <si>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</si>
  <si>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</si>
  <si>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</si>
  <si>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</si>
  <si>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</si>
  <si>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</si>
  <si>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</si>
  <si>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</si>
  <si>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</si>
  <si>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</si>
  <si>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</si>
  <si>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</si>
  <si>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</si>
  <si>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</si>
  <si>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</si>
  <si>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</si>
  <si>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</si>
  <si>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</si>
  <si>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</si>
  <si>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</si>
  <si>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</si>
  <si>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</si>
  <si>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</si>
  <si>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</si>
  <si>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</si>
  <si>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</si>
  <si>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</si>
  <si>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</si>
  <si>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</si>
  <si>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</si>
  <si>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</si>
  <si>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</si>
  <si>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</si>
  <si>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</si>
  <si>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</si>
  <si>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</si>
  <si>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</si>
  <si>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</si>
  <si>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</si>
  <si>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</si>
  <si>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</si>
  <si>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</si>
  <si>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</si>
  <si>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</si>
  <si>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</si>
  <si>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</si>
  <si>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</si>
  <si>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</si>
  <si>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</si>
  <si>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</si>
  <si>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</si>
  <si>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</si>
  <si>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</si>
  <si>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</si>
  <si>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</si>
  <si>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>?????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</si>
  <si>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</si>
  <si>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</si>
  <si>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</si>
  <si>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</si>
  <si>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</si>
  <si>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</si>
  <si>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</si>
  <si>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</si>
  <si>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</si>
  <si>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</si>
  <si>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</si>
  <si>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</si>
  <si>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</si>
  <si>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</si>
  <si>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</si>
  <si>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</si>
  <si>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</si>
  <si>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</si>
  <si>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</si>
  <si>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</si>
  <si>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</si>
  <si>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</si>
  <si>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</si>
  <si>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</si>
  <si>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</si>
  <si>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</si>
  <si>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</si>
  <si>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</si>
  <si>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</si>
  <si>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</si>
  <si>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</si>
  <si>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</si>
  <si>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</si>
  <si>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</si>
  <si>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</si>
  <si>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</si>
  <si>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</si>
  <si>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</si>
  <si>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</si>
  <si>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</si>
  <si>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</si>
  <si>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</si>
  <si>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</si>
  <si>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</si>
  <si>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</si>
  <si>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</si>
  <si>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</si>
  <si>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</si>
  <si>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</si>
  <si>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</si>
  <si>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464  Колбаса Стародворская Традиционная со шпиком оболочке полиамид ТМ Стародворье.</t>
  </si>
  <si>
    <t>нет в бланке / промо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</si>
  <si>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</si>
  <si>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</si>
  <si>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</si>
  <si>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</si>
  <si>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</si>
  <si>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</si>
  <si>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</si>
  <si>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</si>
  <si>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</si>
  <si>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</si>
  <si>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</si>
  <si>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</si>
  <si>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</si>
  <si>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</si>
  <si>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</si>
  <si>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</si>
  <si>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</si>
  <si>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</si>
  <si>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</si>
  <si>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</si>
  <si>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</si>
  <si>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</si>
  <si>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</si>
  <si>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</si>
  <si>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</si>
  <si>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</si>
  <si>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</si>
  <si>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</si>
  <si>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</si>
  <si>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</si>
  <si>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</si>
  <si>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</si>
  <si>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</si>
  <si>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</si>
  <si>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</si>
  <si>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</si>
  <si>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</si>
  <si>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</si>
  <si>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</si>
  <si>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</si>
  <si>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</si>
  <si>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</si>
  <si>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</si>
  <si>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</si>
  <si>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</si>
  <si>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</si>
  <si>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</si>
  <si>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</si>
  <si>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</si>
  <si>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</si>
  <si>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</si>
  <si>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</si>
  <si>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</si>
  <si>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</si>
  <si>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</si>
  <si>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</si>
  <si>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</si>
  <si>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</si>
  <si>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</si>
  <si>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</si>
  <si>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</si>
  <si>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</si>
  <si>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</si>
  <si>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</si>
  <si>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</si>
  <si>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</si>
  <si>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</si>
  <si>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</si>
  <si>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 377  Колбаса Молочная Дугушка 0,6кг ТМ Стародворье  ПОКОМ</t>
  </si>
  <si>
    <t>акция</t>
  </si>
  <si>
    <t>А_301  Сосиски Сочинки по-баварски с сыром,  0.4кг, ТМ Стародворье  ПОКОМ</t>
  </si>
  <si>
    <t>ротация на 597</t>
  </si>
  <si>
    <t>вместо 219</t>
  </si>
  <si>
    <t>P005467</t>
  </si>
  <si>
    <t>ротация</t>
  </si>
  <si>
    <t>22,06,(2)</t>
  </si>
  <si>
    <t>нужно увеличить продажи</t>
  </si>
  <si>
    <t>нужно увеличить продажи!!!</t>
  </si>
  <si>
    <t>итого</t>
  </si>
  <si>
    <t>заказ</t>
  </si>
  <si>
    <t>30,06,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</si>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</sst>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5" fontId="1" fillId="0" borderId="1" xfId="1" applyNumberFormat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74;%2023,06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</row>
        <row r="4">
          <cell r="O4" t="str">
            <v>20,06,</v>
          </cell>
          <cell r="P4" t="str">
            <v>20,06,(2)</v>
          </cell>
          <cell r="Q4" t="str">
            <v>20,06,(3)</v>
          </cell>
          <cell r="R4" t="str">
            <v>20,06,(4)</v>
          </cell>
          <cell r="S4" t="str">
            <v>22,06,</v>
          </cell>
          <cell r="T4" t="str">
            <v>22,06,(2)</v>
          </cell>
        </row>
        <row r="5">
          <cell r="E5">
            <v>0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9420</v>
          </cell>
          <cell r="P5">
            <v>11520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G6">
            <v>1</v>
          </cell>
          <cell r="I6" t="str">
            <v>P003011</v>
          </cell>
          <cell r="O6">
            <v>2000</v>
          </cell>
          <cell r="P6">
            <v>2000</v>
          </cell>
          <cell r="Q6">
            <v>400</v>
          </cell>
          <cell r="R6">
            <v>0</v>
          </cell>
          <cell r="S6">
            <v>1400</v>
          </cell>
          <cell r="T6">
            <v>1400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G7">
            <v>1</v>
          </cell>
          <cell r="I7" t="str">
            <v>P003986</v>
          </cell>
          <cell r="O7">
            <v>300</v>
          </cell>
          <cell r="P7">
            <v>300</v>
          </cell>
          <cell r="Q7">
            <v>300</v>
          </cell>
          <cell r="R7">
            <v>0</v>
          </cell>
          <cell r="S7">
            <v>350</v>
          </cell>
          <cell r="T7">
            <v>350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G8">
            <v>1</v>
          </cell>
          <cell r="I8" t="str">
            <v>P003988</v>
          </cell>
          <cell r="O8">
            <v>400</v>
          </cell>
          <cell r="P8">
            <v>400</v>
          </cell>
          <cell r="Q8">
            <v>300</v>
          </cell>
          <cell r="R8">
            <v>0</v>
          </cell>
          <cell r="S8">
            <v>650</v>
          </cell>
          <cell r="T8">
            <v>650</v>
          </cell>
        </row>
        <row r="9">
          <cell r="A9" t="str">
            <v xml:space="preserve"> 030  Сосиски Вязанка Молочные, Вязанка вискофан МГС, 0.45кг, ПОКОМ</v>
          </cell>
          <cell r="B9" t="str">
            <v>шт</v>
          </cell>
          <cell r="G9">
            <v>0.45</v>
          </cell>
          <cell r="I9" t="str">
            <v>P003985</v>
          </cell>
          <cell r="O9">
            <v>0</v>
          </cell>
          <cell r="P9">
            <v>0</v>
          </cell>
          <cell r="Q9">
            <v>0</v>
          </cell>
          <cell r="R9">
            <v>760</v>
          </cell>
          <cell r="S9">
            <v>85</v>
          </cell>
          <cell r="T9">
            <v>85</v>
          </cell>
        </row>
        <row r="10">
          <cell r="A10" t="str">
            <v xml:space="preserve"> 032  Сосиски Вязанка Сливочные, Вязанка амицел МГС, 0.45кг, ПОКОМ</v>
          </cell>
          <cell r="B10" t="str">
            <v>шт</v>
          </cell>
          <cell r="G10">
            <v>0.45</v>
          </cell>
          <cell r="I10" t="str">
            <v>P003989</v>
          </cell>
          <cell r="O10">
            <v>0</v>
          </cell>
          <cell r="P10">
            <v>0</v>
          </cell>
          <cell r="Q10">
            <v>0</v>
          </cell>
          <cell r="R10">
            <v>1100</v>
          </cell>
          <cell r="S10">
            <v>350</v>
          </cell>
          <cell r="T10">
            <v>350</v>
          </cell>
        </row>
        <row r="11">
          <cell r="A11" t="str">
            <v xml:space="preserve"> 047  Кол Баварская, белков.обол. в термоусад. пакете 0.17 кг, ТМ Стародворье  ПОКОМ</v>
          </cell>
          <cell r="B11" t="str">
            <v>шт</v>
          </cell>
          <cell r="G11">
            <v>0.17</v>
          </cell>
          <cell r="I11" t="str">
            <v>P002290</v>
          </cell>
          <cell r="O11">
            <v>0</v>
          </cell>
          <cell r="P11">
            <v>0</v>
          </cell>
          <cell r="Q11">
            <v>0</v>
          </cell>
          <cell r="R11">
            <v>80</v>
          </cell>
          <cell r="S11">
            <v>30</v>
          </cell>
          <cell r="T11">
            <v>30</v>
          </cell>
        </row>
        <row r="12">
          <cell r="A12" t="str">
            <v xml:space="preserve"> 057  Колбаса Докторская Дугушка, вектор 0.4 кг, ТМ Стародворье    ПОКОМ</v>
          </cell>
          <cell r="B12" t="str">
            <v>шт</v>
          </cell>
          <cell r="G12">
            <v>0.4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G13">
            <v>0.3</v>
          </cell>
          <cell r="I13" t="str">
            <v>P002461</v>
          </cell>
          <cell r="O13">
            <v>0</v>
          </cell>
          <cell r="P13">
            <v>0</v>
          </cell>
          <cell r="Q13">
            <v>0</v>
          </cell>
          <cell r="R13">
            <v>70</v>
          </cell>
          <cell r="S13">
            <v>60</v>
          </cell>
          <cell r="T13">
            <v>60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G14">
            <v>0.17</v>
          </cell>
          <cell r="I14" t="str">
            <v>P001909</v>
          </cell>
          <cell r="O14">
            <v>0</v>
          </cell>
          <cell r="P14">
            <v>0</v>
          </cell>
          <cell r="Q14">
            <v>0</v>
          </cell>
          <cell r="R14">
            <v>250</v>
          </cell>
          <cell r="S14">
            <v>55</v>
          </cell>
          <cell r="T14">
            <v>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G15">
            <v>1</v>
          </cell>
          <cell r="I15" t="str">
            <v>P004460</v>
          </cell>
          <cell r="O15">
            <v>500</v>
          </cell>
          <cell r="P15">
            <v>500</v>
          </cell>
          <cell r="Q15">
            <v>500</v>
          </cell>
          <cell r="R15">
            <v>150</v>
          </cell>
          <cell r="S15">
            <v>350</v>
          </cell>
          <cell r="T15">
            <v>350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G16">
            <v>1</v>
          </cell>
          <cell r="I16" t="str">
            <v>P002555</v>
          </cell>
          <cell r="O16">
            <v>1300</v>
          </cell>
          <cell r="P16">
            <v>1300</v>
          </cell>
          <cell r="Q16">
            <v>1300</v>
          </cell>
          <cell r="R16">
            <v>0</v>
          </cell>
          <cell r="S16">
            <v>1950</v>
          </cell>
          <cell r="T16">
            <v>1950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G17">
            <v>1</v>
          </cell>
          <cell r="I17" t="str">
            <v>P004028</v>
          </cell>
          <cell r="O17">
            <v>0</v>
          </cell>
          <cell r="P17">
            <v>0</v>
          </cell>
          <cell r="Q17">
            <v>0</v>
          </cell>
          <cell r="R17">
            <v>150</v>
          </cell>
          <cell r="S17">
            <v>20</v>
          </cell>
          <cell r="T17">
            <v>20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G18">
            <v>1</v>
          </cell>
          <cell r="I18" t="str">
            <v>P005077</v>
          </cell>
          <cell r="O18">
            <v>320</v>
          </cell>
          <cell r="P18">
            <v>320</v>
          </cell>
          <cell r="Q18">
            <v>320</v>
          </cell>
          <cell r="R18">
            <v>0</v>
          </cell>
          <cell r="S18">
            <v>375</v>
          </cell>
          <cell r="T18">
            <v>375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G19">
            <v>1</v>
          </cell>
          <cell r="I19" t="str">
            <v>P004406</v>
          </cell>
          <cell r="O19">
            <v>0</v>
          </cell>
          <cell r="P19">
            <v>0</v>
          </cell>
          <cell r="Q19">
            <v>0</v>
          </cell>
          <cell r="R19">
            <v>30</v>
          </cell>
          <cell r="S19">
            <v>25</v>
          </cell>
          <cell r="T19">
            <v>25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G20">
            <v>1</v>
          </cell>
          <cell r="I20" t="str">
            <v>P001900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G21">
            <v>1</v>
          </cell>
          <cell r="I21" t="str">
            <v>P004030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 xml:space="preserve"> 230  Колбаса Молочная Особая ТМ Особый рецепт, п/а, ВЕС. ПОКОМ</v>
          </cell>
          <cell r="B22" t="str">
            <v>кг</v>
          </cell>
          <cell r="G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 xml:space="preserve"> 236  Колбаса Рубленая ЗАПЕЧ. Дугушка ТМ Стародворье, вектор, в/к    ПОКОМ</v>
          </cell>
          <cell r="B23" t="str">
            <v>кг</v>
          </cell>
          <cell r="G23">
            <v>1</v>
          </cell>
          <cell r="I23" t="str">
            <v>P004465</v>
          </cell>
          <cell r="O23">
            <v>0</v>
          </cell>
          <cell r="P23">
            <v>0</v>
          </cell>
          <cell r="Q23">
            <v>0</v>
          </cell>
          <cell r="R23">
            <v>320</v>
          </cell>
          <cell r="S23">
            <v>50</v>
          </cell>
          <cell r="T23">
            <v>50</v>
          </cell>
        </row>
        <row r="24">
          <cell r="A24" t="str">
            <v xml:space="preserve"> 239  Колбаса Салями запеч Дугушка, оболочка вектор, ВЕС, ТМ Стародворье  ПОКОМ</v>
          </cell>
          <cell r="B24" t="str">
            <v>кг</v>
          </cell>
          <cell r="G24">
            <v>1</v>
          </cell>
          <cell r="I24" t="str">
            <v>P004466</v>
          </cell>
          <cell r="O24">
            <v>0</v>
          </cell>
          <cell r="P24">
            <v>0</v>
          </cell>
          <cell r="Q24">
            <v>0</v>
          </cell>
          <cell r="R24">
            <v>560</v>
          </cell>
          <cell r="S24">
            <v>100</v>
          </cell>
          <cell r="T24">
            <v>100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G25">
            <v>1</v>
          </cell>
          <cell r="I25" t="str">
            <v>P004470</v>
          </cell>
          <cell r="O25">
            <v>0</v>
          </cell>
          <cell r="P25">
            <v>0</v>
          </cell>
          <cell r="Q25">
            <v>0</v>
          </cell>
          <cell r="R25">
            <v>500</v>
          </cell>
          <cell r="S25">
            <v>250</v>
          </cell>
          <cell r="T25">
            <v>250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1</v>
          </cell>
          <cell r="I26" t="str">
            <v>P003013</v>
          </cell>
          <cell r="O26">
            <v>0</v>
          </cell>
          <cell r="P26">
            <v>0</v>
          </cell>
          <cell r="Q26">
            <v>0</v>
          </cell>
          <cell r="R26">
            <v>60</v>
          </cell>
          <cell r="S26">
            <v>0</v>
          </cell>
          <cell r="T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G27">
            <v>1</v>
          </cell>
          <cell r="I27" t="str">
            <v>P003997</v>
          </cell>
          <cell r="O27">
            <v>0</v>
          </cell>
          <cell r="P27">
            <v>0</v>
          </cell>
          <cell r="Q27">
            <v>0</v>
          </cell>
          <cell r="R27">
            <v>130</v>
          </cell>
          <cell r="S27">
            <v>130</v>
          </cell>
          <cell r="T27">
            <v>130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G28">
            <v>1</v>
          </cell>
          <cell r="I28" t="str">
            <v>P005080</v>
          </cell>
          <cell r="O28">
            <v>0</v>
          </cell>
          <cell r="P28">
            <v>0</v>
          </cell>
          <cell r="Q28">
            <v>0</v>
          </cell>
          <cell r="R28">
            <v>140</v>
          </cell>
          <cell r="S28">
            <v>60</v>
          </cell>
          <cell r="T28">
            <v>60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G29">
            <v>1</v>
          </cell>
          <cell r="I29" t="str">
            <v>P002536</v>
          </cell>
          <cell r="O29">
            <v>800</v>
          </cell>
          <cell r="P29">
            <v>800</v>
          </cell>
          <cell r="Q29">
            <v>800</v>
          </cell>
          <cell r="R29">
            <v>200</v>
          </cell>
          <cell r="S29">
            <v>750</v>
          </cell>
          <cell r="T29">
            <v>750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G30">
            <v>1</v>
          </cell>
          <cell r="I30" t="str">
            <v>P002202</v>
          </cell>
          <cell r="O30">
            <v>0</v>
          </cell>
          <cell r="P30">
            <v>0</v>
          </cell>
          <cell r="Q30">
            <v>0</v>
          </cell>
          <cell r="R30">
            <v>20</v>
          </cell>
          <cell r="S30">
            <v>15</v>
          </cell>
          <cell r="T30">
            <v>15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G31">
            <v>1</v>
          </cell>
          <cell r="I31" t="str">
            <v>P002209</v>
          </cell>
          <cell r="O31">
            <v>0</v>
          </cell>
          <cell r="P31">
            <v>0</v>
          </cell>
          <cell r="Q31">
            <v>0</v>
          </cell>
          <cell r="R31">
            <v>220</v>
          </cell>
          <cell r="S31">
            <v>10</v>
          </cell>
          <cell r="T31">
            <v>10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G32">
            <v>1</v>
          </cell>
          <cell r="I32" t="str">
            <v>P004844</v>
          </cell>
          <cell r="O32">
            <v>1200</v>
          </cell>
          <cell r="P32">
            <v>1200</v>
          </cell>
          <cell r="Q32">
            <v>1200</v>
          </cell>
          <cell r="R32">
            <v>100</v>
          </cell>
          <cell r="S32">
            <v>1400</v>
          </cell>
          <cell r="T32">
            <v>1400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G33">
            <v>1</v>
          </cell>
          <cell r="I33" t="str">
            <v>P004913</v>
          </cell>
          <cell r="O33">
            <v>0</v>
          </cell>
          <cell r="P33">
            <v>0</v>
          </cell>
          <cell r="Q33">
            <v>0</v>
          </cell>
          <cell r="R33">
            <v>360</v>
          </cell>
          <cell r="S33">
            <v>30</v>
          </cell>
          <cell r="T33">
            <v>30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G34">
            <v>0.4</v>
          </cell>
          <cell r="I34" t="str">
            <v>P003957</v>
          </cell>
          <cell r="O34">
            <v>0</v>
          </cell>
          <cell r="P34">
            <v>0</v>
          </cell>
          <cell r="Q34">
            <v>0</v>
          </cell>
          <cell r="R34">
            <v>3400</v>
          </cell>
          <cell r="S34">
            <v>1700</v>
          </cell>
          <cell r="T34">
            <v>1700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G35">
            <v>0.45</v>
          </cell>
          <cell r="I35" t="str">
            <v>P003103</v>
          </cell>
          <cell r="O35">
            <v>0</v>
          </cell>
          <cell r="P35">
            <v>0</v>
          </cell>
          <cell r="Q35">
            <v>0</v>
          </cell>
          <cell r="R35">
            <v>380</v>
          </cell>
          <cell r="S35">
            <v>130</v>
          </cell>
          <cell r="T35">
            <v>130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G36">
            <v>0.4</v>
          </cell>
          <cell r="I36" t="str">
            <v>P003958</v>
          </cell>
          <cell r="O36">
            <v>0</v>
          </cell>
          <cell r="P36">
            <v>0</v>
          </cell>
          <cell r="Q36">
            <v>0</v>
          </cell>
          <cell r="R36">
            <v>950</v>
          </cell>
          <cell r="S36">
            <v>400</v>
          </cell>
          <cell r="T36">
            <v>400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G37">
            <v>0.4</v>
          </cell>
          <cell r="I37" t="str">
            <v>P005198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 xml:space="preserve"> 282  Колбаса Балыкбургская рубленая, в/у 0,35 кг срез, БАВАРУШКА ПОКОМ</v>
          </cell>
          <cell r="B38" t="str">
            <v>шт</v>
          </cell>
          <cell r="G38">
            <v>0.35</v>
          </cell>
          <cell r="I38" t="str">
            <v>P004400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G39">
            <v>1</v>
          </cell>
          <cell r="I39" t="str">
            <v>P003959</v>
          </cell>
          <cell r="O39">
            <v>0</v>
          </cell>
          <cell r="P39">
            <v>0</v>
          </cell>
          <cell r="Q39">
            <v>0</v>
          </cell>
          <cell r="R39">
            <v>160</v>
          </cell>
          <cell r="S39">
            <v>90</v>
          </cell>
          <cell r="T39">
            <v>90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G40">
            <v>0.1</v>
          </cell>
          <cell r="I40" t="str">
            <v>P002648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G41">
            <v>0.35</v>
          </cell>
          <cell r="I41" t="str">
            <v>P003256</v>
          </cell>
          <cell r="O41">
            <v>0</v>
          </cell>
          <cell r="P41">
            <v>0</v>
          </cell>
          <cell r="Q41">
            <v>0</v>
          </cell>
          <cell r="R41">
            <v>360</v>
          </cell>
          <cell r="S41">
            <v>20</v>
          </cell>
          <cell r="T41">
            <v>20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G42">
            <v>1</v>
          </cell>
          <cell r="I42" t="str">
            <v>P003179</v>
          </cell>
          <cell r="O42">
            <v>0</v>
          </cell>
          <cell r="P42">
            <v>0</v>
          </cell>
          <cell r="Q42">
            <v>0</v>
          </cell>
          <cell r="R42">
            <v>50</v>
          </cell>
          <cell r="S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G43">
            <v>0.4</v>
          </cell>
          <cell r="I43" t="str">
            <v>P003475</v>
          </cell>
          <cell r="O43">
            <v>0</v>
          </cell>
          <cell r="P43">
            <v>0</v>
          </cell>
          <cell r="Q43">
            <v>0</v>
          </cell>
          <cell r="R43">
            <v>80</v>
          </cell>
          <cell r="S43">
            <v>115</v>
          </cell>
          <cell r="T43">
            <v>115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G44">
            <v>0.4</v>
          </cell>
          <cell r="I44" t="str">
            <v>P003217</v>
          </cell>
          <cell r="O44">
            <v>0</v>
          </cell>
          <cell r="P44">
            <v>0</v>
          </cell>
          <cell r="Q44">
            <v>0</v>
          </cell>
          <cell r="R44">
            <v>70</v>
          </cell>
          <cell r="S44">
            <v>45</v>
          </cell>
          <cell r="T44">
            <v>45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G45">
            <v>1</v>
          </cell>
          <cell r="I45" t="str">
            <v>P003259</v>
          </cell>
          <cell r="O45">
            <v>0</v>
          </cell>
          <cell r="P45">
            <v>0</v>
          </cell>
          <cell r="Q45">
            <v>0</v>
          </cell>
          <cell r="R45">
            <v>160</v>
          </cell>
          <cell r="S45">
            <v>25</v>
          </cell>
          <cell r="T45">
            <v>25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G46">
            <v>0.35</v>
          </cell>
          <cell r="I46" t="str">
            <v>P003260</v>
          </cell>
          <cell r="O46">
            <v>0</v>
          </cell>
          <cell r="P46">
            <v>0</v>
          </cell>
          <cell r="Q46">
            <v>0</v>
          </cell>
          <cell r="R46">
            <v>1200</v>
          </cell>
          <cell r="S46">
            <v>625</v>
          </cell>
          <cell r="T46">
            <v>625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G47">
            <v>0.4</v>
          </cell>
          <cell r="I47" t="str">
            <v>P004178</v>
          </cell>
          <cell r="O47">
            <v>0</v>
          </cell>
          <cell r="P47">
            <v>0</v>
          </cell>
          <cell r="Q47">
            <v>0</v>
          </cell>
          <cell r="R47">
            <v>720</v>
          </cell>
          <cell r="S47">
            <v>75</v>
          </cell>
          <cell r="T47">
            <v>75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G48">
            <v>1</v>
          </cell>
          <cell r="I48" t="str">
            <v>P003234</v>
          </cell>
          <cell r="O48">
            <v>0</v>
          </cell>
          <cell r="P48">
            <v>0</v>
          </cell>
          <cell r="Q48">
            <v>0</v>
          </cell>
          <cell r="R48">
            <v>400</v>
          </cell>
          <cell r="S48">
            <v>140</v>
          </cell>
          <cell r="T48">
            <v>140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G49">
            <v>1</v>
          </cell>
          <cell r="I49" t="str">
            <v>P003239</v>
          </cell>
          <cell r="O49">
            <v>0</v>
          </cell>
          <cell r="P49">
            <v>0</v>
          </cell>
          <cell r="Q49">
            <v>0</v>
          </cell>
          <cell r="R49">
            <v>820</v>
          </cell>
          <cell r="S49">
            <v>125</v>
          </cell>
          <cell r="T49">
            <v>125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G50">
            <v>1</v>
          </cell>
          <cell r="I50" t="str">
            <v>P004991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G51">
            <v>0.45</v>
          </cell>
          <cell r="I51" t="str">
            <v>P003227</v>
          </cell>
          <cell r="O51">
            <v>0</v>
          </cell>
          <cell r="P51">
            <v>0</v>
          </cell>
          <cell r="Q51">
            <v>0</v>
          </cell>
          <cell r="R51">
            <v>420</v>
          </cell>
          <cell r="S51">
            <v>75</v>
          </cell>
          <cell r="T51">
            <v>75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G52">
            <v>0.45</v>
          </cell>
          <cell r="I52" t="str">
            <v>P003228</v>
          </cell>
          <cell r="O52">
            <v>0</v>
          </cell>
          <cell r="P52">
            <v>0</v>
          </cell>
          <cell r="Q52">
            <v>0</v>
          </cell>
          <cell r="R52">
            <v>500</v>
          </cell>
          <cell r="S52">
            <v>160</v>
          </cell>
          <cell r="T52">
            <v>160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G53">
            <v>0.4</v>
          </cell>
          <cell r="I53" t="str">
            <v>P003960</v>
          </cell>
          <cell r="O53">
            <v>0</v>
          </cell>
          <cell r="P53">
            <v>0</v>
          </cell>
          <cell r="Q53">
            <v>0</v>
          </cell>
          <cell r="R53">
            <v>100</v>
          </cell>
          <cell r="S53">
            <v>45</v>
          </cell>
          <cell r="T53">
            <v>45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G54">
            <v>0.4</v>
          </cell>
          <cell r="I54" t="str">
            <v>P003961</v>
          </cell>
          <cell r="O54">
            <v>0</v>
          </cell>
          <cell r="P54">
            <v>0</v>
          </cell>
          <cell r="Q54">
            <v>0</v>
          </cell>
          <cell r="R54">
            <v>120</v>
          </cell>
          <cell r="S54">
            <v>0</v>
          </cell>
          <cell r="T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G55">
            <v>1</v>
          </cell>
          <cell r="I55" t="str">
            <v>P003235</v>
          </cell>
          <cell r="O55">
            <v>0</v>
          </cell>
          <cell r="P55">
            <v>0</v>
          </cell>
          <cell r="Q55">
            <v>0</v>
          </cell>
          <cell r="R55">
            <v>550</v>
          </cell>
          <cell r="S55">
            <v>330</v>
          </cell>
          <cell r="T55">
            <v>330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G56">
            <v>0.1</v>
          </cell>
          <cell r="I56" t="str">
            <v>P003253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G57">
            <v>1</v>
          </cell>
          <cell r="I57" t="str">
            <v>P003357</v>
          </cell>
          <cell r="O57">
            <v>500</v>
          </cell>
          <cell r="P57">
            <v>500</v>
          </cell>
          <cell r="Q57">
            <v>400</v>
          </cell>
          <cell r="R57">
            <v>0</v>
          </cell>
          <cell r="S57">
            <v>110</v>
          </cell>
          <cell r="T57">
            <v>110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G58">
            <v>1</v>
          </cell>
          <cell r="I58" t="str">
            <v>P004607</v>
          </cell>
          <cell r="O58">
            <v>0</v>
          </cell>
          <cell r="P58">
            <v>0</v>
          </cell>
          <cell r="Q58">
            <v>0</v>
          </cell>
          <cell r="R58">
            <v>130</v>
          </cell>
          <cell r="S58">
            <v>0</v>
          </cell>
          <cell r="T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G59">
            <v>0.1</v>
          </cell>
          <cell r="I59" t="str">
            <v>P003252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G60">
            <v>0.4</v>
          </cell>
          <cell r="I60" t="str">
            <v>P003243</v>
          </cell>
          <cell r="O60">
            <v>0</v>
          </cell>
          <cell r="P60">
            <v>0</v>
          </cell>
          <cell r="Q60">
            <v>0</v>
          </cell>
          <cell r="R60">
            <v>40</v>
          </cell>
          <cell r="S60">
            <v>75</v>
          </cell>
          <cell r="T60">
            <v>75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G61">
            <v>1</v>
          </cell>
          <cell r="I61" t="str">
            <v>P003263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0</v>
          </cell>
          <cell r="T61">
            <v>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G62">
            <v>1</v>
          </cell>
          <cell r="I62" t="str">
            <v>P003266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G63">
            <v>0.4</v>
          </cell>
          <cell r="I63" t="str">
            <v>P003262</v>
          </cell>
          <cell r="O63">
            <v>0</v>
          </cell>
          <cell r="P63">
            <v>0</v>
          </cell>
          <cell r="Q63">
            <v>0</v>
          </cell>
          <cell r="R63">
            <v>1050</v>
          </cell>
          <cell r="S63">
            <v>215</v>
          </cell>
          <cell r="T63">
            <v>215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G64">
            <v>0.4</v>
          </cell>
          <cell r="I64" t="str">
            <v>P003265</v>
          </cell>
          <cell r="O64">
            <v>0</v>
          </cell>
          <cell r="P64">
            <v>0</v>
          </cell>
          <cell r="Q64">
            <v>0</v>
          </cell>
          <cell r="R64">
            <v>750</v>
          </cell>
          <cell r="S64">
            <v>25</v>
          </cell>
          <cell r="T64">
            <v>25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G65">
            <v>1</v>
          </cell>
          <cell r="I65" t="str">
            <v>P003387</v>
          </cell>
          <cell r="O65">
            <v>0</v>
          </cell>
          <cell r="P65">
            <v>0</v>
          </cell>
          <cell r="Q65">
            <v>0</v>
          </cell>
          <cell r="R65">
            <v>320</v>
          </cell>
          <cell r="S65">
            <v>70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G66">
            <v>1</v>
          </cell>
          <cell r="I66" t="str">
            <v>P003401</v>
          </cell>
          <cell r="O66">
            <v>0</v>
          </cell>
          <cell r="P66">
            <v>0</v>
          </cell>
          <cell r="Q66">
            <v>0</v>
          </cell>
          <cell r="R66">
            <v>450</v>
          </cell>
          <cell r="S66">
            <v>15</v>
          </cell>
          <cell r="T66">
            <v>15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G67">
            <v>1</v>
          </cell>
          <cell r="I67" t="str">
            <v>P003383</v>
          </cell>
          <cell r="O67">
            <v>0</v>
          </cell>
          <cell r="P67">
            <v>0</v>
          </cell>
          <cell r="Q67">
            <v>0</v>
          </cell>
          <cell r="R67">
            <v>550</v>
          </cell>
          <cell r="S67">
            <v>175</v>
          </cell>
          <cell r="T67">
            <v>175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I68" t="str">
            <v>P003384</v>
          </cell>
          <cell r="O68">
            <v>0</v>
          </cell>
          <cell r="P68">
            <v>0</v>
          </cell>
          <cell r="Q68">
            <v>0</v>
          </cell>
          <cell r="R68">
            <v>210</v>
          </cell>
          <cell r="S68">
            <v>45</v>
          </cell>
          <cell r="T68">
            <v>45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0.6</v>
          </cell>
          <cell r="I69" t="str">
            <v>Р004929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G70">
            <v>1</v>
          </cell>
          <cell r="I70" t="str">
            <v>P003883</v>
          </cell>
          <cell r="O70">
            <v>0</v>
          </cell>
          <cell r="P70">
            <v>0</v>
          </cell>
          <cell r="Q70">
            <v>0</v>
          </cell>
          <cell r="R70">
            <v>300</v>
          </cell>
          <cell r="S70">
            <v>200</v>
          </cell>
          <cell r="T70">
            <v>200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G71">
            <v>0.6</v>
          </cell>
          <cell r="I71" t="str">
            <v>P004689</v>
          </cell>
          <cell r="O71">
            <v>0</v>
          </cell>
          <cell r="P71">
            <v>0</v>
          </cell>
          <cell r="Q71">
            <v>0</v>
          </cell>
          <cell r="R71">
            <v>60</v>
          </cell>
          <cell r="S71">
            <v>55</v>
          </cell>
          <cell r="T71">
            <v>55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G72">
            <v>0.6</v>
          </cell>
          <cell r="I72" t="str">
            <v>P004688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G73">
            <v>0.4</v>
          </cell>
          <cell r="I73" t="str">
            <v>P003437</v>
          </cell>
          <cell r="O73">
            <v>0</v>
          </cell>
          <cell r="P73">
            <v>0</v>
          </cell>
          <cell r="Q73">
            <v>0</v>
          </cell>
          <cell r="R73">
            <v>80</v>
          </cell>
          <cell r="S73">
            <v>45</v>
          </cell>
          <cell r="T73">
            <v>45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G74">
            <v>0.33</v>
          </cell>
          <cell r="I74" t="str">
            <v>P003438</v>
          </cell>
          <cell r="O74">
            <v>0</v>
          </cell>
          <cell r="P74">
            <v>0</v>
          </cell>
          <cell r="Q74">
            <v>0</v>
          </cell>
          <cell r="R74">
            <v>170</v>
          </cell>
          <cell r="S74">
            <v>10</v>
          </cell>
          <cell r="T74">
            <v>10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G75">
            <v>0.35</v>
          </cell>
          <cell r="I75" t="str">
            <v>P003442</v>
          </cell>
          <cell r="O75">
            <v>0</v>
          </cell>
          <cell r="P75">
            <v>0</v>
          </cell>
          <cell r="Q75">
            <v>0</v>
          </cell>
          <cell r="R75">
            <v>40</v>
          </cell>
          <cell r="S75">
            <v>25</v>
          </cell>
          <cell r="T75">
            <v>25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P003429</v>
          </cell>
          <cell r="O76">
            <v>0</v>
          </cell>
          <cell r="P76">
            <v>0</v>
          </cell>
          <cell r="Q76">
            <v>0</v>
          </cell>
          <cell r="R76">
            <v>600</v>
          </cell>
          <cell r="S76">
            <v>180</v>
          </cell>
          <cell r="T76">
            <v>180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G77">
            <v>0.6</v>
          </cell>
          <cell r="I77" t="str">
            <v>P004923</v>
          </cell>
          <cell r="O77">
            <v>0</v>
          </cell>
          <cell r="P77">
            <v>0</v>
          </cell>
          <cell r="Q77">
            <v>0</v>
          </cell>
          <cell r="R77">
            <v>90</v>
          </cell>
          <cell r="S77">
            <v>60</v>
          </cell>
          <cell r="T77">
            <v>60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G78">
            <v>0.33</v>
          </cell>
          <cell r="I78" t="str">
            <v>P002644</v>
          </cell>
          <cell r="O78">
            <v>0</v>
          </cell>
          <cell r="P78">
            <v>0</v>
          </cell>
          <cell r="Q78">
            <v>0</v>
          </cell>
          <cell r="R78">
            <v>60</v>
          </cell>
          <cell r="S78">
            <v>10</v>
          </cell>
          <cell r="T78">
            <v>10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G79">
            <v>0.4</v>
          </cell>
          <cell r="I79" t="str">
            <v>P004586</v>
          </cell>
          <cell r="O79">
            <v>0</v>
          </cell>
          <cell r="P79">
            <v>0</v>
          </cell>
          <cell r="Q79">
            <v>0</v>
          </cell>
          <cell r="R79">
            <v>130</v>
          </cell>
          <cell r="S79">
            <v>60</v>
          </cell>
          <cell r="T79">
            <v>60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G80">
            <v>0.35</v>
          </cell>
          <cell r="I80" t="str">
            <v>P003364</v>
          </cell>
          <cell r="O80">
            <v>0</v>
          </cell>
          <cell r="P80">
            <v>0</v>
          </cell>
          <cell r="Q80">
            <v>0</v>
          </cell>
          <cell r="R80">
            <v>130</v>
          </cell>
          <cell r="S80">
            <v>40</v>
          </cell>
          <cell r="T80">
            <v>40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G81">
            <v>0.35</v>
          </cell>
          <cell r="I81" t="str">
            <v>P003363</v>
          </cell>
          <cell r="O81">
            <v>0</v>
          </cell>
          <cell r="P81">
            <v>0</v>
          </cell>
          <cell r="Q81">
            <v>0</v>
          </cell>
          <cell r="R81">
            <v>620</v>
          </cell>
          <cell r="S81">
            <v>75</v>
          </cell>
          <cell r="T81">
            <v>75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0.4</v>
          </cell>
          <cell r="I82" t="str">
            <v>P003947</v>
          </cell>
          <cell r="O82">
            <v>0</v>
          </cell>
          <cell r="P82">
            <v>0</v>
          </cell>
          <cell r="Q82">
            <v>0</v>
          </cell>
          <cell r="R82">
            <v>130</v>
          </cell>
          <cell r="S82">
            <v>20</v>
          </cell>
          <cell r="T82">
            <v>20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G84">
            <v>0.4</v>
          </cell>
          <cell r="I84" t="str">
            <v>P004067</v>
          </cell>
          <cell r="O84">
            <v>0</v>
          </cell>
          <cell r="P84">
            <v>0</v>
          </cell>
          <cell r="Q84">
            <v>0</v>
          </cell>
          <cell r="R84">
            <v>40</v>
          </cell>
          <cell r="S84">
            <v>0</v>
          </cell>
          <cell r="T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1</v>
          </cell>
          <cell r="I85" t="str">
            <v>P004070</v>
          </cell>
          <cell r="O85">
            <v>0</v>
          </cell>
          <cell r="P85">
            <v>0</v>
          </cell>
          <cell r="Q85">
            <v>0</v>
          </cell>
          <cell r="R85">
            <v>320</v>
          </cell>
          <cell r="S85">
            <v>0</v>
          </cell>
          <cell r="T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G86">
            <v>1</v>
          </cell>
          <cell r="I86" t="str">
            <v>P002989</v>
          </cell>
          <cell r="O86">
            <v>300</v>
          </cell>
          <cell r="P86">
            <v>300</v>
          </cell>
          <cell r="Q86">
            <v>300</v>
          </cell>
          <cell r="R86">
            <v>200</v>
          </cell>
          <cell r="S86">
            <v>325</v>
          </cell>
          <cell r="T86">
            <v>325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G87">
            <v>1</v>
          </cell>
          <cell r="I87" t="str">
            <v>P004257</v>
          </cell>
          <cell r="O87">
            <v>900</v>
          </cell>
          <cell r="P87">
            <v>900</v>
          </cell>
          <cell r="Q87">
            <v>900</v>
          </cell>
          <cell r="R87">
            <v>200</v>
          </cell>
          <cell r="S87">
            <v>1300</v>
          </cell>
          <cell r="T87">
            <v>1300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G88">
            <v>1</v>
          </cell>
          <cell r="I88" t="str">
            <v>P004252</v>
          </cell>
          <cell r="O88">
            <v>900</v>
          </cell>
          <cell r="P88">
            <v>1500</v>
          </cell>
          <cell r="Q88">
            <v>1400</v>
          </cell>
          <cell r="R88">
            <v>0</v>
          </cell>
          <cell r="S88">
            <v>1550</v>
          </cell>
          <cell r="T88">
            <v>1550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G89">
            <v>1</v>
          </cell>
          <cell r="I89" t="str">
            <v>P004256</v>
          </cell>
          <cell r="O89">
            <v>0</v>
          </cell>
          <cell r="P89">
            <v>1500</v>
          </cell>
          <cell r="Q89">
            <v>2100</v>
          </cell>
          <cell r="R89">
            <v>250</v>
          </cell>
          <cell r="S89">
            <v>2150</v>
          </cell>
          <cell r="T89">
            <v>2050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1</v>
          </cell>
          <cell r="I90" t="str">
            <v>P004210</v>
          </cell>
          <cell r="O90">
            <v>0</v>
          </cell>
          <cell r="P90">
            <v>0</v>
          </cell>
          <cell r="Q90">
            <v>0</v>
          </cell>
          <cell r="R90">
            <v>80</v>
          </cell>
          <cell r="S90">
            <v>20</v>
          </cell>
          <cell r="T90">
            <v>20</v>
          </cell>
        </row>
        <row r="91">
          <cell r="A91" t="str">
            <v xml:space="preserve"> 464  Колбаса Стародворская Традиционная со шпиком оболочке полиамид ТМ Стародворье.</v>
          </cell>
          <cell r="B91" t="str">
            <v>кг</v>
          </cell>
          <cell r="G91">
            <v>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A92" t="str">
            <v xml:space="preserve"> 469  Колбаса Филедворская по-стародворски ТМ Стародворье в оболочке полиамид.ВЕС  ПОКОМ </v>
          </cell>
          <cell r="B92" t="str">
            <v>кг</v>
          </cell>
          <cell r="G92">
            <v>1</v>
          </cell>
          <cell r="I92" t="str">
            <v>P004206</v>
          </cell>
          <cell r="O92">
            <v>0</v>
          </cell>
          <cell r="P92">
            <v>0</v>
          </cell>
          <cell r="Q92">
            <v>0</v>
          </cell>
          <cell r="R92">
            <v>30</v>
          </cell>
          <cell r="S92">
            <v>10</v>
          </cell>
          <cell r="T92">
            <v>10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G93">
            <v>0.3</v>
          </cell>
          <cell r="I93" t="str">
            <v>P003390</v>
          </cell>
          <cell r="O93">
            <v>0</v>
          </cell>
          <cell r="P93">
            <v>0</v>
          </cell>
          <cell r="Q93">
            <v>0</v>
          </cell>
          <cell r="R93">
            <v>320</v>
          </cell>
          <cell r="S93">
            <v>0</v>
          </cell>
          <cell r="T93">
            <v>0</v>
          </cell>
        </row>
        <row r="94">
          <cell r="A94" t="str">
            <v xml:space="preserve"> 517  Сосиски С сыром ТМ Ядрена копоть 0,3кг  ПОКОМ</v>
          </cell>
          <cell r="B94" t="str">
            <v>шт</v>
          </cell>
          <cell r="G94">
            <v>0.3</v>
          </cell>
          <cell r="I94" t="str">
            <v>P004642</v>
          </cell>
          <cell r="O94">
            <v>0</v>
          </cell>
          <cell r="P94">
            <v>0</v>
          </cell>
          <cell r="Q94">
            <v>0</v>
          </cell>
          <cell r="R94">
            <v>250</v>
          </cell>
          <cell r="S94">
            <v>50</v>
          </cell>
          <cell r="T94">
            <v>50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B95" t="str">
            <v>шт</v>
          </cell>
          <cell r="G95">
            <v>7.0000000000000007E-2</v>
          </cell>
          <cell r="I95" t="str">
            <v>P004981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40</v>
          </cell>
          <cell r="T95">
            <v>40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B96" t="str">
            <v>шт</v>
          </cell>
          <cell r="G96">
            <v>7.0000000000000007E-2</v>
          </cell>
          <cell r="I96" t="str">
            <v>P004979</v>
          </cell>
          <cell r="O96">
            <v>0</v>
          </cell>
          <cell r="P96">
            <v>0</v>
          </cell>
          <cell r="Q96">
            <v>0</v>
          </cell>
          <cell r="R96">
            <v>430</v>
          </cell>
          <cell r="S96">
            <v>25</v>
          </cell>
          <cell r="T96">
            <v>25</v>
          </cell>
        </row>
        <row r="97">
          <cell r="A97" t="str">
            <v xml:space="preserve"> 525  Колбаса Фуэт нарезка 0,07кг ТМ Стародворье  ПОКОМ</v>
          </cell>
          <cell r="B97" t="str">
            <v>шт</v>
          </cell>
          <cell r="G97">
            <v>7.0000000000000007E-2</v>
          </cell>
          <cell r="I97" t="str">
            <v>P004982</v>
          </cell>
          <cell r="O97">
            <v>0</v>
          </cell>
          <cell r="P97">
            <v>0</v>
          </cell>
          <cell r="Q97">
            <v>0</v>
          </cell>
          <cell r="R97">
            <v>280</v>
          </cell>
          <cell r="S97">
            <v>25</v>
          </cell>
          <cell r="T97">
            <v>25</v>
          </cell>
        </row>
        <row r="98">
          <cell r="A98" t="str">
            <v xml:space="preserve"> 526  Корейка вяленая выдержанная нарезка 0,05кг ТМ Стародворье  ПОКОМ</v>
          </cell>
          <cell r="B98" t="str">
            <v>шт</v>
          </cell>
          <cell r="G98">
            <v>0.05</v>
          </cell>
          <cell r="I98" t="str">
            <v>P005023</v>
          </cell>
          <cell r="O98">
            <v>0</v>
          </cell>
          <cell r="P98">
            <v>0</v>
          </cell>
          <cell r="Q98">
            <v>0</v>
          </cell>
          <cell r="R98">
            <v>100</v>
          </cell>
          <cell r="S98">
            <v>0</v>
          </cell>
          <cell r="T98">
            <v>0</v>
          </cell>
        </row>
        <row r="99">
          <cell r="A99" t="str">
            <v xml:space="preserve"> 527  Окорок Прошутто выдержанный нарезка 0,055кг ТМ Стародворье  ПОКОМ</v>
          </cell>
          <cell r="B99" t="str">
            <v>шт</v>
          </cell>
          <cell r="G99">
            <v>5.5E-2</v>
          </cell>
          <cell r="I99" t="str">
            <v>P005022</v>
          </cell>
          <cell r="O99">
            <v>0</v>
          </cell>
          <cell r="P99">
            <v>0</v>
          </cell>
          <cell r="Q99">
            <v>0</v>
          </cell>
          <cell r="R99">
            <v>120</v>
          </cell>
          <cell r="S99">
            <v>10</v>
          </cell>
          <cell r="T99">
            <v>10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G100">
            <v>5.5E-2</v>
          </cell>
          <cell r="I100" t="str">
            <v>P005021</v>
          </cell>
          <cell r="O100">
            <v>0</v>
          </cell>
          <cell r="P100">
            <v>0</v>
          </cell>
          <cell r="Q100">
            <v>0</v>
          </cell>
          <cell r="R100">
            <v>120</v>
          </cell>
          <cell r="S100">
            <v>10</v>
          </cell>
          <cell r="T100">
            <v>0</v>
          </cell>
        </row>
        <row r="101">
          <cell r="A101" t="str">
            <v xml:space="preserve"> 537  Колбаса Докторская ТМ Стародворье ТС Дугушка в оболочке полиамид 0,4 кг  ПОКОМ</v>
          </cell>
          <cell r="B101" t="str">
            <v>шт</v>
          </cell>
          <cell r="G101">
            <v>0.4</v>
          </cell>
          <cell r="I101" t="str">
            <v>P004917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G102">
            <v>0.3</v>
          </cell>
          <cell r="I102" t="str">
            <v>P005150</v>
          </cell>
          <cell r="O102">
            <v>0</v>
          </cell>
          <cell r="P102">
            <v>0</v>
          </cell>
          <cell r="Q102">
            <v>0</v>
          </cell>
          <cell r="R102">
            <v>160</v>
          </cell>
          <cell r="S102">
            <v>60</v>
          </cell>
          <cell r="T102">
            <v>60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G103">
            <v>1</v>
          </cell>
          <cell r="I103" t="str">
            <v>P005156</v>
          </cell>
          <cell r="O103">
            <v>0</v>
          </cell>
          <cell r="P103">
            <v>0</v>
          </cell>
          <cell r="Q103">
            <v>0</v>
          </cell>
          <cell r="R103">
            <v>70</v>
          </cell>
          <cell r="S103">
            <v>45</v>
          </cell>
          <cell r="T103">
            <v>45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0.1</v>
          </cell>
          <cell r="I104" t="str">
            <v>P002639</v>
          </cell>
          <cell r="O104">
            <v>0</v>
          </cell>
          <cell r="P104">
            <v>0</v>
          </cell>
          <cell r="Q104">
            <v>0</v>
          </cell>
          <cell r="R104">
            <v>30</v>
          </cell>
          <cell r="S104">
            <v>0</v>
          </cell>
          <cell r="T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G105">
            <v>0.08</v>
          </cell>
          <cell r="I105" t="str">
            <v>P005155</v>
          </cell>
          <cell r="O105">
            <v>0</v>
          </cell>
          <cell r="P105">
            <v>0</v>
          </cell>
          <cell r="Q105">
            <v>0</v>
          </cell>
          <cell r="R105">
            <v>240</v>
          </cell>
          <cell r="S105">
            <v>60</v>
          </cell>
          <cell r="T105">
            <v>60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G106">
            <v>0.08</v>
          </cell>
          <cell r="I106" t="str">
            <v>P003837</v>
          </cell>
          <cell r="O106">
            <v>0</v>
          </cell>
          <cell r="P106">
            <v>0</v>
          </cell>
          <cell r="Q106">
            <v>0</v>
          </cell>
          <cell r="R106">
            <v>250</v>
          </cell>
          <cell r="S106">
            <v>50</v>
          </cell>
          <cell r="T106">
            <v>50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0.17</v>
          </cell>
          <cell r="I107" t="str">
            <v>P002641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G108">
            <v>1</v>
          </cell>
          <cell r="I108" t="str">
            <v>P005376</v>
          </cell>
          <cell r="O108">
            <v>0</v>
          </cell>
          <cell r="P108">
            <v>0</v>
          </cell>
          <cell r="Q108">
            <v>0</v>
          </cell>
          <cell r="R108">
            <v>260</v>
          </cell>
          <cell r="S108">
            <v>100</v>
          </cell>
          <cell r="T108">
            <v>100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G109">
            <v>1</v>
          </cell>
          <cell r="I109" t="str">
            <v>P005377</v>
          </cell>
          <cell r="O109">
            <v>0</v>
          </cell>
          <cell r="P109">
            <v>0</v>
          </cell>
          <cell r="Q109">
            <v>0</v>
          </cell>
          <cell r="R109">
            <v>370</v>
          </cell>
          <cell r="S109">
            <v>100</v>
          </cell>
          <cell r="T109">
            <v>100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G110">
            <v>1</v>
          </cell>
          <cell r="I110" t="str">
            <v>P005375</v>
          </cell>
          <cell r="O110">
            <v>0</v>
          </cell>
          <cell r="P110">
            <v>0</v>
          </cell>
          <cell r="Q110">
            <v>0</v>
          </cell>
          <cell r="R110">
            <v>300</v>
          </cell>
          <cell r="S110">
            <v>100</v>
          </cell>
          <cell r="T110">
            <v>100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1</v>
          </cell>
          <cell r="I111" t="str">
            <v>P005136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G112">
            <v>0.28000000000000003</v>
          </cell>
          <cell r="I112" t="str">
            <v>P005163</v>
          </cell>
          <cell r="O112">
            <v>0</v>
          </cell>
          <cell r="P112">
            <v>0</v>
          </cell>
          <cell r="Q112">
            <v>0</v>
          </cell>
          <cell r="R112">
            <v>330</v>
          </cell>
          <cell r="S112">
            <v>60</v>
          </cell>
          <cell r="T112">
            <v>60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I113" t="str">
            <v>P005166</v>
          </cell>
          <cell r="O113">
            <v>0</v>
          </cell>
          <cell r="P113">
            <v>0</v>
          </cell>
          <cell r="Q113">
            <v>0</v>
          </cell>
          <cell r="R113">
            <v>440</v>
          </cell>
          <cell r="S113">
            <v>45</v>
          </cell>
          <cell r="T113">
            <v>45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G114">
            <v>1</v>
          </cell>
          <cell r="I114" t="str">
            <v>P005388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85</v>
          </cell>
          <cell r="T114">
            <v>85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G115">
            <v>1</v>
          </cell>
          <cell r="I115" t="str">
            <v>P004675</v>
          </cell>
          <cell r="O115">
            <v>0</v>
          </cell>
          <cell r="P115">
            <v>0</v>
          </cell>
          <cell r="Q115">
            <v>0</v>
          </cell>
          <cell r="R115">
            <v>170</v>
          </cell>
          <cell r="S115">
            <v>20</v>
          </cell>
          <cell r="T115">
            <v>20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G116">
            <v>1</v>
          </cell>
          <cell r="I116" t="str">
            <v>P005360</v>
          </cell>
          <cell r="O116">
            <v>0</v>
          </cell>
          <cell r="P116">
            <v>0</v>
          </cell>
          <cell r="Q116">
            <v>0</v>
          </cell>
          <cell r="R116">
            <v>420</v>
          </cell>
          <cell r="S116">
            <v>135</v>
          </cell>
          <cell r="T116">
            <v>135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G117">
            <v>1</v>
          </cell>
          <cell r="I117" t="str">
            <v>P005361</v>
          </cell>
          <cell r="O117">
            <v>0</v>
          </cell>
          <cell r="P117">
            <v>0</v>
          </cell>
          <cell r="Q117">
            <v>0</v>
          </cell>
          <cell r="R117">
            <v>560</v>
          </cell>
          <cell r="S117">
            <v>185</v>
          </cell>
          <cell r="T117">
            <v>185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G118">
            <v>1</v>
          </cell>
          <cell r="I118" t="str">
            <v>P005363</v>
          </cell>
          <cell r="O118">
            <v>0</v>
          </cell>
          <cell r="P118">
            <v>0</v>
          </cell>
          <cell r="Q118">
            <v>0</v>
          </cell>
          <cell r="R118">
            <v>200</v>
          </cell>
          <cell r="S118">
            <v>10</v>
          </cell>
          <cell r="T118">
            <v>10</v>
          </cell>
        </row>
        <row r="119">
          <cell r="A119" t="str">
            <v>495  Колбаса Сочинка по-европейски с сочной грудинкой 0,3кг ТМ Стародворье  ПОКОМ</v>
          </cell>
          <cell r="B119" t="str">
            <v>шт</v>
          </cell>
          <cell r="G119">
            <v>0.3</v>
          </cell>
          <cell r="I119" t="str">
            <v>P003386</v>
          </cell>
          <cell r="O119">
            <v>0</v>
          </cell>
          <cell r="P119">
            <v>0</v>
          </cell>
          <cell r="Q119">
            <v>0</v>
          </cell>
          <cell r="R119">
            <v>640</v>
          </cell>
          <cell r="S119">
            <v>0</v>
          </cell>
          <cell r="T119">
            <v>0</v>
          </cell>
        </row>
        <row r="120">
          <cell r="A120" t="str">
            <v>496  Колбаса Сочинка по-фински с сочным окроком 0,3кг ТМ Стародворье  ПОКОМ</v>
          </cell>
          <cell r="B120" t="str">
            <v>шт</v>
          </cell>
          <cell r="G120">
            <v>0.3</v>
          </cell>
          <cell r="I120" t="str">
            <v>P003385</v>
          </cell>
          <cell r="O120">
            <v>0</v>
          </cell>
          <cell r="P120">
            <v>0</v>
          </cell>
          <cell r="Q120">
            <v>0</v>
          </cell>
          <cell r="R120">
            <v>400</v>
          </cell>
          <cell r="S120">
            <v>0</v>
          </cell>
          <cell r="T120">
            <v>0</v>
          </cell>
        </row>
        <row r="121">
          <cell r="A121" t="str">
            <v>503 Колбаса Филейская со шпиком ТМ Вязанка в оболочке полиамид.ПОКОМ</v>
          </cell>
          <cell r="B121" t="str">
            <v>кг</v>
          </cell>
          <cell r="G121">
            <v>1</v>
          </cell>
          <cell r="I121" t="str">
            <v>P004621</v>
          </cell>
          <cell r="O121">
            <v>0</v>
          </cell>
          <cell r="P121">
            <v>0</v>
          </cell>
          <cell r="Q121">
            <v>0</v>
          </cell>
          <cell r="R121">
            <v>140</v>
          </cell>
          <cell r="S121">
            <v>20</v>
          </cell>
          <cell r="T121">
            <v>20</v>
          </cell>
        </row>
        <row r="122">
          <cell r="A122" t="str">
            <v>515  Колбаса Сервелат Мясорубский Делюкс 0,3кг ТМ Стародворье  ПОКОМ</v>
          </cell>
          <cell r="B122" t="str">
            <v>шт</v>
          </cell>
          <cell r="G122">
            <v>0.3</v>
          </cell>
          <cell r="I122" t="str">
            <v>P004890</v>
          </cell>
          <cell r="O122">
            <v>0</v>
          </cell>
          <cell r="P122">
            <v>0</v>
          </cell>
          <cell r="Q122">
            <v>0</v>
          </cell>
          <cell r="R122">
            <v>240</v>
          </cell>
          <cell r="S122">
            <v>90</v>
          </cell>
          <cell r="T122">
            <v>90</v>
          </cell>
        </row>
        <row r="123">
          <cell r="A123" t="str">
            <v>519  Грудинка 0,12 кг нарезка ТМ Стародворье  ПОКОМ</v>
          </cell>
          <cell r="B123" t="str">
            <v>шт</v>
          </cell>
          <cell r="G123">
            <v>0.12</v>
          </cell>
          <cell r="I123" t="str">
            <v>P005060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30</v>
          </cell>
          <cell r="T123">
            <v>30</v>
          </cell>
        </row>
        <row r="124">
          <cell r="A124" t="str">
            <v>А_ 377  Колбаса Молочная Дугушка 0,6кг ТМ Стародворье  ПОКОМ</v>
          </cell>
          <cell r="B124" t="str">
            <v>шт</v>
          </cell>
          <cell r="G124">
            <v>0</v>
          </cell>
          <cell r="I124" t="str">
            <v>акция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А_301  Сосиски Сочинки по-баварски с сыром,  0.4кг, ТМ Стародворье  ПОКОМ</v>
          </cell>
          <cell r="B125" t="str">
            <v>шт</v>
          </cell>
          <cell r="G125">
            <v>0</v>
          </cell>
          <cell r="I125" t="str">
            <v>акция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0"/>
  <sheetViews>
    <sheetView tabSelected="1" zoomScale="85" workbookViewId="0">
      <pane xSplit="2" ySplit="5" topLeftCell="C82" activePane="bottomRight" state="frozen"/>
      <selection pane="topRight"/>
      <selection pane="bottomLeft"/>
      <selection pane="bottomRight" activeCell="W99" sqref="W99"/>
    </sheetView>
  </sheetViews>
  <sheetFormatPr defaultRowHeight="15" x14ac:dyDescent="0.25"/>
  <cols>
    <col min="1" max="1" width="60" customWidth="1"/>
    <col min="2" max="2" width="3" customWidth="1"/>
    <col min="3" max="3" width="4.42578125" customWidth="1"/>
    <col min="4" max="4" width="10.85546875" customWidth="1"/>
    <col min="5" max="5" width="10" customWidth="1"/>
    <col min="6" max="6" width="11.140625" customWidth="1"/>
    <col min="7" max="7" width="5" style="6" customWidth="1"/>
    <col min="8" max="8" width="2.140625" customWidth="1"/>
    <col min="9" max="9" width="12" customWidth="1"/>
    <col min="10" max="10" width="1" customWidth="1"/>
    <col min="11" max="12" width="7" customWidth="1"/>
    <col min="13" max="14" width="0.7109375" customWidth="1"/>
    <col min="15" max="15" width="11.42578125" customWidth="1"/>
    <col min="16" max="16" width="6" customWidth="1"/>
    <col min="17" max="17" width="6.85546875" customWidth="1"/>
    <col min="18" max="22" width="7" customWidth="1"/>
    <col min="23" max="23" width="21" customWidth="1"/>
    <col min="24" max="25" width="5" customWidth="1"/>
    <col min="26" max="29" width="6.85546875" customWidth="1"/>
    <col min="30" max="30" width="6" customWidth="1"/>
    <col min="31" max="31" width="29" customWidth="1"/>
    <col min="32" max="32" width="7" customWidth="1"/>
    <col min="33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>
        <v>1.1499999999999999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285</v>
      </c>
      <c r="U3" s="3" t="s">
        <v>286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282</v>
      </c>
      <c r="P4" s="1" t="s">
        <v>24</v>
      </c>
      <c r="Q4" s="1" t="s">
        <v>25</v>
      </c>
      <c r="R4" s="1" t="s">
        <v>26</v>
      </c>
      <c r="S4" s="1"/>
      <c r="T4" s="1"/>
      <c r="U4" s="1" t="s">
        <v>287</v>
      </c>
      <c r="V4" s="1"/>
      <c r="W4" s="1"/>
      <c r="X4" s="1"/>
      <c r="Y4" s="1"/>
      <c r="Z4" s="1" t="s">
        <v>27</v>
      </c>
      <c r="AA4" s="1" t="s">
        <v>31</v>
      </c>
      <c r="AB4" s="1" t="s">
        <v>30</v>
      </c>
      <c r="AC4" s="1" t="s">
        <v>29</v>
      </c>
      <c r="AD4" s="1" t="s">
        <v>28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SUM(E6:E490)</f>
        <v>53436.740000000005</v>
      </c>
      <c r="F5" s="4">
        <f>SUM(F6:F490)</f>
        <v>88926.694000000003</v>
      </c>
      <c r="G5" s="8"/>
      <c r="H5" s="1"/>
      <c r="I5" s="1"/>
      <c r="J5" s="1"/>
      <c r="K5" s="4">
        <f>SUM(K6:K490)</f>
        <v>56048.529000000002</v>
      </c>
      <c r="L5" s="4">
        <f>SUM(L6:L490)</f>
        <v>-2611.7890000000007</v>
      </c>
      <c r="M5" s="4">
        <f>SUM(M6:M490)</f>
        <v>0</v>
      </c>
      <c r="N5" s="4">
        <f>SUM(N6:N490)</f>
        <v>0</v>
      </c>
      <c r="O5" s="4">
        <f t="shared" ref="O5" si="0">SUM(O6:O490)</f>
        <v>20705</v>
      </c>
      <c r="P5" s="4">
        <f t="shared" ref="P5:V5" si="1">SUM(P6:P490)</f>
        <v>7544.2682000000013</v>
      </c>
      <c r="Q5" s="4">
        <f t="shared" si="1"/>
        <v>9901.6878780000006</v>
      </c>
      <c r="R5" s="4">
        <f t="shared" si="1"/>
        <v>10687.348000000005</v>
      </c>
      <c r="S5" s="4">
        <f t="shared" si="1"/>
        <v>15789.24065</v>
      </c>
      <c r="T5" s="4">
        <f t="shared" si="1"/>
        <v>16089.24065</v>
      </c>
      <c r="U5" s="4">
        <f t="shared" si="1"/>
        <v>23704.320910000006</v>
      </c>
      <c r="V5" s="4">
        <f t="shared" si="1"/>
        <v>300</v>
      </c>
      <c r="W5" s="1"/>
      <c r="X5" s="1"/>
      <c r="Y5" s="1"/>
      <c r="Z5" s="4">
        <f>SUM(Z6:Z490)</f>
        <v>10949.019000000002</v>
      </c>
      <c r="AA5" s="4">
        <f>SUM(AA6:AA490)</f>
        <v>11385.260799999998</v>
      </c>
      <c r="AB5" s="4">
        <f>SUM(AB6:AB490)</f>
        <v>10613.900400000002</v>
      </c>
      <c r="AC5" s="4">
        <f>SUM(AC6:AC490)</f>
        <v>10551.016599999999</v>
      </c>
      <c r="AD5" s="4">
        <f>SUM(AD6:AD490)</f>
        <v>9872.011800000002</v>
      </c>
      <c r="AE5" s="1"/>
      <c r="AF5" s="4">
        <f>SUM(AF6:AF490)</f>
        <v>17366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32</v>
      </c>
      <c r="B6" s="1" t="s">
        <v>33</v>
      </c>
      <c r="C6" s="1">
        <v>1176.8599999999999</v>
      </c>
      <c r="D6" s="1">
        <v>8553.7440000000006</v>
      </c>
      <c r="E6" s="1">
        <v>2874.6669999999999</v>
      </c>
      <c r="F6" s="1">
        <v>5568.31</v>
      </c>
      <c r="G6" s="8">
        <v>1</v>
      </c>
      <c r="H6" s="1"/>
      <c r="I6" s="1" t="s">
        <v>34</v>
      </c>
      <c r="J6" s="1"/>
      <c r="K6" s="1">
        <v>2813.45</v>
      </c>
      <c r="L6" s="1">
        <f t="shared" ref="L6:L37" si="2">E6-K6</f>
        <v>61.217000000000098</v>
      </c>
      <c r="M6" s="1"/>
      <c r="N6" s="1"/>
      <c r="O6" s="1">
        <f>VLOOKUP(A6,[1]Sheet!$A:$T,20,0)</f>
        <v>1400</v>
      </c>
      <c r="P6" s="1"/>
      <c r="Q6" s="1">
        <v>450</v>
      </c>
      <c r="R6" s="1">
        <f>E6/5</f>
        <v>574.93340000000001</v>
      </c>
      <c r="S6" s="5"/>
      <c r="T6" s="5">
        <f>S6</f>
        <v>0</v>
      </c>
      <c r="U6" s="5">
        <f>T6</f>
        <v>0</v>
      </c>
      <c r="V6" s="5"/>
      <c r="W6" s="1"/>
      <c r="X6" s="1">
        <f>(F6+O6+P6+Q6+U6)/R6</f>
        <v>12.90290318843887</v>
      </c>
      <c r="Y6" s="1">
        <f>(F6+O6+P6+Q6)/R6</f>
        <v>12.90290318843887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 t="s">
        <v>35</v>
      </c>
      <c r="AF6" s="1">
        <f>ROUND(G6*U6,0)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36</v>
      </c>
      <c r="B7" s="1" t="s">
        <v>33</v>
      </c>
      <c r="C7" s="1">
        <v>555.80100000000004</v>
      </c>
      <c r="D7" s="1">
        <v>2210.9290000000001</v>
      </c>
      <c r="E7" s="1">
        <v>1169.798</v>
      </c>
      <c r="F7" s="1">
        <v>1132.8040000000001</v>
      </c>
      <c r="G7" s="8">
        <v>1</v>
      </c>
      <c r="H7" s="1"/>
      <c r="I7" s="1" t="s">
        <v>37</v>
      </c>
      <c r="J7" s="1"/>
      <c r="K7" s="1">
        <v>1122.23</v>
      </c>
      <c r="L7" s="1">
        <f t="shared" si="2"/>
        <v>47.567999999999984</v>
      </c>
      <c r="M7" s="1"/>
      <c r="N7" s="1"/>
      <c r="O7" s="1">
        <f>VLOOKUP(A7,[1]Sheet!$A:$T,20,0)</f>
        <v>350</v>
      </c>
      <c r="P7" s="1">
        <v>716.72280000000001</v>
      </c>
      <c r="Q7" s="1">
        <v>422.86645199999998</v>
      </c>
      <c r="R7" s="1">
        <f t="shared" ref="R7:R70" si="3">E7/5</f>
        <v>233.95959999999999</v>
      </c>
      <c r="S7" s="5">
        <f t="shared" ref="S7:S11" si="4">12*R7-Q7-P7-O7-F7</f>
        <v>185.12194799999952</v>
      </c>
      <c r="T7" s="5">
        <f t="shared" ref="T7:T70" si="5">S7</f>
        <v>185.12194799999952</v>
      </c>
      <c r="U7" s="5">
        <f>T7+R7*$U$1</f>
        <v>454.17548799999952</v>
      </c>
      <c r="V7" s="5"/>
      <c r="W7" s="1"/>
      <c r="X7" s="1">
        <f t="shared" ref="X7:X70" si="6">(F7+O7+P7+Q7+U7)/R7</f>
        <v>13.149999999999997</v>
      </c>
      <c r="Y7" s="1">
        <f t="shared" ref="Y7:Y70" si="7">(F7+O7+P7+Q7)/R7</f>
        <v>11.20874395408438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 t="s">
        <v>35</v>
      </c>
      <c r="AF7" s="1">
        <f t="shared" ref="AF7:AF70" si="8">ROUND(G7*U7,0)</f>
        <v>454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33</v>
      </c>
      <c r="C8" s="1">
        <v>81.72</v>
      </c>
      <c r="D8" s="1">
        <v>2389.9780000000001</v>
      </c>
      <c r="E8" s="1">
        <v>680.755</v>
      </c>
      <c r="F8" s="1">
        <v>1369.5239999999999</v>
      </c>
      <c r="G8" s="8">
        <v>1</v>
      </c>
      <c r="H8" s="1"/>
      <c r="I8" s="1" t="s">
        <v>39</v>
      </c>
      <c r="J8" s="1"/>
      <c r="K8" s="1">
        <v>785.15</v>
      </c>
      <c r="L8" s="1">
        <f t="shared" si="2"/>
        <v>-104.39499999999998</v>
      </c>
      <c r="M8" s="1"/>
      <c r="N8" s="1"/>
      <c r="O8" s="1">
        <f>VLOOKUP(A8,[1]Sheet!$A:$T,20,0)</f>
        <v>650</v>
      </c>
      <c r="P8" s="1"/>
      <c r="Q8" s="1">
        <v>600</v>
      </c>
      <c r="R8" s="1">
        <f t="shared" si="3"/>
        <v>136.15100000000001</v>
      </c>
      <c r="S8" s="5"/>
      <c r="T8" s="5">
        <f>V8</f>
        <v>300</v>
      </c>
      <c r="U8" s="5">
        <f t="shared" ref="U8:U70" si="9">T8</f>
        <v>300</v>
      </c>
      <c r="V8" s="17">
        <v>300</v>
      </c>
      <c r="W8" s="16" t="s">
        <v>35</v>
      </c>
      <c r="X8" s="1">
        <f t="shared" si="6"/>
        <v>21.443279887771663</v>
      </c>
      <c r="Y8" s="1">
        <f t="shared" si="7"/>
        <v>19.239843996738912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 t="s">
        <v>35</v>
      </c>
      <c r="AF8" s="1">
        <f t="shared" si="8"/>
        <v>300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156</v>
      </c>
      <c r="D9" s="1">
        <v>1676</v>
      </c>
      <c r="E9" s="1">
        <v>558</v>
      </c>
      <c r="F9" s="1">
        <v>953</v>
      </c>
      <c r="G9" s="8">
        <v>0.45</v>
      </c>
      <c r="H9" s="1"/>
      <c r="I9" s="1" t="s">
        <v>42</v>
      </c>
      <c r="J9" s="1"/>
      <c r="K9" s="1">
        <v>592</v>
      </c>
      <c r="L9" s="1">
        <f t="shared" si="2"/>
        <v>-34</v>
      </c>
      <c r="M9" s="1"/>
      <c r="N9" s="1"/>
      <c r="O9" s="1">
        <f>VLOOKUP(A9,[1]Sheet!$A:$T,20,0)</f>
        <v>85</v>
      </c>
      <c r="P9" s="1"/>
      <c r="Q9" s="1">
        <v>0</v>
      </c>
      <c r="R9" s="1">
        <f t="shared" si="3"/>
        <v>111.6</v>
      </c>
      <c r="S9" s="5">
        <f t="shared" si="4"/>
        <v>301.19999999999982</v>
      </c>
      <c r="T9" s="5">
        <f t="shared" si="5"/>
        <v>301.19999999999982</v>
      </c>
      <c r="U9" s="5">
        <f t="shared" ref="U9:U11" si="10">T9+R9*$U$1</f>
        <v>429.53999999999979</v>
      </c>
      <c r="V9" s="5"/>
      <c r="W9" s="1"/>
      <c r="X9" s="1">
        <f t="shared" si="6"/>
        <v>13.149999999999999</v>
      </c>
      <c r="Y9" s="1">
        <f t="shared" si="7"/>
        <v>9.301075268817204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8"/>
        <v>193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41</v>
      </c>
      <c r="C10" s="1">
        <v>88.53</v>
      </c>
      <c r="D10" s="1">
        <v>3341.47</v>
      </c>
      <c r="E10" s="1">
        <v>1037</v>
      </c>
      <c r="F10" s="1">
        <v>1535</v>
      </c>
      <c r="G10" s="8">
        <v>0.45</v>
      </c>
      <c r="H10" s="1"/>
      <c r="I10" s="1" t="s">
        <v>44</v>
      </c>
      <c r="J10" s="1"/>
      <c r="K10" s="1">
        <v>1070</v>
      </c>
      <c r="L10" s="1">
        <f t="shared" si="2"/>
        <v>-33</v>
      </c>
      <c r="M10" s="1"/>
      <c r="N10" s="1"/>
      <c r="O10" s="1">
        <f>VLOOKUP(A10,[1]Sheet!$A:$T,20,0)</f>
        <v>350</v>
      </c>
      <c r="P10" s="1"/>
      <c r="Q10" s="1">
        <v>400</v>
      </c>
      <c r="R10" s="1">
        <f t="shared" si="3"/>
        <v>207.4</v>
      </c>
      <c r="S10" s="5">
        <f t="shared" si="4"/>
        <v>203.80000000000018</v>
      </c>
      <c r="T10" s="5">
        <f t="shared" si="5"/>
        <v>203.80000000000018</v>
      </c>
      <c r="U10" s="5">
        <f t="shared" si="10"/>
        <v>442.31000000000017</v>
      </c>
      <c r="V10" s="5"/>
      <c r="W10" s="1"/>
      <c r="X10" s="1">
        <f t="shared" si="6"/>
        <v>13.150000000000002</v>
      </c>
      <c r="Y10" s="1">
        <f t="shared" si="7"/>
        <v>11.017357762777241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 t="s">
        <v>35</v>
      </c>
      <c r="AF10" s="1">
        <f t="shared" si="8"/>
        <v>199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41</v>
      </c>
      <c r="C11" s="1">
        <v>94</v>
      </c>
      <c r="D11" s="1">
        <v>126</v>
      </c>
      <c r="E11" s="1">
        <v>80</v>
      </c>
      <c r="F11" s="1">
        <v>134</v>
      </c>
      <c r="G11" s="8">
        <v>0.17</v>
      </c>
      <c r="H11" s="1"/>
      <c r="I11" s="1" t="s">
        <v>46</v>
      </c>
      <c r="J11" s="1"/>
      <c r="K11" s="1">
        <v>95</v>
      </c>
      <c r="L11" s="1">
        <f t="shared" si="2"/>
        <v>-15</v>
      </c>
      <c r="M11" s="1"/>
      <c r="N11" s="1"/>
      <c r="O11" s="1">
        <f>VLOOKUP(A11,[1]Sheet!$A:$T,20,0)</f>
        <v>30</v>
      </c>
      <c r="P11" s="1"/>
      <c r="Q11" s="1">
        <v>0</v>
      </c>
      <c r="R11" s="1">
        <f t="shared" si="3"/>
        <v>16</v>
      </c>
      <c r="S11" s="5">
        <f t="shared" si="4"/>
        <v>28</v>
      </c>
      <c r="T11" s="5">
        <f t="shared" si="5"/>
        <v>28</v>
      </c>
      <c r="U11" s="5">
        <f t="shared" si="10"/>
        <v>46.4</v>
      </c>
      <c r="V11" s="5"/>
      <c r="W11" s="1"/>
      <c r="X11" s="1">
        <f t="shared" si="6"/>
        <v>13.15</v>
      </c>
      <c r="Y11" s="1">
        <f t="shared" si="7"/>
        <v>10.25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"/>
      <c r="AF11" s="1">
        <f t="shared" si="8"/>
        <v>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0" t="s">
        <v>47</v>
      </c>
      <c r="B12" s="10" t="s">
        <v>41</v>
      </c>
      <c r="C12" s="10">
        <v>-47</v>
      </c>
      <c r="D12" s="10"/>
      <c r="E12" s="10"/>
      <c r="F12" s="10">
        <v>-47</v>
      </c>
      <c r="G12" s="11">
        <v>0</v>
      </c>
      <c r="H12" s="10"/>
      <c r="I12" s="10"/>
      <c r="J12" s="10"/>
      <c r="K12" s="10"/>
      <c r="L12" s="10">
        <f t="shared" si="2"/>
        <v>0</v>
      </c>
      <c r="M12" s="10"/>
      <c r="N12" s="10"/>
      <c r="O12" s="10">
        <f>VLOOKUP(A12,[1]Sheet!$A:$T,20,0)</f>
        <v>0</v>
      </c>
      <c r="P12" s="10">
        <v>0</v>
      </c>
      <c r="Q12" s="10">
        <v>0</v>
      </c>
      <c r="R12" s="10">
        <f t="shared" si="3"/>
        <v>0</v>
      </c>
      <c r="S12" s="12"/>
      <c r="T12" s="5">
        <f t="shared" si="5"/>
        <v>0</v>
      </c>
      <c r="U12" s="5">
        <f t="shared" si="9"/>
        <v>0</v>
      </c>
      <c r="V12" s="12"/>
      <c r="W12" s="10"/>
      <c r="X12" s="1" t="e">
        <f t="shared" si="6"/>
        <v>#DIV/0!</v>
      </c>
      <c r="Y12" s="10" t="e">
        <f t="shared" si="7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41</v>
      </c>
      <c r="C13" s="1">
        <v>-8</v>
      </c>
      <c r="D13" s="1">
        <v>184</v>
      </c>
      <c r="E13" s="1">
        <v>39</v>
      </c>
      <c r="F13" s="1">
        <v>124</v>
      </c>
      <c r="G13" s="8">
        <v>0.3</v>
      </c>
      <c r="H13" s="1"/>
      <c r="I13" s="1" t="s">
        <v>49</v>
      </c>
      <c r="J13" s="1"/>
      <c r="K13" s="1">
        <v>43</v>
      </c>
      <c r="L13" s="1">
        <f t="shared" si="2"/>
        <v>-4</v>
      </c>
      <c r="M13" s="1"/>
      <c r="N13" s="1"/>
      <c r="O13" s="1">
        <f>VLOOKUP(A13,[1]Sheet!$A:$T,20,0)</f>
        <v>60</v>
      </c>
      <c r="P13" s="1">
        <v>9.8000000000000114</v>
      </c>
      <c r="Q13" s="1">
        <v>5.7820000000000062</v>
      </c>
      <c r="R13" s="1">
        <f t="shared" si="3"/>
        <v>7.8</v>
      </c>
      <c r="S13" s="5"/>
      <c r="T13" s="5">
        <f t="shared" si="5"/>
        <v>0</v>
      </c>
      <c r="U13" s="5">
        <f t="shared" si="9"/>
        <v>0</v>
      </c>
      <c r="V13" s="5"/>
      <c r="W13" s="1"/>
      <c r="X13" s="1">
        <f t="shared" si="6"/>
        <v>25.587435897435899</v>
      </c>
      <c r="Y13" s="1">
        <f t="shared" si="7"/>
        <v>25.587435897435899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41</v>
      </c>
      <c r="C14" s="1">
        <v>117</v>
      </c>
      <c r="D14" s="1">
        <v>523</v>
      </c>
      <c r="E14" s="1">
        <v>235</v>
      </c>
      <c r="F14" s="1">
        <v>338</v>
      </c>
      <c r="G14" s="8">
        <v>0.17</v>
      </c>
      <c r="H14" s="1"/>
      <c r="I14" s="1" t="s">
        <v>51</v>
      </c>
      <c r="J14" s="1"/>
      <c r="K14" s="1">
        <v>241</v>
      </c>
      <c r="L14" s="1">
        <f t="shared" si="2"/>
        <v>-6</v>
      </c>
      <c r="M14" s="1"/>
      <c r="N14" s="1"/>
      <c r="O14" s="1">
        <f>VLOOKUP(A14,[1]Sheet!$A:$T,20,0)</f>
        <v>55</v>
      </c>
      <c r="P14" s="1">
        <v>92.799999999999955</v>
      </c>
      <c r="Q14" s="1">
        <v>54.751999999999967</v>
      </c>
      <c r="R14" s="1">
        <f t="shared" si="3"/>
        <v>47</v>
      </c>
      <c r="S14" s="5">
        <f t="shared" ref="S14:S16" si="11">12*R14-Q14-P14-O14-F14</f>
        <v>23.448000000000093</v>
      </c>
      <c r="T14" s="5">
        <f t="shared" si="5"/>
        <v>23.448000000000093</v>
      </c>
      <c r="U14" s="5">
        <f t="shared" ref="U14:U16" si="12">T14+R14*$U$1</f>
        <v>77.49800000000009</v>
      </c>
      <c r="V14" s="5"/>
      <c r="W14" s="1"/>
      <c r="X14" s="1">
        <f t="shared" si="6"/>
        <v>13.149999999999999</v>
      </c>
      <c r="Y14" s="1">
        <f t="shared" si="7"/>
        <v>11.501106382978721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8"/>
        <v>13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33</v>
      </c>
      <c r="C15" s="1">
        <v>570.12599999999998</v>
      </c>
      <c r="D15" s="1">
        <v>3206.6889999999999</v>
      </c>
      <c r="E15" s="1">
        <v>1138.4659999999999</v>
      </c>
      <c r="F15" s="1">
        <v>2144.7399999999998</v>
      </c>
      <c r="G15" s="8">
        <v>1</v>
      </c>
      <c r="H15" s="1"/>
      <c r="I15" s="1" t="s">
        <v>53</v>
      </c>
      <c r="J15" s="1"/>
      <c r="K15" s="1">
        <v>1107.48</v>
      </c>
      <c r="L15" s="1">
        <f t="shared" si="2"/>
        <v>30.985999999999876</v>
      </c>
      <c r="M15" s="1"/>
      <c r="N15" s="1"/>
      <c r="O15" s="1">
        <f>VLOOKUP(A15,[1]Sheet!$A:$T,20,0)</f>
        <v>350</v>
      </c>
      <c r="P15" s="1"/>
      <c r="Q15" s="1">
        <v>0</v>
      </c>
      <c r="R15" s="1">
        <f t="shared" si="3"/>
        <v>227.69319999999999</v>
      </c>
      <c r="S15" s="5">
        <f t="shared" si="11"/>
        <v>237.57840000000033</v>
      </c>
      <c r="T15" s="5">
        <f t="shared" si="5"/>
        <v>237.57840000000033</v>
      </c>
      <c r="U15" s="5">
        <f t="shared" si="12"/>
        <v>499.42558000000031</v>
      </c>
      <c r="V15" s="5"/>
      <c r="W15" s="1"/>
      <c r="X15" s="1">
        <f t="shared" si="6"/>
        <v>13.15</v>
      </c>
      <c r="Y15" s="1">
        <f t="shared" si="7"/>
        <v>10.956585440408409</v>
      </c>
      <c r="Z15" s="1">
        <v>227.4924</v>
      </c>
      <c r="AA15" s="1">
        <v>237.53</v>
      </c>
      <c r="AB15" s="1">
        <v>219.251</v>
      </c>
      <c r="AC15" s="1">
        <v>202.10759999999999</v>
      </c>
      <c r="AD15" s="1">
        <v>185.697</v>
      </c>
      <c r="AE15" s="1" t="s">
        <v>35</v>
      </c>
      <c r="AF15" s="1">
        <f t="shared" si="8"/>
        <v>499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33</v>
      </c>
      <c r="C16" s="1">
        <v>1528.423</v>
      </c>
      <c r="D16" s="1">
        <v>9289.8140000000003</v>
      </c>
      <c r="E16" s="1">
        <v>3514.8249999999998</v>
      </c>
      <c r="F16" s="1">
        <v>6116.2790000000005</v>
      </c>
      <c r="G16" s="8">
        <v>1</v>
      </c>
      <c r="H16" s="1"/>
      <c r="I16" s="1" t="s">
        <v>55</v>
      </c>
      <c r="J16" s="1"/>
      <c r="K16" s="1">
        <v>3525.1</v>
      </c>
      <c r="L16" s="1">
        <f t="shared" si="2"/>
        <v>-10.275000000000091</v>
      </c>
      <c r="M16" s="1"/>
      <c r="N16" s="1"/>
      <c r="O16" s="1">
        <f>VLOOKUP(A16,[1]Sheet!$A:$T,20,0)</f>
        <v>1950</v>
      </c>
      <c r="P16" s="1"/>
      <c r="Q16" s="1">
        <v>0</v>
      </c>
      <c r="R16" s="1">
        <f t="shared" si="3"/>
        <v>702.96499999999992</v>
      </c>
      <c r="S16" s="5">
        <f t="shared" si="11"/>
        <v>369.30099999999766</v>
      </c>
      <c r="T16" s="5">
        <f t="shared" si="5"/>
        <v>369.30099999999766</v>
      </c>
      <c r="U16" s="5">
        <f t="shared" si="12"/>
        <v>1177.7107499999975</v>
      </c>
      <c r="V16" s="5"/>
      <c r="W16" s="1"/>
      <c r="X16" s="1">
        <f t="shared" si="6"/>
        <v>13.149999999999997</v>
      </c>
      <c r="Y16" s="1">
        <f t="shared" si="7"/>
        <v>11.474652365338248</v>
      </c>
      <c r="Z16" s="1">
        <v>706.26260000000002</v>
      </c>
      <c r="AA16" s="1">
        <v>695.55</v>
      </c>
      <c r="AB16" s="1">
        <v>651.36379999999997</v>
      </c>
      <c r="AC16" s="1">
        <v>603.72360000000003</v>
      </c>
      <c r="AD16" s="1">
        <v>601.0258</v>
      </c>
      <c r="AE16" s="1" t="s">
        <v>35</v>
      </c>
      <c r="AF16" s="1">
        <f t="shared" si="8"/>
        <v>1178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56</v>
      </c>
      <c r="B17" s="1" t="s">
        <v>33</v>
      </c>
      <c r="C17" s="1">
        <v>14.558</v>
      </c>
      <c r="D17" s="1">
        <v>308.70699999999999</v>
      </c>
      <c r="E17" s="1">
        <v>94.652000000000001</v>
      </c>
      <c r="F17" s="1">
        <v>210.55699999999999</v>
      </c>
      <c r="G17" s="8">
        <v>1</v>
      </c>
      <c r="H17" s="1"/>
      <c r="I17" s="1" t="s">
        <v>57</v>
      </c>
      <c r="J17" s="1"/>
      <c r="K17" s="1">
        <v>92.29</v>
      </c>
      <c r="L17" s="1">
        <f t="shared" si="2"/>
        <v>2.3619999999999948</v>
      </c>
      <c r="M17" s="1"/>
      <c r="N17" s="1"/>
      <c r="O17" s="1">
        <f>VLOOKUP(A17,[1]Sheet!$A:$T,20,0)</f>
        <v>20</v>
      </c>
      <c r="P17" s="1"/>
      <c r="Q17" s="1">
        <v>0</v>
      </c>
      <c r="R17" s="1">
        <f t="shared" si="3"/>
        <v>18.930399999999999</v>
      </c>
      <c r="S17" s="5"/>
      <c r="T17" s="5">
        <f t="shared" si="5"/>
        <v>0</v>
      </c>
      <c r="U17" s="5">
        <f t="shared" si="9"/>
        <v>0</v>
      </c>
      <c r="V17" s="5"/>
      <c r="W17" s="1"/>
      <c r="X17" s="1">
        <f t="shared" si="6"/>
        <v>12.179193255293074</v>
      </c>
      <c r="Y17" s="1">
        <f t="shared" si="7"/>
        <v>12.179193255293074</v>
      </c>
      <c r="Z17" s="1">
        <v>18.580200000000001</v>
      </c>
      <c r="AA17" s="1">
        <v>20.035399999999999</v>
      </c>
      <c r="AB17" s="1">
        <v>20.866599999999998</v>
      </c>
      <c r="AC17" s="1">
        <v>19.458200000000001</v>
      </c>
      <c r="AD17" s="1">
        <v>20.536799999999999</v>
      </c>
      <c r="AE17" s="1"/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58</v>
      </c>
      <c r="B18" s="10" t="s">
        <v>33</v>
      </c>
      <c r="C18" s="10">
        <v>1077.23</v>
      </c>
      <c r="D18" s="10">
        <v>236.80500000000001</v>
      </c>
      <c r="E18" s="10">
        <v>1197.9259999999999</v>
      </c>
      <c r="F18" s="10">
        <v>-16.193000000000001</v>
      </c>
      <c r="G18" s="11">
        <v>0</v>
      </c>
      <c r="H18" s="10"/>
      <c r="I18" s="10" t="s">
        <v>281</v>
      </c>
      <c r="J18" s="10"/>
      <c r="K18" s="10">
        <v>1256.3</v>
      </c>
      <c r="L18" s="10">
        <f t="shared" si="2"/>
        <v>-58.374000000000024</v>
      </c>
      <c r="M18" s="10"/>
      <c r="N18" s="10"/>
      <c r="O18" s="10">
        <f>VLOOKUP(A18,[1]Sheet!$A:$T,20,0)</f>
        <v>375</v>
      </c>
      <c r="P18" s="10">
        <v>435.92020000000048</v>
      </c>
      <c r="Q18" s="10">
        <v>257.19291800000019</v>
      </c>
      <c r="R18" s="10">
        <f t="shared" si="3"/>
        <v>239.58519999999999</v>
      </c>
      <c r="S18" s="12"/>
      <c r="T18" s="5">
        <f t="shared" si="5"/>
        <v>0</v>
      </c>
      <c r="U18" s="5">
        <f t="shared" si="9"/>
        <v>0</v>
      </c>
      <c r="V18" s="12"/>
      <c r="W18" s="10"/>
      <c r="X18" s="1">
        <f t="shared" si="6"/>
        <v>4.3905888928030645</v>
      </c>
      <c r="Y18" s="10">
        <f t="shared" si="7"/>
        <v>4.3905888928030645</v>
      </c>
      <c r="Z18" s="10">
        <v>238.46119999999999</v>
      </c>
      <c r="AA18" s="10">
        <v>236.93719999999999</v>
      </c>
      <c r="AB18" s="10">
        <v>215.0558</v>
      </c>
      <c r="AC18" s="10">
        <v>271.11599999999999</v>
      </c>
      <c r="AD18" s="10">
        <v>330.86259999999999</v>
      </c>
      <c r="AE18" s="13" t="s">
        <v>278</v>
      </c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59</v>
      </c>
      <c r="B19" s="1" t="s">
        <v>33</v>
      </c>
      <c r="C19" s="1">
        <v>11.231999999999999</v>
      </c>
      <c r="D19" s="1">
        <v>164.87</v>
      </c>
      <c r="E19" s="1">
        <v>86.513999999999996</v>
      </c>
      <c r="F19" s="1">
        <v>75.048000000000002</v>
      </c>
      <c r="G19" s="8">
        <v>1</v>
      </c>
      <c r="H19" s="1"/>
      <c r="I19" s="1" t="s">
        <v>60</v>
      </c>
      <c r="J19" s="1"/>
      <c r="K19" s="1">
        <v>82.6</v>
      </c>
      <c r="L19" s="1">
        <f t="shared" si="2"/>
        <v>3.9140000000000015</v>
      </c>
      <c r="M19" s="1"/>
      <c r="N19" s="1"/>
      <c r="O19" s="1">
        <f>VLOOKUP(A19,[1]Sheet!$A:$T,20,0)</f>
        <v>25</v>
      </c>
      <c r="P19" s="1">
        <v>48.644799999999996</v>
      </c>
      <c r="Q19" s="1">
        <v>28.700431999999999</v>
      </c>
      <c r="R19" s="1">
        <f t="shared" si="3"/>
        <v>17.302799999999998</v>
      </c>
      <c r="S19" s="5">
        <f t="shared" ref="S19:S79" si="13">12*R19-Q19-P19-O19-F19</f>
        <v>30.240367999999961</v>
      </c>
      <c r="T19" s="5">
        <f t="shared" si="5"/>
        <v>30.240367999999961</v>
      </c>
      <c r="U19" s="5">
        <f>T19+R19*$U$1</f>
        <v>50.138587999999956</v>
      </c>
      <c r="V19" s="5"/>
      <c r="W19" s="1"/>
      <c r="X19" s="1">
        <f t="shared" si="6"/>
        <v>13.15</v>
      </c>
      <c r="Y19" s="1">
        <f t="shared" si="7"/>
        <v>10.25228471692443</v>
      </c>
      <c r="Z19" s="1">
        <v>16.8828</v>
      </c>
      <c r="AA19" s="1">
        <v>13.7104</v>
      </c>
      <c r="AB19" s="1">
        <v>15.188800000000001</v>
      </c>
      <c r="AC19" s="1">
        <v>13.726800000000001</v>
      </c>
      <c r="AD19" s="1">
        <v>14.6448</v>
      </c>
      <c r="AE19" s="1"/>
      <c r="AF19" s="1">
        <f t="shared" si="8"/>
        <v>50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61</v>
      </c>
      <c r="B20" s="1" t="s">
        <v>33</v>
      </c>
      <c r="C20" s="1">
        <v>17.11</v>
      </c>
      <c r="D20" s="1"/>
      <c r="E20" s="1">
        <v>10.253</v>
      </c>
      <c r="F20" s="1">
        <v>5.7519999999999998</v>
      </c>
      <c r="G20" s="8">
        <v>1</v>
      </c>
      <c r="H20" s="1"/>
      <c r="I20" s="1" t="s">
        <v>62</v>
      </c>
      <c r="J20" s="1"/>
      <c r="K20" s="1">
        <v>10.48</v>
      </c>
      <c r="L20" s="1">
        <f t="shared" si="2"/>
        <v>-0.22700000000000031</v>
      </c>
      <c r="M20" s="1"/>
      <c r="N20" s="1"/>
      <c r="O20" s="1">
        <f>VLOOKUP(A20,[1]Sheet!$A:$T,20,0)</f>
        <v>0</v>
      </c>
      <c r="P20" s="1">
        <v>25.0868</v>
      </c>
      <c r="Q20" s="1">
        <v>14.801212</v>
      </c>
      <c r="R20" s="1">
        <f t="shared" si="3"/>
        <v>2.0506000000000002</v>
      </c>
      <c r="S20" s="5"/>
      <c r="T20" s="5">
        <f t="shared" si="5"/>
        <v>0</v>
      </c>
      <c r="U20" s="5">
        <f t="shared" si="9"/>
        <v>0</v>
      </c>
      <c r="V20" s="5"/>
      <c r="W20" s="1"/>
      <c r="X20" s="1">
        <f t="shared" si="6"/>
        <v>22.256906271335215</v>
      </c>
      <c r="Y20" s="1">
        <f t="shared" si="7"/>
        <v>22.256906271335215</v>
      </c>
      <c r="Z20" s="1">
        <v>2.9308000000000001</v>
      </c>
      <c r="AA20" s="1">
        <v>1.6524000000000001</v>
      </c>
      <c r="AB20" s="1">
        <v>0.63919999999999999</v>
      </c>
      <c r="AC20" s="1">
        <v>1.3564000000000001</v>
      </c>
      <c r="AD20" s="1">
        <v>0.28339999999999999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63</v>
      </c>
      <c r="B21" s="1" t="s">
        <v>33</v>
      </c>
      <c r="C21" s="1">
        <v>3079.6010000000001</v>
      </c>
      <c r="D21" s="1">
        <v>344.76400000000001</v>
      </c>
      <c r="E21" s="1">
        <v>1442.768</v>
      </c>
      <c r="F21" s="1">
        <v>1694.934</v>
      </c>
      <c r="G21" s="8">
        <v>1</v>
      </c>
      <c r="H21" s="1"/>
      <c r="I21" s="1" t="s">
        <v>64</v>
      </c>
      <c r="J21" s="1"/>
      <c r="K21" s="1">
        <v>1406.6030000000001</v>
      </c>
      <c r="L21" s="1">
        <f t="shared" si="2"/>
        <v>36.164999999999964</v>
      </c>
      <c r="M21" s="1"/>
      <c r="N21" s="1"/>
      <c r="O21" s="1">
        <f>VLOOKUP(A21,[1]Sheet!$A:$T,20,0)</f>
        <v>0</v>
      </c>
      <c r="P21" s="1">
        <v>905.22679999999991</v>
      </c>
      <c r="Q21" s="1">
        <v>534.08381199999997</v>
      </c>
      <c r="R21" s="1">
        <f t="shared" si="3"/>
        <v>288.55360000000002</v>
      </c>
      <c r="S21" s="5">
        <f t="shared" si="13"/>
        <v>328.3985880000007</v>
      </c>
      <c r="T21" s="5">
        <f t="shared" si="5"/>
        <v>328.3985880000007</v>
      </c>
      <c r="U21" s="5">
        <f>T21+R21*$U$1</f>
        <v>660.23522800000069</v>
      </c>
      <c r="V21" s="5"/>
      <c r="W21" s="1"/>
      <c r="X21" s="1">
        <f t="shared" si="6"/>
        <v>13.149999999999999</v>
      </c>
      <c r="Y21" s="1">
        <f t="shared" si="7"/>
        <v>10.861914777705076</v>
      </c>
      <c r="Z21" s="1">
        <v>287.4658</v>
      </c>
      <c r="AA21" s="1">
        <v>298.57600000000002</v>
      </c>
      <c r="AB21" s="1">
        <v>292.4074</v>
      </c>
      <c r="AC21" s="1">
        <v>447.34460000000001</v>
      </c>
      <c r="AD21" s="1">
        <v>272.43639999999999</v>
      </c>
      <c r="AE21" s="1" t="s">
        <v>35</v>
      </c>
      <c r="AF21" s="1">
        <f t="shared" si="8"/>
        <v>660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0" t="s">
        <v>65</v>
      </c>
      <c r="B22" s="10" t="s">
        <v>33</v>
      </c>
      <c r="C22" s="10">
        <v>-2.5150000000000001</v>
      </c>
      <c r="D22" s="10">
        <v>2.5150000000000001</v>
      </c>
      <c r="E22" s="10"/>
      <c r="F22" s="10"/>
      <c r="G22" s="11">
        <v>0</v>
      </c>
      <c r="H22" s="10"/>
      <c r="I22" s="10"/>
      <c r="J22" s="10"/>
      <c r="K22" s="10"/>
      <c r="L22" s="10">
        <f t="shared" si="2"/>
        <v>0</v>
      </c>
      <c r="M22" s="10"/>
      <c r="N22" s="10"/>
      <c r="O22" s="10">
        <f>VLOOKUP(A22,[1]Sheet!$A:$T,20,0)</f>
        <v>0</v>
      </c>
      <c r="P22" s="10">
        <v>0</v>
      </c>
      <c r="Q22" s="10">
        <v>0</v>
      </c>
      <c r="R22" s="10">
        <f t="shared" si="3"/>
        <v>0</v>
      </c>
      <c r="S22" s="12"/>
      <c r="T22" s="5">
        <f t="shared" si="5"/>
        <v>0</v>
      </c>
      <c r="U22" s="5">
        <f t="shared" si="9"/>
        <v>0</v>
      </c>
      <c r="V22" s="12"/>
      <c r="W22" s="10"/>
      <c r="X22" s="1" t="e">
        <f t="shared" si="6"/>
        <v>#DIV/0!</v>
      </c>
      <c r="Y22" s="10" t="e">
        <f t="shared" si="7"/>
        <v>#DIV/0!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/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66</v>
      </c>
      <c r="B23" s="1" t="s">
        <v>33</v>
      </c>
      <c r="C23" s="1">
        <v>22.748999999999999</v>
      </c>
      <c r="D23" s="1">
        <v>567.52300000000002</v>
      </c>
      <c r="E23" s="1">
        <v>167.18899999999999</v>
      </c>
      <c r="F23" s="1">
        <v>421.89100000000002</v>
      </c>
      <c r="G23" s="8">
        <v>1</v>
      </c>
      <c r="H23" s="1"/>
      <c r="I23" s="1" t="s">
        <v>67</v>
      </c>
      <c r="J23" s="1"/>
      <c r="K23" s="1">
        <v>160.91499999999999</v>
      </c>
      <c r="L23" s="1">
        <f t="shared" si="2"/>
        <v>6.2740000000000009</v>
      </c>
      <c r="M23" s="1"/>
      <c r="N23" s="1"/>
      <c r="O23" s="1">
        <f>VLOOKUP(A23,[1]Sheet!$A:$T,20,0)</f>
        <v>50</v>
      </c>
      <c r="P23" s="1"/>
      <c r="Q23" s="1">
        <v>0</v>
      </c>
      <c r="R23" s="1">
        <f t="shared" si="3"/>
        <v>33.437799999999996</v>
      </c>
      <c r="S23" s="5"/>
      <c r="T23" s="5">
        <f t="shared" si="5"/>
        <v>0</v>
      </c>
      <c r="U23" s="5">
        <f t="shared" si="9"/>
        <v>0</v>
      </c>
      <c r="V23" s="5"/>
      <c r="W23" s="1"/>
      <c r="X23" s="1">
        <f t="shared" si="6"/>
        <v>14.112501420548005</v>
      </c>
      <c r="Y23" s="1">
        <f t="shared" si="7"/>
        <v>14.112501420548005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68</v>
      </c>
      <c r="B24" s="1" t="s">
        <v>33</v>
      </c>
      <c r="C24" s="1">
        <v>120.05500000000001</v>
      </c>
      <c r="D24" s="1">
        <v>1367.663</v>
      </c>
      <c r="E24" s="1">
        <v>535.69600000000003</v>
      </c>
      <c r="F24" s="1">
        <v>840.70100000000002</v>
      </c>
      <c r="G24" s="8">
        <v>1</v>
      </c>
      <c r="H24" s="1"/>
      <c r="I24" s="1" t="s">
        <v>69</v>
      </c>
      <c r="J24" s="1"/>
      <c r="K24" s="1">
        <v>518.26</v>
      </c>
      <c r="L24" s="1">
        <f t="shared" si="2"/>
        <v>17.436000000000035</v>
      </c>
      <c r="M24" s="1"/>
      <c r="N24" s="1"/>
      <c r="O24" s="1">
        <f>VLOOKUP(A24,[1]Sheet!$A:$T,20,0)</f>
        <v>100</v>
      </c>
      <c r="P24" s="1"/>
      <c r="Q24" s="1">
        <v>200</v>
      </c>
      <c r="R24" s="1">
        <f t="shared" si="3"/>
        <v>107.1392</v>
      </c>
      <c r="S24" s="5">
        <f t="shared" si="13"/>
        <v>144.96939999999995</v>
      </c>
      <c r="T24" s="5">
        <f t="shared" si="5"/>
        <v>144.96939999999995</v>
      </c>
      <c r="U24" s="5">
        <f t="shared" ref="U24:U25" si="14">T24+R24*$U$1</f>
        <v>268.17947999999996</v>
      </c>
      <c r="V24" s="5"/>
      <c r="W24" s="1"/>
      <c r="X24" s="1">
        <f t="shared" si="6"/>
        <v>13.15</v>
      </c>
      <c r="Y24" s="1">
        <f t="shared" si="7"/>
        <v>10.6469060810609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 t="s">
        <v>35</v>
      </c>
      <c r="AF24" s="1">
        <f t="shared" si="8"/>
        <v>268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70</v>
      </c>
      <c r="B25" s="1" t="s">
        <v>33</v>
      </c>
      <c r="C25" s="1">
        <v>338.988</v>
      </c>
      <c r="D25" s="1">
        <v>1279.077</v>
      </c>
      <c r="E25" s="1">
        <v>670.33100000000002</v>
      </c>
      <c r="F25" s="1">
        <v>835.73500000000001</v>
      </c>
      <c r="G25" s="8">
        <v>1</v>
      </c>
      <c r="H25" s="1"/>
      <c r="I25" s="1" t="s">
        <v>71</v>
      </c>
      <c r="J25" s="1"/>
      <c r="K25" s="1">
        <v>648.63</v>
      </c>
      <c r="L25" s="1">
        <f t="shared" si="2"/>
        <v>21.701000000000022</v>
      </c>
      <c r="M25" s="1"/>
      <c r="N25" s="1"/>
      <c r="O25" s="1">
        <f>VLOOKUP(A25,[1]Sheet!$A:$T,20,0)</f>
        <v>250</v>
      </c>
      <c r="P25" s="1">
        <v>143.3881999999999</v>
      </c>
      <c r="Q25" s="1">
        <v>180</v>
      </c>
      <c r="R25" s="1">
        <f t="shared" si="3"/>
        <v>134.06620000000001</v>
      </c>
      <c r="S25" s="5">
        <f t="shared" si="13"/>
        <v>199.67120000000034</v>
      </c>
      <c r="T25" s="5">
        <f t="shared" si="5"/>
        <v>199.67120000000034</v>
      </c>
      <c r="U25" s="5">
        <f t="shared" si="14"/>
        <v>353.84733000000034</v>
      </c>
      <c r="V25" s="5"/>
      <c r="W25" s="1"/>
      <c r="X25" s="1">
        <f t="shared" si="6"/>
        <v>13.15</v>
      </c>
      <c r="Y25" s="1">
        <f t="shared" si="7"/>
        <v>10.510652200181701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 t="s">
        <v>35</v>
      </c>
      <c r="AF25" s="1">
        <f t="shared" si="8"/>
        <v>354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72</v>
      </c>
      <c r="B26" s="1" t="s">
        <v>33</v>
      </c>
      <c r="C26" s="1">
        <v>49.872999999999998</v>
      </c>
      <c r="D26" s="1">
        <v>135.23400000000001</v>
      </c>
      <c r="E26" s="1">
        <v>97.171000000000006</v>
      </c>
      <c r="F26" s="1">
        <v>67.722999999999999</v>
      </c>
      <c r="G26" s="8">
        <v>1</v>
      </c>
      <c r="H26" s="1"/>
      <c r="I26" s="1" t="s">
        <v>73</v>
      </c>
      <c r="J26" s="1"/>
      <c r="K26" s="1">
        <v>114.3</v>
      </c>
      <c r="L26" s="1">
        <f t="shared" si="2"/>
        <v>-17.128999999999991</v>
      </c>
      <c r="M26" s="1"/>
      <c r="N26" s="1"/>
      <c r="O26" s="1">
        <f>VLOOKUP(A26,[1]Sheet!$A:$T,20,0)</f>
        <v>0</v>
      </c>
      <c r="P26" s="1">
        <v>155.90639999999999</v>
      </c>
      <c r="Q26" s="1">
        <v>91.984775999999997</v>
      </c>
      <c r="R26" s="1">
        <f t="shared" si="3"/>
        <v>19.434200000000001</v>
      </c>
      <c r="S26" s="5"/>
      <c r="T26" s="5">
        <f t="shared" si="5"/>
        <v>0</v>
      </c>
      <c r="U26" s="5">
        <f t="shared" si="9"/>
        <v>0</v>
      </c>
      <c r="V26" s="5"/>
      <c r="W26" s="1"/>
      <c r="X26" s="1">
        <f t="shared" si="6"/>
        <v>16.240142429325619</v>
      </c>
      <c r="Y26" s="1">
        <f t="shared" si="7"/>
        <v>16.240142429325619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74</v>
      </c>
      <c r="B27" s="1" t="s">
        <v>33</v>
      </c>
      <c r="C27" s="1">
        <v>194.84</v>
      </c>
      <c r="D27" s="1">
        <v>321.52600000000001</v>
      </c>
      <c r="E27" s="1">
        <v>198.345</v>
      </c>
      <c r="F27" s="1">
        <v>255.124</v>
      </c>
      <c r="G27" s="8">
        <v>1</v>
      </c>
      <c r="H27" s="1"/>
      <c r="I27" s="1" t="s">
        <v>75</v>
      </c>
      <c r="J27" s="1"/>
      <c r="K27" s="1">
        <v>237.5</v>
      </c>
      <c r="L27" s="1">
        <f t="shared" si="2"/>
        <v>-39.155000000000001</v>
      </c>
      <c r="M27" s="1"/>
      <c r="N27" s="1"/>
      <c r="O27" s="1">
        <f>VLOOKUP(A27,[1]Sheet!$A:$T,20,0)</f>
        <v>130</v>
      </c>
      <c r="P27" s="1">
        <v>110.717</v>
      </c>
      <c r="Q27" s="1">
        <v>65.323029999999989</v>
      </c>
      <c r="R27" s="1">
        <f t="shared" si="3"/>
        <v>39.668999999999997</v>
      </c>
      <c r="S27" s="5"/>
      <c r="T27" s="5">
        <f t="shared" si="5"/>
        <v>0</v>
      </c>
      <c r="U27" s="5">
        <f t="shared" si="9"/>
        <v>0</v>
      </c>
      <c r="V27" s="5"/>
      <c r="W27" s="1"/>
      <c r="X27" s="1">
        <f t="shared" si="6"/>
        <v>14.146160225869068</v>
      </c>
      <c r="Y27" s="1">
        <f t="shared" si="7"/>
        <v>14.146160225869068</v>
      </c>
      <c r="Z27" s="1">
        <v>49.674999999999997</v>
      </c>
      <c r="AA27" s="1">
        <v>52.338000000000001</v>
      </c>
      <c r="AB27" s="1">
        <v>27.1648</v>
      </c>
      <c r="AC27" s="1">
        <v>58.104599999999998</v>
      </c>
      <c r="AD27" s="1">
        <v>48.681800000000003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76</v>
      </c>
      <c r="B28" s="1" t="s">
        <v>33</v>
      </c>
      <c r="C28" s="1">
        <v>89.804000000000002</v>
      </c>
      <c r="D28" s="1">
        <v>406.51</v>
      </c>
      <c r="E28" s="1">
        <v>178.77099999999999</v>
      </c>
      <c r="F28" s="1">
        <v>268.79199999999997</v>
      </c>
      <c r="G28" s="8">
        <v>1</v>
      </c>
      <c r="H28" s="1"/>
      <c r="I28" s="1" t="s">
        <v>77</v>
      </c>
      <c r="J28" s="1"/>
      <c r="K28" s="1">
        <v>161</v>
      </c>
      <c r="L28" s="1">
        <f t="shared" si="2"/>
        <v>17.770999999999987</v>
      </c>
      <c r="M28" s="1"/>
      <c r="N28" s="1"/>
      <c r="O28" s="1">
        <f>VLOOKUP(A28,[1]Sheet!$A:$T,20,0)</f>
        <v>60</v>
      </c>
      <c r="P28" s="1">
        <v>80.274800000000027</v>
      </c>
      <c r="Q28" s="1">
        <v>47.362132000000017</v>
      </c>
      <c r="R28" s="1">
        <f t="shared" si="3"/>
        <v>35.754199999999997</v>
      </c>
      <c r="S28" s="5"/>
      <c r="T28" s="5">
        <f t="shared" si="5"/>
        <v>0</v>
      </c>
      <c r="U28" s="5">
        <f t="shared" si="9"/>
        <v>0</v>
      </c>
      <c r="V28" s="5"/>
      <c r="W28" s="1"/>
      <c r="X28" s="1">
        <f t="shared" si="6"/>
        <v>12.765743101509754</v>
      </c>
      <c r="Y28" s="1">
        <f t="shared" si="7"/>
        <v>12.765743101509754</v>
      </c>
      <c r="Z28" s="1">
        <v>41.111800000000002</v>
      </c>
      <c r="AA28" s="1">
        <v>39.163600000000002</v>
      </c>
      <c r="AB28" s="1">
        <v>39.311599999999999</v>
      </c>
      <c r="AC28" s="1">
        <v>44.979199999999999</v>
      </c>
      <c r="AD28" s="1">
        <v>40.587400000000002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78</v>
      </c>
      <c r="B29" s="1" t="s">
        <v>33</v>
      </c>
      <c r="C29" s="1">
        <v>505.44200000000001</v>
      </c>
      <c r="D29" s="1">
        <v>5850.7330000000002</v>
      </c>
      <c r="E29" s="1">
        <v>2149.8679999999999</v>
      </c>
      <c r="F29" s="1">
        <v>3998.0120000000002</v>
      </c>
      <c r="G29" s="8">
        <v>1</v>
      </c>
      <c r="H29" s="1"/>
      <c r="I29" s="1" t="s">
        <v>79</v>
      </c>
      <c r="J29" s="1"/>
      <c r="K29" s="1">
        <v>1993.34</v>
      </c>
      <c r="L29" s="1">
        <f t="shared" si="2"/>
        <v>156.52800000000002</v>
      </c>
      <c r="M29" s="1"/>
      <c r="N29" s="1"/>
      <c r="O29" s="1">
        <f>VLOOKUP(A29,[1]Sheet!$A:$T,20,0)</f>
        <v>750</v>
      </c>
      <c r="P29" s="1"/>
      <c r="Q29" s="1">
        <v>0</v>
      </c>
      <c r="R29" s="1">
        <f t="shared" si="3"/>
        <v>429.97359999999998</v>
      </c>
      <c r="S29" s="5">
        <f t="shared" si="13"/>
        <v>411.67119999999932</v>
      </c>
      <c r="T29" s="5">
        <f t="shared" si="5"/>
        <v>411.67119999999932</v>
      </c>
      <c r="U29" s="5">
        <f>T29+R29*$U$1</f>
        <v>906.14083999999923</v>
      </c>
      <c r="V29" s="5"/>
      <c r="W29" s="1"/>
      <c r="X29" s="1">
        <f t="shared" si="6"/>
        <v>13.15</v>
      </c>
      <c r="Y29" s="1">
        <f t="shared" si="7"/>
        <v>11.042566334305178</v>
      </c>
      <c r="Z29" s="1">
        <v>432.92399999999998</v>
      </c>
      <c r="AA29" s="1">
        <v>405.47739999999999</v>
      </c>
      <c r="AB29" s="1">
        <v>435.78019999999998</v>
      </c>
      <c r="AC29" s="1">
        <v>124.8952</v>
      </c>
      <c r="AD29" s="1">
        <v>358.11079999999998</v>
      </c>
      <c r="AE29" s="1" t="s">
        <v>35</v>
      </c>
      <c r="AF29" s="1">
        <f t="shared" si="8"/>
        <v>906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80</v>
      </c>
      <c r="B30" s="1" t="s">
        <v>33</v>
      </c>
      <c r="C30" s="1">
        <v>15.624000000000001</v>
      </c>
      <c r="D30" s="1">
        <v>42.448999999999998</v>
      </c>
      <c r="E30" s="1">
        <v>16.14</v>
      </c>
      <c r="F30" s="1">
        <v>38.378</v>
      </c>
      <c r="G30" s="8">
        <v>1</v>
      </c>
      <c r="H30" s="1"/>
      <c r="I30" s="1" t="s">
        <v>81</v>
      </c>
      <c r="J30" s="1"/>
      <c r="K30" s="1">
        <v>15.8</v>
      </c>
      <c r="L30" s="1">
        <f t="shared" si="2"/>
        <v>0.33999999999999986</v>
      </c>
      <c r="M30" s="1"/>
      <c r="N30" s="1"/>
      <c r="O30" s="1">
        <f>VLOOKUP(A30,[1]Sheet!$A:$T,20,0)</f>
        <v>15</v>
      </c>
      <c r="P30" s="1">
        <v>12.9252</v>
      </c>
      <c r="Q30" s="1">
        <v>7.6258680000000014</v>
      </c>
      <c r="R30" s="1">
        <f t="shared" si="3"/>
        <v>3.2280000000000002</v>
      </c>
      <c r="S30" s="5"/>
      <c r="T30" s="5">
        <f t="shared" si="5"/>
        <v>0</v>
      </c>
      <c r="U30" s="5">
        <f t="shared" si="9"/>
        <v>0</v>
      </c>
      <c r="V30" s="5"/>
      <c r="W30" s="1"/>
      <c r="X30" s="1">
        <f t="shared" si="6"/>
        <v>22.902437422552662</v>
      </c>
      <c r="Y30" s="1">
        <f t="shared" si="7"/>
        <v>22.902437422552662</v>
      </c>
      <c r="Z30" s="1">
        <v>5.8651999999999997</v>
      </c>
      <c r="AA30" s="1">
        <v>6.367</v>
      </c>
      <c r="AB30" s="1">
        <v>2.5865999999999998</v>
      </c>
      <c r="AC30" s="1">
        <v>5.8648000000000007</v>
      </c>
      <c r="AD30" s="1">
        <v>4.6718000000000002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82</v>
      </c>
      <c r="B31" s="1" t="s">
        <v>33</v>
      </c>
      <c r="C31" s="1">
        <v>17.41</v>
      </c>
      <c r="D31" s="1">
        <v>26.238</v>
      </c>
      <c r="E31" s="1">
        <v>17.946000000000002</v>
      </c>
      <c r="F31" s="1">
        <v>15.092000000000001</v>
      </c>
      <c r="G31" s="8">
        <v>1</v>
      </c>
      <c r="H31" s="1"/>
      <c r="I31" s="1" t="s">
        <v>83</v>
      </c>
      <c r="J31" s="1"/>
      <c r="K31" s="1">
        <v>221.2</v>
      </c>
      <c r="L31" s="1">
        <f t="shared" si="2"/>
        <v>-203.25399999999999</v>
      </c>
      <c r="M31" s="1"/>
      <c r="N31" s="1"/>
      <c r="O31" s="1">
        <f>VLOOKUP(A31,[1]Sheet!$A:$T,20,0)</f>
        <v>10</v>
      </c>
      <c r="P31" s="1"/>
      <c r="Q31" s="1">
        <v>0</v>
      </c>
      <c r="R31" s="1">
        <f t="shared" si="3"/>
        <v>3.5892000000000004</v>
      </c>
      <c r="S31" s="5">
        <f t="shared" si="13"/>
        <v>17.978400000000008</v>
      </c>
      <c r="T31" s="5">
        <f t="shared" si="5"/>
        <v>17.978400000000008</v>
      </c>
      <c r="U31" s="5">
        <f t="shared" ref="U31:U37" si="15">T31+R31*$U$1</f>
        <v>22.10598000000001</v>
      </c>
      <c r="V31" s="5"/>
      <c r="W31" s="1"/>
      <c r="X31" s="1">
        <f t="shared" si="6"/>
        <v>13.15</v>
      </c>
      <c r="Y31" s="1">
        <f t="shared" si="7"/>
        <v>6.9909729187562677</v>
      </c>
      <c r="Z31" s="1">
        <v>5.0362</v>
      </c>
      <c r="AA31" s="1">
        <v>22.971</v>
      </c>
      <c r="AB31" s="1">
        <v>8.7968000000000011</v>
      </c>
      <c r="AC31" s="1">
        <v>17.3094</v>
      </c>
      <c r="AD31" s="1">
        <v>3.5762</v>
      </c>
      <c r="AE31" s="1"/>
      <c r="AF31" s="1">
        <f t="shared" si="8"/>
        <v>22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84</v>
      </c>
      <c r="B32" s="1" t="s">
        <v>33</v>
      </c>
      <c r="C32" s="1">
        <v>1312.0260000000001</v>
      </c>
      <c r="D32" s="1">
        <v>4014.7150000000001</v>
      </c>
      <c r="E32" s="1">
        <v>3033.6080000000002</v>
      </c>
      <c r="F32" s="1">
        <v>848.048</v>
      </c>
      <c r="G32" s="8">
        <v>1</v>
      </c>
      <c r="H32" s="1"/>
      <c r="I32" s="1" t="s">
        <v>85</v>
      </c>
      <c r="J32" s="1"/>
      <c r="K32" s="1">
        <v>2849.4</v>
      </c>
      <c r="L32" s="1">
        <f t="shared" si="2"/>
        <v>184.20800000000008</v>
      </c>
      <c r="M32" s="1"/>
      <c r="N32" s="1"/>
      <c r="O32" s="1">
        <f>VLOOKUP(A32,[1]Sheet!$A:$T,20,0)</f>
        <v>1400</v>
      </c>
      <c r="P32" s="1"/>
      <c r="Q32" s="1">
        <v>0</v>
      </c>
      <c r="R32" s="1">
        <f t="shared" si="3"/>
        <v>606.72160000000008</v>
      </c>
      <c r="S32" s="5">
        <f>11*R32-Q32-P32-O32-F32</f>
        <v>4425.8896000000013</v>
      </c>
      <c r="T32" s="5">
        <f t="shared" si="5"/>
        <v>4425.8896000000013</v>
      </c>
      <c r="U32" s="5">
        <f t="shared" si="15"/>
        <v>5123.6194400000013</v>
      </c>
      <c r="V32" s="5"/>
      <c r="W32" s="1"/>
      <c r="X32" s="1">
        <f t="shared" si="6"/>
        <v>12.15</v>
      </c>
      <c r="Y32" s="1">
        <f t="shared" si="7"/>
        <v>3.7052381190977863</v>
      </c>
      <c r="Z32" s="1">
        <v>622.55079999999998</v>
      </c>
      <c r="AA32" s="1">
        <v>626.69579999999996</v>
      </c>
      <c r="AB32" s="1">
        <v>559.12</v>
      </c>
      <c r="AC32" s="1">
        <v>613.54840000000002</v>
      </c>
      <c r="AD32" s="1">
        <v>0</v>
      </c>
      <c r="AE32" s="1"/>
      <c r="AF32" s="1">
        <f t="shared" si="8"/>
        <v>5124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86</v>
      </c>
      <c r="B33" s="1" t="s">
        <v>33</v>
      </c>
      <c r="C33" s="1">
        <v>8.8460000000000001</v>
      </c>
      <c r="D33" s="1">
        <v>782.39</v>
      </c>
      <c r="E33" s="1">
        <v>242.93299999999999</v>
      </c>
      <c r="F33" s="1">
        <v>459.428</v>
      </c>
      <c r="G33" s="8">
        <v>1</v>
      </c>
      <c r="H33" s="1"/>
      <c r="I33" s="1" t="s">
        <v>87</v>
      </c>
      <c r="J33" s="1"/>
      <c r="K33" s="1">
        <v>248.2</v>
      </c>
      <c r="L33" s="1">
        <f t="shared" si="2"/>
        <v>-5.2669999999999959</v>
      </c>
      <c r="M33" s="1"/>
      <c r="N33" s="1"/>
      <c r="O33" s="1">
        <f>VLOOKUP(A33,[1]Sheet!$A:$T,20,0)</f>
        <v>30</v>
      </c>
      <c r="P33" s="1"/>
      <c r="Q33" s="1">
        <v>0</v>
      </c>
      <c r="R33" s="1">
        <f t="shared" si="3"/>
        <v>48.586599999999997</v>
      </c>
      <c r="S33" s="5">
        <f t="shared" si="13"/>
        <v>93.61119999999994</v>
      </c>
      <c r="T33" s="5">
        <f t="shared" si="5"/>
        <v>93.61119999999994</v>
      </c>
      <c r="U33" s="5">
        <f t="shared" si="15"/>
        <v>149.48578999999992</v>
      </c>
      <c r="V33" s="5"/>
      <c r="W33" s="1"/>
      <c r="X33" s="1">
        <f t="shared" si="6"/>
        <v>13.15</v>
      </c>
      <c r="Y33" s="1">
        <f t="shared" si="7"/>
        <v>10.073312394775515</v>
      </c>
      <c r="Z33" s="1">
        <v>45.2286</v>
      </c>
      <c r="AA33" s="1">
        <v>43.9176</v>
      </c>
      <c r="AB33" s="1">
        <v>47.580399999999997</v>
      </c>
      <c r="AC33" s="1">
        <v>39.325000000000003</v>
      </c>
      <c r="AD33" s="1">
        <v>43.793599999999998</v>
      </c>
      <c r="AE33" s="1"/>
      <c r="AF33" s="1">
        <f t="shared" si="8"/>
        <v>149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88</v>
      </c>
      <c r="B34" s="1" t="s">
        <v>41</v>
      </c>
      <c r="C34" s="1">
        <v>416</v>
      </c>
      <c r="D34" s="1">
        <v>10876</v>
      </c>
      <c r="E34" s="1">
        <v>4236</v>
      </c>
      <c r="F34" s="1">
        <v>5646</v>
      </c>
      <c r="G34" s="8">
        <v>0.4</v>
      </c>
      <c r="H34" s="1"/>
      <c r="I34" s="1" t="s">
        <v>89</v>
      </c>
      <c r="J34" s="1"/>
      <c r="K34" s="1">
        <v>4368</v>
      </c>
      <c r="L34" s="1">
        <f t="shared" si="2"/>
        <v>-132</v>
      </c>
      <c r="M34" s="1"/>
      <c r="N34" s="1"/>
      <c r="O34" s="1">
        <f>VLOOKUP(A34,[1]Sheet!$A:$T,20,0)</f>
        <v>1700</v>
      </c>
      <c r="P34" s="1"/>
      <c r="Q34" s="1">
        <v>900</v>
      </c>
      <c r="R34" s="1">
        <f t="shared" si="3"/>
        <v>847.2</v>
      </c>
      <c r="S34" s="5">
        <f t="shared" si="13"/>
        <v>1920.4000000000015</v>
      </c>
      <c r="T34" s="5">
        <f t="shared" si="5"/>
        <v>1920.4000000000015</v>
      </c>
      <c r="U34" s="5">
        <f t="shared" si="15"/>
        <v>2894.6800000000012</v>
      </c>
      <c r="V34" s="5"/>
      <c r="W34" s="1"/>
      <c r="X34" s="1">
        <f t="shared" si="6"/>
        <v>13.15</v>
      </c>
      <c r="Y34" s="1">
        <f t="shared" si="7"/>
        <v>9.7332389046270062</v>
      </c>
      <c r="Z34" s="1">
        <v>844.8</v>
      </c>
      <c r="AA34" s="1">
        <v>866.6</v>
      </c>
      <c r="AB34" s="1">
        <v>846.4</v>
      </c>
      <c r="AC34" s="1">
        <v>855.4</v>
      </c>
      <c r="AD34" s="1">
        <v>803.6</v>
      </c>
      <c r="AE34" s="1" t="s">
        <v>35</v>
      </c>
      <c r="AF34" s="1">
        <f t="shared" si="8"/>
        <v>1158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90</v>
      </c>
      <c r="B35" s="1" t="s">
        <v>41</v>
      </c>
      <c r="C35" s="1">
        <v>33</v>
      </c>
      <c r="D35" s="1">
        <v>1487</v>
      </c>
      <c r="E35" s="1">
        <v>502</v>
      </c>
      <c r="F35" s="1">
        <v>533</v>
      </c>
      <c r="G35" s="8">
        <v>0.45</v>
      </c>
      <c r="H35" s="1"/>
      <c r="I35" s="1" t="s">
        <v>91</v>
      </c>
      <c r="J35" s="1"/>
      <c r="K35" s="1">
        <v>506</v>
      </c>
      <c r="L35" s="1">
        <f t="shared" si="2"/>
        <v>-4</v>
      </c>
      <c r="M35" s="1"/>
      <c r="N35" s="1"/>
      <c r="O35" s="1">
        <f>VLOOKUP(A35,[1]Sheet!$A:$T,20,0)</f>
        <v>130</v>
      </c>
      <c r="P35" s="1">
        <v>102.2</v>
      </c>
      <c r="Q35" s="1">
        <v>60.298000000000023</v>
      </c>
      <c r="R35" s="1">
        <f t="shared" si="3"/>
        <v>100.4</v>
      </c>
      <c r="S35" s="5">
        <f t="shared" si="13"/>
        <v>379.30200000000013</v>
      </c>
      <c r="T35" s="5">
        <f t="shared" si="5"/>
        <v>379.30200000000013</v>
      </c>
      <c r="U35" s="5">
        <f t="shared" si="15"/>
        <v>494.76200000000011</v>
      </c>
      <c r="V35" s="5"/>
      <c r="W35" s="1"/>
      <c r="X35" s="1">
        <f t="shared" si="6"/>
        <v>13.150000000000002</v>
      </c>
      <c r="Y35" s="1">
        <f t="shared" si="7"/>
        <v>8.2220916334661354</v>
      </c>
      <c r="Z35" s="1">
        <v>92.2</v>
      </c>
      <c r="AA35" s="1">
        <v>86.8</v>
      </c>
      <c r="AB35" s="1">
        <v>84.4</v>
      </c>
      <c r="AC35" s="1">
        <v>80.599999999999994</v>
      </c>
      <c r="AD35" s="1">
        <v>83.2</v>
      </c>
      <c r="AE35" s="1"/>
      <c r="AF35" s="1">
        <f t="shared" si="8"/>
        <v>223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92</v>
      </c>
      <c r="B36" s="1" t="s">
        <v>41</v>
      </c>
      <c r="C36" s="1">
        <v>50</v>
      </c>
      <c r="D36" s="1">
        <v>3177</v>
      </c>
      <c r="E36" s="1">
        <v>1118</v>
      </c>
      <c r="F36" s="1">
        <v>1262</v>
      </c>
      <c r="G36" s="8">
        <v>0.4</v>
      </c>
      <c r="H36" s="1"/>
      <c r="I36" s="1" t="s">
        <v>93</v>
      </c>
      <c r="J36" s="1"/>
      <c r="K36" s="1">
        <v>1227</v>
      </c>
      <c r="L36" s="1">
        <f t="shared" si="2"/>
        <v>-109</v>
      </c>
      <c r="M36" s="1"/>
      <c r="N36" s="1"/>
      <c r="O36" s="1">
        <f>VLOOKUP(A36,[1]Sheet!$A:$T,20,0)</f>
        <v>400</v>
      </c>
      <c r="P36" s="1">
        <v>320.80000000000018</v>
      </c>
      <c r="Q36" s="1">
        <v>189.27200000000011</v>
      </c>
      <c r="R36" s="1">
        <f t="shared" si="3"/>
        <v>223.6</v>
      </c>
      <c r="S36" s="5">
        <f t="shared" si="13"/>
        <v>511.1279999999997</v>
      </c>
      <c r="T36" s="5">
        <f t="shared" si="5"/>
        <v>511.1279999999997</v>
      </c>
      <c r="U36" s="5">
        <f t="shared" si="15"/>
        <v>768.26799999999969</v>
      </c>
      <c r="V36" s="5"/>
      <c r="W36" s="1"/>
      <c r="X36" s="1">
        <f t="shared" si="6"/>
        <v>13.149999999999999</v>
      </c>
      <c r="Y36" s="1">
        <f t="shared" si="7"/>
        <v>9.7140966010733454</v>
      </c>
      <c r="Z36" s="1">
        <v>229.8</v>
      </c>
      <c r="AA36" s="1">
        <v>232.6</v>
      </c>
      <c r="AB36" s="1">
        <v>209</v>
      </c>
      <c r="AC36" s="1">
        <v>207.6</v>
      </c>
      <c r="AD36" s="1">
        <v>267.8</v>
      </c>
      <c r="AE36" s="1" t="s">
        <v>35</v>
      </c>
      <c r="AF36" s="1">
        <f t="shared" si="8"/>
        <v>307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94</v>
      </c>
      <c r="B37" s="1" t="s">
        <v>41</v>
      </c>
      <c r="C37" s="1"/>
      <c r="D37" s="1">
        <v>24</v>
      </c>
      <c r="E37" s="1">
        <v>19</v>
      </c>
      <c r="F37" s="1">
        <v>5</v>
      </c>
      <c r="G37" s="8">
        <v>0.4</v>
      </c>
      <c r="H37" s="1"/>
      <c r="I37" s="1" t="s">
        <v>95</v>
      </c>
      <c r="J37" s="1"/>
      <c r="K37" s="1">
        <v>19</v>
      </c>
      <c r="L37" s="1">
        <f t="shared" si="2"/>
        <v>0</v>
      </c>
      <c r="M37" s="1"/>
      <c r="N37" s="1"/>
      <c r="O37" s="1">
        <f>VLOOKUP(A37,[1]Sheet!$A:$T,20,0)</f>
        <v>0</v>
      </c>
      <c r="P37" s="1"/>
      <c r="Q37" s="1">
        <v>0</v>
      </c>
      <c r="R37" s="1">
        <f t="shared" si="3"/>
        <v>3.8</v>
      </c>
      <c r="S37" s="5">
        <f>8*R37-Q37-P37-O37-F37</f>
        <v>25.4</v>
      </c>
      <c r="T37" s="5">
        <f t="shared" si="5"/>
        <v>25.4</v>
      </c>
      <c r="U37" s="5">
        <f t="shared" si="15"/>
        <v>29.769999999999996</v>
      </c>
      <c r="V37" s="5"/>
      <c r="W37" s="1"/>
      <c r="X37" s="1">
        <f t="shared" si="6"/>
        <v>9.1499999999999986</v>
      </c>
      <c r="Y37" s="1">
        <f t="shared" si="7"/>
        <v>1.3157894736842106</v>
      </c>
      <c r="Z37" s="1">
        <v>0.6</v>
      </c>
      <c r="AA37" s="1">
        <v>0.2</v>
      </c>
      <c r="AB37" s="1">
        <v>1.8</v>
      </c>
      <c r="AC37" s="1">
        <v>1.2</v>
      </c>
      <c r="AD37" s="1">
        <v>0.6</v>
      </c>
      <c r="AE37" s="1"/>
      <c r="AF37" s="1">
        <f t="shared" si="8"/>
        <v>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0" t="s">
        <v>96</v>
      </c>
      <c r="B38" s="10" t="s">
        <v>41</v>
      </c>
      <c r="C38" s="10">
        <v>-1</v>
      </c>
      <c r="D38" s="10">
        <v>1</v>
      </c>
      <c r="E38" s="10"/>
      <c r="F38" s="10"/>
      <c r="G38" s="11">
        <v>0</v>
      </c>
      <c r="H38" s="10"/>
      <c r="I38" s="10" t="s">
        <v>97</v>
      </c>
      <c r="J38" s="10"/>
      <c r="K38" s="10"/>
      <c r="L38" s="10">
        <f t="shared" ref="L38:L69" si="16">E38-K38</f>
        <v>0</v>
      </c>
      <c r="M38" s="10"/>
      <c r="N38" s="10"/>
      <c r="O38" s="10">
        <f>VLOOKUP(A38,[1]Sheet!$A:$T,20,0)</f>
        <v>0</v>
      </c>
      <c r="P38" s="10"/>
      <c r="Q38" s="10">
        <v>0</v>
      </c>
      <c r="R38" s="10">
        <f t="shared" si="3"/>
        <v>0</v>
      </c>
      <c r="S38" s="12"/>
      <c r="T38" s="5">
        <f t="shared" si="5"/>
        <v>0</v>
      </c>
      <c r="U38" s="5">
        <f t="shared" si="9"/>
        <v>0</v>
      </c>
      <c r="V38" s="12"/>
      <c r="W38" s="10"/>
      <c r="X38" s="1" t="e">
        <f t="shared" si="6"/>
        <v>#DIV/0!</v>
      </c>
      <c r="Y38" s="10" t="e">
        <f t="shared" si="7"/>
        <v>#DIV/0!</v>
      </c>
      <c r="Z38" s="10">
        <v>0</v>
      </c>
      <c r="AA38" s="10">
        <v>0</v>
      </c>
      <c r="AB38" s="10">
        <v>0.2</v>
      </c>
      <c r="AC38" s="10">
        <v>0</v>
      </c>
      <c r="AD38" s="10">
        <v>0</v>
      </c>
      <c r="AE38" s="10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98</v>
      </c>
      <c r="B39" s="1" t="s">
        <v>33</v>
      </c>
      <c r="C39" s="1">
        <v>243.22800000000001</v>
      </c>
      <c r="D39" s="1">
        <v>344.97</v>
      </c>
      <c r="E39" s="1">
        <v>251.36600000000001</v>
      </c>
      <c r="F39" s="1">
        <v>285.04899999999998</v>
      </c>
      <c r="G39" s="8">
        <v>1</v>
      </c>
      <c r="H39" s="1"/>
      <c r="I39" s="1" t="s">
        <v>99</v>
      </c>
      <c r="J39" s="1"/>
      <c r="K39" s="1">
        <v>291</v>
      </c>
      <c r="L39" s="1">
        <f t="shared" si="16"/>
        <v>-39.633999999999986</v>
      </c>
      <c r="M39" s="1"/>
      <c r="N39" s="1"/>
      <c r="O39" s="1">
        <f>VLOOKUP(A39,[1]Sheet!$A:$T,20,0)</f>
        <v>90</v>
      </c>
      <c r="P39" s="1">
        <v>178.52740000000011</v>
      </c>
      <c r="Q39" s="1">
        <v>105.331166</v>
      </c>
      <c r="R39" s="1">
        <f t="shared" si="3"/>
        <v>50.273200000000003</v>
      </c>
      <c r="S39" s="5"/>
      <c r="T39" s="5">
        <f t="shared" si="5"/>
        <v>0</v>
      </c>
      <c r="U39" s="5">
        <f t="shared" si="9"/>
        <v>0</v>
      </c>
      <c r="V39" s="5"/>
      <c r="W39" s="1"/>
      <c r="X39" s="1">
        <f t="shared" si="6"/>
        <v>13.106537200735184</v>
      </c>
      <c r="Y39" s="1">
        <f t="shared" si="7"/>
        <v>13.106537200735184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100</v>
      </c>
      <c r="B40" s="1" t="s">
        <v>41</v>
      </c>
      <c r="C40" s="1">
        <v>2683</v>
      </c>
      <c r="D40" s="1">
        <v>1</v>
      </c>
      <c r="E40" s="1">
        <v>330</v>
      </c>
      <c r="F40" s="1">
        <v>2301</v>
      </c>
      <c r="G40" s="8">
        <v>0.1</v>
      </c>
      <c r="H40" s="1"/>
      <c r="I40" s="1" t="s">
        <v>101</v>
      </c>
      <c r="J40" s="1"/>
      <c r="K40" s="1">
        <v>337</v>
      </c>
      <c r="L40" s="1">
        <f t="shared" si="16"/>
        <v>-7</v>
      </c>
      <c r="M40" s="1"/>
      <c r="N40" s="1"/>
      <c r="O40" s="1">
        <f>VLOOKUP(A40,[1]Sheet!$A:$T,20,0)</f>
        <v>0</v>
      </c>
      <c r="P40" s="1"/>
      <c r="Q40" s="1">
        <v>0</v>
      </c>
      <c r="R40" s="1">
        <f t="shared" si="3"/>
        <v>66</v>
      </c>
      <c r="S40" s="5"/>
      <c r="T40" s="5">
        <f t="shared" si="5"/>
        <v>0</v>
      </c>
      <c r="U40" s="5">
        <f t="shared" si="9"/>
        <v>0</v>
      </c>
      <c r="V40" s="5"/>
      <c r="W40" s="1"/>
      <c r="X40" s="1">
        <f t="shared" si="6"/>
        <v>34.863636363636367</v>
      </c>
      <c r="Y40" s="1">
        <f t="shared" si="7"/>
        <v>34.863636363636367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5" t="s">
        <v>284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102</v>
      </c>
      <c r="B41" s="1" t="s">
        <v>41</v>
      </c>
      <c r="C41" s="1">
        <v>24</v>
      </c>
      <c r="D41" s="1">
        <v>733</v>
      </c>
      <c r="E41" s="1">
        <v>238</v>
      </c>
      <c r="F41" s="1">
        <v>377</v>
      </c>
      <c r="G41" s="8">
        <v>0.35</v>
      </c>
      <c r="H41" s="1"/>
      <c r="I41" s="1" t="s">
        <v>103</v>
      </c>
      <c r="J41" s="1"/>
      <c r="K41" s="1">
        <v>357</v>
      </c>
      <c r="L41" s="1">
        <f t="shared" si="16"/>
        <v>-119</v>
      </c>
      <c r="M41" s="1"/>
      <c r="N41" s="1"/>
      <c r="O41" s="1">
        <f>VLOOKUP(A41,[1]Sheet!$A:$T,20,0)</f>
        <v>20</v>
      </c>
      <c r="P41" s="1">
        <v>155.6</v>
      </c>
      <c r="Q41" s="1">
        <v>91.804000000000002</v>
      </c>
      <c r="R41" s="1">
        <f t="shared" si="3"/>
        <v>47.6</v>
      </c>
      <c r="S41" s="5"/>
      <c r="T41" s="5">
        <f t="shared" si="5"/>
        <v>0</v>
      </c>
      <c r="U41" s="5">
        <f t="shared" si="9"/>
        <v>0</v>
      </c>
      <c r="V41" s="5"/>
      <c r="W41" s="1"/>
      <c r="X41" s="1">
        <f t="shared" si="6"/>
        <v>13.537899159663866</v>
      </c>
      <c r="Y41" s="1">
        <f t="shared" si="7"/>
        <v>13.537899159663866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104</v>
      </c>
      <c r="B42" s="1" t="s">
        <v>33</v>
      </c>
      <c r="C42" s="1">
        <v>19.945</v>
      </c>
      <c r="D42" s="1">
        <v>122.116</v>
      </c>
      <c r="E42" s="1">
        <v>49.676000000000002</v>
      </c>
      <c r="F42" s="1">
        <v>73.912999999999997</v>
      </c>
      <c r="G42" s="8">
        <v>1</v>
      </c>
      <c r="H42" s="1"/>
      <c r="I42" s="1" t="s">
        <v>105</v>
      </c>
      <c r="J42" s="1"/>
      <c r="K42" s="1">
        <v>56.05</v>
      </c>
      <c r="L42" s="1">
        <f t="shared" si="16"/>
        <v>-6.3739999999999952</v>
      </c>
      <c r="M42" s="1"/>
      <c r="N42" s="1"/>
      <c r="O42" s="1">
        <f>VLOOKUP(A42,[1]Sheet!$A:$T,20,0)</f>
        <v>0</v>
      </c>
      <c r="P42" s="1">
        <v>49.909799999999997</v>
      </c>
      <c r="Q42" s="1">
        <v>29.446781999999999</v>
      </c>
      <c r="R42" s="1">
        <f t="shared" si="3"/>
        <v>9.9352</v>
      </c>
      <c r="S42" s="5"/>
      <c r="T42" s="5">
        <f t="shared" si="5"/>
        <v>0</v>
      </c>
      <c r="U42" s="5">
        <f t="shared" si="9"/>
        <v>0</v>
      </c>
      <c r="V42" s="5"/>
      <c r="W42" s="1"/>
      <c r="X42" s="1">
        <f t="shared" si="6"/>
        <v>15.426924671873744</v>
      </c>
      <c r="Y42" s="1">
        <f t="shared" si="7"/>
        <v>15.426924671873744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106</v>
      </c>
      <c r="B43" s="1" t="s">
        <v>41</v>
      </c>
      <c r="C43" s="1">
        <v>13</v>
      </c>
      <c r="D43" s="1">
        <v>588</v>
      </c>
      <c r="E43" s="1">
        <v>239</v>
      </c>
      <c r="F43" s="1">
        <v>199</v>
      </c>
      <c r="G43" s="8">
        <v>0.4</v>
      </c>
      <c r="H43" s="1"/>
      <c r="I43" s="1" t="s">
        <v>107</v>
      </c>
      <c r="J43" s="1"/>
      <c r="K43" s="1">
        <v>258</v>
      </c>
      <c r="L43" s="1">
        <f t="shared" si="16"/>
        <v>-19</v>
      </c>
      <c r="M43" s="1"/>
      <c r="N43" s="1"/>
      <c r="O43" s="1">
        <f>VLOOKUP(A43,[1]Sheet!$A:$T,20,0)</f>
        <v>115</v>
      </c>
      <c r="P43" s="1"/>
      <c r="Q43" s="1">
        <v>0</v>
      </c>
      <c r="R43" s="1">
        <f t="shared" si="3"/>
        <v>47.8</v>
      </c>
      <c r="S43" s="5">
        <f t="shared" si="13"/>
        <v>259.59999999999991</v>
      </c>
      <c r="T43" s="5">
        <f t="shared" si="5"/>
        <v>259.59999999999991</v>
      </c>
      <c r="U43" s="5">
        <f t="shared" ref="U43:U45" si="17">T43+R43*$U$1</f>
        <v>314.56999999999988</v>
      </c>
      <c r="V43" s="5"/>
      <c r="W43" s="1"/>
      <c r="X43" s="1">
        <f t="shared" si="6"/>
        <v>13.149999999999999</v>
      </c>
      <c r="Y43" s="1">
        <f t="shared" si="7"/>
        <v>6.5690376569037658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8"/>
        <v>126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108</v>
      </c>
      <c r="B44" s="1" t="s">
        <v>41</v>
      </c>
      <c r="C44" s="1">
        <v>92</v>
      </c>
      <c r="D44" s="1">
        <v>568</v>
      </c>
      <c r="E44" s="1">
        <v>222</v>
      </c>
      <c r="F44" s="1">
        <v>227</v>
      </c>
      <c r="G44" s="8">
        <v>0.4</v>
      </c>
      <c r="H44" s="1"/>
      <c r="I44" s="1" t="s">
        <v>109</v>
      </c>
      <c r="J44" s="1"/>
      <c r="K44" s="1">
        <v>231</v>
      </c>
      <c r="L44" s="1">
        <f t="shared" si="16"/>
        <v>-9</v>
      </c>
      <c r="M44" s="1"/>
      <c r="N44" s="1"/>
      <c r="O44" s="1">
        <f>VLOOKUP(A44,[1]Sheet!$A:$T,20,0)</f>
        <v>45</v>
      </c>
      <c r="P44" s="1"/>
      <c r="Q44" s="1">
        <v>0</v>
      </c>
      <c r="R44" s="1">
        <f t="shared" si="3"/>
        <v>44.4</v>
      </c>
      <c r="S44" s="5">
        <f t="shared" si="13"/>
        <v>260.79999999999995</v>
      </c>
      <c r="T44" s="5">
        <f t="shared" si="5"/>
        <v>260.79999999999995</v>
      </c>
      <c r="U44" s="5">
        <f t="shared" si="17"/>
        <v>311.85999999999996</v>
      </c>
      <c r="V44" s="5"/>
      <c r="W44" s="1"/>
      <c r="X44" s="1">
        <f t="shared" si="6"/>
        <v>13.149999999999999</v>
      </c>
      <c r="Y44" s="1">
        <f t="shared" si="7"/>
        <v>6.1261261261261266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8"/>
        <v>125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110</v>
      </c>
      <c r="B45" s="1" t="s">
        <v>33</v>
      </c>
      <c r="C45" s="1">
        <v>54.994</v>
      </c>
      <c r="D45" s="1">
        <v>304.59699999999998</v>
      </c>
      <c r="E45" s="1">
        <v>113.73</v>
      </c>
      <c r="F45" s="1">
        <v>218.57900000000001</v>
      </c>
      <c r="G45" s="8">
        <v>1</v>
      </c>
      <c r="H45" s="1"/>
      <c r="I45" s="1" t="s">
        <v>111</v>
      </c>
      <c r="J45" s="1"/>
      <c r="K45" s="1">
        <v>123.65</v>
      </c>
      <c r="L45" s="1">
        <f t="shared" si="16"/>
        <v>-9.9200000000000017</v>
      </c>
      <c r="M45" s="1"/>
      <c r="N45" s="1"/>
      <c r="O45" s="1">
        <f>VLOOKUP(A45,[1]Sheet!$A:$T,20,0)</f>
        <v>25</v>
      </c>
      <c r="P45" s="1">
        <v>4.6758000000000104</v>
      </c>
      <c r="Q45" s="1">
        <v>2.758722000000005</v>
      </c>
      <c r="R45" s="1">
        <f t="shared" si="3"/>
        <v>22.746000000000002</v>
      </c>
      <c r="S45" s="5">
        <f t="shared" si="13"/>
        <v>21.938477999999975</v>
      </c>
      <c r="T45" s="5">
        <f t="shared" si="5"/>
        <v>21.938477999999975</v>
      </c>
      <c r="U45" s="5">
        <f t="shared" si="17"/>
        <v>48.096377999999973</v>
      </c>
      <c r="V45" s="5"/>
      <c r="W45" s="1"/>
      <c r="X45" s="1">
        <f t="shared" si="6"/>
        <v>13.149999999999999</v>
      </c>
      <c r="Y45" s="1">
        <f t="shared" si="7"/>
        <v>11.035501714587181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8"/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112</v>
      </c>
      <c r="B46" s="1" t="s">
        <v>41</v>
      </c>
      <c r="C46" s="1">
        <v>1392</v>
      </c>
      <c r="D46" s="1">
        <v>2239</v>
      </c>
      <c r="E46" s="1">
        <v>1628</v>
      </c>
      <c r="F46" s="1">
        <v>1670</v>
      </c>
      <c r="G46" s="8">
        <v>0.35</v>
      </c>
      <c r="H46" s="1"/>
      <c r="I46" s="1" t="s">
        <v>113</v>
      </c>
      <c r="J46" s="1"/>
      <c r="K46" s="1">
        <v>1726</v>
      </c>
      <c r="L46" s="1">
        <f t="shared" si="16"/>
        <v>-98</v>
      </c>
      <c r="M46" s="1"/>
      <c r="N46" s="1"/>
      <c r="O46" s="1">
        <f>VLOOKUP(A46,[1]Sheet!$A:$T,20,0)</f>
        <v>625</v>
      </c>
      <c r="P46" s="1">
        <v>1114.4000000000001</v>
      </c>
      <c r="Q46" s="1">
        <v>657.49599999999975</v>
      </c>
      <c r="R46" s="1">
        <f t="shared" si="3"/>
        <v>325.60000000000002</v>
      </c>
      <c r="S46" s="5"/>
      <c r="T46" s="5">
        <f t="shared" si="5"/>
        <v>0</v>
      </c>
      <c r="U46" s="5">
        <f t="shared" si="9"/>
        <v>0</v>
      </c>
      <c r="V46" s="5"/>
      <c r="W46" s="1"/>
      <c r="X46" s="1">
        <f t="shared" si="6"/>
        <v>12.490466830466829</v>
      </c>
      <c r="Y46" s="1">
        <f t="shared" si="7"/>
        <v>12.490466830466829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 t="s">
        <v>35</v>
      </c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114</v>
      </c>
      <c r="B47" s="1" t="s">
        <v>41</v>
      </c>
      <c r="C47" s="1">
        <v>14</v>
      </c>
      <c r="D47" s="1">
        <v>1702</v>
      </c>
      <c r="E47" s="1">
        <v>616</v>
      </c>
      <c r="F47" s="1">
        <v>835</v>
      </c>
      <c r="G47" s="8">
        <v>0.4</v>
      </c>
      <c r="H47" s="1"/>
      <c r="I47" s="1" t="s">
        <v>115</v>
      </c>
      <c r="J47" s="1"/>
      <c r="K47" s="1">
        <v>668</v>
      </c>
      <c r="L47" s="1">
        <f t="shared" si="16"/>
        <v>-52</v>
      </c>
      <c r="M47" s="1"/>
      <c r="N47" s="1"/>
      <c r="O47" s="1">
        <f>VLOOKUP(A47,[1]Sheet!$A:$T,20,0)</f>
        <v>75</v>
      </c>
      <c r="P47" s="1">
        <v>96.599999999999909</v>
      </c>
      <c r="Q47" s="1">
        <v>56.993999999999943</v>
      </c>
      <c r="R47" s="1">
        <f t="shared" si="3"/>
        <v>123.2</v>
      </c>
      <c r="S47" s="5">
        <f t="shared" si="13"/>
        <v>414.80600000000027</v>
      </c>
      <c r="T47" s="5">
        <f t="shared" si="5"/>
        <v>414.80600000000027</v>
      </c>
      <c r="U47" s="5">
        <f>T47+R47*$U$1</f>
        <v>556.48600000000022</v>
      </c>
      <c r="V47" s="5"/>
      <c r="W47" s="1"/>
      <c r="X47" s="1">
        <f t="shared" si="6"/>
        <v>13.149999999999999</v>
      </c>
      <c r="Y47" s="1">
        <f t="shared" si="7"/>
        <v>8.6330681818181798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8"/>
        <v>223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116</v>
      </c>
      <c r="B48" s="1" t="s">
        <v>33</v>
      </c>
      <c r="C48" s="1">
        <v>214.946</v>
      </c>
      <c r="D48" s="1">
        <v>965.21799999999996</v>
      </c>
      <c r="E48" s="1">
        <v>471.065</v>
      </c>
      <c r="F48" s="1">
        <v>590.50699999999995</v>
      </c>
      <c r="G48" s="8">
        <v>1</v>
      </c>
      <c r="H48" s="1"/>
      <c r="I48" s="1" t="s">
        <v>117</v>
      </c>
      <c r="J48" s="1"/>
      <c r="K48" s="1">
        <v>468.55</v>
      </c>
      <c r="L48" s="1">
        <f t="shared" si="16"/>
        <v>2.5149999999999864</v>
      </c>
      <c r="M48" s="1"/>
      <c r="N48" s="1"/>
      <c r="O48" s="1">
        <f>VLOOKUP(A48,[1]Sheet!$A:$T,20,0)</f>
        <v>140</v>
      </c>
      <c r="P48" s="1">
        <v>297.06040000000007</v>
      </c>
      <c r="Q48" s="1">
        <v>175.265636</v>
      </c>
      <c r="R48" s="1">
        <f t="shared" si="3"/>
        <v>94.212999999999994</v>
      </c>
      <c r="S48" s="5"/>
      <c r="T48" s="5">
        <f t="shared" si="5"/>
        <v>0</v>
      </c>
      <c r="U48" s="5">
        <f t="shared" si="9"/>
        <v>0</v>
      </c>
      <c r="V48" s="5"/>
      <c r="W48" s="1"/>
      <c r="X48" s="1">
        <f t="shared" si="6"/>
        <v>12.767166272170508</v>
      </c>
      <c r="Y48" s="1">
        <f t="shared" si="7"/>
        <v>12.767166272170508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 t="s">
        <v>35</v>
      </c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118</v>
      </c>
      <c r="B49" s="1" t="s">
        <v>33</v>
      </c>
      <c r="C49" s="1">
        <v>90.183000000000007</v>
      </c>
      <c r="D49" s="1">
        <v>1595.413</v>
      </c>
      <c r="E49" s="1">
        <v>629.71900000000005</v>
      </c>
      <c r="F49" s="1">
        <v>938.01599999999996</v>
      </c>
      <c r="G49" s="8">
        <v>1</v>
      </c>
      <c r="H49" s="1"/>
      <c r="I49" s="1" t="s">
        <v>119</v>
      </c>
      <c r="J49" s="1"/>
      <c r="K49" s="1">
        <v>648.20000000000005</v>
      </c>
      <c r="L49" s="1">
        <f t="shared" si="16"/>
        <v>-18.480999999999995</v>
      </c>
      <c r="M49" s="1"/>
      <c r="N49" s="1"/>
      <c r="O49" s="1">
        <f>VLOOKUP(A49,[1]Sheet!$A:$T,20,0)</f>
        <v>125</v>
      </c>
      <c r="P49" s="1">
        <v>119.6198000000002</v>
      </c>
      <c r="Q49" s="1">
        <v>70.5756820000001</v>
      </c>
      <c r="R49" s="1">
        <f t="shared" si="3"/>
        <v>125.94380000000001</v>
      </c>
      <c r="S49" s="5">
        <f t="shared" si="13"/>
        <v>258.11411799999985</v>
      </c>
      <c r="T49" s="5">
        <f t="shared" si="5"/>
        <v>258.11411799999985</v>
      </c>
      <c r="U49" s="5">
        <f>T49+R49*$U$1</f>
        <v>402.94948799999986</v>
      </c>
      <c r="V49" s="5"/>
      <c r="W49" s="1"/>
      <c r="X49" s="1">
        <f t="shared" si="6"/>
        <v>13.150000000000002</v>
      </c>
      <c r="Y49" s="1">
        <f t="shared" si="7"/>
        <v>9.950561139174777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8"/>
        <v>403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120</v>
      </c>
      <c r="B50" s="1" t="s">
        <v>33</v>
      </c>
      <c r="C50" s="1">
        <v>53.133000000000003</v>
      </c>
      <c r="D50" s="1">
        <v>73.751999999999995</v>
      </c>
      <c r="E50" s="1">
        <v>51.543999999999997</v>
      </c>
      <c r="F50" s="1">
        <v>-34.869</v>
      </c>
      <c r="G50" s="8">
        <v>1</v>
      </c>
      <c r="H50" s="1"/>
      <c r="I50" s="1" t="s">
        <v>121</v>
      </c>
      <c r="J50" s="1"/>
      <c r="K50" s="1">
        <v>49</v>
      </c>
      <c r="L50" s="1">
        <f t="shared" si="16"/>
        <v>2.5439999999999969</v>
      </c>
      <c r="M50" s="1"/>
      <c r="N50" s="1"/>
      <c r="O50" s="1">
        <f>VLOOKUP(A50,[1]Sheet!$A:$T,20,0)</f>
        <v>0</v>
      </c>
      <c r="P50" s="1">
        <v>110.0288</v>
      </c>
      <c r="Q50" s="1">
        <v>64.916991999999993</v>
      </c>
      <c r="R50" s="1">
        <f t="shared" si="3"/>
        <v>10.3088</v>
      </c>
      <c r="S50" s="5"/>
      <c r="T50" s="5">
        <f t="shared" si="5"/>
        <v>0</v>
      </c>
      <c r="U50" s="5">
        <f t="shared" si="9"/>
        <v>0</v>
      </c>
      <c r="V50" s="5"/>
      <c r="W50" s="1"/>
      <c r="X50" s="1">
        <f t="shared" si="6"/>
        <v>13.588079310880026</v>
      </c>
      <c r="Y50" s="1">
        <f t="shared" si="7"/>
        <v>13.588079310880026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122</v>
      </c>
      <c r="B51" s="1" t="s">
        <v>41</v>
      </c>
      <c r="C51" s="1">
        <v>78</v>
      </c>
      <c r="D51" s="1">
        <v>689.66</v>
      </c>
      <c r="E51" s="1">
        <v>274</v>
      </c>
      <c r="F51" s="1">
        <v>438</v>
      </c>
      <c r="G51" s="8">
        <v>0.45</v>
      </c>
      <c r="H51" s="1"/>
      <c r="I51" s="1" t="s">
        <v>123</v>
      </c>
      <c r="J51" s="1"/>
      <c r="K51" s="1">
        <v>285</v>
      </c>
      <c r="L51" s="1">
        <f t="shared" si="16"/>
        <v>-11</v>
      </c>
      <c r="M51" s="1"/>
      <c r="N51" s="1"/>
      <c r="O51" s="1">
        <f>VLOOKUP(A51,[1]Sheet!$A:$T,20,0)</f>
        <v>75</v>
      </c>
      <c r="P51" s="1">
        <v>141.40000000000009</v>
      </c>
      <c r="Q51" s="1">
        <v>83.426000000000045</v>
      </c>
      <c r="R51" s="1">
        <f t="shared" si="3"/>
        <v>54.8</v>
      </c>
      <c r="S51" s="5"/>
      <c r="T51" s="5">
        <f t="shared" si="5"/>
        <v>0</v>
      </c>
      <c r="U51" s="5">
        <f t="shared" si="9"/>
        <v>0</v>
      </c>
      <c r="V51" s="5"/>
      <c r="W51" s="1"/>
      <c r="X51" s="1">
        <f t="shared" si="6"/>
        <v>13.463978102189785</v>
      </c>
      <c r="Y51" s="1">
        <f t="shared" si="7"/>
        <v>13.463978102189785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 t="s">
        <v>35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124</v>
      </c>
      <c r="B52" s="1" t="s">
        <v>41</v>
      </c>
      <c r="C52" s="1">
        <v>29</v>
      </c>
      <c r="D52" s="1">
        <v>1393</v>
      </c>
      <c r="E52" s="1">
        <v>504</v>
      </c>
      <c r="F52" s="1">
        <v>617</v>
      </c>
      <c r="G52" s="8">
        <v>0.45</v>
      </c>
      <c r="H52" s="1"/>
      <c r="I52" s="1" t="s">
        <v>125</v>
      </c>
      <c r="J52" s="1"/>
      <c r="K52" s="1">
        <v>507</v>
      </c>
      <c r="L52" s="1">
        <f t="shared" si="16"/>
        <v>-3</v>
      </c>
      <c r="M52" s="1"/>
      <c r="N52" s="1"/>
      <c r="O52" s="1">
        <f>VLOOKUP(A52,[1]Sheet!$A:$T,20,0)</f>
        <v>160</v>
      </c>
      <c r="P52" s="1"/>
      <c r="Q52" s="1">
        <v>0</v>
      </c>
      <c r="R52" s="1">
        <f t="shared" si="3"/>
        <v>100.8</v>
      </c>
      <c r="S52" s="5">
        <f t="shared" si="13"/>
        <v>432.59999999999991</v>
      </c>
      <c r="T52" s="5">
        <f t="shared" si="5"/>
        <v>432.59999999999991</v>
      </c>
      <c r="U52" s="5">
        <f t="shared" ref="U52:U53" si="18">T52+R52*$U$1</f>
        <v>548.51999999999987</v>
      </c>
      <c r="V52" s="5"/>
      <c r="W52" s="1"/>
      <c r="X52" s="1">
        <f t="shared" si="6"/>
        <v>13.15</v>
      </c>
      <c r="Y52" s="1">
        <f t="shared" si="7"/>
        <v>7.7083333333333339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8"/>
        <v>247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126</v>
      </c>
      <c r="B53" s="1" t="s">
        <v>41</v>
      </c>
      <c r="C53" s="1">
        <v>118</v>
      </c>
      <c r="D53" s="1">
        <v>227</v>
      </c>
      <c r="E53" s="1">
        <v>96</v>
      </c>
      <c r="F53" s="1">
        <v>161</v>
      </c>
      <c r="G53" s="8">
        <v>0.4</v>
      </c>
      <c r="H53" s="1"/>
      <c r="I53" s="1" t="s">
        <v>127</v>
      </c>
      <c r="J53" s="1"/>
      <c r="K53" s="1">
        <v>159</v>
      </c>
      <c r="L53" s="1">
        <f t="shared" si="16"/>
        <v>-63</v>
      </c>
      <c r="M53" s="1"/>
      <c r="N53" s="1"/>
      <c r="O53" s="1">
        <f>VLOOKUP(A53,[1]Sheet!$A:$T,20,0)</f>
        <v>45</v>
      </c>
      <c r="P53" s="1"/>
      <c r="Q53" s="1">
        <v>0</v>
      </c>
      <c r="R53" s="1">
        <f t="shared" si="3"/>
        <v>19.2</v>
      </c>
      <c r="S53" s="5">
        <f t="shared" si="13"/>
        <v>24.399999999999977</v>
      </c>
      <c r="T53" s="5">
        <f t="shared" si="5"/>
        <v>24.399999999999977</v>
      </c>
      <c r="U53" s="5">
        <f t="shared" si="18"/>
        <v>46.479999999999976</v>
      </c>
      <c r="V53" s="5"/>
      <c r="W53" s="1"/>
      <c r="X53" s="1">
        <f t="shared" si="6"/>
        <v>13.149999999999999</v>
      </c>
      <c r="Y53" s="1">
        <f t="shared" si="7"/>
        <v>10.729166666666668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8"/>
        <v>19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128</v>
      </c>
      <c r="B54" s="1" t="s">
        <v>41</v>
      </c>
      <c r="C54" s="1">
        <v>-2</v>
      </c>
      <c r="D54" s="1">
        <v>188</v>
      </c>
      <c r="E54" s="1">
        <v>44</v>
      </c>
      <c r="F54" s="1">
        <v>113</v>
      </c>
      <c r="G54" s="8">
        <v>0.4</v>
      </c>
      <c r="H54" s="1"/>
      <c r="I54" s="1" t="s">
        <v>129</v>
      </c>
      <c r="J54" s="1"/>
      <c r="K54" s="1">
        <v>61</v>
      </c>
      <c r="L54" s="1">
        <f t="shared" si="16"/>
        <v>-17</v>
      </c>
      <c r="M54" s="1"/>
      <c r="N54" s="1"/>
      <c r="O54" s="1">
        <f>VLOOKUP(A54,[1]Sheet!$A:$T,20,0)</f>
        <v>0</v>
      </c>
      <c r="P54" s="1"/>
      <c r="Q54" s="1">
        <v>0</v>
      </c>
      <c r="R54" s="1">
        <f t="shared" si="3"/>
        <v>8.8000000000000007</v>
      </c>
      <c r="S54" s="5"/>
      <c r="T54" s="5">
        <f t="shared" si="5"/>
        <v>0</v>
      </c>
      <c r="U54" s="5">
        <f t="shared" si="9"/>
        <v>0</v>
      </c>
      <c r="V54" s="5"/>
      <c r="W54" s="1"/>
      <c r="X54" s="1">
        <f t="shared" si="6"/>
        <v>12.84090909090909</v>
      </c>
      <c r="Y54" s="1">
        <f t="shared" si="7"/>
        <v>12.84090909090909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130</v>
      </c>
      <c r="B55" s="1" t="s">
        <v>33</v>
      </c>
      <c r="C55" s="1">
        <v>215.36699999999999</v>
      </c>
      <c r="D55" s="1">
        <v>1818.5139999999999</v>
      </c>
      <c r="E55" s="1">
        <v>793.47699999999998</v>
      </c>
      <c r="F55" s="1">
        <v>943.20699999999999</v>
      </c>
      <c r="G55" s="8">
        <v>1</v>
      </c>
      <c r="H55" s="1"/>
      <c r="I55" s="1" t="s">
        <v>131</v>
      </c>
      <c r="J55" s="1"/>
      <c r="K55" s="1">
        <v>778.95</v>
      </c>
      <c r="L55" s="1">
        <f t="shared" si="16"/>
        <v>14.52699999999993</v>
      </c>
      <c r="M55" s="1"/>
      <c r="N55" s="1"/>
      <c r="O55" s="1">
        <f>VLOOKUP(A55,[1]Sheet!$A:$T,20,0)</f>
        <v>330</v>
      </c>
      <c r="P55" s="1">
        <v>252.8292000000001</v>
      </c>
      <c r="Q55" s="1">
        <v>300</v>
      </c>
      <c r="R55" s="1">
        <f t="shared" si="3"/>
        <v>158.69540000000001</v>
      </c>
      <c r="S55" s="5">
        <f t="shared" si="13"/>
        <v>78.308599999999956</v>
      </c>
      <c r="T55" s="5">
        <f t="shared" si="5"/>
        <v>78.308599999999956</v>
      </c>
      <c r="U55" s="5">
        <f>T55+R55*$U$1</f>
        <v>260.80830999999995</v>
      </c>
      <c r="V55" s="5"/>
      <c r="W55" s="1"/>
      <c r="X55" s="1">
        <f t="shared" si="6"/>
        <v>13.149999999999999</v>
      </c>
      <c r="Y55" s="1">
        <f t="shared" si="7"/>
        <v>11.506547763829323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 t="s">
        <v>35</v>
      </c>
      <c r="AF55" s="1">
        <f t="shared" si="8"/>
        <v>261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132</v>
      </c>
      <c r="B56" s="1" t="s">
        <v>41</v>
      </c>
      <c r="C56" s="1">
        <v>1443</v>
      </c>
      <c r="D56" s="1"/>
      <c r="E56" s="1">
        <v>169</v>
      </c>
      <c r="F56" s="1">
        <v>1263</v>
      </c>
      <c r="G56" s="8">
        <v>0.1</v>
      </c>
      <c r="H56" s="1"/>
      <c r="I56" s="1" t="s">
        <v>133</v>
      </c>
      <c r="J56" s="1"/>
      <c r="K56" s="1">
        <v>171</v>
      </c>
      <c r="L56" s="1">
        <f t="shared" si="16"/>
        <v>-2</v>
      </c>
      <c r="M56" s="1"/>
      <c r="N56" s="1"/>
      <c r="O56" s="1">
        <f>VLOOKUP(A56,[1]Sheet!$A:$T,20,0)</f>
        <v>0</v>
      </c>
      <c r="P56" s="1"/>
      <c r="Q56" s="1">
        <v>0</v>
      </c>
      <c r="R56" s="1">
        <f t="shared" si="3"/>
        <v>33.799999999999997</v>
      </c>
      <c r="S56" s="5"/>
      <c r="T56" s="5">
        <f t="shared" si="5"/>
        <v>0</v>
      </c>
      <c r="U56" s="5">
        <f t="shared" si="9"/>
        <v>0</v>
      </c>
      <c r="V56" s="5"/>
      <c r="W56" s="1"/>
      <c r="X56" s="1">
        <f t="shared" si="6"/>
        <v>37.366863905325445</v>
      </c>
      <c r="Y56" s="1">
        <f t="shared" si="7"/>
        <v>37.366863905325445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5" t="s">
        <v>284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134</v>
      </c>
      <c r="B57" s="1" t="s">
        <v>33</v>
      </c>
      <c r="C57" s="1">
        <v>-37.497999999999998</v>
      </c>
      <c r="D57" s="1">
        <v>2490.9639999999999</v>
      </c>
      <c r="E57" s="1">
        <v>823.94500000000005</v>
      </c>
      <c r="F57" s="1">
        <v>1374.519</v>
      </c>
      <c r="G57" s="8">
        <v>1</v>
      </c>
      <c r="H57" s="1"/>
      <c r="I57" s="1" t="s">
        <v>135</v>
      </c>
      <c r="J57" s="1"/>
      <c r="K57" s="1">
        <v>815.2</v>
      </c>
      <c r="L57" s="1">
        <f t="shared" si="16"/>
        <v>8.7450000000000045</v>
      </c>
      <c r="M57" s="1"/>
      <c r="N57" s="1"/>
      <c r="O57" s="1">
        <f>VLOOKUP(A57,[1]Sheet!$A:$T,20,0)</f>
        <v>110</v>
      </c>
      <c r="P57" s="1">
        <v>253.60279999999989</v>
      </c>
      <c r="Q57" s="1">
        <v>149.62565199999989</v>
      </c>
      <c r="R57" s="1">
        <f t="shared" si="3"/>
        <v>164.78900000000002</v>
      </c>
      <c r="S57" s="5">
        <f t="shared" si="13"/>
        <v>89.720548000000463</v>
      </c>
      <c r="T57" s="5">
        <f t="shared" si="5"/>
        <v>89.720548000000463</v>
      </c>
      <c r="U57" s="5">
        <f t="shared" ref="U57:U58" si="19">T57+R57*$U$1</f>
        <v>279.22789800000044</v>
      </c>
      <c r="V57" s="5"/>
      <c r="W57" s="1"/>
      <c r="X57" s="1">
        <f t="shared" si="6"/>
        <v>13.15</v>
      </c>
      <c r="Y57" s="1">
        <f t="shared" si="7"/>
        <v>11.455542857836383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8"/>
        <v>279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136</v>
      </c>
      <c r="B58" s="1" t="s">
        <v>33</v>
      </c>
      <c r="C58" s="1">
        <v>0.23899999999999999</v>
      </c>
      <c r="D58" s="1">
        <v>358.35300000000001</v>
      </c>
      <c r="E58" s="1">
        <v>111.051</v>
      </c>
      <c r="F58" s="1">
        <v>237.85300000000001</v>
      </c>
      <c r="G58" s="8">
        <v>1</v>
      </c>
      <c r="H58" s="1"/>
      <c r="I58" s="1" t="s">
        <v>137</v>
      </c>
      <c r="J58" s="1"/>
      <c r="K58" s="1">
        <v>109.15</v>
      </c>
      <c r="L58" s="1">
        <f t="shared" si="16"/>
        <v>1.9009999999999962</v>
      </c>
      <c r="M58" s="1"/>
      <c r="N58" s="1"/>
      <c r="O58" s="1">
        <f>VLOOKUP(A58,[1]Sheet!$A:$T,20,0)</f>
        <v>0</v>
      </c>
      <c r="P58" s="1"/>
      <c r="Q58" s="1">
        <v>0</v>
      </c>
      <c r="R58" s="1">
        <f t="shared" si="3"/>
        <v>22.2102</v>
      </c>
      <c r="S58" s="5">
        <f t="shared" si="13"/>
        <v>28.669399999999996</v>
      </c>
      <c r="T58" s="5">
        <f t="shared" si="5"/>
        <v>28.669399999999996</v>
      </c>
      <c r="U58" s="5">
        <f t="shared" si="19"/>
        <v>54.211129999999997</v>
      </c>
      <c r="V58" s="5"/>
      <c r="W58" s="1"/>
      <c r="X58" s="1">
        <f t="shared" si="6"/>
        <v>13.149999999999999</v>
      </c>
      <c r="Y58" s="1">
        <f t="shared" si="7"/>
        <v>10.709178665658122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8"/>
        <v>54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138</v>
      </c>
      <c r="B59" s="1" t="s">
        <v>41</v>
      </c>
      <c r="C59" s="1">
        <v>1058</v>
      </c>
      <c r="D59" s="1"/>
      <c r="E59" s="1">
        <v>168</v>
      </c>
      <c r="F59" s="1">
        <v>881</v>
      </c>
      <c r="G59" s="8">
        <v>0.1</v>
      </c>
      <c r="H59" s="1"/>
      <c r="I59" s="1" t="s">
        <v>139</v>
      </c>
      <c r="J59" s="1"/>
      <c r="K59" s="1">
        <v>170</v>
      </c>
      <c r="L59" s="1">
        <f t="shared" si="16"/>
        <v>-2</v>
      </c>
      <c r="M59" s="1"/>
      <c r="N59" s="1"/>
      <c r="O59" s="1">
        <f>VLOOKUP(A59,[1]Sheet!$A:$T,20,0)</f>
        <v>0</v>
      </c>
      <c r="P59" s="1"/>
      <c r="Q59" s="1">
        <v>0</v>
      </c>
      <c r="R59" s="1">
        <f t="shared" si="3"/>
        <v>33.6</v>
      </c>
      <c r="S59" s="5"/>
      <c r="T59" s="5">
        <f t="shared" si="5"/>
        <v>0</v>
      </c>
      <c r="U59" s="5">
        <f t="shared" si="9"/>
        <v>0</v>
      </c>
      <c r="V59" s="5"/>
      <c r="W59" s="1"/>
      <c r="X59" s="1">
        <f t="shared" si="6"/>
        <v>26.220238095238095</v>
      </c>
      <c r="Y59" s="1">
        <f t="shared" si="7"/>
        <v>26.220238095238095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5" t="s">
        <v>284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140</v>
      </c>
      <c r="B60" s="1" t="s">
        <v>41</v>
      </c>
      <c r="C60" s="1">
        <v>167</v>
      </c>
      <c r="D60" s="1">
        <v>614</v>
      </c>
      <c r="E60" s="1">
        <v>274</v>
      </c>
      <c r="F60" s="1">
        <v>210</v>
      </c>
      <c r="G60" s="8">
        <v>0.4</v>
      </c>
      <c r="H60" s="1"/>
      <c r="I60" s="1" t="s">
        <v>141</v>
      </c>
      <c r="J60" s="1"/>
      <c r="K60" s="1">
        <v>276</v>
      </c>
      <c r="L60" s="1">
        <f t="shared" si="16"/>
        <v>-2</v>
      </c>
      <c r="M60" s="1"/>
      <c r="N60" s="1"/>
      <c r="O60" s="1">
        <f>VLOOKUP(A60,[1]Sheet!$A:$T,20,0)</f>
        <v>75</v>
      </c>
      <c r="P60" s="1">
        <v>51.799999999999947</v>
      </c>
      <c r="Q60" s="1">
        <v>30.561999999999969</v>
      </c>
      <c r="R60" s="1">
        <f t="shared" si="3"/>
        <v>54.8</v>
      </c>
      <c r="S60" s="5">
        <f t="shared" si="13"/>
        <v>290.23799999999994</v>
      </c>
      <c r="T60" s="5">
        <f t="shared" si="5"/>
        <v>290.23799999999994</v>
      </c>
      <c r="U60" s="5">
        <f t="shared" ref="U60:U61" si="20">T60+R60*$U$1</f>
        <v>353.25799999999992</v>
      </c>
      <c r="V60" s="5"/>
      <c r="W60" s="1"/>
      <c r="X60" s="1">
        <f t="shared" si="6"/>
        <v>13.149999999999999</v>
      </c>
      <c r="Y60" s="1">
        <f t="shared" si="7"/>
        <v>6.7036861313868599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 t="s">
        <v>35</v>
      </c>
      <c r="AF60" s="1">
        <f t="shared" si="8"/>
        <v>141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142</v>
      </c>
      <c r="B61" s="1" t="s">
        <v>33</v>
      </c>
      <c r="C61" s="1">
        <v>39.207000000000001</v>
      </c>
      <c r="D61" s="1">
        <v>48.103999999999999</v>
      </c>
      <c r="E61" s="1">
        <v>51.817999999999998</v>
      </c>
      <c r="F61" s="1">
        <v>22.184000000000001</v>
      </c>
      <c r="G61" s="8">
        <v>1</v>
      </c>
      <c r="H61" s="1"/>
      <c r="I61" s="1" t="s">
        <v>143</v>
      </c>
      <c r="J61" s="1"/>
      <c r="K61" s="1">
        <v>52.9</v>
      </c>
      <c r="L61" s="1">
        <f t="shared" si="16"/>
        <v>-1.0820000000000007</v>
      </c>
      <c r="M61" s="1"/>
      <c r="N61" s="1"/>
      <c r="O61" s="1">
        <f>VLOOKUP(A61,[1]Sheet!$A:$T,20,0)</f>
        <v>0</v>
      </c>
      <c r="P61" s="1">
        <v>36.907400000000003</v>
      </c>
      <c r="Q61" s="1">
        <v>21.775366000000002</v>
      </c>
      <c r="R61" s="1">
        <f t="shared" si="3"/>
        <v>10.3636</v>
      </c>
      <c r="S61" s="5">
        <f t="shared" si="13"/>
        <v>43.496433999999994</v>
      </c>
      <c r="T61" s="5">
        <f t="shared" si="5"/>
        <v>43.496433999999994</v>
      </c>
      <c r="U61" s="5">
        <f t="shared" si="20"/>
        <v>55.414573999999995</v>
      </c>
      <c r="V61" s="5"/>
      <c r="W61" s="1"/>
      <c r="X61" s="1">
        <f t="shared" si="6"/>
        <v>13.15</v>
      </c>
      <c r="Y61" s="1">
        <f t="shared" si="7"/>
        <v>7.8029609402138265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8"/>
        <v>55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144</v>
      </c>
      <c r="B62" s="1" t="s">
        <v>33</v>
      </c>
      <c r="C62" s="1">
        <v>28.382999999999999</v>
      </c>
      <c r="D62" s="1">
        <v>1.36</v>
      </c>
      <c r="E62" s="1"/>
      <c r="F62" s="1">
        <v>29</v>
      </c>
      <c r="G62" s="8">
        <v>1</v>
      </c>
      <c r="H62" s="1"/>
      <c r="I62" s="1" t="s">
        <v>145</v>
      </c>
      <c r="J62" s="1"/>
      <c r="K62" s="1">
        <v>26.2</v>
      </c>
      <c r="L62" s="1">
        <f t="shared" si="16"/>
        <v>-26.2</v>
      </c>
      <c r="M62" s="1"/>
      <c r="N62" s="1"/>
      <c r="O62" s="1">
        <f>VLOOKUP(A62,[1]Sheet!$A:$T,20,0)</f>
        <v>0</v>
      </c>
      <c r="P62" s="1"/>
      <c r="Q62" s="1">
        <v>0</v>
      </c>
      <c r="R62" s="1">
        <f t="shared" si="3"/>
        <v>0</v>
      </c>
      <c r="S62" s="5"/>
      <c r="T62" s="5">
        <f t="shared" si="5"/>
        <v>0</v>
      </c>
      <c r="U62" s="5">
        <f t="shared" si="9"/>
        <v>0</v>
      </c>
      <c r="V62" s="5"/>
      <c r="W62" s="1"/>
      <c r="X62" s="1" t="e">
        <f t="shared" si="6"/>
        <v>#DIV/0!</v>
      </c>
      <c r="Y62" s="1" t="e">
        <f t="shared" si="7"/>
        <v>#DIV/0!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"/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146</v>
      </c>
      <c r="B63" s="1" t="s">
        <v>41</v>
      </c>
      <c r="C63" s="1">
        <v>10</v>
      </c>
      <c r="D63" s="1">
        <v>1378</v>
      </c>
      <c r="E63" s="1">
        <v>9</v>
      </c>
      <c r="F63" s="1">
        <v>1251</v>
      </c>
      <c r="G63" s="8">
        <v>0.4</v>
      </c>
      <c r="H63" s="1"/>
      <c r="I63" s="1" t="s">
        <v>147</v>
      </c>
      <c r="J63" s="1"/>
      <c r="K63" s="1">
        <v>599</v>
      </c>
      <c r="L63" s="1">
        <f t="shared" si="16"/>
        <v>-590</v>
      </c>
      <c r="M63" s="1"/>
      <c r="N63" s="1"/>
      <c r="O63" s="1">
        <f>VLOOKUP(A63,[1]Sheet!$A:$T,20,0)</f>
        <v>215</v>
      </c>
      <c r="P63" s="1"/>
      <c r="Q63" s="1">
        <v>0</v>
      </c>
      <c r="R63" s="1">
        <f t="shared" si="3"/>
        <v>1.8</v>
      </c>
      <c r="S63" s="5"/>
      <c r="T63" s="5">
        <f t="shared" si="5"/>
        <v>0</v>
      </c>
      <c r="U63" s="5">
        <f t="shared" si="9"/>
        <v>0</v>
      </c>
      <c r="V63" s="5"/>
      <c r="W63" s="1"/>
      <c r="X63" s="1">
        <f t="shared" si="6"/>
        <v>814.44444444444446</v>
      </c>
      <c r="Y63" s="1">
        <f t="shared" si="7"/>
        <v>814.44444444444446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8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148</v>
      </c>
      <c r="B64" s="1" t="s">
        <v>41</v>
      </c>
      <c r="C64" s="1">
        <v>21</v>
      </c>
      <c r="D64" s="1">
        <v>1521</v>
      </c>
      <c r="E64" s="1">
        <v>680</v>
      </c>
      <c r="F64" s="1">
        <v>754</v>
      </c>
      <c r="G64" s="8">
        <v>0.4</v>
      </c>
      <c r="H64" s="1"/>
      <c r="I64" s="1" t="s">
        <v>149</v>
      </c>
      <c r="J64" s="1"/>
      <c r="K64" s="1">
        <v>703</v>
      </c>
      <c r="L64" s="1">
        <f t="shared" si="16"/>
        <v>-23</v>
      </c>
      <c r="M64" s="1"/>
      <c r="N64" s="1"/>
      <c r="O64" s="1">
        <f>VLOOKUP(A64,[1]Sheet!$A:$T,20,0)</f>
        <v>25</v>
      </c>
      <c r="P64" s="1">
        <v>197.2</v>
      </c>
      <c r="Q64" s="1">
        <v>116.348</v>
      </c>
      <c r="R64" s="1">
        <f t="shared" si="3"/>
        <v>136</v>
      </c>
      <c r="S64" s="5">
        <f>11*R64-Q64-P64-O64-F64</f>
        <v>403.452</v>
      </c>
      <c r="T64" s="5">
        <f t="shared" si="5"/>
        <v>403.452</v>
      </c>
      <c r="U64" s="5">
        <f t="shared" ref="U64:U65" si="21">T64+R64*$U$1</f>
        <v>559.85199999999998</v>
      </c>
      <c r="V64" s="5"/>
      <c r="W64" s="1"/>
      <c r="X64" s="1">
        <f t="shared" si="6"/>
        <v>12.15</v>
      </c>
      <c r="Y64" s="1">
        <f t="shared" si="7"/>
        <v>8.0334411764705891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8"/>
        <v>224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150</v>
      </c>
      <c r="B65" s="1" t="s">
        <v>33</v>
      </c>
      <c r="C65" s="1">
        <v>42.988</v>
      </c>
      <c r="D65" s="1">
        <v>685.86699999999996</v>
      </c>
      <c r="E65" s="1">
        <v>257.62400000000002</v>
      </c>
      <c r="F65" s="1">
        <v>432.96499999999997</v>
      </c>
      <c r="G65" s="8">
        <v>1</v>
      </c>
      <c r="H65" s="1"/>
      <c r="I65" s="1" t="s">
        <v>151</v>
      </c>
      <c r="J65" s="1"/>
      <c r="K65" s="1">
        <v>253.8</v>
      </c>
      <c r="L65" s="1">
        <f t="shared" si="16"/>
        <v>3.8240000000000123</v>
      </c>
      <c r="M65" s="1"/>
      <c r="N65" s="1"/>
      <c r="O65" s="1">
        <f>VLOOKUP(A65,[1]Sheet!$A:$T,20,0)</f>
        <v>70</v>
      </c>
      <c r="P65" s="1">
        <v>10.73579999999993</v>
      </c>
      <c r="Q65" s="1">
        <v>6.3341219999999563</v>
      </c>
      <c r="R65" s="1">
        <f t="shared" si="3"/>
        <v>51.524800000000006</v>
      </c>
      <c r="S65" s="5">
        <f t="shared" si="13"/>
        <v>98.262678000000221</v>
      </c>
      <c r="T65" s="5">
        <f t="shared" si="5"/>
        <v>98.262678000000221</v>
      </c>
      <c r="U65" s="5">
        <f t="shared" si="21"/>
        <v>157.51619800000023</v>
      </c>
      <c r="V65" s="5"/>
      <c r="W65" s="1"/>
      <c r="X65" s="1">
        <f t="shared" si="6"/>
        <v>13.150000000000002</v>
      </c>
      <c r="Y65" s="1">
        <f t="shared" si="7"/>
        <v>10.092905202931401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8"/>
        <v>158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152</v>
      </c>
      <c r="B66" s="1" t="s">
        <v>33</v>
      </c>
      <c r="C66" s="1">
        <v>9.3569999999999993</v>
      </c>
      <c r="D66" s="1">
        <v>808.06100000000004</v>
      </c>
      <c r="E66" s="1">
        <v>304.99299999999999</v>
      </c>
      <c r="F66" s="1">
        <v>482.75299999999999</v>
      </c>
      <c r="G66" s="8">
        <v>1</v>
      </c>
      <c r="H66" s="1"/>
      <c r="I66" s="1" t="s">
        <v>153</v>
      </c>
      <c r="J66" s="1"/>
      <c r="K66" s="1">
        <v>388</v>
      </c>
      <c r="L66" s="1">
        <f t="shared" si="16"/>
        <v>-83.007000000000005</v>
      </c>
      <c r="M66" s="1"/>
      <c r="N66" s="1"/>
      <c r="O66" s="1">
        <f>VLOOKUP(A66,[1]Sheet!$A:$T,20,0)</f>
        <v>15</v>
      </c>
      <c r="P66" s="1">
        <v>162.74680000000009</v>
      </c>
      <c r="Q66" s="1">
        <v>96.020612000000071</v>
      </c>
      <c r="R66" s="1">
        <f t="shared" si="3"/>
        <v>60.998599999999996</v>
      </c>
      <c r="S66" s="5"/>
      <c r="T66" s="5">
        <f t="shared" si="5"/>
        <v>0</v>
      </c>
      <c r="U66" s="5">
        <f t="shared" si="9"/>
        <v>0</v>
      </c>
      <c r="V66" s="5"/>
      <c r="W66" s="1"/>
      <c r="X66" s="1">
        <f t="shared" si="6"/>
        <v>12.402258609213984</v>
      </c>
      <c r="Y66" s="1">
        <f t="shared" si="7"/>
        <v>12.402258609213984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 t="s">
        <v>154</v>
      </c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155</v>
      </c>
      <c r="B67" s="1" t="s">
        <v>33</v>
      </c>
      <c r="C67" s="1">
        <v>191.35300000000001</v>
      </c>
      <c r="D67" s="1">
        <v>1793.72</v>
      </c>
      <c r="E67" s="1">
        <v>813.20399999999995</v>
      </c>
      <c r="F67" s="1">
        <v>906.61500000000001</v>
      </c>
      <c r="G67" s="8">
        <v>1</v>
      </c>
      <c r="H67" s="1"/>
      <c r="I67" s="1" t="s">
        <v>156</v>
      </c>
      <c r="J67" s="1"/>
      <c r="K67" s="1">
        <v>798.8</v>
      </c>
      <c r="L67" s="1">
        <f t="shared" si="16"/>
        <v>14.403999999999996</v>
      </c>
      <c r="M67" s="1"/>
      <c r="N67" s="1"/>
      <c r="O67" s="1">
        <f>VLOOKUP(A67,[1]Sheet!$A:$T,20,0)</f>
        <v>175</v>
      </c>
      <c r="P67" s="1">
        <v>210.00780000000009</v>
      </c>
      <c r="Q67" s="1">
        <v>230</v>
      </c>
      <c r="R67" s="1">
        <f t="shared" si="3"/>
        <v>162.64079999999998</v>
      </c>
      <c r="S67" s="5">
        <f t="shared" si="13"/>
        <v>430.0667999999996</v>
      </c>
      <c r="T67" s="5">
        <f t="shared" si="5"/>
        <v>430.0667999999996</v>
      </c>
      <c r="U67" s="5">
        <f t="shared" ref="U67:U69" si="22">T67+R67*$U$1</f>
        <v>617.10371999999961</v>
      </c>
      <c r="V67" s="5"/>
      <c r="W67" s="1"/>
      <c r="X67" s="1">
        <f t="shared" si="6"/>
        <v>13.149999999999999</v>
      </c>
      <c r="Y67" s="1">
        <f t="shared" si="7"/>
        <v>9.355726238434638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 t="s">
        <v>35</v>
      </c>
      <c r="AF67" s="1">
        <f t="shared" si="8"/>
        <v>617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157</v>
      </c>
      <c r="B68" s="1" t="s">
        <v>33</v>
      </c>
      <c r="C68" s="1">
        <v>93.554000000000002</v>
      </c>
      <c r="D68" s="1">
        <v>481.34399999999999</v>
      </c>
      <c r="E68" s="1">
        <v>212.749</v>
      </c>
      <c r="F68" s="1">
        <v>286.79700000000003</v>
      </c>
      <c r="G68" s="8">
        <v>1</v>
      </c>
      <c r="H68" s="1"/>
      <c r="I68" s="1" t="s">
        <v>158</v>
      </c>
      <c r="J68" s="1"/>
      <c r="K68" s="1">
        <v>213.7</v>
      </c>
      <c r="L68" s="1">
        <f t="shared" si="16"/>
        <v>-0.95099999999999341</v>
      </c>
      <c r="M68" s="1"/>
      <c r="N68" s="1"/>
      <c r="O68" s="1">
        <f>VLOOKUP(A68,[1]Sheet!$A:$T,20,0)</f>
        <v>45</v>
      </c>
      <c r="P68" s="1">
        <v>29.02840000000003</v>
      </c>
      <c r="Q68" s="1">
        <v>17.126756000000022</v>
      </c>
      <c r="R68" s="1">
        <f t="shared" si="3"/>
        <v>42.549799999999998</v>
      </c>
      <c r="S68" s="5">
        <f t="shared" si="13"/>
        <v>132.64544399999988</v>
      </c>
      <c r="T68" s="5">
        <f t="shared" si="5"/>
        <v>132.64544399999988</v>
      </c>
      <c r="U68" s="5">
        <f t="shared" si="22"/>
        <v>181.57771399999987</v>
      </c>
      <c r="V68" s="5"/>
      <c r="W68" s="1"/>
      <c r="X68" s="1">
        <f t="shared" si="6"/>
        <v>13.15</v>
      </c>
      <c r="Y68" s="1">
        <f t="shared" si="7"/>
        <v>8.8825836079135527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8"/>
        <v>182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159</v>
      </c>
      <c r="B69" s="1" t="s">
        <v>41</v>
      </c>
      <c r="C69" s="1">
        <v>24</v>
      </c>
      <c r="D69" s="1"/>
      <c r="E69" s="1">
        <v>9</v>
      </c>
      <c r="F69" s="1">
        <v>13</v>
      </c>
      <c r="G69" s="8">
        <v>0.6</v>
      </c>
      <c r="H69" s="1"/>
      <c r="I69" s="1" t="s">
        <v>160</v>
      </c>
      <c r="J69" s="1"/>
      <c r="K69" s="1">
        <v>9</v>
      </c>
      <c r="L69" s="1">
        <f t="shared" si="16"/>
        <v>0</v>
      </c>
      <c r="M69" s="1"/>
      <c r="N69" s="1"/>
      <c r="O69" s="1">
        <f>VLOOKUP(A69,[1]Sheet!$A:$T,20,0)</f>
        <v>0</v>
      </c>
      <c r="P69" s="1">
        <v>3</v>
      </c>
      <c r="Q69" s="1">
        <v>1.77</v>
      </c>
      <c r="R69" s="1">
        <f t="shared" si="3"/>
        <v>1.8</v>
      </c>
      <c r="S69" s="5">
        <f t="shared" si="13"/>
        <v>3.8300000000000018</v>
      </c>
      <c r="T69" s="5">
        <f t="shared" si="5"/>
        <v>3.8300000000000018</v>
      </c>
      <c r="U69" s="5">
        <f t="shared" si="22"/>
        <v>5.9000000000000021</v>
      </c>
      <c r="V69" s="5"/>
      <c r="W69" s="1"/>
      <c r="X69" s="1">
        <f t="shared" si="6"/>
        <v>13.15</v>
      </c>
      <c r="Y69" s="1">
        <f t="shared" si="7"/>
        <v>9.8722222222222218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"/>
      <c r="AF69" s="1">
        <f t="shared" si="8"/>
        <v>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161</v>
      </c>
      <c r="B70" s="1" t="s">
        <v>33</v>
      </c>
      <c r="C70" s="1">
        <v>295.13900000000001</v>
      </c>
      <c r="D70" s="1">
        <v>1495.2049999999999</v>
      </c>
      <c r="E70" s="1">
        <v>470.99599999999998</v>
      </c>
      <c r="F70" s="1">
        <v>1210.2380000000001</v>
      </c>
      <c r="G70" s="8">
        <v>1</v>
      </c>
      <c r="H70" s="1"/>
      <c r="I70" s="1" t="s">
        <v>162</v>
      </c>
      <c r="J70" s="1"/>
      <c r="K70" s="1">
        <v>487.15</v>
      </c>
      <c r="L70" s="1">
        <f t="shared" ref="L70:L101" si="23">E70-K70</f>
        <v>-16.153999999999996</v>
      </c>
      <c r="M70" s="1"/>
      <c r="N70" s="1"/>
      <c r="O70" s="1">
        <f>VLOOKUP(A70,[1]Sheet!$A:$T,20,0)</f>
        <v>200</v>
      </c>
      <c r="P70" s="1"/>
      <c r="Q70" s="1">
        <v>180</v>
      </c>
      <c r="R70" s="1">
        <f t="shared" si="3"/>
        <v>94.19919999999999</v>
      </c>
      <c r="S70" s="5"/>
      <c r="T70" s="5">
        <f t="shared" si="5"/>
        <v>0</v>
      </c>
      <c r="U70" s="5">
        <f t="shared" si="9"/>
        <v>0</v>
      </c>
      <c r="V70" s="5"/>
      <c r="W70" s="1"/>
      <c r="X70" s="1">
        <f t="shared" si="6"/>
        <v>16.881650799582165</v>
      </c>
      <c r="Y70" s="1">
        <f t="shared" si="7"/>
        <v>16.881650799582165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 t="s">
        <v>35</v>
      </c>
      <c r="AF70" s="1">
        <f t="shared" si="8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163</v>
      </c>
      <c r="B71" s="1" t="s">
        <v>41</v>
      </c>
      <c r="C71" s="1">
        <v>98</v>
      </c>
      <c r="D71" s="1">
        <v>442</v>
      </c>
      <c r="E71" s="1">
        <v>117</v>
      </c>
      <c r="F71" s="1">
        <v>123</v>
      </c>
      <c r="G71" s="8">
        <v>0.6</v>
      </c>
      <c r="H71" s="1"/>
      <c r="I71" s="1" t="s">
        <v>164</v>
      </c>
      <c r="J71" s="1"/>
      <c r="K71" s="1">
        <v>129</v>
      </c>
      <c r="L71" s="1">
        <f t="shared" si="23"/>
        <v>-12</v>
      </c>
      <c r="M71" s="1"/>
      <c r="N71" s="1"/>
      <c r="O71" s="1">
        <f>VLOOKUP(A71,[1]Sheet!$A:$T,20,0)</f>
        <v>55</v>
      </c>
      <c r="P71" s="1">
        <v>37.600000000000023</v>
      </c>
      <c r="Q71" s="1">
        <v>22.184000000000012</v>
      </c>
      <c r="R71" s="1">
        <f t="shared" ref="R71:R127" si="24">E71/5</f>
        <v>23.4</v>
      </c>
      <c r="S71" s="5">
        <f t="shared" si="13"/>
        <v>43.015999999999906</v>
      </c>
      <c r="T71" s="5">
        <f t="shared" ref="T71:T127" si="25">S71</f>
        <v>43.015999999999906</v>
      </c>
      <c r="U71" s="5">
        <f t="shared" ref="U71:U72" si="26">T71+R71*$U$1</f>
        <v>69.925999999999902</v>
      </c>
      <c r="V71" s="5"/>
      <c r="W71" s="1"/>
      <c r="X71" s="1">
        <f t="shared" ref="X71:X127" si="27">(F71+O71+P71+Q71+U71)/R71</f>
        <v>13.149999999999997</v>
      </c>
      <c r="Y71" s="1">
        <f t="shared" ref="Y71:Y127" si="28">(F71+O71+P71+Q71)/R71</f>
        <v>10.161709401709404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ref="AF71:AF127" si="29">ROUND(G71*U71,0)</f>
        <v>42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165</v>
      </c>
      <c r="B72" s="1" t="s">
        <v>41</v>
      </c>
      <c r="C72" s="1">
        <v>41</v>
      </c>
      <c r="D72" s="1">
        <v>32</v>
      </c>
      <c r="E72" s="1">
        <v>33</v>
      </c>
      <c r="F72" s="1">
        <v>35</v>
      </c>
      <c r="G72" s="8">
        <v>0.6</v>
      </c>
      <c r="H72" s="1"/>
      <c r="I72" s="1" t="s">
        <v>166</v>
      </c>
      <c r="J72" s="1"/>
      <c r="K72" s="1">
        <v>33</v>
      </c>
      <c r="L72" s="1">
        <f t="shared" si="23"/>
        <v>0</v>
      </c>
      <c r="M72" s="1"/>
      <c r="N72" s="1"/>
      <c r="O72" s="1">
        <f>VLOOKUP(A72,[1]Sheet!$A:$T,20,0)</f>
        <v>0</v>
      </c>
      <c r="P72" s="1"/>
      <c r="Q72" s="1">
        <v>0</v>
      </c>
      <c r="R72" s="1">
        <f t="shared" si="24"/>
        <v>6.6</v>
      </c>
      <c r="S72" s="5">
        <f t="shared" si="13"/>
        <v>44.199999999999989</v>
      </c>
      <c r="T72" s="5">
        <f t="shared" si="25"/>
        <v>44.199999999999989</v>
      </c>
      <c r="U72" s="5">
        <f t="shared" si="26"/>
        <v>51.789999999999985</v>
      </c>
      <c r="V72" s="5"/>
      <c r="W72" s="1"/>
      <c r="X72" s="1">
        <f t="shared" si="27"/>
        <v>13.15</v>
      </c>
      <c r="Y72" s="1">
        <f t="shared" si="28"/>
        <v>5.3030303030303036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29"/>
        <v>31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167</v>
      </c>
      <c r="B73" s="1" t="s">
        <v>41</v>
      </c>
      <c r="C73" s="1">
        <v>61</v>
      </c>
      <c r="D73" s="1">
        <v>163</v>
      </c>
      <c r="E73" s="1">
        <v>91</v>
      </c>
      <c r="F73" s="1">
        <v>126</v>
      </c>
      <c r="G73" s="8">
        <v>0.4</v>
      </c>
      <c r="H73" s="1"/>
      <c r="I73" s="1" t="s">
        <v>168</v>
      </c>
      <c r="J73" s="1"/>
      <c r="K73" s="1">
        <v>92</v>
      </c>
      <c r="L73" s="1">
        <f t="shared" si="23"/>
        <v>-1</v>
      </c>
      <c r="M73" s="1"/>
      <c r="N73" s="1"/>
      <c r="O73" s="1">
        <f>VLOOKUP(A73,[1]Sheet!$A:$T,20,0)</f>
        <v>45</v>
      </c>
      <c r="P73" s="1">
        <v>74.399999999999977</v>
      </c>
      <c r="Q73" s="1">
        <v>43.895999999999987</v>
      </c>
      <c r="R73" s="1">
        <f t="shared" si="24"/>
        <v>18.2</v>
      </c>
      <c r="S73" s="5"/>
      <c r="T73" s="5">
        <f t="shared" si="25"/>
        <v>0</v>
      </c>
      <c r="U73" s="5">
        <f t="shared" ref="U73:U127" si="30">T73</f>
        <v>0</v>
      </c>
      <c r="V73" s="5"/>
      <c r="W73" s="1"/>
      <c r="X73" s="1">
        <f t="shared" si="27"/>
        <v>15.895384615384613</v>
      </c>
      <c r="Y73" s="1">
        <f t="shared" si="28"/>
        <v>15.895384615384613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29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169</v>
      </c>
      <c r="B74" s="1" t="s">
        <v>41</v>
      </c>
      <c r="C74" s="1">
        <v>85</v>
      </c>
      <c r="D74" s="1">
        <v>237</v>
      </c>
      <c r="E74" s="1">
        <v>108</v>
      </c>
      <c r="F74" s="1">
        <v>195</v>
      </c>
      <c r="G74" s="8">
        <v>0.33</v>
      </c>
      <c r="H74" s="1"/>
      <c r="I74" s="1" t="s">
        <v>170</v>
      </c>
      <c r="J74" s="1"/>
      <c r="K74" s="1">
        <v>122</v>
      </c>
      <c r="L74" s="1">
        <f t="shared" si="23"/>
        <v>-14</v>
      </c>
      <c r="M74" s="1"/>
      <c r="N74" s="1"/>
      <c r="O74" s="1">
        <f>VLOOKUP(A74,[1]Sheet!$A:$T,20,0)</f>
        <v>10</v>
      </c>
      <c r="P74" s="1">
        <v>87.800000000000011</v>
      </c>
      <c r="Q74" s="1">
        <v>51.802000000000007</v>
      </c>
      <c r="R74" s="1">
        <f t="shared" si="24"/>
        <v>21.6</v>
      </c>
      <c r="S74" s="5"/>
      <c r="T74" s="5">
        <f t="shared" si="25"/>
        <v>0</v>
      </c>
      <c r="U74" s="5">
        <f t="shared" si="30"/>
        <v>0</v>
      </c>
      <c r="V74" s="5"/>
      <c r="W74" s="1"/>
      <c r="X74" s="1">
        <f t="shared" si="27"/>
        <v>15.953796296296296</v>
      </c>
      <c r="Y74" s="1">
        <f t="shared" si="28"/>
        <v>15.953796296296296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29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171</v>
      </c>
      <c r="B75" s="1" t="s">
        <v>41</v>
      </c>
      <c r="C75" s="1">
        <v>28</v>
      </c>
      <c r="D75" s="1">
        <v>100</v>
      </c>
      <c r="E75" s="1">
        <v>41</v>
      </c>
      <c r="F75" s="1">
        <v>76</v>
      </c>
      <c r="G75" s="8">
        <v>0.35</v>
      </c>
      <c r="H75" s="1"/>
      <c r="I75" s="1" t="s">
        <v>172</v>
      </c>
      <c r="J75" s="1"/>
      <c r="K75" s="1">
        <v>74</v>
      </c>
      <c r="L75" s="1">
        <f t="shared" si="23"/>
        <v>-33</v>
      </c>
      <c r="M75" s="1"/>
      <c r="N75" s="1"/>
      <c r="O75" s="1">
        <f>VLOOKUP(A75,[1]Sheet!$A:$T,20,0)</f>
        <v>25</v>
      </c>
      <c r="P75" s="1">
        <v>57.599999999999987</v>
      </c>
      <c r="Q75" s="1">
        <v>33.983999999999988</v>
      </c>
      <c r="R75" s="1">
        <f t="shared" si="24"/>
        <v>8.1999999999999993</v>
      </c>
      <c r="S75" s="5"/>
      <c r="T75" s="5">
        <f t="shared" si="25"/>
        <v>0</v>
      </c>
      <c r="U75" s="5">
        <f t="shared" si="30"/>
        <v>0</v>
      </c>
      <c r="V75" s="5"/>
      <c r="W75" s="1"/>
      <c r="X75" s="1">
        <f t="shared" si="27"/>
        <v>23.485853658536584</v>
      </c>
      <c r="Y75" s="1">
        <f t="shared" si="28"/>
        <v>23.485853658536584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"/>
      <c r="AF75" s="1">
        <f t="shared" si="29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173</v>
      </c>
      <c r="B76" s="1" t="s">
        <v>41</v>
      </c>
      <c r="C76" s="1">
        <v>62</v>
      </c>
      <c r="D76" s="1">
        <v>1864</v>
      </c>
      <c r="E76" s="1">
        <v>580</v>
      </c>
      <c r="F76" s="1">
        <v>823</v>
      </c>
      <c r="G76" s="8">
        <v>0.37</v>
      </c>
      <c r="H76" s="1"/>
      <c r="I76" s="1" t="s">
        <v>174</v>
      </c>
      <c r="J76" s="1"/>
      <c r="K76" s="1">
        <v>661</v>
      </c>
      <c r="L76" s="1">
        <f t="shared" si="23"/>
        <v>-81</v>
      </c>
      <c r="M76" s="1"/>
      <c r="N76" s="1"/>
      <c r="O76" s="1">
        <f>VLOOKUP(A76,[1]Sheet!$A:$T,20,0)</f>
        <v>180</v>
      </c>
      <c r="P76" s="1"/>
      <c r="Q76" s="1">
        <v>0</v>
      </c>
      <c r="R76" s="1">
        <f t="shared" si="24"/>
        <v>116</v>
      </c>
      <c r="S76" s="5">
        <f t="shared" si="13"/>
        <v>389</v>
      </c>
      <c r="T76" s="5">
        <f t="shared" si="25"/>
        <v>389</v>
      </c>
      <c r="U76" s="5">
        <f t="shared" ref="U76:U77" si="31">T76+R76*$U$1</f>
        <v>522.4</v>
      </c>
      <c r="V76" s="5"/>
      <c r="W76" s="1"/>
      <c r="X76" s="1">
        <f t="shared" si="27"/>
        <v>13.15</v>
      </c>
      <c r="Y76" s="1">
        <f t="shared" si="28"/>
        <v>8.6465517241379306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 t="s">
        <v>35</v>
      </c>
      <c r="AF76" s="1">
        <f t="shared" si="29"/>
        <v>193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175</v>
      </c>
      <c r="B77" s="1" t="s">
        <v>41</v>
      </c>
      <c r="C77" s="1">
        <v>-1</v>
      </c>
      <c r="D77" s="1">
        <v>433</v>
      </c>
      <c r="E77" s="1">
        <v>156</v>
      </c>
      <c r="F77" s="1">
        <v>168</v>
      </c>
      <c r="G77" s="8">
        <v>0.6</v>
      </c>
      <c r="H77" s="1"/>
      <c r="I77" s="1" t="s">
        <v>176</v>
      </c>
      <c r="J77" s="1"/>
      <c r="K77" s="1">
        <v>156</v>
      </c>
      <c r="L77" s="1">
        <f t="shared" si="23"/>
        <v>0</v>
      </c>
      <c r="M77" s="1"/>
      <c r="N77" s="1"/>
      <c r="O77" s="1">
        <f>VLOOKUP(A77,[1]Sheet!$A:$T,20,0)</f>
        <v>60</v>
      </c>
      <c r="P77" s="1"/>
      <c r="Q77" s="1">
        <v>0</v>
      </c>
      <c r="R77" s="1">
        <f t="shared" si="24"/>
        <v>31.2</v>
      </c>
      <c r="S77" s="5">
        <f t="shared" si="13"/>
        <v>146.39999999999998</v>
      </c>
      <c r="T77" s="5">
        <f t="shared" si="25"/>
        <v>146.39999999999998</v>
      </c>
      <c r="U77" s="5">
        <f t="shared" si="31"/>
        <v>182.27999999999997</v>
      </c>
      <c r="V77" s="5"/>
      <c r="W77" s="1"/>
      <c r="X77" s="1">
        <f t="shared" si="27"/>
        <v>13.149999999999999</v>
      </c>
      <c r="Y77" s="1">
        <f t="shared" si="28"/>
        <v>7.3076923076923075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 t="s">
        <v>177</v>
      </c>
      <c r="AF77" s="1">
        <f t="shared" si="29"/>
        <v>109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178</v>
      </c>
      <c r="B78" s="1" t="s">
        <v>41</v>
      </c>
      <c r="C78" s="1">
        <v>12</v>
      </c>
      <c r="D78" s="1">
        <v>110</v>
      </c>
      <c r="E78" s="1">
        <v>31</v>
      </c>
      <c r="F78" s="1">
        <v>77</v>
      </c>
      <c r="G78" s="8">
        <v>0.33</v>
      </c>
      <c r="H78" s="1"/>
      <c r="I78" s="1" t="s">
        <v>179</v>
      </c>
      <c r="J78" s="1"/>
      <c r="K78" s="1">
        <v>45</v>
      </c>
      <c r="L78" s="1">
        <f t="shared" si="23"/>
        <v>-14</v>
      </c>
      <c r="M78" s="1"/>
      <c r="N78" s="1"/>
      <c r="O78" s="1">
        <f>VLOOKUP(A78,[1]Sheet!$A:$T,20,0)</f>
        <v>10</v>
      </c>
      <c r="P78" s="1">
        <v>3.1999999999999891</v>
      </c>
      <c r="Q78" s="1">
        <v>1.887999999999993</v>
      </c>
      <c r="R78" s="1">
        <f t="shared" si="24"/>
        <v>6.2</v>
      </c>
      <c r="S78" s="5"/>
      <c r="T78" s="5">
        <f t="shared" si="25"/>
        <v>0</v>
      </c>
      <c r="U78" s="5">
        <f t="shared" si="30"/>
        <v>0</v>
      </c>
      <c r="V78" s="5"/>
      <c r="W78" s="1"/>
      <c r="X78" s="1">
        <f t="shared" si="27"/>
        <v>14.852903225806449</v>
      </c>
      <c r="Y78" s="1">
        <f t="shared" si="28"/>
        <v>14.852903225806449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29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180</v>
      </c>
      <c r="B79" s="1" t="s">
        <v>41</v>
      </c>
      <c r="C79" s="1">
        <v>132</v>
      </c>
      <c r="D79" s="1">
        <v>643</v>
      </c>
      <c r="E79" s="1">
        <v>275</v>
      </c>
      <c r="F79" s="1">
        <v>266</v>
      </c>
      <c r="G79" s="8">
        <v>0.4</v>
      </c>
      <c r="H79" s="1"/>
      <c r="I79" s="1" t="s">
        <v>181</v>
      </c>
      <c r="J79" s="1"/>
      <c r="K79" s="1">
        <v>275</v>
      </c>
      <c r="L79" s="1">
        <f t="shared" si="23"/>
        <v>0</v>
      </c>
      <c r="M79" s="1"/>
      <c r="N79" s="1"/>
      <c r="O79" s="1">
        <f>VLOOKUP(A79,[1]Sheet!$A:$T,20,0)</f>
        <v>60</v>
      </c>
      <c r="P79" s="1">
        <v>3.799999999999955</v>
      </c>
      <c r="Q79" s="1">
        <v>2.2419999999999729</v>
      </c>
      <c r="R79" s="1">
        <f t="shared" si="24"/>
        <v>55</v>
      </c>
      <c r="S79" s="5">
        <f t="shared" si="13"/>
        <v>327.95800000000008</v>
      </c>
      <c r="T79" s="5">
        <f t="shared" si="25"/>
        <v>327.95800000000008</v>
      </c>
      <c r="U79" s="5">
        <f>T79+R79*$U$1</f>
        <v>391.20800000000008</v>
      </c>
      <c r="V79" s="5"/>
      <c r="W79" s="1"/>
      <c r="X79" s="1">
        <f t="shared" si="27"/>
        <v>13.15</v>
      </c>
      <c r="Y79" s="1">
        <f t="shared" si="28"/>
        <v>6.0371272727272709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 t="s">
        <v>35</v>
      </c>
      <c r="AF79" s="1">
        <f t="shared" si="29"/>
        <v>156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182</v>
      </c>
      <c r="B80" s="1" t="s">
        <v>41</v>
      </c>
      <c r="C80" s="1">
        <v>62</v>
      </c>
      <c r="D80" s="1">
        <v>387</v>
      </c>
      <c r="E80" s="1">
        <v>80</v>
      </c>
      <c r="F80" s="1">
        <v>193</v>
      </c>
      <c r="G80" s="8">
        <v>0.35</v>
      </c>
      <c r="H80" s="1"/>
      <c r="I80" s="1" t="s">
        <v>183</v>
      </c>
      <c r="J80" s="1"/>
      <c r="K80" s="1">
        <v>162</v>
      </c>
      <c r="L80" s="1">
        <f t="shared" si="23"/>
        <v>-82</v>
      </c>
      <c r="M80" s="1"/>
      <c r="N80" s="1"/>
      <c r="O80" s="1">
        <f>VLOOKUP(A80,[1]Sheet!$A:$T,20,0)</f>
        <v>40</v>
      </c>
      <c r="P80" s="1"/>
      <c r="Q80" s="1">
        <v>0</v>
      </c>
      <c r="R80" s="1">
        <f t="shared" si="24"/>
        <v>16</v>
      </c>
      <c r="S80" s="5"/>
      <c r="T80" s="5">
        <f t="shared" si="25"/>
        <v>0</v>
      </c>
      <c r="U80" s="5">
        <f t="shared" si="30"/>
        <v>0</v>
      </c>
      <c r="V80" s="5"/>
      <c r="W80" s="1"/>
      <c r="X80" s="1">
        <f t="shared" si="27"/>
        <v>14.5625</v>
      </c>
      <c r="Y80" s="1">
        <f t="shared" si="28"/>
        <v>14.5625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29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184</v>
      </c>
      <c r="B81" s="1" t="s">
        <v>41</v>
      </c>
      <c r="C81" s="1"/>
      <c r="D81" s="1">
        <v>748</v>
      </c>
      <c r="E81" s="1">
        <v>194</v>
      </c>
      <c r="F81" s="1">
        <v>405</v>
      </c>
      <c r="G81" s="8">
        <v>0.35</v>
      </c>
      <c r="H81" s="1"/>
      <c r="I81" s="1" t="s">
        <v>185</v>
      </c>
      <c r="J81" s="1"/>
      <c r="K81" s="1">
        <v>337</v>
      </c>
      <c r="L81" s="1">
        <f t="shared" si="23"/>
        <v>-143</v>
      </c>
      <c r="M81" s="1"/>
      <c r="N81" s="1"/>
      <c r="O81" s="1">
        <f>VLOOKUP(A81,[1]Sheet!$A:$T,20,0)</f>
        <v>75</v>
      </c>
      <c r="P81" s="1"/>
      <c r="Q81" s="1">
        <v>0</v>
      </c>
      <c r="R81" s="1">
        <f t="shared" si="24"/>
        <v>38.799999999999997</v>
      </c>
      <c r="S81" s="5"/>
      <c r="T81" s="5">
        <f t="shared" si="25"/>
        <v>0</v>
      </c>
      <c r="U81" s="5">
        <f t="shared" si="30"/>
        <v>0</v>
      </c>
      <c r="V81" s="5"/>
      <c r="W81" s="1"/>
      <c r="X81" s="1">
        <f t="shared" si="27"/>
        <v>12.371134020618557</v>
      </c>
      <c r="Y81" s="1">
        <f t="shared" si="28"/>
        <v>12.371134020618557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 t="s">
        <v>186</v>
      </c>
      <c r="AF81" s="1">
        <f t="shared" si="29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0" t="s">
        <v>187</v>
      </c>
      <c r="B82" s="10" t="s">
        <v>33</v>
      </c>
      <c r="C82" s="10"/>
      <c r="D82" s="10">
        <v>5.47</v>
      </c>
      <c r="E82" s="10"/>
      <c r="F82" s="10"/>
      <c r="G82" s="11">
        <v>0</v>
      </c>
      <c r="H82" s="10"/>
      <c r="I82" s="10"/>
      <c r="J82" s="10"/>
      <c r="K82" s="10">
        <v>38.6</v>
      </c>
      <c r="L82" s="10">
        <f t="shared" si="23"/>
        <v>-38.6</v>
      </c>
      <c r="M82" s="10"/>
      <c r="N82" s="10"/>
      <c r="O82" s="10"/>
      <c r="P82" s="10"/>
      <c r="Q82" s="10"/>
      <c r="R82" s="10">
        <f t="shared" si="24"/>
        <v>0</v>
      </c>
      <c r="S82" s="12"/>
      <c r="T82" s="5">
        <f t="shared" si="25"/>
        <v>0</v>
      </c>
      <c r="U82" s="5">
        <f t="shared" si="30"/>
        <v>0</v>
      </c>
      <c r="V82" s="12"/>
      <c r="W82" s="10"/>
      <c r="X82" s="1" t="e">
        <f t="shared" si="27"/>
        <v>#DIV/0!</v>
      </c>
      <c r="Y82" s="10" t="e">
        <f t="shared" si="28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/>
      <c r="AF82" s="1">
        <f t="shared" si="2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188</v>
      </c>
      <c r="B83" s="1" t="s">
        <v>41</v>
      </c>
      <c r="C83" s="1">
        <v>62</v>
      </c>
      <c r="D83" s="1">
        <v>310</v>
      </c>
      <c r="E83" s="1">
        <v>104</v>
      </c>
      <c r="F83" s="1">
        <v>148</v>
      </c>
      <c r="G83" s="8">
        <v>0.4</v>
      </c>
      <c r="H83" s="1"/>
      <c r="I83" s="1" t="s">
        <v>189</v>
      </c>
      <c r="J83" s="1"/>
      <c r="K83" s="1">
        <v>191</v>
      </c>
      <c r="L83" s="1">
        <f t="shared" si="23"/>
        <v>-87</v>
      </c>
      <c r="M83" s="1"/>
      <c r="N83" s="1"/>
      <c r="O83" s="1">
        <f>VLOOKUP(A83,[1]Sheet!$A:$T,20,0)</f>
        <v>20</v>
      </c>
      <c r="P83" s="1">
        <v>78.399999999999977</v>
      </c>
      <c r="Q83" s="1">
        <v>46.255999999999993</v>
      </c>
      <c r="R83" s="1">
        <f t="shared" si="24"/>
        <v>20.8</v>
      </c>
      <c r="S83" s="5"/>
      <c r="T83" s="5">
        <f t="shared" si="25"/>
        <v>0</v>
      </c>
      <c r="U83" s="5">
        <f t="shared" si="30"/>
        <v>0</v>
      </c>
      <c r="V83" s="5"/>
      <c r="W83" s="1"/>
      <c r="X83" s="1">
        <f t="shared" si="27"/>
        <v>14.069999999999997</v>
      </c>
      <c r="Y83" s="1">
        <f t="shared" si="28"/>
        <v>14.069999999999997</v>
      </c>
      <c r="Z83" s="1">
        <v>22.4</v>
      </c>
      <c r="AA83" s="1">
        <v>22.8</v>
      </c>
      <c r="AB83" s="1">
        <v>14.4</v>
      </c>
      <c r="AC83" s="1">
        <v>21.2</v>
      </c>
      <c r="AD83" s="1">
        <v>6</v>
      </c>
      <c r="AE83" s="1">
        <v>0</v>
      </c>
      <c r="AF83" s="1">
        <f t="shared" si="2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190</v>
      </c>
      <c r="B84" s="1" t="s">
        <v>33</v>
      </c>
      <c r="C84" s="1">
        <v>150.07</v>
      </c>
      <c r="D84" s="1">
        <v>40.822000000000003</v>
      </c>
      <c r="E84" s="1">
        <v>15.88</v>
      </c>
      <c r="F84" s="1">
        <v>160.48099999999999</v>
      </c>
      <c r="G84" s="8">
        <v>0</v>
      </c>
      <c r="H84" s="1"/>
      <c r="I84" s="1">
        <v>0</v>
      </c>
      <c r="J84" s="1"/>
      <c r="K84" s="1">
        <v>14.561</v>
      </c>
      <c r="L84" s="1">
        <f t="shared" si="23"/>
        <v>1.3190000000000008</v>
      </c>
      <c r="M84" s="1"/>
      <c r="N84" s="1"/>
      <c r="O84" s="1">
        <f>VLOOKUP(A84,[1]Sheet!$A:$T,20,0)</f>
        <v>0</v>
      </c>
      <c r="P84" s="1"/>
      <c r="Q84" s="1">
        <v>0</v>
      </c>
      <c r="R84" s="1">
        <f t="shared" si="24"/>
        <v>3.1760000000000002</v>
      </c>
      <c r="S84" s="5"/>
      <c r="T84" s="5">
        <f t="shared" si="25"/>
        <v>0</v>
      </c>
      <c r="U84" s="5">
        <f t="shared" si="30"/>
        <v>0</v>
      </c>
      <c r="V84" s="5"/>
      <c r="W84" s="1"/>
      <c r="X84" s="1">
        <f t="shared" si="27"/>
        <v>50.529282115869016</v>
      </c>
      <c r="Y84" s="1">
        <f t="shared" si="28"/>
        <v>50.529282115869016</v>
      </c>
      <c r="Z84" s="1">
        <v>1.129</v>
      </c>
      <c r="AA84" s="1">
        <v>1.6768000000000001</v>
      </c>
      <c r="AB84" s="1">
        <v>0.54480000000000006</v>
      </c>
      <c r="AC84" s="1">
        <v>2.4318</v>
      </c>
      <c r="AD84" s="1">
        <v>0</v>
      </c>
      <c r="AE84" s="15" t="s">
        <v>284</v>
      </c>
      <c r="AF84" s="1">
        <f t="shared" si="29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191</v>
      </c>
      <c r="B85" s="1" t="s">
        <v>41</v>
      </c>
      <c r="C85" s="1">
        <v>2</v>
      </c>
      <c r="D85" s="1">
        <v>42</v>
      </c>
      <c r="E85" s="1"/>
      <c r="F85" s="1">
        <v>40</v>
      </c>
      <c r="G85" s="8">
        <v>0.4</v>
      </c>
      <c r="H85" s="1"/>
      <c r="I85" s="1" t="s">
        <v>192</v>
      </c>
      <c r="J85" s="1"/>
      <c r="K85" s="1">
        <v>18</v>
      </c>
      <c r="L85" s="1">
        <f t="shared" si="23"/>
        <v>-18</v>
      </c>
      <c r="M85" s="1"/>
      <c r="N85" s="1"/>
      <c r="O85" s="1">
        <f>VLOOKUP(A85,[1]Sheet!$A:$T,20,0)</f>
        <v>0</v>
      </c>
      <c r="P85" s="1"/>
      <c r="Q85" s="1">
        <v>0</v>
      </c>
      <c r="R85" s="1">
        <f t="shared" si="24"/>
        <v>0</v>
      </c>
      <c r="S85" s="5"/>
      <c r="T85" s="5">
        <f t="shared" si="25"/>
        <v>0</v>
      </c>
      <c r="U85" s="5">
        <f t="shared" si="30"/>
        <v>0</v>
      </c>
      <c r="V85" s="5"/>
      <c r="W85" s="1"/>
      <c r="X85" s="1" t="e">
        <f t="shared" si="27"/>
        <v>#DIV/0!</v>
      </c>
      <c r="Y85" s="1" t="e">
        <f t="shared" si="28"/>
        <v>#DIV/0!</v>
      </c>
      <c r="Z85" s="1">
        <v>2.4</v>
      </c>
      <c r="AA85" s="1">
        <v>4</v>
      </c>
      <c r="AB85" s="1">
        <v>5.2</v>
      </c>
      <c r="AC85" s="1">
        <v>3.2</v>
      </c>
      <c r="AD85" s="1">
        <v>4</v>
      </c>
      <c r="AE85" s="1">
        <v>0</v>
      </c>
      <c r="AF85" s="1">
        <f t="shared" si="29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193</v>
      </c>
      <c r="B86" s="1" t="s">
        <v>33</v>
      </c>
      <c r="C86" s="1">
        <v>144.43</v>
      </c>
      <c r="D86" s="1">
        <v>1001.397</v>
      </c>
      <c r="E86" s="1">
        <v>239.547</v>
      </c>
      <c r="F86" s="1">
        <v>465.11799999999999</v>
      </c>
      <c r="G86" s="8">
        <v>1</v>
      </c>
      <c r="H86" s="1"/>
      <c r="I86" s="1" t="s">
        <v>194</v>
      </c>
      <c r="J86" s="1"/>
      <c r="K86" s="1">
        <v>243.154</v>
      </c>
      <c r="L86" s="1">
        <f t="shared" si="23"/>
        <v>-3.6069999999999993</v>
      </c>
      <c r="M86" s="1"/>
      <c r="N86" s="1"/>
      <c r="O86" s="1">
        <f>VLOOKUP(A86,[1]Sheet!$A:$T,20,0)</f>
        <v>0</v>
      </c>
      <c r="P86" s="1"/>
      <c r="Q86" s="1">
        <v>0</v>
      </c>
      <c r="R86" s="1">
        <f t="shared" si="24"/>
        <v>47.909399999999998</v>
      </c>
      <c r="S86" s="5">
        <f t="shared" ref="S86:S123" si="32">12*R86-Q86-P86-O86-F86</f>
        <v>109.79479999999995</v>
      </c>
      <c r="T86" s="5">
        <f t="shared" si="25"/>
        <v>109.79479999999995</v>
      </c>
      <c r="U86" s="5">
        <f t="shared" ref="U86:U87" si="33">T86+R86*$U$1</f>
        <v>164.89060999999995</v>
      </c>
      <c r="V86" s="5"/>
      <c r="W86" s="1"/>
      <c r="X86" s="1">
        <f t="shared" si="27"/>
        <v>13.15</v>
      </c>
      <c r="Y86" s="1">
        <f t="shared" si="28"/>
        <v>9.7082827169615982</v>
      </c>
      <c r="Z86" s="1">
        <v>41.079799999999999</v>
      </c>
      <c r="AA86" s="1">
        <v>44.04</v>
      </c>
      <c r="AB86" s="1">
        <v>53.181399999999996</v>
      </c>
      <c r="AC86" s="1">
        <v>55.588000000000001</v>
      </c>
      <c r="AD86" s="1">
        <v>70.816200000000009</v>
      </c>
      <c r="AE86" s="1" t="s">
        <v>35</v>
      </c>
      <c r="AF86" s="1">
        <f t="shared" si="29"/>
        <v>165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195</v>
      </c>
      <c r="B87" s="1" t="s">
        <v>33</v>
      </c>
      <c r="C87" s="1">
        <v>658.02700000000004</v>
      </c>
      <c r="D87" s="1">
        <v>2118.1460000000002</v>
      </c>
      <c r="E87" s="1">
        <v>942.27099999999996</v>
      </c>
      <c r="F87" s="1">
        <v>1560.2719999999999</v>
      </c>
      <c r="G87" s="8">
        <v>1</v>
      </c>
      <c r="H87" s="1"/>
      <c r="I87" s="1" t="s">
        <v>196</v>
      </c>
      <c r="J87" s="1"/>
      <c r="K87" s="1">
        <v>941.08</v>
      </c>
      <c r="L87" s="1">
        <f t="shared" si="23"/>
        <v>1.1909999999999172</v>
      </c>
      <c r="M87" s="1"/>
      <c r="N87" s="1"/>
      <c r="O87" s="1">
        <f>VLOOKUP(A87,[1]Sheet!$A:$T,20,0)</f>
        <v>325</v>
      </c>
      <c r="P87" s="1"/>
      <c r="Q87" s="1">
        <v>0</v>
      </c>
      <c r="R87" s="1">
        <f t="shared" si="24"/>
        <v>188.45419999999999</v>
      </c>
      <c r="S87" s="5">
        <f t="shared" si="32"/>
        <v>376.17839999999978</v>
      </c>
      <c r="T87" s="5">
        <f t="shared" si="25"/>
        <v>376.17839999999978</v>
      </c>
      <c r="U87" s="5">
        <f t="shared" si="33"/>
        <v>592.90072999999973</v>
      </c>
      <c r="V87" s="5"/>
      <c r="W87" s="1"/>
      <c r="X87" s="1">
        <f t="shared" si="27"/>
        <v>13.15</v>
      </c>
      <c r="Y87" s="1">
        <f t="shared" si="28"/>
        <v>10.003873620221784</v>
      </c>
      <c r="Z87" s="1">
        <v>180.20160000000001</v>
      </c>
      <c r="AA87" s="1">
        <v>190.19540000000001</v>
      </c>
      <c r="AB87" s="1">
        <v>178.114</v>
      </c>
      <c r="AC87" s="1">
        <v>183.27199999999999</v>
      </c>
      <c r="AD87" s="1">
        <v>191.50040000000001</v>
      </c>
      <c r="AE87" s="1" t="s">
        <v>35</v>
      </c>
      <c r="AF87" s="1">
        <f t="shared" si="29"/>
        <v>593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197</v>
      </c>
      <c r="B88" s="1" t="s">
        <v>33</v>
      </c>
      <c r="C88" s="1">
        <v>731.04499999999996</v>
      </c>
      <c r="D88" s="1">
        <v>5921.8680000000004</v>
      </c>
      <c r="E88" s="1">
        <v>1935.981</v>
      </c>
      <c r="F88" s="1">
        <v>4132.37</v>
      </c>
      <c r="G88" s="8">
        <v>1</v>
      </c>
      <c r="H88" s="1"/>
      <c r="I88" s="1" t="s">
        <v>198</v>
      </c>
      <c r="J88" s="1"/>
      <c r="K88" s="1">
        <v>1968.7</v>
      </c>
      <c r="L88" s="1">
        <f t="shared" si="23"/>
        <v>-32.719000000000051</v>
      </c>
      <c r="M88" s="1"/>
      <c r="N88" s="1"/>
      <c r="O88" s="1">
        <f>VLOOKUP(A88,[1]Sheet!$A:$T,20,0)</f>
        <v>1300</v>
      </c>
      <c r="P88" s="1"/>
      <c r="Q88" s="1">
        <v>600</v>
      </c>
      <c r="R88" s="1">
        <f t="shared" si="24"/>
        <v>387.19619999999998</v>
      </c>
      <c r="S88" s="5"/>
      <c r="T88" s="5">
        <f t="shared" si="25"/>
        <v>0</v>
      </c>
      <c r="U88" s="5">
        <f t="shared" si="30"/>
        <v>0</v>
      </c>
      <c r="V88" s="5"/>
      <c r="W88" s="1"/>
      <c r="X88" s="1">
        <f t="shared" si="27"/>
        <v>15.579620874378417</v>
      </c>
      <c r="Y88" s="1">
        <f t="shared" si="28"/>
        <v>15.579620874378417</v>
      </c>
      <c r="Z88" s="1">
        <v>392.48200000000003</v>
      </c>
      <c r="AA88" s="1">
        <v>416.58600000000001</v>
      </c>
      <c r="AB88" s="1">
        <v>357.05779999999999</v>
      </c>
      <c r="AC88" s="1">
        <v>324.1216</v>
      </c>
      <c r="AD88" s="1">
        <v>309.94779999999997</v>
      </c>
      <c r="AE88" s="1"/>
      <c r="AF88" s="1">
        <f t="shared" si="29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199</v>
      </c>
      <c r="B89" s="1" t="s">
        <v>33</v>
      </c>
      <c r="C89" s="1">
        <v>720.58399999999995</v>
      </c>
      <c r="D89" s="1">
        <v>7186.67</v>
      </c>
      <c r="E89" s="1">
        <v>2318.549</v>
      </c>
      <c r="F89" s="1">
        <v>5196.8329999999996</v>
      </c>
      <c r="G89" s="8">
        <v>1</v>
      </c>
      <c r="H89" s="1"/>
      <c r="I89" s="1" t="s">
        <v>200</v>
      </c>
      <c r="J89" s="1"/>
      <c r="K89" s="1">
        <v>2362.8000000000002</v>
      </c>
      <c r="L89" s="1">
        <f t="shared" si="23"/>
        <v>-44.251000000000204</v>
      </c>
      <c r="M89" s="1"/>
      <c r="N89" s="1"/>
      <c r="O89" s="1">
        <f>VLOOKUP(A89,[1]Sheet!$A:$T,20,0)</f>
        <v>1550</v>
      </c>
      <c r="P89" s="1"/>
      <c r="Q89" s="1">
        <v>800</v>
      </c>
      <c r="R89" s="1">
        <f t="shared" si="24"/>
        <v>463.70979999999997</v>
      </c>
      <c r="S89" s="5"/>
      <c r="T89" s="5">
        <f t="shared" si="25"/>
        <v>0</v>
      </c>
      <c r="U89" s="5">
        <f t="shared" si="30"/>
        <v>0</v>
      </c>
      <c r="V89" s="5"/>
      <c r="W89" s="1"/>
      <c r="X89" s="1">
        <f t="shared" si="27"/>
        <v>16.274905123851166</v>
      </c>
      <c r="Y89" s="1">
        <f t="shared" si="28"/>
        <v>16.274905123851166</v>
      </c>
      <c r="Z89" s="1">
        <v>449.28960000000001</v>
      </c>
      <c r="AA89" s="1">
        <v>497.07560000000001</v>
      </c>
      <c r="AB89" s="1">
        <v>432.53879999999998</v>
      </c>
      <c r="AC89" s="1">
        <v>381.64859999999999</v>
      </c>
      <c r="AD89" s="1">
        <v>308.89019999999999</v>
      </c>
      <c r="AE89" s="1"/>
      <c r="AF89" s="1">
        <f t="shared" si="29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201</v>
      </c>
      <c r="B90" s="1" t="s">
        <v>33</v>
      </c>
      <c r="C90" s="1">
        <v>1063.7719999999999</v>
      </c>
      <c r="D90" s="1">
        <v>8349.69</v>
      </c>
      <c r="E90" s="1">
        <v>2647.7550000000001</v>
      </c>
      <c r="F90" s="1">
        <v>6094.84</v>
      </c>
      <c r="G90" s="8">
        <v>1</v>
      </c>
      <c r="H90" s="1"/>
      <c r="I90" s="1" t="s">
        <v>202</v>
      </c>
      <c r="J90" s="1"/>
      <c r="K90" s="1">
        <v>2716.7</v>
      </c>
      <c r="L90" s="1">
        <f t="shared" si="23"/>
        <v>-68.944999999999709</v>
      </c>
      <c r="M90" s="1"/>
      <c r="N90" s="1"/>
      <c r="O90" s="1">
        <f>VLOOKUP(A90,[1]Sheet!$A:$T,20,0)</f>
        <v>2050</v>
      </c>
      <c r="P90" s="1"/>
      <c r="Q90" s="1">
        <v>0</v>
      </c>
      <c r="R90" s="1">
        <f t="shared" si="24"/>
        <v>529.55100000000004</v>
      </c>
      <c r="S90" s="5"/>
      <c r="T90" s="5">
        <f t="shared" si="25"/>
        <v>0</v>
      </c>
      <c r="U90" s="5">
        <f t="shared" si="30"/>
        <v>0</v>
      </c>
      <c r="V90" s="5"/>
      <c r="W90" s="1"/>
      <c r="X90" s="1">
        <f t="shared" si="27"/>
        <v>15.380652666126586</v>
      </c>
      <c r="Y90" s="1">
        <f t="shared" si="28"/>
        <v>15.380652666126586</v>
      </c>
      <c r="Z90" s="1">
        <v>545.48260000000005</v>
      </c>
      <c r="AA90" s="1">
        <v>597.17640000000006</v>
      </c>
      <c r="AB90" s="1">
        <v>524.64340000000004</v>
      </c>
      <c r="AC90" s="1">
        <v>488.06000000000012</v>
      </c>
      <c r="AD90" s="1">
        <v>542.36059999999998</v>
      </c>
      <c r="AE90" s="1"/>
      <c r="AF90" s="1">
        <f t="shared" si="29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203</v>
      </c>
      <c r="B91" s="1" t="s">
        <v>33</v>
      </c>
      <c r="C91" s="1">
        <v>-0.46400000000000002</v>
      </c>
      <c r="D91" s="1">
        <v>167.71</v>
      </c>
      <c r="E91" s="1">
        <v>45.417999999999999</v>
      </c>
      <c r="F91" s="1">
        <v>116.629</v>
      </c>
      <c r="G91" s="8">
        <v>1</v>
      </c>
      <c r="H91" s="1"/>
      <c r="I91" s="1" t="s">
        <v>204</v>
      </c>
      <c r="J91" s="1"/>
      <c r="K91" s="1">
        <v>71.5</v>
      </c>
      <c r="L91" s="1">
        <f t="shared" si="23"/>
        <v>-26.082000000000001</v>
      </c>
      <c r="M91" s="1"/>
      <c r="N91" s="1"/>
      <c r="O91" s="1">
        <f>VLOOKUP(A91,[1]Sheet!$A:$T,20,0)</f>
        <v>20</v>
      </c>
      <c r="P91" s="1"/>
      <c r="Q91" s="1">
        <v>0</v>
      </c>
      <c r="R91" s="1">
        <f t="shared" si="24"/>
        <v>9.0836000000000006</v>
      </c>
      <c r="S91" s="5"/>
      <c r="T91" s="5">
        <f t="shared" si="25"/>
        <v>0</v>
      </c>
      <c r="U91" s="5">
        <f t="shared" si="30"/>
        <v>0</v>
      </c>
      <c r="V91" s="5"/>
      <c r="W91" s="1"/>
      <c r="X91" s="1">
        <f t="shared" si="27"/>
        <v>15.041283191686118</v>
      </c>
      <c r="Y91" s="1">
        <f t="shared" si="28"/>
        <v>15.041283191686118</v>
      </c>
      <c r="Z91" s="1">
        <v>8.8087999999999997</v>
      </c>
      <c r="AA91" s="1">
        <v>9.4116</v>
      </c>
      <c r="AB91" s="1">
        <v>8.0733999999999995</v>
      </c>
      <c r="AC91" s="1">
        <v>7.2638000000000007</v>
      </c>
      <c r="AD91" s="1">
        <v>0.80359999999999998</v>
      </c>
      <c r="AE91" s="1"/>
      <c r="AF91" s="1">
        <f t="shared" si="29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0" t="s">
        <v>205</v>
      </c>
      <c r="B92" s="10" t="s">
        <v>33</v>
      </c>
      <c r="C92" s="10"/>
      <c r="D92" s="10">
        <v>1.3540000000000001</v>
      </c>
      <c r="E92" s="10">
        <v>1.3540000000000001</v>
      </c>
      <c r="F92" s="10"/>
      <c r="G92" s="11">
        <v>0</v>
      </c>
      <c r="H92" s="10"/>
      <c r="I92" s="10"/>
      <c r="J92" s="10"/>
      <c r="K92" s="10">
        <v>1.3</v>
      </c>
      <c r="L92" s="10">
        <f t="shared" si="23"/>
        <v>5.4000000000000048E-2</v>
      </c>
      <c r="M92" s="10"/>
      <c r="N92" s="10"/>
      <c r="O92" s="10">
        <f>VLOOKUP(A92,[1]Sheet!$A:$T,20,0)</f>
        <v>0</v>
      </c>
      <c r="P92" s="10">
        <v>2.978800000000001</v>
      </c>
      <c r="Q92" s="10">
        <v>0</v>
      </c>
      <c r="R92" s="10">
        <f t="shared" si="24"/>
        <v>0.27080000000000004</v>
      </c>
      <c r="S92" s="12"/>
      <c r="T92" s="5">
        <f t="shared" si="25"/>
        <v>0</v>
      </c>
      <c r="U92" s="5">
        <f t="shared" si="30"/>
        <v>0</v>
      </c>
      <c r="V92" s="12"/>
      <c r="W92" s="10"/>
      <c r="X92" s="1">
        <f t="shared" si="27"/>
        <v>11.000000000000002</v>
      </c>
      <c r="Y92" s="10">
        <f t="shared" si="28"/>
        <v>11.000000000000002</v>
      </c>
      <c r="Z92" s="10">
        <v>0.27079999999999999</v>
      </c>
      <c r="AA92" s="10">
        <v>0</v>
      </c>
      <c r="AB92" s="10">
        <v>0</v>
      </c>
      <c r="AC92" s="10">
        <v>0</v>
      </c>
      <c r="AD92" s="10">
        <v>0</v>
      </c>
      <c r="AE92" s="10" t="s">
        <v>206</v>
      </c>
      <c r="AF92" s="1">
        <f t="shared" si="29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207</v>
      </c>
      <c r="B93" s="1" t="s">
        <v>33</v>
      </c>
      <c r="C93" s="1">
        <v>24.228000000000002</v>
      </c>
      <c r="D93" s="1">
        <v>43.887</v>
      </c>
      <c r="E93" s="1">
        <v>23.111999999999998</v>
      </c>
      <c r="F93" s="1">
        <v>43.939</v>
      </c>
      <c r="G93" s="8">
        <v>1</v>
      </c>
      <c r="H93" s="1"/>
      <c r="I93" s="1" t="s">
        <v>208</v>
      </c>
      <c r="J93" s="1"/>
      <c r="K93" s="1">
        <v>23.5</v>
      </c>
      <c r="L93" s="1">
        <f t="shared" si="23"/>
        <v>-0.38800000000000168</v>
      </c>
      <c r="M93" s="1"/>
      <c r="N93" s="1"/>
      <c r="O93" s="1">
        <f>VLOOKUP(A93,[1]Sheet!$A:$T,20,0)</f>
        <v>10</v>
      </c>
      <c r="P93" s="1"/>
      <c r="Q93" s="1">
        <v>0</v>
      </c>
      <c r="R93" s="1">
        <f t="shared" si="24"/>
        <v>4.6223999999999998</v>
      </c>
      <c r="S93" s="5">
        <f t="shared" si="32"/>
        <v>1.5298000000000016</v>
      </c>
      <c r="T93" s="5">
        <f t="shared" si="25"/>
        <v>1.5298000000000016</v>
      </c>
      <c r="U93" s="5">
        <f t="shared" ref="U93:U94" si="34">T93+R93*$U$1</f>
        <v>6.8455600000000008</v>
      </c>
      <c r="V93" s="5"/>
      <c r="W93" s="1"/>
      <c r="X93" s="1">
        <f t="shared" si="27"/>
        <v>13.15</v>
      </c>
      <c r="Y93" s="1">
        <f t="shared" si="28"/>
        <v>11.66904638283143</v>
      </c>
      <c r="Z93" s="1">
        <v>5.1738</v>
      </c>
      <c r="AA93" s="1">
        <v>6.4451999999999998</v>
      </c>
      <c r="AB93" s="1">
        <v>3.7486000000000002</v>
      </c>
      <c r="AC93" s="1">
        <v>6.1978</v>
      </c>
      <c r="AD93" s="1">
        <v>5.0119999999999996</v>
      </c>
      <c r="AE93" s="1"/>
      <c r="AF93" s="1">
        <f t="shared" si="29"/>
        <v>7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209</v>
      </c>
      <c r="B94" s="1" t="s">
        <v>41</v>
      </c>
      <c r="C94" s="1">
        <v>-1</v>
      </c>
      <c r="D94" s="1">
        <v>590</v>
      </c>
      <c r="E94" s="1">
        <v>200</v>
      </c>
      <c r="F94" s="1">
        <v>325</v>
      </c>
      <c r="G94" s="8">
        <v>0.3</v>
      </c>
      <c r="H94" s="1"/>
      <c r="I94" s="1" t="s">
        <v>210</v>
      </c>
      <c r="J94" s="1"/>
      <c r="K94" s="1">
        <v>212</v>
      </c>
      <c r="L94" s="1">
        <f t="shared" si="23"/>
        <v>-12</v>
      </c>
      <c r="M94" s="1"/>
      <c r="N94" s="1"/>
      <c r="O94" s="1">
        <f>VLOOKUP(A94,[1]Sheet!$A:$T,20,0)</f>
        <v>0</v>
      </c>
      <c r="P94" s="1"/>
      <c r="Q94" s="1">
        <v>0</v>
      </c>
      <c r="R94" s="1">
        <f t="shared" si="24"/>
        <v>40</v>
      </c>
      <c r="S94" s="5">
        <f t="shared" si="32"/>
        <v>155</v>
      </c>
      <c r="T94" s="5">
        <f t="shared" si="25"/>
        <v>155</v>
      </c>
      <c r="U94" s="5">
        <f t="shared" si="34"/>
        <v>201</v>
      </c>
      <c r="V94" s="5"/>
      <c r="W94" s="1"/>
      <c r="X94" s="1">
        <f t="shared" si="27"/>
        <v>13.15</v>
      </c>
      <c r="Y94" s="1">
        <f t="shared" si="28"/>
        <v>8.125</v>
      </c>
      <c r="Z94" s="1">
        <v>20</v>
      </c>
      <c r="AA94" s="1">
        <v>30.8</v>
      </c>
      <c r="AB94" s="1">
        <v>34.200000000000003</v>
      </c>
      <c r="AC94" s="1">
        <v>33</v>
      </c>
      <c r="AD94" s="1">
        <v>36.6</v>
      </c>
      <c r="AE94" s="1"/>
      <c r="AF94" s="1">
        <f t="shared" si="29"/>
        <v>60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211</v>
      </c>
      <c r="B95" s="1" t="s">
        <v>41</v>
      </c>
      <c r="C95" s="1">
        <v>36</v>
      </c>
      <c r="D95" s="1">
        <v>406</v>
      </c>
      <c r="E95" s="1">
        <v>76</v>
      </c>
      <c r="F95" s="1">
        <v>304</v>
      </c>
      <c r="G95" s="8">
        <v>0.3</v>
      </c>
      <c r="H95" s="1"/>
      <c r="I95" s="1" t="s">
        <v>212</v>
      </c>
      <c r="J95" s="1"/>
      <c r="K95" s="1">
        <v>230</v>
      </c>
      <c r="L95" s="1">
        <f t="shared" si="23"/>
        <v>-154</v>
      </c>
      <c r="M95" s="1"/>
      <c r="N95" s="1"/>
      <c r="O95" s="1">
        <f>VLOOKUP(A95,[1]Sheet!$A:$T,20,0)</f>
        <v>50</v>
      </c>
      <c r="P95" s="1"/>
      <c r="Q95" s="1">
        <v>50</v>
      </c>
      <c r="R95" s="1">
        <f t="shared" si="24"/>
        <v>15.2</v>
      </c>
      <c r="S95" s="5"/>
      <c r="T95" s="5">
        <f t="shared" si="25"/>
        <v>0</v>
      </c>
      <c r="U95" s="5">
        <f t="shared" si="30"/>
        <v>0</v>
      </c>
      <c r="V95" s="5"/>
      <c r="W95" s="1"/>
      <c r="X95" s="1">
        <f t="shared" si="27"/>
        <v>26.578947368421055</v>
      </c>
      <c r="Y95" s="1">
        <f t="shared" si="28"/>
        <v>26.578947368421055</v>
      </c>
      <c r="Z95" s="1">
        <v>21.8</v>
      </c>
      <c r="AA95" s="1">
        <v>36.6</v>
      </c>
      <c r="AB95" s="1">
        <v>18.399999999999999</v>
      </c>
      <c r="AC95" s="1">
        <v>27.8</v>
      </c>
      <c r="AD95" s="1">
        <v>17.600000000000001</v>
      </c>
      <c r="AE95" s="1"/>
      <c r="AF95" s="1">
        <f t="shared" si="29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213</v>
      </c>
      <c r="B96" s="1" t="s">
        <v>41</v>
      </c>
      <c r="C96" s="1">
        <v>-3</v>
      </c>
      <c r="D96" s="1">
        <v>172</v>
      </c>
      <c r="E96" s="1">
        <v>-7</v>
      </c>
      <c r="F96" s="1">
        <v>159</v>
      </c>
      <c r="G96" s="8">
        <v>7.0000000000000007E-2</v>
      </c>
      <c r="H96" s="1"/>
      <c r="I96" s="1" t="s">
        <v>214</v>
      </c>
      <c r="J96" s="1"/>
      <c r="K96" s="1">
        <v>6</v>
      </c>
      <c r="L96" s="1">
        <f t="shared" si="23"/>
        <v>-13</v>
      </c>
      <c r="M96" s="1"/>
      <c r="N96" s="1"/>
      <c r="O96" s="1">
        <f>VLOOKUP(A96,[1]Sheet!$A:$T,20,0)</f>
        <v>40</v>
      </c>
      <c r="P96" s="1"/>
      <c r="Q96" s="1">
        <v>40</v>
      </c>
      <c r="R96" s="1">
        <f t="shared" si="24"/>
        <v>-1.4</v>
      </c>
      <c r="S96" s="5"/>
      <c r="T96" s="5">
        <f t="shared" si="25"/>
        <v>0</v>
      </c>
      <c r="U96" s="5">
        <f t="shared" si="30"/>
        <v>0</v>
      </c>
      <c r="V96" s="5"/>
      <c r="W96" s="1"/>
      <c r="X96" s="1">
        <f t="shared" si="27"/>
        <v>-170.71428571428572</v>
      </c>
      <c r="Y96" s="1">
        <f t="shared" si="28"/>
        <v>-170.71428571428572</v>
      </c>
      <c r="Z96" s="1">
        <v>1.6</v>
      </c>
      <c r="AA96" s="1">
        <v>9.8000000000000007</v>
      </c>
      <c r="AB96" s="1">
        <v>13.8</v>
      </c>
      <c r="AC96" s="1">
        <v>10.8</v>
      </c>
      <c r="AD96" s="1">
        <v>9.1999999999999993</v>
      </c>
      <c r="AE96" s="1"/>
      <c r="AF96" s="1">
        <f t="shared" si="29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215</v>
      </c>
      <c r="B97" s="1" t="s">
        <v>41</v>
      </c>
      <c r="C97" s="1">
        <v>12</v>
      </c>
      <c r="D97" s="1">
        <v>575</v>
      </c>
      <c r="E97" s="1">
        <v>83</v>
      </c>
      <c r="F97" s="1">
        <v>459</v>
      </c>
      <c r="G97" s="8">
        <v>7.0000000000000007E-2</v>
      </c>
      <c r="H97" s="1"/>
      <c r="I97" s="1" t="s">
        <v>216</v>
      </c>
      <c r="J97" s="1"/>
      <c r="K97" s="1">
        <v>153</v>
      </c>
      <c r="L97" s="1">
        <f t="shared" si="23"/>
        <v>-70</v>
      </c>
      <c r="M97" s="1"/>
      <c r="N97" s="1"/>
      <c r="O97" s="1">
        <f>VLOOKUP(A97,[1]Sheet!$A:$T,20,0)</f>
        <v>25</v>
      </c>
      <c r="P97" s="1"/>
      <c r="Q97" s="1">
        <v>0</v>
      </c>
      <c r="R97" s="1">
        <f t="shared" si="24"/>
        <v>16.600000000000001</v>
      </c>
      <c r="S97" s="5"/>
      <c r="T97" s="5">
        <f t="shared" si="25"/>
        <v>0</v>
      </c>
      <c r="U97" s="5">
        <f t="shared" si="30"/>
        <v>0</v>
      </c>
      <c r="V97" s="5"/>
      <c r="W97" s="1"/>
      <c r="X97" s="1">
        <f t="shared" si="27"/>
        <v>29.156626506024093</v>
      </c>
      <c r="Y97" s="1">
        <f t="shared" si="28"/>
        <v>29.156626506024093</v>
      </c>
      <c r="Z97" s="1">
        <v>26.4</v>
      </c>
      <c r="AA97" s="1">
        <v>44.2</v>
      </c>
      <c r="AB97" s="1">
        <v>27</v>
      </c>
      <c r="AC97" s="1">
        <v>28.4</v>
      </c>
      <c r="AD97" s="1">
        <v>35</v>
      </c>
      <c r="AE97" s="1"/>
      <c r="AF97" s="1">
        <f t="shared" si="29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217</v>
      </c>
      <c r="B98" s="1" t="s">
        <v>41</v>
      </c>
      <c r="C98" s="1">
        <v>-4</v>
      </c>
      <c r="D98" s="1">
        <v>428</v>
      </c>
      <c r="E98" s="1">
        <v>97</v>
      </c>
      <c r="F98" s="1">
        <v>311</v>
      </c>
      <c r="G98" s="8">
        <v>7.0000000000000007E-2</v>
      </c>
      <c r="H98" s="1"/>
      <c r="I98" s="1" t="s">
        <v>218</v>
      </c>
      <c r="J98" s="1"/>
      <c r="K98" s="1">
        <v>102</v>
      </c>
      <c r="L98" s="1">
        <f t="shared" si="23"/>
        <v>-5</v>
      </c>
      <c r="M98" s="1"/>
      <c r="N98" s="1"/>
      <c r="O98" s="1">
        <f>VLOOKUP(A98,[1]Sheet!$A:$T,20,0)</f>
        <v>25</v>
      </c>
      <c r="P98" s="1"/>
      <c r="Q98" s="1">
        <v>0</v>
      </c>
      <c r="R98" s="1">
        <f t="shared" si="24"/>
        <v>19.399999999999999</v>
      </c>
      <c r="S98" s="5"/>
      <c r="T98" s="5">
        <f t="shared" si="25"/>
        <v>0</v>
      </c>
      <c r="U98" s="5">
        <f t="shared" si="30"/>
        <v>0</v>
      </c>
      <c r="V98" s="5"/>
      <c r="W98" s="1"/>
      <c r="X98" s="1">
        <f t="shared" si="27"/>
        <v>17.319587628865982</v>
      </c>
      <c r="Y98" s="1">
        <f t="shared" si="28"/>
        <v>17.319587628865982</v>
      </c>
      <c r="Z98" s="1">
        <v>21.4</v>
      </c>
      <c r="AA98" s="1">
        <v>29.6</v>
      </c>
      <c r="AB98" s="1">
        <v>22</v>
      </c>
      <c r="AC98" s="1">
        <v>21.6</v>
      </c>
      <c r="AD98" s="1">
        <v>24.6</v>
      </c>
      <c r="AE98" s="1"/>
      <c r="AF98" s="1">
        <f t="shared" si="29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219</v>
      </c>
      <c r="B99" s="1" t="s">
        <v>41</v>
      </c>
      <c r="C99" s="1">
        <v>57</v>
      </c>
      <c r="D99" s="1">
        <v>210</v>
      </c>
      <c r="E99" s="1">
        <v>93</v>
      </c>
      <c r="F99" s="1">
        <v>157</v>
      </c>
      <c r="G99" s="8">
        <v>0.05</v>
      </c>
      <c r="H99" s="1"/>
      <c r="I99" s="1" t="s">
        <v>220</v>
      </c>
      <c r="J99" s="1"/>
      <c r="K99" s="1">
        <v>102</v>
      </c>
      <c r="L99" s="1">
        <f t="shared" si="23"/>
        <v>-9</v>
      </c>
      <c r="M99" s="1"/>
      <c r="N99" s="1"/>
      <c r="O99" s="1">
        <f>VLOOKUP(A99,[1]Sheet!$A:$T,20,0)</f>
        <v>0</v>
      </c>
      <c r="P99" s="1">
        <v>6</v>
      </c>
      <c r="Q99" s="1">
        <v>3.54</v>
      </c>
      <c r="R99" s="1">
        <f t="shared" si="24"/>
        <v>18.600000000000001</v>
      </c>
      <c r="S99" s="5">
        <f t="shared" si="32"/>
        <v>56.660000000000025</v>
      </c>
      <c r="T99" s="5">
        <f t="shared" si="25"/>
        <v>56.660000000000025</v>
      </c>
      <c r="U99" s="5">
        <f t="shared" ref="U99:U100" si="35">T99+R99*$U$1</f>
        <v>78.050000000000026</v>
      </c>
      <c r="V99" s="5"/>
      <c r="W99" s="1"/>
      <c r="X99" s="1">
        <f t="shared" si="27"/>
        <v>13.15</v>
      </c>
      <c r="Y99" s="1">
        <f t="shared" si="28"/>
        <v>8.9537634408602145</v>
      </c>
      <c r="Z99" s="1">
        <v>18</v>
      </c>
      <c r="AA99" s="1">
        <v>13.2</v>
      </c>
      <c r="AB99" s="1">
        <v>18.8</v>
      </c>
      <c r="AC99" s="1">
        <v>17.2</v>
      </c>
      <c r="AD99" s="1">
        <v>11.2</v>
      </c>
      <c r="AE99" s="1"/>
      <c r="AF99" s="1">
        <f t="shared" si="29"/>
        <v>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221</v>
      </c>
      <c r="B100" s="1" t="s">
        <v>41</v>
      </c>
      <c r="C100" s="1">
        <v>22</v>
      </c>
      <c r="D100" s="1">
        <v>82</v>
      </c>
      <c r="E100" s="1">
        <v>79</v>
      </c>
      <c r="F100" s="1">
        <v>15</v>
      </c>
      <c r="G100" s="8">
        <v>5.5E-2</v>
      </c>
      <c r="H100" s="1"/>
      <c r="I100" s="1" t="s">
        <v>222</v>
      </c>
      <c r="J100" s="1"/>
      <c r="K100" s="1">
        <v>81</v>
      </c>
      <c r="L100" s="1">
        <f t="shared" si="23"/>
        <v>-2</v>
      </c>
      <c r="M100" s="1"/>
      <c r="N100" s="1"/>
      <c r="O100" s="1">
        <f>VLOOKUP(A100,[1]Sheet!$A:$T,20,0)</f>
        <v>10</v>
      </c>
      <c r="P100" s="1">
        <v>5.1999999999999886</v>
      </c>
      <c r="Q100" s="1">
        <v>3.067999999999993</v>
      </c>
      <c r="R100" s="1">
        <f t="shared" si="24"/>
        <v>15.8</v>
      </c>
      <c r="S100" s="5">
        <f>9*R100-Q100-P100-O100-F100</f>
        <v>108.93200000000004</v>
      </c>
      <c r="T100" s="5">
        <f t="shared" si="25"/>
        <v>108.93200000000004</v>
      </c>
      <c r="U100" s="20">
        <v>0</v>
      </c>
      <c r="V100" s="5"/>
      <c r="W100" s="1"/>
      <c r="X100" s="1">
        <f t="shared" si="27"/>
        <v>2.1055696202531631</v>
      </c>
      <c r="Y100" s="1">
        <f t="shared" si="28"/>
        <v>2.1055696202531631</v>
      </c>
      <c r="Z100" s="1">
        <v>17.2</v>
      </c>
      <c r="AA100" s="1">
        <v>14.2</v>
      </c>
      <c r="AB100" s="1">
        <v>14</v>
      </c>
      <c r="AC100" s="1">
        <v>11.2</v>
      </c>
      <c r="AD100" s="1">
        <v>11.8</v>
      </c>
      <c r="AE100" s="19" t="s">
        <v>288</v>
      </c>
      <c r="AF100" s="1">
        <f t="shared" si="29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223</v>
      </c>
      <c r="B101" s="1" t="s">
        <v>41</v>
      </c>
      <c r="C101" s="1">
        <v>14</v>
      </c>
      <c r="D101" s="1">
        <v>235</v>
      </c>
      <c r="E101" s="1">
        <v>42</v>
      </c>
      <c r="F101" s="1">
        <v>199</v>
      </c>
      <c r="G101" s="8">
        <v>5.5E-2</v>
      </c>
      <c r="H101" s="1"/>
      <c r="I101" s="1" t="s">
        <v>224</v>
      </c>
      <c r="J101" s="1"/>
      <c r="K101" s="1">
        <v>54</v>
      </c>
      <c r="L101" s="1">
        <f t="shared" si="23"/>
        <v>-12</v>
      </c>
      <c r="M101" s="1"/>
      <c r="N101" s="1"/>
      <c r="O101" s="1">
        <f>VLOOKUP(A101,[1]Sheet!$A:$T,20,0)</f>
        <v>0</v>
      </c>
      <c r="P101" s="1"/>
      <c r="Q101" s="1">
        <v>0</v>
      </c>
      <c r="R101" s="1">
        <f t="shared" si="24"/>
        <v>8.4</v>
      </c>
      <c r="S101" s="5"/>
      <c r="T101" s="5">
        <f t="shared" si="25"/>
        <v>0</v>
      </c>
      <c r="U101" s="5">
        <f t="shared" si="30"/>
        <v>0</v>
      </c>
      <c r="V101" s="5"/>
      <c r="W101" s="1"/>
      <c r="X101" s="1">
        <f t="shared" si="27"/>
        <v>23.69047619047619</v>
      </c>
      <c r="Y101" s="1">
        <f t="shared" si="28"/>
        <v>23.69047619047619</v>
      </c>
      <c r="Z101" s="1">
        <v>10.199999999999999</v>
      </c>
      <c r="AA101" s="1">
        <v>12.8</v>
      </c>
      <c r="AB101" s="1">
        <v>10.8</v>
      </c>
      <c r="AC101" s="1">
        <v>9.8000000000000007</v>
      </c>
      <c r="AD101" s="1">
        <v>7.6</v>
      </c>
      <c r="AE101" s="1"/>
      <c r="AF101" s="1">
        <f t="shared" si="29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225</v>
      </c>
      <c r="B102" s="1" t="s">
        <v>41</v>
      </c>
      <c r="C102" s="1">
        <v>46</v>
      </c>
      <c r="D102" s="1">
        <v>7</v>
      </c>
      <c r="E102" s="1">
        <v>10</v>
      </c>
      <c r="F102" s="1">
        <v>43</v>
      </c>
      <c r="G102" s="8">
        <v>0.4</v>
      </c>
      <c r="H102" s="1"/>
      <c r="I102" s="1" t="s">
        <v>226</v>
      </c>
      <c r="J102" s="1"/>
      <c r="K102" s="1">
        <v>10</v>
      </c>
      <c r="L102" s="1">
        <f t="shared" ref="L102:L127" si="36">E102-K102</f>
        <v>0</v>
      </c>
      <c r="M102" s="1"/>
      <c r="N102" s="1"/>
      <c r="O102" s="1">
        <f>VLOOKUP(A102,[1]Sheet!$A:$T,20,0)</f>
        <v>0</v>
      </c>
      <c r="P102" s="1"/>
      <c r="Q102" s="1">
        <v>0</v>
      </c>
      <c r="R102" s="1">
        <f t="shared" si="24"/>
        <v>2</v>
      </c>
      <c r="S102" s="5"/>
      <c r="T102" s="5">
        <f t="shared" si="25"/>
        <v>0</v>
      </c>
      <c r="U102" s="5">
        <f t="shared" si="30"/>
        <v>0</v>
      </c>
      <c r="V102" s="5"/>
      <c r="W102" s="1"/>
      <c r="X102" s="1">
        <f t="shared" si="27"/>
        <v>21.5</v>
      </c>
      <c r="Y102" s="1">
        <f t="shared" si="28"/>
        <v>21.5</v>
      </c>
      <c r="Z102" s="1">
        <v>0.8</v>
      </c>
      <c r="AA102" s="1">
        <v>1.6</v>
      </c>
      <c r="AB102" s="1">
        <v>0.4</v>
      </c>
      <c r="AC102" s="1">
        <v>0.6</v>
      </c>
      <c r="AD102" s="1">
        <v>-0.4</v>
      </c>
      <c r="AE102" s="15" t="s">
        <v>284</v>
      </c>
      <c r="AF102" s="1">
        <f t="shared" si="29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227</v>
      </c>
      <c r="B103" s="1" t="s">
        <v>41</v>
      </c>
      <c r="C103" s="1">
        <v>-4</v>
      </c>
      <c r="D103" s="1">
        <v>458</v>
      </c>
      <c r="E103" s="1">
        <v>167</v>
      </c>
      <c r="F103" s="1">
        <v>231</v>
      </c>
      <c r="G103" s="8">
        <v>0.3</v>
      </c>
      <c r="H103" s="1"/>
      <c r="I103" s="1" t="s">
        <v>228</v>
      </c>
      <c r="J103" s="1"/>
      <c r="K103" s="1">
        <v>179</v>
      </c>
      <c r="L103" s="1">
        <f t="shared" si="36"/>
        <v>-12</v>
      </c>
      <c r="M103" s="1"/>
      <c r="N103" s="1"/>
      <c r="O103" s="1">
        <f>VLOOKUP(A103,[1]Sheet!$A:$T,20,0)</f>
        <v>60</v>
      </c>
      <c r="P103" s="1"/>
      <c r="Q103" s="1">
        <v>40</v>
      </c>
      <c r="R103" s="1">
        <f t="shared" si="24"/>
        <v>33.4</v>
      </c>
      <c r="S103" s="5">
        <f t="shared" si="32"/>
        <v>69.799999999999955</v>
      </c>
      <c r="T103" s="5">
        <f t="shared" si="25"/>
        <v>69.799999999999955</v>
      </c>
      <c r="U103" s="5">
        <f>T103+R103*$U$1</f>
        <v>108.20999999999995</v>
      </c>
      <c r="V103" s="5"/>
      <c r="W103" s="1"/>
      <c r="X103" s="1">
        <f t="shared" si="27"/>
        <v>13.149999999999999</v>
      </c>
      <c r="Y103" s="1">
        <f t="shared" si="28"/>
        <v>9.9101796407185638</v>
      </c>
      <c r="Z103" s="1">
        <v>28</v>
      </c>
      <c r="AA103" s="1">
        <v>24.6</v>
      </c>
      <c r="AB103" s="1">
        <v>25</v>
      </c>
      <c r="AC103" s="1">
        <v>21.8</v>
      </c>
      <c r="AD103" s="1">
        <v>18.399999999999999</v>
      </c>
      <c r="AE103" s="1"/>
      <c r="AF103" s="1">
        <f t="shared" si="29"/>
        <v>32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229</v>
      </c>
      <c r="B104" s="1" t="s">
        <v>33</v>
      </c>
      <c r="C104" s="1">
        <v>96.308000000000007</v>
      </c>
      <c r="D104" s="1">
        <v>130.84700000000001</v>
      </c>
      <c r="E104" s="1">
        <v>105.37</v>
      </c>
      <c r="F104" s="1">
        <v>120.126</v>
      </c>
      <c r="G104" s="8">
        <v>1</v>
      </c>
      <c r="H104" s="1"/>
      <c r="I104" s="1" t="s">
        <v>230</v>
      </c>
      <c r="J104" s="1"/>
      <c r="K104" s="1">
        <v>98.4</v>
      </c>
      <c r="L104" s="1">
        <f t="shared" si="36"/>
        <v>6.9699999999999989</v>
      </c>
      <c r="M104" s="1"/>
      <c r="N104" s="1"/>
      <c r="O104" s="1">
        <f>VLOOKUP(A104,[1]Sheet!$A:$T,20,0)</f>
        <v>45</v>
      </c>
      <c r="P104" s="1">
        <v>96.09559999999999</v>
      </c>
      <c r="Q104" s="1">
        <v>56.696403999999987</v>
      </c>
      <c r="R104" s="1">
        <f t="shared" si="24"/>
        <v>21.074000000000002</v>
      </c>
      <c r="S104" s="5"/>
      <c r="T104" s="5">
        <f t="shared" si="25"/>
        <v>0</v>
      </c>
      <c r="U104" s="5">
        <f t="shared" si="30"/>
        <v>0</v>
      </c>
      <c r="V104" s="5"/>
      <c r="W104" s="1"/>
      <c r="X104" s="1">
        <f t="shared" si="27"/>
        <v>15.085793109993352</v>
      </c>
      <c r="Y104" s="1">
        <f t="shared" si="28"/>
        <v>15.085793109993352</v>
      </c>
      <c r="Z104" s="1">
        <v>24.769600000000001</v>
      </c>
      <c r="AA104" s="1">
        <v>22.8644</v>
      </c>
      <c r="AB104" s="1">
        <v>19.228400000000001</v>
      </c>
      <c r="AC104" s="1">
        <v>15.1296</v>
      </c>
      <c r="AD104" s="1">
        <v>30.543399999999998</v>
      </c>
      <c r="AE104" s="1"/>
      <c r="AF104" s="1">
        <f t="shared" si="29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231</v>
      </c>
      <c r="B105" s="1" t="s">
        <v>41</v>
      </c>
      <c r="C105" s="1"/>
      <c r="D105" s="1">
        <v>41</v>
      </c>
      <c r="E105" s="1">
        <v>9</v>
      </c>
      <c r="F105" s="1">
        <v>32</v>
      </c>
      <c r="G105" s="8">
        <v>0.1</v>
      </c>
      <c r="H105" s="1"/>
      <c r="I105" s="1" t="s">
        <v>232</v>
      </c>
      <c r="J105" s="1"/>
      <c r="K105" s="1">
        <v>9</v>
      </c>
      <c r="L105" s="1">
        <f t="shared" si="36"/>
        <v>0</v>
      </c>
      <c r="M105" s="1"/>
      <c r="N105" s="1"/>
      <c r="O105" s="1">
        <f>VLOOKUP(A105,[1]Sheet!$A:$T,20,0)</f>
        <v>0</v>
      </c>
      <c r="P105" s="1"/>
      <c r="Q105" s="1">
        <v>0</v>
      </c>
      <c r="R105" s="1">
        <f t="shared" si="24"/>
        <v>1.8</v>
      </c>
      <c r="S105" s="5"/>
      <c r="T105" s="5">
        <f t="shared" si="25"/>
        <v>0</v>
      </c>
      <c r="U105" s="5">
        <f t="shared" si="30"/>
        <v>0</v>
      </c>
      <c r="V105" s="5"/>
      <c r="W105" s="1"/>
      <c r="X105" s="1">
        <f t="shared" si="27"/>
        <v>17.777777777777779</v>
      </c>
      <c r="Y105" s="1">
        <f t="shared" si="28"/>
        <v>17.777777777777779</v>
      </c>
      <c r="Z105" s="1">
        <v>0.8</v>
      </c>
      <c r="AA105" s="1">
        <v>1.8</v>
      </c>
      <c r="AB105" s="1">
        <v>1.6</v>
      </c>
      <c r="AC105" s="1">
        <v>0</v>
      </c>
      <c r="AD105" s="1">
        <v>1.8</v>
      </c>
      <c r="AE105" s="1"/>
      <c r="AF105" s="1">
        <f t="shared" si="29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233</v>
      </c>
      <c r="B106" s="1" t="s">
        <v>41</v>
      </c>
      <c r="C106" s="1">
        <v>42</v>
      </c>
      <c r="D106" s="1">
        <v>484</v>
      </c>
      <c r="E106" s="1">
        <v>198</v>
      </c>
      <c r="F106" s="1">
        <v>292</v>
      </c>
      <c r="G106" s="8">
        <v>0.08</v>
      </c>
      <c r="H106" s="1"/>
      <c r="I106" s="1" t="s">
        <v>234</v>
      </c>
      <c r="J106" s="1"/>
      <c r="K106" s="1">
        <v>218</v>
      </c>
      <c r="L106" s="1">
        <f t="shared" si="36"/>
        <v>-20</v>
      </c>
      <c r="M106" s="1"/>
      <c r="N106" s="1"/>
      <c r="O106" s="1">
        <f>VLOOKUP(A106,[1]Sheet!$A:$T,20,0)</f>
        <v>60</v>
      </c>
      <c r="P106" s="1"/>
      <c r="Q106" s="1">
        <v>0</v>
      </c>
      <c r="R106" s="1">
        <f t="shared" si="24"/>
        <v>39.6</v>
      </c>
      <c r="S106" s="5">
        <f t="shared" si="32"/>
        <v>123.20000000000005</v>
      </c>
      <c r="T106" s="5">
        <f t="shared" si="25"/>
        <v>123.20000000000005</v>
      </c>
      <c r="U106" s="5">
        <f>T106+R106*$U$1</f>
        <v>168.74000000000004</v>
      </c>
      <c r="V106" s="5"/>
      <c r="W106" s="1"/>
      <c r="X106" s="1">
        <f t="shared" si="27"/>
        <v>13.15</v>
      </c>
      <c r="Y106" s="1">
        <f t="shared" si="28"/>
        <v>8.8888888888888893</v>
      </c>
      <c r="Z106" s="1">
        <v>39.4</v>
      </c>
      <c r="AA106" s="1">
        <v>42.4</v>
      </c>
      <c r="AB106" s="1">
        <v>36.4</v>
      </c>
      <c r="AC106" s="1">
        <v>40</v>
      </c>
      <c r="AD106" s="1">
        <v>36.6</v>
      </c>
      <c r="AE106" s="1"/>
      <c r="AF106" s="1">
        <f t="shared" si="29"/>
        <v>13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235</v>
      </c>
      <c r="B107" s="1" t="s">
        <v>41</v>
      </c>
      <c r="C107" s="1">
        <v>31</v>
      </c>
      <c r="D107" s="1">
        <v>325</v>
      </c>
      <c r="E107" s="1">
        <v>56</v>
      </c>
      <c r="F107" s="1">
        <v>285</v>
      </c>
      <c r="G107" s="8">
        <v>0.08</v>
      </c>
      <c r="H107" s="1"/>
      <c r="I107" s="1" t="s">
        <v>236</v>
      </c>
      <c r="J107" s="1"/>
      <c r="K107" s="1">
        <v>62</v>
      </c>
      <c r="L107" s="1">
        <f t="shared" si="36"/>
        <v>-6</v>
      </c>
      <c r="M107" s="1"/>
      <c r="N107" s="1"/>
      <c r="O107" s="1">
        <f>VLOOKUP(A107,[1]Sheet!$A:$T,20,0)</f>
        <v>50</v>
      </c>
      <c r="P107" s="1"/>
      <c r="Q107" s="1">
        <v>0</v>
      </c>
      <c r="R107" s="1">
        <f t="shared" si="24"/>
        <v>11.2</v>
      </c>
      <c r="S107" s="5"/>
      <c r="T107" s="5">
        <f t="shared" si="25"/>
        <v>0</v>
      </c>
      <c r="U107" s="5">
        <f t="shared" si="30"/>
        <v>0</v>
      </c>
      <c r="V107" s="5"/>
      <c r="W107" s="1"/>
      <c r="X107" s="1">
        <f t="shared" si="27"/>
        <v>29.910714285714288</v>
      </c>
      <c r="Y107" s="1">
        <f t="shared" si="28"/>
        <v>29.910714285714288</v>
      </c>
      <c r="Z107" s="1">
        <v>20.8</v>
      </c>
      <c r="AA107" s="1">
        <v>34.4</v>
      </c>
      <c r="AB107" s="1">
        <v>20</v>
      </c>
      <c r="AC107" s="1">
        <v>28.2</v>
      </c>
      <c r="AD107" s="1">
        <v>14</v>
      </c>
      <c r="AE107" s="1"/>
      <c r="AF107" s="1">
        <f t="shared" si="29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237</v>
      </c>
      <c r="B108" s="1" t="s">
        <v>41</v>
      </c>
      <c r="C108" s="1">
        <v>42</v>
      </c>
      <c r="D108" s="1">
        <v>1</v>
      </c>
      <c r="E108" s="1">
        <v>8</v>
      </c>
      <c r="F108" s="1">
        <v>35</v>
      </c>
      <c r="G108" s="8">
        <v>0.17</v>
      </c>
      <c r="H108" s="1"/>
      <c r="I108" s="1" t="s">
        <v>238</v>
      </c>
      <c r="J108" s="1"/>
      <c r="K108" s="1">
        <v>8</v>
      </c>
      <c r="L108" s="1">
        <f t="shared" si="36"/>
        <v>0</v>
      </c>
      <c r="M108" s="1"/>
      <c r="N108" s="1"/>
      <c r="O108" s="1">
        <f>VLOOKUP(A108,[1]Sheet!$A:$T,20,0)</f>
        <v>0</v>
      </c>
      <c r="P108" s="1"/>
      <c r="Q108" s="1">
        <v>0</v>
      </c>
      <c r="R108" s="1">
        <f t="shared" si="24"/>
        <v>1.6</v>
      </c>
      <c r="S108" s="5"/>
      <c r="T108" s="5">
        <f t="shared" si="25"/>
        <v>0</v>
      </c>
      <c r="U108" s="5">
        <f t="shared" si="30"/>
        <v>0</v>
      </c>
      <c r="V108" s="5"/>
      <c r="W108" s="1"/>
      <c r="X108" s="1">
        <f t="shared" si="27"/>
        <v>21.875</v>
      </c>
      <c r="Y108" s="1">
        <f t="shared" si="28"/>
        <v>21.875</v>
      </c>
      <c r="Z108" s="1">
        <v>1.4</v>
      </c>
      <c r="AA108" s="1">
        <v>-0.4</v>
      </c>
      <c r="AB108" s="1">
        <v>2</v>
      </c>
      <c r="AC108" s="1">
        <v>0.8</v>
      </c>
      <c r="AD108" s="1">
        <v>3.4</v>
      </c>
      <c r="AE108" s="15" t="s">
        <v>284</v>
      </c>
      <c r="AF108" s="1">
        <f t="shared" si="29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239</v>
      </c>
      <c r="B109" s="1" t="s">
        <v>33</v>
      </c>
      <c r="C109" s="1">
        <v>154.958</v>
      </c>
      <c r="D109" s="1">
        <v>836.32399999999996</v>
      </c>
      <c r="E109" s="1">
        <v>353.81900000000002</v>
      </c>
      <c r="F109" s="1">
        <v>595.49699999999996</v>
      </c>
      <c r="G109" s="8">
        <v>1</v>
      </c>
      <c r="H109" s="1"/>
      <c r="I109" s="1" t="s">
        <v>240</v>
      </c>
      <c r="J109" s="1"/>
      <c r="K109" s="1">
        <v>371.4</v>
      </c>
      <c r="L109" s="1">
        <f t="shared" si="36"/>
        <v>-17.58099999999996</v>
      </c>
      <c r="M109" s="1"/>
      <c r="N109" s="1"/>
      <c r="O109" s="1">
        <f>VLOOKUP(A109,[1]Sheet!$A:$T,20,0)</f>
        <v>100</v>
      </c>
      <c r="P109" s="1"/>
      <c r="Q109" s="1">
        <v>160</v>
      </c>
      <c r="R109" s="1">
        <f t="shared" si="24"/>
        <v>70.763800000000003</v>
      </c>
      <c r="S109" s="5"/>
      <c r="T109" s="5">
        <f t="shared" si="25"/>
        <v>0</v>
      </c>
      <c r="U109" s="5">
        <f t="shared" si="30"/>
        <v>0</v>
      </c>
      <c r="V109" s="5"/>
      <c r="W109" s="1"/>
      <c r="X109" s="1">
        <f t="shared" si="27"/>
        <v>12.08947230080917</v>
      </c>
      <c r="Y109" s="1">
        <f t="shared" si="28"/>
        <v>12.08947230080917</v>
      </c>
      <c r="Z109" s="1">
        <v>70.212599999999995</v>
      </c>
      <c r="AA109" s="1">
        <v>71.038399999999996</v>
      </c>
      <c r="AB109" s="1">
        <v>80.659400000000005</v>
      </c>
      <c r="AC109" s="1">
        <v>61.707599999999999</v>
      </c>
      <c r="AD109" s="1">
        <v>44.884399999999999</v>
      </c>
      <c r="AE109" s="1" t="s">
        <v>241</v>
      </c>
      <c r="AF109" s="1">
        <f t="shared" si="29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242</v>
      </c>
      <c r="B110" s="1" t="s">
        <v>33</v>
      </c>
      <c r="C110" s="1">
        <v>1.4810000000000001</v>
      </c>
      <c r="D110" s="1">
        <v>685.04399999999998</v>
      </c>
      <c r="E110" s="1">
        <v>163.36099999999999</v>
      </c>
      <c r="F110" s="1">
        <v>487.83600000000001</v>
      </c>
      <c r="G110" s="8">
        <v>1</v>
      </c>
      <c r="H110" s="1"/>
      <c r="I110" s="1" t="s">
        <v>243</v>
      </c>
      <c r="J110" s="1"/>
      <c r="K110" s="1">
        <v>167.9</v>
      </c>
      <c r="L110" s="1">
        <f t="shared" si="36"/>
        <v>-4.5390000000000157</v>
      </c>
      <c r="M110" s="1"/>
      <c r="N110" s="1"/>
      <c r="O110" s="1">
        <f>VLOOKUP(A110,[1]Sheet!$A:$T,20,0)</f>
        <v>100</v>
      </c>
      <c r="P110" s="1"/>
      <c r="Q110" s="1">
        <v>180</v>
      </c>
      <c r="R110" s="1">
        <f t="shared" si="24"/>
        <v>32.672199999999997</v>
      </c>
      <c r="S110" s="5"/>
      <c r="T110" s="5">
        <f t="shared" si="25"/>
        <v>0</v>
      </c>
      <c r="U110" s="5">
        <f t="shared" si="30"/>
        <v>0</v>
      </c>
      <c r="V110" s="5"/>
      <c r="W110" s="1"/>
      <c r="X110" s="1">
        <f t="shared" si="27"/>
        <v>23.501202857475164</v>
      </c>
      <c r="Y110" s="1">
        <f t="shared" si="28"/>
        <v>23.501202857475164</v>
      </c>
      <c r="Z110" s="1">
        <v>29.6248</v>
      </c>
      <c r="AA110" s="1">
        <v>36.467200000000012</v>
      </c>
      <c r="AB110" s="1">
        <v>30.478999999999999</v>
      </c>
      <c r="AC110" s="1">
        <v>4.1673999999999998</v>
      </c>
      <c r="AD110" s="1">
        <v>0</v>
      </c>
      <c r="AE110" s="1"/>
      <c r="AF110" s="1">
        <f t="shared" si="29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244</v>
      </c>
      <c r="B111" s="1" t="s">
        <v>33</v>
      </c>
      <c r="C111" s="1">
        <v>693.09299999999996</v>
      </c>
      <c r="D111" s="1">
        <v>1015.886</v>
      </c>
      <c r="E111" s="1">
        <v>535.67200000000003</v>
      </c>
      <c r="F111" s="1">
        <v>921.3</v>
      </c>
      <c r="G111" s="8">
        <v>1</v>
      </c>
      <c r="H111" s="1"/>
      <c r="I111" s="1" t="s">
        <v>245</v>
      </c>
      <c r="J111" s="1"/>
      <c r="K111" s="1">
        <v>547.95000000000005</v>
      </c>
      <c r="L111" s="1">
        <f t="shared" si="36"/>
        <v>-12.27800000000002</v>
      </c>
      <c r="M111" s="1"/>
      <c r="N111" s="1"/>
      <c r="O111" s="1">
        <f>VLOOKUP(A111,[1]Sheet!$A:$T,20,0)</f>
        <v>100</v>
      </c>
      <c r="P111" s="1"/>
      <c r="Q111" s="1">
        <v>150</v>
      </c>
      <c r="R111" s="1">
        <f t="shared" si="24"/>
        <v>107.1344</v>
      </c>
      <c r="S111" s="5">
        <f t="shared" si="32"/>
        <v>114.31279999999992</v>
      </c>
      <c r="T111" s="5">
        <f t="shared" si="25"/>
        <v>114.31279999999992</v>
      </c>
      <c r="U111" s="5">
        <f>T111+R111*$U$1</f>
        <v>237.51735999999991</v>
      </c>
      <c r="V111" s="5"/>
      <c r="W111" s="1"/>
      <c r="X111" s="1">
        <f t="shared" si="27"/>
        <v>13.149999999999999</v>
      </c>
      <c r="Y111" s="1">
        <f t="shared" si="28"/>
        <v>10.932996311175495</v>
      </c>
      <c r="Z111" s="1">
        <v>87.789999999999992</v>
      </c>
      <c r="AA111" s="1">
        <v>86.225400000000008</v>
      </c>
      <c r="AB111" s="1">
        <v>98.287000000000006</v>
      </c>
      <c r="AC111" s="1">
        <v>71.201400000000007</v>
      </c>
      <c r="AD111" s="1">
        <v>44.640799999999999</v>
      </c>
      <c r="AE111" s="1" t="s">
        <v>35</v>
      </c>
      <c r="AF111" s="1">
        <f t="shared" si="29"/>
        <v>238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246</v>
      </c>
      <c r="B112" s="1" t="s">
        <v>33</v>
      </c>
      <c r="C112" s="1">
        <v>75.63</v>
      </c>
      <c r="D112" s="1">
        <v>0.19900000000000001</v>
      </c>
      <c r="E112" s="1">
        <v>5.4720000000000004</v>
      </c>
      <c r="F112" s="1">
        <v>67.91</v>
      </c>
      <c r="G112" s="8">
        <v>1</v>
      </c>
      <c r="H112" s="1"/>
      <c r="I112" s="1" t="s">
        <v>247</v>
      </c>
      <c r="J112" s="1"/>
      <c r="K112" s="1">
        <v>4.5999999999999996</v>
      </c>
      <c r="L112" s="1">
        <f t="shared" si="36"/>
        <v>0.87200000000000077</v>
      </c>
      <c r="M112" s="1"/>
      <c r="N112" s="1"/>
      <c r="O112" s="1">
        <f>VLOOKUP(A112,[1]Sheet!$A:$T,20,0)</f>
        <v>0</v>
      </c>
      <c r="P112" s="1"/>
      <c r="Q112" s="1">
        <v>0</v>
      </c>
      <c r="R112" s="1">
        <f t="shared" si="24"/>
        <v>1.0944</v>
      </c>
      <c r="S112" s="5"/>
      <c r="T112" s="5">
        <f t="shared" si="25"/>
        <v>0</v>
      </c>
      <c r="U112" s="5">
        <f t="shared" si="30"/>
        <v>0</v>
      </c>
      <c r="V112" s="5"/>
      <c r="W112" s="1"/>
      <c r="X112" s="1">
        <f t="shared" si="27"/>
        <v>62.052266081871338</v>
      </c>
      <c r="Y112" s="1">
        <f t="shared" si="28"/>
        <v>62.052266081871338</v>
      </c>
      <c r="Z112" s="1">
        <v>0.83119999999999994</v>
      </c>
      <c r="AA112" s="1">
        <v>0.29360000000000003</v>
      </c>
      <c r="AB112" s="1">
        <v>1.629</v>
      </c>
      <c r="AC112" s="1">
        <v>0.5514</v>
      </c>
      <c r="AD112" s="1">
        <v>0.27600000000000002</v>
      </c>
      <c r="AE112" s="15" t="s">
        <v>284</v>
      </c>
      <c r="AF112" s="1">
        <f t="shared" si="29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248</v>
      </c>
      <c r="B113" s="1" t="s">
        <v>41</v>
      </c>
      <c r="C113" s="1">
        <v>210</v>
      </c>
      <c r="D113" s="1">
        <v>800</v>
      </c>
      <c r="E113" s="1">
        <v>326</v>
      </c>
      <c r="F113" s="1">
        <v>653</v>
      </c>
      <c r="G113" s="8">
        <v>0.28000000000000003</v>
      </c>
      <c r="H113" s="1"/>
      <c r="I113" s="1" t="s">
        <v>249</v>
      </c>
      <c r="J113" s="1"/>
      <c r="K113" s="1">
        <v>344</v>
      </c>
      <c r="L113" s="1">
        <f t="shared" si="36"/>
        <v>-18</v>
      </c>
      <c r="M113" s="1"/>
      <c r="N113" s="1"/>
      <c r="O113" s="1">
        <f>VLOOKUP(A113,[1]Sheet!$A:$T,20,0)</f>
        <v>60</v>
      </c>
      <c r="P113" s="1"/>
      <c r="Q113" s="1">
        <v>0</v>
      </c>
      <c r="R113" s="1">
        <f t="shared" si="24"/>
        <v>65.2</v>
      </c>
      <c r="S113" s="5">
        <f t="shared" si="32"/>
        <v>69.400000000000091</v>
      </c>
      <c r="T113" s="5">
        <f t="shared" si="25"/>
        <v>69.400000000000091</v>
      </c>
      <c r="U113" s="5">
        <f t="shared" ref="U113:U114" si="37">T113+R113*$U$1</f>
        <v>144.38000000000011</v>
      </c>
      <c r="V113" s="5"/>
      <c r="W113" s="1"/>
      <c r="X113" s="1">
        <f t="shared" si="27"/>
        <v>13.15</v>
      </c>
      <c r="Y113" s="1">
        <f t="shared" si="28"/>
        <v>10.935582822085889</v>
      </c>
      <c r="Z113" s="1">
        <v>64.8</v>
      </c>
      <c r="AA113" s="1">
        <v>73.2</v>
      </c>
      <c r="AB113" s="1">
        <v>83</v>
      </c>
      <c r="AC113" s="1">
        <v>91.8</v>
      </c>
      <c r="AD113" s="1">
        <v>49.6</v>
      </c>
      <c r="AE113" s="1" t="s">
        <v>250</v>
      </c>
      <c r="AF113" s="1">
        <f t="shared" si="29"/>
        <v>40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251</v>
      </c>
      <c r="B114" s="1" t="s">
        <v>41</v>
      </c>
      <c r="C114" s="1">
        <v>201</v>
      </c>
      <c r="D114" s="1">
        <v>826</v>
      </c>
      <c r="E114" s="1">
        <v>346</v>
      </c>
      <c r="F114" s="1">
        <v>662</v>
      </c>
      <c r="G114" s="8">
        <v>0.28000000000000003</v>
      </c>
      <c r="H114" s="1"/>
      <c r="I114" s="1" t="s">
        <v>252</v>
      </c>
      <c r="J114" s="1"/>
      <c r="K114" s="1">
        <v>363</v>
      </c>
      <c r="L114" s="1">
        <f t="shared" si="36"/>
        <v>-17</v>
      </c>
      <c r="M114" s="1"/>
      <c r="N114" s="1"/>
      <c r="O114" s="1">
        <f>VLOOKUP(A114,[1]Sheet!$A:$T,20,0)</f>
        <v>45</v>
      </c>
      <c r="P114" s="1"/>
      <c r="Q114" s="1">
        <v>0</v>
      </c>
      <c r="R114" s="1">
        <f t="shared" si="24"/>
        <v>69.2</v>
      </c>
      <c r="S114" s="5">
        <f t="shared" si="32"/>
        <v>123.40000000000009</v>
      </c>
      <c r="T114" s="5">
        <f t="shared" si="25"/>
        <v>123.40000000000009</v>
      </c>
      <c r="U114" s="5">
        <f t="shared" si="37"/>
        <v>202.98000000000008</v>
      </c>
      <c r="V114" s="5"/>
      <c r="W114" s="1"/>
      <c r="X114" s="1">
        <f t="shared" si="27"/>
        <v>13.15</v>
      </c>
      <c r="Y114" s="1">
        <f t="shared" si="28"/>
        <v>10.216763005780347</v>
      </c>
      <c r="Z114" s="1">
        <v>65</v>
      </c>
      <c r="AA114" s="1">
        <v>76.2</v>
      </c>
      <c r="AB114" s="1">
        <v>80.2</v>
      </c>
      <c r="AC114" s="1">
        <v>90.8</v>
      </c>
      <c r="AD114" s="1">
        <v>25.2</v>
      </c>
      <c r="AE114" s="1" t="s">
        <v>250</v>
      </c>
      <c r="AF114" s="1">
        <f t="shared" si="29"/>
        <v>57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253</v>
      </c>
      <c r="B115" s="1" t="s">
        <v>33</v>
      </c>
      <c r="C115" s="1">
        <v>315.928</v>
      </c>
      <c r="D115" s="1">
        <v>202.197</v>
      </c>
      <c r="E115" s="1">
        <v>108.79300000000001</v>
      </c>
      <c r="F115" s="1">
        <v>403.70699999999999</v>
      </c>
      <c r="G115" s="8">
        <v>1</v>
      </c>
      <c r="H115" s="1"/>
      <c r="I115" s="1" t="s">
        <v>254</v>
      </c>
      <c r="J115" s="1"/>
      <c r="K115" s="1">
        <v>120</v>
      </c>
      <c r="L115" s="1">
        <f t="shared" si="36"/>
        <v>-11.206999999999994</v>
      </c>
      <c r="M115" s="1"/>
      <c r="N115" s="1"/>
      <c r="O115" s="1">
        <f>VLOOKUP(A115,[1]Sheet!$A:$T,20,0)</f>
        <v>85</v>
      </c>
      <c r="P115" s="1"/>
      <c r="Q115" s="1">
        <v>0</v>
      </c>
      <c r="R115" s="1">
        <f t="shared" si="24"/>
        <v>21.758600000000001</v>
      </c>
      <c r="S115" s="5"/>
      <c r="T115" s="5">
        <f t="shared" si="25"/>
        <v>0</v>
      </c>
      <c r="U115" s="5">
        <f t="shared" si="30"/>
        <v>0</v>
      </c>
      <c r="V115" s="5"/>
      <c r="W115" s="1"/>
      <c r="X115" s="1">
        <f t="shared" si="27"/>
        <v>22.460406459974447</v>
      </c>
      <c r="Y115" s="1">
        <f t="shared" si="28"/>
        <v>22.460406459974447</v>
      </c>
      <c r="Z115" s="1">
        <v>36.654000000000003</v>
      </c>
      <c r="AA115" s="1">
        <v>43.590400000000002</v>
      </c>
      <c r="AB115" s="1">
        <v>50.267399999999988</v>
      </c>
      <c r="AC115" s="1">
        <v>55.062600000000003</v>
      </c>
      <c r="AD115" s="1">
        <v>68.036000000000001</v>
      </c>
      <c r="AE115" s="16" t="s">
        <v>283</v>
      </c>
      <c r="AF115" s="1">
        <f t="shared" si="29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255</v>
      </c>
      <c r="B116" s="1" t="s">
        <v>33</v>
      </c>
      <c r="C116" s="1">
        <v>85.936000000000007</v>
      </c>
      <c r="D116" s="1">
        <v>476.24599999999998</v>
      </c>
      <c r="E116" s="1">
        <v>87.23</v>
      </c>
      <c r="F116" s="1">
        <v>474.16300000000001</v>
      </c>
      <c r="G116" s="8">
        <v>1</v>
      </c>
      <c r="H116" s="1"/>
      <c r="I116" s="1" t="s">
        <v>256</v>
      </c>
      <c r="J116" s="1"/>
      <c r="K116" s="1">
        <v>90</v>
      </c>
      <c r="L116" s="1">
        <f t="shared" si="36"/>
        <v>-2.769999999999996</v>
      </c>
      <c r="M116" s="1"/>
      <c r="N116" s="1"/>
      <c r="O116" s="1">
        <f>VLOOKUP(A116,[1]Sheet!$A:$T,20,0)</f>
        <v>20</v>
      </c>
      <c r="P116" s="1"/>
      <c r="Q116" s="1">
        <v>0</v>
      </c>
      <c r="R116" s="1">
        <f t="shared" si="24"/>
        <v>17.446000000000002</v>
      </c>
      <c r="S116" s="5"/>
      <c r="T116" s="5">
        <f t="shared" si="25"/>
        <v>0</v>
      </c>
      <c r="U116" s="5">
        <f t="shared" si="30"/>
        <v>0</v>
      </c>
      <c r="V116" s="5"/>
      <c r="W116" s="1"/>
      <c r="X116" s="1">
        <f t="shared" si="27"/>
        <v>28.325289464633727</v>
      </c>
      <c r="Y116" s="1">
        <f t="shared" si="28"/>
        <v>28.325289464633727</v>
      </c>
      <c r="Z116" s="1">
        <v>19.5992</v>
      </c>
      <c r="AA116" s="1">
        <v>31.039400000000001</v>
      </c>
      <c r="AB116" s="1">
        <v>37.197400000000002</v>
      </c>
      <c r="AC116" s="1">
        <v>20.194800000000001</v>
      </c>
      <c r="AD116" s="1">
        <v>26.484400000000001</v>
      </c>
      <c r="AE116" s="1"/>
      <c r="AF116" s="1">
        <f t="shared" si="29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257</v>
      </c>
      <c r="B117" s="1" t="s">
        <v>33</v>
      </c>
      <c r="C117" s="1">
        <v>113.77200000000001</v>
      </c>
      <c r="D117" s="1">
        <v>910.971</v>
      </c>
      <c r="E117" s="1">
        <v>314.09199999999998</v>
      </c>
      <c r="F117" s="1">
        <v>630.41200000000003</v>
      </c>
      <c r="G117" s="8">
        <v>1</v>
      </c>
      <c r="H117" s="1"/>
      <c r="I117" s="1" t="s">
        <v>258</v>
      </c>
      <c r="J117" s="1"/>
      <c r="K117" s="1">
        <v>301.60000000000002</v>
      </c>
      <c r="L117" s="1">
        <f t="shared" si="36"/>
        <v>12.491999999999962</v>
      </c>
      <c r="M117" s="1"/>
      <c r="N117" s="1"/>
      <c r="O117" s="1">
        <f>VLOOKUP(A117,[1]Sheet!$A:$T,20,0)</f>
        <v>135</v>
      </c>
      <c r="P117" s="1"/>
      <c r="Q117" s="1">
        <v>170</v>
      </c>
      <c r="R117" s="1">
        <f t="shared" si="24"/>
        <v>62.818399999999997</v>
      </c>
      <c r="S117" s="5"/>
      <c r="T117" s="5">
        <f t="shared" si="25"/>
        <v>0</v>
      </c>
      <c r="U117" s="5">
        <f t="shared" si="30"/>
        <v>0</v>
      </c>
      <c r="V117" s="5"/>
      <c r="W117" s="1"/>
      <c r="X117" s="1">
        <f t="shared" si="27"/>
        <v>14.890732651579793</v>
      </c>
      <c r="Y117" s="1">
        <f t="shared" si="28"/>
        <v>14.890732651579793</v>
      </c>
      <c r="Z117" s="1">
        <v>59.040599999999998</v>
      </c>
      <c r="AA117" s="1">
        <v>62.59</v>
      </c>
      <c r="AB117" s="1">
        <v>60.839799999999997</v>
      </c>
      <c r="AC117" s="1">
        <v>49.282799999999988</v>
      </c>
      <c r="AD117" s="1">
        <v>29.3202</v>
      </c>
      <c r="AE117" s="1" t="s">
        <v>259</v>
      </c>
      <c r="AF117" s="1">
        <f t="shared" si="29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260</v>
      </c>
      <c r="B118" s="1" t="s">
        <v>33</v>
      </c>
      <c r="C118" s="1">
        <v>52.75</v>
      </c>
      <c r="D118" s="1">
        <v>1464.3889999999999</v>
      </c>
      <c r="E118" s="1">
        <v>422.495</v>
      </c>
      <c r="F118" s="1">
        <v>967.47400000000005</v>
      </c>
      <c r="G118" s="8">
        <v>1</v>
      </c>
      <c r="H118" s="1"/>
      <c r="I118" s="1" t="s">
        <v>261</v>
      </c>
      <c r="J118" s="1"/>
      <c r="K118" s="1">
        <v>403.15</v>
      </c>
      <c r="L118" s="1">
        <f t="shared" si="36"/>
        <v>19.345000000000027</v>
      </c>
      <c r="M118" s="1"/>
      <c r="N118" s="1"/>
      <c r="O118" s="1">
        <f>VLOOKUP(A118,[1]Sheet!$A:$T,20,0)</f>
        <v>185</v>
      </c>
      <c r="P118" s="1"/>
      <c r="Q118" s="1">
        <v>180</v>
      </c>
      <c r="R118" s="1">
        <f t="shared" si="24"/>
        <v>84.498999999999995</v>
      </c>
      <c r="S118" s="5"/>
      <c r="T118" s="5">
        <f t="shared" si="25"/>
        <v>0</v>
      </c>
      <c r="U118" s="5">
        <f t="shared" si="30"/>
        <v>0</v>
      </c>
      <c r="V118" s="5"/>
      <c r="W118" s="1"/>
      <c r="X118" s="1">
        <f t="shared" si="27"/>
        <v>15.769109693605845</v>
      </c>
      <c r="Y118" s="1">
        <f t="shared" si="28"/>
        <v>15.769109693605845</v>
      </c>
      <c r="Z118" s="1">
        <v>80.06280000000001</v>
      </c>
      <c r="AA118" s="1">
        <v>88.82419999999999</v>
      </c>
      <c r="AB118" s="1">
        <v>81.487200000000001</v>
      </c>
      <c r="AC118" s="1">
        <v>75.265200000000007</v>
      </c>
      <c r="AD118" s="1">
        <v>72.069800000000001</v>
      </c>
      <c r="AE118" s="1" t="s">
        <v>250</v>
      </c>
      <c r="AF118" s="1">
        <f t="shared" si="29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262</v>
      </c>
      <c r="B119" s="1" t="s">
        <v>33</v>
      </c>
      <c r="C119" s="1">
        <v>24.210999999999999</v>
      </c>
      <c r="D119" s="1">
        <v>421.517</v>
      </c>
      <c r="E119" s="1">
        <v>152.72800000000001</v>
      </c>
      <c r="F119" s="1">
        <v>286.29599999999999</v>
      </c>
      <c r="G119" s="8">
        <v>1</v>
      </c>
      <c r="H119" s="1"/>
      <c r="I119" s="1" t="s">
        <v>263</v>
      </c>
      <c r="J119" s="1"/>
      <c r="K119" s="1">
        <v>147.45599999999999</v>
      </c>
      <c r="L119" s="1">
        <f t="shared" si="36"/>
        <v>5.2720000000000198</v>
      </c>
      <c r="M119" s="1"/>
      <c r="N119" s="1"/>
      <c r="O119" s="1">
        <f>VLOOKUP(A119,[1]Sheet!$A:$T,20,0)</f>
        <v>10</v>
      </c>
      <c r="P119" s="1"/>
      <c r="Q119" s="1">
        <v>0</v>
      </c>
      <c r="R119" s="1">
        <f t="shared" si="24"/>
        <v>30.5456</v>
      </c>
      <c r="S119" s="5">
        <f t="shared" si="32"/>
        <v>70.251199999999983</v>
      </c>
      <c r="T119" s="5">
        <f t="shared" si="25"/>
        <v>70.251199999999983</v>
      </c>
      <c r="U119" s="5">
        <f>T119+R119*$U$1</f>
        <v>105.37863999999999</v>
      </c>
      <c r="V119" s="5"/>
      <c r="W119" s="1"/>
      <c r="X119" s="1">
        <f t="shared" si="27"/>
        <v>13.149999999999999</v>
      </c>
      <c r="Y119" s="1">
        <f t="shared" si="28"/>
        <v>9.7001204756167816</v>
      </c>
      <c r="Z119" s="1">
        <v>28.908799999999999</v>
      </c>
      <c r="AA119" s="1">
        <v>27.003599999999999</v>
      </c>
      <c r="AB119" s="1">
        <v>30.353000000000002</v>
      </c>
      <c r="AC119" s="1">
        <v>24.422799999999999</v>
      </c>
      <c r="AD119" s="1">
        <v>37.625399999999999</v>
      </c>
      <c r="AE119" s="1" t="s">
        <v>250</v>
      </c>
      <c r="AF119" s="1">
        <f t="shared" si="29"/>
        <v>105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 t="s">
        <v>264</v>
      </c>
      <c r="B120" s="1" t="s">
        <v>33</v>
      </c>
      <c r="C120" s="1"/>
      <c r="D120" s="1">
        <v>1380.6030000000001</v>
      </c>
      <c r="E120" s="1"/>
      <c r="F120" s="1">
        <v>1380.6030000000001</v>
      </c>
      <c r="G120" s="8">
        <v>1</v>
      </c>
      <c r="H120" s="1"/>
      <c r="I120" s="1" t="s">
        <v>280</v>
      </c>
      <c r="J120" s="1"/>
      <c r="K120" s="1"/>
      <c r="L120" s="1">
        <f t="shared" si="36"/>
        <v>0</v>
      </c>
      <c r="M120" s="1"/>
      <c r="N120" s="1"/>
      <c r="O120" s="1"/>
      <c r="P120" s="1"/>
      <c r="Q120" s="1"/>
      <c r="R120" s="1">
        <f t="shared" si="24"/>
        <v>0</v>
      </c>
      <c r="S120" s="5"/>
      <c r="T120" s="5">
        <f t="shared" si="25"/>
        <v>0</v>
      </c>
      <c r="U120" s="5">
        <f t="shared" si="30"/>
        <v>0</v>
      </c>
      <c r="V120" s="5"/>
      <c r="W120" s="1"/>
      <c r="X120" s="1" t="e">
        <f t="shared" si="27"/>
        <v>#DIV/0!</v>
      </c>
      <c r="Y120" s="1" t="e">
        <f t="shared" si="28"/>
        <v>#DIV/0!</v>
      </c>
      <c r="Z120" s="1">
        <v>238.46119999999999</v>
      </c>
      <c r="AA120" s="1">
        <v>236.93719999999999</v>
      </c>
      <c r="AB120" s="1">
        <v>215.0558</v>
      </c>
      <c r="AC120" s="1">
        <v>271.11599999999999</v>
      </c>
      <c r="AD120" s="1">
        <v>330.86259999999999</v>
      </c>
      <c r="AE120" s="14" t="s">
        <v>279</v>
      </c>
      <c r="AF120" s="1">
        <f t="shared" si="29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265</v>
      </c>
      <c r="B121" s="1" t="s">
        <v>41</v>
      </c>
      <c r="C121" s="1">
        <v>4</v>
      </c>
      <c r="D121" s="1">
        <v>1163</v>
      </c>
      <c r="E121" s="1">
        <v>336</v>
      </c>
      <c r="F121" s="1">
        <v>748</v>
      </c>
      <c r="G121" s="8">
        <v>0.3</v>
      </c>
      <c r="H121" s="1"/>
      <c r="I121" s="1" t="s">
        <v>266</v>
      </c>
      <c r="J121" s="1"/>
      <c r="K121" s="1">
        <v>351</v>
      </c>
      <c r="L121" s="1">
        <f t="shared" si="36"/>
        <v>-15</v>
      </c>
      <c r="M121" s="1"/>
      <c r="N121" s="1"/>
      <c r="O121" s="1">
        <f>VLOOKUP(A121,[1]Sheet!$A:$T,20,0)</f>
        <v>0</v>
      </c>
      <c r="P121" s="1"/>
      <c r="Q121" s="1">
        <v>0</v>
      </c>
      <c r="R121" s="1">
        <f t="shared" si="24"/>
        <v>67.2</v>
      </c>
      <c r="S121" s="5">
        <f t="shared" si="32"/>
        <v>58.400000000000091</v>
      </c>
      <c r="T121" s="5">
        <f t="shared" si="25"/>
        <v>58.400000000000091</v>
      </c>
      <c r="U121" s="5">
        <f t="shared" ref="U121:U123" si="38">T121+R121*$U$1</f>
        <v>135.68000000000009</v>
      </c>
      <c r="V121" s="5"/>
      <c r="W121" s="1"/>
      <c r="X121" s="1">
        <f t="shared" si="27"/>
        <v>13.15</v>
      </c>
      <c r="Y121" s="1">
        <f t="shared" si="28"/>
        <v>11.13095238095238</v>
      </c>
      <c r="Z121" s="1">
        <v>36.6</v>
      </c>
      <c r="AA121" s="1">
        <v>50</v>
      </c>
      <c r="AB121" s="1">
        <v>65.2</v>
      </c>
      <c r="AC121" s="1">
        <v>55</v>
      </c>
      <c r="AD121" s="1">
        <v>55.4</v>
      </c>
      <c r="AE121" s="1"/>
      <c r="AF121" s="1">
        <f t="shared" si="29"/>
        <v>41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267</v>
      </c>
      <c r="B122" s="1" t="s">
        <v>41</v>
      </c>
      <c r="C122" s="1">
        <v>6</v>
      </c>
      <c r="D122" s="1">
        <v>817</v>
      </c>
      <c r="E122" s="1">
        <v>287</v>
      </c>
      <c r="F122" s="1">
        <v>468</v>
      </c>
      <c r="G122" s="8">
        <v>0.3</v>
      </c>
      <c r="H122" s="1"/>
      <c r="I122" s="1" t="s">
        <v>268</v>
      </c>
      <c r="J122" s="1"/>
      <c r="K122" s="1">
        <v>307</v>
      </c>
      <c r="L122" s="1">
        <f t="shared" si="36"/>
        <v>-20</v>
      </c>
      <c r="M122" s="1"/>
      <c r="N122" s="1"/>
      <c r="O122" s="1">
        <f>VLOOKUP(A122,[1]Sheet!$A:$T,20,0)</f>
        <v>0</v>
      </c>
      <c r="P122" s="1"/>
      <c r="Q122" s="1">
        <v>0</v>
      </c>
      <c r="R122" s="1">
        <f t="shared" si="24"/>
        <v>57.4</v>
      </c>
      <c r="S122" s="5">
        <f t="shared" si="32"/>
        <v>220.79999999999995</v>
      </c>
      <c r="T122" s="5">
        <f t="shared" si="25"/>
        <v>220.79999999999995</v>
      </c>
      <c r="U122" s="5">
        <f t="shared" si="38"/>
        <v>286.80999999999995</v>
      </c>
      <c r="V122" s="5"/>
      <c r="W122" s="1"/>
      <c r="X122" s="1">
        <f t="shared" si="27"/>
        <v>13.149999999999999</v>
      </c>
      <c r="Y122" s="1">
        <f t="shared" si="28"/>
        <v>8.1533101045296164</v>
      </c>
      <c r="Z122" s="1">
        <v>27.2</v>
      </c>
      <c r="AA122" s="1">
        <v>27.4</v>
      </c>
      <c r="AB122" s="1">
        <v>49.2</v>
      </c>
      <c r="AC122" s="1">
        <v>39</v>
      </c>
      <c r="AD122" s="1">
        <v>43</v>
      </c>
      <c r="AE122" s="1"/>
      <c r="AF122" s="1">
        <f t="shared" si="29"/>
        <v>86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269</v>
      </c>
      <c r="B123" s="1" t="s">
        <v>33</v>
      </c>
      <c r="C123" s="1">
        <v>145.173</v>
      </c>
      <c r="D123" s="1">
        <v>487.37400000000002</v>
      </c>
      <c r="E123" s="1">
        <v>340.262</v>
      </c>
      <c r="F123" s="1">
        <v>245.88300000000001</v>
      </c>
      <c r="G123" s="8">
        <v>1</v>
      </c>
      <c r="H123" s="1"/>
      <c r="I123" s="1" t="s">
        <v>270</v>
      </c>
      <c r="J123" s="1"/>
      <c r="K123" s="1">
        <v>340.65</v>
      </c>
      <c r="L123" s="1">
        <f t="shared" si="36"/>
        <v>-0.38799999999997681</v>
      </c>
      <c r="M123" s="1"/>
      <c r="N123" s="1"/>
      <c r="O123" s="1">
        <f>VLOOKUP(A123,[1]Sheet!$A:$T,20,0)</f>
        <v>20</v>
      </c>
      <c r="P123" s="1">
        <v>300.50060000000008</v>
      </c>
      <c r="Q123" s="1">
        <v>177.295354</v>
      </c>
      <c r="R123" s="1">
        <f t="shared" si="24"/>
        <v>68.052400000000006</v>
      </c>
      <c r="S123" s="5">
        <f t="shared" si="32"/>
        <v>72.949846000000008</v>
      </c>
      <c r="T123" s="5">
        <f t="shared" si="25"/>
        <v>72.949846000000008</v>
      </c>
      <c r="U123" s="5">
        <f t="shared" si="38"/>
        <v>151.210106</v>
      </c>
      <c r="V123" s="5"/>
      <c r="W123" s="1"/>
      <c r="X123" s="1">
        <f t="shared" si="27"/>
        <v>13.15</v>
      </c>
      <c r="Y123" s="1">
        <f t="shared" si="28"/>
        <v>10.928034191299647</v>
      </c>
      <c r="Z123" s="1">
        <v>60.573599999999999</v>
      </c>
      <c r="AA123" s="1">
        <v>45.3932</v>
      </c>
      <c r="AB123" s="1">
        <v>56.154400000000003</v>
      </c>
      <c r="AC123" s="1">
        <v>58.054999999999993</v>
      </c>
      <c r="AD123" s="1">
        <v>50.147799999999997</v>
      </c>
      <c r="AE123" s="1"/>
      <c r="AF123" s="1">
        <f t="shared" si="29"/>
        <v>151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271</v>
      </c>
      <c r="B124" s="1" t="s">
        <v>41</v>
      </c>
      <c r="C124" s="1">
        <v>98</v>
      </c>
      <c r="D124" s="1">
        <v>541</v>
      </c>
      <c r="E124" s="1">
        <v>210</v>
      </c>
      <c r="F124" s="1">
        <v>327</v>
      </c>
      <c r="G124" s="8">
        <v>0.3</v>
      </c>
      <c r="H124" s="1"/>
      <c r="I124" s="1" t="s">
        <v>272</v>
      </c>
      <c r="J124" s="1"/>
      <c r="K124" s="1">
        <v>333</v>
      </c>
      <c r="L124" s="1">
        <f t="shared" si="36"/>
        <v>-123</v>
      </c>
      <c r="M124" s="1"/>
      <c r="N124" s="1"/>
      <c r="O124" s="1">
        <f>VLOOKUP(A124,[1]Sheet!$A:$T,20,0)</f>
        <v>90</v>
      </c>
      <c r="P124" s="1">
        <v>154.6</v>
      </c>
      <c r="Q124" s="1">
        <v>91.214000000000013</v>
      </c>
      <c r="R124" s="1">
        <f t="shared" si="24"/>
        <v>42</v>
      </c>
      <c r="S124" s="5"/>
      <c r="T124" s="5">
        <f t="shared" si="25"/>
        <v>0</v>
      </c>
      <c r="U124" s="5">
        <f t="shared" si="30"/>
        <v>0</v>
      </c>
      <c r="V124" s="5"/>
      <c r="W124" s="1"/>
      <c r="X124" s="1">
        <f t="shared" si="27"/>
        <v>15.781285714285715</v>
      </c>
      <c r="Y124" s="1">
        <f t="shared" si="28"/>
        <v>15.781285714285715</v>
      </c>
      <c r="Z124" s="1">
        <v>55.6</v>
      </c>
      <c r="AA124" s="1">
        <v>54.4</v>
      </c>
      <c r="AB124" s="1">
        <v>44</v>
      </c>
      <c r="AC124" s="1">
        <v>55.2</v>
      </c>
      <c r="AD124" s="1">
        <v>45.8</v>
      </c>
      <c r="AE124" s="1"/>
      <c r="AF124" s="1">
        <f t="shared" si="29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273</v>
      </c>
      <c r="B125" s="1" t="s">
        <v>41</v>
      </c>
      <c r="C125" s="1">
        <v>13</v>
      </c>
      <c r="D125" s="1">
        <v>48</v>
      </c>
      <c r="E125" s="1">
        <v>-1</v>
      </c>
      <c r="F125" s="1">
        <v>55</v>
      </c>
      <c r="G125" s="8">
        <v>0.12</v>
      </c>
      <c r="H125" s="1"/>
      <c r="I125" s="1" t="s">
        <v>274</v>
      </c>
      <c r="J125" s="1"/>
      <c r="K125" s="1">
        <v>39</v>
      </c>
      <c r="L125" s="1">
        <f t="shared" si="36"/>
        <v>-40</v>
      </c>
      <c r="M125" s="1"/>
      <c r="N125" s="1"/>
      <c r="O125" s="1">
        <f>VLOOKUP(A125,[1]Sheet!$A:$T,20,0)</f>
        <v>30</v>
      </c>
      <c r="P125" s="1"/>
      <c r="Q125" s="1">
        <v>0</v>
      </c>
      <c r="R125" s="1">
        <f t="shared" si="24"/>
        <v>-0.2</v>
      </c>
      <c r="S125" s="5"/>
      <c r="T125" s="5">
        <f t="shared" si="25"/>
        <v>0</v>
      </c>
      <c r="U125" s="5">
        <f t="shared" si="30"/>
        <v>0</v>
      </c>
      <c r="V125" s="5"/>
      <c r="W125" s="1"/>
      <c r="X125" s="1">
        <f t="shared" si="27"/>
        <v>-425</v>
      </c>
      <c r="Y125" s="1">
        <f t="shared" si="28"/>
        <v>-425</v>
      </c>
      <c r="Z125" s="1">
        <v>4</v>
      </c>
      <c r="AA125" s="1">
        <v>6.4</v>
      </c>
      <c r="AB125" s="1">
        <v>2.6</v>
      </c>
      <c r="AC125" s="1">
        <v>5.4</v>
      </c>
      <c r="AD125" s="1">
        <v>0.2</v>
      </c>
      <c r="AE125" s="1"/>
      <c r="AF125" s="1">
        <f t="shared" si="29"/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0" t="s">
        <v>275</v>
      </c>
      <c r="B126" s="10" t="s">
        <v>41</v>
      </c>
      <c r="C126" s="10">
        <v>13</v>
      </c>
      <c r="D126" s="10"/>
      <c r="E126" s="10">
        <v>2</v>
      </c>
      <c r="F126" s="10"/>
      <c r="G126" s="11">
        <v>0</v>
      </c>
      <c r="H126" s="10"/>
      <c r="I126" s="10" t="s">
        <v>276</v>
      </c>
      <c r="J126" s="10"/>
      <c r="K126" s="10">
        <v>2</v>
      </c>
      <c r="L126" s="10">
        <f t="shared" si="36"/>
        <v>0</v>
      </c>
      <c r="M126" s="10"/>
      <c r="N126" s="10"/>
      <c r="O126" s="10">
        <f>VLOOKUP(A126,[1]Sheet!$A:$T,20,0)</f>
        <v>0</v>
      </c>
      <c r="P126" s="10"/>
      <c r="Q126" s="10"/>
      <c r="R126" s="10">
        <f t="shared" si="24"/>
        <v>0.4</v>
      </c>
      <c r="S126" s="12"/>
      <c r="T126" s="5">
        <f t="shared" si="25"/>
        <v>0</v>
      </c>
      <c r="U126" s="5">
        <f t="shared" si="30"/>
        <v>0</v>
      </c>
      <c r="V126" s="12"/>
      <c r="W126" s="10"/>
      <c r="X126" s="1">
        <f t="shared" si="27"/>
        <v>0</v>
      </c>
      <c r="Y126" s="10">
        <f t="shared" si="28"/>
        <v>0</v>
      </c>
      <c r="Z126" s="10">
        <v>0.4</v>
      </c>
      <c r="AA126" s="10">
        <v>0</v>
      </c>
      <c r="AB126" s="10">
        <v>0</v>
      </c>
      <c r="AC126" s="10">
        <v>0</v>
      </c>
      <c r="AD126" s="10">
        <v>0</v>
      </c>
      <c r="AE126" s="10"/>
      <c r="AF126" s="1">
        <f t="shared" si="29"/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0" t="s">
        <v>277</v>
      </c>
      <c r="B127" s="10" t="s">
        <v>41</v>
      </c>
      <c r="C127" s="10">
        <v>28</v>
      </c>
      <c r="D127" s="10"/>
      <c r="E127" s="10">
        <v>1</v>
      </c>
      <c r="F127" s="10">
        <v>-1</v>
      </c>
      <c r="G127" s="11">
        <v>0</v>
      </c>
      <c r="H127" s="10"/>
      <c r="I127" s="10" t="s">
        <v>276</v>
      </c>
      <c r="J127" s="10"/>
      <c r="K127" s="10">
        <v>5</v>
      </c>
      <c r="L127" s="10">
        <f t="shared" si="36"/>
        <v>-4</v>
      </c>
      <c r="M127" s="10"/>
      <c r="N127" s="10"/>
      <c r="O127" s="10">
        <f>VLOOKUP(A127,[1]Sheet!$A:$T,20,0)</f>
        <v>0</v>
      </c>
      <c r="P127" s="10"/>
      <c r="Q127" s="10"/>
      <c r="R127" s="10">
        <f t="shared" si="24"/>
        <v>0.2</v>
      </c>
      <c r="S127" s="12"/>
      <c r="T127" s="5">
        <f t="shared" si="25"/>
        <v>0</v>
      </c>
      <c r="U127" s="5">
        <f t="shared" si="30"/>
        <v>0</v>
      </c>
      <c r="V127" s="12"/>
      <c r="W127" s="10"/>
      <c r="X127" s="1">
        <f t="shared" si="27"/>
        <v>-5</v>
      </c>
      <c r="Y127" s="10">
        <f t="shared" si="28"/>
        <v>-5</v>
      </c>
      <c r="Z127" s="10">
        <v>0.2</v>
      </c>
      <c r="AA127" s="10">
        <v>0</v>
      </c>
      <c r="AB127" s="10">
        <v>0</v>
      </c>
      <c r="AC127" s="10">
        <v>0</v>
      </c>
      <c r="AD127" s="10">
        <v>0</v>
      </c>
      <c r="AE127" s="10"/>
      <c r="AF127" s="1">
        <f t="shared" si="29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</sheetData>
  <autoFilter ref="A3:AF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2026-06-25T12:22:08Z</dcterms:created>
  <dcterms:modified xsi:type="dcterms:W3CDTF">2026-06-26T13:07:14Z</dcterms:modified>
</cp:coreProperties>
</file>