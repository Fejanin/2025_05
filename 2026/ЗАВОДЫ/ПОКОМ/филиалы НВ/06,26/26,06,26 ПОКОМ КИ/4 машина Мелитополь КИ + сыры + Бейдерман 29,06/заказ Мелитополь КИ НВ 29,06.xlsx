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4062E6D0-1FA7-43FE-94AE-C56F76E33A8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25" i="1" l="1"/>
  <c r="X525" i="1"/>
  <c r="X524" i="1"/>
  <c r="BO523" i="1"/>
  <c r="BN523" i="1"/>
  <c r="BM523" i="1"/>
  <c r="Z523" i="1"/>
  <c r="Z524" i="1" s="1"/>
  <c r="Y523" i="1"/>
  <c r="AB536" i="1" s="1"/>
  <c r="P523" i="1"/>
  <c r="Y520" i="1"/>
  <c r="X520" i="1"/>
  <c r="Y519" i="1"/>
  <c r="X519" i="1"/>
  <c r="BP518" i="1"/>
  <c r="BO518" i="1"/>
  <c r="BM518" i="1"/>
  <c r="Z518" i="1"/>
  <c r="Y518" i="1"/>
  <c r="BN518" i="1" s="1"/>
  <c r="P518" i="1"/>
  <c r="BO517" i="1"/>
  <c r="BM517" i="1"/>
  <c r="Y517" i="1"/>
  <c r="BP517" i="1" s="1"/>
  <c r="P517" i="1"/>
  <c r="Y515" i="1"/>
  <c r="X515" i="1"/>
  <c r="X514" i="1"/>
  <c r="BO513" i="1"/>
  <c r="BM513" i="1"/>
  <c r="Y513" i="1"/>
  <c r="Y514" i="1" s="1"/>
  <c r="P513" i="1"/>
  <c r="X511" i="1"/>
  <c r="X510" i="1"/>
  <c r="BO509" i="1"/>
  <c r="BM509" i="1"/>
  <c r="Z509" i="1"/>
  <c r="Y509" i="1"/>
  <c r="BP509" i="1" s="1"/>
  <c r="P509" i="1"/>
  <c r="BP508" i="1"/>
  <c r="BO508" i="1"/>
  <c r="BM508" i="1"/>
  <c r="Y508" i="1"/>
  <c r="Y511" i="1" s="1"/>
  <c r="P508" i="1"/>
  <c r="X506" i="1"/>
  <c r="X505" i="1"/>
  <c r="BO504" i="1"/>
  <c r="BM504" i="1"/>
  <c r="Y504" i="1"/>
  <c r="Y505" i="1" s="1"/>
  <c r="P504" i="1"/>
  <c r="X502" i="1"/>
  <c r="X501" i="1"/>
  <c r="BO500" i="1"/>
  <c r="BN500" i="1"/>
  <c r="BM500" i="1"/>
  <c r="Y500" i="1"/>
  <c r="Z500" i="1" s="1"/>
  <c r="Z501" i="1" s="1"/>
  <c r="P500" i="1"/>
  <c r="X496" i="1"/>
  <c r="X495" i="1"/>
  <c r="BP494" i="1"/>
  <c r="BO494" i="1"/>
  <c r="BN494" i="1"/>
  <c r="BM494" i="1"/>
  <c r="Z494" i="1"/>
  <c r="Y494" i="1"/>
  <c r="P494" i="1"/>
  <c r="BO493" i="1"/>
  <c r="BN493" i="1"/>
  <c r="BM493" i="1"/>
  <c r="Z493" i="1"/>
  <c r="Y493" i="1"/>
  <c r="BP493" i="1" s="1"/>
  <c r="P493" i="1"/>
  <c r="BP492" i="1"/>
  <c r="BO492" i="1"/>
  <c r="BM492" i="1"/>
  <c r="Z492" i="1"/>
  <c r="Y492" i="1"/>
  <c r="BN492" i="1" s="1"/>
  <c r="P492" i="1"/>
  <c r="BP491" i="1"/>
  <c r="BO491" i="1"/>
  <c r="BN491" i="1"/>
  <c r="BM491" i="1"/>
  <c r="Y491" i="1"/>
  <c r="Z491" i="1" s="1"/>
  <c r="P491" i="1"/>
  <c r="BO490" i="1"/>
  <c r="BN490" i="1"/>
  <c r="BM490" i="1"/>
  <c r="Y490" i="1"/>
  <c r="Z490" i="1" s="1"/>
  <c r="P490" i="1"/>
  <c r="BP489" i="1"/>
  <c r="BO489" i="1"/>
  <c r="BM489" i="1"/>
  <c r="Y489" i="1"/>
  <c r="BN489" i="1" s="1"/>
  <c r="P489" i="1"/>
  <c r="BO488" i="1"/>
  <c r="BM488" i="1"/>
  <c r="Y488" i="1"/>
  <c r="Y496" i="1" s="1"/>
  <c r="P488" i="1"/>
  <c r="X486" i="1"/>
  <c r="X485" i="1"/>
  <c r="BP484" i="1"/>
  <c r="BO484" i="1"/>
  <c r="BM484" i="1"/>
  <c r="Z484" i="1"/>
  <c r="Y484" i="1"/>
  <c r="BN484" i="1" s="1"/>
  <c r="P484" i="1"/>
  <c r="BP483" i="1"/>
  <c r="BO483" i="1"/>
  <c r="BN483" i="1"/>
  <c r="BM483" i="1"/>
  <c r="Y483" i="1"/>
  <c r="Z483" i="1" s="1"/>
  <c r="P483" i="1"/>
  <c r="BP482" i="1"/>
  <c r="BO482" i="1"/>
  <c r="BN482" i="1"/>
  <c r="BM482" i="1"/>
  <c r="Y482" i="1"/>
  <c r="Y485" i="1" s="1"/>
  <c r="P482" i="1"/>
  <c r="X480" i="1"/>
  <c r="X479" i="1"/>
  <c r="BP478" i="1"/>
  <c r="BO478" i="1"/>
  <c r="BN478" i="1"/>
  <c r="BM478" i="1"/>
  <c r="Z478" i="1"/>
  <c r="Y478" i="1"/>
  <c r="P478" i="1"/>
  <c r="BP477" i="1"/>
  <c r="BO477" i="1"/>
  <c r="BN477" i="1"/>
  <c r="BM477" i="1"/>
  <c r="Z477" i="1"/>
  <c r="Y477" i="1"/>
  <c r="P477" i="1"/>
  <c r="BP476" i="1"/>
  <c r="BO476" i="1"/>
  <c r="BM476" i="1"/>
  <c r="Z476" i="1"/>
  <c r="Y476" i="1"/>
  <c r="BN476" i="1" s="1"/>
  <c r="P476" i="1"/>
  <c r="BP475" i="1"/>
  <c r="BO475" i="1"/>
  <c r="BN475" i="1"/>
  <c r="BM475" i="1"/>
  <c r="Y475" i="1"/>
  <c r="Z475" i="1" s="1"/>
  <c r="P475" i="1"/>
  <c r="BP474" i="1"/>
  <c r="BO474" i="1"/>
  <c r="BN474" i="1"/>
  <c r="BM474" i="1"/>
  <c r="Y474" i="1"/>
  <c r="Z474" i="1" s="1"/>
  <c r="P474" i="1"/>
  <c r="BP473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Z471" i="1" s="1"/>
  <c r="P471" i="1"/>
  <c r="BO470" i="1"/>
  <c r="BM470" i="1"/>
  <c r="Y470" i="1"/>
  <c r="Z536" i="1" s="1"/>
  <c r="P470" i="1"/>
  <c r="X466" i="1"/>
  <c r="X465" i="1"/>
  <c r="BP464" i="1"/>
  <c r="BO464" i="1"/>
  <c r="BN464" i="1"/>
  <c r="BM464" i="1"/>
  <c r="Y464" i="1"/>
  <c r="Z464" i="1" s="1"/>
  <c r="P464" i="1"/>
  <c r="BP463" i="1"/>
  <c r="BO463" i="1"/>
  <c r="BM463" i="1"/>
  <c r="Y463" i="1"/>
  <c r="BN463" i="1" s="1"/>
  <c r="P463" i="1"/>
  <c r="BO462" i="1"/>
  <c r="BM462" i="1"/>
  <c r="Y462" i="1"/>
  <c r="BP462" i="1" s="1"/>
  <c r="P462" i="1"/>
  <c r="Y460" i="1"/>
  <c r="X460" i="1"/>
  <c r="X459" i="1"/>
  <c r="BP458" i="1"/>
  <c r="BO458" i="1"/>
  <c r="BM458" i="1"/>
  <c r="Z458" i="1"/>
  <c r="Z459" i="1" s="1"/>
  <c r="Y458" i="1"/>
  <c r="Y459" i="1" s="1"/>
  <c r="P458" i="1"/>
  <c r="Y455" i="1"/>
  <c r="X455" i="1"/>
  <c r="Y454" i="1"/>
  <c r="X454" i="1"/>
  <c r="BP453" i="1"/>
  <c r="BO453" i="1"/>
  <c r="BN453" i="1"/>
  <c r="BM453" i="1"/>
  <c r="Z453" i="1"/>
  <c r="Y453" i="1"/>
  <c r="P453" i="1"/>
  <c r="BP452" i="1"/>
  <c r="BO452" i="1"/>
  <c r="BN452" i="1"/>
  <c r="BM452" i="1"/>
  <c r="Y452" i="1"/>
  <c r="Z452" i="1" s="1"/>
  <c r="Z454" i="1" s="1"/>
  <c r="P452" i="1"/>
  <c r="X450" i="1"/>
  <c r="X449" i="1"/>
  <c r="BO448" i="1"/>
  <c r="BN448" i="1"/>
  <c r="BM448" i="1"/>
  <c r="Y448" i="1"/>
  <c r="Y450" i="1" s="1"/>
  <c r="P448" i="1"/>
  <c r="BP447" i="1"/>
  <c r="BO447" i="1"/>
  <c r="BN447" i="1"/>
  <c r="BM447" i="1"/>
  <c r="Z447" i="1"/>
  <c r="Y447" i="1"/>
  <c r="P447" i="1"/>
  <c r="BO446" i="1"/>
  <c r="BN446" i="1"/>
  <c r="BM446" i="1"/>
  <c r="Y446" i="1"/>
  <c r="BP446" i="1" s="1"/>
  <c r="P446" i="1"/>
  <c r="BP445" i="1"/>
  <c r="BO445" i="1"/>
  <c r="BN445" i="1"/>
  <c r="BM445" i="1"/>
  <c r="Z445" i="1"/>
  <c r="Y445" i="1"/>
  <c r="P445" i="1"/>
  <c r="BP444" i="1"/>
  <c r="BO444" i="1"/>
  <c r="BN444" i="1"/>
  <c r="BM444" i="1"/>
  <c r="Y444" i="1"/>
  <c r="Z444" i="1" s="1"/>
  <c r="P444" i="1"/>
  <c r="BP443" i="1"/>
  <c r="BO443" i="1"/>
  <c r="BN443" i="1"/>
  <c r="BM443" i="1"/>
  <c r="Z443" i="1"/>
  <c r="Y443" i="1"/>
  <c r="X536" i="1" s="1"/>
  <c r="P443" i="1"/>
  <c r="Y439" i="1"/>
  <c r="X439" i="1"/>
  <c r="Y438" i="1"/>
  <c r="X438" i="1"/>
  <c r="BP437" i="1"/>
  <c r="BO437" i="1"/>
  <c r="BN437" i="1"/>
  <c r="BM437" i="1"/>
  <c r="Z437" i="1"/>
  <c r="Y437" i="1"/>
  <c r="P437" i="1"/>
  <c r="BO436" i="1"/>
  <c r="BN436" i="1"/>
  <c r="BM436" i="1"/>
  <c r="Y436" i="1"/>
  <c r="BP436" i="1" s="1"/>
  <c r="P436" i="1"/>
  <c r="BP435" i="1"/>
  <c r="BO435" i="1"/>
  <c r="BN435" i="1"/>
  <c r="BM435" i="1"/>
  <c r="Z435" i="1"/>
  <c r="Y435" i="1"/>
  <c r="P435" i="1"/>
  <c r="Y433" i="1"/>
  <c r="X433" i="1"/>
  <c r="Z432" i="1"/>
  <c r="X432" i="1"/>
  <c r="BO431" i="1"/>
  <c r="BN431" i="1"/>
  <c r="BM431" i="1"/>
  <c r="Z431" i="1"/>
  <c r="Y431" i="1"/>
  <c r="Y432" i="1" s="1"/>
  <c r="P431" i="1"/>
  <c r="X429" i="1"/>
  <c r="X428" i="1"/>
  <c r="BO427" i="1"/>
  <c r="BM427" i="1"/>
  <c r="Y427" i="1"/>
  <c r="BN427" i="1" s="1"/>
  <c r="P427" i="1"/>
  <c r="BO426" i="1"/>
  <c r="BM426" i="1"/>
  <c r="Z426" i="1"/>
  <c r="Y426" i="1"/>
  <c r="W536" i="1" s="1"/>
  <c r="P426" i="1"/>
  <c r="X423" i="1"/>
  <c r="Y422" i="1"/>
  <c r="X422" i="1"/>
  <c r="BO421" i="1"/>
  <c r="BM421" i="1"/>
  <c r="Y421" i="1"/>
  <c r="Z421" i="1" s="1"/>
  <c r="Z422" i="1" s="1"/>
  <c r="P421" i="1"/>
  <c r="X419" i="1"/>
  <c r="X418" i="1"/>
  <c r="BP417" i="1"/>
  <c r="BO417" i="1"/>
  <c r="BN417" i="1"/>
  <c r="BM417" i="1"/>
  <c r="Y417" i="1"/>
  <c r="Z417" i="1" s="1"/>
  <c r="P417" i="1"/>
  <c r="BP416" i="1"/>
  <c r="BO416" i="1"/>
  <c r="BN416" i="1"/>
  <c r="BM416" i="1"/>
  <c r="Y416" i="1"/>
  <c r="Z416" i="1" s="1"/>
  <c r="Z418" i="1" s="1"/>
  <c r="P416" i="1"/>
  <c r="Y414" i="1"/>
  <c r="X414" i="1"/>
  <c r="Y413" i="1"/>
  <c r="X413" i="1"/>
  <c r="BP412" i="1"/>
  <c r="BO412" i="1"/>
  <c r="BN412" i="1"/>
  <c r="BM412" i="1"/>
  <c r="Z412" i="1"/>
  <c r="Y412" i="1"/>
  <c r="P412" i="1"/>
  <c r="BP411" i="1"/>
  <c r="BO411" i="1"/>
  <c r="BN411" i="1"/>
  <c r="BM411" i="1"/>
  <c r="Z411" i="1"/>
  <c r="Y411" i="1"/>
  <c r="P411" i="1"/>
  <c r="BP410" i="1"/>
  <c r="BO410" i="1"/>
  <c r="BN410" i="1"/>
  <c r="BM410" i="1"/>
  <c r="Z410" i="1"/>
  <c r="Z413" i="1" s="1"/>
  <c r="Y410" i="1"/>
  <c r="P410" i="1"/>
  <c r="Y408" i="1"/>
  <c r="X408" i="1"/>
  <c r="X407" i="1"/>
  <c r="BP406" i="1"/>
  <c r="BO406" i="1"/>
  <c r="BN406" i="1"/>
  <c r="BM406" i="1"/>
  <c r="Z406" i="1"/>
  <c r="Y406" i="1"/>
  <c r="P406" i="1"/>
  <c r="BP405" i="1"/>
  <c r="BO405" i="1"/>
  <c r="BN405" i="1"/>
  <c r="BM405" i="1"/>
  <c r="Y405" i="1"/>
  <c r="Z405" i="1" s="1"/>
  <c r="P405" i="1"/>
  <c r="BP404" i="1"/>
  <c r="BO404" i="1"/>
  <c r="BN404" i="1"/>
  <c r="BM404" i="1"/>
  <c r="Z404" i="1"/>
  <c r="Y404" i="1"/>
  <c r="P404" i="1"/>
  <c r="BP403" i="1"/>
  <c r="BO403" i="1"/>
  <c r="BN403" i="1"/>
  <c r="BM403" i="1"/>
  <c r="Z403" i="1"/>
  <c r="Y403" i="1"/>
  <c r="P403" i="1"/>
  <c r="BP402" i="1"/>
  <c r="BO402" i="1"/>
  <c r="BN402" i="1"/>
  <c r="BM402" i="1"/>
  <c r="Z402" i="1"/>
  <c r="Y402" i="1"/>
  <c r="P402" i="1"/>
  <c r="BP401" i="1"/>
  <c r="BO401" i="1"/>
  <c r="BN401" i="1"/>
  <c r="BM401" i="1"/>
  <c r="Y401" i="1"/>
  <c r="Z401" i="1" s="1"/>
  <c r="P401" i="1"/>
  <c r="BP400" i="1"/>
  <c r="BO400" i="1"/>
  <c r="BN400" i="1"/>
  <c r="BM400" i="1"/>
  <c r="Y400" i="1"/>
  <c r="Z400" i="1" s="1"/>
  <c r="P400" i="1"/>
  <c r="BP399" i="1"/>
  <c r="BO399" i="1"/>
  <c r="BM399" i="1"/>
  <c r="Y399" i="1"/>
  <c r="BN399" i="1" s="1"/>
  <c r="P399" i="1"/>
  <c r="Y395" i="1"/>
  <c r="X395" i="1"/>
  <c r="X394" i="1"/>
  <c r="BP393" i="1"/>
  <c r="BO393" i="1"/>
  <c r="BN393" i="1"/>
  <c r="BM393" i="1"/>
  <c r="Z393" i="1"/>
  <c r="Y393" i="1"/>
  <c r="P393" i="1"/>
  <c r="BP392" i="1"/>
  <c r="BO392" i="1"/>
  <c r="BN392" i="1"/>
  <c r="BM392" i="1"/>
  <c r="Z392" i="1"/>
  <c r="Y392" i="1"/>
  <c r="P392" i="1"/>
  <c r="BP391" i="1"/>
  <c r="BO391" i="1"/>
  <c r="BN391" i="1"/>
  <c r="BM391" i="1"/>
  <c r="Y391" i="1"/>
  <c r="U536" i="1" s="1"/>
  <c r="P391" i="1"/>
  <c r="Y388" i="1"/>
  <c r="X388" i="1"/>
  <c r="X387" i="1"/>
  <c r="BP386" i="1"/>
  <c r="BO386" i="1"/>
  <c r="BN386" i="1"/>
  <c r="BM386" i="1"/>
  <c r="Y386" i="1"/>
  <c r="Z386" i="1" s="1"/>
  <c r="Z387" i="1" s="1"/>
  <c r="P386" i="1"/>
  <c r="BP385" i="1"/>
  <c r="BO385" i="1"/>
  <c r="BN385" i="1"/>
  <c r="BM385" i="1"/>
  <c r="Z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N380" i="1"/>
  <c r="BM380" i="1"/>
  <c r="Y380" i="1"/>
  <c r="Y382" i="1" s="1"/>
  <c r="P380" i="1"/>
  <c r="BP379" i="1"/>
  <c r="BO379" i="1"/>
  <c r="BN379" i="1"/>
  <c r="BM379" i="1"/>
  <c r="Z379" i="1"/>
  <c r="Y379" i="1"/>
  <c r="P379" i="1"/>
  <c r="BP378" i="1"/>
  <c r="BO378" i="1"/>
  <c r="BN378" i="1"/>
  <c r="BM378" i="1"/>
  <c r="Y378" i="1"/>
  <c r="Z378" i="1" s="1"/>
  <c r="P378" i="1"/>
  <c r="BP377" i="1"/>
  <c r="BO377" i="1"/>
  <c r="BN377" i="1"/>
  <c r="BM377" i="1"/>
  <c r="Z377" i="1"/>
  <c r="Y377" i="1"/>
  <c r="Y381" i="1" s="1"/>
  <c r="P377" i="1"/>
  <c r="Y375" i="1"/>
  <c r="X375" i="1"/>
  <c r="Y374" i="1"/>
  <c r="X374" i="1"/>
  <c r="BP373" i="1"/>
  <c r="BO373" i="1"/>
  <c r="BN373" i="1"/>
  <c r="BM373" i="1"/>
  <c r="Z373" i="1"/>
  <c r="Y373" i="1"/>
  <c r="P373" i="1"/>
  <c r="BO372" i="1"/>
  <c r="BN372" i="1"/>
  <c r="BM372" i="1"/>
  <c r="Y372" i="1"/>
  <c r="BP372" i="1" s="1"/>
  <c r="P372" i="1"/>
  <c r="BP371" i="1"/>
  <c r="BO371" i="1"/>
  <c r="BN371" i="1"/>
  <c r="BM371" i="1"/>
  <c r="Z371" i="1"/>
  <c r="Y371" i="1"/>
  <c r="P371" i="1"/>
  <c r="X369" i="1"/>
  <c r="X368" i="1"/>
  <c r="BO367" i="1"/>
  <c r="BN367" i="1"/>
  <c r="BM367" i="1"/>
  <c r="Z367" i="1"/>
  <c r="Y367" i="1"/>
  <c r="BP367" i="1" s="1"/>
  <c r="P367" i="1"/>
  <c r="BO366" i="1"/>
  <c r="BN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N364" i="1"/>
  <c r="BM364" i="1"/>
  <c r="Y364" i="1"/>
  <c r="Y369" i="1" s="1"/>
  <c r="P364" i="1"/>
  <c r="X362" i="1"/>
  <c r="X361" i="1"/>
  <c r="BP360" i="1"/>
  <c r="BO360" i="1"/>
  <c r="BN360" i="1"/>
  <c r="BM360" i="1"/>
  <c r="Z360" i="1"/>
  <c r="Y360" i="1"/>
  <c r="P360" i="1"/>
  <c r="BO359" i="1"/>
  <c r="BN359" i="1"/>
  <c r="BM359" i="1"/>
  <c r="Z359" i="1"/>
  <c r="Y359" i="1"/>
  <c r="BP359" i="1" s="1"/>
  <c r="P359" i="1"/>
  <c r="BO358" i="1"/>
  <c r="BN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N356" i="1"/>
  <c r="BM356" i="1"/>
  <c r="Y356" i="1"/>
  <c r="BP356" i="1" s="1"/>
  <c r="P356" i="1"/>
  <c r="BP355" i="1"/>
  <c r="BO355" i="1"/>
  <c r="BN355" i="1"/>
  <c r="BM355" i="1"/>
  <c r="Z355" i="1"/>
  <c r="Y355" i="1"/>
  <c r="P355" i="1"/>
  <c r="BP354" i="1"/>
  <c r="BO354" i="1"/>
  <c r="BN354" i="1"/>
  <c r="BM354" i="1"/>
  <c r="Y354" i="1"/>
  <c r="Z354" i="1" s="1"/>
  <c r="P354" i="1"/>
  <c r="X352" i="1"/>
  <c r="X351" i="1"/>
  <c r="BO350" i="1"/>
  <c r="BN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N348" i="1"/>
  <c r="BM348" i="1"/>
  <c r="Y348" i="1"/>
  <c r="BP348" i="1" s="1"/>
  <c r="P348" i="1"/>
  <c r="BP347" i="1"/>
  <c r="BO347" i="1"/>
  <c r="BN347" i="1"/>
  <c r="BM347" i="1"/>
  <c r="Z347" i="1"/>
  <c r="Y347" i="1"/>
  <c r="P347" i="1"/>
  <c r="BP346" i="1"/>
  <c r="BO346" i="1"/>
  <c r="BN346" i="1"/>
  <c r="BM346" i="1"/>
  <c r="Y346" i="1"/>
  <c r="Z346" i="1" s="1"/>
  <c r="P346" i="1"/>
  <c r="X343" i="1"/>
  <c r="X342" i="1"/>
  <c r="BO341" i="1"/>
  <c r="BN341" i="1"/>
  <c r="BM341" i="1"/>
  <c r="Y341" i="1"/>
  <c r="BP341" i="1" s="1"/>
  <c r="P341" i="1"/>
  <c r="BO340" i="1"/>
  <c r="BN340" i="1"/>
  <c r="BM340" i="1"/>
  <c r="Z340" i="1"/>
  <c r="Y340" i="1"/>
  <c r="BP340" i="1" s="1"/>
  <c r="P340" i="1"/>
  <c r="BO339" i="1"/>
  <c r="BN339" i="1"/>
  <c r="BM339" i="1"/>
  <c r="Y339" i="1"/>
  <c r="BP339" i="1" s="1"/>
  <c r="P339" i="1"/>
  <c r="X336" i="1"/>
  <c r="X335" i="1"/>
  <c r="BP334" i="1"/>
  <c r="BO334" i="1"/>
  <c r="BN334" i="1"/>
  <c r="BM334" i="1"/>
  <c r="Z334" i="1"/>
  <c r="Z335" i="1" s="1"/>
  <c r="Y334" i="1"/>
  <c r="P334" i="1"/>
  <c r="BO333" i="1"/>
  <c r="BN333" i="1"/>
  <c r="BM333" i="1"/>
  <c r="Z333" i="1"/>
  <c r="Y333" i="1"/>
  <c r="BP333" i="1" s="1"/>
  <c r="P333" i="1"/>
  <c r="X331" i="1"/>
  <c r="X330" i="1"/>
  <c r="BO329" i="1"/>
  <c r="BM329" i="1"/>
  <c r="Y329" i="1"/>
  <c r="BN329" i="1" s="1"/>
  <c r="P329" i="1"/>
  <c r="BO328" i="1"/>
  <c r="BM328" i="1"/>
  <c r="Z328" i="1"/>
  <c r="Y328" i="1"/>
  <c r="BP328" i="1" s="1"/>
  <c r="P328" i="1"/>
  <c r="BP327" i="1"/>
  <c r="BO327" i="1"/>
  <c r="BM327" i="1"/>
  <c r="Z327" i="1"/>
  <c r="Y327" i="1"/>
  <c r="BN327" i="1" s="1"/>
  <c r="P327" i="1"/>
  <c r="BP326" i="1"/>
  <c r="BO326" i="1"/>
  <c r="BN326" i="1"/>
  <c r="BM326" i="1"/>
  <c r="Z326" i="1"/>
  <c r="Y326" i="1"/>
  <c r="P326" i="1"/>
  <c r="BO325" i="1"/>
  <c r="BN325" i="1"/>
  <c r="BM325" i="1"/>
  <c r="Y325" i="1"/>
  <c r="BP325" i="1" s="1"/>
  <c r="P325" i="1"/>
  <c r="X322" i="1"/>
  <c r="X321" i="1"/>
  <c r="BO320" i="1"/>
  <c r="BM320" i="1"/>
  <c r="Y320" i="1"/>
  <c r="BN320" i="1" s="1"/>
  <c r="P320" i="1"/>
  <c r="BO319" i="1"/>
  <c r="BM319" i="1"/>
  <c r="Z319" i="1"/>
  <c r="Y319" i="1"/>
  <c r="BP319" i="1" s="1"/>
  <c r="P319" i="1"/>
  <c r="BP318" i="1"/>
  <c r="BO318" i="1"/>
  <c r="BM318" i="1"/>
  <c r="Z318" i="1"/>
  <c r="Y318" i="1"/>
  <c r="Q536" i="1" s="1"/>
  <c r="P318" i="1"/>
  <c r="X315" i="1"/>
  <c r="X314" i="1"/>
  <c r="BO313" i="1"/>
  <c r="BM313" i="1"/>
  <c r="Y313" i="1"/>
  <c r="BP313" i="1" s="1"/>
  <c r="P313" i="1"/>
  <c r="BO312" i="1"/>
  <c r="BM312" i="1"/>
  <c r="Z312" i="1"/>
  <c r="Y312" i="1"/>
  <c r="BP312" i="1" s="1"/>
  <c r="P312" i="1"/>
  <c r="BP311" i="1"/>
  <c r="BO311" i="1"/>
  <c r="BM311" i="1"/>
  <c r="Y311" i="1"/>
  <c r="BN311" i="1" s="1"/>
  <c r="P311" i="1"/>
  <c r="BO310" i="1"/>
  <c r="BM310" i="1"/>
  <c r="Z310" i="1"/>
  <c r="Y310" i="1"/>
  <c r="BP310" i="1" s="1"/>
  <c r="P310" i="1"/>
  <c r="BP309" i="1"/>
  <c r="BO309" i="1"/>
  <c r="BM309" i="1"/>
  <c r="Z309" i="1"/>
  <c r="Y309" i="1"/>
  <c r="P536" i="1" s="1"/>
  <c r="P309" i="1"/>
  <c r="X306" i="1"/>
  <c r="X305" i="1"/>
  <c r="BO304" i="1"/>
  <c r="BM304" i="1"/>
  <c r="Y304" i="1"/>
  <c r="BP304" i="1" s="1"/>
  <c r="P304" i="1"/>
  <c r="BO303" i="1"/>
  <c r="BM303" i="1"/>
  <c r="Z303" i="1"/>
  <c r="Y303" i="1"/>
  <c r="BP303" i="1" s="1"/>
  <c r="P303" i="1"/>
  <c r="BO302" i="1"/>
  <c r="BM302" i="1"/>
  <c r="Y302" i="1"/>
  <c r="BN302" i="1" s="1"/>
  <c r="P302" i="1"/>
  <c r="BO301" i="1"/>
  <c r="BM301" i="1"/>
  <c r="Z301" i="1"/>
  <c r="Y301" i="1"/>
  <c r="BP301" i="1" s="1"/>
  <c r="P301" i="1"/>
  <c r="Y299" i="1"/>
  <c r="X299" i="1"/>
  <c r="Y298" i="1"/>
  <c r="X298" i="1"/>
  <c r="BO297" i="1"/>
  <c r="BM297" i="1"/>
  <c r="Y297" i="1"/>
  <c r="Z297" i="1" s="1"/>
  <c r="Z298" i="1" s="1"/>
  <c r="P297" i="1"/>
  <c r="X295" i="1"/>
  <c r="X294" i="1"/>
  <c r="BP293" i="1"/>
  <c r="BO293" i="1"/>
  <c r="BN293" i="1"/>
  <c r="BM293" i="1"/>
  <c r="Y293" i="1"/>
  <c r="Y295" i="1" s="1"/>
  <c r="P293" i="1"/>
  <c r="X291" i="1"/>
  <c r="X290" i="1"/>
  <c r="BP289" i="1"/>
  <c r="BO289" i="1"/>
  <c r="BN289" i="1"/>
  <c r="BM289" i="1"/>
  <c r="Y289" i="1"/>
  <c r="Z289" i="1" s="1"/>
  <c r="P289" i="1"/>
  <c r="BP288" i="1"/>
  <c r="BO288" i="1"/>
  <c r="BN288" i="1"/>
  <c r="BM288" i="1"/>
  <c r="Z288" i="1"/>
  <c r="Y288" i="1"/>
  <c r="P288" i="1"/>
  <c r="BP287" i="1"/>
  <c r="BO287" i="1"/>
  <c r="BN287" i="1"/>
  <c r="BM287" i="1"/>
  <c r="Z287" i="1"/>
  <c r="Y287" i="1"/>
  <c r="P287" i="1"/>
  <c r="BP286" i="1"/>
  <c r="BO286" i="1"/>
  <c r="BN286" i="1"/>
  <c r="BM286" i="1"/>
  <c r="Z286" i="1"/>
  <c r="Y286" i="1"/>
  <c r="P286" i="1"/>
  <c r="BP285" i="1"/>
  <c r="BO285" i="1"/>
  <c r="BN285" i="1"/>
  <c r="BM285" i="1"/>
  <c r="Y285" i="1"/>
  <c r="Z285" i="1" s="1"/>
  <c r="P285" i="1"/>
  <c r="BP284" i="1"/>
  <c r="BO284" i="1"/>
  <c r="BN284" i="1"/>
  <c r="BM284" i="1"/>
  <c r="Y284" i="1"/>
  <c r="Z284" i="1" s="1"/>
  <c r="P284" i="1"/>
  <c r="BP283" i="1"/>
  <c r="BO283" i="1"/>
  <c r="BM283" i="1"/>
  <c r="Y283" i="1"/>
  <c r="BN283" i="1" s="1"/>
  <c r="P283" i="1"/>
  <c r="Y280" i="1"/>
  <c r="X280" i="1"/>
  <c r="Z279" i="1"/>
  <c r="X279" i="1"/>
  <c r="BP278" i="1"/>
  <c r="BO278" i="1"/>
  <c r="BN278" i="1"/>
  <c r="BM278" i="1"/>
  <c r="Z278" i="1"/>
  <c r="Y278" i="1"/>
  <c r="Y279" i="1" s="1"/>
  <c r="P278" i="1"/>
  <c r="BP277" i="1"/>
  <c r="BO277" i="1"/>
  <c r="BN277" i="1"/>
  <c r="BM277" i="1"/>
  <c r="Z277" i="1"/>
  <c r="Y277" i="1"/>
  <c r="P277" i="1"/>
  <c r="X275" i="1"/>
  <c r="X274" i="1"/>
  <c r="BP273" i="1"/>
  <c r="BO273" i="1"/>
  <c r="BN273" i="1"/>
  <c r="BM273" i="1"/>
  <c r="Z273" i="1"/>
  <c r="Y273" i="1"/>
  <c r="P273" i="1"/>
  <c r="BP272" i="1"/>
  <c r="BO272" i="1"/>
  <c r="BN272" i="1"/>
  <c r="BM272" i="1"/>
  <c r="Y272" i="1"/>
  <c r="Z272" i="1" s="1"/>
  <c r="P272" i="1"/>
  <c r="BP271" i="1"/>
  <c r="BO271" i="1"/>
  <c r="BN271" i="1"/>
  <c r="BM271" i="1"/>
  <c r="Z271" i="1"/>
  <c r="Y271" i="1"/>
  <c r="P271" i="1"/>
  <c r="BP270" i="1"/>
  <c r="BO270" i="1"/>
  <c r="BN270" i="1"/>
  <c r="BM270" i="1"/>
  <c r="Z270" i="1"/>
  <c r="Y270" i="1"/>
  <c r="P270" i="1"/>
  <c r="BP269" i="1"/>
  <c r="BO269" i="1"/>
  <c r="BN269" i="1"/>
  <c r="BM269" i="1"/>
  <c r="Z269" i="1"/>
  <c r="Y269" i="1"/>
  <c r="P269" i="1"/>
  <c r="BP268" i="1"/>
  <c r="BO268" i="1"/>
  <c r="BN268" i="1"/>
  <c r="BM268" i="1"/>
  <c r="Y268" i="1"/>
  <c r="Z268" i="1" s="1"/>
  <c r="P268" i="1"/>
  <c r="BP267" i="1"/>
  <c r="BO267" i="1"/>
  <c r="BN267" i="1"/>
  <c r="BM267" i="1"/>
  <c r="Y267" i="1"/>
  <c r="Z267" i="1" s="1"/>
  <c r="P267" i="1"/>
  <c r="BP266" i="1"/>
  <c r="BO266" i="1"/>
  <c r="BM266" i="1"/>
  <c r="Y266" i="1"/>
  <c r="BN266" i="1" s="1"/>
  <c r="P266" i="1"/>
  <c r="BO265" i="1"/>
  <c r="BN265" i="1"/>
  <c r="BM265" i="1"/>
  <c r="Y265" i="1"/>
  <c r="BP265" i="1" s="1"/>
  <c r="P265" i="1"/>
  <c r="BO264" i="1"/>
  <c r="BM264" i="1"/>
  <c r="Y264" i="1"/>
  <c r="Z264" i="1" s="1"/>
  <c r="P264" i="1"/>
  <c r="BO263" i="1"/>
  <c r="BM263" i="1"/>
  <c r="Y263" i="1"/>
  <c r="BP263" i="1" s="1"/>
  <c r="P263" i="1"/>
  <c r="BO262" i="1"/>
  <c r="BM262" i="1"/>
  <c r="Z262" i="1"/>
  <c r="Y262" i="1"/>
  <c r="BP262" i="1" s="1"/>
  <c r="P262" i="1"/>
  <c r="X260" i="1"/>
  <c r="X259" i="1"/>
  <c r="BP258" i="1"/>
  <c r="BO258" i="1"/>
  <c r="BM258" i="1"/>
  <c r="Y258" i="1"/>
  <c r="BN258" i="1" s="1"/>
  <c r="P258" i="1"/>
  <c r="BO257" i="1"/>
  <c r="BN257" i="1"/>
  <c r="BM257" i="1"/>
  <c r="Y257" i="1"/>
  <c r="BP257" i="1" s="1"/>
  <c r="P257" i="1"/>
  <c r="BO256" i="1"/>
  <c r="BM256" i="1"/>
  <c r="Y256" i="1"/>
  <c r="Z256" i="1" s="1"/>
  <c r="P256" i="1"/>
  <c r="BO255" i="1"/>
  <c r="BM255" i="1"/>
  <c r="Y255" i="1"/>
  <c r="BP255" i="1" s="1"/>
  <c r="P255" i="1"/>
  <c r="BO254" i="1"/>
  <c r="BM254" i="1"/>
  <c r="Z254" i="1"/>
  <c r="Y254" i="1"/>
  <c r="BP254" i="1" s="1"/>
  <c r="P254" i="1"/>
  <c r="BO253" i="1"/>
  <c r="BM253" i="1"/>
  <c r="Y253" i="1"/>
  <c r="BN253" i="1" s="1"/>
  <c r="P253" i="1"/>
  <c r="BO252" i="1"/>
  <c r="BM252" i="1"/>
  <c r="Z252" i="1"/>
  <c r="Y252" i="1"/>
  <c r="Y259" i="1" s="1"/>
  <c r="P252" i="1"/>
  <c r="BP251" i="1"/>
  <c r="BO251" i="1"/>
  <c r="BM251" i="1"/>
  <c r="Z251" i="1"/>
  <c r="Y251" i="1"/>
  <c r="BN251" i="1" s="1"/>
  <c r="P251" i="1"/>
  <c r="X249" i="1"/>
  <c r="X248" i="1"/>
  <c r="BO247" i="1"/>
  <c r="BM247" i="1"/>
  <c r="Y247" i="1"/>
  <c r="Y248" i="1" s="1"/>
  <c r="P247" i="1"/>
  <c r="BO246" i="1"/>
  <c r="BM246" i="1"/>
  <c r="Z246" i="1"/>
  <c r="Y246" i="1"/>
  <c r="BP246" i="1" s="1"/>
  <c r="P246" i="1"/>
  <c r="X244" i="1"/>
  <c r="X243" i="1"/>
  <c r="BP242" i="1"/>
  <c r="BO242" i="1"/>
  <c r="BM242" i="1"/>
  <c r="Y242" i="1"/>
  <c r="BN242" i="1" s="1"/>
  <c r="P242" i="1"/>
  <c r="BO241" i="1"/>
  <c r="BM241" i="1"/>
  <c r="Y241" i="1"/>
  <c r="Y243" i="1" s="1"/>
  <c r="P241" i="1"/>
  <c r="Y238" i="1"/>
  <c r="X238" i="1"/>
  <c r="Y237" i="1"/>
  <c r="X237" i="1"/>
  <c r="BP236" i="1"/>
  <c r="BO236" i="1"/>
  <c r="BN236" i="1"/>
  <c r="BM236" i="1"/>
  <c r="Z236" i="1"/>
  <c r="Z237" i="1" s="1"/>
  <c r="Y236" i="1"/>
  <c r="P236" i="1"/>
  <c r="Y234" i="1"/>
  <c r="X234" i="1"/>
  <c r="Y233" i="1"/>
  <c r="X233" i="1"/>
  <c r="BP232" i="1"/>
  <c r="BO232" i="1"/>
  <c r="BN232" i="1"/>
  <c r="BM232" i="1"/>
  <c r="Z232" i="1"/>
  <c r="Y232" i="1"/>
  <c r="P232" i="1"/>
  <c r="BP231" i="1"/>
  <c r="BO231" i="1"/>
  <c r="BN231" i="1"/>
  <c r="BM231" i="1"/>
  <c r="Y231" i="1"/>
  <c r="Z231" i="1" s="1"/>
  <c r="P231" i="1"/>
  <c r="BP230" i="1"/>
  <c r="BO230" i="1"/>
  <c r="BN230" i="1"/>
  <c r="BM230" i="1"/>
  <c r="Z230" i="1"/>
  <c r="Y230" i="1"/>
  <c r="P230" i="1"/>
  <c r="X228" i="1"/>
  <c r="X227" i="1"/>
  <c r="BP226" i="1"/>
  <c r="BO226" i="1"/>
  <c r="BN226" i="1"/>
  <c r="BM226" i="1"/>
  <c r="Z226" i="1"/>
  <c r="Y226" i="1"/>
  <c r="P226" i="1"/>
  <c r="BO225" i="1"/>
  <c r="BN225" i="1"/>
  <c r="BM225" i="1"/>
  <c r="Y225" i="1"/>
  <c r="BP225" i="1" s="1"/>
  <c r="P225" i="1"/>
  <c r="X223" i="1"/>
  <c r="X222" i="1"/>
  <c r="BO221" i="1"/>
  <c r="BN221" i="1"/>
  <c r="BM221" i="1"/>
  <c r="Z221" i="1"/>
  <c r="Y221" i="1"/>
  <c r="BP221" i="1" s="1"/>
  <c r="P221" i="1"/>
  <c r="BO220" i="1"/>
  <c r="BN220" i="1"/>
  <c r="BM220" i="1"/>
  <c r="Z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N217" i="1"/>
  <c r="BM217" i="1"/>
  <c r="Y217" i="1"/>
  <c r="BP217" i="1" s="1"/>
  <c r="P217" i="1"/>
  <c r="BP216" i="1"/>
  <c r="BO216" i="1"/>
  <c r="BN216" i="1"/>
  <c r="BM216" i="1"/>
  <c r="Z216" i="1"/>
  <c r="Y216" i="1"/>
  <c r="P216" i="1"/>
  <c r="BP215" i="1"/>
  <c r="BO215" i="1"/>
  <c r="BN215" i="1"/>
  <c r="BM215" i="1"/>
  <c r="Y215" i="1"/>
  <c r="Z215" i="1" s="1"/>
  <c r="P215" i="1"/>
  <c r="BP214" i="1"/>
  <c r="BO214" i="1"/>
  <c r="BN214" i="1"/>
  <c r="BM214" i="1"/>
  <c r="Z214" i="1"/>
  <c r="Y214" i="1"/>
  <c r="P214" i="1"/>
  <c r="BP213" i="1"/>
  <c r="BO213" i="1"/>
  <c r="BN213" i="1"/>
  <c r="BM213" i="1"/>
  <c r="Z213" i="1"/>
  <c r="Y213" i="1"/>
  <c r="P213" i="1"/>
  <c r="BP212" i="1"/>
  <c r="BO212" i="1"/>
  <c r="BN212" i="1"/>
  <c r="BM212" i="1"/>
  <c r="Z212" i="1"/>
  <c r="Y212" i="1"/>
  <c r="P212" i="1"/>
  <c r="BP211" i="1"/>
  <c r="BO211" i="1"/>
  <c r="BN211" i="1"/>
  <c r="BM211" i="1"/>
  <c r="Y211" i="1"/>
  <c r="Z211" i="1" s="1"/>
  <c r="P211" i="1"/>
  <c r="BP210" i="1"/>
  <c r="BO210" i="1"/>
  <c r="BN210" i="1"/>
  <c r="BM210" i="1"/>
  <c r="Y210" i="1"/>
  <c r="Z210" i="1" s="1"/>
  <c r="P210" i="1"/>
  <c r="BP209" i="1"/>
  <c r="BO209" i="1"/>
  <c r="BM209" i="1"/>
  <c r="Y209" i="1"/>
  <c r="BN209" i="1" s="1"/>
  <c r="P209" i="1"/>
  <c r="BO208" i="1"/>
  <c r="BN208" i="1"/>
  <c r="BM208" i="1"/>
  <c r="Y208" i="1"/>
  <c r="BP208" i="1" s="1"/>
  <c r="P208" i="1"/>
  <c r="Y206" i="1"/>
  <c r="X206" i="1"/>
  <c r="Y205" i="1"/>
  <c r="X205" i="1"/>
  <c r="BP204" i="1"/>
  <c r="BO204" i="1"/>
  <c r="BN204" i="1"/>
  <c r="BM204" i="1"/>
  <c r="Z204" i="1"/>
  <c r="Z205" i="1" s="1"/>
  <c r="Y204" i="1"/>
  <c r="L536" i="1" s="1"/>
  <c r="P204" i="1"/>
  <c r="Y201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Y198" i="1"/>
  <c r="BP198" i="1" s="1"/>
  <c r="P198" i="1"/>
  <c r="BP197" i="1"/>
  <c r="BO197" i="1"/>
  <c r="BN197" i="1"/>
  <c r="BM197" i="1"/>
  <c r="Z197" i="1"/>
  <c r="Y197" i="1"/>
  <c r="P197" i="1"/>
  <c r="BP196" i="1"/>
  <c r="BO196" i="1"/>
  <c r="BN196" i="1"/>
  <c r="BM196" i="1"/>
  <c r="Z196" i="1"/>
  <c r="Y196" i="1"/>
  <c r="K536" i="1" s="1"/>
  <c r="P196" i="1"/>
  <c r="X192" i="1"/>
  <c r="X191" i="1"/>
  <c r="BO190" i="1"/>
  <c r="BN190" i="1"/>
  <c r="BM190" i="1"/>
  <c r="Y190" i="1"/>
  <c r="Y191" i="1" s="1"/>
  <c r="P190" i="1"/>
  <c r="X188" i="1"/>
  <c r="X187" i="1"/>
  <c r="BO186" i="1"/>
  <c r="BN186" i="1"/>
  <c r="BM186" i="1"/>
  <c r="Z186" i="1"/>
  <c r="Z187" i="1" s="1"/>
  <c r="Y186" i="1"/>
  <c r="BP186" i="1" s="1"/>
  <c r="P186" i="1"/>
  <c r="BO185" i="1"/>
  <c r="BN185" i="1"/>
  <c r="BM185" i="1"/>
  <c r="Z185" i="1"/>
  <c r="Y185" i="1"/>
  <c r="BP185" i="1" s="1"/>
  <c r="P185" i="1"/>
  <c r="X183" i="1"/>
  <c r="X182" i="1"/>
  <c r="BO181" i="1"/>
  <c r="BM181" i="1"/>
  <c r="Y181" i="1"/>
  <c r="BN181" i="1" s="1"/>
  <c r="P181" i="1"/>
  <c r="BO180" i="1"/>
  <c r="BM180" i="1"/>
  <c r="Z180" i="1"/>
  <c r="Y180" i="1"/>
  <c r="BP180" i="1" s="1"/>
  <c r="P180" i="1"/>
  <c r="BP179" i="1"/>
  <c r="BO179" i="1"/>
  <c r="BM179" i="1"/>
  <c r="Z179" i="1"/>
  <c r="Y179" i="1"/>
  <c r="Y183" i="1" s="1"/>
  <c r="P179" i="1"/>
  <c r="X177" i="1"/>
  <c r="X176" i="1"/>
  <c r="BO175" i="1"/>
  <c r="BM175" i="1"/>
  <c r="Y175" i="1"/>
  <c r="BP175" i="1" s="1"/>
  <c r="P175" i="1"/>
  <c r="BO174" i="1"/>
  <c r="BM174" i="1"/>
  <c r="Z174" i="1"/>
  <c r="Y174" i="1"/>
  <c r="BP174" i="1" s="1"/>
  <c r="P174" i="1"/>
  <c r="BP173" i="1"/>
  <c r="BO173" i="1"/>
  <c r="BM173" i="1"/>
  <c r="Y173" i="1"/>
  <c r="BN173" i="1" s="1"/>
  <c r="P173" i="1"/>
  <c r="BO172" i="1"/>
  <c r="BM172" i="1"/>
  <c r="Z172" i="1"/>
  <c r="Y172" i="1"/>
  <c r="BP172" i="1" s="1"/>
  <c r="P172" i="1"/>
  <c r="BP171" i="1"/>
  <c r="BO171" i="1"/>
  <c r="BM171" i="1"/>
  <c r="Z171" i="1"/>
  <c r="Y171" i="1"/>
  <c r="BN171" i="1" s="1"/>
  <c r="P171" i="1"/>
  <c r="BO170" i="1"/>
  <c r="BN170" i="1"/>
  <c r="BM170" i="1"/>
  <c r="Z170" i="1"/>
  <c r="Y170" i="1"/>
  <c r="BP170" i="1" s="1"/>
  <c r="P170" i="1"/>
  <c r="BO169" i="1"/>
  <c r="BN169" i="1"/>
  <c r="BM169" i="1"/>
  <c r="Z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N166" i="1"/>
  <c r="BM166" i="1"/>
  <c r="Y166" i="1"/>
  <c r="Y176" i="1" s="1"/>
  <c r="P166" i="1"/>
  <c r="Y164" i="1"/>
  <c r="X164" i="1"/>
  <c r="Y163" i="1"/>
  <c r="X163" i="1"/>
  <c r="BO162" i="1"/>
  <c r="BN162" i="1"/>
  <c r="BM162" i="1"/>
  <c r="Z162" i="1"/>
  <c r="Z163" i="1" s="1"/>
  <c r="Y162" i="1"/>
  <c r="BP162" i="1" s="1"/>
  <c r="P162" i="1"/>
  <c r="X160" i="1"/>
  <c r="Y159" i="1"/>
  <c r="X159" i="1"/>
  <c r="BO158" i="1"/>
  <c r="BM158" i="1"/>
  <c r="Z158" i="1"/>
  <c r="Y158" i="1"/>
  <c r="BP158" i="1" s="1"/>
  <c r="P158" i="1"/>
  <c r="BP157" i="1"/>
  <c r="BO157" i="1"/>
  <c r="BM157" i="1"/>
  <c r="Y157" i="1"/>
  <c r="BN157" i="1" s="1"/>
  <c r="P157" i="1"/>
  <c r="X154" i="1"/>
  <c r="X153" i="1"/>
  <c r="BO152" i="1"/>
  <c r="BN152" i="1"/>
  <c r="BM152" i="1"/>
  <c r="Y152" i="1"/>
  <c r="BP152" i="1" s="1"/>
  <c r="P152" i="1"/>
  <c r="BO151" i="1"/>
  <c r="BM151" i="1"/>
  <c r="Y151" i="1"/>
  <c r="Z151" i="1" s="1"/>
  <c r="P151" i="1"/>
  <c r="BO150" i="1"/>
  <c r="BM150" i="1"/>
  <c r="Y150" i="1"/>
  <c r="BP150" i="1" s="1"/>
  <c r="P150" i="1"/>
  <c r="BO149" i="1"/>
  <c r="BM149" i="1"/>
  <c r="Z149" i="1"/>
  <c r="Y149" i="1"/>
  <c r="Y154" i="1" s="1"/>
  <c r="P149" i="1"/>
  <c r="Y146" i="1"/>
  <c r="X146" i="1"/>
  <c r="X145" i="1"/>
  <c r="BP144" i="1"/>
  <c r="BO144" i="1"/>
  <c r="BM144" i="1"/>
  <c r="Y144" i="1"/>
  <c r="BN144" i="1" s="1"/>
  <c r="P144" i="1"/>
  <c r="BO143" i="1"/>
  <c r="BN143" i="1"/>
  <c r="BM143" i="1"/>
  <c r="Y143" i="1"/>
  <c r="Y145" i="1" s="1"/>
  <c r="P143" i="1"/>
  <c r="Y141" i="1"/>
  <c r="X141" i="1"/>
  <c r="X140" i="1"/>
  <c r="BP139" i="1"/>
  <c r="BO139" i="1"/>
  <c r="BN139" i="1"/>
  <c r="BM139" i="1"/>
  <c r="Z139" i="1"/>
  <c r="Y139" i="1"/>
  <c r="P139" i="1"/>
  <c r="BP138" i="1"/>
  <c r="BO138" i="1"/>
  <c r="BN138" i="1"/>
  <c r="BM138" i="1"/>
  <c r="Y138" i="1"/>
  <c r="Y140" i="1" s="1"/>
  <c r="P138" i="1"/>
  <c r="Y136" i="1"/>
  <c r="X136" i="1"/>
  <c r="X135" i="1"/>
  <c r="BO134" i="1"/>
  <c r="BN134" i="1"/>
  <c r="BM134" i="1"/>
  <c r="Y134" i="1"/>
  <c r="BP134" i="1" s="1"/>
  <c r="P134" i="1"/>
  <c r="BP133" i="1"/>
  <c r="BO133" i="1"/>
  <c r="BN133" i="1"/>
  <c r="BM133" i="1"/>
  <c r="Z133" i="1"/>
  <c r="Y133" i="1"/>
  <c r="H536" i="1" s="1"/>
  <c r="P133" i="1"/>
  <c r="Y130" i="1"/>
  <c r="X130" i="1"/>
  <c r="Z129" i="1"/>
  <c r="Y129" i="1"/>
  <c r="X129" i="1"/>
  <c r="BP128" i="1"/>
  <c r="BO128" i="1"/>
  <c r="BN128" i="1"/>
  <c r="BM128" i="1"/>
  <c r="Z128" i="1"/>
  <c r="Y128" i="1"/>
  <c r="P128" i="1"/>
  <c r="X126" i="1"/>
  <c r="X125" i="1"/>
  <c r="BP124" i="1"/>
  <c r="BO124" i="1"/>
  <c r="BM124" i="1"/>
  <c r="Z124" i="1"/>
  <c r="Y124" i="1"/>
  <c r="BN124" i="1" s="1"/>
  <c r="P124" i="1"/>
  <c r="BO123" i="1"/>
  <c r="BN123" i="1"/>
  <c r="BM123" i="1"/>
  <c r="Z123" i="1"/>
  <c r="Y123" i="1"/>
  <c r="BP123" i="1" s="1"/>
  <c r="P123" i="1"/>
  <c r="BO122" i="1"/>
  <c r="BN122" i="1"/>
  <c r="BM122" i="1"/>
  <c r="Z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Z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N115" i="1"/>
  <c r="BM115" i="1"/>
  <c r="Z115" i="1"/>
  <c r="Y115" i="1"/>
  <c r="BP115" i="1" s="1"/>
  <c r="P115" i="1"/>
  <c r="BO114" i="1"/>
  <c r="BN114" i="1"/>
  <c r="BM114" i="1"/>
  <c r="Z114" i="1"/>
  <c r="Y114" i="1"/>
  <c r="BP114" i="1" s="1"/>
  <c r="P114" i="1"/>
  <c r="BO113" i="1"/>
  <c r="BM113" i="1"/>
  <c r="Y113" i="1"/>
  <c r="Y118" i="1" s="1"/>
  <c r="P113" i="1"/>
  <c r="BP112" i="1"/>
  <c r="BO112" i="1"/>
  <c r="BN112" i="1"/>
  <c r="BM112" i="1"/>
  <c r="Z112" i="1"/>
  <c r="Y112" i="1"/>
  <c r="Y119" i="1" s="1"/>
  <c r="P112" i="1"/>
  <c r="X110" i="1"/>
  <c r="X109" i="1"/>
  <c r="BP108" i="1"/>
  <c r="BO108" i="1"/>
  <c r="BM108" i="1"/>
  <c r="Z108" i="1"/>
  <c r="Y108" i="1"/>
  <c r="BN108" i="1" s="1"/>
  <c r="P108" i="1"/>
  <c r="BO107" i="1"/>
  <c r="BN107" i="1"/>
  <c r="BM107" i="1"/>
  <c r="Z107" i="1"/>
  <c r="Y107" i="1"/>
  <c r="BP107" i="1" s="1"/>
  <c r="P107" i="1"/>
  <c r="BO106" i="1"/>
  <c r="BN106" i="1"/>
  <c r="BM106" i="1"/>
  <c r="Z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Z104" i="1"/>
  <c r="Y104" i="1"/>
  <c r="BP104" i="1" s="1"/>
  <c r="P104" i="1"/>
  <c r="BO103" i="1"/>
  <c r="BN103" i="1"/>
  <c r="BM103" i="1"/>
  <c r="Y103" i="1"/>
  <c r="BP103" i="1" s="1"/>
  <c r="P103" i="1"/>
  <c r="BP102" i="1"/>
  <c r="BO102" i="1"/>
  <c r="BN102" i="1"/>
  <c r="BM102" i="1"/>
  <c r="Z102" i="1"/>
  <c r="Y102" i="1"/>
  <c r="G536" i="1" s="1"/>
  <c r="P102" i="1"/>
  <c r="X99" i="1"/>
  <c r="X98" i="1"/>
  <c r="BO97" i="1"/>
  <c r="BN97" i="1"/>
  <c r="BM97" i="1"/>
  <c r="Z97" i="1"/>
  <c r="Y97" i="1"/>
  <c r="BP97" i="1" s="1"/>
  <c r="P97" i="1"/>
  <c r="BO96" i="1"/>
  <c r="BM96" i="1"/>
  <c r="Y96" i="1"/>
  <c r="BP96" i="1" s="1"/>
  <c r="P96" i="1"/>
  <c r="BO95" i="1"/>
  <c r="BN95" i="1"/>
  <c r="BM95" i="1"/>
  <c r="Z95" i="1"/>
  <c r="Y95" i="1"/>
  <c r="BP95" i="1" s="1"/>
  <c r="P95" i="1"/>
  <c r="BO94" i="1"/>
  <c r="BN94" i="1"/>
  <c r="BM94" i="1"/>
  <c r="Y94" i="1"/>
  <c r="Y99" i="1" s="1"/>
  <c r="P94" i="1"/>
  <c r="X92" i="1"/>
  <c r="X91" i="1"/>
  <c r="BO90" i="1"/>
  <c r="BN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Y88" i="1"/>
  <c r="BP88" i="1" s="1"/>
  <c r="P88" i="1"/>
  <c r="BO87" i="1"/>
  <c r="BN87" i="1"/>
  <c r="BM87" i="1"/>
  <c r="Z87" i="1"/>
  <c r="Y87" i="1"/>
  <c r="BP87" i="1" s="1"/>
  <c r="P87" i="1"/>
  <c r="X84" i="1"/>
  <c r="Z83" i="1"/>
  <c r="Y83" i="1"/>
  <c r="X83" i="1"/>
  <c r="BP82" i="1"/>
  <c r="BO82" i="1"/>
  <c r="BM82" i="1"/>
  <c r="Z82" i="1"/>
  <c r="Y82" i="1"/>
  <c r="BN82" i="1" s="1"/>
  <c r="P82" i="1"/>
  <c r="BO81" i="1"/>
  <c r="BN81" i="1"/>
  <c r="BM81" i="1"/>
  <c r="Z81" i="1"/>
  <c r="Y81" i="1"/>
  <c r="Y84" i="1" s="1"/>
  <c r="P81" i="1"/>
  <c r="X79" i="1"/>
  <c r="Y78" i="1"/>
  <c r="X78" i="1"/>
  <c r="BO77" i="1"/>
  <c r="BM77" i="1"/>
  <c r="Y77" i="1"/>
  <c r="BP77" i="1" s="1"/>
  <c r="P77" i="1"/>
  <c r="BP76" i="1"/>
  <c r="BO76" i="1"/>
  <c r="BM76" i="1"/>
  <c r="Y76" i="1"/>
  <c r="BN76" i="1" s="1"/>
  <c r="P76" i="1"/>
  <c r="X74" i="1"/>
  <c r="X73" i="1"/>
  <c r="BO72" i="1"/>
  <c r="BN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Y74" i="1" s="1"/>
  <c r="P69" i="1"/>
  <c r="X67" i="1"/>
  <c r="X66" i="1"/>
  <c r="BP65" i="1"/>
  <c r="BO65" i="1"/>
  <c r="BM65" i="1"/>
  <c r="Y65" i="1"/>
  <c r="BN65" i="1" s="1"/>
  <c r="P65" i="1"/>
  <c r="BO64" i="1"/>
  <c r="BN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M60" i="1"/>
  <c r="Y60" i="1"/>
  <c r="BN60" i="1" s="1"/>
  <c r="P60" i="1"/>
  <c r="BO59" i="1"/>
  <c r="BM59" i="1"/>
  <c r="Z59" i="1"/>
  <c r="Y59" i="1"/>
  <c r="Y66" i="1" s="1"/>
  <c r="P59" i="1"/>
  <c r="X56" i="1"/>
  <c r="X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M51" i="1"/>
  <c r="Y51" i="1"/>
  <c r="BN51" i="1" s="1"/>
  <c r="P51" i="1"/>
  <c r="X47" i="1"/>
  <c r="X46" i="1"/>
  <c r="BP45" i="1"/>
  <c r="BO45" i="1"/>
  <c r="BN45" i="1"/>
  <c r="BM45" i="1"/>
  <c r="Y45" i="1"/>
  <c r="Z45" i="1" s="1"/>
  <c r="P45" i="1"/>
  <c r="BO44" i="1"/>
  <c r="BM44" i="1"/>
  <c r="Y44" i="1"/>
  <c r="Z44" i="1" s="1"/>
  <c r="P44" i="1"/>
  <c r="BO43" i="1"/>
  <c r="BM43" i="1"/>
  <c r="Y43" i="1"/>
  <c r="BP43" i="1" s="1"/>
  <c r="P43" i="1"/>
  <c r="BO42" i="1"/>
  <c r="BM42" i="1"/>
  <c r="Y42" i="1"/>
  <c r="C536" i="1" s="1"/>
  <c r="P42" i="1"/>
  <c r="Y38" i="1"/>
  <c r="X38" i="1"/>
  <c r="X37" i="1"/>
  <c r="BP36" i="1"/>
  <c r="BO36" i="1"/>
  <c r="BM36" i="1"/>
  <c r="Y36" i="1"/>
  <c r="Y37" i="1" s="1"/>
  <c r="P36" i="1"/>
  <c r="Y34" i="1"/>
  <c r="X34" i="1"/>
  <c r="X33" i="1"/>
  <c r="BP32" i="1"/>
  <c r="BO32" i="1"/>
  <c r="BN32" i="1"/>
  <c r="BM32" i="1"/>
  <c r="Z32" i="1"/>
  <c r="Y32" i="1"/>
  <c r="P32" i="1"/>
  <c r="BP31" i="1"/>
  <c r="BO31" i="1"/>
  <c r="BN31" i="1"/>
  <c r="BM31" i="1"/>
  <c r="Z31" i="1"/>
  <c r="Y31" i="1"/>
  <c r="P31" i="1"/>
  <c r="BP30" i="1"/>
  <c r="BO30" i="1"/>
  <c r="BN30" i="1"/>
  <c r="BM30" i="1"/>
  <c r="Y30" i="1"/>
  <c r="Z30" i="1" s="1"/>
  <c r="P30" i="1"/>
  <c r="BP29" i="1"/>
  <c r="BO29" i="1"/>
  <c r="BN29" i="1"/>
  <c r="BM29" i="1"/>
  <c r="Y29" i="1"/>
  <c r="Z29" i="1" s="1"/>
  <c r="P29" i="1"/>
  <c r="BP28" i="1"/>
  <c r="BO28" i="1"/>
  <c r="BM28" i="1"/>
  <c r="Y28" i="1"/>
  <c r="BN28" i="1" s="1"/>
  <c r="P28" i="1"/>
  <c r="BP27" i="1"/>
  <c r="BO27" i="1"/>
  <c r="BN27" i="1"/>
  <c r="BM27" i="1"/>
  <c r="Y27" i="1"/>
  <c r="Y33" i="1" s="1"/>
  <c r="P27" i="1"/>
  <c r="Y25" i="1"/>
  <c r="X25" i="1"/>
  <c r="X526" i="1" s="1"/>
  <c r="X24" i="1"/>
  <c r="X530" i="1" s="1"/>
  <c r="BP23" i="1"/>
  <c r="BO23" i="1"/>
  <c r="BN23" i="1"/>
  <c r="BM23" i="1"/>
  <c r="Z23" i="1"/>
  <c r="Y23" i="1"/>
  <c r="P23" i="1"/>
  <c r="BP22" i="1"/>
  <c r="BO22" i="1"/>
  <c r="X528" i="1" s="1"/>
  <c r="BN22" i="1"/>
  <c r="BM22" i="1"/>
  <c r="X527" i="1" s="1"/>
  <c r="Y22" i="1"/>
  <c r="Y24" i="1" s="1"/>
  <c r="P22" i="1"/>
  <c r="H10" i="1"/>
  <c r="A10" i="1"/>
  <c r="A9" i="1"/>
  <c r="H9" i="1" s="1"/>
  <c r="D7" i="1"/>
  <c r="Q6" i="1"/>
  <c r="P2" i="1"/>
  <c r="X529" i="1" l="1"/>
  <c r="Z274" i="1"/>
  <c r="Z233" i="1"/>
  <c r="Z157" i="1"/>
  <c r="Z159" i="1" s="1"/>
  <c r="Y192" i="1"/>
  <c r="Z63" i="1"/>
  <c r="Z71" i="1"/>
  <c r="J9" i="1"/>
  <c r="BN44" i="1"/>
  <c r="BN54" i="1"/>
  <c r="BN63" i="1"/>
  <c r="BN71" i="1"/>
  <c r="BP81" i="1"/>
  <c r="Y135" i="1"/>
  <c r="BN151" i="1"/>
  <c r="Y177" i="1"/>
  <c r="Y249" i="1"/>
  <c r="BN256" i="1"/>
  <c r="BN264" i="1"/>
  <c r="Y290" i="1"/>
  <c r="BN297" i="1"/>
  <c r="Y306" i="1"/>
  <c r="Y315" i="1"/>
  <c r="Y387" i="1"/>
  <c r="BN421" i="1"/>
  <c r="BN471" i="1"/>
  <c r="Y506" i="1"/>
  <c r="BP181" i="1"/>
  <c r="Y227" i="1"/>
  <c r="Y244" i="1"/>
  <c r="BP253" i="1"/>
  <c r="Y260" i="1"/>
  <c r="BP302" i="1"/>
  <c r="BP320" i="1"/>
  <c r="BP329" i="1"/>
  <c r="BP427" i="1"/>
  <c r="I536" i="1"/>
  <c r="F10" i="1"/>
  <c r="BP44" i="1"/>
  <c r="Y528" i="1" s="1"/>
  <c r="BP54" i="1"/>
  <c r="Z88" i="1"/>
  <c r="Z91" i="1" s="1"/>
  <c r="Y91" i="1"/>
  <c r="Z96" i="1"/>
  <c r="Z105" i="1"/>
  <c r="Z113" i="1"/>
  <c r="Z118" i="1" s="1"/>
  <c r="Z121" i="1"/>
  <c r="Z125" i="1" s="1"/>
  <c r="BP151" i="1"/>
  <c r="Z168" i="1"/>
  <c r="Y187" i="1"/>
  <c r="Z219" i="1"/>
  <c r="Y222" i="1"/>
  <c r="BP256" i="1"/>
  <c r="BP264" i="1"/>
  <c r="BP297" i="1"/>
  <c r="Y335" i="1"/>
  <c r="Z341" i="1"/>
  <c r="Z350" i="1"/>
  <c r="Z358" i="1"/>
  <c r="Y361" i="1"/>
  <c r="Z366" i="1"/>
  <c r="BP421" i="1"/>
  <c r="Z448" i="1"/>
  <c r="BP471" i="1"/>
  <c r="Y486" i="1"/>
  <c r="Z513" i="1"/>
  <c r="Z514" i="1" s="1"/>
  <c r="J536" i="1"/>
  <c r="Y182" i="1"/>
  <c r="Y291" i="1"/>
  <c r="Y321" i="1"/>
  <c r="Y330" i="1"/>
  <c r="Y428" i="1"/>
  <c r="BP490" i="1"/>
  <c r="BP500" i="1"/>
  <c r="Z508" i="1"/>
  <c r="Z510" i="1" s="1"/>
  <c r="Z42" i="1"/>
  <c r="Y55" i="1"/>
  <c r="Z61" i="1"/>
  <c r="Z69" i="1"/>
  <c r="Z73" i="1" s="1"/>
  <c r="Z77" i="1"/>
  <c r="BN88" i="1"/>
  <c r="BN113" i="1"/>
  <c r="BN513" i="1"/>
  <c r="Y67" i="1"/>
  <c r="BN96" i="1"/>
  <c r="BN105" i="1"/>
  <c r="BN168" i="1"/>
  <c r="Y92" i="1"/>
  <c r="Z143" i="1"/>
  <c r="Z152" i="1"/>
  <c r="BN179" i="1"/>
  <c r="Y188" i="1"/>
  <c r="Z208" i="1"/>
  <c r="Y223" i="1"/>
  <c r="Z257" i="1"/>
  <c r="Z265" i="1"/>
  <c r="BN309" i="1"/>
  <c r="BN318" i="1"/>
  <c r="Y336" i="1"/>
  <c r="Y362" i="1"/>
  <c r="Z462" i="1"/>
  <c r="Y465" i="1"/>
  <c r="Z472" i="1"/>
  <c r="Z488" i="1"/>
  <c r="Y501" i="1"/>
  <c r="BN508" i="1"/>
  <c r="M536" i="1"/>
  <c r="Z52" i="1"/>
  <c r="BN121" i="1"/>
  <c r="BN219" i="1"/>
  <c r="Y228" i="1"/>
  <c r="Z27" i="1"/>
  <c r="Z64" i="1"/>
  <c r="Z72" i="1"/>
  <c r="Z241" i="1"/>
  <c r="Z22" i="1"/>
  <c r="Z24" i="1" s="1"/>
  <c r="BN42" i="1"/>
  <c r="BN52" i="1"/>
  <c r="BN61" i="1"/>
  <c r="BN69" i="1"/>
  <c r="BN77" i="1"/>
  <c r="BP113" i="1"/>
  <c r="BP121" i="1"/>
  <c r="Z138" i="1"/>
  <c r="Z140" i="1" s="1"/>
  <c r="BN149" i="1"/>
  <c r="BN158" i="1"/>
  <c r="BN174" i="1"/>
  <c r="BN246" i="1"/>
  <c r="BN254" i="1"/>
  <c r="BN262" i="1"/>
  <c r="Z293" i="1"/>
  <c r="Z294" i="1" s="1"/>
  <c r="BN303" i="1"/>
  <c r="BN312" i="1"/>
  <c r="Y322" i="1"/>
  <c r="Y331" i="1"/>
  <c r="Z391" i="1"/>
  <c r="Z394" i="1" s="1"/>
  <c r="Y394" i="1"/>
  <c r="Y429" i="1"/>
  <c r="BP448" i="1"/>
  <c r="BP513" i="1"/>
  <c r="O536" i="1"/>
  <c r="BN241" i="1"/>
  <c r="Y274" i="1"/>
  <c r="Y407" i="1"/>
  <c r="Y423" i="1"/>
  <c r="BN462" i="1"/>
  <c r="BN472" i="1"/>
  <c r="BN488" i="1"/>
  <c r="Y56" i="1"/>
  <c r="BP42" i="1"/>
  <c r="BP69" i="1"/>
  <c r="Z94" i="1"/>
  <c r="Z98" i="1" s="1"/>
  <c r="Z103" i="1"/>
  <c r="Z109" i="1" s="1"/>
  <c r="BP149" i="1"/>
  <c r="Z166" i="1"/>
  <c r="Z176" i="1" s="1"/>
  <c r="Z190" i="1"/>
  <c r="Z191" i="1" s="1"/>
  <c r="Z217" i="1"/>
  <c r="Z225" i="1"/>
  <c r="Z227" i="1" s="1"/>
  <c r="Z339" i="1"/>
  <c r="Z342" i="1" s="1"/>
  <c r="Y342" i="1"/>
  <c r="Z348" i="1"/>
  <c r="Z351" i="1" s="1"/>
  <c r="Y351" i="1"/>
  <c r="Z356" i="1"/>
  <c r="Z361" i="1" s="1"/>
  <c r="Z364" i="1"/>
  <c r="Z368" i="1" s="1"/>
  <c r="Z372" i="1"/>
  <c r="Z374" i="1" s="1"/>
  <c r="Z380" i="1"/>
  <c r="Z381" i="1" s="1"/>
  <c r="Z436" i="1"/>
  <c r="Z438" i="1" s="1"/>
  <c r="Z446" i="1"/>
  <c r="Z449" i="1" s="1"/>
  <c r="Y449" i="1"/>
  <c r="Y466" i="1"/>
  <c r="Y502" i="1"/>
  <c r="Y109" i="1"/>
  <c r="Y125" i="1"/>
  <c r="BP143" i="1"/>
  <c r="BP241" i="1"/>
  <c r="Z325" i="1"/>
  <c r="Z330" i="1" s="1"/>
  <c r="BP488" i="1"/>
  <c r="R536" i="1"/>
  <c r="S536" i="1"/>
  <c r="Y73" i="1"/>
  <c r="BN89" i="1"/>
  <c r="Z175" i="1"/>
  <c r="Z247" i="1"/>
  <c r="Z248" i="1" s="1"/>
  <c r="Z255" i="1"/>
  <c r="Z304" i="1"/>
  <c r="T536" i="1"/>
  <c r="Z150" i="1"/>
  <c r="Z153" i="1" s="1"/>
  <c r="Z263" i="1"/>
  <c r="Z313" i="1"/>
  <c r="Y343" i="1"/>
  <c r="Y352" i="1"/>
  <c r="Z470" i="1"/>
  <c r="Z479" i="1" s="1"/>
  <c r="Z504" i="1"/>
  <c r="Z505" i="1" s="1"/>
  <c r="Z28" i="1"/>
  <c r="Z36" i="1"/>
  <c r="Z37" i="1" s="1"/>
  <c r="BN59" i="1"/>
  <c r="Z65" i="1"/>
  <c r="BP94" i="1"/>
  <c r="Y110" i="1"/>
  <c r="BN117" i="1"/>
  <c r="Z144" i="1"/>
  <c r="BP166" i="1"/>
  <c r="BN172" i="1"/>
  <c r="BN180" i="1"/>
  <c r="BP190" i="1"/>
  <c r="Z209" i="1"/>
  <c r="Z242" i="1"/>
  <c r="BN252" i="1"/>
  <c r="Z258" i="1"/>
  <c r="Z266" i="1"/>
  <c r="Z283" i="1"/>
  <c r="Z290" i="1" s="1"/>
  <c r="Y294" i="1"/>
  <c r="BN301" i="1"/>
  <c r="BN310" i="1"/>
  <c r="BN319" i="1"/>
  <c r="BN328" i="1"/>
  <c r="BP364" i="1"/>
  <c r="BP380" i="1"/>
  <c r="Z399" i="1"/>
  <c r="Z407" i="1" s="1"/>
  <c r="Y418" i="1"/>
  <c r="BN426" i="1"/>
  <c r="Z463" i="1"/>
  <c r="Z473" i="1"/>
  <c r="Z489" i="1"/>
  <c r="BN509" i="1"/>
  <c r="Z43" i="1"/>
  <c r="Y46" i="1"/>
  <c r="Y530" i="1" s="1"/>
  <c r="Z53" i="1"/>
  <c r="Z62" i="1"/>
  <c r="Z70" i="1"/>
  <c r="Y153" i="1"/>
  <c r="BN43" i="1"/>
  <c r="BN62" i="1"/>
  <c r="BN150" i="1"/>
  <c r="Y160" i="1"/>
  <c r="BN175" i="1"/>
  <c r="BN247" i="1"/>
  <c r="BN255" i="1"/>
  <c r="BN263" i="1"/>
  <c r="BN304" i="1"/>
  <c r="BN313" i="1"/>
  <c r="BP431" i="1"/>
  <c r="BN470" i="1"/>
  <c r="Y479" i="1"/>
  <c r="Y495" i="1"/>
  <c r="BN504" i="1"/>
  <c r="V536" i="1"/>
  <c r="BN36" i="1"/>
  <c r="Y527" i="1" s="1"/>
  <c r="Y47" i="1"/>
  <c r="Y526" i="1" s="1"/>
  <c r="BP59" i="1"/>
  <c r="Z134" i="1"/>
  <c r="Z135" i="1" s="1"/>
  <c r="Z198" i="1"/>
  <c r="Z200" i="1" s="1"/>
  <c r="BP252" i="1"/>
  <c r="BP426" i="1"/>
  <c r="Z517" i="1"/>
  <c r="Z519" i="1" s="1"/>
  <c r="B536" i="1"/>
  <c r="Y275" i="1"/>
  <c r="BN53" i="1"/>
  <c r="BN70" i="1"/>
  <c r="Y79" i="1"/>
  <c r="Y98" i="1"/>
  <c r="BP247" i="1"/>
  <c r="Y368" i="1"/>
  <c r="Y419" i="1"/>
  <c r="BN458" i="1"/>
  <c r="BP470" i="1"/>
  <c r="BP504" i="1"/>
  <c r="Y480" i="1"/>
  <c r="Y510" i="1"/>
  <c r="BN517" i="1"/>
  <c r="D536" i="1"/>
  <c r="Y536" i="1"/>
  <c r="Z60" i="1"/>
  <c r="Z66" i="1" s="1"/>
  <c r="Z76" i="1"/>
  <c r="Z253" i="1"/>
  <c r="Z259" i="1" s="1"/>
  <c r="Z302" i="1"/>
  <c r="Z305" i="1" s="1"/>
  <c r="Y305" i="1"/>
  <c r="Z311" i="1"/>
  <c r="Z314" i="1" s="1"/>
  <c r="Y314" i="1"/>
  <c r="Z320" i="1"/>
  <c r="Z321" i="1" s="1"/>
  <c r="Z329" i="1"/>
  <c r="Z427" i="1"/>
  <c r="Z428" i="1" s="1"/>
  <c r="BP523" i="1"/>
  <c r="E536" i="1"/>
  <c r="Z51" i="1"/>
  <c r="Z55" i="1" s="1"/>
  <c r="Z173" i="1"/>
  <c r="Z181" i="1"/>
  <c r="Z182" i="1" s="1"/>
  <c r="F536" i="1"/>
  <c r="AA536" i="1"/>
  <c r="F9" i="1"/>
  <c r="Z482" i="1"/>
  <c r="Z485" i="1" s="1"/>
  <c r="Y524" i="1"/>
  <c r="Y529" i="1" l="1"/>
  <c r="Z46" i="1"/>
  <c r="Z243" i="1"/>
  <c r="Z222" i="1"/>
  <c r="Z33" i="1"/>
  <c r="Z531" i="1" s="1"/>
  <c r="Z145" i="1"/>
  <c r="Z78" i="1"/>
  <c r="Z495" i="1"/>
  <c r="Z465" i="1"/>
</calcChain>
</file>

<file path=xl/sharedStrings.xml><?xml version="1.0" encoding="utf-8"?>
<sst xmlns="http://schemas.openxmlformats.org/spreadsheetml/2006/main" count="2353" uniqueCount="856">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</sst>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2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5" t="s">
        <v>0</v>
      </c>
      <c r="E1" s="626"/>
      <c r="F1" s="626"/>
      <c r="G1" s="14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69"/>
      <c r="P5" s="26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7"/>
      <c r="AC5" s="57"/>
      <c r="AD5" s="57"/>
      <c r="AE5" s="57"/>
    </row>
    <row r="6" spans="1:32" s="17" customFormat="1" ht="24" customHeight="1" x14ac:dyDescent="0.2">
      <c r="A6" s="725" t="s">
        <v>13</v>
      </c>
      <c r="B6" s="672"/>
      <c r="C6" s="673"/>
      <c r="D6" s="837"/>
      <c r="E6" s="838"/>
      <c r="F6" s="838"/>
      <c r="G6" s="838"/>
      <c r="H6" s="838"/>
      <c r="I6" s="838"/>
      <c r="J6" s="838"/>
      <c r="K6" s="838"/>
      <c r="L6" s="838"/>
      <c r="M6" s="724"/>
      <c r="N6" s="70"/>
      <c r="P6" s="26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1">
        <f>IFERROR(VLOOKUP(DeliveryAddress,Table,3,0),1)</f>
        <v>1</v>
      </c>
      <c r="E7" s="652"/>
      <c r="F7" s="652"/>
      <c r="G7" s="652"/>
      <c r="H7" s="652"/>
      <c r="I7" s="652"/>
      <c r="J7" s="652"/>
      <c r="K7" s="652"/>
      <c r="L7" s="652"/>
      <c r="M7" s="653"/>
      <c r="N7" s="71"/>
      <c r="P7" s="26"/>
      <c r="Q7" s="46"/>
      <c r="R7" s="46"/>
      <c r="T7" s="605"/>
      <c r="U7" s="679"/>
      <c r="V7" s="826"/>
      <c r="W7" s="827"/>
      <c r="AB7" s="57"/>
      <c r="AC7" s="57"/>
      <c r="AD7" s="57"/>
      <c r="AE7" s="57"/>
    </row>
    <row r="8" spans="1:32" s="17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72"/>
      <c r="P8" s="26" t="s">
        <v>18</v>
      </c>
      <c r="Q8" s="732">
        <v>0.41666666666666669</v>
      </c>
      <c r="R8" s="653"/>
      <c r="T8" s="605"/>
      <c r="U8" s="679"/>
      <c r="V8" s="826"/>
      <c r="W8" s="827"/>
      <c r="AB8" s="57"/>
      <c r="AC8" s="57"/>
      <c r="AD8" s="57"/>
      <c r="AE8" s="57"/>
    </row>
    <row r="9" spans="1:32" s="17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67"/>
      <c r="P9" s="29" t="s">
        <v>19</v>
      </c>
      <c r="Q9" s="720"/>
      <c r="R9" s="721"/>
      <c r="T9" s="605"/>
      <c r="U9" s="679"/>
      <c r="V9" s="828"/>
      <c r="W9" s="82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68"/>
      <c r="P10" s="29" t="s">
        <v>20</v>
      </c>
      <c r="Q10" s="780"/>
      <c r="R10" s="781"/>
      <c r="U10" s="26" t="s">
        <v>21</v>
      </c>
      <c r="V10" s="644" t="s">
        <v>22</v>
      </c>
      <c r="W10" s="6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23"/>
      <c r="R11" s="724"/>
      <c r="U11" s="26" t="s">
        <v>25</v>
      </c>
      <c r="V11" s="857" t="s">
        <v>26</v>
      </c>
      <c r="W11" s="7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28</v>
      </c>
      <c r="Q12" s="732"/>
      <c r="R12" s="653"/>
      <c r="S12" s="27"/>
      <c r="U12" s="26"/>
      <c r="V12" s="626"/>
      <c r="W12" s="605"/>
      <c r="AB12" s="57"/>
      <c r="AC12" s="57"/>
      <c r="AD12" s="57"/>
      <c r="AE12" s="57"/>
    </row>
    <row r="13" spans="1:32" s="17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30</v>
      </c>
      <c r="Q13" s="857"/>
      <c r="R13" s="72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56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77"/>
      <c r="BD17" s="76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78" t="s">
        <v>59</v>
      </c>
      <c r="V18" s="78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77"/>
      <c r="BD18" s="76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52"/>
      <c r="AB19" s="52"/>
      <c r="AC19" s="52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598">
        <v>4680115886643</v>
      </c>
      <c r="E22" s="59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598">
        <v>4680115889071</v>
      </c>
      <c r="E23" s="59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598">
        <v>4680115885912</v>
      </c>
      <c r="E27" s="59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598">
        <v>4607091388237</v>
      </c>
      <c r="E28" s="59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8">
        <v>4680115887350</v>
      </c>
      <c r="E29" s="59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8">
        <v>4680115885905</v>
      </c>
      <c r="E30" s="59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4301052078</v>
      </c>
      <c r="D31" s="598">
        <v>4680115887657</v>
      </c>
      <c r="E31" s="59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92</v>
      </c>
      <c r="B32" s="60" t="s">
        <v>93</v>
      </c>
      <c r="C32" s="34">
        <v>4301052071</v>
      </c>
      <c r="D32" s="598">
        <v>4680115887619</v>
      </c>
      <c r="E32" s="599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3"/>
      <c r="AB35" s="63"/>
      <c r="AC35" s="63"/>
    </row>
    <row r="36" spans="1:68" ht="27" customHeight="1" x14ac:dyDescent="0.25">
      <c r="A36" s="60" t="s">
        <v>96</v>
      </c>
      <c r="B36" s="60" t="s">
        <v>97</v>
      </c>
      <c r="C36" s="34">
        <v>4301032013</v>
      </c>
      <c r="D36" s="598">
        <v>4607091388503</v>
      </c>
      <c r="E36" s="599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52"/>
      <c r="AB39" s="52"/>
      <c r="AC39" s="52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63"/>
      <c r="AB41" s="63"/>
      <c r="AC41" s="63"/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598">
        <v>4680115888463</v>
      </c>
      <c r="E42" s="599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598">
        <v>4680115888494</v>
      </c>
      <c r="E43" s="599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598">
        <v>4680115888272</v>
      </c>
      <c r="E44" s="599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598">
        <v>4680115888364</v>
      </c>
      <c r="E45" s="599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52"/>
      <c r="AB48" s="52"/>
      <c r="AC48" s="52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8">
        <v>4607091385670</v>
      </c>
      <c r="E51" s="599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7"/>
      <c r="V51" s="37"/>
      <c r="W51" s="38" t="s">
        <v>67</v>
      </c>
      <c r="X51" s="56">
        <v>600</v>
      </c>
      <c r="Y51" s="53">
        <f>IFERROR(IF(X51="",0,CEILING((X51/$H51),1)*$H51),"")</f>
        <v>604.80000000000007</v>
      </c>
      <c r="Z51" s="39">
        <f>IFERROR(IF(Y51=0,"",ROUNDUP(Y51/H51,0)*0.01898),"")</f>
        <v>1.06288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622.77777777777783</v>
      </c>
      <c r="BN51" s="75">
        <f>IFERROR(Y51*I51/H51,"0")</f>
        <v>627.76</v>
      </c>
      <c r="BO51" s="75">
        <f>IFERROR(1/J51*(X51/H51),"0")</f>
        <v>0.86805555555555547</v>
      </c>
      <c r="BP51" s="75">
        <f>IFERROR(1/J51*(Y51/H51),"0")</f>
        <v>0.875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598">
        <v>4680115887725</v>
      </c>
      <c r="E52" s="599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8">
        <v>4607091385687</v>
      </c>
      <c r="E53" s="599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598">
        <v>4680115882539</v>
      </c>
      <c r="E54" s="599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7"/>
      <c r="V54" s="37"/>
      <c r="W54" s="38" t="s">
        <v>67</v>
      </c>
      <c r="X54" s="56">
        <v>88</v>
      </c>
      <c r="Y54" s="53">
        <f>IFERROR(IF(X54="",0,CEILING((X54/$H54),1)*$H54),"")</f>
        <v>88.800000000000011</v>
      </c>
      <c r="Z54" s="39">
        <f>IFERROR(IF(Y54=0,"",ROUNDUP(Y54/H54,0)*0.00902),"")</f>
        <v>0.21648000000000001</v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92.518918918918914</v>
      </c>
      <c r="BN54" s="75">
        <f>IFERROR(Y54*I54/H54,"0")</f>
        <v>93.360000000000014</v>
      </c>
      <c r="BO54" s="75">
        <f>IFERROR(1/J54*(X54/H54),"0")</f>
        <v>0.18018018018018017</v>
      </c>
      <c r="BP54" s="75">
        <f>IFERROR(1/J54*(Y54/H54),"0")</f>
        <v>0.18181818181818185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40" t="s">
        <v>73</v>
      </c>
      <c r="X55" s="41">
        <f>IFERROR(X51/H51,"0")+IFERROR(X52/H52,"0")+IFERROR(X53/H53,"0")+IFERROR(X54/H54,"0")</f>
        <v>79.339339339339332</v>
      </c>
      <c r="Y55" s="41">
        <f>IFERROR(Y51/H51,"0")+IFERROR(Y52/H52,"0")+IFERROR(Y53/H53,"0")+IFERROR(Y54/H54,"0")</f>
        <v>80</v>
      </c>
      <c r="Z55" s="41">
        <f>IFERROR(IF(Z51="",0,Z51),"0")+IFERROR(IF(Z52="",0,Z52),"0")+IFERROR(IF(Z53="",0,Z53),"0")+IFERROR(IF(Z54="",0,Z54),"0")</f>
        <v>1.2793600000000001</v>
      </c>
      <c r="AA55" s="64"/>
      <c r="AB55" s="64"/>
      <c r="AC55" s="6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40" t="s">
        <v>67</v>
      </c>
      <c r="X56" s="41">
        <f>IFERROR(SUM(X51:X54),"0")</f>
        <v>688</v>
      </c>
      <c r="Y56" s="41">
        <f>IFERROR(SUM(Y51:Y54),"0")</f>
        <v>693.60000000000014</v>
      </c>
      <c r="Z56" s="40"/>
      <c r="AA56" s="64"/>
      <c r="AB56" s="64"/>
      <c r="AC56" s="6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598">
        <v>4680115885882</v>
      </c>
      <c r="E59" s="599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7"/>
      <c r="V59" s="37"/>
      <c r="W59" s="38" t="s">
        <v>67</v>
      </c>
      <c r="X59" s="56">
        <v>15</v>
      </c>
      <c r="Y59" s="53">
        <f t="shared" ref="Y59:Y65" si="6">IFERROR(IF(X59="",0,CEILING((X59/$H59),1)*$H59),"")</f>
        <v>22.4</v>
      </c>
      <c r="Z59" s="39">
        <f>IFERROR(IF(Y59=0,"",ROUNDUP(Y59/H59,0)*0.01898),"")</f>
        <v>3.7960000000000001E-2</v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15.549107142857142</v>
      </c>
      <c r="BN59" s="75">
        <f t="shared" ref="BN59:BN65" si="8">IFERROR(Y59*I59/H59,"0")</f>
        <v>23.22</v>
      </c>
      <c r="BO59" s="75">
        <f t="shared" ref="BO59:BO65" si="9">IFERROR(1/J59*(X59/H59),"0")</f>
        <v>2.0926339285714288E-2</v>
      </c>
      <c r="BP59" s="75">
        <f t="shared" ref="BP59:BP65" si="10">IFERROR(1/J59*(Y59/H59),"0")</f>
        <v>3.125E-2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598">
        <v>4680115885882</v>
      </c>
      <c r="E60" s="599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8">
        <v>4680115881426</v>
      </c>
      <c r="E61" s="599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7"/>
      <c r="V61" s="37"/>
      <c r="W61" s="38" t="s">
        <v>67</v>
      </c>
      <c r="X61" s="56">
        <v>50</v>
      </c>
      <c r="Y61" s="53">
        <f t="shared" si="6"/>
        <v>54</v>
      </c>
      <c r="Z61" s="39">
        <f>IFERROR(IF(Y61=0,"",ROUNDUP(Y61/H61,0)*0.01898),"")</f>
        <v>9.4899999999999998E-2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51.898148148148145</v>
      </c>
      <c r="BN61" s="75">
        <f t="shared" si="8"/>
        <v>56.05</v>
      </c>
      <c r="BO61" s="75">
        <f t="shared" si="9"/>
        <v>7.2337962962962965E-2</v>
      </c>
      <c r="BP61" s="75">
        <f t="shared" si="10"/>
        <v>7.8125E-2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598">
        <v>4680115880283</v>
      </c>
      <c r="E62" s="599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598">
        <v>4680115881525</v>
      </c>
      <c r="E63" s="599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7"/>
      <c r="V63" s="37"/>
      <c r="W63" s="38" t="s">
        <v>67</v>
      </c>
      <c r="X63" s="56">
        <v>14</v>
      </c>
      <c r="Y63" s="53">
        <f t="shared" si="6"/>
        <v>16</v>
      </c>
      <c r="Z63" s="39">
        <f>IFERROR(IF(Y63=0,"",ROUNDUP(Y63/H63,0)*0.00902),"")</f>
        <v>3.6080000000000001E-2</v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14.665000000000001</v>
      </c>
      <c r="BN63" s="75">
        <f t="shared" si="8"/>
        <v>16.760000000000002</v>
      </c>
      <c r="BO63" s="75">
        <f t="shared" si="9"/>
        <v>2.6515151515151516E-2</v>
      </c>
      <c r="BP63" s="75">
        <f t="shared" si="10"/>
        <v>3.0303030303030304E-2</v>
      </c>
    </row>
    <row r="64" spans="1:68" ht="27" customHeight="1" x14ac:dyDescent="0.25">
      <c r="A64" s="60" t="s">
        <v>147</v>
      </c>
      <c r="B64" s="60" t="s">
        <v>148</v>
      </c>
      <c r="C64" s="34">
        <v>4301012165</v>
      </c>
      <c r="D64" s="598">
        <v>4680115885899</v>
      </c>
      <c r="E64" s="599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8">
        <v>4680115881419</v>
      </c>
      <c r="E65" s="599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7"/>
      <c r="V65" s="37"/>
      <c r="W65" s="38" t="s">
        <v>67</v>
      </c>
      <c r="X65" s="56">
        <v>113</v>
      </c>
      <c r="Y65" s="53">
        <f t="shared" si="6"/>
        <v>117</v>
      </c>
      <c r="Z65" s="39">
        <f>IFERROR(IF(Y65=0,"",ROUNDUP(Y65/H65,0)*0.00902),"")</f>
        <v>0.23452000000000001</v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117.77111111111111</v>
      </c>
      <c r="BN65" s="75">
        <f t="shared" si="8"/>
        <v>121.94</v>
      </c>
      <c r="BO65" s="75">
        <f t="shared" si="9"/>
        <v>0.19023569023569023</v>
      </c>
      <c r="BP65" s="75">
        <f t="shared" si="10"/>
        <v>0.19696969696969696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40" t="s">
        <v>73</v>
      </c>
      <c r="X66" s="41">
        <f>IFERROR(X59/H59,"0")+IFERROR(X60/H60,"0")+IFERROR(X61/H61,"0")+IFERROR(X62/H62,"0")+IFERROR(X63/H63,"0")+IFERROR(X64/H64,"0")+IFERROR(X65/H65,"0")</f>
        <v>34.580026455026456</v>
      </c>
      <c r="Y66" s="41">
        <f>IFERROR(Y59/H59,"0")+IFERROR(Y60/H60,"0")+IFERROR(Y61/H61,"0")+IFERROR(Y62/H62,"0")+IFERROR(Y63/H63,"0")+IFERROR(Y64/H64,"0")+IFERROR(Y65/H65,"0")</f>
        <v>37</v>
      </c>
      <c r="Z66" s="41">
        <f>IFERROR(IF(Z59="",0,Z59),"0")+IFERROR(IF(Z60="",0,Z60),"0")+IFERROR(IF(Z61="",0,Z61),"0")+IFERROR(IF(Z62="",0,Z62),"0")+IFERROR(IF(Z63="",0,Z63),"0")+IFERROR(IF(Z64="",0,Z64),"0")+IFERROR(IF(Z65="",0,Z65),"0")</f>
        <v>0.40346000000000004</v>
      </c>
      <c r="AA66" s="64"/>
      <c r="AB66" s="64"/>
      <c r="AC66" s="6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40" t="s">
        <v>67</v>
      </c>
      <c r="X67" s="41">
        <f>IFERROR(SUM(X59:X65),"0")</f>
        <v>192</v>
      </c>
      <c r="Y67" s="41">
        <f>IFERROR(SUM(Y59:Y65),"0")</f>
        <v>209.4</v>
      </c>
      <c r="Z67" s="40"/>
      <c r="AA67" s="64"/>
      <c r="AB67" s="64"/>
      <c r="AC67" s="6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8">
        <v>4680115881440</v>
      </c>
      <c r="E69" s="599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7"/>
      <c r="V69" s="37"/>
      <c r="W69" s="38" t="s">
        <v>67</v>
      </c>
      <c r="X69" s="56">
        <v>23</v>
      </c>
      <c r="Y69" s="53">
        <f>IFERROR(IF(X69="",0,CEILING((X69/$H69),1)*$H69),"")</f>
        <v>32.400000000000006</v>
      </c>
      <c r="Z69" s="39">
        <f>IFERROR(IF(Y69=0,"",ROUNDUP(Y69/H69,0)*0.01898),"")</f>
        <v>5.6940000000000004E-2</v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23.87314814814815</v>
      </c>
      <c r="BN69" s="75">
        <f>IFERROR(Y69*I69/H69,"0")</f>
        <v>33.630000000000003</v>
      </c>
      <c r="BO69" s="75">
        <f>IFERROR(1/J69*(X69/H69),"0")</f>
        <v>3.3275462962962958E-2</v>
      </c>
      <c r="BP69" s="75">
        <f>IFERROR(1/J69*(Y69/H69),"0")</f>
        <v>4.6875000000000007E-2</v>
      </c>
    </row>
    <row r="70" spans="1:68" ht="16.5" customHeight="1" x14ac:dyDescent="0.25">
      <c r="A70" s="60" t="s">
        <v>156</v>
      </c>
      <c r="B70" s="60" t="s">
        <v>157</v>
      </c>
      <c r="C70" s="34">
        <v>4301020358</v>
      </c>
      <c r="D70" s="598">
        <v>4680115885950</v>
      </c>
      <c r="E70" s="599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158</v>
      </c>
      <c r="B71" s="60" t="s">
        <v>159</v>
      </c>
      <c r="C71" s="34">
        <v>4301020371</v>
      </c>
      <c r="D71" s="598">
        <v>4680115887688</v>
      </c>
      <c r="E71" s="599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161</v>
      </c>
      <c r="B72" s="60" t="s">
        <v>162</v>
      </c>
      <c r="C72" s="34">
        <v>4301020296</v>
      </c>
      <c r="D72" s="598">
        <v>4680115881433</v>
      </c>
      <c r="E72" s="599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40" t="s">
        <v>73</v>
      </c>
      <c r="X73" s="41">
        <f>IFERROR(X69/H69,"0")+IFERROR(X70/H70,"0")+IFERROR(X71/H71,"0")+IFERROR(X72/H72,"0")</f>
        <v>2.1296296296296293</v>
      </c>
      <c r="Y73" s="41">
        <f>IFERROR(Y69/H69,"0")+IFERROR(Y70/H70,"0")+IFERROR(Y71/H71,"0")+IFERROR(Y72/H72,"0")</f>
        <v>3.0000000000000004</v>
      </c>
      <c r="Z73" s="41">
        <f>IFERROR(IF(Z69="",0,Z69),"0")+IFERROR(IF(Z70="",0,Z70),"0")+IFERROR(IF(Z71="",0,Z71),"0")+IFERROR(IF(Z72="",0,Z72),"0")</f>
        <v>5.6940000000000004E-2</v>
      </c>
      <c r="AA73" s="64"/>
      <c r="AB73" s="64"/>
      <c r="AC73" s="6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40" t="s">
        <v>67</v>
      </c>
      <c r="X74" s="41">
        <f>IFERROR(SUM(X69:X72),"0")</f>
        <v>23</v>
      </c>
      <c r="Y74" s="41">
        <f>IFERROR(SUM(Y69:Y72),"0")</f>
        <v>32.400000000000006</v>
      </c>
      <c r="Z74" s="40"/>
      <c r="AA74" s="64"/>
      <c r="AB74" s="64"/>
      <c r="AC74" s="6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63"/>
      <c r="AB75" s="63"/>
      <c r="AC75" s="63"/>
    </row>
    <row r="76" spans="1:68" ht="16.5" customHeight="1" x14ac:dyDescent="0.25">
      <c r="A76" s="60" t="s">
        <v>163</v>
      </c>
      <c r="B76" s="60" t="s">
        <v>164</v>
      </c>
      <c r="C76" s="34">
        <v>4301051837</v>
      </c>
      <c r="D76" s="598">
        <v>4680115884311</v>
      </c>
      <c r="E76" s="599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166</v>
      </c>
      <c r="B77" s="60" t="s">
        <v>167</v>
      </c>
      <c r="C77" s="34">
        <v>4301051929</v>
      </c>
      <c r="D77" s="598">
        <v>4680115884403</v>
      </c>
      <c r="E77" s="599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8">
        <v>4680115881532</v>
      </c>
      <c r="E81" s="599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173</v>
      </c>
      <c r="B82" s="60" t="s">
        <v>174</v>
      </c>
      <c r="C82" s="34">
        <v>4301060351</v>
      </c>
      <c r="D82" s="598">
        <v>4680115881464</v>
      </c>
      <c r="E82" s="599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8">
        <v>4680115881327</v>
      </c>
      <c r="E87" s="599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180</v>
      </c>
      <c r="B88" s="60" t="s">
        <v>181</v>
      </c>
      <c r="C88" s="34">
        <v>4301011261</v>
      </c>
      <c r="D88" s="598">
        <v>4680115887732</v>
      </c>
      <c r="E88" s="599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183</v>
      </c>
      <c r="B89" s="60" t="s">
        <v>184</v>
      </c>
      <c r="C89" s="34">
        <v>4301011476</v>
      </c>
      <c r="D89" s="598">
        <v>4680115881518</v>
      </c>
      <c r="E89" s="599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8">
        <v>4680115881303</v>
      </c>
      <c r="E90" s="599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7"/>
      <c r="V90" s="37"/>
      <c r="W90" s="38" t="s">
        <v>67</v>
      </c>
      <c r="X90" s="56">
        <v>68</v>
      </c>
      <c r="Y90" s="53">
        <f>IFERROR(IF(X90="",0,CEILING((X90/$H90),1)*$H90),"")</f>
        <v>72</v>
      </c>
      <c r="Z90" s="39">
        <f>IFERROR(IF(Y90=0,"",ROUNDUP(Y90/H90,0)*0.00902),"")</f>
        <v>0.14432</v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70.871111111111119</v>
      </c>
      <c r="BN90" s="75">
        <f>IFERROR(Y90*I90/H90,"0")</f>
        <v>75.040000000000006</v>
      </c>
      <c r="BO90" s="75">
        <f>IFERROR(1/J90*(X90/H90),"0")</f>
        <v>0.11447811447811448</v>
      </c>
      <c r="BP90" s="75">
        <f>IFERROR(1/J90*(Y90/H90),"0")</f>
        <v>0.12121212121212122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40" t="s">
        <v>73</v>
      </c>
      <c r="X91" s="41">
        <f>IFERROR(X87/H87,"0")+IFERROR(X88/H88,"0")+IFERROR(X89/H89,"0")+IFERROR(X90/H90,"0")</f>
        <v>15.111111111111111</v>
      </c>
      <c r="Y91" s="41">
        <f>IFERROR(Y87/H87,"0")+IFERROR(Y88/H88,"0")+IFERROR(Y89/H89,"0")+IFERROR(Y90/H90,"0")</f>
        <v>16</v>
      </c>
      <c r="Z91" s="41">
        <f>IFERROR(IF(Z87="",0,Z87),"0")+IFERROR(IF(Z88="",0,Z88),"0")+IFERROR(IF(Z89="",0,Z89),"0")+IFERROR(IF(Z90="",0,Z90),"0")</f>
        <v>0.14432</v>
      </c>
      <c r="AA91" s="64"/>
      <c r="AB91" s="64"/>
      <c r="AC91" s="6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40" t="s">
        <v>67</v>
      </c>
      <c r="X92" s="41">
        <f>IFERROR(SUM(X87:X90),"0")</f>
        <v>68</v>
      </c>
      <c r="Y92" s="41">
        <f>IFERROR(SUM(Y87:Y90),"0")</f>
        <v>72</v>
      </c>
      <c r="Z92" s="40"/>
      <c r="AA92" s="64"/>
      <c r="AB92" s="64"/>
      <c r="AC92" s="6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8">
        <v>4607091386967</v>
      </c>
      <c r="E94" s="59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190</v>
      </c>
      <c r="B95" s="60" t="s">
        <v>191</v>
      </c>
      <c r="C95" s="34">
        <v>4301051788</v>
      </c>
      <c r="D95" s="598">
        <v>4680115884953</v>
      </c>
      <c r="E95" s="59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8">
        <v>4607091385731</v>
      </c>
      <c r="E96" s="599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7"/>
      <c r="V96" s="37"/>
      <c r="W96" s="38" t="s">
        <v>67</v>
      </c>
      <c r="X96" s="56">
        <v>120</v>
      </c>
      <c r="Y96" s="53">
        <f>IFERROR(IF(X96="",0,CEILING((X96/$H96),1)*$H96),"")</f>
        <v>121.50000000000001</v>
      </c>
      <c r="Z96" s="39">
        <f>IFERROR(IF(Y96=0,"",ROUNDUP(Y96/H96,0)*0.00651),"")</f>
        <v>0.29294999999999999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131.19999999999999</v>
      </c>
      <c r="BN96" s="75">
        <f>IFERROR(Y96*I96/H96,"0")</f>
        <v>132.84</v>
      </c>
      <c r="BO96" s="75">
        <f>IFERROR(1/J96*(X96/H96),"0")</f>
        <v>0.24420024420024422</v>
      </c>
      <c r="BP96" s="75">
        <f>IFERROR(1/J96*(Y96/H96),"0")</f>
        <v>0.24725274725274726</v>
      </c>
    </row>
    <row r="97" spans="1:68" ht="16.5" customHeight="1" x14ac:dyDescent="0.25">
      <c r="A97" s="60" t="s">
        <v>194</v>
      </c>
      <c r="B97" s="60" t="s">
        <v>195</v>
      </c>
      <c r="C97" s="34">
        <v>4301052092</v>
      </c>
      <c r="D97" s="598">
        <v>4680115880894</v>
      </c>
      <c r="E97" s="599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40" t="s">
        <v>73</v>
      </c>
      <c r="X98" s="41">
        <f>IFERROR(X94/H94,"0")+IFERROR(X95/H95,"0")+IFERROR(X96/H96,"0")+IFERROR(X97/H97,"0")</f>
        <v>44.444444444444443</v>
      </c>
      <c r="Y98" s="41">
        <f>IFERROR(Y94/H94,"0")+IFERROR(Y95/H95,"0")+IFERROR(Y96/H96,"0")+IFERROR(Y97/H97,"0")</f>
        <v>45</v>
      </c>
      <c r="Z98" s="41">
        <f>IFERROR(IF(Z94="",0,Z94),"0")+IFERROR(IF(Z95="",0,Z95),"0")+IFERROR(IF(Z96="",0,Z96),"0")+IFERROR(IF(Z97="",0,Z97),"0")</f>
        <v>0.29294999999999999</v>
      </c>
      <c r="AA98" s="64"/>
      <c r="AB98" s="64"/>
      <c r="AC98" s="6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40" t="s">
        <v>67</v>
      </c>
      <c r="X99" s="41">
        <f>IFERROR(SUM(X94:X97),"0")</f>
        <v>120</v>
      </c>
      <c r="Y99" s="41">
        <f>IFERROR(SUM(Y94:Y97),"0")</f>
        <v>121.50000000000001</v>
      </c>
      <c r="Z99" s="40"/>
      <c r="AA99" s="64"/>
      <c r="AB99" s="64"/>
      <c r="AC99" s="6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8">
        <v>4680115882133</v>
      </c>
      <c r="E102" s="59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7"/>
      <c r="V102" s="37"/>
      <c r="W102" s="38" t="s">
        <v>67</v>
      </c>
      <c r="X102" s="56">
        <v>200</v>
      </c>
      <c r="Y102" s="53">
        <f t="shared" ref="Y102:Y108" si="11">IFERROR(IF(X102="",0,CEILING((X102/$H102),1)*$H102),"")</f>
        <v>205.20000000000002</v>
      </c>
      <c r="Z102" s="39">
        <f>IFERROR(IF(Y102=0,"",ROUNDUP(Y102/H102,0)*0.01898),"")</f>
        <v>0.36062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207.59259259259258</v>
      </c>
      <c r="BN102" s="75">
        <f t="shared" ref="BN102:BN108" si="13">IFERROR(Y102*I102/H102,"0")</f>
        <v>212.99</v>
      </c>
      <c r="BO102" s="75">
        <f t="shared" ref="BO102:BO108" si="14">IFERROR(1/J102*(X102/H102),"0")</f>
        <v>0.28935185185185186</v>
      </c>
      <c r="BP102" s="75">
        <f t="shared" ref="BP102:BP108" si="15">IFERROR(1/J102*(Y102/H102),"0")</f>
        <v>0.296875</v>
      </c>
    </row>
    <row r="103" spans="1:68" ht="27" customHeight="1" x14ac:dyDescent="0.25">
      <c r="A103" s="60" t="s">
        <v>201</v>
      </c>
      <c r="B103" s="60" t="s">
        <v>202</v>
      </c>
      <c r="C103" s="34">
        <v>4301012051</v>
      </c>
      <c r="D103" s="598">
        <v>4680115887718</v>
      </c>
      <c r="E103" s="599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201</v>
      </c>
      <c r="B104" s="60" t="s">
        <v>204</v>
      </c>
      <c r="C104" s="34">
        <v>4301012334</v>
      </c>
      <c r="D104" s="598">
        <v>4680115887718</v>
      </c>
      <c r="E104" s="599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205</v>
      </c>
      <c r="B105" s="60" t="s">
        <v>206</v>
      </c>
      <c r="C105" s="34">
        <v>4301012226</v>
      </c>
      <c r="D105" s="598">
        <v>4680115887749</v>
      </c>
      <c r="E105" s="599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8">
        <v>4680115880269</v>
      </c>
      <c r="E106" s="599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8">
        <v>4680115880429</v>
      </c>
      <c r="E107" s="599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7"/>
      <c r="V107" s="37"/>
      <c r="W107" s="38" t="s">
        <v>67</v>
      </c>
      <c r="X107" s="56">
        <v>90</v>
      </c>
      <c r="Y107" s="53">
        <f t="shared" si="11"/>
        <v>90</v>
      </c>
      <c r="Z107" s="39">
        <f>IFERROR(IF(Y107=0,"",ROUNDUP(Y107/H107,0)*0.00902),"")</f>
        <v>0.1804</v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93.800000000000011</v>
      </c>
      <c r="BN107" s="75">
        <f t="shared" si="13"/>
        <v>93.800000000000011</v>
      </c>
      <c r="BO107" s="75">
        <f t="shared" si="14"/>
        <v>0.15151515151515152</v>
      </c>
      <c r="BP107" s="75">
        <f t="shared" si="15"/>
        <v>0.15151515151515152</v>
      </c>
    </row>
    <row r="108" spans="1:68" ht="37.5" customHeight="1" x14ac:dyDescent="0.25">
      <c r="A108" s="60" t="s">
        <v>211</v>
      </c>
      <c r="B108" s="60" t="s">
        <v>212</v>
      </c>
      <c r="C108" s="34">
        <v>4301011462</v>
      </c>
      <c r="D108" s="598">
        <v>4680115881457</v>
      </c>
      <c r="E108" s="599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40" t="s">
        <v>73</v>
      </c>
      <c r="X109" s="41">
        <f>IFERROR(X102/H102,"0")+IFERROR(X103/H103,"0")+IFERROR(X104/H104,"0")+IFERROR(X105/H105,"0")+IFERROR(X106/H106,"0")+IFERROR(X107/H107,"0")+IFERROR(X108/H108,"0")</f>
        <v>38.518518518518519</v>
      </c>
      <c r="Y109" s="41">
        <f>IFERROR(Y102/H102,"0")+IFERROR(Y103/H103,"0")+IFERROR(Y104/H104,"0")+IFERROR(Y105/H105,"0")+IFERROR(Y106/H106,"0")+IFERROR(Y107/H107,"0")+IFERROR(Y108/H108,"0")</f>
        <v>39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0.54102000000000006</v>
      </c>
      <c r="AA109" s="64"/>
      <c r="AB109" s="64"/>
      <c r="AC109" s="6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40" t="s">
        <v>67</v>
      </c>
      <c r="X110" s="41">
        <f>IFERROR(SUM(X102:X108),"0")</f>
        <v>290</v>
      </c>
      <c r="Y110" s="41">
        <f>IFERROR(SUM(Y102:Y108),"0")</f>
        <v>295.20000000000005</v>
      </c>
      <c r="Z110" s="40"/>
      <c r="AA110" s="64"/>
      <c r="AB110" s="64"/>
      <c r="AC110" s="6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8">
        <v>4680115881488</v>
      </c>
      <c r="E112" s="59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7"/>
      <c r="V112" s="37"/>
      <c r="W112" s="38" t="s">
        <v>67</v>
      </c>
      <c r="X112" s="56">
        <v>33</v>
      </c>
      <c r="Y112" s="53">
        <f t="shared" ref="Y112:Y117" si="16">IFERROR(IF(X112="",0,CEILING((X112/$H112),1)*$H112),"")</f>
        <v>43.2</v>
      </c>
      <c r="Z112" s="39">
        <f>IFERROR(IF(Y112=0,"",ROUNDUP(Y112/H112,0)*0.01898),"")</f>
        <v>7.5920000000000001E-2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34.252777777777773</v>
      </c>
      <c r="BN112" s="75">
        <f t="shared" ref="BN112:BN117" si="18">IFERROR(Y112*I112/H112,"0")</f>
        <v>44.84</v>
      </c>
      <c r="BO112" s="75">
        <f t="shared" ref="BO112:BO117" si="19">IFERROR(1/J112*(X112/H112),"0")</f>
        <v>4.7743055555555552E-2</v>
      </c>
      <c r="BP112" s="75">
        <f t="shared" ref="BP112:BP117" si="20">IFERROR(1/J112*(Y112/H112),"0")</f>
        <v>6.25E-2</v>
      </c>
    </row>
    <row r="113" spans="1:68" ht="27" customHeight="1" x14ac:dyDescent="0.25">
      <c r="A113" s="60" t="s">
        <v>213</v>
      </c>
      <c r="B113" s="60" t="s">
        <v>216</v>
      </c>
      <c r="C113" s="34">
        <v>4301020391</v>
      </c>
      <c r="D113" s="598">
        <v>4680115881488</v>
      </c>
      <c r="E113" s="599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218</v>
      </c>
      <c r="B114" s="60" t="s">
        <v>219</v>
      </c>
      <c r="C114" s="34">
        <v>4301020186</v>
      </c>
      <c r="D114" s="598">
        <v>4680115887664</v>
      </c>
      <c r="E114" s="599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218</v>
      </c>
      <c r="B115" s="60" t="s">
        <v>222</v>
      </c>
      <c r="C115" s="34">
        <v>4301020430</v>
      </c>
      <c r="D115" s="598">
        <v>4680115887664</v>
      </c>
      <c r="E115" s="599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223</v>
      </c>
      <c r="B116" s="60" t="s">
        <v>224</v>
      </c>
      <c r="C116" s="34">
        <v>4301020393</v>
      </c>
      <c r="D116" s="598">
        <v>4680115882775</v>
      </c>
      <c r="E116" s="599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8">
        <v>4680115880658</v>
      </c>
      <c r="E117" s="599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40" t="s">
        <v>73</v>
      </c>
      <c r="X118" s="41">
        <f>IFERROR(X112/H112,"0")+IFERROR(X113/H113,"0")+IFERROR(X114/H114,"0")+IFERROR(X115/H115,"0")+IFERROR(X116/H116,"0")+IFERROR(X117/H117,"0")</f>
        <v>3.0555555555555554</v>
      </c>
      <c r="Y118" s="41">
        <f>IFERROR(Y112/H112,"0")+IFERROR(Y113/H113,"0")+IFERROR(Y114/H114,"0")+IFERROR(Y115/H115,"0")+IFERROR(Y116/H116,"0")+IFERROR(Y117/H117,"0")</f>
        <v>4</v>
      </c>
      <c r="Z118" s="41">
        <f>IFERROR(IF(Z112="",0,Z112),"0")+IFERROR(IF(Z113="",0,Z113),"0")+IFERROR(IF(Z114="",0,Z114),"0")+IFERROR(IF(Z115="",0,Z115),"0")+IFERROR(IF(Z116="",0,Z116),"0")+IFERROR(IF(Z117="",0,Z117),"0")</f>
        <v>7.5920000000000001E-2</v>
      </c>
      <c r="AA118" s="64"/>
      <c r="AB118" s="64"/>
      <c r="AC118" s="6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40" t="s">
        <v>67</v>
      </c>
      <c r="X119" s="41">
        <f>IFERROR(SUM(X112:X117),"0")</f>
        <v>33</v>
      </c>
      <c r="Y119" s="41">
        <f>IFERROR(SUM(Y112:Y117),"0")</f>
        <v>43.2</v>
      </c>
      <c r="Z119" s="40"/>
      <c r="AA119" s="64"/>
      <c r="AB119" s="64"/>
      <c r="AC119" s="6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8">
        <v>4607091385168</v>
      </c>
      <c r="E121" s="599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7"/>
      <c r="V121" s="37"/>
      <c r="W121" s="38" t="s">
        <v>67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230</v>
      </c>
      <c r="B122" s="60" t="s">
        <v>231</v>
      </c>
      <c r="C122" s="34">
        <v>4301051730</v>
      </c>
      <c r="D122" s="598">
        <v>4607091383256</v>
      </c>
      <c r="E122" s="599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8">
        <v>4607091385748</v>
      </c>
      <c r="E123" s="599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234</v>
      </c>
      <c r="B124" s="60" t="s">
        <v>235</v>
      </c>
      <c r="C124" s="34">
        <v>4301051740</v>
      </c>
      <c r="D124" s="598">
        <v>4680115884533</v>
      </c>
      <c r="E124" s="599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40" t="s">
        <v>73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40" t="s">
        <v>67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8">
        <v>4680115880238</v>
      </c>
      <c r="E128" s="599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7"/>
      <c r="V128" s="37"/>
      <c r="W128" s="38" t="s">
        <v>67</v>
      </c>
      <c r="X128" s="56">
        <v>29</v>
      </c>
      <c r="Y128" s="53">
        <f>IFERROR(IF(X128="",0,CEILING((X128/$H128),1)*$H128),"")</f>
        <v>29.7</v>
      </c>
      <c r="Z128" s="39">
        <f>IFERROR(IF(Y128=0,"",ROUNDUP(Y128/H128,0)*0.00651),"")</f>
        <v>9.7650000000000001E-2</v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32.778787878787881</v>
      </c>
      <c r="BN128" s="75">
        <f>IFERROR(Y128*I128/H128,"0")</f>
        <v>33.57</v>
      </c>
      <c r="BO128" s="75">
        <f>IFERROR(1/J128*(X128/H128),"0")</f>
        <v>8.0475080475080479E-2</v>
      </c>
      <c r="BP128" s="75">
        <f>IFERROR(1/J128*(Y128/H128),"0")</f>
        <v>8.241758241758243E-2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40" t="s">
        <v>73</v>
      </c>
      <c r="X129" s="41">
        <f>IFERROR(X128/H128,"0")</f>
        <v>14.646464646464647</v>
      </c>
      <c r="Y129" s="41">
        <f>IFERROR(Y128/H128,"0")</f>
        <v>15</v>
      </c>
      <c r="Z129" s="41">
        <f>IFERROR(IF(Z128="",0,Z128),"0")</f>
        <v>9.7650000000000001E-2</v>
      </c>
      <c r="AA129" s="64"/>
      <c r="AB129" s="64"/>
      <c r="AC129" s="6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40" t="s">
        <v>67</v>
      </c>
      <c r="X130" s="41">
        <f>IFERROR(SUM(X128:X128),"0")</f>
        <v>29</v>
      </c>
      <c r="Y130" s="41">
        <f>IFERROR(SUM(Y128:Y128),"0")</f>
        <v>29.7</v>
      </c>
      <c r="Z130" s="40"/>
      <c r="AA130" s="64"/>
      <c r="AB130" s="64"/>
      <c r="AC130" s="6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8">
        <v>4680115882577</v>
      </c>
      <c r="E133" s="59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241</v>
      </c>
      <c r="B134" s="60" t="s">
        <v>244</v>
      </c>
      <c r="C134" s="34">
        <v>4301011564</v>
      </c>
      <c r="D134" s="598">
        <v>4680115882577</v>
      </c>
      <c r="E134" s="599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8">
        <v>4680115883444</v>
      </c>
      <c r="E138" s="59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245</v>
      </c>
      <c r="B139" s="60" t="s">
        <v>248</v>
      </c>
      <c r="C139" s="34">
        <v>4301031235</v>
      </c>
      <c r="D139" s="598">
        <v>4680115883444</v>
      </c>
      <c r="E139" s="599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8">
        <v>4680115882584</v>
      </c>
      <c r="E143" s="59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249</v>
      </c>
      <c r="B144" s="60" t="s">
        <v>251</v>
      </c>
      <c r="C144" s="34">
        <v>4301051477</v>
      </c>
      <c r="D144" s="598">
        <v>4680115882584</v>
      </c>
      <c r="E144" s="599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2"/>
      <c r="AB147" s="62"/>
      <c r="AC147" s="62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3"/>
      <c r="AB148" s="63"/>
      <c r="AC148" s="63"/>
    </row>
    <row r="149" spans="1:68" ht="27" customHeight="1" x14ac:dyDescent="0.25">
      <c r="A149" s="60" t="s">
        <v>253</v>
      </c>
      <c r="B149" s="60" t="s">
        <v>254</v>
      </c>
      <c r="C149" s="34">
        <v>4301052174</v>
      </c>
      <c r="D149" s="598">
        <v>4680115888203</v>
      </c>
      <c r="E149" s="59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4301052172</v>
      </c>
      <c r="D150" s="598">
        <v>4680115888180</v>
      </c>
      <c r="E150" s="599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4301052173</v>
      </c>
      <c r="D151" s="598">
        <v>4680115888197</v>
      </c>
      <c r="E151" s="599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262</v>
      </c>
      <c r="B152" s="60" t="s">
        <v>263</v>
      </c>
      <c r="C152" s="34">
        <v>4301052175</v>
      </c>
      <c r="D152" s="598">
        <v>4680115888210</v>
      </c>
      <c r="E152" s="59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2"/>
      <c r="AB155" s="62"/>
      <c r="AC155" s="62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8">
        <v>4680115887374</v>
      </c>
      <c r="E157" s="599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268</v>
      </c>
      <c r="B158" s="60" t="s">
        <v>269</v>
      </c>
      <c r="C158" s="34">
        <v>4301011705</v>
      </c>
      <c r="D158" s="598">
        <v>4607091384604</v>
      </c>
      <c r="E158" s="599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3"/>
      <c r="AB161" s="63"/>
      <c r="AC161" s="63"/>
    </row>
    <row r="162" spans="1:68" ht="16.5" customHeight="1" x14ac:dyDescent="0.25">
      <c r="A162" s="60" t="s">
        <v>271</v>
      </c>
      <c r="B162" s="60" t="s">
        <v>272</v>
      </c>
      <c r="C162" s="34">
        <v>4301020410</v>
      </c>
      <c r="D162" s="598">
        <v>4680115887695</v>
      </c>
      <c r="E162" s="599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8">
        <v>4680115887428</v>
      </c>
      <c r="E166" s="599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7"/>
      <c r="V166" s="37"/>
      <c r="W166" s="38" t="s">
        <v>67</v>
      </c>
      <c r="X166" s="56">
        <v>150</v>
      </c>
      <c r="Y166" s="53">
        <f t="shared" ref="Y166:Y175" si="21">IFERROR(IF(X166="",0,CEILING((X166/$H166),1)*$H166),"")</f>
        <v>150.5</v>
      </c>
      <c r="Z166" s="39">
        <f>IFERROR(IF(Y166=0,"",ROUNDUP(Y166/H166,0)*0.00902),"")</f>
        <v>0.38785999999999998</v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158.14285714285714</v>
      </c>
      <c r="BN166" s="75">
        <f t="shared" ref="BN166:BN175" si="23">IFERROR(Y166*I166/H166,"0")</f>
        <v>158.67000000000002</v>
      </c>
      <c r="BO166" s="75">
        <f t="shared" ref="BO166:BO175" si="24">IFERROR(1/J166*(X166/H166),"0")</f>
        <v>0.32467532467532467</v>
      </c>
      <c r="BP166" s="75">
        <f t="shared" ref="BP166:BP175" si="25">IFERROR(1/J166*(Y166/H166),"0")</f>
        <v>0.32575757575757575</v>
      </c>
    </row>
    <row r="167" spans="1:68" ht="27" customHeight="1" x14ac:dyDescent="0.25">
      <c r="A167" s="60" t="s">
        <v>277</v>
      </c>
      <c r="B167" s="60" t="s">
        <v>278</v>
      </c>
      <c r="C167" s="34">
        <v>4301030963</v>
      </c>
      <c r="D167" s="598">
        <v>4607091382426</v>
      </c>
      <c r="E167" s="599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8">
        <v>4680115887398</v>
      </c>
      <c r="E168" s="599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7"/>
      <c r="V168" s="37"/>
      <c r="W168" s="38" t="s">
        <v>67</v>
      </c>
      <c r="X168" s="56">
        <v>257</v>
      </c>
      <c r="Y168" s="53">
        <f t="shared" si="21"/>
        <v>259</v>
      </c>
      <c r="Z168" s="39">
        <f>IFERROR(IF(Y168=0,"",ROUNDUP(Y168/H168,0)*0.00902),"")</f>
        <v>0.66748000000000007</v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270.95142857142861</v>
      </c>
      <c r="BN168" s="75">
        <f t="shared" si="23"/>
        <v>273.06</v>
      </c>
      <c r="BO168" s="75">
        <f t="shared" si="24"/>
        <v>0.55627705627705626</v>
      </c>
      <c r="BP168" s="75">
        <f t="shared" si="25"/>
        <v>0.56060606060606066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8">
        <v>4680115887336</v>
      </c>
      <c r="E169" s="599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7"/>
      <c r="V169" s="37"/>
      <c r="W169" s="38" t="s">
        <v>67</v>
      </c>
      <c r="X169" s="56">
        <v>100</v>
      </c>
      <c r="Y169" s="53">
        <f t="shared" si="21"/>
        <v>101.5</v>
      </c>
      <c r="Z169" s="39">
        <f>IFERROR(IF(Y169=0,"",ROUNDUP(Y169/H169,0)*0.00902),"")</f>
        <v>0.26158000000000003</v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105.42857142857143</v>
      </c>
      <c r="BN169" s="75">
        <f t="shared" si="23"/>
        <v>107.00999999999999</v>
      </c>
      <c r="BO169" s="75">
        <f t="shared" si="24"/>
        <v>0.21645021645021648</v>
      </c>
      <c r="BP169" s="75">
        <f t="shared" si="25"/>
        <v>0.2196969696969697</v>
      </c>
    </row>
    <row r="170" spans="1:68" ht="16.5" customHeight="1" x14ac:dyDescent="0.25">
      <c r="A170" s="60" t="s">
        <v>286</v>
      </c>
      <c r="B170" s="60" t="s">
        <v>287</v>
      </c>
      <c r="C170" s="34">
        <v>4301032049</v>
      </c>
      <c r="D170" s="598">
        <v>4680115887787</v>
      </c>
      <c r="E170" s="599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8">
        <v>4680115887503</v>
      </c>
      <c r="E171" s="599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7"/>
      <c r="V171" s="37"/>
      <c r="W171" s="38" t="s">
        <v>67</v>
      </c>
      <c r="X171" s="56">
        <v>56</v>
      </c>
      <c r="Y171" s="53">
        <f t="shared" si="21"/>
        <v>57.12</v>
      </c>
      <c r="Z171" s="39">
        <f>IFERROR(IF(Y171=0,"",ROUNDUP(Y171/H171,0)*0.00502),"")</f>
        <v>0.17068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59.333333333333343</v>
      </c>
      <c r="BN171" s="75">
        <f t="shared" si="23"/>
        <v>60.519999999999996</v>
      </c>
      <c r="BO171" s="75">
        <f t="shared" si="24"/>
        <v>0.14245014245014248</v>
      </c>
      <c r="BP171" s="75">
        <f t="shared" si="25"/>
        <v>0.14529914529914531</v>
      </c>
    </row>
    <row r="172" spans="1:68" ht="27" customHeight="1" x14ac:dyDescent="0.25">
      <c r="A172" s="60" t="s">
        <v>291</v>
      </c>
      <c r="B172" s="60" t="s">
        <v>292</v>
      </c>
      <c r="C172" s="34">
        <v>4301031389</v>
      </c>
      <c r="D172" s="598">
        <v>4680115887763</v>
      </c>
      <c r="E172" s="599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4301031454</v>
      </c>
      <c r="D173" s="598">
        <v>4680115887480</v>
      </c>
      <c r="E173" s="599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296</v>
      </c>
      <c r="B174" s="60" t="s">
        <v>297</v>
      </c>
      <c r="C174" s="34">
        <v>4301031434</v>
      </c>
      <c r="D174" s="598">
        <v>4680115888067</v>
      </c>
      <c r="E174" s="599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8">
        <v>4680115887435</v>
      </c>
      <c r="E175" s="599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7"/>
      <c r="V175" s="37"/>
      <c r="W175" s="38" t="s">
        <v>67</v>
      </c>
      <c r="X175" s="56">
        <v>22</v>
      </c>
      <c r="Y175" s="53">
        <f t="shared" si="21"/>
        <v>23.52</v>
      </c>
      <c r="Z175" s="39">
        <f>IFERROR(IF(Y175=0,"",ROUNDUP(Y175/H175,0)*0.00502),"")</f>
        <v>7.0280000000000009E-2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23.309523809523814</v>
      </c>
      <c r="BN175" s="75">
        <f t="shared" si="23"/>
        <v>24.92</v>
      </c>
      <c r="BO175" s="75">
        <f t="shared" si="24"/>
        <v>5.596255596255597E-2</v>
      </c>
      <c r="BP175" s="75">
        <f t="shared" si="25"/>
        <v>5.9829059829059839E-2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191.28571428571431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194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1.5578799999999999</v>
      </c>
      <c r="AA176" s="64"/>
      <c r="AB176" s="64"/>
      <c r="AC176" s="6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40" t="s">
        <v>67</v>
      </c>
      <c r="X177" s="41">
        <f>IFERROR(SUM(X166:X175),"0")</f>
        <v>585</v>
      </c>
      <c r="Y177" s="41">
        <f>IFERROR(SUM(Y166:Y175),"0")</f>
        <v>591.64</v>
      </c>
      <c r="Z177" s="40"/>
      <c r="AA177" s="64"/>
      <c r="AB177" s="64"/>
      <c r="AC177" s="6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3"/>
      <c r="AB178" s="63"/>
      <c r="AC178" s="63"/>
    </row>
    <row r="179" spans="1:68" ht="16.5" customHeight="1" x14ac:dyDescent="0.25">
      <c r="A179" s="60" t="s">
        <v>301</v>
      </c>
      <c r="B179" s="60" t="s">
        <v>302</v>
      </c>
      <c r="C179" s="34">
        <v>4301052193</v>
      </c>
      <c r="D179" s="598">
        <v>4680115888395</v>
      </c>
      <c r="E179" s="599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304</v>
      </c>
      <c r="B180" s="60" t="s">
        <v>305</v>
      </c>
      <c r="C180" s="34">
        <v>4301052191</v>
      </c>
      <c r="D180" s="598">
        <v>4680115888371</v>
      </c>
      <c r="E180" s="599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8">
        <v>4680115887459</v>
      </c>
      <c r="E181" s="599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3"/>
      <c r="AB184" s="63"/>
      <c r="AC184" s="63"/>
    </row>
    <row r="185" spans="1:68" ht="16.5" customHeight="1" x14ac:dyDescent="0.25">
      <c r="A185" s="60" t="s">
        <v>310</v>
      </c>
      <c r="B185" s="60" t="s">
        <v>311</v>
      </c>
      <c r="C185" s="34">
        <v>4301032058</v>
      </c>
      <c r="D185" s="598">
        <v>4680115889026</v>
      </c>
      <c r="E185" s="599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315</v>
      </c>
      <c r="B186" s="60" t="s">
        <v>316</v>
      </c>
      <c r="C186" s="34">
        <v>4301032057</v>
      </c>
      <c r="D186" s="598">
        <v>4680115889088</v>
      </c>
      <c r="E186" s="599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3"/>
      <c r="AB189" s="63"/>
      <c r="AC189" s="63"/>
    </row>
    <row r="190" spans="1:68" ht="27" customHeight="1" x14ac:dyDescent="0.25">
      <c r="A190" s="60" t="s">
        <v>319</v>
      </c>
      <c r="B190" s="60" t="s">
        <v>320</v>
      </c>
      <c r="C190" s="34">
        <v>4301041009</v>
      </c>
      <c r="D190" s="598">
        <v>4680115889033</v>
      </c>
      <c r="E190" s="599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52"/>
      <c r="AB193" s="52"/>
      <c r="AC193" s="52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2"/>
      <c r="AB194" s="62"/>
      <c r="AC194" s="62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3"/>
      <c r="AB195" s="63"/>
      <c r="AC195" s="63"/>
    </row>
    <row r="196" spans="1:68" ht="27" customHeight="1" x14ac:dyDescent="0.25">
      <c r="A196" s="60" t="s">
        <v>324</v>
      </c>
      <c r="B196" s="60" t="s">
        <v>325</v>
      </c>
      <c r="C196" s="34">
        <v>4301011223</v>
      </c>
      <c r="D196" s="598">
        <v>4607091383423</v>
      </c>
      <c r="E196" s="599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326</v>
      </c>
      <c r="B197" s="60" t="s">
        <v>327</v>
      </c>
      <c r="C197" s="34">
        <v>4301012199</v>
      </c>
      <c r="D197" s="598">
        <v>4680115886957</v>
      </c>
      <c r="E197" s="599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329</v>
      </c>
      <c r="B198" s="60" t="s">
        <v>330</v>
      </c>
      <c r="C198" s="34">
        <v>4301012098</v>
      </c>
      <c r="D198" s="598">
        <v>4680115885660</v>
      </c>
      <c r="E198" s="599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332</v>
      </c>
      <c r="B199" s="60" t="s">
        <v>333</v>
      </c>
      <c r="C199" s="34">
        <v>4301012176</v>
      </c>
      <c r="D199" s="598">
        <v>4680115886773</v>
      </c>
      <c r="E199" s="599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2"/>
      <c r="AB202" s="62"/>
      <c r="AC202" s="62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3"/>
      <c r="AB203" s="63"/>
      <c r="AC203" s="63"/>
    </row>
    <row r="204" spans="1:68" ht="27" customHeight="1" x14ac:dyDescent="0.25">
      <c r="A204" s="60" t="s">
        <v>336</v>
      </c>
      <c r="B204" s="60" t="s">
        <v>337</v>
      </c>
      <c r="C204" s="34">
        <v>4301020323</v>
      </c>
      <c r="D204" s="598">
        <v>4680115886223</v>
      </c>
      <c r="E204" s="599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8">
        <v>4680115880993</v>
      </c>
      <c r="E208" s="599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342</v>
      </c>
      <c r="B209" s="60" t="s">
        <v>343</v>
      </c>
      <c r="C209" s="34">
        <v>4301031204</v>
      </c>
      <c r="D209" s="598">
        <v>4680115881761</v>
      </c>
      <c r="E209" s="599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8">
        <v>4680115881563</v>
      </c>
      <c r="E210" s="599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8">
        <v>4680115887565</v>
      </c>
      <c r="E211" s="599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7"/>
      <c r="V211" s="37"/>
      <c r="W211" s="38" t="s">
        <v>67</v>
      </c>
      <c r="X211" s="56">
        <v>8</v>
      </c>
      <c r="Y211" s="53">
        <f t="shared" si="26"/>
        <v>8</v>
      </c>
      <c r="Z211" s="39">
        <f>IFERROR(IF(Y211=0,"",ROUNDUP(Y211/H211,0)*0.00556),"")</f>
        <v>5.5599999999999997E-2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9.3000000000000007</v>
      </c>
      <c r="BN211" s="75">
        <f t="shared" si="28"/>
        <v>9.3000000000000007</v>
      </c>
      <c r="BO211" s="75">
        <f t="shared" si="29"/>
        <v>3.968253968253968E-2</v>
      </c>
      <c r="BP211" s="75">
        <f t="shared" si="30"/>
        <v>3.968253968253968E-2</v>
      </c>
    </row>
    <row r="212" spans="1:68" ht="27" customHeight="1" x14ac:dyDescent="0.25">
      <c r="A212" s="60" t="s">
        <v>351</v>
      </c>
      <c r="B212" s="60" t="s">
        <v>352</v>
      </c>
      <c r="C212" s="34">
        <v>4301031199</v>
      </c>
      <c r="D212" s="598">
        <v>4680115880986</v>
      </c>
      <c r="E212" s="599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353</v>
      </c>
      <c r="B213" s="60" t="s">
        <v>354</v>
      </c>
      <c r="C213" s="34">
        <v>4301031443</v>
      </c>
      <c r="D213" s="598">
        <v>4680115887213</v>
      </c>
      <c r="E213" s="599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4301031205</v>
      </c>
      <c r="D214" s="598">
        <v>4680115881785</v>
      </c>
      <c r="E214" s="599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358</v>
      </c>
      <c r="B215" s="60" t="s">
        <v>359</v>
      </c>
      <c r="C215" s="34">
        <v>4301031499</v>
      </c>
      <c r="D215" s="598">
        <v>4680115888432</v>
      </c>
      <c r="E215" s="599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361</v>
      </c>
      <c r="B216" s="60" t="s">
        <v>362</v>
      </c>
      <c r="C216" s="34">
        <v>4301031427</v>
      </c>
      <c r="D216" s="598">
        <v>4680115888104</v>
      </c>
      <c r="E216" s="599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598">
        <v>4680115886537</v>
      </c>
      <c r="E217" s="599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7"/>
      <c r="V217" s="37"/>
      <c r="W217" s="38" t="s">
        <v>67</v>
      </c>
      <c r="X217" s="56">
        <v>48</v>
      </c>
      <c r="Y217" s="53">
        <f t="shared" si="26"/>
        <v>48.6</v>
      </c>
      <c r="Z217" s="39">
        <f t="shared" si="31"/>
        <v>0.13553999999999999</v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51.466666666666669</v>
      </c>
      <c r="BN217" s="75">
        <f t="shared" si="28"/>
        <v>52.11</v>
      </c>
      <c r="BO217" s="75">
        <f t="shared" si="29"/>
        <v>0.11396011396011396</v>
      </c>
      <c r="BP217" s="75">
        <f t="shared" si="30"/>
        <v>0.11538461538461539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8">
        <v>4680115887596</v>
      </c>
      <c r="E218" s="599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7"/>
      <c r="V218" s="37"/>
      <c r="W218" s="38" t="s">
        <v>67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customHeight="1" x14ac:dyDescent="0.25">
      <c r="A219" s="60" t="s">
        <v>370</v>
      </c>
      <c r="B219" s="60" t="s">
        <v>371</v>
      </c>
      <c r="C219" s="34">
        <v>4301031202</v>
      </c>
      <c r="D219" s="598">
        <v>4680115881679</v>
      </c>
      <c r="E219" s="599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4301031158</v>
      </c>
      <c r="D220" s="598">
        <v>4680115880191</v>
      </c>
      <c r="E220" s="599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374</v>
      </c>
      <c r="B221" s="60" t="s">
        <v>375</v>
      </c>
      <c r="C221" s="34">
        <v>4301031245</v>
      </c>
      <c r="D221" s="598">
        <v>4680115883963</v>
      </c>
      <c r="E221" s="599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41.666666666666664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42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0.21198999999999998</v>
      </c>
      <c r="AA222" s="64"/>
      <c r="AB222" s="64"/>
      <c r="AC222" s="6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40" t="s">
        <v>67</v>
      </c>
      <c r="X223" s="41">
        <f>IFERROR(SUM(X208:X221),"0")</f>
        <v>60</v>
      </c>
      <c r="Y223" s="41">
        <f>IFERROR(SUM(Y208:Y221),"0")</f>
        <v>60.6</v>
      </c>
      <c r="Z223" s="40"/>
      <c r="AA223" s="64"/>
      <c r="AB223" s="64"/>
      <c r="AC223" s="6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3"/>
      <c r="AB224" s="63"/>
      <c r="AC224" s="63"/>
    </row>
    <row r="225" spans="1:68" ht="27" customHeight="1" x14ac:dyDescent="0.25">
      <c r="A225" s="60" t="s">
        <v>377</v>
      </c>
      <c r="B225" s="60" t="s">
        <v>378</v>
      </c>
      <c r="C225" s="34">
        <v>4301052177</v>
      </c>
      <c r="D225" s="598">
        <v>4680115888951</v>
      </c>
      <c r="E225" s="599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380</v>
      </c>
      <c r="B226" s="60" t="s">
        <v>381</v>
      </c>
      <c r="C226" s="34">
        <v>4301052176</v>
      </c>
      <c r="D226" s="598">
        <v>4680115888982</v>
      </c>
      <c r="E226" s="599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3"/>
      <c r="AB229" s="63"/>
      <c r="AC229" s="63"/>
    </row>
    <row r="230" spans="1:68" ht="27" customHeight="1" x14ac:dyDescent="0.25">
      <c r="A230" s="60" t="s">
        <v>383</v>
      </c>
      <c r="B230" s="60" t="s">
        <v>384</v>
      </c>
      <c r="C230" s="34">
        <v>4301032053</v>
      </c>
      <c r="D230" s="598">
        <v>4680115886780</v>
      </c>
      <c r="E230" s="599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8">
        <v>4680115886742</v>
      </c>
      <c r="E231" s="599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7"/>
      <c r="V231" s="37"/>
      <c r="W231" s="38" t="s">
        <v>67</v>
      </c>
      <c r="X231" s="56">
        <v>1</v>
      </c>
      <c r="Y231" s="53">
        <f>IFERROR(IF(X231="",0,CEILING((X231/$H231),1)*$H231),"")</f>
        <v>1.26</v>
      </c>
      <c r="Z231" s="39">
        <f>IFERROR(IF(Y231=0,"",ROUNDUP(Y231/H231,0)*0.0059),"")</f>
        <v>5.8999999999999999E-3</v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1.1507936507936507</v>
      </c>
      <c r="BN231" s="75">
        <f>IFERROR(Y231*I231/H231,"0")</f>
        <v>1.45</v>
      </c>
      <c r="BO231" s="75">
        <f>IFERROR(1/J231*(X231/H231),"0")</f>
        <v>3.6743092298647849E-3</v>
      </c>
      <c r="BP231" s="75">
        <f>IFERROR(1/J231*(Y231/H231),"0")</f>
        <v>4.6296296296296294E-3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8">
        <v>4680115886766</v>
      </c>
      <c r="E232" s="599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40" t="s">
        <v>73</v>
      </c>
      <c r="X233" s="41">
        <f>IFERROR(X230/H230,"0")+IFERROR(X231/H231,"0")+IFERROR(X232/H232,"0")</f>
        <v>0.79365079365079361</v>
      </c>
      <c r="Y233" s="41">
        <f>IFERROR(Y230/H230,"0")+IFERROR(Y231/H231,"0")+IFERROR(Y232/H232,"0")</f>
        <v>1</v>
      </c>
      <c r="Z233" s="41">
        <f>IFERROR(IF(Z230="",0,Z230),"0")+IFERROR(IF(Z231="",0,Z231),"0")+IFERROR(IF(Z232="",0,Z232),"0")</f>
        <v>5.8999999999999999E-3</v>
      </c>
      <c r="AA233" s="64"/>
      <c r="AB233" s="64"/>
      <c r="AC233" s="6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40" t="s">
        <v>67</v>
      </c>
      <c r="X234" s="41">
        <f>IFERROR(SUM(X230:X232),"0")</f>
        <v>1</v>
      </c>
      <c r="Y234" s="41">
        <f>IFERROR(SUM(Y230:Y232),"0")</f>
        <v>1.26</v>
      </c>
      <c r="Z234" s="40"/>
      <c r="AA234" s="64"/>
      <c r="AB234" s="64"/>
      <c r="AC234" s="6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8">
        <v>4680115886797</v>
      </c>
      <c r="E236" s="599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7"/>
      <c r="V236" s="37"/>
      <c r="W236" s="38" t="s">
        <v>67</v>
      </c>
      <c r="X236" s="56">
        <v>1</v>
      </c>
      <c r="Y236" s="53">
        <f>IFERROR(IF(X236="",0,CEILING((X236/$H236),1)*$H236),"")</f>
        <v>1.26</v>
      </c>
      <c r="Z236" s="39">
        <f>IFERROR(IF(Y236=0,"",ROUNDUP(Y236/H236,0)*0.0059),"")</f>
        <v>5.8999999999999999E-3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1.1507936507936507</v>
      </c>
      <c r="BN236" s="75">
        <f>IFERROR(Y236*I236/H236,"0")</f>
        <v>1.45</v>
      </c>
      <c r="BO236" s="75">
        <f>IFERROR(1/J236*(X236/H236),"0")</f>
        <v>3.6743092298647849E-3</v>
      </c>
      <c r="BP236" s="75">
        <f>IFERROR(1/J236*(Y236/H236),"0")</f>
        <v>4.6296296296296294E-3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40" t="s">
        <v>73</v>
      </c>
      <c r="X237" s="41">
        <f>IFERROR(X236/H236,"0")</f>
        <v>0.79365079365079361</v>
      </c>
      <c r="Y237" s="41">
        <f>IFERROR(Y236/H236,"0")</f>
        <v>1</v>
      </c>
      <c r="Z237" s="41">
        <f>IFERROR(IF(Z236="",0,Z236),"0")</f>
        <v>5.8999999999999999E-3</v>
      </c>
      <c r="AA237" s="64"/>
      <c r="AB237" s="64"/>
      <c r="AC237" s="6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40" t="s">
        <v>67</v>
      </c>
      <c r="X238" s="41">
        <f>IFERROR(SUM(X236:X236),"0")</f>
        <v>1</v>
      </c>
      <c r="Y238" s="41">
        <f>IFERROR(SUM(Y236:Y236),"0")</f>
        <v>1.26</v>
      </c>
      <c r="Z238" s="40"/>
      <c r="AA238" s="64"/>
      <c r="AB238" s="64"/>
      <c r="AC238" s="6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2"/>
      <c r="AB239" s="62"/>
      <c r="AC239" s="62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3"/>
      <c r="AB240" s="63"/>
      <c r="AC240" s="63"/>
    </row>
    <row r="241" spans="1:68" ht="27" customHeight="1" x14ac:dyDescent="0.25">
      <c r="A241" s="60" t="s">
        <v>395</v>
      </c>
      <c r="B241" s="60" t="s">
        <v>396</v>
      </c>
      <c r="C241" s="34">
        <v>4301011450</v>
      </c>
      <c r="D241" s="598">
        <v>4680115881402</v>
      </c>
      <c r="E241" s="599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398</v>
      </c>
      <c r="B242" s="60" t="s">
        <v>399</v>
      </c>
      <c r="C242" s="34">
        <v>4301011768</v>
      </c>
      <c r="D242" s="598">
        <v>4680115881396</v>
      </c>
      <c r="E242" s="599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3"/>
      <c r="AB245" s="63"/>
      <c r="AC245" s="63"/>
    </row>
    <row r="246" spans="1:68" ht="16.5" customHeight="1" x14ac:dyDescent="0.25">
      <c r="A246" s="60" t="s">
        <v>400</v>
      </c>
      <c r="B246" s="60" t="s">
        <v>401</v>
      </c>
      <c r="C246" s="34">
        <v>4301020261</v>
      </c>
      <c r="D246" s="598">
        <v>4680115882935</v>
      </c>
      <c r="E246" s="599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403</v>
      </c>
      <c r="B247" s="60" t="s">
        <v>404</v>
      </c>
      <c r="C247" s="34">
        <v>4301020220</v>
      </c>
      <c r="D247" s="598">
        <v>4680115880764</v>
      </c>
      <c r="E247" s="599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8">
        <v>4680115882683</v>
      </c>
      <c r="E251" s="599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7"/>
      <c r="V251" s="37"/>
      <c r="W251" s="38" t="s">
        <v>67</v>
      </c>
      <c r="X251" s="56">
        <v>198</v>
      </c>
      <c r="Y251" s="53">
        <f t="shared" ref="Y251:Y258" si="32">IFERROR(IF(X251="",0,CEILING((X251/$H251),1)*$H251),"")</f>
        <v>199.8</v>
      </c>
      <c r="Z251" s="39">
        <f>IFERROR(IF(Y251=0,"",ROUNDUP(Y251/H251,0)*0.00902),"")</f>
        <v>0.33374000000000004</v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204.96666666666664</v>
      </c>
      <c r="BN251" s="75">
        <f t="shared" ref="BN251:BN258" si="34">IFERROR(Y251*I251/H251,"0")</f>
        <v>206.82999999999998</v>
      </c>
      <c r="BO251" s="75">
        <f t="shared" ref="BO251:BO258" si="35">IFERROR(1/J251*(X251/H251),"0")</f>
        <v>0.27777777777777779</v>
      </c>
      <c r="BP251" s="75">
        <f t="shared" ref="BP251:BP258" si="36">IFERROR(1/J251*(Y251/H251),"0")</f>
        <v>0.28030303030303033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8">
        <v>4680115882690</v>
      </c>
      <c r="E252" s="599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7"/>
      <c r="V252" s="37"/>
      <c r="W252" s="38" t="s">
        <v>67</v>
      </c>
      <c r="X252" s="56">
        <v>162</v>
      </c>
      <c r="Y252" s="53">
        <f t="shared" si="32"/>
        <v>162</v>
      </c>
      <c r="Z252" s="39">
        <f>IFERROR(IF(Y252=0,"",ROUNDUP(Y252/H252,0)*0.00902),"")</f>
        <v>0.27060000000000001</v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167.7</v>
      </c>
      <c r="BN252" s="75">
        <f t="shared" si="34"/>
        <v>167.7</v>
      </c>
      <c r="BO252" s="75">
        <f t="shared" si="35"/>
        <v>0.22727272727272727</v>
      </c>
      <c r="BP252" s="75">
        <f t="shared" si="36"/>
        <v>0.22727272727272727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598">
        <v>4680115882669</v>
      </c>
      <c r="E253" s="599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7"/>
      <c r="V253" s="37"/>
      <c r="W253" s="38" t="s">
        <v>67</v>
      </c>
      <c r="X253" s="56">
        <v>65</v>
      </c>
      <c r="Y253" s="53">
        <f t="shared" si="32"/>
        <v>70.2</v>
      </c>
      <c r="Z253" s="39">
        <f>IFERROR(IF(Y253=0,"",ROUNDUP(Y253/H253,0)*0.00902),"")</f>
        <v>0.11726</v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67.287037037037024</v>
      </c>
      <c r="BN253" s="75">
        <f t="shared" si="34"/>
        <v>72.67</v>
      </c>
      <c r="BO253" s="75">
        <f t="shared" si="35"/>
        <v>9.1189674523007858E-2</v>
      </c>
      <c r="BP253" s="75">
        <f t="shared" si="36"/>
        <v>9.8484848484848481E-2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8">
        <v>4680115882676</v>
      </c>
      <c r="E254" s="599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7"/>
      <c r="V254" s="37"/>
      <c r="W254" s="38" t="s">
        <v>67</v>
      </c>
      <c r="X254" s="56">
        <v>279</v>
      </c>
      <c r="Y254" s="53">
        <f t="shared" si="32"/>
        <v>280.8</v>
      </c>
      <c r="Z254" s="39">
        <f>IFERROR(IF(Y254=0,"",ROUNDUP(Y254/H254,0)*0.00902),"")</f>
        <v>0.46904000000000001</v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288.81666666666661</v>
      </c>
      <c r="BN254" s="75">
        <f t="shared" si="34"/>
        <v>290.68</v>
      </c>
      <c r="BO254" s="75">
        <f t="shared" si="35"/>
        <v>0.39141414141414138</v>
      </c>
      <c r="BP254" s="75">
        <f t="shared" si="36"/>
        <v>0.39393939393939392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8">
        <v>4680115884014</v>
      </c>
      <c r="E255" s="599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7"/>
      <c r="V255" s="37"/>
      <c r="W255" s="38" t="s">
        <v>67</v>
      </c>
      <c r="X255" s="56">
        <v>41</v>
      </c>
      <c r="Y255" s="53">
        <f t="shared" si="32"/>
        <v>41.4</v>
      </c>
      <c r="Z255" s="39">
        <f>IFERROR(IF(Y255=0,"",ROUNDUP(Y255/H255,0)*0.00502),"")</f>
        <v>0.11546000000000001</v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43.961111111111109</v>
      </c>
      <c r="BN255" s="75">
        <f t="shared" si="34"/>
        <v>44.39</v>
      </c>
      <c r="BO255" s="75">
        <f t="shared" si="35"/>
        <v>9.7340930674264026E-2</v>
      </c>
      <c r="BP255" s="75">
        <f t="shared" si="36"/>
        <v>9.8290598290598302E-2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8">
        <v>4680115884007</v>
      </c>
      <c r="E256" s="599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421</v>
      </c>
      <c r="B257" s="60" t="s">
        <v>422</v>
      </c>
      <c r="C257" s="34">
        <v>4301031229</v>
      </c>
      <c r="D257" s="598">
        <v>4680115884038</v>
      </c>
      <c r="E257" s="599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8">
        <v>4680115884021</v>
      </c>
      <c r="E258" s="599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7"/>
      <c r="V258" s="37"/>
      <c r="W258" s="38" t="s">
        <v>67</v>
      </c>
      <c r="X258" s="56">
        <v>61</v>
      </c>
      <c r="Y258" s="53">
        <f t="shared" si="32"/>
        <v>61.2</v>
      </c>
      <c r="Z258" s="39">
        <f>IFERROR(IF(Y258=0,"",ROUNDUP(Y258/H258,0)*0.00502),"")</f>
        <v>0.17068</v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64.388888888888886</v>
      </c>
      <c r="BN258" s="75">
        <f t="shared" si="34"/>
        <v>64.599999999999994</v>
      </c>
      <c r="BO258" s="75">
        <f t="shared" si="35"/>
        <v>0.14482431149097816</v>
      </c>
      <c r="BP258" s="75">
        <f t="shared" si="36"/>
        <v>0.14529914529914531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187.03703703703701</v>
      </c>
      <c r="Y259" s="41">
        <f>IFERROR(Y251/H251,"0")+IFERROR(Y252/H252,"0")+IFERROR(Y253/H253,"0")+IFERROR(Y254/H254,"0")+IFERROR(Y255/H255,"0")+IFERROR(Y256/H256,"0")+IFERROR(Y257/H257,"0")+IFERROR(Y258/H258,"0")</f>
        <v>189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1.4767800000000002</v>
      </c>
      <c r="AA259" s="64"/>
      <c r="AB259" s="64"/>
      <c r="AC259" s="6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40" t="s">
        <v>67</v>
      </c>
      <c r="X260" s="41">
        <f>IFERROR(SUM(X251:X258),"0")</f>
        <v>806</v>
      </c>
      <c r="Y260" s="41">
        <f>IFERROR(SUM(Y251:Y258),"0")</f>
        <v>815.4</v>
      </c>
      <c r="Z260" s="40"/>
      <c r="AA260" s="64"/>
      <c r="AB260" s="64"/>
      <c r="AC260" s="6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8">
        <v>4680115881594</v>
      </c>
      <c r="E262" s="599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7"/>
      <c r="V262" s="37"/>
      <c r="W262" s="38" t="s">
        <v>67</v>
      </c>
      <c r="X262" s="56">
        <v>22</v>
      </c>
      <c r="Y262" s="53">
        <f t="shared" ref="Y262:Y273" si="37">IFERROR(IF(X262="",0,CEILING((X262/$H262),1)*$H262),"")</f>
        <v>24.299999999999997</v>
      </c>
      <c r="Z262" s="39">
        <f>IFERROR(IF(Y262=0,"",ROUNDUP(Y262/H262,0)*0.01898),"")</f>
        <v>5.6940000000000004E-2</v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23.341728395061729</v>
      </c>
      <c r="BN262" s="75">
        <f t="shared" ref="BN262:BN273" si="39">IFERROR(Y262*I262/H262,"0")</f>
        <v>25.781999999999996</v>
      </c>
      <c r="BO262" s="75">
        <f t="shared" ref="BO262:BO273" si="40">IFERROR(1/J262*(X262/H262),"0")</f>
        <v>4.2438271604938273E-2</v>
      </c>
      <c r="BP262" s="75">
        <f t="shared" ref="BP262:BP273" si="41">IFERROR(1/J262*(Y262/H262),"0")</f>
        <v>4.6875E-2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8">
        <v>4680115881617</v>
      </c>
      <c r="E263" s="599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7"/>
      <c r="V263" s="37"/>
      <c r="W263" s="38" t="s">
        <v>67</v>
      </c>
      <c r="X263" s="56">
        <v>104</v>
      </c>
      <c r="Y263" s="53">
        <f t="shared" si="37"/>
        <v>105.3</v>
      </c>
      <c r="Z263" s="39">
        <f>IFERROR(IF(Y263=0,"",ROUNDUP(Y263/H263,0)*0.01898),"")</f>
        <v>0.24674000000000001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110.11160493827161</v>
      </c>
      <c r="BN263" s="75">
        <f t="shared" si="39"/>
        <v>111.48800000000001</v>
      </c>
      <c r="BO263" s="75">
        <f t="shared" si="40"/>
        <v>0.20061728395061729</v>
      </c>
      <c r="BP263" s="75">
        <f t="shared" si="41"/>
        <v>0.203125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8">
        <v>4680115880573</v>
      </c>
      <c r="E264" s="599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7"/>
      <c r="V264" s="37"/>
      <c r="W264" s="38" t="s">
        <v>67</v>
      </c>
      <c r="X264" s="56">
        <v>27</v>
      </c>
      <c r="Y264" s="53">
        <f t="shared" si="37"/>
        <v>34.799999999999997</v>
      </c>
      <c r="Z264" s="39">
        <f>IFERROR(IF(Y264=0,"",ROUNDUP(Y264/H264,0)*0.01898),"")</f>
        <v>7.5920000000000001E-2</v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28.533103448275867</v>
      </c>
      <c r="BN264" s="75">
        <f t="shared" si="39"/>
        <v>36.776000000000003</v>
      </c>
      <c r="BO264" s="75">
        <f t="shared" si="40"/>
        <v>4.8491379310344834E-2</v>
      </c>
      <c r="BP264" s="75">
        <f t="shared" si="41"/>
        <v>6.25E-2</v>
      </c>
    </row>
    <row r="265" spans="1:68" ht="37.5" customHeight="1" x14ac:dyDescent="0.25">
      <c r="A265" s="60" t="s">
        <v>434</v>
      </c>
      <c r="B265" s="60" t="s">
        <v>435</v>
      </c>
      <c r="C265" s="34">
        <v>4301051407</v>
      </c>
      <c r="D265" s="598">
        <v>4680115882195</v>
      </c>
      <c r="E265" s="599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436</v>
      </c>
      <c r="B266" s="60" t="s">
        <v>437</v>
      </c>
      <c r="C266" s="34">
        <v>4301051752</v>
      </c>
      <c r="D266" s="598">
        <v>4680115882607</v>
      </c>
      <c r="E266" s="599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438</v>
      </c>
      <c r="B267" s="60" t="s">
        <v>439</v>
      </c>
      <c r="C267" s="34">
        <v>4301052143</v>
      </c>
      <c r="D267" s="598">
        <v>4680115882607</v>
      </c>
      <c r="E267" s="599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8">
        <v>4680115880092</v>
      </c>
      <c r="E268" s="599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7"/>
      <c r="V268" s="37"/>
      <c r="W268" s="38" t="s">
        <v>67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443</v>
      </c>
      <c r="B269" s="60" t="s">
        <v>444</v>
      </c>
      <c r="C269" s="34">
        <v>4301052214</v>
      </c>
      <c r="D269" s="598">
        <v>4680115889064</v>
      </c>
      <c r="E269" s="599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8">
        <v>4680115880221</v>
      </c>
      <c r="E270" s="599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7"/>
      <c r="V270" s="37"/>
      <c r="W270" s="38" t="s">
        <v>67</v>
      </c>
      <c r="X270" s="56">
        <v>96</v>
      </c>
      <c r="Y270" s="53">
        <f t="shared" si="37"/>
        <v>96</v>
      </c>
      <c r="Z270" s="39">
        <f>IFERROR(IF(Y270=0,"",ROUNDUP(Y270/H270,0)*0.00651),"")</f>
        <v>0.26040000000000002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106.08000000000001</v>
      </c>
      <c r="BN270" s="75">
        <f t="shared" si="39"/>
        <v>106.08000000000001</v>
      </c>
      <c r="BO270" s="75">
        <f t="shared" si="40"/>
        <v>0.2197802197802198</v>
      </c>
      <c r="BP270" s="75">
        <f t="shared" si="41"/>
        <v>0.2197802197802198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8">
        <v>4680115880504</v>
      </c>
      <c r="E271" s="599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7"/>
      <c r="V271" s="37"/>
      <c r="W271" s="38" t="s">
        <v>67</v>
      </c>
      <c r="X271" s="56">
        <v>160</v>
      </c>
      <c r="Y271" s="53">
        <f t="shared" si="37"/>
        <v>160.79999999999998</v>
      </c>
      <c r="Z271" s="39">
        <f>IFERROR(IF(Y271=0,"",ROUNDUP(Y271/H271,0)*0.00651),"")</f>
        <v>0.43617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176.80000000000004</v>
      </c>
      <c r="BN271" s="75">
        <f t="shared" si="39"/>
        <v>177.684</v>
      </c>
      <c r="BO271" s="75">
        <f t="shared" si="40"/>
        <v>0.36630036630036633</v>
      </c>
      <c r="BP271" s="75">
        <f t="shared" si="41"/>
        <v>0.36813186813186816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8">
        <v>4680115882164</v>
      </c>
      <c r="E272" s="599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7"/>
      <c r="V272" s="37"/>
      <c r="W272" s="38" t="s">
        <v>67</v>
      </c>
      <c r="X272" s="56">
        <v>108</v>
      </c>
      <c r="Y272" s="53">
        <f t="shared" si="37"/>
        <v>108</v>
      </c>
      <c r="Z272" s="39">
        <f>IFERROR(IF(Y272=0,"",ROUNDUP(Y272/H272,0)*0.00651),"")</f>
        <v>0.29294999999999999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119.60999999999999</v>
      </c>
      <c r="BN272" s="75">
        <f t="shared" si="39"/>
        <v>119.60999999999999</v>
      </c>
      <c r="BO272" s="75">
        <f t="shared" si="40"/>
        <v>0.24725274725274726</v>
      </c>
      <c r="BP272" s="75">
        <f t="shared" si="41"/>
        <v>0.24725274725274726</v>
      </c>
    </row>
    <row r="273" spans="1:68" ht="27" customHeight="1" x14ac:dyDescent="0.25">
      <c r="A273" s="60" t="s">
        <v>453</v>
      </c>
      <c r="B273" s="60" t="s">
        <v>454</v>
      </c>
      <c r="C273" s="34">
        <v>4301052180</v>
      </c>
      <c r="D273" s="598">
        <v>4680115888340</v>
      </c>
      <c r="E273" s="599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170.32567049808429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172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1.3691200000000001</v>
      </c>
      <c r="AA274" s="64"/>
      <c r="AB274" s="64"/>
      <c r="AC274" s="6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40" t="s">
        <v>67</v>
      </c>
      <c r="X275" s="41">
        <f>IFERROR(SUM(X262:X273),"0")</f>
        <v>517</v>
      </c>
      <c r="Y275" s="41">
        <f>IFERROR(SUM(Y262:Y273),"0")</f>
        <v>529.19999999999993</v>
      </c>
      <c r="Z275" s="40"/>
      <c r="AA275" s="64"/>
      <c r="AB275" s="64"/>
      <c r="AC275" s="6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8">
        <v>4680115880818</v>
      </c>
      <c r="E277" s="599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7"/>
      <c r="V277" s="37"/>
      <c r="W277" s="38" t="s">
        <v>67</v>
      </c>
      <c r="X277" s="56">
        <v>9</v>
      </c>
      <c r="Y277" s="53">
        <f>IFERROR(IF(X277="",0,CEILING((X277/$H277),1)*$H277),"")</f>
        <v>9.6</v>
      </c>
      <c r="Z277" s="39">
        <f>IFERROR(IF(Y277=0,"",ROUNDUP(Y277/H277,0)*0.00651),"")</f>
        <v>2.6040000000000001E-2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9.9450000000000021</v>
      </c>
      <c r="BN277" s="75">
        <f>IFERROR(Y277*I277/H277,"0")</f>
        <v>10.608000000000001</v>
      </c>
      <c r="BO277" s="75">
        <f>IFERROR(1/J277*(X277/H277),"0")</f>
        <v>2.0604395604395608E-2</v>
      </c>
      <c r="BP277" s="75">
        <f>IFERROR(1/J277*(Y277/H277),"0")</f>
        <v>2.197802197802198E-2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598">
        <v>4680115880801</v>
      </c>
      <c r="E278" s="599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7"/>
      <c r="V278" s="37"/>
      <c r="W278" s="38" t="s">
        <v>67</v>
      </c>
      <c r="X278" s="56">
        <v>46</v>
      </c>
      <c r="Y278" s="53">
        <f>IFERROR(IF(X278="",0,CEILING((X278/$H278),1)*$H278),"")</f>
        <v>48</v>
      </c>
      <c r="Z278" s="39">
        <f>IFERROR(IF(Y278=0,"",ROUNDUP(Y278/H278,0)*0.00651),"")</f>
        <v>0.13020000000000001</v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50.830000000000005</v>
      </c>
      <c r="BN278" s="75">
        <f>IFERROR(Y278*I278/H278,"0")</f>
        <v>53.040000000000006</v>
      </c>
      <c r="BO278" s="75">
        <f>IFERROR(1/J278*(X278/H278),"0")</f>
        <v>0.10531135531135533</v>
      </c>
      <c r="BP278" s="75">
        <f>IFERROR(1/J278*(Y278/H278),"0")</f>
        <v>0.1098901098901099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40" t="s">
        <v>73</v>
      </c>
      <c r="X279" s="41">
        <f>IFERROR(X277/H277,"0")+IFERROR(X278/H278,"0")</f>
        <v>22.916666666666668</v>
      </c>
      <c r="Y279" s="41">
        <f>IFERROR(Y277/H277,"0")+IFERROR(Y278/H278,"0")</f>
        <v>24</v>
      </c>
      <c r="Z279" s="41">
        <f>IFERROR(IF(Z277="",0,Z277),"0")+IFERROR(IF(Z278="",0,Z278),"0")</f>
        <v>0.15624000000000002</v>
      </c>
      <c r="AA279" s="64"/>
      <c r="AB279" s="64"/>
      <c r="AC279" s="6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40" t="s">
        <v>67</v>
      </c>
      <c r="X280" s="41">
        <f>IFERROR(SUM(X277:X278),"0")</f>
        <v>55</v>
      </c>
      <c r="Y280" s="41">
        <f>IFERROR(SUM(Y277:Y278),"0")</f>
        <v>57.6</v>
      </c>
      <c r="Z280" s="40"/>
      <c r="AA280" s="64"/>
      <c r="AB280" s="64"/>
      <c r="AC280" s="6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62"/>
      <c r="AB281" s="62"/>
      <c r="AC281" s="62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598">
        <v>4680115884137</v>
      </c>
      <c r="E283" s="599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7"/>
      <c r="V283" s="37"/>
      <c r="W283" s="38" t="s">
        <v>67</v>
      </c>
      <c r="X283" s="56">
        <v>12</v>
      </c>
      <c r="Y283" s="53">
        <f t="shared" ref="Y283:Y289" si="42">IFERROR(IF(X283="",0,CEILING((X283/$H283),1)*$H283),"")</f>
        <v>23.2</v>
      </c>
      <c r="Z283" s="39">
        <f>IFERROR(IF(Y283=0,"",ROUNDUP(Y283/H283,0)*0.01898),"")</f>
        <v>3.7960000000000001E-2</v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12.424137931034483</v>
      </c>
      <c r="BN283" s="75">
        <f t="shared" ref="BN283:BN289" si="44">IFERROR(Y283*I283/H283,"0")</f>
        <v>24.02</v>
      </c>
      <c r="BO283" s="75">
        <f t="shared" ref="BO283:BO289" si="45">IFERROR(1/J283*(X283/H283),"0")</f>
        <v>1.6163793103448277E-2</v>
      </c>
      <c r="BP283" s="75">
        <f t="shared" ref="BP283:BP289" si="46">IFERROR(1/J283*(Y283/H283),"0")</f>
        <v>3.125E-2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8">
        <v>4680115884236</v>
      </c>
      <c r="E284" s="599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469</v>
      </c>
      <c r="B285" s="60" t="s">
        <v>470</v>
      </c>
      <c r="C285" s="34">
        <v>4301011721</v>
      </c>
      <c r="D285" s="598">
        <v>4680115884175</v>
      </c>
      <c r="E285" s="599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598">
        <v>4680115884144</v>
      </c>
      <c r="E286" s="599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7"/>
      <c r="V286" s="37"/>
      <c r="W286" s="38" t="s">
        <v>67</v>
      </c>
      <c r="X286" s="56">
        <v>27</v>
      </c>
      <c r="Y286" s="53">
        <f t="shared" si="42"/>
        <v>28</v>
      </c>
      <c r="Z286" s="39">
        <f>IFERROR(IF(Y286=0,"",ROUNDUP(Y286/H286,0)*0.00902),"")</f>
        <v>6.3140000000000002E-2</v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28.282500000000002</v>
      </c>
      <c r="BN286" s="75">
        <f t="shared" si="44"/>
        <v>29.330000000000002</v>
      </c>
      <c r="BO286" s="75">
        <f t="shared" si="45"/>
        <v>5.113636363636364E-2</v>
      </c>
      <c r="BP286" s="75">
        <f t="shared" si="46"/>
        <v>5.3030303030303032E-2</v>
      </c>
    </row>
    <row r="287" spans="1:68" ht="27" customHeight="1" x14ac:dyDescent="0.25">
      <c r="A287" s="60" t="s">
        <v>473</v>
      </c>
      <c r="B287" s="60" t="s">
        <v>474</v>
      </c>
      <c r="C287" s="34">
        <v>4301012149</v>
      </c>
      <c r="D287" s="598">
        <v>4680115886551</v>
      </c>
      <c r="E287" s="599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476</v>
      </c>
      <c r="B288" s="60" t="s">
        <v>477</v>
      </c>
      <c r="C288" s="34">
        <v>4301012228</v>
      </c>
      <c r="D288" s="598">
        <v>4680115887282</v>
      </c>
      <c r="E288" s="599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479</v>
      </c>
      <c r="B289" s="60" t="s">
        <v>480</v>
      </c>
      <c r="C289" s="34">
        <v>4301011722</v>
      </c>
      <c r="D289" s="598">
        <v>4680115884205</v>
      </c>
      <c r="E289" s="599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40" t="s">
        <v>73</v>
      </c>
      <c r="X290" s="41">
        <f>IFERROR(X283/H283,"0")+IFERROR(X284/H284,"0")+IFERROR(X285/H285,"0")+IFERROR(X286/H286,"0")+IFERROR(X287/H287,"0")+IFERROR(X288/H288,"0")+IFERROR(X289/H289,"0")</f>
        <v>7.7844827586206895</v>
      </c>
      <c r="Y290" s="41">
        <f>IFERROR(Y283/H283,"0")+IFERROR(Y284/H284,"0")+IFERROR(Y285/H285,"0")+IFERROR(Y286/H286,"0")+IFERROR(Y287/H287,"0")+IFERROR(Y288/H288,"0")+IFERROR(Y289/H289,"0")</f>
        <v>9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0.1011</v>
      </c>
      <c r="AA290" s="64"/>
      <c r="AB290" s="64"/>
      <c r="AC290" s="6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40" t="s">
        <v>67</v>
      </c>
      <c r="X291" s="41">
        <f>IFERROR(SUM(X283:X289),"0")</f>
        <v>39</v>
      </c>
      <c r="Y291" s="41">
        <f>IFERROR(SUM(Y283:Y289),"0")</f>
        <v>51.2</v>
      </c>
      <c r="Z291" s="40"/>
      <c r="AA291" s="64"/>
      <c r="AB291" s="64"/>
      <c r="AC291" s="6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63"/>
      <c r="AB292" s="63"/>
      <c r="AC292" s="63"/>
    </row>
    <row r="293" spans="1:68" ht="27" customHeight="1" x14ac:dyDescent="0.25">
      <c r="A293" s="60" t="s">
        <v>481</v>
      </c>
      <c r="B293" s="60" t="s">
        <v>482</v>
      </c>
      <c r="C293" s="34">
        <v>4301020377</v>
      </c>
      <c r="D293" s="598">
        <v>4680115885981</v>
      </c>
      <c r="E293" s="599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8">
        <v>4680115886803</v>
      </c>
      <c r="E297" s="599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3"/>
      <c r="AB300" s="63"/>
      <c r="AC300" s="63"/>
    </row>
    <row r="301" spans="1:68" ht="27" customHeight="1" x14ac:dyDescent="0.25">
      <c r="A301" s="60" t="s">
        <v>488</v>
      </c>
      <c r="B301" s="60" t="s">
        <v>489</v>
      </c>
      <c r="C301" s="34">
        <v>4301041004</v>
      </c>
      <c r="D301" s="598">
        <v>4680115886704</v>
      </c>
      <c r="E301" s="599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491</v>
      </c>
      <c r="B302" s="60" t="s">
        <v>492</v>
      </c>
      <c r="C302" s="34">
        <v>4301041008</v>
      </c>
      <c r="D302" s="598">
        <v>4680115886681</v>
      </c>
      <c r="E302" s="599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493</v>
      </c>
      <c r="B303" s="60" t="s">
        <v>494</v>
      </c>
      <c r="C303" s="34">
        <v>4301041007</v>
      </c>
      <c r="D303" s="598">
        <v>4680115886735</v>
      </c>
      <c r="E303" s="599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8">
        <v>4680115886711</v>
      </c>
      <c r="E304" s="599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7"/>
      <c r="V304" s="37" t="s">
        <v>497</v>
      </c>
      <c r="W304" s="38" t="s">
        <v>67</v>
      </c>
      <c r="X304" s="56">
        <v>2</v>
      </c>
      <c r="Y304" s="53">
        <f>IFERROR(IF(X304="",0,CEILING((X304/$H304),1)*$H304),"")</f>
        <v>2.9699999999999998</v>
      </c>
      <c r="Z304" s="39">
        <f>IFERROR(IF(Y304=0,"",ROUNDUP(Y304/H304,0)*0.0059),"")</f>
        <v>1.77E-2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2.3838383838383836</v>
      </c>
      <c r="BN304" s="75">
        <f>IFERROR(Y304*I304/H304,"0")</f>
        <v>3.5399999999999996</v>
      </c>
      <c r="BO304" s="75">
        <f>IFERROR(1/J304*(X304/H304),"0")</f>
        <v>9.3527871305649091E-3</v>
      </c>
      <c r="BP304" s="75">
        <f>IFERROR(1/J304*(Y304/H304),"0")</f>
        <v>1.3888888888888886E-2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40" t="s">
        <v>73</v>
      </c>
      <c r="X305" s="41">
        <f>IFERROR(X301/H301,"0")+IFERROR(X302/H302,"0")+IFERROR(X303/H303,"0")+IFERROR(X304/H304,"0")</f>
        <v>2.0202020202020203</v>
      </c>
      <c r="Y305" s="41">
        <f>IFERROR(Y301/H301,"0")+IFERROR(Y302/H302,"0")+IFERROR(Y303/H303,"0")+IFERROR(Y304/H304,"0")</f>
        <v>2.9999999999999996</v>
      </c>
      <c r="Z305" s="41">
        <f>IFERROR(IF(Z301="",0,Z301),"0")+IFERROR(IF(Z302="",0,Z302),"0")+IFERROR(IF(Z303="",0,Z303),"0")+IFERROR(IF(Z304="",0,Z304),"0")</f>
        <v>1.77E-2</v>
      </c>
      <c r="AA305" s="64"/>
      <c r="AB305" s="64"/>
      <c r="AC305" s="6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40" t="s">
        <v>67</v>
      </c>
      <c r="X306" s="41">
        <f>IFERROR(SUM(X301:X304),"0")</f>
        <v>2</v>
      </c>
      <c r="Y306" s="41">
        <f>IFERROR(SUM(Y301:Y304),"0")</f>
        <v>2.9699999999999998</v>
      </c>
      <c r="Z306" s="40"/>
      <c r="AA306" s="64"/>
      <c r="AB306" s="64"/>
      <c r="AC306" s="6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63"/>
      <c r="AB308" s="63"/>
      <c r="AC308" s="63"/>
    </row>
    <row r="309" spans="1:68" ht="27" customHeight="1" x14ac:dyDescent="0.25">
      <c r="A309" s="60" t="s">
        <v>499</v>
      </c>
      <c r="B309" s="60" t="s">
        <v>500</v>
      </c>
      <c r="C309" s="34">
        <v>4301011855</v>
      </c>
      <c r="D309" s="598">
        <v>4680115885837</v>
      </c>
      <c r="E309" s="599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502</v>
      </c>
      <c r="B310" s="60" t="s">
        <v>503</v>
      </c>
      <c r="C310" s="34">
        <v>4301012234</v>
      </c>
      <c r="D310" s="598">
        <v>4680115887237</v>
      </c>
      <c r="E310" s="599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505</v>
      </c>
      <c r="B311" s="60" t="s">
        <v>506</v>
      </c>
      <c r="C311" s="34">
        <v>4301011850</v>
      </c>
      <c r="D311" s="598">
        <v>4680115885806</v>
      </c>
      <c r="E311" s="599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508</v>
      </c>
      <c r="B312" s="60" t="s">
        <v>509</v>
      </c>
      <c r="C312" s="34">
        <v>4301011852</v>
      </c>
      <c r="D312" s="598">
        <v>4680115885844</v>
      </c>
      <c r="E312" s="59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511</v>
      </c>
      <c r="B313" s="60" t="s">
        <v>512</v>
      </c>
      <c r="C313" s="34">
        <v>4301011851</v>
      </c>
      <c r="D313" s="598">
        <v>4680115885820</v>
      </c>
      <c r="E313" s="599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62"/>
      <c r="AB316" s="62"/>
      <c r="AC316" s="62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63"/>
      <c r="AB317" s="63"/>
      <c r="AC317" s="63"/>
    </row>
    <row r="318" spans="1:68" ht="27" customHeight="1" x14ac:dyDescent="0.25">
      <c r="A318" s="60" t="s">
        <v>515</v>
      </c>
      <c r="B318" s="60" t="s">
        <v>516</v>
      </c>
      <c r="C318" s="34">
        <v>4301051893</v>
      </c>
      <c r="D318" s="598">
        <v>4680115886186</v>
      </c>
      <c r="E318" s="599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8">
        <v>4680115881228</v>
      </c>
      <c r="E319" s="599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7"/>
      <c r="V319" s="37"/>
      <c r="W319" s="38" t="s">
        <v>67</v>
      </c>
      <c r="X319" s="56">
        <v>77</v>
      </c>
      <c r="Y319" s="53">
        <f>IFERROR(IF(X319="",0,CEILING((X319/$H319),1)*$H319),"")</f>
        <v>79.2</v>
      </c>
      <c r="Z319" s="39">
        <f>IFERROR(IF(Y319=0,"",ROUNDUP(Y319/H319,0)*0.00651),"")</f>
        <v>0.21482999999999999</v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85.085000000000008</v>
      </c>
      <c r="BN319" s="75">
        <f>IFERROR(Y319*I319/H319,"0")</f>
        <v>87.51600000000002</v>
      </c>
      <c r="BO319" s="75">
        <f>IFERROR(1/J319*(X319/H319),"0")</f>
        <v>0.17628205128205132</v>
      </c>
      <c r="BP319" s="75">
        <f>IFERROR(1/J319*(Y319/H319),"0")</f>
        <v>0.18131868131868134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598">
        <v>4680115881211</v>
      </c>
      <c r="E320" s="599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7"/>
      <c r="V320" s="37"/>
      <c r="W320" s="38" t="s">
        <v>67</v>
      </c>
      <c r="X320" s="56">
        <v>106</v>
      </c>
      <c r="Y320" s="53">
        <f>IFERROR(IF(X320="",0,CEILING((X320/$H320),1)*$H320),"")</f>
        <v>108</v>
      </c>
      <c r="Z320" s="39">
        <f>IFERROR(IF(Y320=0,"",ROUNDUP(Y320/H320,0)*0.00651),"")</f>
        <v>0.29294999999999999</v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113.95000000000002</v>
      </c>
      <c r="BN320" s="75">
        <f>IFERROR(Y320*I320/H320,"0")</f>
        <v>116.1</v>
      </c>
      <c r="BO320" s="75">
        <f>IFERROR(1/J320*(X320/H320),"0")</f>
        <v>0.24267399267399273</v>
      </c>
      <c r="BP320" s="75">
        <f>IFERROR(1/J320*(Y320/H320),"0")</f>
        <v>0.24725274725274726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40" t="s">
        <v>73</v>
      </c>
      <c r="X321" s="41">
        <f>IFERROR(X318/H318,"0")+IFERROR(X319/H319,"0")+IFERROR(X320/H320,"0")</f>
        <v>76.25</v>
      </c>
      <c r="Y321" s="41">
        <f>IFERROR(Y318/H318,"0")+IFERROR(Y319/H319,"0")+IFERROR(Y320/H320,"0")</f>
        <v>78</v>
      </c>
      <c r="Z321" s="41">
        <f>IFERROR(IF(Z318="",0,Z318),"0")+IFERROR(IF(Z319="",0,Z319),"0")+IFERROR(IF(Z320="",0,Z320),"0")</f>
        <v>0.50778000000000001</v>
      </c>
      <c r="AA321" s="64"/>
      <c r="AB321" s="64"/>
      <c r="AC321" s="6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40" t="s">
        <v>67</v>
      </c>
      <c r="X322" s="41">
        <f>IFERROR(SUM(X318:X320),"0")</f>
        <v>183</v>
      </c>
      <c r="Y322" s="41">
        <f>IFERROR(SUM(Y318:Y320),"0")</f>
        <v>187.2</v>
      </c>
      <c r="Z322" s="40"/>
      <c r="AA322" s="64"/>
      <c r="AB322" s="64"/>
      <c r="AC322" s="6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62"/>
      <c r="AB323" s="62"/>
      <c r="AC323" s="62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63"/>
      <c r="AB324" s="63"/>
      <c r="AC324" s="63"/>
    </row>
    <row r="325" spans="1:68" ht="27" customHeight="1" x14ac:dyDescent="0.25">
      <c r="A325" s="60" t="s">
        <v>524</v>
      </c>
      <c r="B325" s="60" t="s">
        <v>525</v>
      </c>
      <c r="C325" s="34">
        <v>4301031445</v>
      </c>
      <c r="D325" s="598">
        <v>4680115888319</v>
      </c>
      <c r="E325" s="599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526</v>
      </c>
      <c r="B326" s="60" t="s">
        <v>527</v>
      </c>
      <c r="C326" s="34">
        <v>4301031502</v>
      </c>
      <c r="D326" s="598">
        <v>4680115884700</v>
      </c>
      <c r="E326" s="599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529</v>
      </c>
      <c r="B327" s="60" t="s">
        <v>530</v>
      </c>
      <c r="C327" s="34">
        <v>4301031307</v>
      </c>
      <c r="D327" s="598">
        <v>4680115880344</v>
      </c>
      <c r="E327" s="599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532</v>
      </c>
      <c r="B328" s="60" t="s">
        <v>533</v>
      </c>
      <c r="C328" s="34">
        <v>4301031501</v>
      </c>
      <c r="D328" s="598">
        <v>4680115886919</v>
      </c>
      <c r="E328" s="599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535</v>
      </c>
      <c r="B329" s="60" t="s">
        <v>536</v>
      </c>
      <c r="C329" s="34">
        <v>4301031246</v>
      </c>
      <c r="D329" s="598">
        <v>4680115883970</v>
      </c>
      <c r="E329" s="599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63"/>
      <c r="AB332" s="63"/>
      <c r="AC332" s="63"/>
    </row>
    <row r="333" spans="1:68" ht="37.5" customHeight="1" x14ac:dyDescent="0.25">
      <c r="A333" s="60" t="s">
        <v>538</v>
      </c>
      <c r="B333" s="60" t="s">
        <v>539</v>
      </c>
      <c r="C333" s="34">
        <v>4301051782</v>
      </c>
      <c r="D333" s="598">
        <v>4680115884618</v>
      </c>
      <c r="E333" s="599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541</v>
      </c>
      <c r="B334" s="60" t="s">
        <v>542</v>
      </c>
      <c r="C334" s="34">
        <v>4301052057</v>
      </c>
      <c r="D334" s="598">
        <v>4680115887114</v>
      </c>
      <c r="E334" s="599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62"/>
      <c r="AB337" s="62"/>
      <c r="AC337" s="62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8">
        <v>4680115887947</v>
      </c>
      <c r="E339" s="599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7"/>
      <c r="V339" s="37"/>
      <c r="W339" s="38" t="s">
        <v>67</v>
      </c>
      <c r="X339" s="56">
        <v>150</v>
      </c>
      <c r="Y339" s="53">
        <f>IFERROR(IF(X339="",0,CEILING((X339/$H339),1)*$H339),"")</f>
        <v>156</v>
      </c>
      <c r="Z339" s="39">
        <f>IFERROR(IF(Y339=0,"",ROUNDUP(Y339/H339,0)*0.01898),"")</f>
        <v>0.37959999999999999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157.88461538461542</v>
      </c>
      <c r="BN339" s="75">
        <f>IFERROR(Y339*I339/H339,"0")</f>
        <v>164.20000000000005</v>
      </c>
      <c r="BO339" s="75">
        <f>IFERROR(1/J339*(X339/H339),"0")</f>
        <v>0.30048076923076922</v>
      </c>
      <c r="BP339" s="75">
        <f>IFERROR(1/J339*(Y339/H339),"0")</f>
        <v>0.3125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8">
        <v>4680115887978</v>
      </c>
      <c r="E340" s="599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7"/>
      <c r="V340" s="37"/>
      <c r="W340" s="38" t="s">
        <v>67</v>
      </c>
      <c r="X340" s="56">
        <v>200</v>
      </c>
      <c r="Y340" s="53">
        <f>IFERROR(IF(X340="",0,CEILING((X340/$H340),1)*$H340),"")</f>
        <v>202.79999999999998</v>
      </c>
      <c r="Z340" s="39">
        <f>IFERROR(IF(Y340=0,"",ROUNDUP(Y340/H340,0)*0.01898),"")</f>
        <v>0.49348000000000003</v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210.51282051282055</v>
      </c>
      <c r="BN340" s="75">
        <f>IFERROR(Y340*I340/H340,"0")</f>
        <v>213.46</v>
      </c>
      <c r="BO340" s="75">
        <f>IFERROR(1/J340*(X340/H340),"0")</f>
        <v>0.40064102564102566</v>
      </c>
      <c r="BP340" s="75">
        <f>IFERROR(1/J340*(Y340/H340),"0")</f>
        <v>0.40625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8">
        <v>4680115887992</v>
      </c>
      <c r="E341" s="599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7"/>
      <c r="V341" s="37"/>
      <c r="W341" s="38" t="s">
        <v>67</v>
      </c>
      <c r="X341" s="56">
        <v>10</v>
      </c>
      <c r="Y341" s="53">
        <f>IFERROR(IF(X341="",0,CEILING((X341/$H341),1)*$H341),"")</f>
        <v>15.6</v>
      </c>
      <c r="Z341" s="39">
        <f>IFERROR(IF(Y341=0,"",ROUNDUP(Y341/H341,0)*0.01898),"")</f>
        <v>3.7960000000000001E-2</v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10.525641025641027</v>
      </c>
      <c r="BN341" s="75">
        <f>IFERROR(Y341*I341/H341,"0")</f>
        <v>16.420000000000002</v>
      </c>
      <c r="BO341" s="75">
        <f>IFERROR(1/J341*(X341/H341),"0")</f>
        <v>2.0032051282051284E-2</v>
      </c>
      <c r="BP341" s="75">
        <f>IFERROR(1/J341*(Y341/H341),"0")</f>
        <v>3.125E-2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40" t="s">
        <v>73</v>
      </c>
      <c r="X342" s="41">
        <f>IFERROR(X339/H339,"0")+IFERROR(X340/H340,"0")+IFERROR(X341/H341,"0")</f>
        <v>46.15384615384616</v>
      </c>
      <c r="Y342" s="41">
        <f>IFERROR(Y339/H339,"0")+IFERROR(Y340/H340,"0")+IFERROR(Y341/H341,"0")</f>
        <v>48</v>
      </c>
      <c r="Z342" s="41">
        <f>IFERROR(IF(Z339="",0,Z339),"0")+IFERROR(IF(Z340="",0,Z340),"0")+IFERROR(IF(Z341="",0,Z341),"0")</f>
        <v>0.91104000000000007</v>
      </c>
      <c r="AA342" s="64"/>
      <c r="AB342" s="64"/>
      <c r="AC342" s="6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40" t="s">
        <v>67</v>
      </c>
      <c r="X343" s="41">
        <f>IFERROR(SUM(X339:X341),"0")</f>
        <v>360</v>
      </c>
      <c r="Y343" s="41">
        <f>IFERROR(SUM(Y339:Y341),"0")</f>
        <v>374.4</v>
      </c>
      <c r="Z343" s="40"/>
      <c r="AA343" s="64"/>
      <c r="AB343" s="64"/>
      <c r="AC343" s="6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62"/>
      <c r="AB344" s="62"/>
      <c r="AC344" s="62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63"/>
      <c r="AB345" s="63"/>
      <c r="AC345" s="63"/>
    </row>
    <row r="346" spans="1:68" ht="27" customHeight="1" x14ac:dyDescent="0.25">
      <c r="A346" s="60" t="s">
        <v>555</v>
      </c>
      <c r="B346" s="60" t="s">
        <v>556</v>
      </c>
      <c r="C346" s="34">
        <v>4301012235</v>
      </c>
      <c r="D346" s="598">
        <v>4680115887190</v>
      </c>
      <c r="E346" s="599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8">
        <v>4680115887138</v>
      </c>
      <c r="E347" s="599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561</v>
      </c>
      <c r="B348" s="60" t="s">
        <v>562</v>
      </c>
      <c r="C348" s="34">
        <v>4301012016</v>
      </c>
      <c r="D348" s="598">
        <v>4680115885554</v>
      </c>
      <c r="E348" s="599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564</v>
      </c>
      <c r="B349" s="60" t="s">
        <v>565</v>
      </c>
      <c r="C349" s="34">
        <v>4301012236</v>
      </c>
      <c r="D349" s="598">
        <v>4680115887220</v>
      </c>
      <c r="E349" s="599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566</v>
      </c>
      <c r="B350" s="60" t="s">
        <v>567</v>
      </c>
      <c r="C350" s="34">
        <v>4301011859</v>
      </c>
      <c r="D350" s="598">
        <v>4680115885608</v>
      </c>
      <c r="E350" s="599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63"/>
      <c r="AB353" s="63"/>
      <c r="AC353" s="63"/>
    </row>
    <row r="354" spans="1:68" ht="27" customHeight="1" x14ac:dyDescent="0.25">
      <c r="A354" s="60" t="s">
        <v>569</v>
      </c>
      <c r="B354" s="60" t="s">
        <v>570</v>
      </c>
      <c r="C354" s="34">
        <v>4301030878</v>
      </c>
      <c r="D354" s="598">
        <v>4607091387193</v>
      </c>
      <c r="E354" s="599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572</v>
      </c>
      <c r="B355" s="60" t="s">
        <v>573</v>
      </c>
      <c r="C355" s="34">
        <v>4301031153</v>
      </c>
      <c r="D355" s="598">
        <v>4607091387230</v>
      </c>
      <c r="E355" s="599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575</v>
      </c>
      <c r="B356" s="60" t="s">
        <v>576</v>
      </c>
      <c r="C356" s="34">
        <v>4301031154</v>
      </c>
      <c r="D356" s="598">
        <v>4607091387292</v>
      </c>
      <c r="E356" s="599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578</v>
      </c>
      <c r="B357" s="60" t="s">
        <v>579</v>
      </c>
      <c r="C357" s="34">
        <v>4301031152</v>
      </c>
      <c r="D357" s="598">
        <v>4607091387285</v>
      </c>
      <c r="E357" s="599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580</v>
      </c>
      <c r="B358" s="60" t="s">
        <v>581</v>
      </c>
      <c r="C358" s="34">
        <v>4301031305</v>
      </c>
      <c r="D358" s="598">
        <v>4607091389845</v>
      </c>
      <c r="E358" s="599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583</v>
      </c>
      <c r="B359" s="60" t="s">
        <v>584</v>
      </c>
      <c r="C359" s="34">
        <v>4301031460</v>
      </c>
      <c r="D359" s="598">
        <v>4680115887442</v>
      </c>
      <c r="E359" s="599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585</v>
      </c>
      <c r="B360" s="60" t="s">
        <v>586</v>
      </c>
      <c r="C360" s="34">
        <v>4301031066</v>
      </c>
      <c r="D360" s="598">
        <v>4607091383836</v>
      </c>
      <c r="E360" s="599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3"/>
      <c r="AB363" s="63"/>
      <c r="AC363" s="63"/>
    </row>
    <row r="364" spans="1:68" ht="27" customHeight="1" x14ac:dyDescent="0.25">
      <c r="A364" s="60" t="s">
        <v>588</v>
      </c>
      <c r="B364" s="60" t="s">
        <v>589</v>
      </c>
      <c r="C364" s="34">
        <v>4301051100</v>
      </c>
      <c r="D364" s="598">
        <v>4607091387766</v>
      </c>
      <c r="E364" s="599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591</v>
      </c>
      <c r="B365" s="60" t="s">
        <v>592</v>
      </c>
      <c r="C365" s="34">
        <v>4301051818</v>
      </c>
      <c r="D365" s="598">
        <v>4607091387957</v>
      </c>
      <c r="E365" s="599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594</v>
      </c>
      <c r="B366" s="60" t="s">
        <v>595</v>
      </c>
      <c r="C366" s="34">
        <v>4301051819</v>
      </c>
      <c r="D366" s="598">
        <v>4607091387964</v>
      </c>
      <c r="E366" s="599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597</v>
      </c>
      <c r="B367" s="60" t="s">
        <v>598</v>
      </c>
      <c r="C367" s="34">
        <v>4301051734</v>
      </c>
      <c r="D367" s="598">
        <v>4680115884588</v>
      </c>
      <c r="E367" s="599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598">
        <v>4607091380880</v>
      </c>
      <c r="E371" s="599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7"/>
      <c r="V371" s="37"/>
      <c r="W371" s="38" t="s">
        <v>67</v>
      </c>
      <c r="X371" s="56">
        <v>81</v>
      </c>
      <c r="Y371" s="53">
        <f>IFERROR(IF(X371="",0,CEILING((X371/$H371),1)*$H371),"")</f>
        <v>84</v>
      </c>
      <c r="Z371" s="39">
        <f>IFERROR(IF(Y371=0,"",ROUNDUP(Y371/H371,0)*0.01898),"")</f>
        <v>0.1898</v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85.763571428571424</v>
      </c>
      <c r="BN371" s="75">
        <f>IFERROR(Y371*I371/H371,"0")</f>
        <v>88.94</v>
      </c>
      <c r="BO371" s="75">
        <f>IFERROR(1/J371*(X371/H371),"0")</f>
        <v>0.15066964285714285</v>
      </c>
      <c r="BP371" s="75">
        <f>IFERROR(1/J371*(Y371/H371),"0")</f>
        <v>0.15625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8">
        <v>4607091384482</v>
      </c>
      <c r="E372" s="599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7"/>
      <c r="V372" s="37"/>
      <c r="W372" s="38" t="s">
        <v>67</v>
      </c>
      <c r="X372" s="56">
        <v>300</v>
      </c>
      <c r="Y372" s="53">
        <f>IFERROR(IF(X372="",0,CEILING((X372/$H372),1)*$H372),"")</f>
        <v>304.2</v>
      </c>
      <c r="Z372" s="39">
        <f>IFERROR(IF(Y372=0,"",ROUNDUP(Y372/H372,0)*0.01898),"")</f>
        <v>0.74021999999999999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319.00000000000006</v>
      </c>
      <c r="BN372" s="75">
        <f>IFERROR(Y372*I372/H372,"0")</f>
        <v>323.46600000000001</v>
      </c>
      <c r="BO372" s="75">
        <f>IFERROR(1/J372*(X372/H372),"0")</f>
        <v>0.60096153846153844</v>
      </c>
      <c r="BP372" s="75">
        <f>IFERROR(1/J372*(Y372/H372),"0")</f>
        <v>0.609375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8">
        <v>4607091380897</v>
      </c>
      <c r="E373" s="599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7"/>
      <c r="V373" s="37"/>
      <c r="W373" s="38" t="s">
        <v>67</v>
      </c>
      <c r="X373" s="56">
        <v>27</v>
      </c>
      <c r="Y373" s="53">
        <f>IFERROR(IF(X373="",0,CEILING((X373/$H373),1)*$H373),"")</f>
        <v>33.6</v>
      </c>
      <c r="Z373" s="39">
        <f>IFERROR(IF(Y373=0,"",ROUNDUP(Y373/H373,0)*0.01898),"")</f>
        <v>7.5920000000000001E-2</v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28.587857142857143</v>
      </c>
      <c r="BN373" s="75">
        <f>IFERROR(Y373*I373/H373,"0")</f>
        <v>35.576000000000001</v>
      </c>
      <c r="BO373" s="75">
        <f>IFERROR(1/J373*(X373/H373),"0")</f>
        <v>5.0223214285714281E-2</v>
      </c>
      <c r="BP373" s="75">
        <f>IFERROR(1/J373*(Y373/H373),"0")</f>
        <v>6.25E-2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40" t="s">
        <v>73</v>
      </c>
      <c r="X374" s="41">
        <f>IFERROR(X371/H371,"0")+IFERROR(X372/H372,"0")+IFERROR(X373/H373,"0")</f>
        <v>51.318681318681321</v>
      </c>
      <c r="Y374" s="41">
        <f>IFERROR(Y371/H371,"0")+IFERROR(Y372/H372,"0")+IFERROR(Y373/H373,"0")</f>
        <v>53</v>
      </c>
      <c r="Z374" s="41">
        <f>IFERROR(IF(Z371="",0,Z371),"0")+IFERROR(IF(Z372="",0,Z372),"0")+IFERROR(IF(Z373="",0,Z373),"0")</f>
        <v>1.0059400000000001</v>
      </c>
      <c r="AA374" s="64"/>
      <c r="AB374" s="64"/>
      <c r="AC374" s="6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40" t="s">
        <v>67</v>
      </c>
      <c r="X375" s="41">
        <f>IFERROR(SUM(X371:X373),"0")</f>
        <v>408</v>
      </c>
      <c r="Y375" s="41">
        <f>IFERROR(SUM(Y371:Y373),"0")</f>
        <v>421.8</v>
      </c>
      <c r="Z375" s="40"/>
      <c r="AA375" s="64"/>
      <c r="AB375" s="64"/>
      <c r="AC375" s="6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3"/>
      <c r="AB376" s="63"/>
      <c r="AC376" s="63"/>
    </row>
    <row r="377" spans="1:68" ht="27" customHeight="1" x14ac:dyDescent="0.25">
      <c r="A377" s="60" t="s">
        <v>608</v>
      </c>
      <c r="B377" s="60" t="s">
        <v>609</v>
      </c>
      <c r="C377" s="34">
        <v>4301030235</v>
      </c>
      <c r="D377" s="598">
        <v>4607091388381</v>
      </c>
      <c r="E377" s="599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8">
        <v>4607091388374</v>
      </c>
      <c r="E378" s="599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8">
        <v>4607091383102</v>
      </c>
      <c r="E379" s="599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8">
        <v>4607091388404</v>
      </c>
      <c r="E380" s="599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7"/>
      <c r="V380" s="37"/>
      <c r="W380" s="38" t="s">
        <v>67</v>
      </c>
      <c r="X380" s="56">
        <v>51</v>
      </c>
      <c r="Y380" s="53">
        <f>IFERROR(IF(X380="",0,CEILING((X380/$H380),1)*$H380),"")</f>
        <v>51</v>
      </c>
      <c r="Z380" s="39">
        <f>IFERROR(IF(Y380=0,"",ROUNDUP(Y380/H380,0)*0.00651),"")</f>
        <v>0.13020000000000001</v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57.6</v>
      </c>
      <c r="BN380" s="75">
        <f>IFERROR(Y380*I380/H380,"0")</f>
        <v>57.6</v>
      </c>
      <c r="BO380" s="75">
        <f>IFERROR(1/J380*(X380/H380),"0")</f>
        <v>0.1098901098901099</v>
      </c>
      <c r="BP380" s="75">
        <f>IFERROR(1/J380*(Y380/H380),"0")</f>
        <v>0.1098901098901099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40" t="s">
        <v>73</v>
      </c>
      <c r="X381" s="41">
        <f>IFERROR(X377/H377,"0")+IFERROR(X378/H378,"0")+IFERROR(X379/H379,"0")+IFERROR(X380/H380,"0")</f>
        <v>20</v>
      </c>
      <c r="Y381" s="41">
        <f>IFERROR(Y377/H377,"0")+IFERROR(Y378/H378,"0")+IFERROR(Y379/H379,"0")+IFERROR(Y380/H380,"0")</f>
        <v>20</v>
      </c>
      <c r="Z381" s="41">
        <f>IFERROR(IF(Z377="",0,Z377),"0")+IFERROR(IF(Z378="",0,Z378),"0")+IFERROR(IF(Z379="",0,Z379),"0")+IFERROR(IF(Z380="",0,Z380),"0")</f>
        <v>0.13020000000000001</v>
      </c>
      <c r="AA381" s="64"/>
      <c r="AB381" s="64"/>
      <c r="AC381" s="6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40" t="s">
        <v>67</v>
      </c>
      <c r="X382" s="41">
        <f>IFERROR(SUM(X377:X380),"0")</f>
        <v>51</v>
      </c>
      <c r="Y382" s="41">
        <f>IFERROR(SUM(Y377:Y380),"0")</f>
        <v>51</v>
      </c>
      <c r="Z382" s="40"/>
      <c r="AA382" s="64"/>
      <c r="AB382" s="64"/>
      <c r="AC382" s="6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8">
        <v>4680115881808</v>
      </c>
      <c r="E384" s="599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7"/>
      <c r="V384" s="37"/>
      <c r="W384" s="38" t="s">
        <v>67</v>
      </c>
      <c r="X384" s="56">
        <v>38</v>
      </c>
      <c r="Y384" s="53">
        <f>IFERROR(IF(X384="",0,CEILING((X384/$H384),1)*$H384),"")</f>
        <v>38</v>
      </c>
      <c r="Z384" s="39">
        <f>IFERROR(IF(Y384=0,"",ROUNDUP(Y384/H384,0)*0.00474),"")</f>
        <v>9.0060000000000001E-2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42.56</v>
      </c>
      <c r="BN384" s="75">
        <f>IFERROR(Y384*I384/H384,"0")</f>
        <v>42.56</v>
      </c>
      <c r="BO384" s="75">
        <f>IFERROR(1/J384*(X384/H384),"0")</f>
        <v>7.9831932773109238E-2</v>
      </c>
      <c r="BP384" s="75">
        <f>IFERROR(1/J384*(Y384/H384),"0")</f>
        <v>7.9831932773109238E-2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8">
        <v>4680115881822</v>
      </c>
      <c r="E385" s="599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7"/>
      <c r="V385" s="37"/>
      <c r="W385" s="38" t="s">
        <v>67</v>
      </c>
      <c r="X385" s="56">
        <v>30</v>
      </c>
      <c r="Y385" s="53">
        <f>IFERROR(IF(X385="",0,CEILING((X385/$H385),1)*$H385),"")</f>
        <v>30</v>
      </c>
      <c r="Z385" s="39">
        <f>IFERROR(IF(Y385=0,"",ROUNDUP(Y385/H385,0)*0.00474),"")</f>
        <v>7.110000000000001E-2</v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33.6</v>
      </c>
      <c r="BN385" s="75">
        <f>IFERROR(Y385*I385/H385,"0")</f>
        <v>33.6</v>
      </c>
      <c r="BO385" s="75">
        <f>IFERROR(1/J385*(X385/H385),"0")</f>
        <v>6.3025210084033612E-2</v>
      </c>
      <c r="BP385" s="75">
        <f>IFERROR(1/J385*(Y385/H385),"0")</f>
        <v>6.3025210084033612E-2</v>
      </c>
    </row>
    <row r="386" spans="1:68" ht="27" customHeight="1" x14ac:dyDescent="0.25">
      <c r="A386" s="60" t="s">
        <v>624</v>
      </c>
      <c r="B386" s="60" t="s">
        <v>625</v>
      </c>
      <c r="C386" s="34">
        <v>4301180001</v>
      </c>
      <c r="D386" s="598">
        <v>4680115880016</v>
      </c>
      <c r="E386" s="599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40" t="s">
        <v>73</v>
      </c>
      <c r="X387" s="41">
        <f>IFERROR(X384/H384,"0")+IFERROR(X385/H385,"0")+IFERROR(X386/H386,"0")</f>
        <v>34</v>
      </c>
      <c r="Y387" s="41">
        <f>IFERROR(Y384/H384,"0")+IFERROR(Y385/H385,"0")+IFERROR(Y386/H386,"0")</f>
        <v>34</v>
      </c>
      <c r="Z387" s="41">
        <f>IFERROR(IF(Z384="",0,Z384),"0")+IFERROR(IF(Z385="",0,Z385),"0")+IFERROR(IF(Z386="",0,Z386),"0")</f>
        <v>0.16116000000000003</v>
      </c>
      <c r="AA387" s="64"/>
      <c r="AB387" s="64"/>
      <c r="AC387" s="6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40" t="s">
        <v>67</v>
      </c>
      <c r="X388" s="41">
        <f>IFERROR(SUM(X384:X386),"0")</f>
        <v>68</v>
      </c>
      <c r="Y388" s="41">
        <f>IFERROR(SUM(Y384:Y386),"0")</f>
        <v>68</v>
      </c>
      <c r="Z388" s="40"/>
      <c r="AA388" s="64"/>
      <c r="AB388" s="64"/>
      <c r="AC388" s="6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62"/>
      <c r="AB389" s="62"/>
      <c r="AC389" s="62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63"/>
      <c r="AB390" s="63"/>
      <c r="AC390" s="63"/>
    </row>
    <row r="391" spans="1:68" ht="37.5" customHeight="1" x14ac:dyDescent="0.25">
      <c r="A391" s="60" t="s">
        <v>627</v>
      </c>
      <c r="B391" s="60" t="s">
        <v>628</v>
      </c>
      <c r="C391" s="34">
        <v>4301051489</v>
      </c>
      <c r="D391" s="598">
        <v>4607091387919</v>
      </c>
      <c r="E391" s="599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8">
        <v>4680115883604</v>
      </c>
      <c r="E392" s="599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7"/>
      <c r="V392" s="37"/>
      <c r="W392" s="38" t="s">
        <v>67</v>
      </c>
      <c r="X392" s="56">
        <v>47</v>
      </c>
      <c r="Y392" s="53">
        <f>IFERROR(IF(X392="",0,CEILING((X392/$H392),1)*$H392),"")</f>
        <v>48.300000000000004</v>
      </c>
      <c r="Z392" s="39">
        <f>IFERROR(IF(Y392=0,"",ROUNDUP(Y392/H392,0)*0.00651),"")</f>
        <v>0.14973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52.639999999999993</v>
      </c>
      <c r="BN392" s="75">
        <f>IFERROR(Y392*I392/H392,"0")</f>
        <v>54.095999999999997</v>
      </c>
      <c r="BO392" s="75">
        <f>IFERROR(1/J392*(X392/H392),"0")</f>
        <v>0.12297226582940869</v>
      </c>
      <c r="BP392" s="75">
        <f>IFERROR(1/J392*(Y392/H392),"0")</f>
        <v>0.1263736263736264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8">
        <v>4680115883567</v>
      </c>
      <c r="E393" s="599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7"/>
      <c r="V393" s="37"/>
      <c r="W393" s="38" t="s">
        <v>67</v>
      </c>
      <c r="X393" s="56">
        <v>35</v>
      </c>
      <c r="Y393" s="53">
        <f>IFERROR(IF(X393="",0,CEILING((X393/$H393),1)*$H393),"")</f>
        <v>35.700000000000003</v>
      </c>
      <c r="Z393" s="39">
        <f>IFERROR(IF(Y393=0,"",ROUNDUP(Y393/H393,0)*0.00651),"")</f>
        <v>0.11067</v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38.999999999999993</v>
      </c>
      <c r="BN393" s="75">
        <f>IFERROR(Y393*I393/H393,"0")</f>
        <v>39.779999999999994</v>
      </c>
      <c r="BO393" s="75">
        <f>IFERROR(1/J393*(X393/H393),"0")</f>
        <v>9.1575091575091569E-2</v>
      </c>
      <c r="BP393" s="75">
        <f>IFERROR(1/J393*(Y393/H393),"0")</f>
        <v>9.3406593406593408E-2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40" t="s">
        <v>73</v>
      </c>
      <c r="X394" s="41">
        <f>IFERROR(X391/H391,"0")+IFERROR(X392/H392,"0")+IFERROR(X393/H393,"0")</f>
        <v>39.047619047619044</v>
      </c>
      <c r="Y394" s="41">
        <f>IFERROR(Y391/H391,"0")+IFERROR(Y392/H392,"0")+IFERROR(Y393/H393,"0")</f>
        <v>40</v>
      </c>
      <c r="Z394" s="41">
        <f>IFERROR(IF(Z391="",0,Z391),"0")+IFERROR(IF(Z392="",0,Z392),"0")+IFERROR(IF(Z393="",0,Z393),"0")</f>
        <v>0.26040000000000002</v>
      </c>
      <c r="AA394" s="64"/>
      <c r="AB394" s="64"/>
      <c r="AC394" s="6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40" t="s">
        <v>67</v>
      </c>
      <c r="X395" s="41">
        <f>IFERROR(SUM(X391:X393),"0")</f>
        <v>82</v>
      </c>
      <c r="Y395" s="41">
        <f>IFERROR(SUM(Y391:Y393),"0")</f>
        <v>84</v>
      </c>
      <c r="Z395" s="40"/>
      <c r="AA395" s="64"/>
      <c r="AB395" s="64"/>
      <c r="AC395" s="6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52"/>
      <c r="AB396" s="52"/>
      <c r="AC396" s="52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62"/>
      <c r="AB397" s="62"/>
      <c r="AC397" s="62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8">
        <v>4680115888401</v>
      </c>
      <c r="E399" s="599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8">
        <v>4680115884847</v>
      </c>
      <c r="E400" s="599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7"/>
      <c r="V400" s="37"/>
      <c r="W400" s="38" t="s">
        <v>67</v>
      </c>
      <c r="X400" s="56">
        <v>1753</v>
      </c>
      <c r="Y400" s="53">
        <f t="shared" si="52"/>
        <v>1755</v>
      </c>
      <c r="Z400" s="39">
        <f>IFERROR(IF(Y400=0,"",ROUNDUP(Y400/H400,0)*0.02175),"")</f>
        <v>2.5447499999999996</v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1807.9273333333333</v>
      </c>
      <c r="BN400" s="75">
        <f t="shared" si="54"/>
        <v>1809.9900000000002</v>
      </c>
      <c r="BO400" s="75">
        <f t="shared" si="55"/>
        <v>2.4347222222222218</v>
      </c>
      <c r="BP400" s="75">
        <f t="shared" si="56"/>
        <v>2.4375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8">
        <v>4680115884854</v>
      </c>
      <c r="E401" s="599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7"/>
      <c r="V401" s="37"/>
      <c r="W401" s="38" t="s">
        <v>67</v>
      </c>
      <c r="X401" s="56">
        <v>969</v>
      </c>
      <c r="Y401" s="53">
        <f t="shared" si="52"/>
        <v>975</v>
      </c>
      <c r="Z401" s="39">
        <f>IFERROR(IF(Y401=0,"",ROUNDUP(Y401/H401,0)*0.02175),"")</f>
        <v>1.4137499999999998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999.36199999999997</v>
      </c>
      <c r="BN401" s="75">
        <f t="shared" si="54"/>
        <v>1005.55</v>
      </c>
      <c r="BO401" s="75">
        <f t="shared" si="55"/>
        <v>1.3458333333333332</v>
      </c>
      <c r="BP401" s="75">
        <f t="shared" si="56"/>
        <v>1.3541666666666665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8">
        <v>4680115884830</v>
      </c>
      <c r="E402" s="599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7"/>
      <c r="V402" s="37"/>
      <c r="W402" s="38" t="s">
        <v>67</v>
      </c>
      <c r="X402" s="56">
        <v>1003</v>
      </c>
      <c r="Y402" s="53">
        <f t="shared" si="52"/>
        <v>1005</v>
      </c>
      <c r="Z402" s="39">
        <f>IFERROR(IF(Y402=0,"",ROUNDUP(Y402/H402,0)*0.02175),"")</f>
        <v>1.4572499999999999</v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1034.4273333333333</v>
      </c>
      <c r="BN402" s="75">
        <f t="shared" si="54"/>
        <v>1036.49</v>
      </c>
      <c r="BO402" s="75">
        <f t="shared" si="55"/>
        <v>1.3930555555555553</v>
      </c>
      <c r="BP402" s="75">
        <f t="shared" si="56"/>
        <v>1.3958333333333333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8">
        <v>4680115889231</v>
      </c>
      <c r="E403" s="599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7"/>
      <c r="V403" s="37"/>
      <c r="W403" s="38" t="s">
        <v>67</v>
      </c>
      <c r="X403" s="56">
        <v>654</v>
      </c>
      <c r="Y403" s="53">
        <f t="shared" si="52"/>
        <v>660</v>
      </c>
      <c r="Z403" s="39">
        <f>IFERROR(IF(Y403=0,"",ROUNDUP(Y403/H403,0)*0.02175),"")</f>
        <v>0.95699999999999996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674.49200000000008</v>
      </c>
      <c r="BN403" s="75">
        <f t="shared" si="54"/>
        <v>680.68000000000006</v>
      </c>
      <c r="BO403" s="75">
        <f t="shared" si="55"/>
        <v>0.90833333333333333</v>
      </c>
      <c r="BP403" s="75">
        <f t="shared" si="56"/>
        <v>0.91666666666666663</v>
      </c>
    </row>
    <row r="404" spans="1:68" ht="27" customHeight="1" x14ac:dyDescent="0.25">
      <c r="A404" s="60" t="s">
        <v>653</v>
      </c>
      <c r="B404" s="60" t="s">
        <v>654</v>
      </c>
      <c r="C404" s="34">
        <v>4301011433</v>
      </c>
      <c r="D404" s="598">
        <v>4680115882638</v>
      </c>
      <c r="E404" s="599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656</v>
      </c>
      <c r="B405" s="60" t="s">
        <v>657</v>
      </c>
      <c r="C405" s="34">
        <v>4301011952</v>
      </c>
      <c r="D405" s="598">
        <v>4680115884922</v>
      </c>
      <c r="E405" s="599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659</v>
      </c>
      <c r="B406" s="60" t="s">
        <v>660</v>
      </c>
      <c r="C406" s="34">
        <v>4301011868</v>
      </c>
      <c r="D406" s="598">
        <v>4680115884861</v>
      </c>
      <c r="E406" s="599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291.93333333333334</v>
      </c>
      <c r="Y407" s="41">
        <f>IFERROR(Y399/H399,"0")+IFERROR(Y400/H400,"0")+IFERROR(Y401/H401,"0")+IFERROR(Y402/H402,"0")+IFERROR(Y403/H403,"0")+IFERROR(Y404/H404,"0")+IFERROR(Y405/H405,"0")+IFERROR(Y406/H406,"0")</f>
        <v>293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6.372749999999999</v>
      </c>
      <c r="AA407" s="64"/>
      <c r="AB407" s="64"/>
      <c r="AC407" s="6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40" t="s">
        <v>67</v>
      </c>
      <c r="X408" s="41">
        <f>IFERROR(SUM(X399:X406),"0")</f>
        <v>4379</v>
      </c>
      <c r="Y408" s="41">
        <f>IFERROR(SUM(Y399:Y406),"0")</f>
        <v>4395</v>
      </c>
      <c r="Z408" s="40"/>
      <c r="AA408" s="64"/>
      <c r="AB408" s="64"/>
      <c r="AC408" s="6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8">
        <v>4607091383980</v>
      </c>
      <c r="E410" s="599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7"/>
      <c r="V410" s="37"/>
      <c r="W410" s="38" t="s">
        <v>67</v>
      </c>
      <c r="X410" s="56">
        <v>800</v>
      </c>
      <c r="Y410" s="53">
        <f>IFERROR(IF(X410="",0,CEILING((X410/$H410),1)*$H410),"")</f>
        <v>810</v>
      </c>
      <c r="Z410" s="39">
        <f>IFERROR(IF(Y410=0,"",ROUNDUP(Y410/H410,0)*0.02175),"")</f>
        <v>1.1744999999999999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825.06666666666672</v>
      </c>
      <c r="BN410" s="75">
        <f>IFERROR(Y410*I410/H410,"0")</f>
        <v>835.38</v>
      </c>
      <c r="BO410" s="75">
        <f>IFERROR(1/J410*(X410/H410),"0")</f>
        <v>1.1111111111111112</v>
      </c>
      <c r="BP410" s="75">
        <f>IFERROR(1/J410*(Y410/H410),"0")</f>
        <v>1.125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8">
        <v>4680115888425</v>
      </c>
      <c r="E411" s="599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7"/>
      <c r="V411" s="37"/>
      <c r="W411" s="38" t="s">
        <v>67</v>
      </c>
      <c r="X411" s="56">
        <v>94</v>
      </c>
      <c r="Y411" s="53">
        <f>IFERROR(IF(X411="",0,CEILING((X411/$H411),1)*$H411),"")</f>
        <v>105</v>
      </c>
      <c r="Z411" s="39">
        <f>IFERROR(IF(Y411=0,"",ROUNDUP(Y411/H411,0)*0.02175),"")</f>
        <v>0.15225</v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96.945333333333338</v>
      </c>
      <c r="BN411" s="75">
        <f>IFERROR(Y411*I411/H411,"0")</f>
        <v>108.29</v>
      </c>
      <c r="BO411" s="75">
        <f>IFERROR(1/J411*(X411/H411),"0")</f>
        <v>0.13055555555555554</v>
      </c>
      <c r="BP411" s="75">
        <f>IFERROR(1/J411*(Y411/H411),"0")</f>
        <v>0.14583333333333331</v>
      </c>
    </row>
    <row r="412" spans="1:68" ht="27" customHeight="1" x14ac:dyDescent="0.25">
      <c r="A412" s="60" t="s">
        <v>668</v>
      </c>
      <c r="B412" s="60" t="s">
        <v>669</v>
      </c>
      <c r="C412" s="34">
        <v>4301020179</v>
      </c>
      <c r="D412" s="598">
        <v>4607091384178</v>
      </c>
      <c r="E412" s="599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40" t="s">
        <v>73</v>
      </c>
      <c r="X413" s="41">
        <f>IFERROR(X410/H410,"0")+IFERROR(X411/H411,"0")+IFERROR(X412/H412,"0")</f>
        <v>59.6</v>
      </c>
      <c r="Y413" s="41">
        <f>IFERROR(Y410/H410,"0")+IFERROR(Y411/H411,"0")+IFERROR(Y412/H412,"0")</f>
        <v>61</v>
      </c>
      <c r="Z413" s="41">
        <f>IFERROR(IF(Z410="",0,Z410),"0")+IFERROR(IF(Z411="",0,Z411),"0")+IFERROR(IF(Z412="",0,Z412),"0")</f>
        <v>1.3267499999999999</v>
      </c>
      <c r="AA413" s="64"/>
      <c r="AB413" s="64"/>
      <c r="AC413" s="6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40" t="s">
        <v>67</v>
      </c>
      <c r="X414" s="41">
        <f>IFERROR(SUM(X410:X412),"0")</f>
        <v>894</v>
      </c>
      <c r="Y414" s="41">
        <f>IFERROR(SUM(Y410:Y412),"0")</f>
        <v>915</v>
      </c>
      <c r="Z414" s="40"/>
      <c r="AA414" s="64"/>
      <c r="AB414" s="64"/>
      <c r="AC414" s="6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3"/>
      <c r="AB415" s="63"/>
      <c r="AC415" s="63"/>
    </row>
    <row r="416" spans="1:68" ht="27" customHeight="1" x14ac:dyDescent="0.25">
      <c r="A416" s="60" t="s">
        <v>671</v>
      </c>
      <c r="B416" s="60" t="s">
        <v>672</v>
      </c>
      <c r="C416" s="34">
        <v>4301051903</v>
      </c>
      <c r="D416" s="598">
        <v>4607091383928</v>
      </c>
      <c r="E416" s="599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674</v>
      </c>
      <c r="B417" s="60" t="s">
        <v>675</v>
      </c>
      <c r="C417" s="34">
        <v>4301051897</v>
      </c>
      <c r="D417" s="598">
        <v>4607091384260</v>
      </c>
      <c r="E417" s="599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598">
        <v>4607091384673</v>
      </c>
      <c r="E421" s="599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7"/>
      <c r="V421" s="37"/>
      <c r="W421" s="38" t="s">
        <v>67</v>
      </c>
      <c r="X421" s="56">
        <v>273</v>
      </c>
      <c r="Y421" s="53">
        <f>IFERROR(IF(X421="",0,CEILING((X421/$H421),1)*$H421),"")</f>
        <v>279</v>
      </c>
      <c r="Z421" s="39">
        <f>IFERROR(IF(Y421=0,"",ROUNDUP(Y421/H421,0)*0.01898),"")</f>
        <v>0.58838000000000001</v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287.98466666666667</v>
      </c>
      <c r="BN421" s="75">
        <f>IFERROR(Y421*I421/H421,"0")</f>
        <v>294.31400000000002</v>
      </c>
      <c r="BO421" s="75">
        <f>IFERROR(1/J421*(X421/H421),"0")</f>
        <v>0.47395833333333331</v>
      </c>
      <c r="BP421" s="75">
        <f>IFERROR(1/J421*(Y421/H421),"0")</f>
        <v>0.484375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40" t="s">
        <v>73</v>
      </c>
      <c r="X422" s="41">
        <f>IFERROR(X421/H421,"0")</f>
        <v>30.333333333333332</v>
      </c>
      <c r="Y422" s="41">
        <f>IFERROR(Y421/H421,"0")</f>
        <v>31</v>
      </c>
      <c r="Z422" s="41">
        <f>IFERROR(IF(Z421="",0,Z421),"0")</f>
        <v>0.58838000000000001</v>
      </c>
      <c r="AA422" s="64"/>
      <c r="AB422" s="64"/>
      <c r="AC422" s="6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40" t="s">
        <v>67</v>
      </c>
      <c r="X423" s="41">
        <f>IFERROR(SUM(X421:X421),"0")</f>
        <v>273</v>
      </c>
      <c r="Y423" s="41">
        <f>IFERROR(SUM(Y421:Y421),"0")</f>
        <v>279</v>
      </c>
      <c r="Z423" s="40"/>
      <c r="AA423" s="64"/>
      <c r="AB423" s="64"/>
      <c r="AC423" s="6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62"/>
      <c r="AB424" s="62"/>
      <c r="AC424" s="62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63"/>
      <c r="AB425" s="63"/>
      <c r="AC425" s="63"/>
    </row>
    <row r="426" spans="1:68" ht="27" customHeight="1" x14ac:dyDescent="0.25">
      <c r="A426" s="60" t="s">
        <v>681</v>
      </c>
      <c r="B426" s="60" t="s">
        <v>682</v>
      </c>
      <c r="C426" s="34">
        <v>4301011875</v>
      </c>
      <c r="D426" s="598">
        <v>4680115884885</v>
      </c>
      <c r="E426" s="599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684</v>
      </c>
      <c r="B427" s="60" t="s">
        <v>685</v>
      </c>
      <c r="C427" s="34">
        <v>4301011871</v>
      </c>
      <c r="D427" s="598">
        <v>4680115884908</v>
      </c>
      <c r="E427" s="599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63"/>
      <c r="AB430" s="63"/>
      <c r="AC430" s="63"/>
    </row>
    <row r="431" spans="1:68" ht="27" customHeight="1" x14ac:dyDescent="0.25">
      <c r="A431" s="60" t="s">
        <v>686</v>
      </c>
      <c r="B431" s="60" t="s">
        <v>687</v>
      </c>
      <c r="C431" s="34">
        <v>4301031457</v>
      </c>
      <c r="D431" s="598">
        <v>4607091384802</v>
      </c>
      <c r="E431" s="599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8">
        <v>4607091384246</v>
      </c>
      <c r="E435" s="599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7"/>
      <c r="V435" s="37"/>
      <c r="W435" s="38" t="s">
        <v>67</v>
      </c>
      <c r="X435" s="56">
        <v>1000</v>
      </c>
      <c r="Y435" s="53">
        <f>IFERROR(IF(X435="",0,CEILING((X435/$H435),1)*$H435),"")</f>
        <v>1008</v>
      </c>
      <c r="Z435" s="39">
        <f>IFERROR(IF(Y435=0,"",ROUNDUP(Y435/H435,0)*0.01898),"")</f>
        <v>2.1257600000000001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1054.8888888888889</v>
      </c>
      <c r="BN435" s="75">
        <f>IFERROR(Y435*I435/H435,"0")</f>
        <v>1063.328</v>
      </c>
      <c r="BO435" s="75">
        <f>IFERROR(1/J435*(X435/H435),"0")</f>
        <v>1.7361111111111112</v>
      </c>
      <c r="BP435" s="75">
        <f>IFERROR(1/J435*(Y435/H435),"0")</f>
        <v>1.75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598">
        <v>4607091384253</v>
      </c>
      <c r="E436" s="599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7"/>
      <c r="V436" s="37"/>
      <c r="W436" s="38" t="s">
        <v>67</v>
      </c>
      <c r="X436" s="56">
        <v>35</v>
      </c>
      <c r="Y436" s="53">
        <f>IFERROR(IF(X436="",0,CEILING((X436/$H436),1)*$H436),"")</f>
        <v>36</v>
      </c>
      <c r="Z436" s="39">
        <f>IFERROR(IF(Y436=0,"",ROUNDUP(Y436/H436,0)*0.00651),"")</f>
        <v>9.7650000000000001E-2</v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38.850000000000009</v>
      </c>
      <c r="BN436" s="75">
        <f>IFERROR(Y436*I436/H436,"0")</f>
        <v>39.960000000000008</v>
      </c>
      <c r="BO436" s="75">
        <f>IFERROR(1/J436*(X436/H436),"0")</f>
        <v>8.0128205128205135E-2</v>
      </c>
      <c r="BP436" s="75">
        <f>IFERROR(1/J436*(Y436/H436),"0")</f>
        <v>8.241758241758243E-2</v>
      </c>
    </row>
    <row r="437" spans="1:68" ht="27" customHeight="1" x14ac:dyDescent="0.25">
      <c r="A437" s="60" t="s">
        <v>692</v>
      </c>
      <c r="B437" s="60" t="s">
        <v>694</v>
      </c>
      <c r="C437" s="34">
        <v>4301052069</v>
      </c>
      <c r="D437" s="598">
        <v>4607091384253</v>
      </c>
      <c r="E437" s="599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40" t="s">
        <v>73</v>
      </c>
      <c r="X438" s="41">
        <f>IFERROR(X435/H435,"0")+IFERROR(X436/H436,"0")+IFERROR(X437/H437,"0")</f>
        <v>125.69444444444444</v>
      </c>
      <c r="Y438" s="41">
        <f>IFERROR(Y435/H435,"0")+IFERROR(Y436/H436,"0")+IFERROR(Y437/H437,"0")</f>
        <v>127</v>
      </c>
      <c r="Z438" s="41">
        <f>IFERROR(IF(Z435="",0,Z435),"0")+IFERROR(IF(Z436="",0,Z436),"0")+IFERROR(IF(Z437="",0,Z437),"0")</f>
        <v>2.2234099999999999</v>
      </c>
      <c r="AA438" s="64"/>
      <c r="AB438" s="64"/>
      <c r="AC438" s="6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40" t="s">
        <v>67</v>
      </c>
      <c r="X439" s="41">
        <f>IFERROR(SUM(X435:X437),"0")</f>
        <v>1035</v>
      </c>
      <c r="Y439" s="41">
        <f>IFERROR(SUM(Y435:Y437),"0")</f>
        <v>1044</v>
      </c>
      <c r="Z439" s="40"/>
      <c r="AA439" s="64"/>
      <c r="AB439" s="64"/>
      <c r="AC439" s="6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52"/>
      <c r="AB440" s="52"/>
      <c r="AC440" s="52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63"/>
      <c r="AB442" s="63"/>
      <c r="AC442" s="63"/>
    </row>
    <row r="443" spans="1:68" ht="27" customHeight="1" x14ac:dyDescent="0.25">
      <c r="A443" s="60" t="s">
        <v>698</v>
      </c>
      <c r="B443" s="60" t="s">
        <v>699</v>
      </c>
      <c r="C443" s="34">
        <v>4301031405</v>
      </c>
      <c r="D443" s="598">
        <v>4680115886100</v>
      </c>
      <c r="E443" s="599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701</v>
      </c>
      <c r="B444" s="60" t="s">
        <v>702</v>
      </c>
      <c r="C444" s="34">
        <v>4301031402</v>
      </c>
      <c r="D444" s="598">
        <v>4680115886124</v>
      </c>
      <c r="E444" s="599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704</v>
      </c>
      <c r="B445" s="60" t="s">
        <v>705</v>
      </c>
      <c r="C445" s="34">
        <v>4301031362</v>
      </c>
      <c r="D445" s="598">
        <v>4607091384338</v>
      </c>
      <c r="E445" s="599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706</v>
      </c>
      <c r="B446" s="60" t="s">
        <v>707</v>
      </c>
      <c r="C446" s="34">
        <v>4301031364</v>
      </c>
      <c r="D446" s="598">
        <v>4680115883161</v>
      </c>
      <c r="E446" s="599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709</v>
      </c>
      <c r="B447" s="60" t="s">
        <v>710</v>
      </c>
      <c r="C447" s="34">
        <v>4301031358</v>
      </c>
      <c r="D447" s="598">
        <v>4607091389531</v>
      </c>
      <c r="E447" s="599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712</v>
      </c>
      <c r="B448" s="60" t="s">
        <v>713</v>
      </c>
      <c r="C448" s="34">
        <v>4301031360</v>
      </c>
      <c r="D448" s="598">
        <v>4607091384345</v>
      </c>
      <c r="E448" s="599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63"/>
      <c r="AB451" s="63"/>
      <c r="AC451" s="63"/>
    </row>
    <row r="452" spans="1:68" ht="27" customHeight="1" x14ac:dyDescent="0.25">
      <c r="A452" s="60" t="s">
        <v>714</v>
      </c>
      <c r="B452" s="60" t="s">
        <v>715</v>
      </c>
      <c r="C452" s="34">
        <v>4301051284</v>
      </c>
      <c r="D452" s="598">
        <v>4607091384352</v>
      </c>
      <c r="E452" s="599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717</v>
      </c>
      <c r="B453" s="60" t="s">
        <v>718</v>
      </c>
      <c r="C453" s="34">
        <v>4301051431</v>
      </c>
      <c r="D453" s="598">
        <v>4607091389654</v>
      </c>
      <c r="E453" s="599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62"/>
      <c r="AB456" s="62"/>
      <c r="AC456" s="62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63"/>
      <c r="AB457" s="63"/>
      <c r="AC457" s="63"/>
    </row>
    <row r="458" spans="1:68" ht="27" customHeight="1" x14ac:dyDescent="0.25">
      <c r="A458" s="60" t="s">
        <v>721</v>
      </c>
      <c r="B458" s="60" t="s">
        <v>722</v>
      </c>
      <c r="C458" s="34">
        <v>4301020416</v>
      </c>
      <c r="D458" s="598">
        <v>4680115885240</v>
      </c>
      <c r="E458" s="599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63"/>
      <c r="AB461" s="63"/>
      <c r="AC461" s="63"/>
    </row>
    <row r="462" spans="1:68" ht="27" customHeight="1" x14ac:dyDescent="0.25">
      <c r="A462" s="60" t="s">
        <v>724</v>
      </c>
      <c r="B462" s="60" t="s">
        <v>725</v>
      </c>
      <c r="C462" s="34">
        <v>4301031407</v>
      </c>
      <c r="D462" s="598">
        <v>4680115886094</v>
      </c>
      <c r="E462" s="599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727</v>
      </c>
      <c r="B463" s="60" t="s">
        <v>728</v>
      </c>
      <c r="C463" s="34">
        <v>4301031373</v>
      </c>
      <c r="D463" s="598">
        <v>4680115880771</v>
      </c>
      <c r="E463" s="599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730</v>
      </c>
      <c r="B464" s="60" t="s">
        <v>731</v>
      </c>
      <c r="C464" s="34">
        <v>4301031359</v>
      </c>
      <c r="D464" s="598">
        <v>4607091389500</v>
      </c>
      <c r="E464" s="599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52"/>
      <c r="AB467" s="52"/>
      <c r="AC467" s="52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62"/>
      <c r="AB468" s="62"/>
      <c r="AC468" s="62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8">
        <v>4607091389067</v>
      </c>
      <c r="E470" s="599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7"/>
      <c r="V470" s="37"/>
      <c r="W470" s="38" t="s">
        <v>67</v>
      </c>
      <c r="X470" s="56">
        <v>84</v>
      </c>
      <c r="Y470" s="53">
        <f t="shared" ref="Y470:Y478" si="62">IFERROR(IF(X470="",0,CEILING((X470/$H470),1)*$H470),"")</f>
        <v>84.48</v>
      </c>
      <c r="Z470" s="39">
        <f t="shared" ref="Z470:Z475" si="63">IFERROR(IF(Y470=0,"",ROUNDUP(Y470/H470,0)*0.01196),"")</f>
        <v>0.19136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89.568181818181813</v>
      </c>
      <c r="BN470" s="75">
        <f t="shared" ref="BN470:BN478" si="65">IFERROR(Y470*I470/H470,"0")</f>
        <v>90.08</v>
      </c>
      <c r="BO470" s="75">
        <f t="shared" ref="BO470:BO478" si="66">IFERROR(1/J470*(X470/H470),"0")</f>
        <v>0.15297202797202797</v>
      </c>
      <c r="BP470" s="75">
        <f t="shared" ref="BP470:BP478" si="67">IFERROR(1/J470*(Y470/H470),"0")</f>
        <v>0.15384615384615385</v>
      </c>
    </row>
    <row r="471" spans="1:68" ht="27" customHeight="1" x14ac:dyDescent="0.25">
      <c r="A471" s="60" t="s">
        <v>735</v>
      </c>
      <c r="B471" s="60" t="s">
        <v>736</v>
      </c>
      <c r="C471" s="34">
        <v>4301012210</v>
      </c>
      <c r="D471" s="598">
        <v>4607091383522</v>
      </c>
      <c r="E471" s="599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8">
        <v>4680115885271</v>
      </c>
      <c r="E472" s="599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8">
        <v>4680115885226</v>
      </c>
      <c r="E473" s="599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7"/>
      <c r="V473" s="37"/>
      <c r="W473" s="38" t="s">
        <v>67</v>
      </c>
      <c r="X473" s="56">
        <v>400</v>
      </c>
      <c r="Y473" s="53">
        <f t="shared" si="62"/>
        <v>401.28000000000003</v>
      </c>
      <c r="Z473" s="39">
        <f t="shared" si="63"/>
        <v>0.90895999999999999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426.5151515151515</v>
      </c>
      <c r="BN473" s="75">
        <f t="shared" si="65"/>
        <v>427.88</v>
      </c>
      <c r="BO473" s="75">
        <f t="shared" si="66"/>
        <v>0.72843822843822836</v>
      </c>
      <c r="BP473" s="75">
        <f t="shared" si="67"/>
        <v>0.73076923076923084</v>
      </c>
    </row>
    <row r="474" spans="1:68" ht="16.5" customHeight="1" x14ac:dyDescent="0.25">
      <c r="A474" s="60" t="s">
        <v>744</v>
      </c>
      <c r="B474" s="60" t="s">
        <v>745</v>
      </c>
      <c r="C474" s="34">
        <v>4301011797</v>
      </c>
      <c r="D474" s="598">
        <v>4680115884502</v>
      </c>
      <c r="E474" s="599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8">
        <v>4607091389104</v>
      </c>
      <c r="E475" s="599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7"/>
      <c r="V475" s="37"/>
      <c r="W475" s="38" t="s">
        <v>67</v>
      </c>
      <c r="X475" s="56">
        <v>500</v>
      </c>
      <c r="Y475" s="53">
        <f t="shared" si="62"/>
        <v>501.6</v>
      </c>
      <c r="Z475" s="39">
        <f t="shared" si="63"/>
        <v>1.1362000000000001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533.14393939393938</v>
      </c>
      <c r="BN475" s="75">
        <f t="shared" si="65"/>
        <v>534.85</v>
      </c>
      <c r="BO475" s="75">
        <f t="shared" si="66"/>
        <v>0.91054778554778548</v>
      </c>
      <c r="BP475" s="75">
        <f t="shared" si="67"/>
        <v>0.91346153846153855</v>
      </c>
    </row>
    <row r="476" spans="1:68" ht="27" customHeight="1" x14ac:dyDescent="0.25">
      <c r="A476" s="60" t="s">
        <v>750</v>
      </c>
      <c r="B476" s="60" t="s">
        <v>751</v>
      </c>
      <c r="C476" s="34">
        <v>4301012125</v>
      </c>
      <c r="D476" s="598">
        <v>4680115886391</v>
      </c>
      <c r="E476" s="599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8">
        <v>4680115880603</v>
      </c>
      <c r="E477" s="599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8">
        <v>4607091389982</v>
      </c>
      <c r="E478" s="599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7"/>
      <c r="V478" s="37"/>
      <c r="W478" s="38" t="s">
        <v>67</v>
      </c>
      <c r="X478" s="56">
        <v>54</v>
      </c>
      <c r="Y478" s="53">
        <f t="shared" si="62"/>
        <v>57.599999999999994</v>
      </c>
      <c r="Z478" s="39">
        <f>IFERROR(IF(Y478=0,"",ROUNDUP(Y478/H478,0)*0.00902),"")</f>
        <v>0.10824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77.737499999999997</v>
      </c>
      <c r="BN478" s="75">
        <f t="shared" si="65"/>
        <v>82.92</v>
      </c>
      <c r="BO478" s="75">
        <f t="shared" si="66"/>
        <v>8.5227272727272735E-2</v>
      </c>
      <c r="BP478" s="75">
        <f t="shared" si="67"/>
        <v>9.0909090909090912E-2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197.61363636363635</v>
      </c>
      <c r="Y479" s="41">
        <f>IFERROR(Y470/H470,"0")+IFERROR(Y471/H471,"0")+IFERROR(Y472/H472,"0")+IFERROR(Y473/H473,"0")+IFERROR(Y474/H474,"0")+IFERROR(Y475/H475,"0")+IFERROR(Y476/H476,"0")+IFERROR(Y477/H477,"0")+IFERROR(Y478/H478,"0")</f>
        <v>199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2.34476</v>
      </c>
      <c r="AA479" s="64"/>
      <c r="AB479" s="64"/>
      <c r="AC479" s="6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40" t="s">
        <v>67</v>
      </c>
      <c r="X480" s="41">
        <f>IFERROR(SUM(X470:X478),"0")</f>
        <v>1038</v>
      </c>
      <c r="Y480" s="41">
        <f>IFERROR(SUM(Y470:Y478),"0")</f>
        <v>1044.96</v>
      </c>
      <c r="Z480" s="40"/>
      <c r="AA480" s="64"/>
      <c r="AB480" s="64"/>
      <c r="AC480" s="6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8">
        <v>4607091388930</v>
      </c>
      <c r="E482" s="599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7"/>
      <c r="V482" s="37"/>
      <c r="W482" s="38" t="s">
        <v>67</v>
      </c>
      <c r="X482" s="56">
        <v>200</v>
      </c>
      <c r="Y482" s="53">
        <f>IFERROR(IF(X482="",0,CEILING((X482/$H482),1)*$H482),"")</f>
        <v>200.64000000000001</v>
      </c>
      <c r="Z482" s="39">
        <f>IFERROR(IF(Y482=0,"",ROUNDUP(Y482/H482,0)*0.01196),"")</f>
        <v>0.45448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213.25757575757575</v>
      </c>
      <c r="BN482" s="75">
        <f>IFERROR(Y482*I482/H482,"0")</f>
        <v>213.94</v>
      </c>
      <c r="BO482" s="75">
        <f>IFERROR(1/J482*(X482/H482),"0")</f>
        <v>0.36421911421911418</v>
      </c>
      <c r="BP482" s="75">
        <f>IFERROR(1/J482*(Y482/H482),"0")</f>
        <v>0.36538461538461542</v>
      </c>
    </row>
    <row r="483" spans="1:68" ht="16.5" customHeight="1" x14ac:dyDescent="0.25">
      <c r="A483" s="60" t="s">
        <v>759</v>
      </c>
      <c r="B483" s="60" t="s">
        <v>760</v>
      </c>
      <c r="C483" s="34">
        <v>4301020374</v>
      </c>
      <c r="D483" s="598">
        <v>4680115886407</v>
      </c>
      <c r="E483" s="599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8">
        <v>4680115880054</v>
      </c>
      <c r="E484" s="599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7"/>
      <c r="V484" s="37"/>
      <c r="W484" s="38" t="s">
        <v>67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40" t="s">
        <v>73</v>
      </c>
      <c r="X485" s="41">
        <f>IFERROR(X482/H482,"0")+IFERROR(X483/H483,"0")+IFERROR(X484/H484,"0")</f>
        <v>37.878787878787875</v>
      </c>
      <c r="Y485" s="41">
        <f>IFERROR(Y482/H482,"0")+IFERROR(Y483/H483,"0")+IFERROR(Y484/H484,"0")</f>
        <v>38</v>
      </c>
      <c r="Z485" s="41">
        <f>IFERROR(IF(Z482="",0,Z482),"0")+IFERROR(IF(Z483="",0,Z483),"0")+IFERROR(IF(Z484="",0,Z484),"0")</f>
        <v>0.45448</v>
      </c>
      <c r="AA485" s="64"/>
      <c r="AB485" s="64"/>
      <c r="AC485" s="6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40" t="s">
        <v>67</v>
      </c>
      <c r="X486" s="41">
        <f>IFERROR(SUM(X482:X484),"0")</f>
        <v>200</v>
      </c>
      <c r="Y486" s="41">
        <f>IFERROR(SUM(Y482:Y484),"0")</f>
        <v>200.64000000000001</v>
      </c>
      <c r="Z486" s="40"/>
      <c r="AA486" s="64"/>
      <c r="AB486" s="64"/>
      <c r="AC486" s="6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8">
        <v>4680115883116</v>
      </c>
      <c r="E488" s="599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7"/>
      <c r="V488" s="37"/>
      <c r="W488" s="38" t="s">
        <v>67</v>
      </c>
      <c r="X488" s="56">
        <v>169</v>
      </c>
      <c r="Y488" s="53">
        <f t="shared" ref="Y488:Y494" si="68">IFERROR(IF(X488="",0,CEILING((X488/$H488),1)*$H488),"")</f>
        <v>174.24</v>
      </c>
      <c r="Z488" s="39">
        <f>IFERROR(IF(Y488=0,"",ROUNDUP(Y488/H488,0)*0.01196),"")</f>
        <v>0.39468000000000003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180.2026515151515</v>
      </c>
      <c r="BN488" s="75">
        <f t="shared" ref="BN488:BN494" si="70">IFERROR(Y488*I488/H488,"0")</f>
        <v>185.79</v>
      </c>
      <c r="BO488" s="75">
        <f t="shared" ref="BO488:BO494" si="71">IFERROR(1/J488*(X488/H488),"0")</f>
        <v>0.30776515151515155</v>
      </c>
      <c r="BP488" s="75">
        <f t="shared" ref="BP488:BP494" si="72">IFERROR(1/J488*(Y488/H488),"0")</f>
        <v>0.31730769230769235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8">
        <v>4680115883093</v>
      </c>
      <c r="E489" s="599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7"/>
      <c r="V489" s="37"/>
      <c r="W489" s="38" t="s">
        <v>67</v>
      </c>
      <c r="X489" s="56">
        <v>180</v>
      </c>
      <c r="Y489" s="53">
        <f t="shared" si="68"/>
        <v>184.8</v>
      </c>
      <c r="Z489" s="39">
        <f>IFERROR(IF(Y489=0,"",ROUNDUP(Y489/H489,0)*0.01196),"")</f>
        <v>0.41860000000000003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191.93181818181816</v>
      </c>
      <c r="BN489" s="75">
        <f t="shared" si="70"/>
        <v>197.04999999999998</v>
      </c>
      <c r="BO489" s="75">
        <f t="shared" si="71"/>
        <v>0.32779720279720276</v>
      </c>
      <c r="BP489" s="75">
        <f t="shared" si="72"/>
        <v>0.33653846153846156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8">
        <v>4680115883109</v>
      </c>
      <c r="E490" s="599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7"/>
      <c r="V490" s="37"/>
      <c r="W490" s="38" t="s">
        <v>67</v>
      </c>
      <c r="X490" s="56">
        <v>100</v>
      </c>
      <c r="Y490" s="53">
        <f t="shared" si="68"/>
        <v>100.32000000000001</v>
      </c>
      <c r="Z490" s="39">
        <f>IFERROR(IF(Y490=0,"",ROUNDUP(Y490/H490,0)*0.01196),"")</f>
        <v>0.22724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106.62878787878788</v>
      </c>
      <c r="BN490" s="75">
        <f t="shared" si="70"/>
        <v>106.97</v>
      </c>
      <c r="BO490" s="75">
        <f t="shared" si="71"/>
        <v>0.18210955710955709</v>
      </c>
      <c r="BP490" s="75">
        <f t="shared" si="72"/>
        <v>0.18269230769230771</v>
      </c>
    </row>
    <row r="491" spans="1:68" ht="27" customHeight="1" x14ac:dyDescent="0.25">
      <c r="A491" s="60" t="s">
        <v>772</v>
      </c>
      <c r="B491" s="60" t="s">
        <v>773</v>
      </c>
      <c r="C491" s="34">
        <v>4301031419</v>
      </c>
      <c r="D491" s="598">
        <v>4680115882072</v>
      </c>
      <c r="E491" s="599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774</v>
      </c>
      <c r="B492" s="60" t="s">
        <v>775</v>
      </c>
      <c r="C492" s="34">
        <v>4301031352</v>
      </c>
      <c r="D492" s="598">
        <v>4680115882102</v>
      </c>
      <c r="E492" s="599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774</v>
      </c>
      <c r="B493" s="60" t="s">
        <v>776</v>
      </c>
      <c r="C493" s="34">
        <v>4301031418</v>
      </c>
      <c r="D493" s="598">
        <v>4680115882102</v>
      </c>
      <c r="E493" s="599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777</v>
      </c>
      <c r="B494" s="60" t="s">
        <v>778</v>
      </c>
      <c r="C494" s="34">
        <v>4301031417</v>
      </c>
      <c r="D494" s="598">
        <v>4680115882096</v>
      </c>
      <c r="E494" s="599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40" t="s">
        <v>73</v>
      </c>
      <c r="X495" s="41">
        <f>IFERROR(X488/H488,"0")+IFERROR(X489/H489,"0")+IFERROR(X490/H490,"0")+IFERROR(X491/H491,"0")+IFERROR(X492/H492,"0")+IFERROR(X493/H493,"0")+IFERROR(X494/H494,"0")</f>
        <v>85.037878787878782</v>
      </c>
      <c r="Y495" s="41">
        <f>IFERROR(Y488/H488,"0")+IFERROR(Y489/H489,"0")+IFERROR(Y490/H490,"0")+IFERROR(Y491/H491,"0")+IFERROR(Y492/H492,"0")+IFERROR(Y493/H493,"0")+IFERROR(Y494/H494,"0")</f>
        <v>87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1.0405199999999999</v>
      </c>
      <c r="AA495" s="64"/>
      <c r="AB495" s="64"/>
      <c r="AC495" s="6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40" t="s">
        <v>67</v>
      </c>
      <c r="X496" s="41">
        <f>IFERROR(SUM(X488:X494),"0")</f>
        <v>449</v>
      </c>
      <c r="Y496" s="41">
        <f>IFERROR(SUM(Y488:Y494),"0")</f>
        <v>459.36</v>
      </c>
      <c r="Z496" s="40"/>
      <c r="AA496" s="64"/>
      <c r="AB496" s="64"/>
      <c r="AC496" s="6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52"/>
      <c r="AB497" s="52"/>
      <c r="AC497" s="52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62"/>
      <c r="AB498" s="62"/>
      <c r="AC498" s="62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63"/>
      <c r="AB499" s="63"/>
      <c r="AC499" s="63"/>
    </row>
    <row r="500" spans="1:68" ht="27" customHeight="1" x14ac:dyDescent="0.25">
      <c r="A500" s="60" t="s">
        <v>780</v>
      </c>
      <c r="B500" s="60" t="s">
        <v>781</v>
      </c>
      <c r="C500" s="34">
        <v>4301011584</v>
      </c>
      <c r="D500" s="598">
        <v>4640242180564</v>
      </c>
      <c r="E500" s="599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63"/>
      <c r="AB503" s="63"/>
      <c r="AC503" s="63"/>
    </row>
    <row r="504" spans="1:68" ht="27" customHeight="1" x14ac:dyDescent="0.25">
      <c r="A504" s="60" t="s">
        <v>783</v>
      </c>
      <c r="B504" s="60" t="s">
        <v>784</v>
      </c>
      <c r="C504" s="34">
        <v>4301020400</v>
      </c>
      <c r="D504" s="598">
        <v>4640242180519</v>
      </c>
      <c r="E504" s="599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63"/>
      <c r="AB507" s="63"/>
      <c r="AC507" s="63"/>
    </row>
    <row r="508" spans="1:68" ht="27" customHeight="1" x14ac:dyDescent="0.25">
      <c r="A508" s="60" t="s">
        <v>786</v>
      </c>
      <c r="B508" s="60" t="s">
        <v>787</v>
      </c>
      <c r="C508" s="34">
        <v>4301031467</v>
      </c>
      <c r="D508" s="598">
        <v>4640242180595</v>
      </c>
      <c r="E508" s="599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786</v>
      </c>
      <c r="B509" s="60" t="s">
        <v>789</v>
      </c>
      <c r="C509" s="34">
        <v>4301031500</v>
      </c>
      <c r="D509" s="598">
        <v>4640242180595</v>
      </c>
      <c r="E509" s="599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8">
        <v>4640242180533</v>
      </c>
      <c r="E513" s="599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7"/>
      <c r="V513" s="37"/>
      <c r="W513" s="38" t="s">
        <v>67</v>
      </c>
      <c r="X513" s="56">
        <v>50</v>
      </c>
      <c r="Y513" s="53">
        <f>IFERROR(IF(X513="",0,CEILING((X513/$H513),1)*$H513),"")</f>
        <v>54</v>
      </c>
      <c r="Z513" s="39">
        <f>IFERROR(IF(Y513=0,"",ROUNDUP(Y513/H513,0)*0.01898),"")</f>
        <v>0.11388000000000001</v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52.74444444444444</v>
      </c>
      <c r="BN513" s="75">
        <f>IFERROR(Y513*I513/H513,"0")</f>
        <v>56.963999999999992</v>
      </c>
      <c r="BO513" s="75">
        <f>IFERROR(1/J513*(X513/H513),"0")</f>
        <v>8.6805555555555552E-2</v>
      </c>
      <c r="BP513" s="75">
        <f>IFERROR(1/J513*(Y513/H513),"0")</f>
        <v>9.375E-2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40" t="s">
        <v>73</v>
      </c>
      <c r="X514" s="41">
        <f>IFERROR(X513/H513,"0")</f>
        <v>5.5555555555555554</v>
      </c>
      <c r="Y514" s="41">
        <f>IFERROR(Y513/H513,"0")</f>
        <v>6</v>
      </c>
      <c r="Z514" s="41">
        <f>IFERROR(IF(Z513="",0,Z513),"0")</f>
        <v>0.11388000000000001</v>
      </c>
      <c r="AA514" s="64"/>
      <c r="AB514" s="64"/>
      <c r="AC514" s="6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40" t="s">
        <v>67</v>
      </c>
      <c r="X515" s="41">
        <f>IFERROR(SUM(X513:X513),"0")</f>
        <v>50</v>
      </c>
      <c r="Y515" s="41">
        <f>IFERROR(SUM(Y513:Y513),"0")</f>
        <v>54</v>
      </c>
      <c r="Z515" s="40"/>
      <c r="AA515" s="64"/>
      <c r="AB515" s="64"/>
      <c r="AC515" s="6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63"/>
      <c r="AB516" s="63"/>
      <c r="AC516" s="63"/>
    </row>
    <row r="517" spans="1:68" ht="27" customHeight="1" x14ac:dyDescent="0.25">
      <c r="A517" s="60" t="s">
        <v>794</v>
      </c>
      <c r="B517" s="60" t="s">
        <v>795</v>
      </c>
      <c r="C517" s="34">
        <v>4301060535</v>
      </c>
      <c r="D517" s="598">
        <v>4640242180120</v>
      </c>
      <c r="E517" s="599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797</v>
      </c>
      <c r="B518" s="60" t="s">
        <v>798</v>
      </c>
      <c r="C518" s="34">
        <v>4301060536</v>
      </c>
      <c r="D518" s="598">
        <v>4640242180137</v>
      </c>
      <c r="E518" s="599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62"/>
      <c r="AB521" s="62"/>
      <c r="AC521" s="62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63"/>
      <c r="AB522" s="63"/>
      <c r="AC522" s="63"/>
    </row>
    <row r="523" spans="1:68" ht="27" customHeight="1" x14ac:dyDescent="0.25">
      <c r="A523" s="60" t="s">
        <v>801</v>
      </c>
      <c r="B523" s="60" t="s">
        <v>802</v>
      </c>
      <c r="C523" s="34">
        <v>4301020428</v>
      </c>
      <c r="D523" s="598">
        <v>4640242180090</v>
      </c>
      <c r="E523" s="599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12979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13186.489999999998</v>
      </c>
      <c r="Z526" s="40"/>
      <c r="AA526" s="64"/>
      <c r="AB526" s="64"/>
      <c r="AC526" s="6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40" t="s">
        <v>67</v>
      </c>
      <c r="X527" s="41">
        <f>IFERROR(SUM(BM22:BM523),"0")</f>
        <v>13628.678510549835</v>
      </c>
      <c r="Y527" s="41">
        <f>IFERROR(SUM(BN22:BN523),"0")</f>
        <v>13847.907999999999</v>
      </c>
      <c r="Z527" s="40"/>
      <c r="AA527" s="64"/>
      <c r="AB527" s="64"/>
      <c r="AC527" s="6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40" t="s">
        <v>807</v>
      </c>
      <c r="X528" s="42">
        <f>ROUNDUP(SUM(BO22:BO523),0)</f>
        <v>22</v>
      </c>
      <c r="Y528" s="42">
        <f>ROUNDUP(SUM(BP22:BP523),0)</f>
        <v>22</v>
      </c>
      <c r="Z528" s="40"/>
      <c r="AA528" s="64"/>
      <c r="AB528" s="64"/>
      <c r="AC528" s="6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40" t="s">
        <v>67</v>
      </c>
      <c r="X529" s="41">
        <f>GrossWeightTotal+PalletQtyTotal*25</f>
        <v>14178.678510549835</v>
      </c>
      <c r="Y529" s="41">
        <f>GrossWeightTotalR+PalletQtyTotalR*25</f>
        <v>14397.907999999999</v>
      </c>
      <c r="Z529" s="40"/>
      <c r="AA529" s="64"/>
      <c r="AB529" s="64"/>
      <c r="AC529" s="6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1956.8659474374988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1989</v>
      </c>
      <c r="Z530" s="40"/>
      <c r="AA530" s="64"/>
      <c r="AB530" s="64"/>
      <c r="AC530" s="6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25.235680000000006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80" t="s">
        <v>732</v>
      </c>
      <c r="AA533" s="613" t="s">
        <v>779</v>
      </c>
      <c r="AB533" s="615"/>
      <c r="AC533" s="9"/>
      <c r="AF533" s="1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1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9"/>
      <c r="AF534" s="1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1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693.60000000000014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241.8</v>
      </c>
      <c r="F536" s="50">
        <f>IFERROR(Y87*1,"0")+IFERROR(Y88*1,"0")+IFERROR(Y89*1,"0")+IFERROR(Y90*1,"0")+IFERROR(Y94*1,"0")+IFERROR(Y95*1,"0")+IFERROR(Y96*1,"0")+IFERROR(Y97*1,"0")</f>
        <v>193.5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368.1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591.64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63.12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1402.1999999999996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54.17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187.2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374.4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540.79999999999995</v>
      </c>
      <c r="U536" s="50">
        <f>IFERROR(Y391*1,"0")+IFERROR(Y392*1,"0")+IFERROR(Y393*1,"0")</f>
        <v>84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5589</v>
      </c>
      <c r="W536" s="50">
        <f>IFERROR(Y426*1,"0")+IFERROR(Y427*1,"0")+IFERROR(Y431*1,"0")+IFERROR(Y435*1,"0")+IFERROR(Y436*1,"0")+IFERROR(Y437*1,"0")</f>
        <v>1044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1704.96</v>
      </c>
      <c r="AA536" s="50">
        <f>IFERROR(Y500*1,"0")+IFERROR(Y504*1,"0")+IFERROR(Y508*1,"0")+IFERROR(Y509*1,"0")+IFERROR(Y513*1,"0")+IFERROR(Y517*1,"0")+IFERROR(Y518*1,"0")</f>
        <v>54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