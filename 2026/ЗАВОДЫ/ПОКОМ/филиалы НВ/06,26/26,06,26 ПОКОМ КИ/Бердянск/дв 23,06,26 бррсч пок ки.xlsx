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9AF41E51-687A-4B6E-A744-8376F783EF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Sheet!$A$3:$AB$5</definedName>
  </definedNames>
  <calcPr calcId="191029" refMode="R1C1"/>
</workbook>
</file>

<file path=xl/calcChain.xml><?xml version="1.0" encoding="utf-8"?>
<calcChain xmlns="http://schemas.openxmlformats.org/spreadsheetml/2006/main">
  <c r="Z5" i="1" l="1"/>
  <c r="Y5" i="1"/>
  <c r="X5" i="1"/>
  <c r="W5" i="1"/>
  <c r="S5" i="1"/>
  <c r="Q5" i="1"/>
  <c r="P5" i="1"/>
  <c r="O5" i="1"/>
  <c r="N5" i="1"/>
  <c r="M5" i="1"/>
  <c r="K5" i="1"/>
  <c r="F5" i="1"/>
  <c r="E5" i="1"/>
  <c r="R5" i="1" l="1"/>
  <c r="L5" i="1"/>
  <c r="AB5" i="1" l="1"/>
</calcChain>
</file>

<file path=xl/sharedStrings.xml><?xml version="1.0" encoding="utf-8"?>
<sst xmlns="http://schemas.openxmlformats.org/spreadsheetml/2006/main" count="265" uniqueCount="148">
  <si>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</si>
  <si>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</si>
  <si>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</si>
  <si>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</si>
  <si>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</si>
  <si>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</si>
  <si>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</si>
  <si>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</si>
  <si>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</si>
  <si>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</si>
  <si>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</si>
  <si>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</si>
  <si>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</si>
  <si>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</si>
  <si>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</si>
  <si>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</si>
  <si>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</si>
  <si>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</si>
  <si>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</si>
  <si>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</si>
  <si>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</si>
  <si>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</si>
  <si>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</si>
  <si>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27,01,</t>
  </si>
  <si>
    <t>22,01,</t>
  </si>
  <si>
    <t>20,01,</t>
  </si>
  <si>
    <t>15,01,</t>
  </si>
  <si>
    <t>шт</t>
  </si>
  <si>
    <t xml:space="preserve"> 030  Сосиски Вязанка Молочные, Вязанка вискофан МГС, 0.45кг, ПОКОМ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</si>
  <si>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</si>
  <si>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</si>
  <si>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</si>
  <si>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</si>
  <si>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</si>
  <si>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</si>
  <si>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</si>
  <si>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</si>
  <si>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</si>
  <si>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</si>
  <si>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</si>
  <si>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</si>
  <si>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</si>
  <si>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</si>
  <si>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</si>
  <si>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</si>
  <si>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</si>
  <si>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</si>
  <si>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</si>
  <si>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</si>
  <si>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</si>
  <si>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</si>
  <si>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</si>
  <si>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</si>
  <si>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</si>
  <si>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</si>
  <si>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</si>
  <si>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</si>
  <si>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</si>
  <si>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</si>
  <si>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</si>
  <si>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</si>
  <si>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</si>
  <si>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</si>
  <si>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</si>
  <si>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</si>
  <si>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</si>
  <si>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</si>
  <si>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</si>
  <si>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</si>
  <si>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</si>
  <si>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</si>
  <si>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</si>
  <si>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</si>
  <si>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</si>
  <si>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</si>
  <si>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</si>
  <si>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</si>
  <si>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</si>
  <si>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</si>
  <si>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</si>
  <si>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</si>
  <si>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</si>
  <si>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</si>
  <si>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</si>
  <si>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</si>
  <si>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</si>
  <si>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</si>
  <si>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</si>
  <si>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</si>
  <si>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</si>
  <si>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</si>
  <si>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</si>
  <si>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</si>
  <si>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</si>
  <si>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</si>
  <si>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</si>
  <si>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</si>
  <si>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</si>
  <si>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</si>
  <si>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</si>
  <si>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</si>
  <si>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</si>
  <si>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</si>
  <si>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</si>
  <si>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</si>
  <si>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</si>
  <si>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</si>
  <si>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</si>
  <si>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</si>
  <si>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</si>
  <si>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</si>
  <si>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</si>
  <si>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</si>
  <si>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</si>
  <si>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</si>
  <si>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</si>
  <si>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</si>
  <si>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</si>
  <si>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</si>
  <si>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</si>
  <si>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</si>
  <si>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</si>
  <si>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</si>
  <si>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</si>
  <si>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</si>
  <si>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</si>
  <si>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</si>
  <si>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</si>
  <si>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</si>
  <si>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</si>
  <si>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230  Колбаса Молочная Особая ТМ Особый рецепт, п/а, ВЕС. ПОКОМ</t>
  </si>
  <si>
    <t xml:space="preserve"> 558  Колбаса Балыковая НОВАЯ ВЕС Вязанка фиброуз в/у ПОКОМ</t>
  </si>
  <si>
    <t>Копченые колбасы «Сервелат Финский» Фикс.вес 0,28 фиброуз срез ТМ «Вязанка»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</si>
  <si>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</si>
  <si>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</si>
  <si>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</si>
  <si>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20,06,</t>
  </si>
  <si>
    <t>21,06,</t>
  </si>
  <si>
    <t>27,06,</t>
  </si>
  <si>
    <t>заказ</t>
  </si>
  <si>
    <t>промо</t>
  </si>
  <si>
    <t>Уменьшить т.к. 600шт приехаело, в четверг ещё 320 приедет.</t>
  </si>
  <si>
    <t>пРОМО</t>
  </si>
  <si>
    <t>ТФ</t>
  </si>
  <si>
    <t>В достатке</t>
  </si>
  <si>
    <t>Промо</t>
  </si>
  <si>
    <t>Новинка</t>
  </si>
  <si>
    <t>23,06,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</si>
</sst>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3" fillId="0" borderId="1" xfId="1" applyNumberFormat="1" applyFont="1"/>
    <xf numFmtId="164" fontId="4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0" sqref="U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5" style="4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14" customWidth="1"/>
    <col min="21" max="22" width="5" customWidth="1"/>
    <col min="23" max="26" width="6" customWidth="1"/>
    <col min="27" max="27" width="49.42578125" customWidth="1"/>
    <col min="28" max="28" width="7" customWidth="1"/>
    <col min="29" max="46" width="3" customWidth="1"/>
  </cols>
  <sheetData>
    <row r="1" spans="1:46" x14ac:dyDescent="0.25">
      <c r="A1" s="1"/>
      <c r="B1" s="1"/>
      <c r="C1" s="1"/>
      <c r="D1" s="1"/>
      <c r="E1" s="1"/>
      <c r="F1" s="1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7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9" t="s">
        <v>139</v>
      </c>
      <c r="S3" s="5" t="s">
        <v>16</v>
      </c>
      <c r="T3" s="5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6"/>
      <c r="H4" s="6"/>
      <c r="I4" s="1"/>
      <c r="J4" s="1"/>
      <c r="K4" s="1"/>
      <c r="L4" s="1"/>
      <c r="M4" s="1"/>
      <c r="N4" s="1"/>
      <c r="O4" s="8" t="s">
        <v>136</v>
      </c>
      <c r="P4" s="8" t="s">
        <v>137</v>
      </c>
      <c r="Q4" s="1" t="s">
        <v>147</v>
      </c>
      <c r="R4" s="8" t="s">
        <v>138</v>
      </c>
      <c r="S4" s="1"/>
      <c r="T4" s="1"/>
      <c r="U4" s="1"/>
      <c r="V4" s="1"/>
      <c r="W4" s="1" t="s">
        <v>23</v>
      </c>
      <c r="X4" s="1" t="s">
        <v>24</v>
      </c>
      <c r="Y4" s="1" t="s">
        <v>25</v>
      </c>
      <c r="Z4" s="1" t="s">
        <v>26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3">
        <f>SUM(E6:E404)</f>
        <v>0</v>
      </c>
      <c r="F5" s="3">
        <f>SUM(F6:F404)</f>
        <v>0</v>
      </c>
      <c r="G5" s="6"/>
      <c r="H5" s="6"/>
      <c r="I5" s="1"/>
      <c r="J5" s="1"/>
      <c r="K5" s="3">
        <f t="shared" ref="K5:S5" si="0">SUM(K6:K404)</f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1800</v>
      </c>
      <c r="P5" s="3">
        <f t="shared" si="0"/>
        <v>23110</v>
      </c>
      <c r="Q5" s="3">
        <f t="shared" si="0"/>
        <v>4754.8182000000033</v>
      </c>
      <c r="R5" s="3">
        <f t="shared" si="0"/>
        <v>21739.828065999995</v>
      </c>
      <c r="S5" s="3">
        <f t="shared" si="0"/>
        <v>0</v>
      </c>
      <c r="T5" s="1"/>
      <c r="U5" s="1"/>
      <c r="V5" s="1"/>
      <c r="W5" s="3">
        <f>SUM(W6:W404)</f>
        <v>3939.7021999999993</v>
      </c>
      <c r="X5" s="3">
        <f>SUM(X6:X404)</f>
        <v>4478.2339999999986</v>
      </c>
      <c r="Y5" s="3">
        <f>SUM(Y6:Y404)</f>
        <v>4447.1737999999996</v>
      </c>
      <c r="Z5" s="3">
        <f>SUM(Z6:Z404)</f>
        <v>4576.6381999999985</v>
      </c>
      <c r="AA5" s="1"/>
      <c r="AB5" s="3">
        <f>SUM(AB6:AB404)</f>
        <v>0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29</v>
      </c>
      <c r="B6" s="1" t="s">
        <v>30</v>
      </c>
      <c r="C6" s="1"/>
      <c r="D6" s="1"/>
      <c r="E6" s="1"/>
      <c r="F6" s="1"/>
      <c r="G6" s="6"/>
      <c r="H6" s="6">
        <v>1</v>
      </c>
      <c r="I6" s="1"/>
      <c r="J6" s="1"/>
      <c r="K6" s="1"/>
      <c r="L6" s="1"/>
      <c r="M6" s="1"/>
      <c r="N6" s="1"/>
      <c r="O6" s="1">
        <v>0</v>
      </c>
      <c r="P6" s="1">
        <v>150</v>
      </c>
      <c r="Q6" s="1">
        <v>46.704799999999999</v>
      </c>
      <c r="R6" s="1">
        <v>327.5</v>
      </c>
      <c r="S6" s="1"/>
      <c r="T6" s="1"/>
      <c r="U6" s="1"/>
      <c r="V6" s="1"/>
      <c r="W6" s="1">
        <v>63.439599999999999</v>
      </c>
      <c r="X6" s="1">
        <v>49.296800000000005</v>
      </c>
      <c r="Y6" s="1">
        <v>54.128</v>
      </c>
      <c r="Z6" s="1">
        <v>53.9236</v>
      </c>
      <c r="AA6" s="1" t="s">
        <v>140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31</v>
      </c>
      <c r="B7" s="1" t="s">
        <v>30</v>
      </c>
      <c r="C7" s="1"/>
      <c r="D7" s="1"/>
      <c r="E7" s="1"/>
      <c r="F7" s="1"/>
      <c r="G7" s="6"/>
      <c r="H7" s="6">
        <v>1</v>
      </c>
      <c r="I7" s="1"/>
      <c r="J7" s="1"/>
      <c r="K7" s="1"/>
      <c r="L7" s="1"/>
      <c r="M7" s="1"/>
      <c r="N7" s="1"/>
      <c r="O7" s="1">
        <v>0</v>
      </c>
      <c r="P7" s="1">
        <v>150</v>
      </c>
      <c r="Q7" s="1">
        <v>44.53</v>
      </c>
      <c r="R7" s="1">
        <v>91.7</v>
      </c>
      <c r="S7" s="1"/>
      <c r="T7" s="1"/>
      <c r="U7" s="1"/>
      <c r="V7" s="1"/>
      <c r="W7" s="1">
        <v>37.011600000000001</v>
      </c>
      <c r="X7" s="1">
        <v>45.130600000000001</v>
      </c>
      <c r="Y7" s="1">
        <v>43.219000000000001</v>
      </c>
      <c r="Z7" s="1">
        <v>46.550599999999996</v>
      </c>
      <c r="AA7" s="1" t="s">
        <v>140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32</v>
      </c>
      <c r="B8" s="1" t="s">
        <v>30</v>
      </c>
      <c r="C8" s="1"/>
      <c r="D8" s="1"/>
      <c r="E8" s="1"/>
      <c r="F8" s="1"/>
      <c r="G8" s="6"/>
      <c r="H8" s="6">
        <v>1</v>
      </c>
      <c r="I8" s="1"/>
      <c r="J8" s="1"/>
      <c r="K8" s="1"/>
      <c r="L8" s="1"/>
      <c r="M8" s="1"/>
      <c r="N8" s="1"/>
      <c r="O8" s="1">
        <v>0</v>
      </c>
      <c r="P8" s="1">
        <v>150</v>
      </c>
      <c r="Q8" s="1">
        <v>47.197400000000002</v>
      </c>
      <c r="R8" s="1">
        <v>393</v>
      </c>
      <c r="S8" s="1"/>
      <c r="T8" s="1"/>
      <c r="U8" s="1"/>
      <c r="V8" s="1"/>
      <c r="W8" s="1">
        <v>49.338799999999999</v>
      </c>
      <c r="X8" s="1">
        <v>60.385000000000005</v>
      </c>
      <c r="Y8" s="1">
        <v>53.020799999999994</v>
      </c>
      <c r="Z8" s="1">
        <v>57.033399999999993</v>
      </c>
      <c r="AA8" s="1" t="s">
        <v>140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28</v>
      </c>
      <c r="B9" s="1" t="s">
        <v>27</v>
      </c>
      <c r="C9" s="1"/>
      <c r="D9" s="1"/>
      <c r="E9" s="1"/>
      <c r="F9" s="1"/>
      <c r="G9" s="6"/>
      <c r="H9" s="6">
        <v>0.45</v>
      </c>
      <c r="I9" s="1"/>
      <c r="J9" s="1"/>
      <c r="K9" s="1"/>
      <c r="L9" s="1"/>
      <c r="M9" s="1"/>
      <c r="N9" s="1"/>
      <c r="O9" s="1">
        <v>0</v>
      </c>
      <c r="P9" s="1">
        <v>1300</v>
      </c>
      <c r="Q9" s="1">
        <v>159.80000000000001</v>
      </c>
      <c r="R9" s="1">
        <v>596.30283000000031</v>
      </c>
      <c r="S9" s="1"/>
      <c r="T9" s="1"/>
      <c r="U9" s="1"/>
      <c r="V9" s="1"/>
      <c r="W9" s="1">
        <v>86.2</v>
      </c>
      <c r="X9" s="1">
        <v>120.6</v>
      </c>
      <c r="Y9" s="1">
        <v>72.8</v>
      </c>
      <c r="Z9" s="1">
        <v>150.19999999999999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33</v>
      </c>
      <c r="B10" s="1" t="s">
        <v>27</v>
      </c>
      <c r="C10" s="1"/>
      <c r="D10" s="1"/>
      <c r="E10" s="1"/>
      <c r="F10" s="1"/>
      <c r="G10" s="6"/>
      <c r="H10" s="6">
        <v>0.45</v>
      </c>
      <c r="I10" s="1"/>
      <c r="J10" s="1"/>
      <c r="K10" s="1"/>
      <c r="L10" s="1"/>
      <c r="M10" s="1"/>
      <c r="N10" s="1"/>
      <c r="O10" s="1">
        <v>0</v>
      </c>
      <c r="P10" s="1">
        <v>900</v>
      </c>
      <c r="Q10" s="1">
        <v>126</v>
      </c>
      <c r="R10" s="1">
        <v>262</v>
      </c>
      <c r="S10" s="1"/>
      <c r="T10" s="1"/>
      <c r="U10" s="1"/>
      <c r="V10" s="1"/>
      <c r="W10" s="1">
        <v>99.2</v>
      </c>
      <c r="X10" s="1">
        <v>110.2</v>
      </c>
      <c r="Y10" s="1">
        <v>113.8</v>
      </c>
      <c r="Z10" s="1">
        <v>125</v>
      </c>
      <c r="AA10" s="1" t="s">
        <v>141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34</v>
      </c>
      <c r="B11" s="1" t="s">
        <v>27</v>
      </c>
      <c r="C11" s="1"/>
      <c r="D11" s="1"/>
      <c r="E11" s="1"/>
      <c r="F11" s="1"/>
      <c r="G11" s="6"/>
      <c r="H11" s="6">
        <v>0.17</v>
      </c>
      <c r="I11" s="1"/>
      <c r="J11" s="1"/>
      <c r="K11" s="1"/>
      <c r="L11" s="1"/>
      <c r="M11" s="1"/>
      <c r="N11" s="1"/>
      <c r="O11" s="1">
        <v>0</v>
      </c>
      <c r="P11" s="1">
        <v>0</v>
      </c>
      <c r="Q11" s="1">
        <v>17.2</v>
      </c>
      <c r="R11" s="1">
        <v>166.63200000000001</v>
      </c>
      <c r="S11" s="1"/>
      <c r="T11" s="1"/>
      <c r="U11" s="1"/>
      <c r="V11" s="1"/>
      <c r="W11" s="1">
        <v>16</v>
      </c>
      <c r="X11" s="1">
        <v>12.6</v>
      </c>
      <c r="Y11" s="1">
        <v>15</v>
      </c>
      <c r="Z11" s="1">
        <v>18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35</v>
      </c>
      <c r="B12" s="1" t="s">
        <v>27</v>
      </c>
      <c r="C12" s="1"/>
      <c r="D12" s="1"/>
      <c r="E12" s="1"/>
      <c r="F12" s="1"/>
      <c r="G12" s="6"/>
      <c r="H12" s="6">
        <v>0.3</v>
      </c>
      <c r="I12" s="1"/>
      <c r="J12" s="1"/>
      <c r="K12" s="1"/>
      <c r="L12" s="1"/>
      <c r="M12" s="1"/>
      <c r="N12" s="1"/>
      <c r="O12" s="1">
        <v>0</v>
      </c>
      <c r="P12" s="1">
        <v>220</v>
      </c>
      <c r="Q12" s="1">
        <v>31</v>
      </c>
      <c r="R12" s="1">
        <v>196.5</v>
      </c>
      <c r="S12" s="1"/>
      <c r="T12" s="1"/>
      <c r="U12" s="1"/>
      <c r="V12" s="1"/>
      <c r="W12" s="1">
        <v>16.600000000000001</v>
      </c>
      <c r="X12" s="1">
        <v>28.8</v>
      </c>
      <c r="Y12" s="1">
        <v>5</v>
      </c>
      <c r="Z12" s="1">
        <v>32.4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36</v>
      </c>
      <c r="B13" s="1" t="s">
        <v>27</v>
      </c>
      <c r="C13" s="1"/>
      <c r="D13" s="1"/>
      <c r="E13" s="1"/>
      <c r="F13" s="1"/>
      <c r="G13" s="6"/>
      <c r="H13" s="6">
        <v>0.17</v>
      </c>
      <c r="I13" s="1"/>
      <c r="J13" s="1"/>
      <c r="K13" s="1"/>
      <c r="L13" s="1"/>
      <c r="M13" s="1"/>
      <c r="N13" s="1"/>
      <c r="O13" s="1">
        <v>0</v>
      </c>
      <c r="P13" s="1">
        <v>0</v>
      </c>
      <c r="Q13" s="1">
        <v>19.600000000000001</v>
      </c>
      <c r="R13" s="1">
        <v>327.5</v>
      </c>
      <c r="S13" s="1"/>
      <c r="T13" s="1"/>
      <c r="U13" s="1"/>
      <c r="V13" s="1"/>
      <c r="W13" s="1">
        <v>22</v>
      </c>
      <c r="X13" s="1">
        <v>19.8</v>
      </c>
      <c r="Y13" s="1">
        <v>22</v>
      </c>
      <c r="Z13" s="1">
        <v>30.4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37</v>
      </c>
      <c r="B14" s="1" t="s">
        <v>30</v>
      </c>
      <c r="C14" s="1"/>
      <c r="D14" s="1"/>
      <c r="E14" s="1"/>
      <c r="F14" s="1"/>
      <c r="G14" s="6"/>
      <c r="H14" s="6">
        <v>1</v>
      </c>
      <c r="I14" s="1"/>
      <c r="J14" s="1"/>
      <c r="K14" s="1"/>
      <c r="L14" s="1"/>
      <c r="M14" s="1"/>
      <c r="N14" s="1"/>
      <c r="O14" s="1">
        <v>0</v>
      </c>
      <c r="P14" s="1">
        <v>150</v>
      </c>
      <c r="Q14" s="1">
        <v>68.812399999999997</v>
      </c>
      <c r="R14" s="1">
        <v>327.5</v>
      </c>
      <c r="S14" s="1"/>
      <c r="T14" s="1"/>
      <c r="U14" s="1"/>
      <c r="V14" s="1"/>
      <c r="W14" s="1">
        <v>85.433599999999998</v>
      </c>
      <c r="X14" s="1">
        <v>78.587000000000003</v>
      </c>
      <c r="Y14" s="1">
        <v>103.93379999999999</v>
      </c>
      <c r="Z14" s="1">
        <v>70.223800000000011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38</v>
      </c>
      <c r="B15" s="1" t="s">
        <v>30</v>
      </c>
      <c r="C15" s="1"/>
      <c r="D15" s="1"/>
      <c r="E15" s="1"/>
      <c r="F15" s="1"/>
      <c r="G15" s="6"/>
      <c r="H15" s="6">
        <v>1</v>
      </c>
      <c r="I15" s="1"/>
      <c r="J15" s="1"/>
      <c r="K15" s="1"/>
      <c r="L15" s="1"/>
      <c r="M15" s="1"/>
      <c r="N15" s="1"/>
      <c r="O15" s="1">
        <v>500</v>
      </c>
      <c r="P15" s="1">
        <v>1100</v>
      </c>
      <c r="Q15" s="1">
        <v>412.55460000000005</v>
      </c>
      <c r="R15" s="1">
        <v>1965</v>
      </c>
      <c r="S15" s="1"/>
      <c r="T15" s="1"/>
      <c r="U15" s="1"/>
      <c r="V15" s="1"/>
      <c r="W15" s="1">
        <v>402.76819999999998</v>
      </c>
      <c r="X15" s="1">
        <v>385.99779999999998</v>
      </c>
      <c r="Y15" s="1">
        <v>456.52380000000005</v>
      </c>
      <c r="Z15" s="1">
        <v>356.78899999999999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39</v>
      </c>
      <c r="B16" s="1" t="s">
        <v>30</v>
      </c>
      <c r="C16" s="1"/>
      <c r="D16" s="1"/>
      <c r="E16" s="1"/>
      <c r="F16" s="1"/>
      <c r="G16" s="6"/>
      <c r="H16" s="6">
        <v>1</v>
      </c>
      <c r="I16" s="1"/>
      <c r="J16" s="1"/>
      <c r="K16" s="1"/>
      <c r="L16" s="1"/>
      <c r="M16" s="1"/>
      <c r="N16" s="1"/>
      <c r="O16" s="1">
        <v>0</v>
      </c>
      <c r="P16" s="1">
        <v>120</v>
      </c>
      <c r="Q16" s="1">
        <v>17.105399999999999</v>
      </c>
      <c r="R16" s="1">
        <v>31.765404000000007</v>
      </c>
      <c r="S16" s="1"/>
      <c r="T16" s="1"/>
      <c r="U16" s="1"/>
      <c r="V16" s="1"/>
      <c r="W16" s="1">
        <v>7.8915999999999995</v>
      </c>
      <c r="X16" s="1">
        <v>13.292599999999998</v>
      </c>
      <c r="Y16" s="1">
        <v>6.5541999999999998</v>
      </c>
      <c r="Z16" s="1">
        <v>16.474399999999999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40</v>
      </c>
      <c r="B17" s="1" t="s">
        <v>30</v>
      </c>
      <c r="C17" s="1"/>
      <c r="D17" s="1"/>
      <c r="E17" s="1"/>
      <c r="F17" s="1"/>
      <c r="G17" s="6"/>
      <c r="H17" s="6">
        <v>1</v>
      </c>
      <c r="I17" s="1"/>
      <c r="J17" s="1"/>
      <c r="K17" s="1"/>
      <c r="L17" s="1"/>
      <c r="M17" s="1"/>
      <c r="N17" s="1"/>
      <c r="O17" s="1">
        <v>0</v>
      </c>
      <c r="P17" s="1">
        <v>1100</v>
      </c>
      <c r="Q17" s="1">
        <v>226.36939999999998</v>
      </c>
      <c r="R17" s="1">
        <v>1175.3862339999998</v>
      </c>
      <c r="S17" s="1"/>
      <c r="T17" s="1"/>
      <c r="U17" s="1"/>
      <c r="V17" s="1"/>
      <c r="W17" s="1">
        <v>199.435</v>
      </c>
      <c r="X17" s="1">
        <v>217.35759999999999</v>
      </c>
      <c r="Y17" s="1">
        <v>205.24799999999999</v>
      </c>
      <c r="Z17" s="1">
        <v>223.17559999999997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41</v>
      </c>
      <c r="B18" s="1" t="s">
        <v>30</v>
      </c>
      <c r="C18" s="1"/>
      <c r="D18" s="1"/>
      <c r="E18" s="1"/>
      <c r="F18" s="1"/>
      <c r="G18" s="6"/>
      <c r="H18" s="6">
        <v>1</v>
      </c>
      <c r="I18" s="1"/>
      <c r="J18" s="1"/>
      <c r="K18" s="1"/>
      <c r="L18" s="1"/>
      <c r="M18" s="1"/>
      <c r="N18" s="1"/>
      <c r="O18" s="1">
        <v>0</v>
      </c>
      <c r="P18" s="1">
        <v>40</v>
      </c>
      <c r="Q18" s="1">
        <v>8.4854000000000003</v>
      </c>
      <c r="R18" s="1">
        <v>31.711693999999991</v>
      </c>
      <c r="S18" s="1"/>
      <c r="T18" s="1"/>
      <c r="U18" s="1"/>
      <c r="V18" s="1"/>
      <c r="W18" s="1">
        <v>9.9833999999999996</v>
      </c>
      <c r="X18" s="1">
        <v>6.6639999999999997</v>
      </c>
      <c r="Y18" s="1">
        <v>7.9236000000000004</v>
      </c>
      <c r="Z18" s="1">
        <v>7.2665999999999995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42</v>
      </c>
      <c r="B19" s="1" t="s">
        <v>30</v>
      </c>
      <c r="C19" s="1"/>
      <c r="D19" s="1"/>
      <c r="E19" s="1"/>
      <c r="F19" s="1"/>
      <c r="G19" s="6"/>
      <c r="H19" s="6">
        <v>1</v>
      </c>
      <c r="I19" s="1"/>
      <c r="J19" s="1"/>
      <c r="K19" s="1"/>
      <c r="L19" s="1"/>
      <c r="M19" s="1"/>
      <c r="N19" s="1"/>
      <c r="O19" s="1">
        <v>0</v>
      </c>
      <c r="P19" s="1">
        <v>25</v>
      </c>
      <c r="Q19" s="1">
        <v>1.0666</v>
      </c>
      <c r="R19" s="1">
        <v>0</v>
      </c>
      <c r="S19" s="1"/>
      <c r="T19" s="1"/>
      <c r="U19" s="1"/>
      <c r="V19" s="1"/>
      <c r="W19" s="1">
        <v>1.5609999999999999</v>
      </c>
      <c r="X19" s="1">
        <v>2.3315999999999999</v>
      </c>
      <c r="Y19" s="1">
        <v>1.6940000000000002</v>
      </c>
      <c r="Z19" s="1">
        <v>2.5463999999999998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43</v>
      </c>
      <c r="B20" s="1" t="s">
        <v>30</v>
      </c>
      <c r="C20" s="1"/>
      <c r="D20" s="1"/>
      <c r="E20" s="1"/>
      <c r="F20" s="1"/>
      <c r="G20" s="6"/>
      <c r="H20" s="6">
        <v>1</v>
      </c>
      <c r="I20" s="1"/>
      <c r="J20" s="1"/>
      <c r="K20" s="1"/>
      <c r="L20" s="1"/>
      <c r="M20" s="1"/>
      <c r="N20" s="1"/>
      <c r="O20" s="1">
        <v>0</v>
      </c>
      <c r="P20" s="1">
        <v>150</v>
      </c>
      <c r="Q20" s="1">
        <v>72.781599999999997</v>
      </c>
      <c r="R20" s="1">
        <v>524</v>
      </c>
      <c r="S20" s="1"/>
      <c r="T20" s="1"/>
      <c r="U20" s="1"/>
      <c r="V20" s="1"/>
      <c r="W20" s="1">
        <v>77.642200000000003</v>
      </c>
      <c r="X20" s="1">
        <v>62.739400000000003</v>
      </c>
      <c r="Y20" s="1">
        <v>79.265599999999992</v>
      </c>
      <c r="Z20" s="1">
        <v>53.703599999999994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44</v>
      </c>
      <c r="B21" s="1" t="s">
        <v>30</v>
      </c>
      <c r="C21" s="1"/>
      <c r="D21" s="1"/>
      <c r="E21" s="1"/>
      <c r="F21" s="1"/>
      <c r="G21" s="6"/>
      <c r="H21" s="6">
        <v>1</v>
      </c>
      <c r="I21" s="1"/>
      <c r="J21" s="1"/>
      <c r="K21" s="1"/>
      <c r="L21" s="1"/>
      <c r="M21" s="1"/>
      <c r="N21" s="1"/>
      <c r="O21" s="1">
        <v>0</v>
      </c>
      <c r="P21" s="1">
        <v>200</v>
      </c>
      <c r="Q21" s="1">
        <v>23.799199999999999</v>
      </c>
      <c r="R21" s="1">
        <v>0</v>
      </c>
      <c r="S21" s="1"/>
      <c r="T21" s="1"/>
      <c r="U21" s="1"/>
      <c r="V21" s="1"/>
      <c r="W21" s="1">
        <v>17.553000000000001</v>
      </c>
      <c r="X21" s="1">
        <v>20.255400000000002</v>
      </c>
      <c r="Y21" s="1">
        <v>21.950600000000001</v>
      </c>
      <c r="Z21" s="1">
        <v>21.411799999999999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45</v>
      </c>
      <c r="B22" s="1" t="s">
        <v>30</v>
      </c>
      <c r="C22" s="1"/>
      <c r="D22" s="1"/>
      <c r="E22" s="1"/>
      <c r="F22" s="1"/>
      <c r="G22" s="6"/>
      <c r="H22" s="6">
        <v>1</v>
      </c>
      <c r="I22" s="1"/>
      <c r="J22" s="1"/>
      <c r="K22" s="1"/>
      <c r="L22" s="1"/>
      <c r="M22" s="1"/>
      <c r="N22" s="1"/>
      <c r="O22" s="1">
        <v>0</v>
      </c>
      <c r="P22" s="1">
        <v>20</v>
      </c>
      <c r="Q22" s="1">
        <v>34.682400000000001</v>
      </c>
      <c r="R22" s="1">
        <v>463.81519399999996</v>
      </c>
      <c r="S22" s="1"/>
      <c r="T22" s="1"/>
      <c r="U22" s="1"/>
      <c r="V22" s="1"/>
      <c r="W22" s="1">
        <v>32.679199999999994</v>
      </c>
      <c r="X22" s="1">
        <v>30.837599999999998</v>
      </c>
      <c r="Y22" s="1">
        <v>28.3216</v>
      </c>
      <c r="Z22" s="1">
        <v>37.857199999999999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46</v>
      </c>
      <c r="B23" s="1" t="s">
        <v>30</v>
      </c>
      <c r="C23" s="1"/>
      <c r="D23" s="1"/>
      <c r="E23" s="1"/>
      <c r="F23" s="1"/>
      <c r="G23" s="6"/>
      <c r="H23" s="6">
        <v>1</v>
      </c>
      <c r="I23" s="1"/>
      <c r="J23" s="1"/>
      <c r="K23" s="1"/>
      <c r="L23" s="1"/>
      <c r="M23" s="1"/>
      <c r="N23" s="1"/>
      <c r="O23" s="1">
        <v>0</v>
      </c>
      <c r="P23" s="1">
        <v>40</v>
      </c>
      <c r="Q23" s="1">
        <v>4.7835999999999999</v>
      </c>
      <c r="R23" s="1">
        <v>0</v>
      </c>
      <c r="S23" s="1"/>
      <c r="T23" s="1"/>
      <c r="U23" s="1"/>
      <c r="V23" s="1"/>
      <c r="W23" s="1">
        <v>1.4914000000000001</v>
      </c>
      <c r="X23" s="1">
        <v>2.7326000000000001</v>
      </c>
      <c r="Y23" s="1">
        <v>2.423</v>
      </c>
      <c r="Z23" s="1">
        <v>5.8113999999999999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47</v>
      </c>
      <c r="B24" s="1" t="s">
        <v>30</v>
      </c>
      <c r="C24" s="1"/>
      <c r="D24" s="1"/>
      <c r="E24" s="1"/>
      <c r="F24" s="1"/>
      <c r="G24" s="6"/>
      <c r="H24" s="6">
        <v>1</v>
      </c>
      <c r="I24" s="1"/>
      <c r="J24" s="1"/>
      <c r="K24" s="1"/>
      <c r="L24" s="1"/>
      <c r="M24" s="1"/>
      <c r="N24" s="1"/>
      <c r="O24" s="1">
        <v>0</v>
      </c>
      <c r="P24" s="1">
        <v>150</v>
      </c>
      <c r="Q24" s="1">
        <v>36.218200000000003</v>
      </c>
      <c r="R24" s="1">
        <v>116.59157200000006</v>
      </c>
      <c r="S24" s="1"/>
      <c r="T24" s="1"/>
      <c r="U24" s="1"/>
      <c r="V24" s="1"/>
      <c r="W24" s="1">
        <v>44.4452</v>
      </c>
      <c r="X24" s="1">
        <v>36.724200000000003</v>
      </c>
      <c r="Y24" s="1">
        <v>44.348399999999998</v>
      </c>
      <c r="Z24" s="1">
        <v>37.685600000000001</v>
      </c>
      <c r="AA24" s="1" t="s">
        <v>142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48</v>
      </c>
      <c r="B25" s="1" t="s">
        <v>30</v>
      </c>
      <c r="C25" s="1"/>
      <c r="D25" s="1"/>
      <c r="E25" s="1"/>
      <c r="F25" s="1"/>
      <c r="G25" s="6"/>
      <c r="H25" s="6">
        <v>1</v>
      </c>
      <c r="I25" s="1"/>
      <c r="J25" s="1"/>
      <c r="K25" s="1"/>
      <c r="L25" s="1"/>
      <c r="M25" s="1"/>
      <c r="N25" s="1"/>
      <c r="O25" s="1">
        <v>0</v>
      </c>
      <c r="P25" s="1">
        <v>130</v>
      </c>
      <c r="Q25" s="1">
        <v>52.084400000000002</v>
      </c>
      <c r="R25" s="1">
        <v>457.67784400000005</v>
      </c>
      <c r="S25" s="1"/>
      <c r="T25" s="1"/>
      <c r="U25" s="1"/>
      <c r="V25" s="1"/>
      <c r="W25" s="1">
        <v>43.297199999999997</v>
      </c>
      <c r="X25" s="1">
        <v>57.178800000000003</v>
      </c>
      <c r="Y25" s="1">
        <v>35.2318</v>
      </c>
      <c r="Z25" s="1">
        <v>37.769600000000004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49</v>
      </c>
      <c r="B26" s="1" t="s">
        <v>30</v>
      </c>
      <c r="C26" s="1"/>
      <c r="D26" s="1"/>
      <c r="E26" s="1"/>
      <c r="F26" s="1"/>
      <c r="G26" s="6"/>
      <c r="H26" s="6">
        <v>1</v>
      </c>
      <c r="I26" s="1"/>
      <c r="J26" s="1"/>
      <c r="K26" s="1"/>
      <c r="L26" s="1"/>
      <c r="M26" s="1"/>
      <c r="N26" s="1"/>
      <c r="O26" s="1">
        <v>0</v>
      </c>
      <c r="P26" s="1">
        <v>0</v>
      </c>
      <c r="Q26" s="1">
        <v>17.303599999999999</v>
      </c>
      <c r="R26" s="1">
        <v>0</v>
      </c>
      <c r="S26" s="1"/>
      <c r="T26" s="1"/>
      <c r="U26" s="1"/>
      <c r="V26" s="1"/>
      <c r="W26" s="1">
        <v>-2.7687999999999997</v>
      </c>
      <c r="X26" s="1">
        <v>-1.2551999999999999</v>
      </c>
      <c r="Y26" s="1">
        <v>73.03479999999999</v>
      </c>
      <c r="Z26" s="1">
        <v>27.750400000000003</v>
      </c>
      <c r="AA26" s="1" t="s">
        <v>143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50</v>
      </c>
      <c r="B27" s="1" t="s">
        <v>30</v>
      </c>
      <c r="C27" s="1"/>
      <c r="D27" s="1"/>
      <c r="E27" s="1"/>
      <c r="F27" s="1"/>
      <c r="G27" s="6"/>
      <c r="H27" s="6">
        <v>1</v>
      </c>
      <c r="I27" s="1"/>
      <c r="J27" s="1"/>
      <c r="K27" s="1"/>
      <c r="L27" s="1"/>
      <c r="M27" s="1"/>
      <c r="N27" s="1"/>
      <c r="O27" s="1">
        <v>0</v>
      </c>
      <c r="P27" s="1">
        <v>1700</v>
      </c>
      <c r="Q27" s="1">
        <v>217.6456</v>
      </c>
      <c r="R27" s="1">
        <v>655</v>
      </c>
      <c r="S27" s="1"/>
      <c r="T27" s="1"/>
      <c r="U27" s="1"/>
      <c r="V27" s="1"/>
      <c r="W27" s="1">
        <v>0</v>
      </c>
      <c r="X27" s="1">
        <v>181.95480000000001</v>
      </c>
      <c r="Y27" s="1">
        <v>183.54860000000002</v>
      </c>
      <c r="Z27" s="1">
        <v>188.22039999999998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51</v>
      </c>
      <c r="B28" s="1" t="s">
        <v>30</v>
      </c>
      <c r="C28" s="1"/>
      <c r="D28" s="1"/>
      <c r="E28" s="1"/>
      <c r="F28" s="1"/>
      <c r="G28" s="6"/>
      <c r="H28" s="6">
        <v>1</v>
      </c>
      <c r="I28" s="1"/>
      <c r="J28" s="1"/>
      <c r="K28" s="1"/>
      <c r="L28" s="1"/>
      <c r="M28" s="1"/>
      <c r="N28" s="1"/>
      <c r="O28" s="1">
        <v>0</v>
      </c>
      <c r="P28" s="1">
        <v>20</v>
      </c>
      <c r="Q28" s="1">
        <v>1.5007999999999999</v>
      </c>
      <c r="R28" s="1">
        <v>0</v>
      </c>
      <c r="S28" s="1"/>
      <c r="T28" s="1"/>
      <c r="U28" s="1"/>
      <c r="V28" s="1"/>
      <c r="W28" s="1">
        <v>1.5976000000000001</v>
      </c>
      <c r="X28" s="1">
        <v>1.4674</v>
      </c>
      <c r="Y28" s="1">
        <v>2.2871999999999999</v>
      </c>
      <c r="Z28" s="1">
        <v>7.1768000000000001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52</v>
      </c>
      <c r="B29" s="1" t="s">
        <v>30</v>
      </c>
      <c r="C29" s="1"/>
      <c r="D29" s="1"/>
      <c r="E29" s="1"/>
      <c r="F29" s="1"/>
      <c r="G29" s="6"/>
      <c r="H29" s="6">
        <v>1</v>
      </c>
      <c r="I29" s="1"/>
      <c r="J29" s="1"/>
      <c r="K29" s="1"/>
      <c r="L29" s="1"/>
      <c r="M29" s="1"/>
      <c r="N29" s="1"/>
      <c r="O29" s="1">
        <v>0</v>
      </c>
      <c r="P29" s="1">
        <v>70</v>
      </c>
      <c r="Q29" s="1">
        <v>8.0359999999999996</v>
      </c>
      <c r="R29" s="1">
        <v>0</v>
      </c>
      <c r="S29" s="1"/>
      <c r="T29" s="1"/>
      <c r="U29" s="1"/>
      <c r="V29" s="1"/>
      <c r="W29" s="1">
        <v>14.986000000000001</v>
      </c>
      <c r="X29" s="1">
        <v>13.0144</v>
      </c>
      <c r="Y29" s="1">
        <v>16.220400000000001</v>
      </c>
      <c r="Z29" s="1">
        <v>12.088800000000001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53</v>
      </c>
      <c r="B30" s="1" t="s">
        <v>30</v>
      </c>
      <c r="C30" s="1"/>
      <c r="D30" s="1"/>
      <c r="E30" s="1"/>
      <c r="F30" s="1"/>
      <c r="G30" s="6"/>
      <c r="H30" s="6">
        <v>1</v>
      </c>
      <c r="I30" s="1"/>
      <c r="J30" s="1"/>
      <c r="K30" s="1"/>
      <c r="L30" s="1"/>
      <c r="M30" s="1"/>
      <c r="N30" s="1"/>
      <c r="O30" s="1">
        <v>0</v>
      </c>
      <c r="P30" s="1">
        <v>120</v>
      </c>
      <c r="Q30" s="1">
        <v>31.243400000000001</v>
      </c>
      <c r="R30" s="1">
        <v>232.93817400000003</v>
      </c>
      <c r="S30" s="1"/>
      <c r="T30" s="1"/>
      <c r="U30" s="1"/>
      <c r="V30" s="1"/>
      <c r="W30" s="1">
        <v>24.976199999999999</v>
      </c>
      <c r="X30" s="1">
        <v>22.631999999999998</v>
      </c>
      <c r="Y30" s="1">
        <v>22.380600000000001</v>
      </c>
      <c r="Z30" s="1">
        <v>17.5428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54</v>
      </c>
      <c r="B31" s="1" t="s">
        <v>30</v>
      </c>
      <c r="C31" s="1"/>
      <c r="D31" s="1"/>
      <c r="E31" s="1"/>
      <c r="F31" s="1"/>
      <c r="G31" s="6"/>
      <c r="H31" s="6">
        <v>1</v>
      </c>
      <c r="I31" s="1"/>
      <c r="J31" s="1"/>
      <c r="K31" s="1"/>
      <c r="L31" s="1"/>
      <c r="M31" s="1"/>
      <c r="N31" s="1"/>
      <c r="O31" s="1">
        <v>0</v>
      </c>
      <c r="P31" s="1">
        <v>110</v>
      </c>
      <c r="Q31" s="1">
        <v>18.508000000000003</v>
      </c>
      <c r="R31" s="1">
        <v>121.30731000000004</v>
      </c>
      <c r="S31" s="1"/>
      <c r="T31" s="1"/>
      <c r="U31" s="1"/>
      <c r="V31" s="1"/>
      <c r="W31" s="1">
        <v>10.6882</v>
      </c>
      <c r="X31" s="1">
        <v>11.6236</v>
      </c>
      <c r="Y31" s="1">
        <v>10.311400000000001</v>
      </c>
      <c r="Z31" s="1">
        <v>14.8666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55</v>
      </c>
      <c r="B32" s="1" t="s">
        <v>27</v>
      </c>
      <c r="C32" s="1"/>
      <c r="D32" s="1"/>
      <c r="E32" s="1"/>
      <c r="F32" s="1"/>
      <c r="G32" s="6"/>
      <c r="H32" s="6">
        <v>0.4</v>
      </c>
      <c r="I32" s="1"/>
      <c r="J32" s="1"/>
      <c r="K32" s="1"/>
      <c r="L32" s="1"/>
      <c r="M32" s="1"/>
      <c r="N32" s="1"/>
      <c r="O32" s="1">
        <v>0</v>
      </c>
      <c r="P32" s="1">
        <v>2100</v>
      </c>
      <c r="Q32" s="1">
        <v>336.6</v>
      </c>
      <c r="R32" s="1">
        <v>1105.1160000000004</v>
      </c>
      <c r="S32" s="1"/>
      <c r="T32" s="1"/>
      <c r="U32" s="1"/>
      <c r="V32" s="1"/>
      <c r="W32" s="1">
        <v>287.2</v>
      </c>
      <c r="X32" s="1">
        <v>319.39999999999998</v>
      </c>
      <c r="Y32" s="1">
        <v>310</v>
      </c>
      <c r="Z32" s="1">
        <v>329</v>
      </c>
      <c r="AA32" s="1" t="s">
        <v>144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56</v>
      </c>
      <c r="B33" s="1" t="s">
        <v>27</v>
      </c>
      <c r="C33" s="1"/>
      <c r="D33" s="1"/>
      <c r="E33" s="1"/>
      <c r="F33" s="1"/>
      <c r="G33" s="6"/>
      <c r="H33" s="6">
        <v>0.45</v>
      </c>
      <c r="I33" s="1"/>
      <c r="J33" s="1"/>
      <c r="K33" s="1"/>
      <c r="L33" s="1"/>
      <c r="M33" s="1"/>
      <c r="N33" s="1"/>
      <c r="O33" s="1">
        <v>0</v>
      </c>
      <c r="P33" s="1">
        <v>150</v>
      </c>
      <c r="Q33" s="1">
        <v>45.4</v>
      </c>
      <c r="R33" s="1">
        <v>327.5</v>
      </c>
      <c r="S33" s="1"/>
      <c r="T33" s="1"/>
      <c r="U33" s="1"/>
      <c r="V33" s="1"/>
      <c r="W33" s="1">
        <v>26.6</v>
      </c>
      <c r="X33" s="1">
        <v>55.2</v>
      </c>
      <c r="Y33" s="1">
        <v>58.2</v>
      </c>
      <c r="Z33" s="1">
        <v>29.6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57</v>
      </c>
      <c r="B34" s="1" t="s">
        <v>27</v>
      </c>
      <c r="C34" s="1"/>
      <c r="D34" s="1"/>
      <c r="E34" s="1"/>
      <c r="F34" s="1"/>
      <c r="G34" s="6"/>
      <c r="H34" s="6">
        <v>0.4</v>
      </c>
      <c r="I34" s="1"/>
      <c r="J34" s="1"/>
      <c r="K34" s="1"/>
      <c r="L34" s="1"/>
      <c r="M34" s="1"/>
      <c r="N34" s="1"/>
      <c r="O34" s="1">
        <v>0</v>
      </c>
      <c r="P34" s="1">
        <v>550</v>
      </c>
      <c r="Q34" s="1">
        <v>138</v>
      </c>
      <c r="R34" s="1">
        <v>657.62</v>
      </c>
      <c r="S34" s="1"/>
      <c r="T34" s="1"/>
      <c r="U34" s="1"/>
      <c r="V34" s="1"/>
      <c r="W34" s="1">
        <v>93.8</v>
      </c>
      <c r="X34" s="1">
        <v>118.6</v>
      </c>
      <c r="Y34" s="1">
        <v>114.8</v>
      </c>
      <c r="Z34" s="1">
        <v>89.8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58</v>
      </c>
      <c r="B35" s="1" t="s">
        <v>27</v>
      </c>
      <c r="C35" s="1"/>
      <c r="D35" s="1"/>
      <c r="E35" s="1"/>
      <c r="F35" s="1"/>
      <c r="G35" s="6"/>
      <c r="H35" s="6">
        <v>0.4</v>
      </c>
      <c r="I35" s="1"/>
      <c r="J35" s="1"/>
      <c r="K35" s="1"/>
      <c r="L35" s="1"/>
      <c r="M35" s="1"/>
      <c r="N35" s="1"/>
      <c r="O35" s="1">
        <v>0</v>
      </c>
      <c r="P35" s="1">
        <v>220</v>
      </c>
      <c r="Q35" s="1">
        <v>23</v>
      </c>
      <c r="R35" s="1">
        <v>51.09</v>
      </c>
      <c r="S35" s="1"/>
      <c r="T35" s="1"/>
      <c r="U35" s="1"/>
      <c r="V35" s="1"/>
      <c r="W35" s="1">
        <v>3</v>
      </c>
      <c r="X35" s="1">
        <v>14.8</v>
      </c>
      <c r="Y35" s="1">
        <v>8.1999999999999993</v>
      </c>
      <c r="Z35" s="1">
        <v>22.4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59</v>
      </c>
      <c r="B36" s="1" t="s">
        <v>30</v>
      </c>
      <c r="C36" s="1"/>
      <c r="D36" s="1"/>
      <c r="E36" s="1"/>
      <c r="F36" s="1"/>
      <c r="G36" s="6"/>
      <c r="H36" s="6">
        <v>1</v>
      </c>
      <c r="I36" s="1"/>
      <c r="J36" s="1"/>
      <c r="K36" s="1"/>
      <c r="L36" s="1"/>
      <c r="M36" s="1"/>
      <c r="N36" s="1"/>
      <c r="O36" s="1">
        <v>0</v>
      </c>
      <c r="P36" s="1">
        <v>10</v>
      </c>
      <c r="Q36" s="1">
        <v>1.4361999999999999</v>
      </c>
      <c r="R36" s="1">
        <v>0</v>
      </c>
      <c r="S36" s="1"/>
      <c r="T36" s="1"/>
      <c r="U36" s="1"/>
      <c r="V36" s="1"/>
      <c r="W36" s="1">
        <v>1.7312000000000001</v>
      </c>
      <c r="X36" s="1">
        <v>2.1154000000000002</v>
      </c>
      <c r="Y36" s="1">
        <v>2.3014000000000001</v>
      </c>
      <c r="Z36" s="1">
        <v>1.3077999999999999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60</v>
      </c>
      <c r="B37" s="1" t="s">
        <v>27</v>
      </c>
      <c r="C37" s="1"/>
      <c r="D37" s="1"/>
      <c r="E37" s="1"/>
      <c r="F37" s="1"/>
      <c r="G37" s="6"/>
      <c r="H37" s="6">
        <v>0.1</v>
      </c>
      <c r="I37" s="1"/>
      <c r="J37" s="1"/>
      <c r="K37" s="1"/>
      <c r="L37" s="1"/>
      <c r="M37" s="1"/>
      <c r="N37" s="1"/>
      <c r="O37" s="1">
        <v>0</v>
      </c>
      <c r="P37" s="1">
        <v>0</v>
      </c>
      <c r="Q37" s="1">
        <v>9.1999999999999993</v>
      </c>
      <c r="R37" s="1">
        <v>196.5</v>
      </c>
      <c r="S37" s="1"/>
      <c r="T37" s="1"/>
      <c r="U37" s="1"/>
      <c r="V37" s="1"/>
      <c r="W37" s="1">
        <v>10.8</v>
      </c>
      <c r="X37" s="1">
        <v>14</v>
      </c>
      <c r="Y37" s="1">
        <v>11</v>
      </c>
      <c r="Z37" s="1">
        <v>15.2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61</v>
      </c>
      <c r="B38" s="1" t="s">
        <v>27</v>
      </c>
      <c r="C38" s="1"/>
      <c r="D38" s="1"/>
      <c r="E38" s="1"/>
      <c r="F38" s="1"/>
      <c r="G38" s="6"/>
      <c r="H38" s="6">
        <v>0.35</v>
      </c>
      <c r="I38" s="1"/>
      <c r="J38" s="1"/>
      <c r="K38" s="1"/>
      <c r="L38" s="1"/>
      <c r="M38" s="1"/>
      <c r="N38" s="1"/>
      <c r="O38" s="1">
        <v>0</v>
      </c>
      <c r="P38" s="1">
        <v>120</v>
      </c>
      <c r="Q38" s="1">
        <v>13.2</v>
      </c>
      <c r="R38" s="1">
        <v>34.321999999999989</v>
      </c>
      <c r="S38" s="1"/>
      <c r="T38" s="1"/>
      <c r="U38" s="1"/>
      <c r="V38" s="1"/>
      <c r="W38" s="1">
        <v>13.2</v>
      </c>
      <c r="X38" s="1">
        <v>15.8</v>
      </c>
      <c r="Y38" s="1">
        <v>7.6</v>
      </c>
      <c r="Z38" s="1">
        <v>19.2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62</v>
      </c>
      <c r="B39" s="1" t="s">
        <v>30</v>
      </c>
      <c r="C39" s="1"/>
      <c r="D39" s="1"/>
      <c r="E39" s="1"/>
      <c r="F39" s="1"/>
      <c r="G39" s="6"/>
      <c r="H39" s="6">
        <v>1</v>
      </c>
      <c r="I39" s="1"/>
      <c r="J39" s="1"/>
      <c r="K39" s="1"/>
      <c r="L39" s="1"/>
      <c r="M39" s="1"/>
      <c r="N39" s="1"/>
      <c r="O39" s="1">
        <v>0</v>
      </c>
      <c r="P39" s="1">
        <v>0</v>
      </c>
      <c r="Q39" s="1">
        <v>-0.28559999999999997</v>
      </c>
      <c r="R39" s="1">
        <v>0</v>
      </c>
      <c r="S39" s="1"/>
      <c r="T39" s="1"/>
      <c r="U39" s="1"/>
      <c r="V39" s="1"/>
      <c r="W39" s="1">
        <v>12.2912</v>
      </c>
      <c r="X39" s="1">
        <v>15.029199999999999</v>
      </c>
      <c r="Y39" s="1">
        <v>7.6513999999999998</v>
      </c>
      <c r="Z39" s="1">
        <v>-1.1644000000000001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63</v>
      </c>
      <c r="B40" s="1" t="s">
        <v>27</v>
      </c>
      <c r="C40" s="1"/>
      <c r="D40" s="1"/>
      <c r="E40" s="1"/>
      <c r="F40" s="1"/>
      <c r="G40" s="6"/>
      <c r="H40" s="6">
        <v>0.375</v>
      </c>
      <c r="I40" s="1"/>
      <c r="J40" s="1"/>
      <c r="K40" s="1"/>
      <c r="L40" s="1"/>
      <c r="M40" s="1"/>
      <c r="N40" s="1"/>
      <c r="O40" s="1">
        <v>0</v>
      </c>
      <c r="P40" s="1">
        <v>0</v>
      </c>
      <c r="Q40" s="1">
        <v>7.8</v>
      </c>
      <c r="R40" s="1">
        <v>0</v>
      </c>
      <c r="S40" s="1"/>
      <c r="T40" s="1"/>
      <c r="U40" s="1"/>
      <c r="V40" s="1"/>
      <c r="W40" s="1">
        <v>0</v>
      </c>
      <c r="X40" s="1">
        <v>0</v>
      </c>
      <c r="Y40" s="1">
        <v>0</v>
      </c>
      <c r="Z40" s="1">
        <v>3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64</v>
      </c>
      <c r="B41" s="1" t="s">
        <v>27</v>
      </c>
      <c r="C41" s="1"/>
      <c r="D41" s="1"/>
      <c r="E41" s="1"/>
      <c r="F41" s="1"/>
      <c r="G41" s="6"/>
      <c r="H41" s="6">
        <v>0.4</v>
      </c>
      <c r="I41" s="1"/>
      <c r="J41" s="1"/>
      <c r="K41" s="1"/>
      <c r="L41" s="1"/>
      <c r="M41" s="1"/>
      <c r="N41" s="1"/>
      <c r="O41" s="1">
        <v>0</v>
      </c>
      <c r="P41" s="1">
        <v>0</v>
      </c>
      <c r="Q41" s="1">
        <v>30.8</v>
      </c>
      <c r="R41" s="1">
        <v>379.63800000000003</v>
      </c>
      <c r="S41" s="1"/>
      <c r="T41" s="1"/>
      <c r="U41" s="1"/>
      <c r="V41" s="1"/>
      <c r="W41" s="1">
        <v>14.4</v>
      </c>
      <c r="X41" s="1">
        <v>9</v>
      </c>
      <c r="Y41" s="1">
        <v>21</v>
      </c>
      <c r="Z41" s="1">
        <v>5.2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65</v>
      </c>
      <c r="B42" s="1" t="s">
        <v>27</v>
      </c>
      <c r="C42" s="1"/>
      <c r="D42" s="1"/>
      <c r="E42" s="1"/>
      <c r="F42" s="1"/>
      <c r="G42" s="6"/>
      <c r="H42" s="6">
        <v>0.4</v>
      </c>
      <c r="I42" s="1"/>
      <c r="J42" s="1"/>
      <c r="K42" s="1"/>
      <c r="L42" s="1"/>
      <c r="M42" s="1"/>
      <c r="N42" s="1"/>
      <c r="O42" s="1">
        <v>0</v>
      </c>
      <c r="P42" s="1">
        <v>260</v>
      </c>
      <c r="Q42" s="1">
        <v>26.4</v>
      </c>
      <c r="R42" s="1">
        <v>65.5</v>
      </c>
      <c r="S42" s="1"/>
      <c r="T42" s="1"/>
      <c r="U42" s="1"/>
      <c r="V42" s="1"/>
      <c r="W42" s="1">
        <v>27</v>
      </c>
      <c r="X42" s="1">
        <v>40.4</v>
      </c>
      <c r="Y42" s="1">
        <v>22.2</v>
      </c>
      <c r="Z42" s="1">
        <v>51.8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66</v>
      </c>
      <c r="B43" s="1" t="s">
        <v>30</v>
      </c>
      <c r="C43" s="1"/>
      <c r="D43" s="1"/>
      <c r="E43" s="1"/>
      <c r="F43" s="1"/>
      <c r="G43" s="6"/>
      <c r="H43" s="6">
        <v>1</v>
      </c>
      <c r="I43" s="1"/>
      <c r="J43" s="1"/>
      <c r="K43" s="1"/>
      <c r="L43" s="1"/>
      <c r="M43" s="1"/>
      <c r="N43" s="1"/>
      <c r="O43" s="1">
        <v>0</v>
      </c>
      <c r="P43" s="1">
        <v>160</v>
      </c>
      <c r="Q43" s="1">
        <v>22.357800000000001</v>
      </c>
      <c r="R43" s="1">
        <v>116.463978</v>
      </c>
      <c r="S43" s="1"/>
      <c r="T43" s="1"/>
      <c r="U43" s="1"/>
      <c r="V43" s="1"/>
      <c r="W43" s="1">
        <v>19.128399999999999</v>
      </c>
      <c r="X43" s="1">
        <v>19.760200000000001</v>
      </c>
      <c r="Y43" s="1">
        <v>16.6722</v>
      </c>
      <c r="Z43" s="1">
        <v>28.244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67</v>
      </c>
      <c r="B44" s="1" t="s">
        <v>27</v>
      </c>
      <c r="C44" s="1"/>
      <c r="D44" s="1"/>
      <c r="E44" s="1"/>
      <c r="F44" s="1"/>
      <c r="G44" s="6"/>
      <c r="H44" s="6">
        <v>0.35</v>
      </c>
      <c r="I44" s="1"/>
      <c r="J44" s="1"/>
      <c r="K44" s="1"/>
      <c r="L44" s="1"/>
      <c r="M44" s="1"/>
      <c r="N44" s="1"/>
      <c r="O44" s="1">
        <v>0</v>
      </c>
      <c r="P44" s="1">
        <v>380</v>
      </c>
      <c r="Q44" s="1">
        <v>47.6</v>
      </c>
      <c r="R44" s="1">
        <v>58.42600000000003</v>
      </c>
      <c r="S44" s="1"/>
      <c r="T44" s="1"/>
      <c r="U44" s="1"/>
      <c r="V44" s="1"/>
      <c r="W44" s="1">
        <v>68.2</v>
      </c>
      <c r="X44" s="1">
        <v>61.2</v>
      </c>
      <c r="Y44" s="1">
        <v>51.8</v>
      </c>
      <c r="Z44" s="1">
        <v>64.400000000000006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68</v>
      </c>
      <c r="B45" s="1" t="s">
        <v>27</v>
      </c>
      <c r="C45" s="1"/>
      <c r="D45" s="1"/>
      <c r="E45" s="1"/>
      <c r="F45" s="1"/>
      <c r="G45" s="6"/>
      <c r="H45" s="6">
        <v>0.4</v>
      </c>
      <c r="I45" s="1"/>
      <c r="J45" s="1"/>
      <c r="K45" s="1"/>
      <c r="L45" s="1"/>
      <c r="M45" s="1"/>
      <c r="N45" s="1"/>
      <c r="O45" s="1">
        <v>0</v>
      </c>
      <c r="P45" s="1">
        <v>600</v>
      </c>
      <c r="Q45" s="1">
        <v>69.599999999999994</v>
      </c>
      <c r="R45" s="1">
        <v>0</v>
      </c>
      <c r="S45" s="1"/>
      <c r="T45" s="1"/>
      <c r="U45" s="1"/>
      <c r="V45" s="1"/>
      <c r="W45" s="1">
        <v>58.8</v>
      </c>
      <c r="X45" s="1">
        <v>74.599999999999994</v>
      </c>
      <c r="Y45" s="1">
        <v>55.6</v>
      </c>
      <c r="Z45" s="1">
        <v>78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69</v>
      </c>
      <c r="B46" s="1" t="s">
        <v>30</v>
      </c>
      <c r="C46" s="1"/>
      <c r="D46" s="1"/>
      <c r="E46" s="1"/>
      <c r="F46" s="1"/>
      <c r="G46" s="6"/>
      <c r="H46" s="6">
        <v>1</v>
      </c>
      <c r="I46" s="1"/>
      <c r="J46" s="1"/>
      <c r="K46" s="1"/>
      <c r="L46" s="1"/>
      <c r="M46" s="1"/>
      <c r="N46" s="1"/>
      <c r="O46" s="1">
        <v>0</v>
      </c>
      <c r="P46" s="1">
        <v>70</v>
      </c>
      <c r="Q46" s="1">
        <v>19.845599999999997</v>
      </c>
      <c r="R46" s="1">
        <v>148.44736599999996</v>
      </c>
      <c r="S46" s="1"/>
      <c r="T46" s="1"/>
      <c r="U46" s="1"/>
      <c r="V46" s="1"/>
      <c r="W46" s="1">
        <v>22.029</v>
      </c>
      <c r="X46" s="1">
        <v>15.5932</v>
      </c>
      <c r="Y46" s="1">
        <v>15.644</v>
      </c>
      <c r="Z46" s="1">
        <v>16.990199999999998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70</v>
      </c>
      <c r="B47" s="1" t="s">
        <v>30</v>
      </c>
      <c r="C47" s="1"/>
      <c r="D47" s="1"/>
      <c r="E47" s="1"/>
      <c r="F47" s="1"/>
      <c r="G47" s="6"/>
      <c r="H47" s="6">
        <v>1</v>
      </c>
      <c r="I47" s="1"/>
      <c r="J47" s="1"/>
      <c r="K47" s="1"/>
      <c r="L47" s="1"/>
      <c r="M47" s="1"/>
      <c r="N47" s="1"/>
      <c r="O47" s="1">
        <v>0</v>
      </c>
      <c r="P47" s="1">
        <v>0</v>
      </c>
      <c r="Q47" s="1">
        <v>27.968</v>
      </c>
      <c r="R47" s="1">
        <v>316.60735000000005</v>
      </c>
      <c r="S47" s="1"/>
      <c r="T47" s="1"/>
      <c r="U47" s="1"/>
      <c r="V47" s="1"/>
      <c r="W47" s="1">
        <v>28.570999999999998</v>
      </c>
      <c r="X47" s="1">
        <v>29.1296</v>
      </c>
      <c r="Y47" s="1">
        <v>26.573</v>
      </c>
      <c r="Z47" s="1">
        <v>30.253800000000002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71</v>
      </c>
      <c r="B48" s="1" t="s">
        <v>30</v>
      </c>
      <c r="C48" s="1"/>
      <c r="D48" s="1"/>
      <c r="E48" s="1"/>
      <c r="F48" s="1"/>
      <c r="G48" s="6"/>
      <c r="H48" s="6">
        <v>1</v>
      </c>
      <c r="I48" s="1"/>
      <c r="J48" s="1"/>
      <c r="K48" s="1"/>
      <c r="L48" s="1"/>
      <c r="M48" s="1"/>
      <c r="N48" s="1"/>
      <c r="O48" s="1">
        <v>0</v>
      </c>
      <c r="P48" s="1">
        <v>150</v>
      </c>
      <c r="Q48" s="1">
        <v>27.667200000000001</v>
      </c>
      <c r="R48" s="1">
        <v>0</v>
      </c>
      <c r="S48" s="1"/>
      <c r="T48" s="1"/>
      <c r="U48" s="1"/>
      <c r="V48" s="1"/>
      <c r="W48" s="1">
        <v>13.4558</v>
      </c>
      <c r="X48" s="1">
        <v>20.5946</v>
      </c>
      <c r="Y48" s="1">
        <v>29.741199999999999</v>
      </c>
      <c r="Z48" s="1">
        <v>18.636199999999999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72</v>
      </c>
      <c r="B49" s="1" t="s">
        <v>27</v>
      </c>
      <c r="C49" s="1"/>
      <c r="D49" s="1"/>
      <c r="E49" s="1"/>
      <c r="F49" s="1"/>
      <c r="G49" s="6"/>
      <c r="H49" s="6">
        <v>0.45</v>
      </c>
      <c r="I49" s="1"/>
      <c r="J49" s="1"/>
      <c r="K49" s="1"/>
      <c r="L49" s="1"/>
      <c r="M49" s="1"/>
      <c r="N49" s="1"/>
      <c r="O49" s="1">
        <v>0</v>
      </c>
      <c r="P49" s="1">
        <v>250</v>
      </c>
      <c r="Q49" s="1">
        <v>28.2</v>
      </c>
      <c r="R49" s="1">
        <v>0</v>
      </c>
      <c r="S49" s="1"/>
      <c r="T49" s="1"/>
      <c r="U49" s="1"/>
      <c r="V49" s="1"/>
      <c r="W49" s="1">
        <v>24.6</v>
      </c>
      <c r="X49" s="1">
        <v>30.8</v>
      </c>
      <c r="Y49" s="1">
        <v>26.2</v>
      </c>
      <c r="Z49" s="1">
        <v>35.4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73</v>
      </c>
      <c r="B50" s="1" t="s">
        <v>27</v>
      </c>
      <c r="C50" s="1"/>
      <c r="D50" s="1"/>
      <c r="E50" s="1"/>
      <c r="F50" s="1"/>
      <c r="G50" s="6"/>
      <c r="H50" s="6">
        <v>0.45</v>
      </c>
      <c r="I50" s="1"/>
      <c r="J50" s="1"/>
      <c r="K50" s="1"/>
      <c r="L50" s="1"/>
      <c r="M50" s="1"/>
      <c r="N50" s="1"/>
      <c r="O50" s="1">
        <v>0</v>
      </c>
      <c r="P50" s="1">
        <v>220</v>
      </c>
      <c r="Q50" s="1">
        <v>54.4</v>
      </c>
      <c r="R50" s="1">
        <v>275.62399999999997</v>
      </c>
      <c r="S50" s="1"/>
      <c r="T50" s="1"/>
      <c r="U50" s="1"/>
      <c r="V50" s="1"/>
      <c r="W50" s="1">
        <v>45.8</v>
      </c>
      <c r="X50" s="1">
        <v>50.6</v>
      </c>
      <c r="Y50" s="1">
        <v>52.2</v>
      </c>
      <c r="Z50" s="1">
        <v>53.4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74</v>
      </c>
      <c r="B51" s="1" t="s">
        <v>27</v>
      </c>
      <c r="C51" s="1"/>
      <c r="D51" s="1"/>
      <c r="E51" s="1"/>
      <c r="F51" s="1"/>
      <c r="G51" s="6"/>
      <c r="H51" s="6">
        <v>0.4</v>
      </c>
      <c r="I51" s="1"/>
      <c r="J51" s="1"/>
      <c r="K51" s="1"/>
      <c r="L51" s="1"/>
      <c r="M51" s="1"/>
      <c r="N51" s="1"/>
      <c r="O51" s="1">
        <v>0</v>
      </c>
      <c r="P51" s="1">
        <v>0</v>
      </c>
      <c r="Q51" s="1">
        <v>11</v>
      </c>
      <c r="R51" s="1">
        <v>74.67</v>
      </c>
      <c r="S51" s="1"/>
      <c r="T51" s="1"/>
      <c r="U51" s="1"/>
      <c r="V51" s="1"/>
      <c r="W51" s="1">
        <v>10.6</v>
      </c>
      <c r="X51" s="1">
        <v>12.6</v>
      </c>
      <c r="Y51" s="1">
        <v>15.8</v>
      </c>
      <c r="Z51" s="1">
        <v>14.2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75</v>
      </c>
      <c r="B52" s="1" t="s">
        <v>30</v>
      </c>
      <c r="C52" s="1"/>
      <c r="D52" s="1"/>
      <c r="E52" s="1"/>
      <c r="F52" s="1"/>
      <c r="G52" s="6"/>
      <c r="H52" s="6">
        <v>1</v>
      </c>
      <c r="I52" s="1"/>
      <c r="J52" s="1"/>
      <c r="K52" s="1"/>
      <c r="L52" s="1"/>
      <c r="M52" s="1"/>
      <c r="N52" s="1"/>
      <c r="O52" s="1">
        <v>0</v>
      </c>
      <c r="P52" s="1">
        <v>0</v>
      </c>
      <c r="Q52" s="1">
        <v>10.475199999999999</v>
      </c>
      <c r="R52" s="1">
        <v>113.57464200000001</v>
      </c>
      <c r="S52" s="1"/>
      <c r="T52" s="1"/>
      <c r="U52" s="1"/>
      <c r="V52" s="1"/>
      <c r="W52" s="1">
        <v>16.552399999999999</v>
      </c>
      <c r="X52" s="1">
        <v>14.782</v>
      </c>
      <c r="Y52" s="1">
        <v>13.0688</v>
      </c>
      <c r="Z52" s="1">
        <v>16.265599999999999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76</v>
      </c>
      <c r="B53" s="1" t="s">
        <v>27</v>
      </c>
      <c r="C53" s="1"/>
      <c r="D53" s="1"/>
      <c r="E53" s="1"/>
      <c r="F53" s="1"/>
      <c r="G53" s="6"/>
      <c r="H53" s="6">
        <v>0.1</v>
      </c>
      <c r="I53" s="1"/>
      <c r="J53" s="1"/>
      <c r="K53" s="1"/>
      <c r="L53" s="1"/>
      <c r="M53" s="1"/>
      <c r="N53" s="1"/>
      <c r="O53" s="1">
        <v>0</v>
      </c>
      <c r="P53" s="1">
        <v>90</v>
      </c>
      <c r="Q53" s="1">
        <v>10</v>
      </c>
      <c r="R53" s="1">
        <v>0</v>
      </c>
      <c r="S53" s="1"/>
      <c r="T53" s="1"/>
      <c r="U53" s="1"/>
      <c r="V53" s="1"/>
      <c r="W53" s="1">
        <v>10.4</v>
      </c>
      <c r="X53" s="1">
        <v>12.6</v>
      </c>
      <c r="Y53" s="1">
        <v>11</v>
      </c>
      <c r="Z53" s="1">
        <v>17.2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77</v>
      </c>
      <c r="B54" s="1" t="s">
        <v>30</v>
      </c>
      <c r="C54" s="1"/>
      <c r="D54" s="1"/>
      <c r="E54" s="1"/>
      <c r="F54" s="1"/>
      <c r="G54" s="6"/>
      <c r="H54" s="6">
        <v>1</v>
      </c>
      <c r="I54" s="1"/>
      <c r="J54" s="1"/>
      <c r="K54" s="1"/>
      <c r="L54" s="1"/>
      <c r="M54" s="1"/>
      <c r="N54" s="1"/>
      <c r="O54" s="1">
        <v>0</v>
      </c>
      <c r="P54" s="1">
        <v>0</v>
      </c>
      <c r="Q54" s="1">
        <v>31.4526</v>
      </c>
      <c r="R54" s="1">
        <v>335.12367600000005</v>
      </c>
      <c r="S54" s="1"/>
      <c r="T54" s="1"/>
      <c r="U54" s="1"/>
      <c r="V54" s="1"/>
      <c r="W54" s="1">
        <v>25.026800000000001</v>
      </c>
      <c r="X54" s="1">
        <v>33.039400000000001</v>
      </c>
      <c r="Y54" s="1">
        <v>29.8872</v>
      </c>
      <c r="Z54" s="1">
        <v>29.278199999999998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78</v>
      </c>
      <c r="B55" s="1" t="s">
        <v>30</v>
      </c>
      <c r="C55" s="1"/>
      <c r="D55" s="1"/>
      <c r="E55" s="1"/>
      <c r="F55" s="1"/>
      <c r="G55" s="6"/>
      <c r="H55" s="6">
        <v>1</v>
      </c>
      <c r="I55" s="1"/>
      <c r="J55" s="1"/>
      <c r="K55" s="1"/>
      <c r="L55" s="1"/>
      <c r="M55" s="1"/>
      <c r="N55" s="1"/>
      <c r="O55" s="1">
        <v>0</v>
      </c>
      <c r="P55" s="1">
        <v>30</v>
      </c>
      <c r="Q55" s="1">
        <v>4.3601999999999999</v>
      </c>
      <c r="R55" s="1">
        <v>7.4711919999999941</v>
      </c>
      <c r="S55" s="1"/>
      <c r="T55" s="1"/>
      <c r="U55" s="1"/>
      <c r="V55" s="1"/>
      <c r="W55" s="1">
        <v>8.9471999999999987</v>
      </c>
      <c r="X55" s="1">
        <v>4.6289999999999996</v>
      </c>
      <c r="Y55" s="1">
        <v>3.5051999999999999</v>
      </c>
      <c r="Z55" s="1">
        <v>9.3176000000000005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79</v>
      </c>
      <c r="B56" s="1" t="s">
        <v>27</v>
      </c>
      <c r="C56" s="1"/>
      <c r="D56" s="1"/>
      <c r="E56" s="1"/>
      <c r="F56" s="1"/>
      <c r="G56" s="6"/>
      <c r="H56" s="6">
        <v>0.1</v>
      </c>
      <c r="I56" s="1"/>
      <c r="J56" s="1"/>
      <c r="K56" s="1"/>
      <c r="L56" s="1"/>
      <c r="M56" s="1"/>
      <c r="N56" s="1"/>
      <c r="O56" s="1">
        <v>0</v>
      </c>
      <c r="P56" s="1">
        <v>60</v>
      </c>
      <c r="Q56" s="1">
        <v>12</v>
      </c>
      <c r="R56" s="1">
        <v>196.5</v>
      </c>
      <c r="S56" s="1"/>
      <c r="T56" s="1"/>
      <c r="U56" s="1"/>
      <c r="V56" s="1"/>
      <c r="W56" s="1">
        <v>9.8000000000000007</v>
      </c>
      <c r="X56" s="1">
        <v>14.8</v>
      </c>
      <c r="Y56" s="1">
        <v>8.8000000000000007</v>
      </c>
      <c r="Z56" s="1">
        <v>18.8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80</v>
      </c>
      <c r="B57" s="1" t="s">
        <v>27</v>
      </c>
      <c r="C57" s="1"/>
      <c r="D57" s="1"/>
      <c r="E57" s="1"/>
      <c r="F57" s="1"/>
      <c r="G57" s="6"/>
      <c r="H57" s="6">
        <v>0.4</v>
      </c>
      <c r="I57" s="1"/>
      <c r="J57" s="1"/>
      <c r="K57" s="1"/>
      <c r="L57" s="1"/>
      <c r="M57" s="1"/>
      <c r="N57" s="1"/>
      <c r="O57" s="1">
        <v>0</v>
      </c>
      <c r="P57" s="1">
        <v>10</v>
      </c>
      <c r="Q57" s="1">
        <v>2.2000000000000002</v>
      </c>
      <c r="R57" s="1">
        <v>0</v>
      </c>
      <c r="S57" s="1"/>
      <c r="T57" s="1"/>
      <c r="U57" s="1"/>
      <c r="V57" s="1"/>
      <c r="W57" s="1">
        <v>3.6</v>
      </c>
      <c r="X57" s="1">
        <v>2.8</v>
      </c>
      <c r="Y57" s="1">
        <v>4.5999999999999996</v>
      </c>
      <c r="Z57" s="1">
        <v>3.2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81</v>
      </c>
      <c r="B58" s="1" t="s">
        <v>30</v>
      </c>
      <c r="C58" s="1"/>
      <c r="D58" s="1"/>
      <c r="E58" s="1"/>
      <c r="F58" s="1"/>
      <c r="G58" s="6"/>
      <c r="H58" s="6">
        <v>1</v>
      </c>
      <c r="I58" s="1"/>
      <c r="J58" s="1"/>
      <c r="K58" s="1"/>
      <c r="L58" s="1"/>
      <c r="M58" s="1"/>
      <c r="N58" s="1"/>
      <c r="O58" s="1">
        <v>0</v>
      </c>
      <c r="P58" s="1">
        <v>0</v>
      </c>
      <c r="Q58" s="1">
        <v>10.5372</v>
      </c>
      <c r="R58" s="1">
        <v>89.584612000000007</v>
      </c>
      <c r="S58" s="1"/>
      <c r="T58" s="1"/>
      <c r="U58" s="1"/>
      <c r="V58" s="1"/>
      <c r="W58" s="1">
        <v>12.450199999999999</v>
      </c>
      <c r="X58" s="1">
        <v>4.6276000000000002</v>
      </c>
      <c r="Y58" s="1">
        <v>6.4956000000000005</v>
      </c>
      <c r="Z58" s="1">
        <v>9.6209999999999987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82</v>
      </c>
      <c r="B59" s="1" t="s">
        <v>30</v>
      </c>
      <c r="C59" s="1"/>
      <c r="D59" s="1"/>
      <c r="E59" s="1"/>
      <c r="F59" s="1"/>
      <c r="G59" s="6"/>
      <c r="H59" s="6">
        <v>1</v>
      </c>
      <c r="I59" s="1"/>
      <c r="J59" s="1"/>
      <c r="K59" s="1"/>
      <c r="L59" s="1"/>
      <c r="M59" s="1"/>
      <c r="N59" s="1"/>
      <c r="O59" s="1">
        <v>0</v>
      </c>
      <c r="P59" s="1">
        <v>0</v>
      </c>
      <c r="Q59" s="1">
        <v>1.5386</v>
      </c>
      <c r="R59" s="1">
        <v>9.4537459999999971</v>
      </c>
      <c r="S59" s="1"/>
      <c r="T59" s="1"/>
      <c r="U59" s="1"/>
      <c r="V59" s="1"/>
      <c r="W59" s="1">
        <v>3.5328000000000004</v>
      </c>
      <c r="X59" s="1">
        <v>2.7397999999999998</v>
      </c>
      <c r="Y59" s="1">
        <v>2.2021999999999999</v>
      </c>
      <c r="Z59" s="1">
        <v>1.609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83</v>
      </c>
      <c r="B60" s="1" t="s">
        <v>27</v>
      </c>
      <c r="C60" s="1"/>
      <c r="D60" s="1"/>
      <c r="E60" s="1"/>
      <c r="F60" s="1"/>
      <c r="G60" s="6"/>
      <c r="H60" s="6">
        <v>0.4</v>
      </c>
      <c r="I60" s="1"/>
      <c r="J60" s="1"/>
      <c r="K60" s="1"/>
      <c r="L60" s="1"/>
      <c r="M60" s="1"/>
      <c r="N60" s="1"/>
      <c r="O60" s="1">
        <v>0</v>
      </c>
      <c r="P60" s="1">
        <v>690</v>
      </c>
      <c r="Q60" s="1">
        <v>61.2</v>
      </c>
      <c r="R60" s="1">
        <v>131</v>
      </c>
      <c r="S60" s="1"/>
      <c r="T60" s="1"/>
      <c r="U60" s="1"/>
      <c r="V60" s="1"/>
      <c r="W60" s="1">
        <v>61.2</v>
      </c>
      <c r="X60" s="1">
        <v>83</v>
      </c>
      <c r="Y60" s="1">
        <v>62.8</v>
      </c>
      <c r="Z60" s="1">
        <v>81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84</v>
      </c>
      <c r="B61" s="1" t="s">
        <v>27</v>
      </c>
      <c r="C61" s="1"/>
      <c r="D61" s="1"/>
      <c r="E61" s="1"/>
      <c r="F61" s="1"/>
      <c r="G61" s="6"/>
      <c r="H61" s="6">
        <v>0.4</v>
      </c>
      <c r="I61" s="1"/>
      <c r="J61" s="1"/>
      <c r="K61" s="1"/>
      <c r="L61" s="1"/>
      <c r="M61" s="1"/>
      <c r="N61" s="1"/>
      <c r="O61" s="1">
        <v>0</v>
      </c>
      <c r="P61" s="1">
        <v>460</v>
      </c>
      <c r="Q61" s="1">
        <v>78.2</v>
      </c>
      <c r="R61" s="1">
        <v>381.47200000000009</v>
      </c>
      <c r="S61" s="1"/>
      <c r="T61" s="1"/>
      <c r="U61" s="1"/>
      <c r="V61" s="1"/>
      <c r="W61" s="1">
        <v>63</v>
      </c>
      <c r="X61" s="1">
        <v>71.8</v>
      </c>
      <c r="Y61" s="1">
        <v>48.2</v>
      </c>
      <c r="Z61" s="1">
        <v>63.2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85</v>
      </c>
      <c r="B62" s="1" t="s">
        <v>30</v>
      </c>
      <c r="C62" s="1"/>
      <c r="D62" s="1"/>
      <c r="E62" s="1"/>
      <c r="F62" s="1"/>
      <c r="G62" s="6"/>
      <c r="H62" s="6">
        <v>1</v>
      </c>
      <c r="I62" s="1"/>
      <c r="J62" s="1"/>
      <c r="K62" s="1"/>
      <c r="L62" s="1"/>
      <c r="M62" s="1"/>
      <c r="N62" s="1"/>
      <c r="O62" s="1">
        <v>0</v>
      </c>
      <c r="P62" s="1">
        <v>90</v>
      </c>
      <c r="Q62" s="1">
        <v>21.452000000000002</v>
      </c>
      <c r="R62" s="1">
        <v>83.074960000000004</v>
      </c>
      <c r="S62" s="1"/>
      <c r="T62" s="1"/>
      <c r="U62" s="1"/>
      <c r="V62" s="1"/>
      <c r="W62" s="1">
        <v>25.005199999999999</v>
      </c>
      <c r="X62" s="1">
        <v>29.2378</v>
      </c>
      <c r="Y62" s="1">
        <v>27.107199999999999</v>
      </c>
      <c r="Z62" s="1">
        <v>36.428600000000003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86</v>
      </c>
      <c r="B63" s="1" t="s">
        <v>30</v>
      </c>
      <c r="C63" s="1"/>
      <c r="D63" s="1"/>
      <c r="E63" s="1"/>
      <c r="F63" s="1"/>
      <c r="G63" s="6"/>
      <c r="H63" s="6">
        <v>1</v>
      </c>
      <c r="I63" s="1"/>
      <c r="J63" s="1"/>
      <c r="K63" s="1"/>
      <c r="L63" s="1"/>
      <c r="M63" s="1"/>
      <c r="N63" s="1"/>
      <c r="O63" s="1">
        <v>0</v>
      </c>
      <c r="P63" s="1">
        <v>220</v>
      </c>
      <c r="Q63" s="1">
        <v>32.516800000000003</v>
      </c>
      <c r="R63" s="1">
        <v>76.395008000000075</v>
      </c>
      <c r="S63" s="1"/>
      <c r="T63" s="1"/>
      <c r="U63" s="1"/>
      <c r="V63" s="1"/>
      <c r="W63" s="1">
        <v>26.104000000000003</v>
      </c>
      <c r="X63" s="1">
        <v>26.245200000000001</v>
      </c>
      <c r="Y63" s="1">
        <v>27.139800000000001</v>
      </c>
      <c r="Z63" s="1">
        <v>25.183799999999998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87</v>
      </c>
      <c r="B64" s="1" t="s">
        <v>30</v>
      </c>
      <c r="C64" s="1"/>
      <c r="D64" s="1"/>
      <c r="E64" s="1"/>
      <c r="F64" s="1"/>
      <c r="G64" s="6"/>
      <c r="H64" s="6">
        <v>1</v>
      </c>
      <c r="I64" s="1"/>
      <c r="J64" s="1"/>
      <c r="K64" s="1"/>
      <c r="L64" s="1"/>
      <c r="M64" s="1"/>
      <c r="N64" s="1"/>
      <c r="O64" s="1">
        <v>0</v>
      </c>
      <c r="P64" s="1">
        <v>650</v>
      </c>
      <c r="Q64" s="1">
        <v>84.773400000000009</v>
      </c>
      <c r="R64" s="1">
        <v>274.03942400000011</v>
      </c>
      <c r="S64" s="1"/>
      <c r="T64" s="1"/>
      <c r="U64" s="1"/>
      <c r="V64" s="1"/>
      <c r="W64" s="1">
        <v>65.369</v>
      </c>
      <c r="X64" s="1">
        <v>79.146000000000001</v>
      </c>
      <c r="Y64" s="1">
        <v>68.245000000000005</v>
      </c>
      <c r="Z64" s="1">
        <v>99.697599999999994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88</v>
      </c>
      <c r="B65" s="1" t="s">
        <v>30</v>
      </c>
      <c r="C65" s="1"/>
      <c r="D65" s="1"/>
      <c r="E65" s="1"/>
      <c r="F65" s="1"/>
      <c r="G65" s="6"/>
      <c r="H65" s="6">
        <v>1</v>
      </c>
      <c r="I65" s="1"/>
      <c r="J65" s="1"/>
      <c r="K65" s="1"/>
      <c r="L65" s="1"/>
      <c r="M65" s="1"/>
      <c r="N65" s="1"/>
      <c r="O65" s="1">
        <v>0</v>
      </c>
      <c r="P65" s="1">
        <v>50</v>
      </c>
      <c r="Q65" s="1">
        <v>35.678199999999997</v>
      </c>
      <c r="R65" s="1">
        <v>402.161092</v>
      </c>
      <c r="S65" s="1"/>
      <c r="T65" s="1"/>
      <c r="U65" s="1"/>
      <c r="V65" s="1"/>
      <c r="W65" s="1">
        <v>37.672800000000002</v>
      </c>
      <c r="X65" s="1">
        <v>34.772599999999997</v>
      </c>
      <c r="Y65" s="1">
        <v>32.616799999999998</v>
      </c>
      <c r="Z65" s="1">
        <v>34.079599999999999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89</v>
      </c>
      <c r="B66" s="1" t="s">
        <v>30</v>
      </c>
      <c r="C66" s="1"/>
      <c r="D66" s="1"/>
      <c r="E66" s="1"/>
      <c r="F66" s="1"/>
      <c r="G66" s="6"/>
      <c r="H66" s="6">
        <v>1</v>
      </c>
      <c r="I66" s="1"/>
      <c r="J66" s="1"/>
      <c r="K66" s="1"/>
      <c r="L66" s="1"/>
      <c r="M66" s="1"/>
      <c r="N66" s="1"/>
      <c r="O66" s="1">
        <v>0</v>
      </c>
      <c r="P66" s="1">
        <v>180</v>
      </c>
      <c r="Q66" s="1">
        <v>38.0274</v>
      </c>
      <c r="R66" s="1">
        <v>0</v>
      </c>
      <c r="S66" s="1"/>
      <c r="T66" s="1"/>
      <c r="U66" s="1"/>
      <c r="V66" s="1"/>
      <c r="W66" s="1">
        <v>31.822600000000001</v>
      </c>
      <c r="X66" s="1">
        <v>59.592200000000005</v>
      </c>
      <c r="Y66" s="1">
        <v>49.133600000000001</v>
      </c>
      <c r="Z66" s="1">
        <v>37.032400000000003</v>
      </c>
      <c r="AA66" s="1" t="s">
        <v>145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90</v>
      </c>
      <c r="B67" s="1" t="s">
        <v>27</v>
      </c>
      <c r="C67" s="1"/>
      <c r="D67" s="1"/>
      <c r="E67" s="1"/>
      <c r="F67" s="1"/>
      <c r="G67" s="6"/>
      <c r="H67" s="6">
        <v>0.6</v>
      </c>
      <c r="I67" s="1"/>
      <c r="J67" s="1"/>
      <c r="K67" s="1"/>
      <c r="L67" s="1"/>
      <c r="M67" s="1"/>
      <c r="N67" s="1"/>
      <c r="O67" s="1">
        <v>0</v>
      </c>
      <c r="P67" s="1">
        <v>170</v>
      </c>
      <c r="Q67" s="1">
        <v>27.4</v>
      </c>
      <c r="R67" s="1">
        <v>100.08399999999997</v>
      </c>
      <c r="S67" s="1"/>
      <c r="T67" s="1"/>
      <c r="U67" s="1"/>
      <c r="V67" s="1"/>
      <c r="W67" s="1">
        <v>10.6</v>
      </c>
      <c r="X67" s="1">
        <v>23.6</v>
      </c>
      <c r="Y67" s="1">
        <v>10.4</v>
      </c>
      <c r="Z67" s="1">
        <v>17.2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91</v>
      </c>
      <c r="B68" s="1" t="s">
        <v>27</v>
      </c>
      <c r="C68" s="1"/>
      <c r="D68" s="1"/>
      <c r="E68" s="1"/>
      <c r="F68" s="1"/>
      <c r="G68" s="6"/>
      <c r="H68" s="6">
        <v>0.6</v>
      </c>
      <c r="I68" s="1"/>
      <c r="J68" s="1"/>
      <c r="K68" s="1"/>
      <c r="L68" s="1"/>
      <c r="M68" s="1"/>
      <c r="N68" s="1"/>
      <c r="O68" s="1">
        <v>0</v>
      </c>
      <c r="P68" s="1">
        <v>400</v>
      </c>
      <c r="Q68" s="1">
        <v>30.8</v>
      </c>
      <c r="R68" s="1">
        <v>0</v>
      </c>
      <c r="S68" s="1"/>
      <c r="T68" s="1"/>
      <c r="U68" s="1"/>
      <c r="V68" s="1"/>
      <c r="W68" s="1">
        <v>30.8</v>
      </c>
      <c r="X68" s="1">
        <v>29</v>
      </c>
      <c r="Y68" s="1">
        <v>34.200000000000003</v>
      </c>
      <c r="Z68" s="1">
        <v>38.200000000000003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92</v>
      </c>
      <c r="B69" s="1" t="s">
        <v>27</v>
      </c>
      <c r="C69" s="1"/>
      <c r="D69" s="1"/>
      <c r="E69" s="1"/>
      <c r="F69" s="1"/>
      <c r="G69" s="6"/>
      <c r="H69" s="6">
        <v>0.4</v>
      </c>
      <c r="I69" s="1"/>
      <c r="J69" s="1"/>
      <c r="K69" s="1"/>
      <c r="L69" s="1"/>
      <c r="M69" s="1"/>
      <c r="N69" s="1"/>
      <c r="O69" s="1">
        <v>0</v>
      </c>
      <c r="P69" s="1">
        <v>100</v>
      </c>
      <c r="Q69" s="1">
        <v>14.8</v>
      </c>
      <c r="R69" s="1">
        <v>0</v>
      </c>
      <c r="S69" s="1"/>
      <c r="T69" s="1"/>
      <c r="U69" s="1"/>
      <c r="V69" s="1"/>
      <c r="W69" s="1">
        <v>24.4</v>
      </c>
      <c r="X69" s="1">
        <v>18.2</v>
      </c>
      <c r="Y69" s="1">
        <v>17.600000000000001</v>
      </c>
      <c r="Z69" s="1">
        <v>18.399999999999999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93</v>
      </c>
      <c r="B70" s="1" t="s">
        <v>27</v>
      </c>
      <c r="C70" s="1"/>
      <c r="D70" s="1"/>
      <c r="E70" s="1"/>
      <c r="F70" s="1"/>
      <c r="G70" s="6"/>
      <c r="H70" s="6">
        <v>0.33</v>
      </c>
      <c r="I70" s="1"/>
      <c r="J70" s="1"/>
      <c r="K70" s="1"/>
      <c r="L70" s="1"/>
      <c r="M70" s="1"/>
      <c r="N70" s="1"/>
      <c r="O70" s="1">
        <v>0</v>
      </c>
      <c r="P70" s="1">
        <v>150</v>
      </c>
      <c r="Q70" s="1">
        <v>23.4</v>
      </c>
      <c r="R70" s="1">
        <v>0</v>
      </c>
      <c r="S70" s="1"/>
      <c r="T70" s="1"/>
      <c r="U70" s="1"/>
      <c r="V70" s="1"/>
      <c r="W70" s="1">
        <v>22</v>
      </c>
      <c r="X70" s="1">
        <v>21.8</v>
      </c>
      <c r="Y70" s="1">
        <v>29</v>
      </c>
      <c r="Z70" s="1">
        <v>25.2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94</v>
      </c>
      <c r="B71" s="1" t="s">
        <v>27</v>
      </c>
      <c r="C71" s="1"/>
      <c r="D71" s="1"/>
      <c r="E71" s="1"/>
      <c r="F71" s="1"/>
      <c r="G71" s="6"/>
      <c r="H71" s="6">
        <v>0.35</v>
      </c>
      <c r="I71" s="1"/>
      <c r="J71" s="1"/>
      <c r="K71" s="1"/>
      <c r="L71" s="1"/>
      <c r="M71" s="1"/>
      <c r="N71" s="1"/>
      <c r="O71" s="1">
        <v>0</v>
      </c>
      <c r="P71" s="1">
        <v>160</v>
      </c>
      <c r="Q71" s="1">
        <v>19.8</v>
      </c>
      <c r="R71" s="1">
        <v>0</v>
      </c>
      <c r="S71" s="1"/>
      <c r="T71" s="1"/>
      <c r="U71" s="1"/>
      <c r="V71" s="1"/>
      <c r="W71" s="1">
        <v>26.4</v>
      </c>
      <c r="X71" s="1">
        <v>20.399999999999999</v>
      </c>
      <c r="Y71" s="1">
        <v>25.4</v>
      </c>
      <c r="Z71" s="1">
        <v>25.2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95</v>
      </c>
      <c r="B72" s="1" t="s">
        <v>27</v>
      </c>
      <c r="C72" s="1"/>
      <c r="D72" s="1"/>
      <c r="E72" s="1"/>
      <c r="F72" s="1"/>
      <c r="G72" s="6"/>
      <c r="H72" s="6">
        <v>0.6</v>
      </c>
      <c r="I72" s="1"/>
      <c r="J72" s="1"/>
      <c r="K72" s="1"/>
      <c r="L72" s="1"/>
      <c r="M72" s="1"/>
      <c r="N72" s="1"/>
      <c r="O72" s="1">
        <v>0</v>
      </c>
      <c r="P72" s="1">
        <v>70</v>
      </c>
      <c r="Q72" s="1">
        <v>10.8</v>
      </c>
      <c r="R72" s="1">
        <v>0</v>
      </c>
      <c r="S72" s="1"/>
      <c r="T72" s="1"/>
      <c r="U72" s="1"/>
      <c r="V72" s="1"/>
      <c r="W72" s="1">
        <v>7.4</v>
      </c>
      <c r="X72" s="1">
        <v>14</v>
      </c>
      <c r="Y72" s="1">
        <v>11.4</v>
      </c>
      <c r="Z72" s="1">
        <v>6.4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96</v>
      </c>
      <c r="B73" s="1" t="s">
        <v>27</v>
      </c>
      <c r="C73" s="1"/>
      <c r="D73" s="1"/>
      <c r="E73" s="1"/>
      <c r="F73" s="1"/>
      <c r="G73" s="6"/>
      <c r="H73" s="6">
        <v>0.33</v>
      </c>
      <c r="I73" s="1"/>
      <c r="J73" s="1"/>
      <c r="K73" s="1"/>
      <c r="L73" s="1"/>
      <c r="M73" s="1"/>
      <c r="N73" s="1"/>
      <c r="O73" s="1">
        <v>0</v>
      </c>
      <c r="P73" s="1">
        <v>0</v>
      </c>
      <c r="Q73" s="1">
        <v>-0.2</v>
      </c>
      <c r="R73" s="1">
        <v>0</v>
      </c>
      <c r="S73" s="1"/>
      <c r="T73" s="1"/>
      <c r="U73" s="1"/>
      <c r="V73" s="1"/>
      <c r="W73" s="1">
        <v>4.5999999999999996</v>
      </c>
      <c r="X73" s="1">
        <v>5.8</v>
      </c>
      <c r="Y73" s="1">
        <v>5.6</v>
      </c>
      <c r="Z73" s="1">
        <v>7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97</v>
      </c>
      <c r="B74" s="1" t="s">
        <v>27</v>
      </c>
      <c r="C74" s="1"/>
      <c r="D74" s="1"/>
      <c r="E74" s="1"/>
      <c r="F74" s="1"/>
      <c r="G74" s="6"/>
      <c r="H74" s="6">
        <v>0.4</v>
      </c>
      <c r="I74" s="1"/>
      <c r="J74" s="1"/>
      <c r="K74" s="1"/>
      <c r="L74" s="1"/>
      <c r="M74" s="1"/>
      <c r="N74" s="1"/>
      <c r="O74" s="1">
        <v>0</v>
      </c>
      <c r="P74" s="1">
        <v>20</v>
      </c>
      <c r="Q74" s="1">
        <v>6.8</v>
      </c>
      <c r="R74" s="1">
        <v>71.787999999999997</v>
      </c>
      <c r="S74" s="1"/>
      <c r="T74" s="1"/>
      <c r="U74" s="1"/>
      <c r="V74" s="1"/>
      <c r="W74" s="1">
        <v>6.2</v>
      </c>
      <c r="X74" s="1">
        <v>6.4</v>
      </c>
      <c r="Y74" s="1">
        <v>3.2</v>
      </c>
      <c r="Z74" s="1">
        <v>8.1999999999999993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98</v>
      </c>
      <c r="B75" s="1" t="s">
        <v>27</v>
      </c>
      <c r="C75" s="1"/>
      <c r="D75" s="1"/>
      <c r="E75" s="1"/>
      <c r="F75" s="1"/>
      <c r="G75" s="6"/>
      <c r="H75" s="6">
        <v>0.35</v>
      </c>
      <c r="I75" s="1"/>
      <c r="J75" s="1"/>
      <c r="K75" s="1"/>
      <c r="L75" s="1"/>
      <c r="M75" s="1"/>
      <c r="N75" s="1"/>
      <c r="O75" s="1">
        <v>0</v>
      </c>
      <c r="P75" s="1">
        <v>20</v>
      </c>
      <c r="Q75" s="1">
        <v>9.4</v>
      </c>
      <c r="R75" s="1">
        <v>84.364000000000004</v>
      </c>
      <c r="S75" s="1"/>
      <c r="T75" s="1"/>
      <c r="U75" s="1"/>
      <c r="V75" s="1"/>
      <c r="W75" s="1">
        <v>3.6</v>
      </c>
      <c r="X75" s="1">
        <v>9.1999999999999993</v>
      </c>
      <c r="Y75" s="1">
        <v>2.6</v>
      </c>
      <c r="Z75" s="1">
        <v>8.6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99</v>
      </c>
      <c r="B76" s="1" t="s">
        <v>27</v>
      </c>
      <c r="C76" s="1"/>
      <c r="D76" s="1"/>
      <c r="E76" s="1"/>
      <c r="F76" s="1"/>
      <c r="G76" s="6"/>
      <c r="H76" s="6">
        <v>0.35</v>
      </c>
      <c r="I76" s="1"/>
      <c r="J76" s="1"/>
      <c r="K76" s="1"/>
      <c r="L76" s="1"/>
      <c r="M76" s="1"/>
      <c r="N76" s="1"/>
      <c r="O76" s="1">
        <v>0</v>
      </c>
      <c r="P76" s="1">
        <v>190</v>
      </c>
      <c r="Q76" s="1">
        <v>20.399999999999999</v>
      </c>
      <c r="R76" s="1">
        <v>0</v>
      </c>
      <c r="S76" s="1"/>
      <c r="T76" s="1"/>
      <c r="U76" s="1"/>
      <c r="V76" s="1"/>
      <c r="W76" s="1">
        <v>20.399999999999999</v>
      </c>
      <c r="X76" s="1">
        <v>22</v>
      </c>
      <c r="Y76" s="1">
        <v>29.4</v>
      </c>
      <c r="Z76" s="1">
        <v>17.600000000000001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100</v>
      </c>
      <c r="B77" s="1" t="s">
        <v>30</v>
      </c>
      <c r="C77" s="1"/>
      <c r="D77" s="1"/>
      <c r="E77" s="1"/>
      <c r="F77" s="1"/>
      <c r="G77" s="6"/>
      <c r="H77" s="6">
        <v>1</v>
      </c>
      <c r="I77" s="1"/>
      <c r="J77" s="1"/>
      <c r="K77" s="1"/>
      <c r="L77" s="1"/>
      <c r="M77" s="1"/>
      <c r="N77" s="1"/>
      <c r="O77" s="1">
        <v>0</v>
      </c>
      <c r="P77" s="1">
        <v>150</v>
      </c>
      <c r="Q77" s="1">
        <v>39.879199999999997</v>
      </c>
      <c r="R77" s="1">
        <v>262.04873199999997</v>
      </c>
      <c r="S77" s="1"/>
      <c r="T77" s="1"/>
      <c r="U77" s="1"/>
      <c r="V77" s="1"/>
      <c r="W77" s="1">
        <v>30.560000000000002</v>
      </c>
      <c r="X77" s="1">
        <v>34.906199999999998</v>
      </c>
      <c r="Y77" s="1">
        <v>35.253799999999998</v>
      </c>
      <c r="Z77" s="1">
        <v>42.633200000000002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101</v>
      </c>
      <c r="B78" s="1" t="s">
        <v>30</v>
      </c>
      <c r="C78" s="1"/>
      <c r="D78" s="1"/>
      <c r="E78" s="1"/>
      <c r="F78" s="1"/>
      <c r="G78" s="6"/>
      <c r="H78" s="6">
        <v>1</v>
      </c>
      <c r="I78" s="1"/>
      <c r="J78" s="1"/>
      <c r="K78" s="1"/>
      <c r="L78" s="1"/>
      <c r="M78" s="1"/>
      <c r="N78" s="1"/>
      <c r="O78" s="1">
        <v>500</v>
      </c>
      <c r="P78" s="1">
        <v>900</v>
      </c>
      <c r="Q78" s="1">
        <v>320.39839999999998</v>
      </c>
      <c r="R78" s="1">
        <v>1351.0284139999999</v>
      </c>
      <c r="S78" s="1"/>
      <c r="T78" s="1"/>
      <c r="U78" s="1"/>
      <c r="V78" s="1"/>
      <c r="W78" s="1">
        <v>272.88400000000001</v>
      </c>
      <c r="X78" s="1">
        <v>285.44979999999998</v>
      </c>
      <c r="Y78" s="1">
        <v>314.61520000000002</v>
      </c>
      <c r="Z78" s="1">
        <v>251.56619999999998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102</v>
      </c>
      <c r="B79" s="1" t="s">
        <v>30</v>
      </c>
      <c r="C79" s="1"/>
      <c r="D79" s="1"/>
      <c r="E79" s="1"/>
      <c r="F79" s="1"/>
      <c r="G79" s="6"/>
      <c r="H79" s="6">
        <v>1</v>
      </c>
      <c r="I79" s="1"/>
      <c r="J79" s="1"/>
      <c r="K79" s="1"/>
      <c r="L79" s="1"/>
      <c r="M79" s="1"/>
      <c r="N79" s="1"/>
      <c r="O79" s="1">
        <v>500</v>
      </c>
      <c r="P79" s="1">
        <v>0</v>
      </c>
      <c r="Q79" s="1">
        <v>205.08499999999998</v>
      </c>
      <c r="R79" s="1">
        <v>1221.02611</v>
      </c>
      <c r="S79" s="1"/>
      <c r="T79" s="1"/>
      <c r="U79" s="1"/>
      <c r="V79" s="1"/>
      <c r="W79" s="1">
        <v>212.28400000000002</v>
      </c>
      <c r="X79" s="1">
        <v>179.25659999999999</v>
      </c>
      <c r="Y79" s="1">
        <v>223.30839999999998</v>
      </c>
      <c r="Z79" s="1">
        <v>166.07300000000001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103</v>
      </c>
      <c r="B80" s="1" t="s">
        <v>30</v>
      </c>
      <c r="C80" s="1"/>
      <c r="D80" s="1"/>
      <c r="E80" s="1"/>
      <c r="F80" s="1"/>
      <c r="G80" s="6"/>
      <c r="H80" s="6">
        <v>1</v>
      </c>
      <c r="I80" s="1"/>
      <c r="J80" s="1"/>
      <c r="K80" s="1"/>
      <c r="L80" s="1"/>
      <c r="M80" s="1"/>
      <c r="N80" s="1"/>
      <c r="O80" s="1">
        <v>300</v>
      </c>
      <c r="P80" s="1">
        <v>2400</v>
      </c>
      <c r="Q80" s="1">
        <v>470.26300000000003</v>
      </c>
      <c r="R80" s="1">
        <v>2408.5240800000006</v>
      </c>
      <c r="S80" s="1"/>
      <c r="T80" s="1"/>
      <c r="U80" s="1"/>
      <c r="V80" s="1"/>
      <c r="W80" s="1">
        <v>363.51339999999999</v>
      </c>
      <c r="X80" s="1">
        <v>416.96999999999997</v>
      </c>
      <c r="Y80" s="1">
        <v>381.81599999999997</v>
      </c>
      <c r="Z80" s="1">
        <v>437.09759999999994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104</v>
      </c>
      <c r="B81" s="1" t="s">
        <v>27</v>
      </c>
      <c r="C81" s="1"/>
      <c r="D81" s="1"/>
      <c r="E81" s="1"/>
      <c r="F81" s="1"/>
      <c r="G81" s="6"/>
      <c r="H81" s="6">
        <v>0.3</v>
      </c>
      <c r="I81" s="1"/>
      <c r="J81" s="1"/>
      <c r="K81" s="1"/>
      <c r="L81" s="1"/>
      <c r="M81" s="1"/>
      <c r="N81" s="1"/>
      <c r="O81" s="1">
        <v>0</v>
      </c>
      <c r="P81" s="1">
        <v>140</v>
      </c>
      <c r="Q81" s="1">
        <v>21</v>
      </c>
      <c r="R81" s="1">
        <v>82.53</v>
      </c>
      <c r="S81" s="1"/>
      <c r="T81" s="1"/>
      <c r="U81" s="1"/>
      <c r="V81" s="1"/>
      <c r="W81" s="1">
        <v>21.2</v>
      </c>
      <c r="X81" s="1">
        <v>21.2</v>
      </c>
      <c r="Y81" s="1">
        <v>18</v>
      </c>
      <c r="Z81" s="1">
        <v>16.8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105</v>
      </c>
      <c r="B82" s="1" t="s">
        <v>27</v>
      </c>
      <c r="C82" s="1"/>
      <c r="D82" s="1"/>
      <c r="E82" s="1"/>
      <c r="F82" s="1"/>
      <c r="G82" s="6"/>
      <c r="H82" s="6">
        <v>7.0000000000000007E-2</v>
      </c>
      <c r="I82" s="1"/>
      <c r="J82" s="1"/>
      <c r="K82" s="1"/>
      <c r="L82" s="1"/>
      <c r="M82" s="1"/>
      <c r="N82" s="1"/>
      <c r="O82" s="1">
        <v>0</v>
      </c>
      <c r="P82" s="1">
        <v>80</v>
      </c>
      <c r="Q82" s="1">
        <v>12.4</v>
      </c>
      <c r="R82" s="1">
        <v>52.924000000000007</v>
      </c>
      <c r="S82" s="1"/>
      <c r="T82" s="1"/>
      <c r="U82" s="1"/>
      <c r="V82" s="1"/>
      <c r="W82" s="1">
        <v>10</v>
      </c>
      <c r="X82" s="1">
        <v>12.8</v>
      </c>
      <c r="Y82" s="1">
        <v>6.6</v>
      </c>
      <c r="Z82" s="1">
        <v>15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106</v>
      </c>
      <c r="B83" s="1" t="s">
        <v>27</v>
      </c>
      <c r="C83" s="1"/>
      <c r="D83" s="1"/>
      <c r="E83" s="1"/>
      <c r="F83" s="1"/>
      <c r="G83" s="6"/>
      <c r="H83" s="6">
        <v>7.0000000000000007E-2</v>
      </c>
      <c r="I83" s="1"/>
      <c r="J83" s="1"/>
      <c r="K83" s="1"/>
      <c r="L83" s="1"/>
      <c r="M83" s="1"/>
      <c r="N83" s="1"/>
      <c r="O83" s="1">
        <v>0</v>
      </c>
      <c r="P83" s="1">
        <v>80</v>
      </c>
      <c r="Q83" s="1">
        <v>7</v>
      </c>
      <c r="R83" s="1">
        <v>26.200000000000003</v>
      </c>
      <c r="S83" s="1"/>
      <c r="T83" s="1"/>
      <c r="U83" s="1"/>
      <c r="V83" s="1"/>
      <c r="W83" s="1">
        <v>16</v>
      </c>
      <c r="X83" s="1">
        <v>12.4</v>
      </c>
      <c r="Y83" s="1">
        <v>10.8</v>
      </c>
      <c r="Z83" s="1">
        <v>16.8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107</v>
      </c>
      <c r="B84" s="1" t="s">
        <v>27</v>
      </c>
      <c r="C84" s="1"/>
      <c r="D84" s="1"/>
      <c r="E84" s="1"/>
      <c r="F84" s="1"/>
      <c r="G84" s="6"/>
      <c r="H84" s="6">
        <v>7.0000000000000007E-2</v>
      </c>
      <c r="I84" s="1"/>
      <c r="J84" s="1"/>
      <c r="K84" s="1"/>
      <c r="L84" s="1"/>
      <c r="M84" s="1"/>
      <c r="N84" s="1"/>
      <c r="O84" s="1">
        <v>0</v>
      </c>
      <c r="P84" s="1">
        <v>80</v>
      </c>
      <c r="Q84" s="1">
        <v>2.6</v>
      </c>
      <c r="R84" s="1">
        <v>26.200000000000003</v>
      </c>
      <c r="S84" s="1"/>
      <c r="T84" s="1"/>
      <c r="U84" s="1"/>
      <c r="V84" s="1"/>
      <c r="W84" s="1">
        <v>7.4</v>
      </c>
      <c r="X84" s="1">
        <v>7.2</v>
      </c>
      <c r="Y84" s="1">
        <v>5.6</v>
      </c>
      <c r="Z84" s="1">
        <v>11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108</v>
      </c>
      <c r="B85" s="1" t="s">
        <v>27</v>
      </c>
      <c r="C85" s="1"/>
      <c r="D85" s="1"/>
      <c r="E85" s="1"/>
      <c r="F85" s="1"/>
      <c r="G85" s="6"/>
      <c r="H85" s="6">
        <v>0.05</v>
      </c>
      <c r="I85" s="1"/>
      <c r="J85" s="1"/>
      <c r="K85" s="1"/>
      <c r="L85" s="1"/>
      <c r="M85" s="1"/>
      <c r="N85" s="1"/>
      <c r="O85" s="1">
        <v>0</v>
      </c>
      <c r="P85" s="1">
        <v>50</v>
      </c>
      <c r="Q85" s="1">
        <v>9.1999999999999993</v>
      </c>
      <c r="R85" s="1">
        <v>26.200000000000003</v>
      </c>
      <c r="S85" s="1"/>
      <c r="T85" s="1"/>
      <c r="U85" s="1"/>
      <c r="V85" s="1"/>
      <c r="W85" s="1">
        <v>8.1999999999999993</v>
      </c>
      <c r="X85" s="1">
        <v>10.199999999999999</v>
      </c>
      <c r="Y85" s="1">
        <v>10.4</v>
      </c>
      <c r="Z85" s="1">
        <v>9.6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109</v>
      </c>
      <c r="B86" s="1" t="s">
        <v>27</v>
      </c>
      <c r="C86" s="1"/>
      <c r="D86" s="1"/>
      <c r="E86" s="1"/>
      <c r="F86" s="1"/>
      <c r="G86" s="6"/>
      <c r="H86" s="6">
        <v>5.5E-2</v>
      </c>
      <c r="I86" s="1"/>
      <c r="J86" s="1"/>
      <c r="K86" s="1"/>
      <c r="L86" s="1"/>
      <c r="M86" s="1"/>
      <c r="N86" s="1"/>
      <c r="O86" s="1">
        <v>0</v>
      </c>
      <c r="P86" s="1">
        <v>80</v>
      </c>
      <c r="Q86" s="1">
        <v>12.6</v>
      </c>
      <c r="R86" s="1">
        <v>36.155999999999992</v>
      </c>
      <c r="S86" s="1"/>
      <c r="T86" s="1"/>
      <c r="U86" s="1"/>
      <c r="V86" s="1"/>
      <c r="W86" s="1">
        <v>8.8000000000000007</v>
      </c>
      <c r="X86" s="1">
        <v>9.4</v>
      </c>
      <c r="Y86" s="1">
        <v>7.4</v>
      </c>
      <c r="Z86" s="1">
        <v>13.6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110</v>
      </c>
      <c r="B87" s="1" t="s">
        <v>27</v>
      </c>
      <c r="C87" s="1"/>
      <c r="D87" s="1"/>
      <c r="E87" s="1"/>
      <c r="F87" s="1"/>
      <c r="G87" s="6"/>
      <c r="H87" s="6">
        <v>5.5E-2</v>
      </c>
      <c r="I87" s="1"/>
      <c r="J87" s="1"/>
      <c r="K87" s="1"/>
      <c r="L87" s="1"/>
      <c r="M87" s="1"/>
      <c r="N87" s="1"/>
      <c r="O87" s="1">
        <v>0</v>
      </c>
      <c r="P87" s="1">
        <v>60</v>
      </c>
      <c r="Q87" s="1">
        <v>10</v>
      </c>
      <c r="R87" s="1">
        <v>0</v>
      </c>
      <c r="S87" s="1"/>
      <c r="T87" s="1"/>
      <c r="U87" s="1"/>
      <c r="V87" s="1"/>
      <c r="W87" s="1">
        <v>8.1999999999999993</v>
      </c>
      <c r="X87" s="1">
        <v>10.6</v>
      </c>
      <c r="Y87" s="1">
        <v>6.2</v>
      </c>
      <c r="Z87" s="1">
        <v>11.8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111</v>
      </c>
      <c r="B88" s="1" t="s">
        <v>30</v>
      </c>
      <c r="C88" s="1"/>
      <c r="D88" s="1"/>
      <c r="E88" s="1"/>
      <c r="F88" s="1"/>
      <c r="G88" s="6"/>
      <c r="H88" s="6">
        <v>1</v>
      </c>
      <c r="I88" s="1"/>
      <c r="J88" s="1"/>
      <c r="K88" s="1"/>
      <c r="L88" s="1"/>
      <c r="M88" s="1"/>
      <c r="N88" s="1"/>
      <c r="O88" s="1">
        <v>0</v>
      </c>
      <c r="P88" s="1">
        <v>0</v>
      </c>
      <c r="Q88" s="1">
        <v>6.9647999999999994</v>
      </c>
      <c r="R88" s="1">
        <v>0</v>
      </c>
      <c r="S88" s="1"/>
      <c r="T88" s="1"/>
      <c r="U88" s="1"/>
      <c r="V88" s="1"/>
      <c r="W88" s="1">
        <v>1.6108</v>
      </c>
      <c r="X88" s="1">
        <v>3.8398000000000003</v>
      </c>
      <c r="Y88" s="1">
        <v>9.2504000000000008</v>
      </c>
      <c r="Z88" s="1">
        <v>9.8138000000000005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112</v>
      </c>
      <c r="B89" s="1" t="s">
        <v>27</v>
      </c>
      <c r="C89" s="1"/>
      <c r="D89" s="1"/>
      <c r="E89" s="1"/>
      <c r="F89" s="1"/>
      <c r="G89" s="6"/>
      <c r="H89" s="6">
        <v>0.11</v>
      </c>
      <c r="I89" s="1"/>
      <c r="J89" s="1"/>
      <c r="K89" s="1"/>
      <c r="L89" s="1"/>
      <c r="M89" s="1"/>
      <c r="N89" s="1"/>
      <c r="O89" s="1">
        <v>0</v>
      </c>
      <c r="P89" s="1">
        <v>0</v>
      </c>
      <c r="Q89" s="1">
        <v>-0.4</v>
      </c>
      <c r="R89" s="1">
        <v>0</v>
      </c>
      <c r="S89" s="1"/>
      <c r="T89" s="1"/>
      <c r="U89" s="1"/>
      <c r="V89" s="1"/>
      <c r="W89" s="1">
        <v>0.6</v>
      </c>
      <c r="X89" s="1">
        <v>1.8</v>
      </c>
      <c r="Y89" s="1">
        <v>-1.4</v>
      </c>
      <c r="Z89" s="1">
        <v>-0.2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113</v>
      </c>
      <c r="B90" s="1" t="s">
        <v>27</v>
      </c>
      <c r="C90" s="1"/>
      <c r="D90" s="1"/>
      <c r="E90" s="1"/>
      <c r="F90" s="1"/>
      <c r="G90" s="6"/>
      <c r="H90" s="6">
        <v>0.08</v>
      </c>
      <c r="I90" s="1"/>
      <c r="J90" s="1"/>
      <c r="K90" s="1"/>
      <c r="L90" s="1"/>
      <c r="M90" s="1"/>
      <c r="N90" s="1"/>
      <c r="O90" s="1">
        <v>0</v>
      </c>
      <c r="P90" s="1">
        <v>130</v>
      </c>
      <c r="Q90" s="1">
        <v>17.399999999999999</v>
      </c>
      <c r="R90" s="1">
        <v>0</v>
      </c>
      <c r="S90" s="1"/>
      <c r="T90" s="1"/>
      <c r="U90" s="1"/>
      <c r="V90" s="1"/>
      <c r="W90" s="1">
        <v>20</v>
      </c>
      <c r="X90" s="1">
        <v>18</v>
      </c>
      <c r="Y90" s="1">
        <v>20.8</v>
      </c>
      <c r="Z90" s="1">
        <v>17.8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114</v>
      </c>
      <c r="B91" s="1" t="s">
        <v>27</v>
      </c>
      <c r="C91" s="1"/>
      <c r="D91" s="1"/>
      <c r="E91" s="1"/>
      <c r="F91" s="1"/>
      <c r="G91" s="6"/>
      <c r="H91" s="6">
        <v>0.08</v>
      </c>
      <c r="I91" s="1"/>
      <c r="J91" s="1"/>
      <c r="K91" s="1"/>
      <c r="L91" s="1"/>
      <c r="M91" s="1"/>
      <c r="N91" s="1"/>
      <c r="O91" s="1">
        <v>0</v>
      </c>
      <c r="P91" s="1">
        <v>40</v>
      </c>
      <c r="Q91" s="1">
        <v>15.8</v>
      </c>
      <c r="R91" s="1">
        <v>59.998000000000019</v>
      </c>
      <c r="S91" s="1"/>
      <c r="T91" s="1"/>
      <c r="U91" s="1"/>
      <c r="V91" s="1"/>
      <c r="W91" s="1">
        <v>17.2</v>
      </c>
      <c r="X91" s="1">
        <v>11.4</v>
      </c>
      <c r="Y91" s="1">
        <v>11.6</v>
      </c>
      <c r="Z91" s="1">
        <v>19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115</v>
      </c>
      <c r="B92" s="1" t="s">
        <v>27</v>
      </c>
      <c r="C92" s="1"/>
      <c r="D92" s="1"/>
      <c r="E92" s="1"/>
      <c r="F92" s="1"/>
      <c r="G92" s="6"/>
      <c r="H92" s="6">
        <v>0.17</v>
      </c>
      <c r="I92" s="1"/>
      <c r="J92" s="1"/>
      <c r="K92" s="1"/>
      <c r="L92" s="1"/>
      <c r="M92" s="1"/>
      <c r="N92" s="1"/>
      <c r="O92" s="1">
        <v>0</v>
      </c>
      <c r="P92" s="1">
        <v>0</v>
      </c>
      <c r="Q92" s="1">
        <v>-0.2</v>
      </c>
      <c r="R92" s="1">
        <v>0</v>
      </c>
      <c r="S92" s="1"/>
      <c r="T92" s="1"/>
      <c r="U92" s="1"/>
      <c r="V92" s="1"/>
      <c r="W92" s="1">
        <v>0</v>
      </c>
      <c r="X92" s="1">
        <v>0.2</v>
      </c>
      <c r="Y92" s="1">
        <v>-1</v>
      </c>
      <c r="Z92" s="1">
        <v>-0.6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116</v>
      </c>
      <c r="B93" s="1" t="s">
        <v>30</v>
      </c>
      <c r="C93" s="1"/>
      <c r="D93" s="1"/>
      <c r="E93" s="1"/>
      <c r="F93" s="1"/>
      <c r="G93" s="6"/>
      <c r="H93" s="6">
        <v>1</v>
      </c>
      <c r="I93" s="1"/>
      <c r="J93" s="1"/>
      <c r="K93" s="1"/>
      <c r="L93" s="1"/>
      <c r="M93" s="1"/>
      <c r="N93" s="1"/>
      <c r="O93" s="1">
        <v>0</v>
      </c>
      <c r="P93" s="1">
        <v>150</v>
      </c>
      <c r="Q93" s="1">
        <v>30.675999999999998</v>
      </c>
      <c r="R93" s="1">
        <v>6.8578499999999813</v>
      </c>
      <c r="S93" s="1"/>
      <c r="T93" s="1"/>
      <c r="U93" s="1"/>
      <c r="V93" s="1"/>
      <c r="W93" s="1">
        <v>25.351800000000001</v>
      </c>
      <c r="X93" s="1">
        <v>31.613</v>
      </c>
      <c r="Y93" s="1">
        <v>20.223400000000002</v>
      </c>
      <c r="Z93" s="1">
        <v>37.355000000000004</v>
      </c>
      <c r="AA93" s="1" t="s">
        <v>142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117</v>
      </c>
      <c r="B94" s="1" t="s">
        <v>30</v>
      </c>
      <c r="C94" s="1"/>
      <c r="D94" s="1"/>
      <c r="E94" s="1"/>
      <c r="F94" s="1"/>
      <c r="G94" s="6"/>
      <c r="H94" s="6">
        <v>1</v>
      </c>
      <c r="I94" s="1"/>
      <c r="J94" s="1"/>
      <c r="K94" s="1"/>
      <c r="L94" s="1"/>
      <c r="M94" s="1"/>
      <c r="N94" s="1"/>
      <c r="O94" s="1">
        <v>0</v>
      </c>
      <c r="P94" s="1">
        <v>200</v>
      </c>
      <c r="Q94" s="1">
        <v>19.757400000000001</v>
      </c>
      <c r="R94" s="1">
        <v>0</v>
      </c>
      <c r="S94" s="1"/>
      <c r="T94" s="1"/>
      <c r="U94" s="1"/>
      <c r="V94" s="1"/>
      <c r="W94" s="1">
        <v>0</v>
      </c>
      <c r="X94" s="1">
        <v>27.5456</v>
      </c>
      <c r="Y94" s="1">
        <v>21.107599999999998</v>
      </c>
      <c r="Z94" s="1">
        <v>22.7972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118</v>
      </c>
      <c r="B95" s="1" t="s">
        <v>27</v>
      </c>
      <c r="C95" s="1"/>
      <c r="D95" s="1"/>
      <c r="E95" s="1"/>
      <c r="F95" s="1"/>
      <c r="G95" s="6"/>
      <c r="H95" s="6">
        <v>0.28000000000000003</v>
      </c>
      <c r="I95" s="1"/>
      <c r="J95" s="1"/>
      <c r="K95" s="1"/>
      <c r="L95" s="1"/>
      <c r="M95" s="1"/>
      <c r="N95" s="1"/>
      <c r="O95" s="1">
        <v>0</v>
      </c>
      <c r="P95" s="1">
        <v>300</v>
      </c>
      <c r="Q95" s="1">
        <v>52.8</v>
      </c>
      <c r="R95" s="1">
        <v>142.52799999999993</v>
      </c>
      <c r="S95" s="1"/>
      <c r="T95" s="1"/>
      <c r="U95" s="1"/>
      <c r="V95" s="1"/>
      <c r="W95" s="1">
        <v>12.2</v>
      </c>
      <c r="X95" s="1">
        <v>49</v>
      </c>
      <c r="Y95" s="1">
        <v>36.6</v>
      </c>
      <c r="Z95" s="1">
        <v>45.2</v>
      </c>
      <c r="AA95" s="1" t="s">
        <v>146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119</v>
      </c>
      <c r="B96" s="1" t="s">
        <v>27</v>
      </c>
      <c r="C96" s="1"/>
      <c r="D96" s="1"/>
      <c r="E96" s="1"/>
      <c r="F96" s="1"/>
      <c r="G96" s="6"/>
      <c r="H96" s="6">
        <v>0.28000000000000003</v>
      </c>
      <c r="I96" s="1"/>
      <c r="J96" s="1"/>
      <c r="K96" s="1"/>
      <c r="L96" s="1"/>
      <c r="M96" s="1"/>
      <c r="N96" s="1"/>
      <c r="O96" s="1">
        <v>0</v>
      </c>
      <c r="P96" s="1">
        <v>150</v>
      </c>
      <c r="Q96" s="1">
        <v>48.6</v>
      </c>
      <c r="R96" s="1">
        <v>237.89600000000004</v>
      </c>
      <c r="S96" s="1"/>
      <c r="T96" s="1"/>
      <c r="U96" s="1"/>
      <c r="V96" s="1"/>
      <c r="W96" s="1">
        <v>13</v>
      </c>
      <c r="X96" s="1">
        <v>34.200000000000003</v>
      </c>
      <c r="Y96" s="1">
        <v>37.799999999999997</v>
      </c>
      <c r="Z96" s="1">
        <v>32.200000000000003</v>
      </c>
      <c r="AA96" s="1" t="s">
        <v>146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120</v>
      </c>
      <c r="B97" s="1" t="s">
        <v>30</v>
      </c>
      <c r="C97" s="1"/>
      <c r="D97" s="1"/>
      <c r="E97" s="1"/>
      <c r="F97" s="1"/>
      <c r="G97" s="6"/>
      <c r="H97" s="6">
        <v>1</v>
      </c>
      <c r="I97" s="1"/>
      <c r="J97" s="1"/>
      <c r="K97" s="1"/>
      <c r="L97" s="1"/>
      <c r="M97" s="1"/>
      <c r="N97" s="1"/>
      <c r="O97" s="1">
        <v>0</v>
      </c>
      <c r="P97" s="1">
        <v>125</v>
      </c>
      <c r="Q97" s="1">
        <v>14.398400000000001</v>
      </c>
      <c r="R97" s="1">
        <v>52.169964000000036</v>
      </c>
      <c r="S97" s="1"/>
      <c r="T97" s="1"/>
      <c r="U97" s="1"/>
      <c r="V97" s="1"/>
      <c r="W97" s="1">
        <v>17.016999999999999</v>
      </c>
      <c r="X97" s="1">
        <v>18.36</v>
      </c>
      <c r="Y97" s="1">
        <v>14.105</v>
      </c>
      <c r="Z97" s="1">
        <v>30.2822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121</v>
      </c>
      <c r="B98" s="1" t="s">
        <v>30</v>
      </c>
      <c r="C98" s="1"/>
      <c r="D98" s="1"/>
      <c r="E98" s="1"/>
      <c r="F98" s="1"/>
      <c r="G98" s="6"/>
      <c r="H98" s="6">
        <v>1</v>
      </c>
      <c r="I98" s="1"/>
      <c r="J98" s="1"/>
      <c r="K98" s="1"/>
      <c r="L98" s="1"/>
      <c r="M98" s="1"/>
      <c r="N98" s="1"/>
      <c r="O98" s="1">
        <v>0</v>
      </c>
      <c r="P98" s="1">
        <v>100</v>
      </c>
      <c r="Q98" s="1">
        <v>33.929199999999994</v>
      </c>
      <c r="R98" s="1">
        <v>318.09970199999998</v>
      </c>
      <c r="S98" s="1"/>
      <c r="T98" s="1"/>
      <c r="U98" s="1"/>
      <c r="V98" s="1"/>
      <c r="W98" s="1">
        <v>14.873799999999999</v>
      </c>
      <c r="X98" s="1">
        <v>17.5974</v>
      </c>
      <c r="Y98" s="1">
        <v>24.006599999999999</v>
      </c>
      <c r="Z98" s="1">
        <v>33.010199999999998</v>
      </c>
      <c r="AA98" s="1" t="s">
        <v>146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122</v>
      </c>
      <c r="B99" s="1" t="s">
        <v>30</v>
      </c>
      <c r="C99" s="1"/>
      <c r="D99" s="1"/>
      <c r="E99" s="1"/>
      <c r="F99" s="1"/>
      <c r="G99" s="6"/>
      <c r="H99" s="6">
        <v>1</v>
      </c>
      <c r="I99" s="1"/>
      <c r="J99" s="1"/>
      <c r="K99" s="1"/>
      <c r="L99" s="1"/>
      <c r="M99" s="1"/>
      <c r="N99" s="1"/>
      <c r="O99" s="1">
        <v>0</v>
      </c>
      <c r="P99" s="1">
        <v>100</v>
      </c>
      <c r="Q99" s="1">
        <v>9.7639999999999993</v>
      </c>
      <c r="R99" s="1">
        <v>0</v>
      </c>
      <c r="S99" s="1"/>
      <c r="T99" s="1"/>
      <c r="U99" s="1"/>
      <c r="V99" s="1"/>
      <c r="W99" s="1">
        <v>16.150399999999998</v>
      </c>
      <c r="X99" s="1">
        <v>9.27</v>
      </c>
      <c r="Y99" s="1">
        <v>22.412600000000001</v>
      </c>
      <c r="Z99" s="1">
        <v>14.403</v>
      </c>
      <c r="AA99" s="1" t="s">
        <v>142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123</v>
      </c>
      <c r="B100" s="1" t="s">
        <v>30</v>
      </c>
      <c r="C100" s="1"/>
      <c r="D100" s="1"/>
      <c r="E100" s="1"/>
      <c r="F100" s="1"/>
      <c r="G100" s="6"/>
      <c r="H100" s="6">
        <v>1</v>
      </c>
      <c r="I100" s="1"/>
      <c r="J100" s="1"/>
      <c r="K100" s="1"/>
      <c r="L100" s="1"/>
      <c r="M100" s="1"/>
      <c r="N100" s="1"/>
      <c r="O100" s="1">
        <v>0</v>
      </c>
      <c r="P100" s="1">
        <v>100</v>
      </c>
      <c r="Q100" s="1">
        <v>25.675599999999996</v>
      </c>
      <c r="R100" s="1">
        <v>156.83660599999993</v>
      </c>
      <c r="S100" s="1"/>
      <c r="T100" s="1"/>
      <c r="U100" s="1"/>
      <c r="V100" s="1"/>
      <c r="W100" s="1">
        <v>26.943599999999996</v>
      </c>
      <c r="X100" s="1">
        <v>25.497399999999999</v>
      </c>
      <c r="Y100" s="1">
        <v>33.244999999999997</v>
      </c>
      <c r="Z100" s="1">
        <v>39.076000000000001</v>
      </c>
      <c r="AA100" s="1" t="s">
        <v>142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124</v>
      </c>
      <c r="B101" s="1" t="s">
        <v>30</v>
      </c>
      <c r="C101" s="1"/>
      <c r="D101" s="1"/>
      <c r="E101" s="1"/>
      <c r="F101" s="1"/>
      <c r="G101" s="6"/>
      <c r="H101" s="6">
        <v>1</v>
      </c>
      <c r="I101" s="1"/>
      <c r="J101" s="1"/>
      <c r="K101" s="1"/>
      <c r="L101" s="1"/>
      <c r="M101" s="1"/>
      <c r="N101" s="1"/>
      <c r="O101" s="1">
        <v>0</v>
      </c>
      <c r="P101" s="1">
        <v>60</v>
      </c>
      <c r="Q101" s="1">
        <v>7.7671999999999999</v>
      </c>
      <c r="R101" s="1">
        <v>27.511571999999997</v>
      </c>
      <c r="S101" s="1"/>
      <c r="T101" s="1"/>
      <c r="U101" s="1"/>
      <c r="V101" s="1"/>
      <c r="W101" s="1">
        <v>5.9408000000000003</v>
      </c>
      <c r="X101" s="1">
        <v>3.2612000000000001</v>
      </c>
      <c r="Y101" s="1">
        <v>5.8381999999999996</v>
      </c>
      <c r="Z101" s="1">
        <v>11.130800000000001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125</v>
      </c>
      <c r="B102" s="1" t="s">
        <v>27</v>
      </c>
      <c r="C102" s="1"/>
      <c r="D102" s="1"/>
      <c r="E102" s="1"/>
      <c r="F102" s="1"/>
      <c r="G102" s="6"/>
      <c r="H102" s="6">
        <v>0.3</v>
      </c>
      <c r="I102" s="1"/>
      <c r="J102" s="1"/>
      <c r="K102" s="1"/>
      <c r="L102" s="1"/>
      <c r="M102" s="1"/>
      <c r="N102" s="1"/>
      <c r="O102" s="1">
        <v>0</v>
      </c>
      <c r="P102" s="1">
        <v>280</v>
      </c>
      <c r="Q102" s="1">
        <v>43</v>
      </c>
      <c r="R102" s="1">
        <v>140.17000000000002</v>
      </c>
      <c r="S102" s="1"/>
      <c r="T102" s="1"/>
      <c r="U102" s="1"/>
      <c r="V102" s="1"/>
      <c r="W102" s="1">
        <v>39.6</v>
      </c>
      <c r="X102" s="1">
        <v>39.200000000000003</v>
      </c>
      <c r="Y102" s="1">
        <v>38.200000000000003</v>
      </c>
      <c r="Z102" s="1">
        <v>36.6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126</v>
      </c>
      <c r="B103" s="1" t="s">
        <v>27</v>
      </c>
      <c r="C103" s="1"/>
      <c r="D103" s="1"/>
      <c r="E103" s="1"/>
      <c r="F103" s="1"/>
      <c r="G103" s="6"/>
      <c r="H103" s="6">
        <v>0.3</v>
      </c>
      <c r="I103" s="1"/>
      <c r="J103" s="1"/>
      <c r="K103" s="1"/>
      <c r="L103" s="1"/>
      <c r="M103" s="1"/>
      <c r="N103" s="1"/>
      <c r="O103" s="1">
        <v>0</v>
      </c>
      <c r="P103" s="1">
        <v>30</v>
      </c>
      <c r="Q103" s="1">
        <v>25.2</v>
      </c>
      <c r="R103" s="1">
        <v>221.65199999999999</v>
      </c>
      <c r="S103" s="1"/>
      <c r="T103" s="1"/>
      <c r="U103" s="1"/>
      <c r="V103" s="1"/>
      <c r="W103" s="1">
        <v>23.4</v>
      </c>
      <c r="X103" s="1">
        <v>17.399999999999999</v>
      </c>
      <c r="Y103" s="1">
        <v>19.8</v>
      </c>
      <c r="Z103" s="1">
        <v>3.8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127</v>
      </c>
      <c r="B104" s="1" t="s">
        <v>30</v>
      </c>
      <c r="C104" s="1"/>
      <c r="D104" s="1"/>
      <c r="E104" s="1"/>
      <c r="F104" s="1"/>
      <c r="G104" s="6"/>
      <c r="H104" s="6">
        <v>1</v>
      </c>
      <c r="I104" s="1"/>
      <c r="J104" s="1"/>
      <c r="K104" s="1"/>
      <c r="L104" s="1"/>
      <c r="M104" s="1"/>
      <c r="N104" s="1"/>
      <c r="O104" s="1">
        <v>0</v>
      </c>
      <c r="P104" s="1">
        <v>0</v>
      </c>
      <c r="Q104" s="1">
        <v>1.3064</v>
      </c>
      <c r="R104" s="1">
        <v>20.293734000000001</v>
      </c>
      <c r="S104" s="1"/>
      <c r="T104" s="1"/>
      <c r="U104" s="1"/>
      <c r="V104" s="1"/>
      <c r="W104" s="1">
        <v>4.3450000000000006</v>
      </c>
      <c r="X104" s="1">
        <v>1.3715999999999999</v>
      </c>
      <c r="Y104" s="1">
        <v>2.7716000000000003</v>
      </c>
      <c r="Z104" s="1">
        <v>4.6696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128</v>
      </c>
      <c r="B105" s="1" t="s">
        <v>27</v>
      </c>
      <c r="C105" s="1"/>
      <c r="D105" s="1"/>
      <c r="E105" s="1"/>
      <c r="F105" s="1"/>
      <c r="G105" s="6"/>
      <c r="H105" s="6">
        <v>0.3</v>
      </c>
      <c r="I105" s="1"/>
      <c r="J105" s="1"/>
      <c r="K105" s="1"/>
      <c r="L105" s="1"/>
      <c r="M105" s="1"/>
      <c r="N105" s="1"/>
      <c r="O105" s="1">
        <v>0</v>
      </c>
      <c r="P105" s="1">
        <v>120</v>
      </c>
      <c r="Q105" s="1">
        <v>1</v>
      </c>
      <c r="R105" s="1">
        <v>0</v>
      </c>
      <c r="S105" s="1"/>
      <c r="T105" s="1"/>
      <c r="U105" s="1"/>
      <c r="V105" s="1"/>
      <c r="W105" s="1">
        <v>16.600000000000001</v>
      </c>
      <c r="X105" s="1">
        <v>4.8</v>
      </c>
      <c r="Y105" s="1">
        <v>14.6</v>
      </c>
      <c r="Z105" s="1">
        <v>9.1999999999999993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129</v>
      </c>
      <c r="B106" s="1" t="s">
        <v>27</v>
      </c>
      <c r="C106" s="1"/>
      <c r="D106" s="1"/>
      <c r="E106" s="1"/>
      <c r="F106" s="1"/>
      <c r="G106" s="6"/>
      <c r="H106" s="6">
        <v>0.12</v>
      </c>
      <c r="I106" s="1"/>
      <c r="J106" s="1"/>
      <c r="K106" s="1"/>
      <c r="L106" s="1"/>
      <c r="M106" s="1"/>
      <c r="N106" s="1"/>
      <c r="O106" s="1">
        <v>0</v>
      </c>
      <c r="P106" s="1">
        <v>40</v>
      </c>
      <c r="Q106" s="1">
        <v>8.8000000000000007</v>
      </c>
      <c r="R106" s="1">
        <v>39.038000000000018</v>
      </c>
      <c r="S106" s="1"/>
      <c r="T106" s="1"/>
      <c r="U106" s="1"/>
      <c r="V106" s="1"/>
      <c r="W106" s="1">
        <v>3.6</v>
      </c>
      <c r="X106" s="1">
        <v>9.4</v>
      </c>
      <c r="Y106" s="1">
        <v>0</v>
      </c>
      <c r="Z106" s="1">
        <v>9.1999999999999993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130</v>
      </c>
      <c r="B107" s="1" t="s">
        <v>30</v>
      </c>
      <c r="C107" s="1"/>
      <c r="D107" s="1"/>
      <c r="E107" s="1"/>
      <c r="F107" s="1"/>
      <c r="G107" s="6"/>
      <c r="H107" s="6">
        <v>1</v>
      </c>
      <c r="I107" s="1"/>
      <c r="J107" s="1"/>
      <c r="K107" s="1"/>
      <c r="L107" s="1"/>
      <c r="M107" s="1"/>
      <c r="N107" s="1"/>
      <c r="O107" s="1">
        <v>0</v>
      </c>
      <c r="P107" s="1">
        <v>0</v>
      </c>
      <c r="Q107" s="1">
        <v>0</v>
      </c>
      <c r="R107" s="1">
        <v>0</v>
      </c>
      <c r="S107" s="1"/>
      <c r="T107" s="1"/>
      <c r="U107" s="1"/>
      <c r="V107" s="1"/>
      <c r="W107" s="1">
        <v>0</v>
      </c>
      <c r="X107" s="1">
        <v>0</v>
      </c>
      <c r="Y107" s="1">
        <v>0.98080000000000001</v>
      </c>
      <c r="Z107" s="1">
        <v>0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131</v>
      </c>
      <c r="B108" s="1" t="s">
        <v>30</v>
      </c>
      <c r="C108" s="1"/>
      <c r="D108" s="1"/>
      <c r="E108" s="1"/>
      <c r="F108" s="1"/>
      <c r="G108" s="6"/>
      <c r="H108" s="6">
        <v>1</v>
      </c>
      <c r="I108" s="1"/>
      <c r="J108" s="1"/>
      <c r="K108" s="1"/>
      <c r="L108" s="1"/>
      <c r="M108" s="1"/>
      <c r="N108" s="1"/>
      <c r="O108" s="1">
        <v>0</v>
      </c>
      <c r="P108" s="1">
        <v>0</v>
      </c>
      <c r="Q108" s="1">
        <v>-0.86</v>
      </c>
      <c r="R108" s="1">
        <v>196.5</v>
      </c>
      <c r="S108" s="1"/>
      <c r="T108" s="1"/>
      <c r="U108" s="1"/>
      <c r="V108" s="1"/>
      <c r="W108" s="1">
        <v>20.687799999999999</v>
      </c>
      <c r="X108" s="1">
        <v>-0.28639999999999999</v>
      </c>
      <c r="Y108" s="1">
        <v>-0.71460000000000001</v>
      </c>
      <c r="Z108" s="1">
        <v>-0.71900000000000008</v>
      </c>
      <c r="AA108" s="1" t="s">
        <v>142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132</v>
      </c>
      <c r="B109" s="1" t="s">
        <v>27</v>
      </c>
      <c r="C109" s="1"/>
      <c r="D109" s="1"/>
      <c r="E109" s="1"/>
      <c r="F109" s="1"/>
      <c r="G109" s="6"/>
      <c r="H109" s="6">
        <v>0.28000000000000003</v>
      </c>
      <c r="I109" s="1"/>
      <c r="J109" s="1"/>
      <c r="K109" s="1"/>
      <c r="L109" s="1"/>
      <c r="M109" s="1"/>
      <c r="N109" s="1"/>
      <c r="O109" s="1">
        <v>0</v>
      </c>
      <c r="P109" s="1">
        <v>0</v>
      </c>
      <c r="Q109" s="1">
        <v>0</v>
      </c>
      <c r="R109" s="1">
        <v>0</v>
      </c>
      <c r="S109" s="1"/>
      <c r="T109" s="1"/>
      <c r="U109" s="1"/>
      <c r="V109" s="1"/>
      <c r="W109" s="1">
        <v>0</v>
      </c>
      <c r="X109" s="1">
        <v>0</v>
      </c>
      <c r="Y109" s="1">
        <v>0</v>
      </c>
      <c r="Z109" s="1">
        <v>0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133</v>
      </c>
      <c r="B110" s="1" t="s">
        <v>27</v>
      </c>
      <c r="C110" s="1"/>
      <c r="D110" s="1"/>
      <c r="E110" s="1"/>
      <c r="F110" s="1"/>
      <c r="G110" s="6"/>
      <c r="H110" s="6">
        <v>0.09</v>
      </c>
      <c r="I110" s="1"/>
      <c r="J110" s="1"/>
      <c r="K110" s="1"/>
      <c r="L110" s="1"/>
      <c r="M110" s="1"/>
      <c r="N110" s="1"/>
      <c r="O110" s="1">
        <v>0</v>
      </c>
      <c r="P110" s="1">
        <v>0</v>
      </c>
      <c r="Q110" s="1">
        <v>0</v>
      </c>
      <c r="R110" s="1">
        <v>0</v>
      </c>
      <c r="S110" s="1"/>
      <c r="T110" s="1"/>
      <c r="U110" s="1"/>
      <c r="V110" s="1"/>
      <c r="W110" s="1">
        <v>0</v>
      </c>
      <c r="X110" s="1">
        <v>0</v>
      </c>
      <c r="Y110" s="1">
        <v>0</v>
      </c>
      <c r="Z110" s="1">
        <v>0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134</v>
      </c>
      <c r="B111" s="1" t="s">
        <v>27</v>
      </c>
      <c r="C111" s="1"/>
      <c r="D111" s="1"/>
      <c r="E111" s="1"/>
      <c r="F111" s="1"/>
      <c r="G111" s="6"/>
      <c r="H111" s="6">
        <v>0.09</v>
      </c>
      <c r="I111" s="1"/>
      <c r="J111" s="1"/>
      <c r="K111" s="1"/>
      <c r="L111" s="1"/>
      <c r="M111" s="1"/>
      <c r="N111" s="1"/>
      <c r="O111" s="1">
        <v>0</v>
      </c>
      <c r="P111" s="1">
        <v>0</v>
      </c>
      <c r="Q111" s="1">
        <v>0</v>
      </c>
      <c r="R111" s="1">
        <v>0</v>
      </c>
      <c r="S111" s="1"/>
      <c r="T111" s="1"/>
      <c r="U111" s="1"/>
      <c r="V111" s="1"/>
      <c r="W111" s="1">
        <v>0</v>
      </c>
      <c r="X111" s="1">
        <v>0</v>
      </c>
      <c r="Y111" s="1">
        <v>0</v>
      </c>
      <c r="Z111" s="1">
        <v>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135</v>
      </c>
      <c r="B112" s="1" t="s">
        <v>27</v>
      </c>
      <c r="C112" s="1"/>
      <c r="D112" s="1"/>
      <c r="E112" s="1"/>
      <c r="F112" s="1"/>
      <c r="G112" s="6"/>
      <c r="H112" s="6">
        <v>0.09</v>
      </c>
      <c r="I112" s="1"/>
      <c r="J112" s="1"/>
      <c r="K112" s="1"/>
      <c r="L112" s="1"/>
      <c r="M112" s="1"/>
      <c r="N112" s="1"/>
      <c r="O112" s="1">
        <v>0</v>
      </c>
      <c r="P112" s="1">
        <v>0</v>
      </c>
      <c r="Q112" s="1">
        <v>0</v>
      </c>
      <c r="R112" s="1">
        <v>0</v>
      </c>
      <c r="S112" s="1"/>
      <c r="T112" s="1"/>
      <c r="U112" s="1"/>
      <c r="V112" s="1"/>
      <c r="W112" s="1">
        <v>0</v>
      </c>
      <c r="X112" s="1">
        <v>0</v>
      </c>
      <c r="Y112" s="1">
        <v>0</v>
      </c>
      <c r="Z112" s="1">
        <v>0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6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6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6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6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6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6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6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6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6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6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6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6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6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6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6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6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6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6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6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6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6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6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6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6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6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6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6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6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6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6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6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6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6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6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6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6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6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6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6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6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6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6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6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6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6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6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6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6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6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6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6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6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6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6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6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6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6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6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6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6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6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6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6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6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6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6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6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6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6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6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6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6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6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6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6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6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6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6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6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6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6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6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6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6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6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6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6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6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6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6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6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6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6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6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6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6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6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6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6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6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6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6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6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6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6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6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6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6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6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6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6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6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6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6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6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6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6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6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6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6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6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6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6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6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6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6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6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6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6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6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6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6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6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6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6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6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6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6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6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6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6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6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6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6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6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6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6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6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6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6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6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6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6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6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6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6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6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6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6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6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6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6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6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6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6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6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6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6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6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6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6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6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6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6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6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6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6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6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6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6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6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6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6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6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6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6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6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6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6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6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6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6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6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6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6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6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6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6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6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6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6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6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6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6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6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6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6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6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6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6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6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6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6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6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6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6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6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6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6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6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6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6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6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6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6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6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6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6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6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6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6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6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6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6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6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6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6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6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6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6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6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6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6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6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6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6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6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6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6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6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6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6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6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6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6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6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6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6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6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6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6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6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6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6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6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6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6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6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6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6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6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6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6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6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6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6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6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6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6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6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6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6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6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6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6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6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6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6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6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6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6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6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</sheetData>
  <autoFilter ref="A3:AB5" xr:uid="{4A32B068-571A-4098-AB62-37941F19D2E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2026-01-29T10:41:03Z</dcterms:created>
  <dcterms:modified xsi:type="dcterms:W3CDTF">2026-06-25T09:01:45Z</dcterms:modified>
</cp:coreProperties>
</file>