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D9126F8D-6E70-480E-97EE-52A1373B35A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25" i="1" l="1"/>
  <c r="X525" i="1"/>
  <c r="X524" i="1"/>
  <c r="BO523" i="1"/>
  <c r="BM523" i="1"/>
  <c r="Y523" i="1"/>
  <c r="AB536" i="1" s="1"/>
  <c r="P523" i="1"/>
  <c r="Y520" i="1"/>
  <c r="X520" i="1"/>
  <c r="Z519" i="1"/>
  <c r="Y519" i="1"/>
  <c r="X519" i="1"/>
  <c r="BP518" i="1"/>
  <c r="BO518" i="1"/>
  <c r="BM518" i="1"/>
  <c r="Z518" i="1"/>
  <c r="Y518" i="1"/>
  <c r="BN518" i="1" s="1"/>
  <c r="P518" i="1"/>
  <c r="BO517" i="1"/>
  <c r="BN517" i="1"/>
  <c r="BM517" i="1"/>
  <c r="Z517" i="1"/>
  <c r="Y517" i="1"/>
  <c r="BP517" i="1" s="1"/>
  <c r="P517" i="1"/>
  <c r="Y515" i="1"/>
  <c r="X515" i="1"/>
  <c r="Z514" i="1"/>
  <c r="Y514" i="1"/>
  <c r="X514" i="1"/>
  <c r="BP513" i="1"/>
  <c r="BO513" i="1"/>
  <c r="BN513" i="1"/>
  <c r="BM513" i="1"/>
  <c r="Z513" i="1"/>
  <c r="Y513" i="1"/>
  <c r="P513" i="1"/>
  <c r="Y511" i="1"/>
  <c r="X511" i="1"/>
  <c r="X510" i="1"/>
  <c r="BO509" i="1"/>
  <c r="BM509" i="1"/>
  <c r="Y509" i="1"/>
  <c r="BP509" i="1" s="1"/>
  <c r="P509" i="1"/>
  <c r="BP508" i="1"/>
  <c r="BO508" i="1"/>
  <c r="BM508" i="1"/>
  <c r="Y508" i="1"/>
  <c r="Y510" i="1" s="1"/>
  <c r="P508" i="1"/>
  <c r="Y506" i="1"/>
  <c r="X506" i="1"/>
  <c r="X505" i="1"/>
  <c r="BO504" i="1"/>
  <c r="BM504" i="1"/>
  <c r="Z504" i="1"/>
  <c r="Z505" i="1" s="1"/>
  <c r="Y504" i="1"/>
  <c r="Y505" i="1" s="1"/>
  <c r="P504" i="1"/>
  <c r="Y502" i="1"/>
  <c r="X502" i="1"/>
  <c r="X501" i="1"/>
  <c r="BO500" i="1"/>
  <c r="BM500" i="1"/>
  <c r="Z500" i="1"/>
  <c r="Z501" i="1" s="1"/>
  <c r="Y500" i="1"/>
  <c r="AA536" i="1" s="1"/>
  <c r="P500" i="1"/>
  <c r="X496" i="1"/>
  <c r="X495" i="1"/>
  <c r="BO494" i="1"/>
  <c r="BN494" i="1"/>
  <c r="BM494" i="1"/>
  <c r="Z494" i="1"/>
  <c r="Y494" i="1"/>
  <c r="BP494" i="1" s="1"/>
  <c r="P494" i="1"/>
  <c r="BO493" i="1"/>
  <c r="BM493" i="1"/>
  <c r="Y493" i="1"/>
  <c r="BP493" i="1" s="1"/>
  <c r="P493" i="1"/>
  <c r="BP492" i="1"/>
  <c r="BO492" i="1"/>
  <c r="BN492" i="1"/>
  <c r="BM492" i="1"/>
  <c r="Y492" i="1"/>
  <c r="Z492" i="1" s="1"/>
  <c r="P492" i="1"/>
  <c r="BP491" i="1"/>
  <c r="BO491" i="1"/>
  <c r="BN491" i="1"/>
  <c r="BM491" i="1"/>
  <c r="Z491" i="1"/>
  <c r="Y491" i="1"/>
  <c r="P491" i="1"/>
  <c r="BO490" i="1"/>
  <c r="BM490" i="1"/>
  <c r="Z490" i="1"/>
  <c r="Y490" i="1"/>
  <c r="BP490" i="1" s="1"/>
  <c r="P490" i="1"/>
  <c r="BP489" i="1"/>
  <c r="BO489" i="1"/>
  <c r="BM489" i="1"/>
  <c r="Y489" i="1"/>
  <c r="BN489" i="1" s="1"/>
  <c r="P489" i="1"/>
  <c r="BP488" i="1"/>
  <c r="BO488" i="1"/>
  <c r="BN488" i="1"/>
  <c r="BM488" i="1"/>
  <c r="Y488" i="1"/>
  <c r="Y496" i="1" s="1"/>
  <c r="P488" i="1"/>
  <c r="Y486" i="1"/>
  <c r="X486" i="1"/>
  <c r="Y485" i="1"/>
  <c r="X485" i="1"/>
  <c r="BP484" i="1"/>
  <c r="BO484" i="1"/>
  <c r="BN484" i="1"/>
  <c r="BM484" i="1"/>
  <c r="Y484" i="1"/>
  <c r="Z484" i="1" s="1"/>
  <c r="P484" i="1"/>
  <c r="BP483" i="1"/>
  <c r="BO483" i="1"/>
  <c r="BN483" i="1"/>
  <c r="BM483" i="1"/>
  <c r="Z483" i="1"/>
  <c r="Y483" i="1"/>
  <c r="P483" i="1"/>
  <c r="BP482" i="1"/>
  <c r="BO482" i="1"/>
  <c r="BM482" i="1"/>
  <c r="Z482" i="1"/>
  <c r="Z485" i="1" s="1"/>
  <c r="Y482" i="1"/>
  <c r="BN482" i="1" s="1"/>
  <c r="P482" i="1"/>
  <c r="X480" i="1"/>
  <c r="X479" i="1"/>
  <c r="BO478" i="1"/>
  <c r="BN478" i="1"/>
  <c r="BM478" i="1"/>
  <c r="Z478" i="1"/>
  <c r="Y478" i="1"/>
  <c r="BP478" i="1" s="1"/>
  <c r="P478" i="1"/>
  <c r="BO477" i="1"/>
  <c r="BM477" i="1"/>
  <c r="Y477" i="1"/>
  <c r="BP477" i="1" s="1"/>
  <c r="P477" i="1"/>
  <c r="BP476" i="1"/>
  <c r="BO476" i="1"/>
  <c r="BN476" i="1"/>
  <c r="BM476" i="1"/>
  <c r="Y476" i="1"/>
  <c r="Z476" i="1" s="1"/>
  <c r="P476" i="1"/>
  <c r="BP475" i="1"/>
  <c r="BO475" i="1"/>
  <c r="BN475" i="1"/>
  <c r="BM475" i="1"/>
  <c r="Z475" i="1"/>
  <c r="Y475" i="1"/>
  <c r="P475" i="1"/>
  <c r="BP474" i="1"/>
  <c r="BO474" i="1"/>
  <c r="BM474" i="1"/>
  <c r="Z474" i="1"/>
  <c r="Y474" i="1"/>
  <c r="BN474" i="1" s="1"/>
  <c r="P474" i="1"/>
  <c r="BP473" i="1"/>
  <c r="BO473" i="1"/>
  <c r="BM473" i="1"/>
  <c r="Y473" i="1"/>
  <c r="BN473" i="1" s="1"/>
  <c r="P473" i="1"/>
  <c r="BP472" i="1"/>
  <c r="BO472" i="1"/>
  <c r="BN472" i="1"/>
  <c r="BM472" i="1"/>
  <c r="Y472" i="1"/>
  <c r="Y480" i="1" s="1"/>
  <c r="P472" i="1"/>
  <c r="BP471" i="1"/>
  <c r="BO471" i="1"/>
  <c r="BN471" i="1"/>
  <c r="BM471" i="1"/>
  <c r="Y471" i="1"/>
  <c r="Z471" i="1" s="1"/>
  <c r="P471" i="1"/>
  <c r="BP470" i="1"/>
  <c r="BO470" i="1"/>
  <c r="BM470" i="1"/>
  <c r="Z470" i="1"/>
  <c r="Y470" i="1"/>
  <c r="Z536" i="1" s="1"/>
  <c r="P470" i="1"/>
  <c r="X466" i="1"/>
  <c r="X465" i="1"/>
  <c r="BP464" i="1"/>
  <c r="BO464" i="1"/>
  <c r="BM464" i="1"/>
  <c r="Z464" i="1"/>
  <c r="Y464" i="1"/>
  <c r="BN464" i="1" s="1"/>
  <c r="P464" i="1"/>
  <c r="BP463" i="1"/>
  <c r="BO463" i="1"/>
  <c r="BM463" i="1"/>
  <c r="Y463" i="1"/>
  <c r="BN463" i="1" s="1"/>
  <c r="P463" i="1"/>
  <c r="BP462" i="1"/>
  <c r="BO462" i="1"/>
  <c r="BN462" i="1"/>
  <c r="BM462" i="1"/>
  <c r="Y462" i="1"/>
  <c r="Y536" i="1" s="1"/>
  <c r="P462" i="1"/>
  <c r="Y460" i="1"/>
  <c r="X460" i="1"/>
  <c r="Y459" i="1"/>
  <c r="X459" i="1"/>
  <c r="BP458" i="1"/>
  <c r="BO458" i="1"/>
  <c r="BN458" i="1"/>
  <c r="BM458" i="1"/>
  <c r="Y458" i="1"/>
  <c r="Z458" i="1" s="1"/>
  <c r="Z459" i="1" s="1"/>
  <c r="P458" i="1"/>
  <c r="X455" i="1"/>
  <c r="Y454" i="1"/>
  <c r="X454" i="1"/>
  <c r="BO453" i="1"/>
  <c r="BM453" i="1"/>
  <c r="Y453" i="1"/>
  <c r="Y455" i="1" s="1"/>
  <c r="P453" i="1"/>
  <c r="BP452" i="1"/>
  <c r="BO452" i="1"/>
  <c r="BN452" i="1"/>
  <c r="BM452" i="1"/>
  <c r="Z452" i="1"/>
  <c r="Y452" i="1"/>
  <c r="P452" i="1"/>
  <c r="X450" i="1"/>
  <c r="X449" i="1"/>
  <c r="BP448" i="1"/>
  <c r="BO448" i="1"/>
  <c r="BN448" i="1"/>
  <c r="BM448" i="1"/>
  <c r="Z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BP446" i="1" s="1"/>
  <c r="P446" i="1"/>
  <c r="BO445" i="1"/>
  <c r="BM445" i="1"/>
  <c r="Y445" i="1"/>
  <c r="Y449" i="1" s="1"/>
  <c r="P445" i="1"/>
  <c r="BP444" i="1"/>
  <c r="BO444" i="1"/>
  <c r="BN444" i="1"/>
  <c r="BM444" i="1"/>
  <c r="Z444" i="1"/>
  <c r="Y444" i="1"/>
  <c r="P444" i="1"/>
  <c r="BO443" i="1"/>
  <c r="BN443" i="1"/>
  <c r="BM443" i="1"/>
  <c r="Z443" i="1"/>
  <c r="Y443" i="1"/>
  <c r="X536" i="1" s="1"/>
  <c r="P443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O435" i="1"/>
  <c r="BM435" i="1"/>
  <c r="Y435" i="1"/>
  <c r="BP435" i="1" s="1"/>
  <c r="P435" i="1"/>
  <c r="X433" i="1"/>
  <c r="X432" i="1"/>
  <c r="BO431" i="1"/>
  <c r="BM431" i="1"/>
  <c r="Z431" i="1"/>
  <c r="Z432" i="1" s="1"/>
  <c r="Y431" i="1"/>
  <c r="Y433" i="1" s="1"/>
  <c r="P431" i="1"/>
  <c r="X429" i="1"/>
  <c r="X428" i="1"/>
  <c r="BO427" i="1"/>
  <c r="BN427" i="1"/>
  <c r="BM427" i="1"/>
  <c r="Y427" i="1"/>
  <c r="Z427" i="1" s="1"/>
  <c r="P427" i="1"/>
  <c r="BO426" i="1"/>
  <c r="BM426" i="1"/>
  <c r="Y426" i="1"/>
  <c r="W536" i="1" s="1"/>
  <c r="P426" i="1"/>
  <c r="Y423" i="1"/>
  <c r="X423" i="1"/>
  <c r="Y422" i="1"/>
  <c r="X422" i="1"/>
  <c r="BP421" i="1"/>
  <c r="BO421" i="1"/>
  <c r="BN421" i="1"/>
  <c r="BM421" i="1"/>
  <c r="Y421" i="1"/>
  <c r="Z421" i="1" s="1"/>
  <c r="Z422" i="1" s="1"/>
  <c r="P421" i="1"/>
  <c r="Y419" i="1"/>
  <c r="X419" i="1"/>
  <c r="X418" i="1"/>
  <c r="BP417" i="1"/>
  <c r="BO417" i="1"/>
  <c r="BN417" i="1"/>
  <c r="BM417" i="1"/>
  <c r="Z417" i="1"/>
  <c r="Y417" i="1"/>
  <c r="P417" i="1"/>
  <c r="BP416" i="1"/>
  <c r="BO416" i="1"/>
  <c r="BM416" i="1"/>
  <c r="Z416" i="1"/>
  <c r="Z418" i="1" s="1"/>
  <c r="Y416" i="1"/>
  <c r="Y418" i="1" s="1"/>
  <c r="P416" i="1"/>
  <c r="X414" i="1"/>
  <c r="X413" i="1"/>
  <c r="BO412" i="1"/>
  <c r="BN412" i="1"/>
  <c r="BM412" i="1"/>
  <c r="Z412" i="1"/>
  <c r="Y412" i="1"/>
  <c r="BP412" i="1" s="1"/>
  <c r="P412" i="1"/>
  <c r="BO411" i="1"/>
  <c r="BM411" i="1"/>
  <c r="Y411" i="1"/>
  <c r="Y414" i="1" s="1"/>
  <c r="P411" i="1"/>
  <c r="BP410" i="1"/>
  <c r="BO410" i="1"/>
  <c r="BN410" i="1"/>
  <c r="BM410" i="1"/>
  <c r="Y410" i="1"/>
  <c r="Y413" i="1" s="1"/>
  <c r="P410" i="1"/>
  <c r="X408" i="1"/>
  <c r="X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N404" i="1"/>
  <c r="BM404" i="1"/>
  <c r="Z404" i="1"/>
  <c r="Y404" i="1"/>
  <c r="BP404" i="1" s="1"/>
  <c r="P404" i="1"/>
  <c r="BO403" i="1"/>
  <c r="BM403" i="1"/>
  <c r="Y403" i="1"/>
  <c r="Y407" i="1" s="1"/>
  <c r="P403" i="1"/>
  <c r="BP402" i="1"/>
  <c r="BO402" i="1"/>
  <c r="BN402" i="1"/>
  <c r="BM402" i="1"/>
  <c r="Y402" i="1"/>
  <c r="Z402" i="1" s="1"/>
  <c r="P402" i="1"/>
  <c r="BP401" i="1"/>
  <c r="BO401" i="1"/>
  <c r="BN401" i="1"/>
  <c r="BM401" i="1"/>
  <c r="Z401" i="1"/>
  <c r="Y401" i="1"/>
  <c r="P401" i="1"/>
  <c r="BP400" i="1"/>
  <c r="BO400" i="1"/>
  <c r="BM400" i="1"/>
  <c r="Z400" i="1"/>
  <c r="Y400" i="1"/>
  <c r="BN400" i="1" s="1"/>
  <c r="P400" i="1"/>
  <c r="BP399" i="1"/>
  <c r="BO399" i="1"/>
  <c r="BM399" i="1"/>
  <c r="Y399" i="1"/>
  <c r="BN399" i="1" s="1"/>
  <c r="P399" i="1"/>
  <c r="X395" i="1"/>
  <c r="X394" i="1"/>
  <c r="BO393" i="1"/>
  <c r="BM393" i="1"/>
  <c r="Y393" i="1"/>
  <c r="Y395" i="1" s="1"/>
  <c r="P393" i="1"/>
  <c r="BP392" i="1"/>
  <c r="BO392" i="1"/>
  <c r="BN392" i="1"/>
  <c r="BM392" i="1"/>
  <c r="Y392" i="1"/>
  <c r="Z392" i="1" s="1"/>
  <c r="P392" i="1"/>
  <c r="BP391" i="1"/>
  <c r="BO391" i="1"/>
  <c r="BN391" i="1"/>
  <c r="BM391" i="1"/>
  <c r="Z391" i="1"/>
  <c r="Y391" i="1"/>
  <c r="U536" i="1" s="1"/>
  <c r="P391" i="1"/>
  <c r="X388" i="1"/>
  <c r="X387" i="1"/>
  <c r="BP386" i="1"/>
  <c r="BO386" i="1"/>
  <c r="BN386" i="1"/>
  <c r="BM386" i="1"/>
  <c r="Z386" i="1"/>
  <c r="Y386" i="1"/>
  <c r="P386" i="1"/>
  <c r="BO385" i="1"/>
  <c r="BN385" i="1"/>
  <c r="BM385" i="1"/>
  <c r="Z385" i="1"/>
  <c r="Y385" i="1"/>
  <c r="BP385" i="1" s="1"/>
  <c r="P385" i="1"/>
  <c r="BO384" i="1"/>
  <c r="BM384" i="1"/>
  <c r="Y384" i="1"/>
  <c r="BP384" i="1" s="1"/>
  <c r="P384" i="1"/>
  <c r="X382" i="1"/>
  <c r="X381" i="1"/>
  <c r="BO380" i="1"/>
  <c r="BM380" i="1"/>
  <c r="Y380" i="1"/>
  <c r="BP380" i="1" s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N377" i="1"/>
  <c r="BM377" i="1"/>
  <c r="Z377" i="1"/>
  <c r="Y377" i="1"/>
  <c r="Y382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O371" i="1"/>
  <c r="BM371" i="1"/>
  <c r="Y371" i="1"/>
  <c r="BP371" i="1" s="1"/>
  <c r="P371" i="1"/>
  <c r="X369" i="1"/>
  <c r="X368" i="1"/>
  <c r="BO367" i="1"/>
  <c r="BM367" i="1"/>
  <c r="Z367" i="1"/>
  <c r="Y367" i="1"/>
  <c r="BP367" i="1" s="1"/>
  <c r="P367" i="1"/>
  <c r="BP366" i="1"/>
  <c r="BO366" i="1"/>
  <c r="BN366" i="1"/>
  <c r="BM366" i="1"/>
  <c r="Z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Y369" i="1" s="1"/>
  <c r="P364" i="1"/>
  <c r="X362" i="1"/>
  <c r="X361" i="1"/>
  <c r="BP360" i="1"/>
  <c r="BO360" i="1"/>
  <c r="BM360" i="1"/>
  <c r="Y360" i="1"/>
  <c r="BN360" i="1" s="1"/>
  <c r="P360" i="1"/>
  <c r="BO359" i="1"/>
  <c r="BM359" i="1"/>
  <c r="Z359" i="1"/>
  <c r="Y359" i="1"/>
  <c r="BP359" i="1" s="1"/>
  <c r="P359" i="1"/>
  <c r="BP358" i="1"/>
  <c r="BO358" i="1"/>
  <c r="BN358" i="1"/>
  <c r="BM358" i="1"/>
  <c r="Z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BP356" i="1" s="1"/>
  <c r="P356" i="1"/>
  <c r="BO355" i="1"/>
  <c r="BM355" i="1"/>
  <c r="Y355" i="1"/>
  <c r="Y362" i="1" s="1"/>
  <c r="P355" i="1"/>
  <c r="BP354" i="1"/>
  <c r="BO354" i="1"/>
  <c r="BN354" i="1"/>
  <c r="BM354" i="1"/>
  <c r="Z354" i="1"/>
  <c r="Y354" i="1"/>
  <c r="P354" i="1"/>
  <c r="X352" i="1"/>
  <c r="X351" i="1"/>
  <c r="BP350" i="1"/>
  <c r="BO350" i="1"/>
  <c r="BN350" i="1"/>
  <c r="BM350" i="1"/>
  <c r="Z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O347" i="1"/>
  <c r="BM347" i="1"/>
  <c r="Y347" i="1"/>
  <c r="T536" i="1" s="1"/>
  <c r="P347" i="1"/>
  <c r="BP346" i="1"/>
  <c r="BO346" i="1"/>
  <c r="BN346" i="1"/>
  <c r="BM346" i="1"/>
  <c r="Z346" i="1"/>
  <c r="Y346" i="1"/>
  <c r="P346" i="1"/>
  <c r="X343" i="1"/>
  <c r="X342" i="1"/>
  <c r="BP341" i="1"/>
  <c r="BO341" i="1"/>
  <c r="BN341" i="1"/>
  <c r="BM341" i="1"/>
  <c r="Z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BP339" i="1" s="1"/>
  <c r="P339" i="1"/>
  <c r="X336" i="1"/>
  <c r="Y335" i="1"/>
  <c r="X335" i="1"/>
  <c r="BP334" i="1"/>
  <c r="BO334" i="1"/>
  <c r="BM334" i="1"/>
  <c r="Y334" i="1"/>
  <c r="BN334" i="1" s="1"/>
  <c r="P334" i="1"/>
  <c r="BO333" i="1"/>
  <c r="BM333" i="1"/>
  <c r="Z333" i="1"/>
  <c r="Y333" i="1"/>
  <c r="BP333" i="1" s="1"/>
  <c r="P333" i="1"/>
  <c r="X331" i="1"/>
  <c r="X330" i="1"/>
  <c r="BO329" i="1"/>
  <c r="BN329" i="1"/>
  <c r="BM329" i="1"/>
  <c r="Y329" i="1"/>
  <c r="Z329" i="1" s="1"/>
  <c r="P329" i="1"/>
  <c r="BO328" i="1"/>
  <c r="BM328" i="1"/>
  <c r="Y328" i="1"/>
  <c r="BP328" i="1" s="1"/>
  <c r="P328" i="1"/>
  <c r="BP327" i="1"/>
  <c r="BO327" i="1"/>
  <c r="BM327" i="1"/>
  <c r="Y327" i="1"/>
  <c r="BN327" i="1" s="1"/>
  <c r="P327" i="1"/>
  <c r="BP326" i="1"/>
  <c r="BO326" i="1"/>
  <c r="BM326" i="1"/>
  <c r="Y326" i="1"/>
  <c r="BN326" i="1" s="1"/>
  <c r="P326" i="1"/>
  <c r="BO325" i="1"/>
  <c r="BM325" i="1"/>
  <c r="Z325" i="1"/>
  <c r="Y325" i="1"/>
  <c r="BP325" i="1" s="1"/>
  <c r="P325" i="1"/>
  <c r="X322" i="1"/>
  <c r="X321" i="1"/>
  <c r="BO320" i="1"/>
  <c r="BN320" i="1"/>
  <c r="BM320" i="1"/>
  <c r="Y320" i="1"/>
  <c r="Z320" i="1" s="1"/>
  <c r="P320" i="1"/>
  <c r="BO319" i="1"/>
  <c r="BM319" i="1"/>
  <c r="Y319" i="1"/>
  <c r="BP319" i="1" s="1"/>
  <c r="P319" i="1"/>
  <c r="BP318" i="1"/>
  <c r="BO318" i="1"/>
  <c r="BM318" i="1"/>
  <c r="Y318" i="1"/>
  <c r="Q536" i="1" s="1"/>
  <c r="P318" i="1"/>
  <c r="X315" i="1"/>
  <c r="X314" i="1"/>
  <c r="BP313" i="1"/>
  <c r="BO313" i="1"/>
  <c r="BM313" i="1"/>
  <c r="Z313" i="1"/>
  <c r="Y313" i="1"/>
  <c r="BN313" i="1" s="1"/>
  <c r="P313" i="1"/>
  <c r="BP312" i="1"/>
  <c r="BO312" i="1"/>
  <c r="BN312" i="1"/>
  <c r="BM312" i="1"/>
  <c r="Z312" i="1"/>
  <c r="Y312" i="1"/>
  <c r="P312" i="1"/>
  <c r="BO311" i="1"/>
  <c r="BN311" i="1"/>
  <c r="BM311" i="1"/>
  <c r="Y311" i="1"/>
  <c r="Z311" i="1" s="1"/>
  <c r="P311" i="1"/>
  <c r="BO310" i="1"/>
  <c r="BM310" i="1"/>
  <c r="Y310" i="1"/>
  <c r="BP310" i="1" s="1"/>
  <c r="P310" i="1"/>
  <c r="BP309" i="1"/>
  <c r="BO309" i="1"/>
  <c r="BM309" i="1"/>
  <c r="Y309" i="1"/>
  <c r="Y314" i="1" s="1"/>
  <c r="P309" i="1"/>
  <c r="X306" i="1"/>
  <c r="X305" i="1"/>
  <c r="BP304" i="1"/>
  <c r="BO304" i="1"/>
  <c r="BM304" i="1"/>
  <c r="Z304" i="1"/>
  <c r="Y304" i="1"/>
  <c r="BN304" i="1" s="1"/>
  <c r="P304" i="1"/>
  <c r="BP303" i="1"/>
  <c r="BO303" i="1"/>
  <c r="BN303" i="1"/>
  <c r="BM303" i="1"/>
  <c r="Z303" i="1"/>
  <c r="Y303" i="1"/>
  <c r="P303" i="1"/>
  <c r="BO302" i="1"/>
  <c r="BN302" i="1"/>
  <c r="BM302" i="1"/>
  <c r="Y302" i="1"/>
  <c r="Z302" i="1" s="1"/>
  <c r="P302" i="1"/>
  <c r="BO301" i="1"/>
  <c r="BM301" i="1"/>
  <c r="Y301" i="1"/>
  <c r="Y305" i="1" s="1"/>
  <c r="P301" i="1"/>
  <c r="Y299" i="1"/>
  <c r="X299" i="1"/>
  <c r="Y298" i="1"/>
  <c r="X298" i="1"/>
  <c r="BP297" i="1"/>
  <c r="BO297" i="1"/>
  <c r="BN297" i="1"/>
  <c r="BM297" i="1"/>
  <c r="Y297" i="1"/>
  <c r="Z297" i="1" s="1"/>
  <c r="Z298" i="1" s="1"/>
  <c r="P297" i="1"/>
  <c r="Y295" i="1"/>
  <c r="X295" i="1"/>
  <c r="X294" i="1"/>
  <c r="BP293" i="1"/>
  <c r="BO293" i="1"/>
  <c r="BN293" i="1"/>
  <c r="BM293" i="1"/>
  <c r="Z293" i="1"/>
  <c r="Z294" i="1" s="1"/>
  <c r="Y293" i="1"/>
  <c r="Y294" i="1" s="1"/>
  <c r="P293" i="1"/>
  <c r="X291" i="1"/>
  <c r="X290" i="1"/>
  <c r="BP289" i="1"/>
  <c r="BO289" i="1"/>
  <c r="BN289" i="1"/>
  <c r="BM289" i="1"/>
  <c r="Z289" i="1"/>
  <c r="Y289" i="1"/>
  <c r="P289" i="1"/>
  <c r="BO288" i="1"/>
  <c r="BN288" i="1"/>
  <c r="BM288" i="1"/>
  <c r="Z288" i="1"/>
  <c r="Y288" i="1"/>
  <c r="BP288" i="1" s="1"/>
  <c r="P288" i="1"/>
  <c r="BO287" i="1"/>
  <c r="BM287" i="1"/>
  <c r="Y287" i="1"/>
  <c r="BP287" i="1" s="1"/>
  <c r="P287" i="1"/>
  <c r="BP286" i="1"/>
  <c r="BO286" i="1"/>
  <c r="BN286" i="1"/>
  <c r="BM286" i="1"/>
  <c r="Y286" i="1"/>
  <c r="Z286" i="1" s="1"/>
  <c r="P286" i="1"/>
  <c r="BP285" i="1"/>
  <c r="BO285" i="1"/>
  <c r="BN285" i="1"/>
  <c r="BM285" i="1"/>
  <c r="Z285" i="1"/>
  <c r="Y285" i="1"/>
  <c r="P285" i="1"/>
  <c r="BP284" i="1"/>
  <c r="BO284" i="1"/>
  <c r="BM284" i="1"/>
  <c r="Z284" i="1"/>
  <c r="Y284" i="1"/>
  <c r="BN284" i="1" s="1"/>
  <c r="P284" i="1"/>
  <c r="BP283" i="1"/>
  <c r="BO283" i="1"/>
  <c r="BM283" i="1"/>
  <c r="Y283" i="1"/>
  <c r="BN283" i="1" s="1"/>
  <c r="P283" i="1"/>
  <c r="X280" i="1"/>
  <c r="X279" i="1"/>
  <c r="BO278" i="1"/>
  <c r="BM278" i="1"/>
  <c r="Y278" i="1"/>
  <c r="Y280" i="1" s="1"/>
  <c r="P278" i="1"/>
  <c r="BP277" i="1"/>
  <c r="BO277" i="1"/>
  <c r="BN277" i="1"/>
  <c r="BM277" i="1"/>
  <c r="Y277" i="1"/>
  <c r="Z277" i="1" s="1"/>
  <c r="P277" i="1"/>
  <c r="X275" i="1"/>
  <c r="X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N271" i="1"/>
  <c r="BM271" i="1"/>
  <c r="Z271" i="1"/>
  <c r="Y271" i="1"/>
  <c r="BP271" i="1" s="1"/>
  <c r="P271" i="1"/>
  <c r="BO270" i="1"/>
  <c r="BM270" i="1"/>
  <c r="Y270" i="1"/>
  <c r="Y274" i="1" s="1"/>
  <c r="P270" i="1"/>
  <c r="BP269" i="1"/>
  <c r="BO269" i="1"/>
  <c r="BN269" i="1"/>
  <c r="BM269" i="1"/>
  <c r="Y269" i="1"/>
  <c r="Z269" i="1" s="1"/>
  <c r="P269" i="1"/>
  <c r="BP268" i="1"/>
  <c r="BO268" i="1"/>
  <c r="BN268" i="1"/>
  <c r="BM268" i="1"/>
  <c r="Z268" i="1"/>
  <c r="Y268" i="1"/>
  <c r="P268" i="1"/>
  <c r="BP267" i="1"/>
  <c r="BO267" i="1"/>
  <c r="BM267" i="1"/>
  <c r="Z267" i="1"/>
  <c r="Y267" i="1"/>
  <c r="BN267" i="1" s="1"/>
  <c r="P267" i="1"/>
  <c r="BP266" i="1"/>
  <c r="BO266" i="1"/>
  <c r="BM266" i="1"/>
  <c r="Y266" i="1"/>
  <c r="BN266" i="1" s="1"/>
  <c r="P266" i="1"/>
  <c r="BP265" i="1"/>
  <c r="BO265" i="1"/>
  <c r="BN265" i="1"/>
  <c r="BM265" i="1"/>
  <c r="Y265" i="1"/>
  <c r="Z265" i="1" s="1"/>
  <c r="P265" i="1"/>
  <c r="BP264" i="1"/>
  <c r="BO264" i="1"/>
  <c r="BN264" i="1"/>
  <c r="BM264" i="1"/>
  <c r="Y264" i="1"/>
  <c r="Z264" i="1" s="1"/>
  <c r="P264" i="1"/>
  <c r="BP263" i="1"/>
  <c r="BO263" i="1"/>
  <c r="BM263" i="1"/>
  <c r="Z263" i="1"/>
  <c r="Y263" i="1"/>
  <c r="BN263" i="1" s="1"/>
  <c r="P263" i="1"/>
  <c r="BP262" i="1"/>
  <c r="BO262" i="1"/>
  <c r="BN262" i="1"/>
  <c r="BM262" i="1"/>
  <c r="Z262" i="1"/>
  <c r="Y262" i="1"/>
  <c r="Y275" i="1" s="1"/>
  <c r="P262" i="1"/>
  <c r="X260" i="1"/>
  <c r="X259" i="1"/>
  <c r="BP258" i="1"/>
  <c r="BO258" i="1"/>
  <c r="BM258" i="1"/>
  <c r="Y258" i="1"/>
  <c r="BN258" i="1" s="1"/>
  <c r="P258" i="1"/>
  <c r="BP257" i="1"/>
  <c r="BO257" i="1"/>
  <c r="BN257" i="1"/>
  <c r="BM257" i="1"/>
  <c r="Y257" i="1"/>
  <c r="Z257" i="1" s="1"/>
  <c r="P257" i="1"/>
  <c r="BP256" i="1"/>
  <c r="BO256" i="1"/>
  <c r="BN256" i="1"/>
  <c r="BM256" i="1"/>
  <c r="Y256" i="1"/>
  <c r="Z256" i="1" s="1"/>
  <c r="P256" i="1"/>
  <c r="BP255" i="1"/>
  <c r="BO255" i="1"/>
  <c r="BM255" i="1"/>
  <c r="Z255" i="1"/>
  <c r="Y255" i="1"/>
  <c r="BN255" i="1" s="1"/>
  <c r="P255" i="1"/>
  <c r="BP254" i="1"/>
  <c r="BO254" i="1"/>
  <c r="BN254" i="1"/>
  <c r="BM254" i="1"/>
  <c r="Z254" i="1"/>
  <c r="Y254" i="1"/>
  <c r="P254" i="1"/>
  <c r="BO253" i="1"/>
  <c r="BN253" i="1"/>
  <c r="BM253" i="1"/>
  <c r="Y253" i="1"/>
  <c r="Z253" i="1" s="1"/>
  <c r="P253" i="1"/>
  <c r="BO252" i="1"/>
  <c r="BM252" i="1"/>
  <c r="Y252" i="1"/>
  <c r="BP252" i="1" s="1"/>
  <c r="P252" i="1"/>
  <c r="BP251" i="1"/>
  <c r="BO251" i="1"/>
  <c r="BM251" i="1"/>
  <c r="Y251" i="1"/>
  <c r="Y259" i="1" s="1"/>
  <c r="P251" i="1"/>
  <c r="Y249" i="1"/>
  <c r="X249" i="1"/>
  <c r="Y248" i="1"/>
  <c r="X248" i="1"/>
  <c r="BP247" i="1"/>
  <c r="BO247" i="1"/>
  <c r="BM247" i="1"/>
  <c r="Z247" i="1"/>
  <c r="Y247" i="1"/>
  <c r="BN247" i="1" s="1"/>
  <c r="P247" i="1"/>
  <c r="BP246" i="1"/>
  <c r="BO246" i="1"/>
  <c r="BN246" i="1"/>
  <c r="BM246" i="1"/>
  <c r="Z246" i="1"/>
  <c r="Z248" i="1" s="1"/>
  <c r="Y246" i="1"/>
  <c r="P246" i="1"/>
  <c r="X244" i="1"/>
  <c r="X243" i="1"/>
  <c r="BP242" i="1"/>
  <c r="BO242" i="1"/>
  <c r="BM242" i="1"/>
  <c r="Y242" i="1"/>
  <c r="BN242" i="1" s="1"/>
  <c r="P242" i="1"/>
  <c r="BP241" i="1"/>
  <c r="BO241" i="1"/>
  <c r="BN241" i="1"/>
  <c r="BM241" i="1"/>
  <c r="Y241" i="1"/>
  <c r="Y243" i="1" s="1"/>
  <c r="P241" i="1"/>
  <c r="Y238" i="1"/>
  <c r="X238" i="1"/>
  <c r="Y237" i="1"/>
  <c r="X237" i="1"/>
  <c r="BP236" i="1"/>
  <c r="BO236" i="1"/>
  <c r="BN236" i="1"/>
  <c r="BM236" i="1"/>
  <c r="Y236" i="1"/>
  <c r="Z236" i="1" s="1"/>
  <c r="Z237" i="1" s="1"/>
  <c r="P236" i="1"/>
  <c r="X234" i="1"/>
  <c r="Y233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Z230" i="1"/>
  <c r="Y230" i="1"/>
  <c r="BP230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X223" i="1"/>
  <c r="X222" i="1"/>
  <c r="BP221" i="1"/>
  <c r="BO221" i="1"/>
  <c r="BM221" i="1"/>
  <c r="Z221" i="1"/>
  <c r="Y221" i="1"/>
  <c r="BN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BP214" i="1" s="1"/>
  <c r="P214" i="1"/>
  <c r="BO213" i="1"/>
  <c r="BM213" i="1"/>
  <c r="Y213" i="1"/>
  <c r="BP213" i="1" s="1"/>
  <c r="P213" i="1"/>
  <c r="BP212" i="1"/>
  <c r="BO212" i="1"/>
  <c r="BN212" i="1"/>
  <c r="BM212" i="1"/>
  <c r="Y212" i="1"/>
  <c r="Z212" i="1" s="1"/>
  <c r="P212" i="1"/>
  <c r="BP211" i="1"/>
  <c r="BO211" i="1"/>
  <c r="BN211" i="1"/>
  <c r="BM211" i="1"/>
  <c r="Z211" i="1"/>
  <c r="Y211" i="1"/>
  <c r="P211" i="1"/>
  <c r="BP210" i="1"/>
  <c r="BO210" i="1"/>
  <c r="BM210" i="1"/>
  <c r="Z210" i="1"/>
  <c r="Y210" i="1"/>
  <c r="BN210" i="1" s="1"/>
  <c r="P210" i="1"/>
  <c r="BP209" i="1"/>
  <c r="BO209" i="1"/>
  <c r="BM209" i="1"/>
  <c r="Y209" i="1"/>
  <c r="BN209" i="1" s="1"/>
  <c r="P209" i="1"/>
  <c r="BO208" i="1"/>
  <c r="BN208" i="1"/>
  <c r="BM208" i="1"/>
  <c r="Y208" i="1"/>
  <c r="BP208" i="1" s="1"/>
  <c r="P208" i="1"/>
  <c r="Y206" i="1"/>
  <c r="X206" i="1"/>
  <c r="Y205" i="1"/>
  <c r="X205" i="1"/>
  <c r="BP204" i="1"/>
  <c r="BO204" i="1"/>
  <c r="BN204" i="1"/>
  <c r="BM204" i="1"/>
  <c r="Y204" i="1"/>
  <c r="Z204" i="1" s="1"/>
  <c r="Z205" i="1" s="1"/>
  <c r="P204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O196" i="1"/>
  <c r="BM196" i="1"/>
  <c r="Y196" i="1"/>
  <c r="Y200" i="1" s="1"/>
  <c r="P196" i="1"/>
  <c r="X192" i="1"/>
  <c r="X191" i="1"/>
  <c r="BO190" i="1"/>
  <c r="BM190" i="1"/>
  <c r="Y190" i="1"/>
  <c r="Y192" i="1" s="1"/>
  <c r="P190" i="1"/>
  <c r="X188" i="1"/>
  <c r="Y187" i="1"/>
  <c r="X187" i="1"/>
  <c r="BP186" i="1"/>
  <c r="BO186" i="1"/>
  <c r="BM186" i="1"/>
  <c r="Z186" i="1"/>
  <c r="Y186" i="1"/>
  <c r="BN186" i="1" s="1"/>
  <c r="P186" i="1"/>
  <c r="BO185" i="1"/>
  <c r="BM185" i="1"/>
  <c r="Y185" i="1"/>
  <c r="BP185" i="1" s="1"/>
  <c r="P185" i="1"/>
  <c r="Y183" i="1"/>
  <c r="X183" i="1"/>
  <c r="X182" i="1"/>
  <c r="BO181" i="1"/>
  <c r="BN181" i="1"/>
  <c r="BM181" i="1"/>
  <c r="Y181" i="1"/>
  <c r="Z181" i="1" s="1"/>
  <c r="P181" i="1"/>
  <c r="BO180" i="1"/>
  <c r="BM180" i="1"/>
  <c r="Y180" i="1"/>
  <c r="BP180" i="1" s="1"/>
  <c r="P180" i="1"/>
  <c r="BP179" i="1"/>
  <c r="BO179" i="1"/>
  <c r="BM179" i="1"/>
  <c r="Y179" i="1"/>
  <c r="BN179" i="1" s="1"/>
  <c r="P179" i="1"/>
  <c r="X177" i="1"/>
  <c r="X176" i="1"/>
  <c r="BP175" i="1"/>
  <c r="BO175" i="1"/>
  <c r="BM175" i="1"/>
  <c r="Y175" i="1"/>
  <c r="BN175" i="1" s="1"/>
  <c r="P175" i="1"/>
  <c r="BP174" i="1"/>
  <c r="BO174" i="1"/>
  <c r="BN174" i="1"/>
  <c r="BM174" i="1"/>
  <c r="Z174" i="1"/>
  <c r="Y174" i="1"/>
  <c r="P174" i="1"/>
  <c r="BO173" i="1"/>
  <c r="BN173" i="1"/>
  <c r="BM173" i="1"/>
  <c r="Y173" i="1"/>
  <c r="Z173" i="1" s="1"/>
  <c r="P173" i="1"/>
  <c r="BO172" i="1"/>
  <c r="BM172" i="1"/>
  <c r="Y172" i="1"/>
  <c r="BP172" i="1" s="1"/>
  <c r="P172" i="1"/>
  <c r="BP171" i="1"/>
  <c r="BO171" i="1"/>
  <c r="BM171" i="1"/>
  <c r="Y171" i="1"/>
  <c r="BN171" i="1" s="1"/>
  <c r="P171" i="1"/>
  <c r="BP170" i="1"/>
  <c r="BO170" i="1"/>
  <c r="BM170" i="1"/>
  <c r="Z170" i="1"/>
  <c r="Y170" i="1"/>
  <c r="BN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Y176" i="1" s="1"/>
  <c r="P166" i="1"/>
  <c r="X164" i="1"/>
  <c r="Y163" i="1"/>
  <c r="X163" i="1"/>
  <c r="BP162" i="1"/>
  <c r="BO162" i="1"/>
  <c r="BM162" i="1"/>
  <c r="Z162" i="1"/>
  <c r="Z163" i="1" s="1"/>
  <c r="Y162" i="1"/>
  <c r="BN162" i="1" s="1"/>
  <c r="P162" i="1"/>
  <c r="X160" i="1"/>
  <c r="X159" i="1"/>
  <c r="BP158" i="1"/>
  <c r="BO158" i="1"/>
  <c r="BN158" i="1"/>
  <c r="BM158" i="1"/>
  <c r="Z158" i="1"/>
  <c r="Y158" i="1"/>
  <c r="P158" i="1"/>
  <c r="BO157" i="1"/>
  <c r="BN157" i="1"/>
  <c r="BM157" i="1"/>
  <c r="Y157" i="1"/>
  <c r="Z157" i="1" s="1"/>
  <c r="Z159" i="1" s="1"/>
  <c r="P157" i="1"/>
  <c r="X154" i="1"/>
  <c r="X153" i="1"/>
  <c r="BO152" i="1"/>
  <c r="BN152" i="1"/>
  <c r="BM152" i="1"/>
  <c r="Y152" i="1"/>
  <c r="BP152" i="1" s="1"/>
  <c r="P152" i="1"/>
  <c r="BP151" i="1"/>
  <c r="BO151" i="1"/>
  <c r="BN151" i="1"/>
  <c r="BM151" i="1"/>
  <c r="Y151" i="1"/>
  <c r="Z151" i="1" s="1"/>
  <c r="P151" i="1"/>
  <c r="BP150" i="1"/>
  <c r="BO150" i="1"/>
  <c r="BM150" i="1"/>
  <c r="Y150" i="1"/>
  <c r="BN150" i="1" s="1"/>
  <c r="P150" i="1"/>
  <c r="BP149" i="1"/>
  <c r="BO149" i="1"/>
  <c r="BN149" i="1"/>
  <c r="BM149" i="1"/>
  <c r="Z149" i="1"/>
  <c r="Y149" i="1"/>
  <c r="Y154" i="1" s="1"/>
  <c r="P149" i="1"/>
  <c r="X146" i="1"/>
  <c r="X145" i="1"/>
  <c r="BP144" i="1"/>
  <c r="BO144" i="1"/>
  <c r="BM144" i="1"/>
  <c r="Y144" i="1"/>
  <c r="BN144" i="1" s="1"/>
  <c r="P144" i="1"/>
  <c r="BO143" i="1"/>
  <c r="BN143" i="1"/>
  <c r="BM143" i="1"/>
  <c r="Y143" i="1"/>
  <c r="Y145" i="1" s="1"/>
  <c r="P143" i="1"/>
  <c r="Y141" i="1"/>
  <c r="X141" i="1"/>
  <c r="Y140" i="1"/>
  <c r="X140" i="1"/>
  <c r="BP139" i="1"/>
  <c r="BO139" i="1"/>
  <c r="BN139" i="1"/>
  <c r="BM139" i="1"/>
  <c r="Y139" i="1"/>
  <c r="Z139" i="1" s="1"/>
  <c r="P139" i="1"/>
  <c r="BP138" i="1"/>
  <c r="BO138" i="1"/>
  <c r="BN138" i="1"/>
  <c r="BM138" i="1"/>
  <c r="Z138" i="1"/>
  <c r="Y138" i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Y130" i="1"/>
  <c r="X130" i="1"/>
  <c r="Z129" i="1"/>
  <c r="X129" i="1"/>
  <c r="BP128" i="1"/>
  <c r="BO128" i="1"/>
  <c r="BN128" i="1"/>
  <c r="BM128" i="1"/>
  <c r="Z128" i="1"/>
  <c r="Y128" i="1"/>
  <c r="Y129" i="1" s="1"/>
  <c r="P128" i="1"/>
  <c r="X126" i="1"/>
  <c r="X125" i="1"/>
  <c r="BO124" i="1"/>
  <c r="BM124" i="1"/>
  <c r="Y124" i="1"/>
  <c r="BP124" i="1" s="1"/>
  <c r="P124" i="1"/>
  <c r="BP123" i="1"/>
  <c r="BO123" i="1"/>
  <c r="BM123" i="1"/>
  <c r="Z123" i="1"/>
  <c r="Y123" i="1"/>
  <c r="BN123" i="1" s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Y126" i="1" s="1"/>
  <c r="P121" i="1"/>
  <c r="Y119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P115" i="1"/>
  <c r="BO115" i="1"/>
  <c r="BM115" i="1"/>
  <c r="Z115" i="1"/>
  <c r="Y115" i="1"/>
  <c r="BN115" i="1" s="1"/>
  <c r="P115" i="1"/>
  <c r="BO114" i="1"/>
  <c r="BM114" i="1"/>
  <c r="Y114" i="1"/>
  <c r="Y118" i="1" s="1"/>
  <c r="P114" i="1"/>
  <c r="BP113" i="1"/>
  <c r="BO113" i="1"/>
  <c r="BN113" i="1"/>
  <c r="BM113" i="1"/>
  <c r="Z113" i="1"/>
  <c r="Y113" i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P107" i="1"/>
  <c r="BO107" i="1"/>
  <c r="BM107" i="1"/>
  <c r="Z107" i="1"/>
  <c r="Y107" i="1"/>
  <c r="BN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Z103" i="1" s="1"/>
  <c r="P103" i="1"/>
  <c r="BO102" i="1"/>
  <c r="BM102" i="1"/>
  <c r="Y102" i="1"/>
  <c r="G536" i="1" s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P95" i="1"/>
  <c r="BO95" i="1"/>
  <c r="BN95" i="1"/>
  <c r="BM95" i="1"/>
  <c r="Z95" i="1"/>
  <c r="Y95" i="1"/>
  <c r="P95" i="1"/>
  <c r="BO94" i="1"/>
  <c r="BM94" i="1"/>
  <c r="Y94" i="1"/>
  <c r="Y99" i="1" s="1"/>
  <c r="P94" i="1"/>
  <c r="X92" i="1"/>
  <c r="Y91" i="1"/>
  <c r="X91" i="1"/>
  <c r="BP90" i="1"/>
  <c r="BO90" i="1"/>
  <c r="BM90" i="1"/>
  <c r="Y90" i="1"/>
  <c r="BN90" i="1" s="1"/>
  <c r="P90" i="1"/>
  <c r="BO89" i="1"/>
  <c r="BM89" i="1"/>
  <c r="Y89" i="1"/>
  <c r="Z89" i="1" s="1"/>
  <c r="P89" i="1"/>
  <c r="BP88" i="1"/>
  <c r="BO88" i="1"/>
  <c r="BN88" i="1"/>
  <c r="BM88" i="1"/>
  <c r="Z88" i="1"/>
  <c r="Y88" i="1"/>
  <c r="P88" i="1"/>
  <c r="BP87" i="1"/>
  <c r="BO87" i="1"/>
  <c r="BN87" i="1"/>
  <c r="BM87" i="1"/>
  <c r="Z87" i="1"/>
  <c r="Y87" i="1"/>
  <c r="F536" i="1" s="1"/>
  <c r="P87" i="1"/>
  <c r="X84" i="1"/>
  <c r="X83" i="1"/>
  <c r="BO82" i="1"/>
  <c r="BM82" i="1"/>
  <c r="Y82" i="1"/>
  <c r="BP82" i="1" s="1"/>
  <c r="P82" i="1"/>
  <c r="BP81" i="1"/>
  <c r="BO81" i="1"/>
  <c r="BM81" i="1"/>
  <c r="Y81" i="1"/>
  <c r="BN81" i="1" s="1"/>
  <c r="P81" i="1"/>
  <c r="X79" i="1"/>
  <c r="X78" i="1"/>
  <c r="BP77" i="1"/>
  <c r="BO77" i="1"/>
  <c r="BN77" i="1"/>
  <c r="BM77" i="1"/>
  <c r="Z77" i="1"/>
  <c r="Y77" i="1"/>
  <c r="P77" i="1"/>
  <c r="BO76" i="1"/>
  <c r="BN76" i="1"/>
  <c r="BM76" i="1"/>
  <c r="Y76" i="1"/>
  <c r="Z76" i="1" s="1"/>
  <c r="Z78" i="1" s="1"/>
  <c r="P76" i="1"/>
  <c r="X74" i="1"/>
  <c r="X73" i="1"/>
  <c r="BO72" i="1"/>
  <c r="BN72" i="1"/>
  <c r="BM72" i="1"/>
  <c r="Y72" i="1"/>
  <c r="BP72" i="1" s="1"/>
  <c r="P72" i="1"/>
  <c r="BP71" i="1"/>
  <c r="BO71" i="1"/>
  <c r="BN71" i="1"/>
  <c r="BM71" i="1"/>
  <c r="Y71" i="1"/>
  <c r="Z71" i="1" s="1"/>
  <c r="P71" i="1"/>
  <c r="BP70" i="1"/>
  <c r="BO70" i="1"/>
  <c r="BM70" i="1"/>
  <c r="Y70" i="1"/>
  <c r="BN70" i="1" s="1"/>
  <c r="P70" i="1"/>
  <c r="BP69" i="1"/>
  <c r="BO69" i="1"/>
  <c r="BN69" i="1"/>
  <c r="BM69" i="1"/>
  <c r="Z69" i="1"/>
  <c r="Y69" i="1"/>
  <c r="Y74" i="1" s="1"/>
  <c r="P69" i="1"/>
  <c r="X67" i="1"/>
  <c r="X66" i="1"/>
  <c r="BP65" i="1"/>
  <c r="BO65" i="1"/>
  <c r="BN65" i="1"/>
  <c r="BM65" i="1"/>
  <c r="Y65" i="1"/>
  <c r="Z65" i="1" s="1"/>
  <c r="P65" i="1"/>
  <c r="BO64" i="1"/>
  <c r="BN64" i="1"/>
  <c r="BM64" i="1"/>
  <c r="Y64" i="1"/>
  <c r="BP64" i="1" s="1"/>
  <c r="P64" i="1"/>
  <c r="BP63" i="1"/>
  <c r="BO63" i="1"/>
  <c r="BN63" i="1"/>
  <c r="BM63" i="1"/>
  <c r="Y63" i="1"/>
  <c r="Z63" i="1" s="1"/>
  <c r="P63" i="1"/>
  <c r="BP62" i="1"/>
  <c r="BO62" i="1"/>
  <c r="BM62" i="1"/>
  <c r="Y62" i="1"/>
  <c r="BN62" i="1" s="1"/>
  <c r="P62" i="1"/>
  <c r="BP61" i="1"/>
  <c r="BO61" i="1"/>
  <c r="BN61" i="1"/>
  <c r="BM61" i="1"/>
  <c r="Z61" i="1"/>
  <c r="Y61" i="1"/>
  <c r="P61" i="1"/>
  <c r="BO60" i="1"/>
  <c r="BN60" i="1"/>
  <c r="BM60" i="1"/>
  <c r="Y60" i="1"/>
  <c r="Z60" i="1" s="1"/>
  <c r="P60" i="1"/>
  <c r="BO59" i="1"/>
  <c r="BM59" i="1"/>
  <c r="Y59" i="1"/>
  <c r="Y66" i="1" s="1"/>
  <c r="P59" i="1"/>
  <c r="Y56" i="1"/>
  <c r="X56" i="1"/>
  <c r="Y55" i="1"/>
  <c r="X55" i="1"/>
  <c r="BP54" i="1"/>
  <c r="BO54" i="1"/>
  <c r="BN54" i="1"/>
  <c r="BM54" i="1"/>
  <c r="Y54" i="1"/>
  <c r="Z54" i="1" s="1"/>
  <c r="P54" i="1"/>
  <c r="BP53" i="1"/>
  <c r="BO53" i="1"/>
  <c r="BM53" i="1"/>
  <c r="Y53" i="1"/>
  <c r="BN53" i="1" s="1"/>
  <c r="P53" i="1"/>
  <c r="BP52" i="1"/>
  <c r="BO52" i="1"/>
  <c r="BN52" i="1"/>
  <c r="BM52" i="1"/>
  <c r="Z52" i="1"/>
  <c r="Y52" i="1"/>
  <c r="P52" i="1"/>
  <c r="BO51" i="1"/>
  <c r="BN51" i="1"/>
  <c r="BM51" i="1"/>
  <c r="Y51" i="1"/>
  <c r="Z51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Y44" i="1"/>
  <c r="Z44" i="1" s="1"/>
  <c r="P44" i="1"/>
  <c r="BP43" i="1"/>
  <c r="BO43" i="1"/>
  <c r="BM43" i="1"/>
  <c r="Y43" i="1"/>
  <c r="BN43" i="1" s="1"/>
  <c r="P43" i="1"/>
  <c r="BP42" i="1"/>
  <c r="BO42" i="1"/>
  <c r="BN42" i="1"/>
  <c r="BM42" i="1"/>
  <c r="Z42" i="1"/>
  <c r="Y42" i="1"/>
  <c r="C536" i="1" s="1"/>
  <c r="P42" i="1"/>
  <c r="X38" i="1"/>
  <c r="X37" i="1"/>
  <c r="BP36" i="1"/>
  <c r="BO36" i="1"/>
  <c r="BN36" i="1"/>
  <c r="BM36" i="1"/>
  <c r="Y36" i="1"/>
  <c r="Y37" i="1" s="1"/>
  <c r="P36" i="1"/>
  <c r="X34" i="1"/>
  <c r="X33" i="1"/>
  <c r="BO32" i="1"/>
  <c r="BM32" i="1"/>
  <c r="Y32" i="1"/>
  <c r="BP32" i="1" s="1"/>
  <c r="P32" i="1"/>
  <c r="BP31" i="1"/>
  <c r="BO31" i="1"/>
  <c r="BN31" i="1"/>
  <c r="BM31" i="1"/>
  <c r="Y31" i="1"/>
  <c r="Z31" i="1" s="1"/>
  <c r="P31" i="1"/>
  <c r="BP30" i="1"/>
  <c r="BO30" i="1"/>
  <c r="BN30" i="1"/>
  <c r="BM30" i="1"/>
  <c r="Z30" i="1"/>
  <c r="Y30" i="1"/>
  <c r="P30" i="1"/>
  <c r="BP29" i="1"/>
  <c r="BO29" i="1"/>
  <c r="BM29" i="1"/>
  <c r="Z29" i="1"/>
  <c r="Y29" i="1"/>
  <c r="BN29" i="1" s="1"/>
  <c r="P29" i="1"/>
  <c r="BP28" i="1"/>
  <c r="BO28" i="1"/>
  <c r="BN28" i="1"/>
  <c r="BM28" i="1"/>
  <c r="Y28" i="1"/>
  <c r="Z28" i="1" s="1"/>
  <c r="P28" i="1"/>
  <c r="BO27" i="1"/>
  <c r="BM27" i="1"/>
  <c r="Y27" i="1"/>
  <c r="Y34" i="1" s="1"/>
  <c r="P27" i="1"/>
  <c r="Y25" i="1"/>
  <c r="X25" i="1"/>
  <c r="X526" i="1" s="1"/>
  <c r="Y24" i="1"/>
  <c r="X24" i="1"/>
  <c r="X530" i="1" s="1"/>
  <c r="BP23" i="1"/>
  <c r="BO23" i="1"/>
  <c r="BN23" i="1"/>
  <c r="BM23" i="1"/>
  <c r="Y23" i="1"/>
  <c r="Z23" i="1" s="1"/>
  <c r="P23" i="1"/>
  <c r="BP22" i="1"/>
  <c r="BO22" i="1"/>
  <c r="X528" i="1" s="1"/>
  <c r="BN22" i="1"/>
  <c r="BM22" i="1"/>
  <c r="X527" i="1" s="1"/>
  <c r="Z22" i="1"/>
  <c r="Z24" i="1" s="1"/>
  <c r="Y22" i="1"/>
  <c r="B536" i="1" s="1"/>
  <c r="P22" i="1"/>
  <c r="H10" i="1"/>
  <c r="A9" i="1"/>
  <c r="F9" i="1" s="1"/>
  <c r="D7" i="1"/>
  <c r="Q6" i="1"/>
  <c r="P2" i="1"/>
  <c r="Z140" i="1" l="1"/>
  <c r="X529" i="1"/>
  <c r="Z55" i="1"/>
  <c r="Y528" i="1"/>
  <c r="J9" i="1"/>
  <c r="Z196" i="1"/>
  <c r="H536" i="1"/>
  <c r="Z32" i="1"/>
  <c r="Y135" i="1"/>
  <c r="Y177" i="1"/>
  <c r="Z213" i="1"/>
  <c r="Z270" i="1"/>
  <c r="Z278" i="1"/>
  <c r="Z279" i="1" s="1"/>
  <c r="Z287" i="1"/>
  <c r="Y290" i="1"/>
  <c r="Y306" i="1"/>
  <c r="Y315" i="1"/>
  <c r="Z384" i="1"/>
  <c r="Z387" i="1" s="1"/>
  <c r="Y387" i="1"/>
  <c r="Z393" i="1"/>
  <c r="Z394" i="1" s="1"/>
  <c r="Z403" i="1"/>
  <c r="Z411" i="1"/>
  <c r="Z477" i="1"/>
  <c r="Z493" i="1"/>
  <c r="A10" i="1"/>
  <c r="Y38" i="1"/>
  <c r="BP51" i="1"/>
  <c r="BP60" i="1"/>
  <c r="Y67" i="1"/>
  <c r="BP76" i="1"/>
  <c r="Z102" i="1"/>
  <c r="Y146" i="1"/>
  <c r="BP157" i="1"/>
  <c r="BP173" i="1"/>
  <c r="BP181" i="1"/>
  <c r="Z199" i="1"/>
  <c r="Z216" i="1"/>
  <c r="Y227" i="1"/>
  <c r="Z232" i="1"/>
  <c r="Z233" i="1" s="1"/>
  <c r="Y244" i="1"/>
  <c r="BP253" i="1"/>
  <c r="Y260" i="1"/>
  <c r="Z273" i="1"/>
  <c r="BP302" i="1"/>
  <c r="BP311" i="1"/>
  <c r="BP320" i="1"/>
  <c r="BP329" i="1"/>
  <c r="Z347" i="1"/>
  <c r="Z355" i="1"/>
  <c r="Z371" i="1"/>
  <c r="Y374" i="1"/>
  <c r="Z379" i="1"/>
  <c r="Z381" i="1" s="1"/>
  <c r="Z406" i="1"/>
  <c r="BN416" i="1"/>
  <c r="BP427" i="1"/>
  <c r="Z435" i="1"/>
  <c r="Y438" i="1"/>
  <c r="Z445" i="1"/>
  <c r="Z449" i="1" s="1"/>
  <c r="Z453" i="1"/>
  <c r="Z454" i="1" s="1"/>
  <c r="BN490" i="1"/>
  <c r="BN500" i="1"/>
  <c r="I536" i="1"/>
  <c r="BN196" i="1"/>
  <c r="BN213" i="1"/>
  <c r="Y222" i="1"/>
  <c r="BN270" i="1"/>
  <c r="BN278" i="1"/>
  <c r="BN287" i="1"/>
  <c r="Y361" i="1"/>
  <c r="BN384" i="1"/>
  <c r="BN393" i="1"/>
  <c r="BN403" i="1"/>
  <c r="BN411" i="1"/>
  <c r="BN477" i="1"/>
  <c r="BN493" i="1"/>
  <c r="J536" i="1"/>
  <c r="Z82" i="1"/>
  <c r="BN102" i="1"/>
  <c r="Z108" i="1"/>
  <c r="Z116" i="1"/>
  <c r="Z124" i="1"/>
  <c r="Y136" i="1"/>
  <c r="Z171" i="1"/>
  <c r="Z179" i="1"/>
  <c r="Y182" i="1"/>
  <c r="BN199" i="1"/>
  <c r="BN216" i="1"/>
  <c r="BN232" i="1"/>
  <c r="Z251" i="1"/>
  <c r="BN273" i="1"/>
  <c r="Y291" i="1"/>
  <c r="Z309" i="1"/>
  <c r="Z318" i="1"/>
  <c r="Z321" i="1" s="1"/>
  <c r="Y321" i="1"/>
  <c r="Z327" i="1"/>
  <c r="Y330" i="1"/>
  <c r="BN347" i="1"/>
  <c r="BN355" i="1"/>
  <c r="BN371" i="1"/>
  <c r="BN379" i="1"/>
  <c r="Y388" i="1"/>
  <c r="BN406" i="1"/>
  <c r="Y428" i="1"/>
  <c r="BN435" i="1"/>
  <c r="BN445" i="1"/>
  <c r="BN453" i="1"/>
  <c r="BP500" i="1"/>
  <c r="Z508" i="1"/>
  <c r="K536" i="1"/>
  <c r="BP196" i="1"/>
  <c r="BP270" i="1"/>
  <c r="Y375" i="1"/>
  <c r="BP393" i="1"/>
  <c r="L536" i="1"/>
  <c r="BN32" i="1"/>
  <c r="Y228" i="1"/>
  <c r="BP278" i="1"/>
  <c r="BP403" i="1"/>
  <c r="BP411" i="1"/>
  <c r="Y439" i="1"/>
  <c r="Z27" i="1"/>
  <c r="Z33" i="1" s="1"/>
  <c r="Z45" i="1"/>
  <c r="Z64" i="1"/>
  <c r="Z72" i="1"/>
  <c r="BN82" i="1"/>
  <c r="Y92" i="1"/>
  <c r="BP102" i="1"/>
  <c r="BN108" i="1"/>
  <c r="BN116" i="1"/>
  <c r="BN124" i="1"/>
  <c r="Z143" i="1"/>
  <c r="Z152" i="1"/>
  <c r="Y164" i="1"/>
  <c r="Y188" i="1"/>
  <c r="Z208" i="1"/>
  <c r="Y223" i="1"/>
  <c r="Z241" i="1"/>
  <c r="BN251" i="1"/>
  <c r="BN309" i="1"/>
  <c r="BN318" i="1"/>
  <c r="Y336" i="1"/>
  <c r="BP347" i="1"/>
  <c r="BP355" i="1"/>
  <c r="BP445" i="1"/>
  <c r="BP453" i="1"/>
  <c r="Z462" i="1"/>
  <c r="Y465" i="1"/>
  <c r="Z472" i="1"/>
  <c r="Z479" i="1" s="1"/>
  <c r="Z488" i="1"/>
  <c r="Y501" i="1"/>
  <c r="BN508" i="1"/>
  <c r="M536" i="1"/>
  <c r="Y33" i="1"/>
  <c r="Y530" i="1" s="1"/>
  <c r="Y279" i="1"/>
  <c r="Y322" i="1"/>
  <c r="Y331" i="1"/>
  <c r="Y394" i="1"/>
  <c r="Y429" i="1"/>
  <c r="O536" i="1"/>
  <c r="F10" i="1"/>
  <c r="P536" i="1"/>
  <c r="Z133" i="1"/>
  <c r="Z135" i="1" s="1"/>
  <c r="Z94" i="1"/>
  <c r="Z217" i="1"/>
  <c r="Z225" i="1"/>
  <c r="Z227" i="1" s="1"/>
  <c r="Z339" i="1"/>
  <c r="Z342" i="1" s="1"/>
  <c r="Y342" i="1"/>
  <c r="Z348" i="1"/>
  <c r="Y351" i="1"/>
  <c r="Z356" i="1"/>
  <c r="Z364" i="1"/>
  <c r="Z368" i="1" s="1"/>
  <c r="Z372" i="1"/>
  <c r="Z380" i="1"/>
  <c r="Z436" i="1"/>
  <c r="Z446" i="1"/>
  <c r="Y466" i="1"/>
  <c r="Z106" i="1"/>
  <c r="BN133" i="1"/>
  <c r="BN214" i="1"/>
  <c r="R536" i="1"/>
  <c r="Z166" i="1"/>
  <c r="Z176" i="1" s="1"/>
  <c r="Y83" i="1"/>
  <c r="Z97" i="1"/>
  <c r="Z114" i="1"/>
  <c r="Z118" i="1" s="1"/>
  <c r="Z169" i="1"/>
  <c r="Z185" i="1"/>
  <c r="Z187" i="1" s="1"/>
  <c r="Z220" i="1"/>
  <c r="BN94" i="1"/>
  <c r="BN103" i="1"/>
  <c r="Z117" i="1"/>
  <c r="Y159" i="1"/>
  <c r="BN166" i="1"/>
  <c r="Z172" i="1"/>
  <c r="Z180" i="1"/>
  <c r="BN190" i="1"/>
  <c r="Y201" i="1"/>
  <c r="BN217" i="1"/>
  <c r="BN225" i="1"/>
  <c r="Y234" i="1"/>
  <c r="Z252" i="1"/>
  <c r="Z301" i="1"/>
  <c r="Z305" i="1" s="1"/>
  <c r="Z310" i="1"/>
  <c r="Z319" i="1"/>
  <c r="Z328" i="1"/>
  <c r="BN339" i="1"/>
  <c r="BN348" i="1"/>
  <c r="BN356" i="1"/>
  <c r="BN364" i="1"/>
  <c r="BN372" i="1"/>
  <c r="BN380" i="1"/>
  <c r="Y408" i="1"/>
  <c r="Z426" i="1"/>
  <c r="Z428" i="1" s="1"/>
  <c r="BN436" i="1"/>
  <c r="BN446" i="1"/>
  <c r="Z509" i="1"/>
  <c r="S536" i="1"/>
  <c r="BN230" i="1"/>
  <c r="Y46" i="1"/>
  <c r="Z53" i="1"/>
  <c r="Z62" i="1"/>
  <c r="Y73" i="1"/>
  <c r="BN89" i="1"/>
  <c r="BN97" i="1"/>
  <c r="BN106" i="1"/>
  <c r="BN114" i="1"/>
  <c r="Y153" i="1"/>
  <c r="BN325" i="1"/>
  <c r="BN333" i="1"/>
  <c r="Y343" i="1"/>
  <c r="Y352" i="1"/>
  <c r="BN359" i="1"/>
  <c r="BN367" i="1"/>
  <c r="BP377" i="1"/>
  <c r="BN431" i="1"/>
  <c r="BP443" i="1"/>
  <c r="Y450" i="1"/>
  <c r="Y125" i="1"/>
  <c r="BN197" i="1"/>
  <c r="Z59" i="1"/>
  <c r="Y78" i="1"/>
  <c r="Z43" i="1"/>
  <c r="Z46" i="1" s="1"/>
  <c r="Z70" i="1"/>
  <c r="Z73" i="1" s="1"/>
  <c r="BN122" i="1"/>
  <c r="BN169" i="1"/>
  <c r="Z36" i="1"/>
  <c r="Z37" i="1" s="1"/>
  <c r="Y84" i="1"/>
  <c r="BP94" i="1"/>
  <c r="BP103" i="1"/>
  <c r="Y110" i="1"/>
  <c r="BN117" i="1"/>
  <c r="Z144" i="1"/>
  <c r="BP166" i="1"/>
  <c r="BN172" i="1"/>
  <c r="BN180" i="1"/>
  <c r="BP190" i="1"/>
  <c r="Z209" i="1"/>
  <c r="Z242" i="1"/>
  <c r="BN252" i="1"/>
  <c r="Z258" i="1"/>
  <c r="Z266" i="1"/>
  <c r="Z274" i="1" s="1"/>
  <c r="Z283" i="1"/>
  <c r="Z290" i="1" s="1"/>
  <c r="BN301" i="1"/>
  <c r="BN310" i="1"/>
  <c r="BN319" i="1"/>
  <c r="BN328" i="1"/>
  <c r="BP364" i="1"/>
  <c r="Z399" i="1"/>
  <c r="BN426" i="1"/>
  <c r="Z463" i="1"/>
  <c r="Z473" i="1"/>
  <c r="Z489" i="1"/>
  <c r="BN509" i="1"/>
  <c r="BN45" i="1"/>
  <c r="Z122" i="1"/>
  <c r="Z125" i="1" s="1"/>
  <c r="Z150" i="1"/>
  <c r="Z153" i="1" s="1"/>
  <c r="Z175" i="1"/>
  <c r="BN185" i="1"/>
  <c r="BN220" i="1"/>
  <c r="BN59" i="1"/>
  <c r="Y79" i="1"/>
  <c r="BP89" i="1"/>
  <c r="BP114" i="1"/>
  <c r="Y160" i="1"/>
  <c r="Z410" i="1"/>
  <c r="BP431" i="1"/>
  <c r="BN470" i="1"/>
  <c r="Y479" i="1"/>
  <c r="Y495" i="1"/>
  <c r="BN504" i="1"/>
  <c r="Z523" i="1"/>
  <c r="Z524" i="1" s="1"/>
  <c r="V536" i="1"/>
  <c r="Y47" i="1"/>
  <c r="Y526" i="1" s="1"/>
  <c r="BP59" i="1"/>
  <c r="Y191" i="1"/>
  <c r="BP301" i="1"/>
  <c r="Y381" i="1"/>
  <c r="BP426" i="1"/>
  <c r="Y98" i="1"/>
  <c r="Y368" i="1"/>
  <c r="Y432" i="1"/>
  <c r="BP504" i="1"/>
  <c r="BN523" i="1"/>
  <c r="H9" i="1"/>
  <c r="BN27" i="1"/>
  <c r="Y527" i="1" s="1"/>
  <c r="Y529" i="1" s="1"/>
  <c r="Z190" i="1"/>
  <c r="Z191" i="1" s="1"/>
  <c r="BP27" i="1"/>
  <c r="Y109" i="1"/>
  <c r="BP143" i="1"/>
  <c r="Z81" i="1"/>
  <c r="Z83" i="1" s="1"/>
  <c r="Z326" i="1"/>
  <c r="Z330" i="1" s="1"/>
  <c r="Z334" i="1"/>
  <c r="Z335" i="1" s="1"/>
  <c r="Z360" i="1"/>
  <c r="D536" i="1"/>
  <c r="Z90" i="1"/>
  <c r="Z91" i="1" s="1"/>
  <c r="BP523" i="1"/>
  <c r="E536" i="1"/>
  <c r="Y524" i="1"/>
  <c r="Z243" i="1" l="1"/>
  <c r="Z438" i="1"/>
  <c r="Z222" i="1"/>
  <c r="Z314" i="1"/>
  <c r="Z109" i="1"/>
  <c r="Z66" i="1"/>
  <c r="Z531" i="1" s="1"/>
  <c r="Z145" i="1"/>
  <c r="Z374" i="1"/>
  <c r="Z495" i="1"/>
  <c r="Z259" i="1"/>
  <c r="Z361" i="1"/>
  <c r="Z510" i="1"/>
  <c r="Z351" i="1"/>
  <c r="Z407" i="1"/>
  <c r="Z465" i="1"/>
  <c r="Z200" i="1"/>
  <c r="Z413" i="1"/>
  <c r="Z182" i="1"/>
  <c r="Z98" i="1"/>
</calcChain>
</file>

<file path=xl/sharedStrings.xml><?xml version="1.0" encoding="utf-8"?>
<sst xmlns="http://schemas.openxmlformats.org/spreadsheetml/2006/main" count="2354" uniqueCount="856">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</sst>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2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5" t="s">
        <v>0</v>
      </c>
      <c r="E1" s="626"/>
      <c r="F1" s="626"/>
      <c r="G1" s="14" t="s">
        <v>1</v>
      </c>
      <c r="H1" s="675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25" t="s">
        <v>8</v>
      </c>
      <c r="B5" s="672"/>
      <c r="C5" s="673"/>
      <c r="D5" s="682"/>
      <c r="E5" s="683"/>
      <c r="F5" s="896" t="s">
        <v>9</v>
      </c>
      <c r="G5" s="673"/>
      <c r="H5" s="682"/>
      <c r="I5" s="835"/>
      <c r="J5" s="835"/>
      <c r="K5" s="835"/>
      <c r="L5" s="835"/>
      <c r="M5" s="683"/>
      <c r="N5" s="69"/>
      <c r="P5" s="26" t="s">
        <v>10</v>
      </c>
      <c r="Q5" s="909">
        <v>46202</v>
      </c>
      <c r="R5" s="724"/>
      <c r="T5" s="773" t="s">
        <v>11</v>
      </c>
      <c r="U5" s="679"/>
      <c r="V5" s="775" t="s">
        <v>12</v>
      </c>
      <c r="W5" s="724"/>
      <c r="AB5" s="57"/>
      <c r="AC5" s="57"/>
      <c r="AD5" s="57"/>
      <c r="AE5" s="57"/>
    </row>
    <row r="6" spans="1:32" s="17" customFormat="1" ht="24" customHeight="1" x14ac:dyDescent="0.2">
      <c r="A6" s="725" t="s">
        <v>13</v>
      </c>
      <c r="B6" s="672"/>
      <c r="C6" s="673"/>
      <c r="D6" s="837" t="s">
        <v>817</v>
      </c>
      <c r="E6" s="838"/>
      <c r="F6" s="838"/>
      <c r="G6" s="838"/>
      <c r="H6" s="838"/>
      <c r="I6" s="838"/>
      <c r="J6" s="838"/>
      <c r="K6" s="838"/>
      <c r="L6" s="838"/>
      <c r="M6" s="724"/>
      <c r="N6" s="70"/>
      <c r="P6" s="26" t="s">
        <v>14</v>
      </c>
      <c r="Q6" s="920" t="str">
        <f>IF(Q5=0," ",CHOOSE(WEEKDAY(Q5,2),"Понедельник","Вторник","Среда","Четверг","Пятница","Суббота","Воскресенье"))</f>
        <v>Понедельник</v>
      </c>
      <c r="R6" s="599"/>
      <c r="T6" s="779" t="s">
        <v>15</v>
      </c>
      <c r="U6" s="679"/>
      <c r="V6" s="825" t="s">
        <v>16</v>
      </c>
      <c r="W6" s="64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1" t="str">
        <f>IFERROR(VLOOKUP(DeliveryAddress,Table,3,0),1)</f>
        <v>1</v>
      </c>
      <c r="E7" s="652"/>
      <c r="F7" s="652"/>
      <c r="G7" s="652"/>
      <c r="H7" s="652"/>
      <c r="I7" s="652"/>
      <c r="J7" s="652"/>
      <c r="K7" s="652"/>
      <c r="L7" s="652"/>
      <c r="M7" s="653"/>
      <c r="N7" s="71"/>
      <c r="P7" s="26"/>
      <c r="Q7" s="46"/>
      <c r="R7" s="46"/>
      <c r="T7" s="605"/>
      <c r="U7" s="679"/>
      <c r="V7" s="826"/>
      <c r="W7" s="827"/>
      <c r="AB7" s="57"/>
      <c r="AC7" s="57"/>
      <c r="AD7" s="57"/>
      <c r="AE7" s="57"/>
    </row>
    <row r="8" spans="1:32" s="17" customFormat="1" ht="25.5" customHeight="1" x14ac:dyDescent="0.2">
      <c r="A8" s="936" t="s">
        <v>17</v>
      </c>
      <c r="B8" s="596"/>
      <c r="C8" s="597"/>
      <c r="D8" s="662"/>
      <c r="E8" s="663"/>
      <c r="F8" s="663"/>
      <c r="G8" s="663"/>
      <c r="H8" s="663"/>
      <c r="I8" s="663"/>
      <c r="J8" s="663"/>
      <c r="K8" s="663"/>
      <c r="L8" s="663"/>
      <c r="M8" s="664"/>
      <c r="N8" s="72"/>
      <c r="P8" s="26" t="s">
        <v>18</v>
      </c>
      <c r="Q8" s="732">
        <v>0.41666666666666669</v>
      </c>
      <c r="R8" s="653"/>
      <c r="T8" s="605"/>
      <c r="U8" s="679"/>
      <c r="V8" s="826"/>
      <c r="W8" s="827"/>
      <c r="AB8" s="57"/>
      <c r="AC8" s="57"/>
      <c r="AD8" s="57"/>
      <c r="AE8" s="57"/>
    </row>
    <row r="9" spans="1:32" s="17" customFormat="1" ht="39.950000000000003" customHeight="1" x14ac:dyDescent="0.2">
      <c r="A9" s="7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5"/>
      <c r="C9" s="605"/>
      <c r="D9" s="743"/>
      <c r="E9" s="612"/>
      <c r="F9" s="7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5"/>
      <c r="H9" s="61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6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67"/>
      <c r="P9" s="29" t="s">
        <v>19</v>
      </c>
      <c r="Q9" s="720"/>
      <c r="R9" s="721"/>
      <c r="T9" s="605"/>
      <c r="U9" s="679"/>
      <c r="V9" s="828"/>
      <c r="W9" s="82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5"/>
      <c r="C10" s="605"/>
      <c r="D10" s="743"/>
      <c r="E10" s="612"/>
      <c r="F10" s="7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5"/>
      <c r="H10" s="817" t="str">
        <f>IFERROR(VLOOKUP($D$10,Proxy,2,FALSE),"")</f>
        <v/>
      </c>
      <c r="I10" s="605"/>
      <c r="J10" s="605"/>
      <c r="K10" s="605"/>
      <c r="L10" s="605"/>
      <c r="M10" s="605"/>
      <c r="N10" s="68"/>
      <c r="P10" s="29" t="s">
        <v>20</v>
      </c>
      <c r="Q10" s="780"/>
      <c r="R10" s="781"/>
      <c r="U10" s="26" t="s">
        <v>21</v>
      </c>
      <c r="V10" s="644" t="s">
        <v>22</v>
      </c>
      <c r="W10" s="6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23"/>
      <c r="R11" s="724"/>
      <c r="U11" s="26" t="s">
        <v>25</v>
      </c>
      <c r="V11" s="857" t="s">
        <v>26</v>
      </c>
      <c r="W11" s="7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69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73"/>
      <c r="P12" s="26" t="s">
        <v>28</v>
      </c>
      <c r="Q12" s="732"/>
      <c r="R12" s="653"/>
      <c r="S12" s="27"/>
      <c r="U12" s="26"/>
      <c r="V12" s="626"/>
      <c r="W12" s="605"/>
      <c r="AB12" s="57"/>
      <c r="AC12" s="57"/>
      <c r="AD12" s="57"/>
      <c r="AE12" s="57"/>
    </row>
    <row r="13" spans="1:32" s="17" customFormat="1" ht="23.25" customHeight="1" x14ac:dyDescent="0.2">
      <c r="A13" s="769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73"/>
      <c r="O13" s="29"/>
      <c r="P13" s="29" t="s">
        <v>30</v>
      </c>
      <c r="Q13" s="857"/>
      <c r="R13" s="72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69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4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74"/>
      <c r="P15" s="756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57"/>
      <c r="Q16" s="757"/>
      <c r="R16" s="757"/>
      <c r="S16" s="757"/>
      <c r="T16" s="7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8" t="s">
        <v>34</v>
      </c>
      <c r="B17" s="638" t="s">
        <v>35</v>
      </c>
      <c r="C17" s="741" t="s">
        <v>36</v>
      </c>
      <c r="D17" s="638" t="s">
        <v>37</v>
      </c>
      <c r="E17" s="706"/>
      <c r="F17" s="638" t="s">
        <v>38</v>
      </c>
      <c r="G17" s="638" t="s">
        <v>39</v>
      </c>
      <c r="H17" s="638" t="s">
        <v>40</v>
      </c>
      <c r="I17" s="638" t="s">
        <v>41</v>
      </c>
      <c r="J17" s="638" t="s">
        <v>42</v>
      </c>
      <c r="K17" s="638" t="s">
        <v>43</v>
      </c>
      <c r="L17" s="638" t="s">
        <v>44</v>
      </c>
      <c r="M17" s="638" t="s">
        <v>45</v>
      </c>
      <c r="N17" s="638" t="s">
        <v>46</v>
      </c>
      <c r="O17" s="638" t="s">
        <v>47</v>
      </c>
      <c r="P17" s="638" t="s">
        <v>48</v>
      </c>
      <c r="Q17" s="705"/>
      <c r="R17" s="705"/>
      <c r="S17" s="705"/>
      <c r="T17" s="706"/>
      <c r="U17" s="928" t="s">
        <v>49</v>
      </c>
      <c r="V17" s="673"/>
      <c r="W17" s="638" t="s">
        <v>50</v>
      </c>
      <c r="X17" s="638" t="s">
        <v>51</v>
      </c>
      <c r="Y17" s="929" t="s">
        <v>52</v>
      </c>
      <c r="Z17" s="833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0"/>
      <c r="AF17" s="891"/>
      <c r="AG17" s="77"/>
      <c r="BD17" s="76" t="s">
        <v>58</v>
      </c>
    </row>
    <row r="18" spans="1:68" ht="14.25" customHeight="1" x14ac:dyDescent="0.2">
      <c r="A18" s="639"/>
      <c r="B18" s="639"/>
      <c r="C18" s="639"/>
      <c r="D18" s="707"/>
      <c r="E18" s="709"/>
      <c r="F18" s="639"/>
      <c r="G18" s="639"/>
      <c r="H18" s="639"/>
      <c r="I18" s="639"/>
      <c r="J18" s="639"/>
      <c r="K18" s="639"/>
      <c r="L18" s="639"/>
      <c r="M18" s="639"/>
      <c r="N18" s="639"/>
      <c r="O18" s="639"/>
      <c r="P18" s="707"/>
      <c r="Q18" s="708"/>
      <c r="R18" s="708"/>
      <c r="S18" s="708"/>
      <c r="T18" s="709"/>
      <c r="U18" s="78" t="s">
        <v>59</v>
      </c>
      <c r="V18" s="78" t="s">
        <v>60</v>
      </c>
      <c r="W18" s="639"/>
      <c r="X18" s="639"/>
      <c r="Y18" s="930"/>
      <c r="Z18" s="834"/>
      <c r="AA18" s="816"/>
      <c r="AB18" s="816"/>
      <c r="AC18" s="816"/>
      <c r="AD18" s="892"/>
      <c r="AE18" s="893"/>
      <c r="AF18" s="894"/>
      <c r="AG18" s="77"/>
      <c r="BD18" s="76"/>
    </row>
    <row r="19" spans="1:68" ht="27.75" customHeight="1" x14ac:dyDescent="0.2">
      <c r="A19" s="752" t="s">
        <v>61</v>
      </c>
      <c r="B19" s="753"/>
      <c r="C19" s="753"/>
      <c r="D19" s="753"/>
      <c r="E19" s="753"/>
      <c r="F19" s="753"/>
      <c r="G19" s="753"/>
      <c r="H19" s="753"/>
      <c r="I19" s="753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53"/>
      <c r="Z19" s="753"/>
      <c r="AA19" s="52"/>
      <c r="AB19" s="52"/>
      <c r="AC19" s="52"/>
    </row>
    <row r="20" spans="1:68" ht="16.5" customHeight="1" x14ac:dyDescent="0.25">
      <c r="A20" s="610" t="s">
        <v>61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2"/>
      <c r="AB20" s="62"/>
      <c r="AC20" s="62"/>
    </row>
    <row r="21" spans="1:68" ht="14.25" customHeight="1" x14ac:dyDescent="0.25">
      <c r="A21" s="609" t="s">
        <v>62</v>
      </c>
      <c r="B21" s="605"/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/>
      <c r="S21" s="605"/>
      <c r="T21" s="605"/>
      <c r="U21" s="605"/>
      <c r="V21" s="605"/>
      <c r="W21" s="605"/>
      <c r="X21" s="605"/>
      <c r="Y21" s="605"/>
      <c r="Z21" s="605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598">
        <v>4680115886643</v>
      </c>
      <c r="E22" s="59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1"/>
      <c r="R22" s="601"/>
      <c r="S22" s="601"/>
      <c r="T22" s="602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598">
        <v>4680115889071</v>
      </c>
      <c r="E23" s="59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1"/>
      <c r="R23" s="601"/>
      <c r="S23" s="601"/>
      <c r="T23" s="602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04"/>
      <c r="B24" s="605"/>
      <c r="C24" s="605"/>
      <c r="D24" s="605"/>
      <c r="E24" s="605"/>
      <c r="F24" s="605"/>
      <c r="G24" s="605"/>
      <c r="H24" s="605"/>
      <c r="I24" s="605"/>
      <c r="J24" s="605"/>
      <c r="K24" s="605"/>
      <c r="L24" s="605"/>
      <c r="M24" s="605"/>
      <c r="N24" s="605"/>
      <c r="O24" s="606"/>
      <c r="P24" s="595" t="s">
        <v>72</v>
      </c>
      <c r="Q24" s="596"/>
      <c r="R24" s="596"/>
      <c r="S24" s="596"/>
      <c r="T24" s="596"/>
      <c r="U24" s="596"/>
      <c r="V24" s="597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5"/>
      <c r="B25" s="605"/>
      <c r="C25" s="605"/>
      <c r="D25" s="605"/>
      <c r="E25" s="605"/>
      <c r="F25" s="605"/>
      <c r="G25" s="605"/>
      <c r="H25" s="605"/>
      <c r="I25" s="605"/>
      <c r="J25" s="605"/>
      <c r="K25" s="605"/>
      <c r="L25" s="605"/>
      <c r="M25" s="605"/>
      <c r="N25" s="605"/>
      <c r="O25" s="606"/>
      <c r="P25" s="595" t="s">
        <v>72</v>
      </c>
      <c r="Q25" s="596"/>
      <c r="R25" s="596"/>
      <c r="S25" s="596"/>
      <c r="T25" s="596"/>
      <c r="U25" s="596"/>
      <c r="V25" s="597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09" t="s">
        <v>74</v>
      </c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605"/>
      <c r="T26" s="605"/>
      <c r="U26" s="605"/>
      <c r="V26" s="605"/>
      <c r="W26" s="605"/>
      <c r="X26" s="605"/>
      <c r="Y26" s="605"/>
      <c r="Z26" s="605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598">
        <v>4680115885912</v>
      </c>
      <c r="E27" s="59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1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1"/>
      <c r="R27" s="601"/>
      <c r="S27" s="601"/>
      <c r="T27" s="602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598">
        <v>4607091388237</v>
      </c>
      <c r="E28" s="59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1"/>
      <c r="R28" s="601"/>
      <c r="S28" s="601"/>
      <c r="T28" s="602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598">
        <v>4680115887350</v>
      </c>
      <c r="E29" s="59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1"/>
      <c r="R29" s="601"/>
      <c r="S29" s="601"/>
      <c r="T29" s="602"/>
      <c r="U29" s="37"/>
      <c r="V29" s="37"/>
      <c r="W29" s="38" t="s">
        <v>67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598">
        <v>4680115885905</v>
      </c>
      <c r="E30" s="59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1"/>
      <c r="R30" s="601"/>
      <c r="S30" s="601"/>
      <c r="T30" s="602"/>
      <c r="U30" s="37"/>
      <c r="V30" s="37"/>
      <c r="W30" s="38" t="s">
        <v>67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4301052078</v>
      </c>
      <c r="D31" s="598">
        <v>4680115887657</v>
      </c>
      <c r="E31" s="59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1"/>
      <c r="R31" s="601"/>
      <c r="S31" s="601"/>
      <c r="T31" s="602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92</v>
      </c>
      <c r="B32" s="60" t="s">
        <v>93</v>
      </c>
      <c r="C32" s="34">
        <v>4301052071</v>
      </c>
      <c r="D32" s="598">
        <v>4680115887619</v>
      </c>
      <c r="E32" s="599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1"/>
      <c r="R32" s="601"/>
      <c r="S32" s="601"/>
      <c r="T32" s="602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4"/>
      <c r="B33" s="605"/>
      <c r="C33" s="605"/>
      <c r="D33" s="605"/>
      <c r="E33" s="605"/>
      <c r="F33" s="605"/>
      <c r="G33" s="605"/>
      <c r="H33" s="605"/>
      <c r="I33" s="605"/>
      <c r="J33" s="605"/>
      <c r="K33" s="605"/>
      <c r="L33" s="605"/>
      <c r="M33" s="605"/>
      <c r="N33" s="605"/>
      <c r="O33" s="606"/>
      <c r="P33" s="595" t="s">
        <v>72</v>
      </c>
      <c r="Q33" s="596"/>
      <c r="R33" s="596"/>
      <c r="S33" s="596"/>
      <c r="T33" s="596"/>
      <c r="U33" s="596"/>
      <c r="V33" s="597"/>
      <c r="W33" s="40" t="s">
        <v>73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05"/>
      <c r="B34" s="605"/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6"/>
      <c r="P34" s="595" t="s">
        <v>72</v>
      </c>
      <c r="Q34" s="596"/>
      <c r="R34" s="596"/>
      <c r="S34" s="596"/>
      <c r="T34" s="596"/>
      <c r="U34" s="596"/>
      <c r="V34" s="597"/>
      <c r="W34" s="40" t="s">
        <v>67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09" t="s">
        <v>95</v>
      </c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605"/>
      <c r="R35" s="605"/>
      <c r="S35" s="605"/>
      <c r="T35" s="605"/>
      <c r="U35" s="605"/>
      <c r="V35" s="605"/>
      <c r="W35" s="605"/>
      <c r="X35" s="605"/>
      <c r="Y35" s="605"/>
      <c r="Z35" s="605"/>
      <c r="AA35" s="63"/>
      <c r="AB35" s="63"/>
      <c r="AC35" s="63"/>
    </row>
    <row r="36" spans="1:68" ht="27" customHeight="1" x14ac:dyDescent="0.25">
      <c r="A36" s="60" t="s">
        <v>96</v>
      </c>
      <c r="B36" s="60" t="s">
        <v>97</v>
      </c>
      <c r="C36" s="34">
        <v>4301032013</v>
      </c>
      <c r="D36" s="598">
        <v>4607091388503</v>
      </c>
      <c r="E36" s="599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7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1"/>
      <c r="R36" s="601"/>
      <c r="S36" s="601"/>
      <c r="T36" s="602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04"/>
      <c r="B37" s="605"/>
      <c r="C37" s="605"/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6"/>
      <c r="P37" s="595" t="s">
        <v>72</v>
      </c>
      <c r="Q37" s="596"/>
      <c r="R37" s="596"/>
      <c r="S37" s="596"/>
      <c r="T37" s="596"/>
      <c r="U37" s="596"/>
      <c r="V37" s="597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5"/>
      <c r="B38" s="605"/>
      <c r="C38" s="605"/>
      <c r="D38" s="605"/>
      <c r="E38" s="605"/>
      <c r="F38" s="605"/>
      <c r="G38" s="605"/>
      <c r="H38" s="605"/>
      <c r="I38" s="605"/>
      <c r="J38" s="605"/>
      <c r="K38" s="605"/>
      <c r="L38" s="605"/>
      <c r="M38" s="605"/>
      <c r="N38" s="605"/>
      <c r="O38" s="606"/>
      <c r="P38" s="595" t="s">
        <v>72</v>
      </c>
      <c r="Q38" s="596"/>
      <c r="R38" s="596"/>
      <c r="S38" s="596"/>
      <c r="T38" s="596"/>
      <c r="U38" s="596"/>
      <c r="V38" s="597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752" t="s">
        <v>101</v>
      </c>
      <c r="B39" s="753"/>
      <c r="C39" s="753"/>
      <c r="D39" s="753"/>
      <c r="E39" s="753"/>
      <c r="F39" s="753"/>
      <c r="G39" s="753"/>
      <c r="H39" s="75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Y39" s="753"/>
      <c r="Z39" s="753"/>
      <c r="AA39" s="52"/>
      <c r="AB39" s="52"/>
      <c r="AC39" s="52"/>
    </row>
    <row r="40" spans="1:68" ht="16.5" customHeight="1" x14ac:dyDescent="0.25">
      <c r="A40" s="610" t="s">
        <v>102</v>
      </c>
      <c r="B40" s="605"/>
      <c r="C40" s="605"/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605"/>
      <c r="T40" s="605"/>
      <c r="U40" s="605"/>
      <c r="V40" s="605"/>
      <c r="W40" s="605"/>
      <c r="X40" s="605"/>
      <c r="Y40" s="605"/>
      <c r="Z40" s="605"/>
      <c r="AA40" s="62"/>
      <c r="AB40" s="62"/>
      <c r="AC40" s="62"/>
    </row>
    <row r="41" spans="1:68" ht="14.25" customHeight="1" x14ac:dyDescent="0.25">
      <c r="A41" s="609" t="s">
        <v>74</v>
      </c>
      <c r="B41" s="605"/>
      <c r="C41" s="605"/>
      <c r="D41" s="605"/>
      <c r="E41" s="605"/>
      <c r="F41" s="605"/>
      <c r="G41" s="605"/>
      <c r="H41" s="605"/>
      <c r="I41" s="605"/>
      <c r="J41" s="605"/>
      <c r="K41" s="605"/>
      <c r="L41" s="605"/>
      <c r="M41" s="605"/>
      <c r="N41" s="605"/>
      <c r="O41" s="605"/>
      <c r="P41" s="605"/>
      <c r="Q41" s="605"/>
      <c r="R41" s="605"/>
      <c r="S41" s="605"/>
      <c r="T41" s="605"/>
      <c r="U41" s="605"/>
      <c r="V41" s="605"/>
      <c r="W41" s="605"/>
      <c r="X41" s="605"/>
      <c r="Y41" s="605"/>
      <c r="Z41" s="605"/>
      <c r="AA41" s="63"/>
      <c r="AB41" s="63"/>
      <c r="AC41" s="63"/>
    </row>
    <row r="42" spans="1:68" ht="27" customHeight="1" x14ac:dyDescent="0.25">
      <c r="A42" s="60" t="s">
        <v>103</v>
      </c>
      <c r="B42" s="60" t="s">
        <v>104</v>
      </c>
      <c r="C42" s="34">
        <v>4301052198</v>
      </c>
      <c r="D42" s="598">
        <v>4680115888463</v>
      </c>
      <c r="E42" s="599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1"/>
      <c r="R42" s="601"/>
      <c r="S42" s="601"/>
      <c r="T42" s="602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106</v>
      </c>
      <c r="B43" s="60" t="s">
        <v>107</v>
      </c>
      <c r="C43" s="34">
        <v>4301052202</v>
      </c>
      <c r="D43" s="598">
        <v>4680115888494</v>
      </c>
      <c r="E43" s="599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1"/>
      <c r="R43" s="601"/>
      <c r="S43" s="601"/>
      <c r="T43" s="602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109</v>
      </c>
      <c r="B44" s="60" t="s">
        <v>110</v>
      </c>
      <c r="C44" s="34">
        <v>4301052184</v>
      </c>
      <c r="D44" s="598">
        <v>4680115888272</v>
      </c>
      <c r="E44" s="599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1"/>
      <c r="R44" s="601"/>
      <c r="S44" s="601"/>
      <c r="T44" s="602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112</v>
      </c>
      <c r="B45" s="60" t="s">
        <v>113</v>
      </c>
      <c r="C45" s="34">
        <v>4301052188</v>
      </c>
      <c r="D45" s="598">
        <v>4680115888364</v>
      </c>
      <c r="E45" s="599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1"/>
      <c r="R45" s="601"/>
      <c r="S45" s="601"/>
      <c r="T45" s="602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4"/>
      <c r="B46" s="605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6"/>
      <c r="P46" s="595" t="s">
        <v>72</v>
      </c>
      <c r="Q46" s="596"/>
      <c r="R46" s="596"/>
      <c r="S46" s="596"/>
      <c r="T46" s="596"/>
      <c r="U46" s="596"/>
      <c r="V46" s="597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5"/>
      <c r="B47" s="605"/>
      <c r="C47" s="605"/>
      <c r="D47" s="605"/>
      <c r="E47" s="605"/>
      <c r="F47" s="605"/>
      <c r="G47" s="605"/>
      <c r="H47" s="605"/>
      <c r="I47" s="605"/>
      <c r="J47" s="605"/>
      <c r="K47" s="605"/>
      <c r="L47" s="605"/>
      <c r="M47" s="605"/>
      <c r="N47" s="605"/>
      <c r="O47" s="606"/>
      <c r="P47" s="595" t="s">
        <v>72</v>
      </c>
      <c r="Q47" s="596"/>
      <c r="R47" s="596"/>
      <c r="S47" s="596"/>
      <c r="T47" s="596"/>
      <c r="U47" s="596"/>
      <c r="V47" s="597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752" t="s">
        <v>115</v>
      </c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  <c r="Q48" s="753"/>
      <c r="R48" s="753"/>
      <c r="S48" s="753"/>
      <c r="T48" s="753"/>
      <c r="U48" s="753"/>
      <c r="V48" s="753"/>
      <c r="W48" s="753"/>
      <c r="X48" s="753"/>
      <c r="Y48" s="753"/>
      <c r="Z48" s="753"/>
      <c r="AA48" s="52"/>
      <c r="AB48" s="52"/>
      <c r="AC48" s="52"/>
    </row>
    <row r="49" spans="1:68" ht="16.5" customHeight="1" x14ac:dyDescent="0.25">
      <c r="A49" s="610" t="s">
        <v>116</v>
      </c>
      <c r="B49" s="605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5"/>
      <c r="N49" s="605"/>
      <c r="O49" s="605"/>
      <c r="P49" s="605"/>
      <c r="Q49" s="605"/>
      <c r="R49" s="605"/>
      <c r="S49" s="605"/>
      <c r="T49" s="605"/>
      <c r="U49" s="605"/>
      <c r="V49" s="605"/>
      <c r="W49" s="605"/>
      <c r="X49" s="605"/>
      <c r="Y49" s="605"/>
      <c r="Z49" s="605"/>
      <c r="AA49" s="62"/>
      <c r="AB49" s="62"/>
      <c r="AC49" s="62"/>
    </row>
    <row r="50" spans="1:68" ht="14.25" customHeight="1" x14ac:dyDescent="0.25">
      <c r="A50" s="609" t="s">
        <v>117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5"/>
      <c r="V50" s="605"/>
      <c r="W50" s="605"/>
      <c r="X50" s="605"/>
      <c r="Y50" s="605"/>
      <c r="Z50" s="605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598">
        <v>4607091385670</v>
      </c>
      <c r="E51" s="599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1"/>
      <c r="R51" s="601"/>
      <c r="S51" s="601"/>
      <c r="T51" s="602"/>
      <c r="U51" s="37"/>
      <c r="V51" s="37"/>
      <c r="W51" s="38" t="s">
        <v>67</v>
      </c>
      <c r="X51" s="56">
        <v>300</v>
      </c>
      <c r="Y51" s="53">
        <f>IFERROR(IF(X51="",0,CEILING((X51/$H51),1)*$H51),"")</f>
        <v>302.40000000000003</v>
      </c>
      <c r="Z51" s="39">
        <f>IFERROR(IF(Y51=0,"",ROUNDUP(Y51/H51,0)*0.01898),"")</f>
        <v>0.53144000000000002</v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311.38888888888891</v>
      </c>
      <c r="BN51" s="75">
        <f>IFERROR(Y51*I51/H51,"0")</f>
        <v>313.88</v>
      </c>
      <c r="BO51" s="75">
        <f>IFERROR(1/J51*(X51/H51),"0")</f>
        <v>0.43402777777777773</v>
      </c>
      <c r="BP51" s="75">
        <f>IFERROR(1/J51*(Y51/H51),"0")</f>
        <v>0.4375</v>
      </c>
    </row>
    <row r="52" spans="1:68" ht="27" customHeight="1" x14ac:dyDescent="0.25">
      <c r="A52" s="60" t="s">
        <v>123</v>
      </c>
      <c r="B52" s="60" t="s">
        <v>124</v>
      </c>
      <c r="C52" s="34">
        <v>4301012053</v>
      </c>
      <c r="D52" s="598">
        <v>4680115887725</v>
      </c>
      <c r="E52" s="599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1"/>
      <c r="R52" s="601"/>
      <c r="S52" s="601"/>
      <c r="T52" s="602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127</v>
      </c>
      <c r="B53" s="60" t="s">
        <v>128</v>
      </c>
      <c r="C53" s="34">
        <v>4301011382</v>
      </c>
      <c r="D53" s="598">
        <v>4607091385687</v>
      </c>
      <c r="E53" s="599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1"/>
      <c r="R53" s="601"/>
      <c r="S53" s="601"/>
      <c r="T53" s="602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130</v>
      </c>
      <c r="B54" s="60" t="s">
        <v>131</v>
      </c>
      <c r="C54" s="34">
        <v>4301011565</v>
      </c>
      <c r="D54" s="598">
        <v>4680115882539</v>
      </c>
      <c r="E54" s="599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1"/>
      <c r="R54" s="601"/>
      <c r="S54" s="601"/>
      <c r="T54" s="602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4"/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605"/>
      <c r="N55" s="605"/>
      <c r="O55" s="606"/>
      <c r="P55" s="595" t="s">
        <v>72</v>
      </c>
      <c r="Q55" s="596"/>
      <c r="R55" s="596"/>
      <c r="S55" s="596"/>
      <c r="T55" s="596"/>
      <c r="U55" s="596"/>
      <c r="V55" s="597"/>
      <c r="W55" s="40" t="s">
        <v>73</v>
      </c>
      <c r="X55" s="41">
        <f>IFERROR(X51/H51,"0")+IFERROR(X52/H52,"0")+IFERROR(X53/H53,"0")+IFERROR(X54/H54,"0")</f>
        <v>27.777777777777775</v>
      </c>
      <c r="Y55" s="41">
        <f>IFERROR(Y51/H51,"0")+IFERROR(Y52/H52,"0")+IFERROR(Y53/H53,"0")+IFERROR(Y54/H54,"0")</f>
        <v>28</v>
      </c>
      <c r="Z55" s="41">
        <f>IFERROR(IF(Z51="",0,Z51),"0")+IFERROR(IF(Z52="",0,Z52),"0")+IFERROR(IF(Z53="",0,Z53),"0")+IFERROR(IF(Z54="",0,Z54),"0")</f>
        <v>0.53144000000000002</v>
      </c>
      <c r="AA55" s="64"/>
      <c r="AB55" s="64"/>
      <c r="AC55" s="64"/>
    </row>
    <row r="56" spans="1:68" x14ac:dyDescent="0.2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  <c r="M56" s="605"/>
      <c r="N56" s="605"/>
      <c r="O56" s="606"/>
      <c r="P56" s="595" t="s">
        <v>72</v>
      </c>
      <c r="Q56" s="596"/>
      <c r="R56" s="596"/>
      <c r="S56" s="596"/>
      <c r="T56" s="596"/>
      <c r="U56" s="596"/>
      <c r="V56" s="597"/>
      <c r="W56" s="40" t="s">
        <v>67</v>
      </c>
      <c r="X56" s="41">
        <f>IFERROR(SUM(X51:X54),"0")</f>
        <v>300</v>
      </c>
      <c r="Y56" s="41">
        <f>IFERROR(SUM(Y51:Y54),"0")</f>
        <v>302.40000000000003</v>
      </c>
      <c r="Z56" s="40"/>
      <c r="AA56" s="64"/>
      <c r="AB56" s="64"/>
      <c r="AC56" s="64"/>
    </row>
    <row r="57" spans="1:68" ht="16.5" customHeight="1" x14ac:dyDescent="0.25">
      <c r="A57" s="610" t="s">
        <v>132</v>
      </c>
      <c r="B57" s="605"/>
      <c r="C57" s="605"/>
      <c r="D57" s="605"/>
      <c r="E57" s="605"/>
      <c r="F57" s="605"/>
      <c r="G57" s="605"/>
      <c r="H57" s="605"/>
      <c r="I57" s="605"/>
      <c r="J57" s="605"/>
      <c r="K57" s="605"/>
      <c r="L57" s="605"/>
      <c r="M57" s="605"/>
      <c r="N57" s="605"/>
      <c r="O57" s="605"/>
      <c r="P57" s="605"/>
      <c r="Q57" s="605"/>
      <c r="R57" s="605"/>
      <c r="S57" s="605"/>
      <c r="T57" s="605"/>
      <c r="U57" s="605"/>
      <c r="V57" s="605"/>
      <c r="W57" s="605"/>
      <c r="X57" s="605"/>
      <c r="Y57" s="605"/>
      <c r="Z57" s="605"/>
      <c r="AA57" s="62"/>
      <c r="AB57" s="62"/>
      <c r="AC57" s="62"/>
    </row>
    <row r="58" spans="1:68" ht="14.25" customHeight="1" x14ac:dyDescent="0.25">
      <c r="A58" s="609" t="s">
        <v>117</v>
      </c>
      <c r="B58" s="605"/>
      <c r="C58" s="605"/>
      <c r="D58" s="605"/>
      <c r="E58" s="605"/>
      <c r="F58" s="605"/>
      <c r="G58" s="605"/>
      <c r="H58" s="605"/>
      <c r="I58" s="605"/>
      <c r="J58" s="605"/>
      <c r="K58" s="605"/>
      <c r="L58" s="605"/>
      <c r="M58" s="605"/>
      <c r="N58" s="605"/>
      <c r="O58" s="605"/>
      <c r="P58" s="605"/>
      <c r="Q58" s="605"/>
      <c r="R58" s="605"/>
      <c r="S58" s="605"/>
      <c r="T58" s="605"/>
      <c r="U58" s="605"/>
      <c r="V58" s="605"/>
      <c r="W58" s="605"/>
      <c r="X58" s="605"/>
      <c r="Y58" s="605"/>
      <c r="Z58" s="605"/>
      <c r="AA58" s="63"/>
      <c r="AB58" s="63"/>
      <c r="AC58" s="63"/>
    </row>
    <row r="59" spans="1:68" ht="27" customHeight="1" x14ac:dyDescent="0.25">
      <c r="A59" s="60" t="s">
        <v>133</v>
      </c>
      <c r="B59" s="60" t="s">
        <v>134</v>
      </c>
      <c r="C59" s="34">
        <v>4301012030</v>
      </c>
      <c r="D59" s="598">
        <v>4680115885882</v>
      </c>
      <c r="E59" s="599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1"/>
      <c r="R59" s="601"/>
      <c r="S59" s="601"/>
      <c r="T59" s="602"/>
      <c r="U59" s="37"/>
      <c r="V59" s="37"/>
      <c r="W59" s="38" t="s">
        <v>67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133</v>
      </c>
      <c r="B60" s="60" t="s">
        <v>136</v>
      </c>
      <c r="C60" s="34">
        <v>4301012161</v>
      </c>
      <c r="D60" s="598">
        <v>4680115885882</v>
      </c>
      <c r="E60" s="599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1"/>
      <c r="R60" s="601"/>
      <c r="S60" s="601"/>
      <c r="T60" s="602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598">
        <v>4680115881426</v>
      </c>
      <c r="E61" s="599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1"/>
      <c r="R61" s="601"/>
      <c r="S61" s="601"/>
      <c r="T61" s="602"/>
      <c r="U61" s="37"/>
      <c r="V61" s="37"/>
      <c r="W61" s="38" t="s">
        <v>67</v>
      </c>
      <c r="X61" s="56">
        <v>50</v>
      </c>
      <c r="Y61" s="53">
        <f t="shared" si="6"/>
        <v>54</v>
      </c>
      <c r="Z61" s="39">
        <f>IFERROR(IF(Y61=0,"",ROUNDUP(Y61/H61,0)*0.01898),"")</f>
        <v>9.4899999999999998E-2</v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51.898148148148145</v>
      </c>
      <c r="BN61" s="75">
        <f t="shared" si="8"/>
        <v>56.05</v>
      </c>
      <c r="BO61" s="75">
        <f t="shared" si="9"/>
        <v>7.2337962962962965E-2</v>
      </c>
      <c r="BP61" s="75">
        <f t="shared" si="10"/>
        <v>7.8125E-2</v>
      </c>
    </row>
    <row r="62" spans="1:68" ht="27" customHeight="1" x14ac:dyDescent="0.25">
      <c r="A62" s="60" t="s">
        <v>141</v>
      </c>
      <c r="B62" s="60" t="s">
        <v>142</v>
      </c>
      <c r="C62" s="34">
        <v>4301011386</v>
      </c>
      <c r="D62" s="598">
        <v>4680115880283</v>
      </c>
      <c r="E62" s="599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1"/>
      <c r="R62" s="601"/>
      <c r="S62" s="601"/>
      <c r="T62" s="602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4301011806</v>
      </c>
      <c r="D63" s="598">
        <v>4680115881525</v>
      </c>
      <c r="E63" s="599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1"/>
      <c r="R63" s="601"/>
      <c r="S63" s="601"/>
      <c r="T63" s="602"/>
      <c r="U63" s="37"/>
      <c r="V63" s="37"/>
      <c r="W63" s="38" t="s">
        <v>67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147</v>
      </c>
      <c r="B64" s="60" t="s">
        <v>148</v>
      </c>
      <c r="C64" s="34">
        <v>4301012165</v>
      </c>
      <c r="D64" s="598">
        <v>4680115885899</v>
      </c>
      <c r="E64" s="599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1"/>
      <c r="R64" s="601"/>
      <c r="S64" s="601"/>
      <c r="T64" s="602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149</v>
      </c>
      <c r="B65" s="60" t="s">
        <v>150</v>
      </c>
      <c r="C65" s="34">
        <v>4301011801</v>
      </c>
      <c r="D65" s="598">
        <v>4680115881419</v>
      </c>
      <c r="E65" s="599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1"/>
      <c r="R65" s="601"/>
      <c r="S65" s="601"/>
      <c r="T65" s="602"/>
      <c r="U65" s="37"/>
      <c r="V65" s="37"/>
      <c r="W65" s="38" t="s">
        <v>67</v>
      </c>
      <c r="X65" s="56">
        <v>45</v>
      </c>
      <c r="Y65" s="53">
        <f t="shared" si="6"/>
        <v>45</v>
      </c>
      <c r="Z65" s="39">
        <f>IFERROR(IF(Y65=0,"",ROUNDUP(Y65/H65,0)*0.00902),"")</f>
        <v>9.0200000000000002E-2</v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46.900000000000006</v>
      </c>
      <c r="BN65" s="75">
        <f t="shared" si="8"/>
        <v>46.900000000000006</v>
      </c>
      <c r="BO65" s="75">
        <f t="shared" si="9"/>
        <v>7.575757575757576E-2</v>
      </c>
      <c r="BP65" s="75">
        <f t="shared" si="10"/>
        <v>7.575757575757576E-2</v>
      </c>
    </row>
    <row r="66" spans="1:68" x14ac:dyDescent="0.2">
      <c r="A66" s="604"/>
      <c r="B66" s="605"/>
      <c r="C66" s="605"/>
      <c r="D66" s="605"/>
      <c r="E66" s="605"/>
      <c r="F66" s="605"/>
      <c r="G66" s="605"/>
      <c r="H66" s="605"/>
      <c r="I66" s="605"/>
      <c r="J66" s="605"/>
      <c r="K66" s="605"/>
      <c r="L66" s="605"/>
      <c r="M66" s="605"/>
      <c r="N66" s="605"/>
      <c r="O66" s="606"/>
      <c r="P66" s="595" t="s">
        <v>72</v>
      </c>
      <c r="Q66" s="596"/>
      <c r="R66" s="596"/>
      <c r="S66" s="596"/>
      <c r="T66" s="596"/>
      <c r="U66" s="596"/>
      <c r="V66" s="597"/>
      <c r="W66" s="40" t="s">
        <v>73</v>
      </c>
      <c r="X66" s="41">
        <f>IFERROR(X59/H59,"0")+IFERROR(X60/H60,"0")+IFERROR(X61/H61,"0")+IFERROR(X62/H62,"0")+IFERROR(X63/H63,"0")+IFERROR(X64/H64,"0")+IFERROR(X65/H65,"0")</f>
        <v>14.62962962962963</v>
      </c>
      <c r="Y66" s="41">
        <f>IFERROR(Y59/H59,"0")+IFERROR(Y60/H60,"0")+IFERROR(Y61/H61,"0")+IFERROR(Y62/H62,"0")+IFERROR(Y63/H63,"0")+IFERROR(Y64/H64,"0")+IFERROR(Y65/H65,"0")</f>
        <v>15</v>
      </c>
      <c r="Z66" s="41">
        <f>IFERROR(IF(Z59="",0,Z59),"0")+IFERROR(IF(Z60="",0,Z60),"0")+IFERROR(IF(Z61="",0,Z61),"0")+IFERROR(IF(Z62="",0,Z62),"0")+IFERROR(IF(Z63="",0,Z63),"0")+IFERROR(IF(Z64="",0,Z64),"0")+IFERROR(IF(Z65="",0,Z65),"0")</f>
        <v>0.18509999999999999</v>
      </c>
      <c r="AA66" s="64"/>
      <c r="AB66" s="64"/>
      <c r="AC66" s="64"/>
    </row>
    <row r="67" spans="1:68" x14ac:dyDescent="0.2">
      <c r="A67" s="605"/>
      <c r="B67" s="605"/>
      <c r="C67" s="605"/>
      <c r="D67" s="605"/>
      <c r="E67" s="605"/>
      <c r="F67" s="605"/>
      <c r="G67" s="605"/>
      <c r="H67" s="605"/>
      <c r="I67" s="605"/>
      <c r="J67" s="605"/>
      <c r="K67" s="605"/>
      <c r="L67" s="605"/>
      <c r="M67" s="605"/>
      <c r="N67" s="605"/>
      <c r="O67" s="606"/>
      <c r="P67" s="595" t="s">
        <v>72</v>
      </c>
      <c r="Q67" s="596"/>
      <c r="R67" s="596"/>
      <c r="S67" s="596"/>
      <c r="T67" s="596"/>
      <c r="U67" s="596"/>
      <c r="V67" s="597"/>
      <c r="W67" s="40" t="s">
        <v>67</v>
      </c>
      <c r="X67" s="41">
        <f>IFERROR(SUM(X59:X65),"0")</f>
        <v>95</v>
      </c>
      <c r="Y67" s="41">
        <f>IFERROR(SUM(Y59:Y65),"0")</f>
        <v>99</v>
      </c>
      <c r="Z67" s="40"/>
      <c r="AA67" s="64"/>
      <c r="AB67" s="64"/>
      <c r="AC67" s="64"/>
    </row>
    <row r="68" spans="1:68" ht="14.25" customHeight="1" x14ac:dyDescent="0.25">
      <c r="A68" s="609" t="s">
        <v>152</v>
      </c>
      <c r="B68" s="605"/>
      <c r="C68" s="605"/>
      <c r="D68" s="605"/>
      <c r="E68" s="605"/>
      <c r="F68" s="605"/>
      <c r="G68" s="605"/>
      <c r="H68" s="605"/>
      <c r="I68" s="605"/>
      <c r="J68" s="605"/>
      <c r="K68" s="605"/>
      <c r="L68" s="605"/>
      <c r="M68" s="605"/>
      <c r="N68" s="605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63"/>
      <c r="AB68" s="63"/>
      <c r="AC68" s="63"/>
    </row>
    <row r="69" spans="1:68" ht="16.5" customHeight="1" x14ac:dyDescent="0.25">
      <c r="A69" s="60" t="s">
        <v>153</v>
      </c>
      <c r="B69" s="60" t="s">
        <v>154</v>
      </c>
      <c r="C69" s="34">
        <v>4301020298</v>
      </c>
      <c r="D69" s="598">
        <v>4680115881440</v>
      </c>
      <c r="E69" s="599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1"/>
      <c r="R69" s="601"/>
      <c r="S69" s="601"/>
      <c r="T69" s="602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customHeight="1" x14ac:dyDescent="0.25">
      <c r="A70" s="60" t="s">
        <v>156</v>
      </c>
      <c r="B70" s="60" t="s">
        <v>157</v>
      </c>
      <c r="C70" s="34">
        <v>4301020358</v>
      </c>
      <c r="D70" s="598">
        <v>4680115885950</v>
      </c>
      <c r="E70" s="599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1"/>
      <c r="R70" s="601"/>
      <c r="S70" s="601"/>
      <c r="T70" s="602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158</v>
      </c>
      <c r="B71" s="60" t="s">
        <v>159</v>
      </c>
      <c r="C71" s="34">
        <v>4301020371</v>
      </c>
      <c r="D71" s="598">
        <v>4680115887688</v>
      </c>
      <c r="E71" s="599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1"/>
      <c r="R71" s="601"/>
      <c r="S71" s="601"/>
      <c r="T71" s="602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161</v>
      </c>
      <c r="B72" s="60" t="s">
        <v>162</v>
      </c>
      <c r="C72" s="34">
        <v>4301020296</v>
      </c>
      <c r="D72" s="598">
        <v>4680115881433</v>
      </c>
      <c r="E72" s="599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1"/>
      <c r="R72" s="601"/>
      <c r="S72" s="601"/>
      <c r="T72" s="602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6"/>
      <c r="P73" s="595" t="s">
        <v>72</v>
      </c>
      <c r="Q73" s="596"/>
      <c r="R73" s="596"/>
      <c r="S73" s="596"/>
      <c r="T73" s="596"/>
      <c r="U73" s="596"/>
      <c r="V73" s="597"/>
      <c r="W73" s="40" t="s">
        <v>73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605"/>
      <c r="B74" s="605"/>
      <c r="C74" s="605"/>
      <c r="D74" s="605"/>
      <c r="E74" s="605"/>
      <c r="F74" s="605"/>
      <c r="G74" s="605"/>
      <c r="H74" s="605"/>
      <c r="I74" s="605"/>
      <c r="J74" s="605"/>
      <c r="K74" s="605"/>
      <c r="L74" s="605"/>
      <c r="M74" s="605"/>
      <c r="N74" s="605"/>
      <c r="O74" s="606"/>
      <c r="P74" s="595" t="s">
        <v>72</v>
      </c>
      <c r="Q74" s="596"/>
      <c r="R74" s="596"/>
      <c r="S74" s="596"/>
      <c r="T74" s="596"/>
      <c r="U74" s="596"/>
      <c r="V74" s="597"/>
      <c r="W74" s="40" t="s">
        <v>67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customHeight="1" x14ac:dyDescent="0.25">
      <c r="A75" s="609" t="s">
        <v>74</v>
      </c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5"/>
      <c r="Q75" s="605"/>
      <c r="R75" s="605"/>
      <c r="S75" s="605"/>
      <c r="T75" s="605"/>
      <c r="U75" s="605"/>
      <c r="V75" s="605"/>
      <c r="W75" s="605"/>
      <c r="X75" s="605"/>
      <c r="Y75" s="605"/>
      <c r="Z75" s="605"/>
      <c r="AA75" s="63"/>
      <c r="AB75" s="63"/>
      <c r="AC75" s="63"/>
    </row>
    <row r="76" spans="1:68" ht="16.5" customHeight="1" x14ac:dyDescent="0.25">
      <c r="A76" s="60" t="s">
        <v>163</v>
      </c>
      <c r="B76" s="60" t="s">
        <v>164</v>
      </c>
      <c r="C76" s="34">
        <v>4301051837</v>
      </c>
      <c r="D76" s="598">
        <v>4680115884311</v>
      </c>
      <c r="E76" s="599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1"/>
      <c r="R76" s="601"/>
      <c r="S76" s="601"/>
      <c r="T76" s="602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166</v>
      </c>
      <c r="B77" s="60" t="s">
        <v>167</v>
      </c>
      <c r="C77" s="34">
        <v>4301051929</v>
      </c>
      <c r="D77" s="598">
        <v>4680115884403</v>
      </c>
      <c r="E77" s="599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1"/>
      <c r="R77" s="601"/>
      <c r="S77" s="601"/>
      <c r="T77" s="602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04"/>
      <c r="B78" s="605"/>
      <c r="C78" s="605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6"/>
      <c r="P78" s="595" t="s">
        <v>72</v>
      </c>
      <c r="Q78" s="596"/>
      <c r="R78" s="596"/>
      <c r="S78" s="596"/>
      <c r="T78" s="596"/>
      <c r="U78" s="596"/>
      <c r="V78" s="597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05"/>
      <c r="B79" s="605"/>
      <c r="C79" s="605"/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6"/>
      <c r="P79" s="595" t="s">
        <v>72</v>
      </c>
      <c r="Q79" s="596"/>
      <c r="R79" s="596"/>
      <c r="S79" s="596"/>
      <c r="T79" s="596"/>
      <c r="U79" s="596"/>
      <c r="V79" s="597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09" t="s">
        <v>169</v>
      </c>
      <c r="B80" s="605"/>
      <c r="C80" s="605"/>
      <c r="D80" s="605"/>
      <c r="E80" s="605"/>
      <c r="F80" s="605"/>
      <c r="G80" s="605"/>
      <c r="H80" s="605"/>
      <c r="I80" s="605"/>
      <c r="J80" s="605"/>
      <c r="K80" s="605"/>
      <c r="L80" s="605"/>
      <c r="M80" s="605"/>
      <c r="N80" s="605"/>
      <c r="O80" s="605"/>
      <c r="P80" s="605"/>
      <c r="Q80" s="605"/>
      <c r="R80" s="605"/>
      <c r="S80" s="605"/>
      <c r="T80" s="605"/>
      <c r="U80" s="605"/>
      <c r="V80" s="605"/>
      <c r="W80" s="605"/>
      <c r="X80" s="605"/>
      <c r="Y80" s="605"/>
      <c r="Z80" s="605"/>
      <c r="AA80" s="63"/>
      <c r="AB80" s="63"/>
      <c r="AC80" s="63"/>
    </row>
    <row r="81" spans="1:68" ht="27" customHeight="1" x14ac:dyDescent="0.25">
      <c r="A81" s="60" t="s">
        <v>170</v>
      </c>
      <c r="B81" s="60" t="s">
        <v>171</v>
      </c>
      <c r="C81" s="34">
        <v>4301060455</v>
      </c>
      <c r="D81" s="598">
        <v>4680115881532</v>
      </c>
      <c r="E81" s="599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1"/>
      <c r="R81" s="601"/>
      <c r="S81" s="601"/>
      <c r="T81" s="602"/>
      <c r="U81" s="37"/>
      <c r="V81" s="37"/>
      <c r="W81" s="38" t="s">
        <v>67</v>
      </c>
      <c r="X81" s="56">
        <v>200</v>
      </c>
      <c r="Y81" s="53">
        <f>IFERROR(IF(X81="",0,CEILING((X81/$H81),1)*$H81),"")</f>
        <v>202.79999999999998</v>
      </c>
      <c r="Z81" s="39">
        <f>IFERROR(IF(Y81=0,"",ROUNDUP(Y81/H81,0)*0.01898),"")</f>
        <v>0.49348000000000003</v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210.51282051282055</v>
      </c>
      <c r="BN81" s="75">
        <f>IFERROR(Y81*I81/H81,"0")</f>
        <v>213.46</v>
      </c>
      <c r="BO81" s="75">
        <f>IFERROR(1/J81*(X81/H81),"0")</f>
        <v>0.40064102564102566</v>
      </c>
      <c r="BP81" s="75">
        <f>IFERROR(1/J81*(Y81/H81),"0")</f>
        <v>0.40625</v>
      </c>
    </row>
    <row r="82" spans="1:68" ht="27" customHeight="1" x14ac:dyDescent="0.25">
      <c r="A82" s="60" t="s">
        <v>173</v>
      </c>
      <c r="B82" s="60" t="s">
        <v>174</v>
      </c>
      <c r="C82" s="34">
        <v>4301060351</v>
      </c>
      <c r="D82" s="598">
        <v>4680115881464</v>
      </c>
      <c r="E82" s="599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1"/>
      <c r="R82" s="601"/>
      <c r="S82" s="601"/>
      <c r="T82" s="602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4"/>
      <c r="B83" s="605"/>
      <c r="C83" s="605"/>
      <c r="D83" s="605"/>
      <c r="E83" s="605"/>
      <c r="F83" s="605"/>
      <c r="G83" s="605"/>
      <c r="H83" s="605"/>
      <c r="I83" s="605"/>
      <c r="J83" s="605"/>
      <c r="K83" s="605"/>
      <c r="L83" s="605"/>
      <c r="M83" s="605"/>
      <c r="N83" s="605"/>
      <c r="O83" s="606"/>
      <c r="P83" s="595" t="s">
        <v>72</v>
      </c>
      <c r="Q83" s="596"/>
      <c r="R83" s="596"/>
      <c r="S83" s="596"/>
      <c r="T83" s="596"/>
      <c r="U83" s="596"/>
      <c r="V83" s="597"/>
      <c r="W83" s="40" t="s">
        <v>73</v>
      </c>
      <c r="X83" s="41">
        <f>IFERROR(X81/H81,"0")+IFERROR(X82/H82,"0")</f>
        <v>25.641025641025642</v>
      </c>
      <c r="Y83" s="41">
        <f>IFERROR(Y81/H81,"0")+IFERROR(Y82/H82,"0")</f>
        <v>26</v>
      </c>
      <c r="Z83" s="41">
        <f>IFERROR(IF(Z81="",0,Z81),"0")+IFERROR(IF(Z82="",0,Z82),"0")</f>
        <v>0.49348000000000003</v>
      </c>
      <c r="AA83" s="64"/>
      <c r="AB83" s="64"/>
      <c r="AC83" s="64"/>
    </row>
    <row r="84" spans="1:68" x14ac:dyDescent="0.2">
      <c r="A84" s="605"/>
      <c r="B84" s="605"/>
      <c r="C84" s="605"/>
      <c r="D84" s="605"/>
      <c r="E84" s="605"/>
      <c r="F84" s="605"/>
      <c r="G84" s="605"/>
      <c r="H84" s="605"/>
      <c r="I84" s="605"/>
      <c r="J84" s="605"/>
      <c r="K84" s="605"/>
      <c r="L84" s="605"/>
      <c r="M84" s="605"/>
      <c r="N84" s="605"/>
      <c r="O84" s="606"/>
      <c r="P84" s="595" t="s">
        <v>72</v>
      </c>
      <c r="Q84" s="596"/>
      <c r="R84" s="596"/>
      <c r="S84" s="596"/>
      <c r="T84" s="596"/>
      <c r="U84" s="596"/>
      <c r="V84" s="597"/>
      <c r="W84" s="40" t="s">
        <v>67</v>
      </c>
      <c r="X84" s="41">
        <f>IFERROR(SUM(X81:X82),"0")</f>
        <v>200</v>
      </c>
      <c r="Y84" s="41">
        <f>IFERROR(SUM(Y81:Y82),"0")</f>
        <v>202.79999999999998</v>
      </c>
      <c r="Z84" s="40"/>
      <c r="AA84" s="64"/>
      <c r="AB84" s="64"/>
      <c r="AC84" s="64"/>
    </row>
    <row r="85" spans="1:68" ht="16.5" customHeight="1" x14ac:dyDescent="0.25">
      <c r="A85" s="610" t="s">
        <v>176</v>
      </c>
      <c r="B85" s="605"/>
      <c r="C85" s="605"/>
      <c r="D85" s="605"/>
      <c r="E85" s="605"/>
      <c r="F85" s="605"/>
      <c r="G85" s="605"/>
      <c r="H85" s="605"/>
      <c r="I85" s="605"/>
      <c r="J85" s="605"/>
      <c r="K85" s="605"/>
      <c r="L85" s="605"/>
      <c r="M85" s="605"/>
      <c r="N85" s="605"/>
      <c r="O85" s="605"/>
      <c r="P85" s="605"/>
      <c r="Q85" s="605"/>
      <c r="R85" s="605"/>
      <c r="S85" s="605"/>
      <c r="T85" s="605"/>
      <c r="U85" s="605"/>
      <c r="V85" s="605"/>
      <c r="W85" s="605"/>
      <c r="X85" s="605"/>
      <c r="Y85" s="605"/>
      <c r="Z85" s="605"/>
      <c r="AA85" s="62"/>
      <c r="AB85" s="62"/>
      <c r="AC85" s="62"/>
    </row>
    <row r="86" spans="1:68" ht="14.25" customHeight="1" x14ac:dyDescent="0.25">
      <c r="A86" s="609" t="s">
        <v>117</v>
      </c>
      <c r="B86" s="60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05"/>
      <c r="P86" s="605"/>
      <c r="Q86" s="605"/>
      <c r="R86" s="605"/>
      <c r="S86" s="605"/>
      <c r="T86" s="605"/>
      <c r="U86" s="605"/>
      <c r="V86" s="605"/>
      <c r="W86" s="605"/>
      <c r="X86" s="605"/>
      <c r="Y86" s="605"/>
      <c r="Z86" s="605"/>
      <c r="AA86" s="63"/>
      <c r="AB86" s="63"/>
      <c r="AC86" s="63"/>
    </row>
    <row r="87" spans="1:68" ht="27" customHeight="1" x14ac:dyDescent="0.25">
      <c r="A87" s="60" t="s">
        <v>177</v>
      </c>
      <c r="B87" s="60" t="s">
        <v>178</v>
      </c>
      <c r="C87" s="34">
        <v>4301011468</v>
      </c>
      <c r="D87" s="598">
        <v>4680115881327</v>
      </c>
      <c r="E87" s="599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1"/>
      <c r="R87" s="601"/>
      <c r="S87" s="601"/>
      <c r="T87" s="602"/>
      <c r="U87" s="37"/>
      <c r="V87" s="37"/>
      <c r="W87" s="38" t="s">
        <v>67</v>
      </c>
      <c r="X87" s="56">
        <v>150</v>
      </c>
      <c r="Y87" s="53">
        <f>IFERROR(IF(X87="",0,CEILING((X87/$H87),1)*$H87),"")</f>
        <v>151.20000000000002</v>
      </c>
      <c r="Z87" s="39">
        <f>IFERROR(IF(Y87=0,"",ROUNDUP(Y87/H87,0)*0.01898),"")</f>
        <v>0.26572000000000001</v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155.69444444444446</v>
      </c>
      <c r="BN87" s="75">
        <f>IFERROR(Y87*I87/H87,"0")</f>
        <v>156.94</v>
      </c>
      <c r="BO87" s="75">
        <f>IFERROR(1/J87*(X87/H87),"0")</f>
        <v>0.21701388888888887</v>
      </c>
      <c r="BP87" s="75">
        <f>IFERROR(1/J87*(Y87/H87),"0")</f>
        <v>0.21875</v>
      </c>
    </row>
    <row r="88" spans="1:68" ht="27" customHeight="1" x14ac:dyDescent="0.25">
      <c r="A88" s="60" t="s">
        <v>180</v>
      </c>
      <c r="B88" s="60" t="s">
        <v>181</v>
      </c>
      <c r="C88" s="34">
        <v>4301011261</v>
      </c>
      <c r="D88" s="598">
        <v>4680115887732</v>
      </c>
      <c r="E88" s="599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1"/>
      <c r="R88" s="601"/>
      <c r="S88" s="601"/>
      <c r="T88" s="602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183</v>
      </c>
      <c r="B89" s="60" t="s">
        <v>184</v>
      </c>
      <c r="C89" s="34">
        <v>4301011476</v>
      </c>
      <c r="D89" s="598">
        <v>4680115881518</v>
      </c>
      <c r="E89" s="599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78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1"/>
      <c r="R89" s="601"/>
      <c r="S89" s="601"/>
      <c r="T89" s="602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185</v>
      </c>
      <c r="B90" s="60" t="s">
        <v>186</v>
      </c>
      <c r="C90" s="34">
        <v>4301011443</v>
      </c>
      <c r="D90" s="598">
        <v>4680115881303</v>
      </c>
      <c r="E90" s="599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1"/>
      <c r="R90" s="601"/>
      <c r="S90" s="601"/>
      <c r="T90" s="602"/>
      <c r="U90" s="37"/>
      <c r="V90" s="37"/>
      <c r="W90" s="38" t="s">
        <v>67</v>
      </c>
      <c r="X90" s="56">
        <v>56</v>
      </c>
      <c r="Y90" s="53">
        <f>IFERROR(IF(X90="",0,CEILING((X90/$H90),1)*$H90),"")</f>
        <v>58.5</v>
      </c>
      <c r="Z90" s="39">
        <f>IFERROR(IF(Y90=0,"",ROUNDUP(Y90/H90,0)*0.00902),"")</f>
        <v>0.11726</v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58.364444444444452</v>
      </c>
      <c r="BN90" s="75">
        <f>IFERROR(Y90*I90/H90,"0")</f>
        <v>60.97</v>
      </c>
      <c r="BO90" s="75">
        <f>IFERROR(1/J90*(X90/H90),"0")</f>
        <v>9.4276094276094277E-2</v>
      </c>
      <c r="BP90" s="75">
        <f>IFERROR(1/J90*(Y90/H90),"0")</f>
        <v>9.8484848484848481E-2</v>
      </c>
    </row>
    <row r="91" spans="1:68" x14ac:dyDescent="0.2">
      <c r="A91" s="604"/>
      <c r="B91" s="605"/>
      <c r="C91" s="605"/>
      <c r="D91" s="605"/>
      <c r="E91" s="605"/>
      <c r="F91" s="605"/>
      <c r="G91" s="605"/>
      <c r="H91" s="605"/>
      <c r="I91" s="605"/>
      <c r="J91" s="605"/>
      <c r="K91" s="605"/>
      <c r="L91" s="605"/>
      <c r="M91" s="605"/>
      <c r="N91" s="605"/>
      <c r="O91" s="606"/>
      <c r="P91" s="595" t="s">
        <v>72</v>
      </c>
      <c r="Q91" s="596"/>
      <c r="R91" s="596"/>
      <c r="S91" s="596"/>
      <c r="T91" s="596"/>
      <c r="U91" s="596"/>
      <c r="V91" s="597"/>
      <c r="W91" s="40" t="s">
        <v>73</v>
      </c>
      <c r="X91" s="41">
        <f>IFERROR(X87/H87,"0")+IFERROR(X88/H88,"0")+IFERROR(X89/H89,"0")+IFERROR(X90/H90,"0")</f>
        <v>26.333333333333332</v>
      </c>
      <c r="Y91" s="41">
        <f>IFERROR(Y87/H87,"0")+IFERROR(Y88/H88,"0")+IFERROR(Y89/H89,"0")+IFERROR(Y90/H90,"0")</f>
        <v>27</v>
      </c>
      <c r="Z91" s="41">
        <f>IFERROR(IF(Z87="",0,Z87),"0")+IFERROR(IF(Z88="",0,Z88),"0")+IFERROR(IF(Z89="",0,Z89),"0")+IFERROR(IF(Z90="",0,Z90),"0")</f>
        <v>0.38297999999999999</v>
      </c>
      <c r="AA91" s="64"/>
      <c r="AB91" s="64"/>
      <c r="AC91" s="64"/>
    </row>
    <row r="92" spans="1:68" x14ac:dyDescent="0.2">
      <c r="A92" s="605"/>
      <c r="B92" s="605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6"/>
      <c r="P92" s="595" t="s">
        <v>72</v>
      </c>
      <c r="Q92" s="596"/>
      <c r="R92" s="596"/>
      <c r="S92" s="596"/>
      <c r="T92" s="596"/>
      <c r="U92" s="596"/>
      <c r="V92" s="597"/>
      <c r="W92" s="40" t="s">
        <v>67</v>
      </c>
      <c r="X92" s="41">
        <f>IFERROR(SUM(X87:X90),"0")</f>
        <v>206</v>
      </c>
      <c r="Y92" s="41">
        <f>IFERROR(SUM(Y87:Y90),"0")</f>
        <v>209.70000000000002</v>
      </c>
      <c r="Z92" s="40"/>
      <c r="AA92" s="64"/>
      <c r="AB92" s="64"/>
      <c r="AC92" s="64"/>
    </row>
    <row r="93" spans="1:68" ht="14.25" customHeight="1" x14ac:dyDescent="0.25">
      <c r="A93" s="609" t="s">
        <v>74</v>
      </c>
      <c r="B93" s="605"/>
      <c r="C93" s="605"/>
      <c r="D93" s="605"/>
      <c r="E93" s="605"/>
      <c r="F93" s="605"/>
      <c r="G93" s="605"/>
      <c r="H93" s="605"/>
      <c r="I93" s="605"/>
      <c r="J93" s="605"/>
      <c r="K93" s="605"/>
      <c r="L93" s="605"/>
      <c r="M93" s="605"/>
      <c r="N93" s="605"/>
      <c r="O93" s="605"/>
      <c r="P93" s="605"/>
      <c r="Q93" s="605"/>
      <c r="R93" s="605"/>
      <c r="S93" s="605"/>
      <c r="T93" s="605"/>
      <c r="U93" s="605"/>
      <c r="V93" s="605"/>
      <c r="W93" s="605"/>
      <c r="X93" s="605"/>
      <c r="Y93" s="605"/>
      <c r="Z93" s="605"/>
      <c r="AA93" s="63"/>
      <c r="AB93" s="63"/>
      <c r="AC93" s="63"/>
    </row>
    <row r="94" spans="1:68" ht="27" customHeight="1" x14ac:dyDescent="0.25">
      <c r="A94" s="60" t="s">
        <v>187</v>
      </c>
      <c r="B94" s="60" t="s">
        <v>188</v>
      </c>
      <c r="C94" s="34">
        <v>4301051712</v>
      </c>
      <c r="D94" s="598">
        <v>4607091386967</v>
      </c>
      <c r="E94" s="599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1"/>
      <c r="R94" s="601"/>
      <c r="S94" s="601"/>
      <c r="T94" s="602"/>
      <c r="U94" s="37"/>
      <c r="V94" s="37"/>
      <c r="W94" s="38" t="s">
        <v>67</v>
      </c>
      <c r="X94" s="56">
        <v>200</v>
      </c>
      <c r="Y94" s="53">
        <f>IFERROR(IF(X94="",0,CEILING((X94/$H94),1)*$H94),"")</f>
        <v>202.5</v>
      </c>
      <c r="Z94" s="39">
        <f>IFERROR(IF(Y94=0,"",ROUNDUP(Y94/H94,0)*0.01898),"")</f>
        <v>0.47450000000000003</v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212.19753086419755</v>
      </c>
      <c r="BN94" s="75">
        <f>IFERROR(Y94*I94/H94,"0")</f>
        <v>214.85</v>
      </c>
      <c r="BO94" s="75">
        <f>IFERROR(1/J94*(X94/H94),"0")</f>
        <v>0.38580246913580246</v>
      </c>
      <c r="BP94" s="75">
        <f>IFERROR(1/J94*(Y94/H94),"0")</f>
        <v>0.390625</v>
      </c>
    </row>
    <row r="95" spans="1:68" ht="27" customHeight="1" x14ac:dyDescent="0.25">
      <c r="A95" s="60" t="s">
        <v>190</v>
      </c>
      <c r="B95" s="60" t="s">
        <v>191</v>
      </c>
      <c r="C95" s="34">
        <v>4301051788</v>
      </c>
      <c r="D95" s="598">
        <v>4680115884953</v>
      </c>
      <c r="E95" s="599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1"/>
      <c r="R95" s="601"/>
      <c r="S95" s="601"/>
      <c r="T95" s="602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192</v>
      </c>
      <c r="B96" s="60" t="s">
        <v>193</v>
      </c>
      <c r="C96" s="34">
        <v>4301051718</v>
      </c>
      <c r="D96" s="598">
        <v>4607091385731</v>
      </c>
      <c r="E96" s="599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1"/>
      <c r="R96" s="601"/>
      <c r="S96" s="601"/>
      <c r="T96" s="602"/>
      <c r="U96" s="37"/>
      <c r="V96" s="37"/>
      <c r="W96" s="38" t="s">
        <v>67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customHeight="1" x14ac:dyDescent="0.25">
      <c r="A97" s="60" t="s">
        <v>194</v>
      </c>
      <c r="B97" s="60" t="s">
        <v>195</v>
      </c>
      <c r="C97" s="34">
        <v>4301052092</v>
      </c>
      <c r="D97" s="598">
        <v>4680115880894</v>
      </c>
      <c r="E97" s="599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1"/>
      <c r="R97" s="601"/>
      <c r="S97" s="601"/>
      <c r="T97" s="602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4"/>
      <c r="B98" s="605"/>
      <c r="C98" s="605"/>
      <c r="D98" s="605"/>
      <c r="E98" s="605"/>
      <c r="F98" s="605"/>
      <c r="G98" s="605"/>
      <c r="H98" s="605"/>
      <c r="I98" s="605"/>
      <c r="J98" s="605"/>
      <c r="K98" s="605"/>
      <c r="L98" s="605"/>
      <c r="M98" s="605"/>
      <c r="N98" s="605"/>
      <c r="O98" s="606"/>
      <c r="P98" s="595" t="s">
        <v>72</v>
      </c>
      <c r="Q98" s="596"/>
      <c r="R98" s="596"/>
      <c r="S98" s="596"/>
      <c r="T98" s="596"/>
      <c r="U98" s="596"/>
      <c r="V98" s="597"/>
      <c r="W98" s="40" t="s">
        <v>73</v>
      </c>
      <c r="X98" s="41">
        <f>IFERROR(X94/H94,"0")+IFERROR(X95/H95,"0")+IFERROR(X96/H96,"0")+IFERROR(X97/H97,"0")</f>
        <v>24.691358024691358</v>
      </c>
      <c r="Y98" s="41">
        <f>IFERROR(Y94/H94,"0")+IFERROR(Y95/H95,"0")+IFERROR(Y96/H96,"0")+IFERROR(Y97/H97,"0")</f>
        <v>25</v>
      </c>
      <c r="Z98" s="41">
        <f>IFERROR(IF(Z94="",0,Z94),"0")+IFERROR(IF(Z95="",0,Z95),"0")+IFERROR(IF(Z96="",0,Z96),"0")+IFERROR(IF(Z97="",0,Z97),"0")</f>
        <v>0.47450000000000003</v>
      </c>
      <c r="AA98" s="64"/>
      <c r="AB98" s="64"/>
      <c r="AC98" s="64"/>
    </row>
    <row r="99" spans="1:68" x14ac:dyDescent="0.2">
      <c r="A99" s="605"/>
      <c r="B99" s="605"/>
      <c r="C99" s="605"/>
      <c r="D99" s="605"/>
      <c r="E99" s="605"/>
      <c r="F99" s="605"/>
      <c r="G99" s="605"/>
      <c r="H99" s="605"/>
      <c r="I99" s="605"/>
      <c r="J99" s="605"/>
      <c r="K99" s="605"/>
      <c r="L99" s="605"/>
      <c r="M99" s="605"/>
      <c r="N99" s="605"/>
      <c r="O99" s="606"/>
      <c r="P99" s="595" t="s">
        <v>72</v>
      </c>
      <c r="Q99" s="596"/>
      <c r="R99" s="596"/>
      <c r="S99" s="596"/>
      <c r="T99" s="596"/>
      <c r="U99" s="596"/>
      <c r="V99" s="597"/>
      <c r="W99" s="40" t="s">
        <v>67</v>
      </c>
      <c r="X99" s="41">
        <f>IFERROR(SUM(X94:X97),"0")</f>
        <v>200</v>
      </c>
      <c r="Y99" s="41">
        <f>IFERROR(SUM(Y94:Y97),"0")</f>
        <v>202.5</v>
      </c>
      <c r="Z99" s="40"/>
      <c r="AA99" s="64"/>
      <c r="AB99" s="64"/>
      <c r="AC99" s="64"/>
    </row>
    <row r="100" spans="1:68" ht="16.5" customHeight="1" x14ac:dyDescent="0.25">
      <c r="A100" s="610" t="s">
        <v>197</v>
      </c>
      <c r="B100" s="605"/>
      <c r="C100" s="605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05"/>
      <c r="P100" s="605"/>
      <c r="Q100" s="605"/>
      <c r="R100" s="605"/>
      <c r="S100" s="605"/>
      <c r="T100" s="605"/>
      <c r="U100" s="605"/>
      <c r="V100" s="605"/>
      <c r="W100" s="605"/>
      <c r="X100" s="605"/>
      <c r="Y100" s="605"/>
      <c r="Z100" s="605"/>
      <c r="AA100" s="62"/>
      <c r="AB100" s="62"/>
      <c r="AC100" s="62"/>
    </row>
    <row r="101" spans="1:68" ht="14.25" customHeight="1" x14ac:dyDescent="0.25">
      <c r="A101" s="609" t="s">
        <v>117</v>
      </c>
      <c r="B101" s="605"/>
      <c r="C101" s="605"/>
      <c r="D101" s="605"/>
      <c r="E101" s="605"/>
      <c r="F101" s="605"/>
      <c r="G101" s="605"/>
      <c r="H101" s="605"/>
      <c r="I101" s="605"/>
      <c r="J101" s="605"/>
      <c r="K101" s="605"/>
      <c r="L101" s="605"/>
      <c r="M101" s="605"/>
      <c r="N101" s="605"/>
      <c r="O101" s="605"/>
      <c r="P101" s="605"/>
      <c r="Q101" s="605"/>
      <c r="R101" s="605"/>
      <c r="S101" s="605"/>
      <c r="T101" s="605"/>
      <c r="U101" s="605"/>
      <c r="V101" s="605"/>
      <c r="W101" s="605"/>
      <c r="X101" s="605"/>
      <c r="Y101" s="605"/>
      <c r="Z101" s="605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598">
        <v>4680115882133</v>
      </c>
      <c r="E102" s="59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1"/>
      <c r="R102" s="601"/>
      <c r="S102" s="601"/>
      <c r="T102" s="602"/>
      <c r="U102" s="37"/>
      <c r="V102" s="37"/>
      <c r="W102" s="38" t="s">
        <v>67</v>
      </c>
      <c r="X102" s="56">
        <v>120</v>
      </c>
      <c r="Y102" s="53">
        <f t="shared" ref="Y102:Y108" si="11">IFERROR(IF(X102="",0,CEILING((X102/$H102),1)*$H102),"")</f>
        <v>129.60000000000002</v>
      </c>
      <c r="Z102" s="39">
        <f>IFERROR(IF(Y102=0,"",ROUNDUP(Y102/H102,0)*0.01898),"")</f>
        <v>0.22776000000000002</v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124.55555555555556</v>
      </c>
      <c r="BN102" s="75">
        <f t="shared" ref="BN102:BN108" si="13">IFERROR(Y102*I102/H102,"0")</f>
        <v>134.52000000000001</v>
      </c>
      <c r="BO102" s="75">
        <f t="shared" ref="BO102:BO108" si="14">IFERROR(1/J102*(X102/H102),"0")</f>
        <v>0.1736111111111111</v>
      </c>
      <c r="BP102" s="75">
        <f t="shared" ref="BP102:BP108" si="15">IFERROR(1/J102*(Y102/H102),"0")</f>
        <v>0.18750000000000003</v>
      </c>
    </row>
    <row r="103" spans="1:68" ht="27" customHeight="1" x14ac:dyDescent="0.25">
      <c r="A103" s="60" t="s">
        <v>201</v>
      </c>
      <c r="B103" s="60" t="s">
        <v>202</v>
      </c>
      <c r="C103" s="34">
        <v>4301012051</v>
      </c>
      <c r="D103" s="598">
        <v>4680115887718</v>
      </c>
      <c r="E103" s="599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1"/>
      <c r="R103" s="601"/>
      <c r="S103" s="601"/>
      <c r="T103" s="602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201</v>
      </c>
      <c r="B104" s="60" t="s">
        <v>204</v>
      </c>
      <c r="C104" s="34">
        <v>4301012334</v>
      </c>
      <c r="D104" s="598">
        <v>4680115887718</v>
      </c>
      <c r="E104" s="599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3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1"/>
      <c r="R104" s="601"/>
      <c r="S104" s="601"/>
      <c r="T104" s="602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205</v>
      </c>
      <c r="B105" s="60" t="s">
        <v>206</v>
      </c>
      <c r="C105" s="34">
        <v>4301012226</v>
      </c>
      <c r="D105" s="598">
        <v>4680115887749</v>
      </c>
      <c r="E105" s="599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1"/>
      <c r="R105" s="601"/>
      <c r="S105" s="601"/>
      <c r="T105" s="602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207</v>
      </c>
      <c r="B106" s="60" t="s">
        <v>208</v>
      </c>
      <c r="C106" s="34">
        <v>4301011417</v>
      </c>
      <c r="D106" s="598">
        <v>4680115880269</v>
      </c>
      <c r="E106" s="599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1"/>
      <c r="R106" s="601"/>
      <c r="S106" s="601"/>
      <c r="T106" s="602"/>
      <c r="U106" s="37"/>
      <c r="V106" s="37"/>
      <c r="W106" s="38" t="s">
        <v>67</v>
      </c>
      <c r="X106" s="56">
        <v>16</v>
      </c>
      <c r="Y106" s="53">
        <f t="shared" si="11"/>
        <v>18.75</v>
      </c>
      <c r="Z106" s="39">
        <f>IFERROR(IF(Y106=0,"",ROUNDUP(Y106/H106,0)*0.00902),"")</f>
        <v>4.5100000000000001E-2</v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16.810666666666666</v>
      </c>
      <c r="BN106" s="75">
        <f t="shared" si="13"/>
        <v>19.7</v>
      </c>
      <c r="BO106" s="75">
        <f t="shared" si="14"/>
        <v>3.2323232323232323E-2</v>
      </c>
      <c r="BP106" s="75">
        <f t="shared" si="15"/>
        <v>3.787878787878788E-2</v>
      </c>
    </row>
    <row r="107" spans="1:68" ht="37.5" customHeight="1" x14ac:dyDescent="0.25">
      <c r="A107" s="60" t="s">
        <v>209</v>
      </c>
      <c r="B107" s="60" t="s">
        <v>210</v>
      </c>
      <c r="C107" s="34">
        <v>4301011415</v>
      </c>
      <c r="D107" s="598">
        <v>4680115880429</v>
      </c>
      <c r="E107" s="599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1"/>
      <c r="R107" s="601"/>
      <c r="S107" s="601"/>
      <c r="T107" s="602"/>
      <c r="U107" s="37"/>
      <c r="V107" s="37"/>
      <c r="W107" s="38" t="s">
        <v>67</v>
      </c>
      <c r="X107" s="56">
        <v>100</v>
      </c>
      <c r="Y107" s="53">
        <f t="shared" si="11"/>
        <v>103.5</v>
      </c>
      <c r="Z107" s="39">
        <f>IFERROR(IF(Y107=0,"",ROUNDUP(Y107/H107,0)*0.00902),"")</f>
        <v>0.20746000000000001</v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104.22222222222223</v>
      </c>
      <c r="BN107" s="75">
        <f t="shared" si="13"/>
        <v>107.87</v>
      </c>
      <c r="BO107" s="75">
        <f t="shared" si="14"/>
        <v>0.16835016835016836</v>
      </c>
      <c r="BP107" s="75">
        <f t="shared" si="15"/>
        <v>0.17424242424242425</v>
      </c>
    </row>
    <row r="108" spans="1:68" ht="37.5" customHeight="1" x14ac:dyDescent="0.25">
      <c r="A108" s="60" t="s">
        <v>211</v>
      </c>
      <c r="B108" s="60" t="s">
        <v>212</v>
      </c>
      <c r="C108" s="34">
        <v>4301011462</v>
      </c>
      <c r="D108" s="598">
        <v>4680115881457</v>
      </c>
      <c r="E108" s="599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1"/>
      <c r="R108" s="601"/>
      <c r="S108" s="601"/>
      <c r="T108" s="602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4"/>
      <c r="B109" s="605"/>
      <c r="C109" s="605"/>
      <c r="D109" s="605"/>
      <c r="E109" s="605"/>
      <c r="F109" s="605"/>
      <c r="G109" s="605"/>
      <c r="H109" s="605"/>
      <c r="I109" s="605"/>
      <c r="J109" s="605"/>
      <c r="K109" s="605"/>
      <c r="L109" s="605"/>
      <c r="M109" s="605"/>
      <c r="N109" s="605"/>
      <c r="O109" s="606"/>
      <c r="P109" s="595" t="s">
        <v>72</v>
      </c>
      <c r="Q109" s="596"/>
      <c r="R109" s="596"/>
      <c r="S109" s="596"/>
      <c r="T109" s="596"/>
      <c r="U109" s="596"/>
      <c r="V109" s="597"/>
      <c r="W109" s="40" t="s">
        <v>73</v>
      </c>
      <c r="X109" s="41">
        <f>IFERROR(X102/H102,"0")+IFERROR(X103/H103,"0")+IFERROR(X104/H104,"0")+IFERROR(X105/H105,"0")+IFERROR(X106/H106,"0")+IFERROR(X107/H107,"0")+IFERROR(X108/H108,"0")</f>
        <v>37.599999999999994</v>
      </c>
      <c r="Y109" s="41">
        <f>IFERROR(Y102/H102,"0")+IFERROR(Y103/H103,"0")+IFERROR(Y104/H104,"0")+IFERROR(Y105/H105,"0")+IFERROR(Y106/H106,"0")+IFERROR(Y107/H107,"0")+IFERROR(Y108/H108,"0")</f>
        <v>40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0.48031999999999997</v>
      </c>
      <c r="AA109" s="64"/>
      <c r="AB109" s="64"/>
      <c r="AC109" s="64"/>
    </row>
    <row r="110" spans="1:68" x14ac:dyDescent="0.2">
      <c r="A110" s="605"/>
      <c r="B110" s="605"/>
      <c r="C110" s="605"/>
      <c r="D110" s="605"/>
      <c r="E110" s="605"/>
      <c r="F110" s="605"/>
      <c r="G110" s="605"/>
      <c r="H110" s="605"/>
      <c r="I110" s="605"/>
      <c r="J110" s="605"/>
      <c r="K110" s="605"/>
      <c r="L110" s="605"/>
      <c r="M110" s="605"/>
      <c r="N110" s="605"/>
      <c r="O110" s="606"/>
      <c r="P110" s="595" t="s">
        <v>72</v>
      </c>
      <c r="Q110" s="596"/>
      <c r="R110" s="596"/>
      <c r="S110" s="596"/>
      <c r="T110" s="596"/>
      <c r="U110" s="596"/>
      <c r="V110" s="597"/>
      <c r="W110" s="40" t="s">
        <v>67</v>
      </c>
      <c r="X110" s="41">
        <f>IFERROR(SUM(X102:X108),"0")</f>
        <v>236</v>
      </c>
      <c r="Y110" s="41">
        <f>IFERROR(SUM(Y102:Y108),"0")</f>
        <v>251.85000000000002</v>
      </c>
      <c r="Z110" s="40"/>
      <c r="AA110" s="64"/>
      <c r="AB110" s="64"/>
      <c r="AC110" s="64"/>
    </row>
    <row r="111" spans="1:68" ht="14.25" customHeight="1" x14ac:dyDescent="0.25">
      <c r="A111" s="609" t="s">
        <v>152</v>
      </c>
      <c r="B111" s="605"/>
      <c r="C111" s="605"/>
      <c r="D111" s="605"/>
      <c r="E111" s="605"/>
      <c r="F111" s="605"/>
      <c r="G111" s="605"/>
      <c r="H111" s="605"/>
      <c r="I111" s="605"/>
      <c r="J111" s="605"/>
      <c r="K111" s="605"/>
      <c r="L111" s="605"/>
      <c r="M111" s="605"/>
      <c r="N111" s="605"/>
      <c r="O111" s="605"/>
      <c r="P111" s="605"/>
      <c r="Q111" s="605"/>
      <c r="R111" s="605"/>
      <c r="S111" s="605"/>
      <c r="T111" s="605"/>
      <c r="U111" s="605"/>
      <c r="V111" s="605"/>
      <c r="W111" s="605"/>
      <c r="X111" s="605"/>
      <c r="Y111" s="605"/>
      <c r="Z111" s="605"/>
      <c r="AA111" s="63"/>
      <c r="AB111" s="63"/>
      <c r="AC111" s="63"/>
    </row>
    <row r="112" spans="1:68" ht="16.5" customHeight="1" x14ac:dyDescent="0.25">
      <c r="A112" s="60" t="s">
        <v>213</v>
      </c>
      <c r="B112" s="60" t="s">
        <v>214</v>
      </c>
      <c r="C112" s="34">
        <v>4301020345</v>
      </c>
      <c r="D112" s="598">
        <v>4680115881488</v>
      </c>
      <c r="E112" s="59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1"/>
      <c r="R112" s="601"/>
      <c r="S112" s="601"/>
      <c r="T112" s="602"/>
      <c r="U112" s="37"/>
      <c r="V112" s="37"/>
      <c r="W112" s="38" t="s">
        <v>67</v>
      </c>
      <c r="X112" s="56">
        <v>20</v>
      </c>
      <c r="Y112" s="53">
        <f t="shared" ref="Y112:Y117" si="16">IFERROR(IF(X112="",0,CEILING((X112/$H112),1)*$H112),"")</f>
        <v>21.6</v>
      </c>
      <c r="Z112" s="39">
        <f>IFERROR(IF(Y112=0,"",ROUNDUP(Y112/H112,0)*0.01898),"")</f>
        <v>3.7960000000000001E-2</v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20.75925925925926</v>
      </c>
      <c r="BN112" s="75">
        <f t="shared" ref="BN112:BN117" si="18">IFERROR(Y112*I112/H112,"0")</f>
        <v>22.42</v>
      </c>
      <c r="BO112" s="75">
        <f t="shared" ref="BO112:BO117" si="19">IFERROR(1/J112*(X112/H112),"0")</f>
        <v>2.8935185185185182E-2</v>
      </c>
      <c r="BP112" s="75">
        <f t="shared" ref="BP112:BP117" si="20">IFERROR(1/J112*(Y112/H112),"0")</f>
        <v>3.125E-2</v>
      </c>
    </row>
    <row r="113" spans="1:68" ht="27" customHeight="1" x14ac:dyDescent="0.25">
      <c r="A113" s="60" t="s">
        <v>213</v>
      </c>
      <c r="B113" s="60" t="s">
        <v>216</v>
      </c>
      <c r="C113" s="34">
        <v>4301020391</v>
      </c>
      <c r="D113" s="598">
        <v>4680115881488</v>
      </c>
      <c r="E113" s="599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1"/>
      <c r="R113" s="601"/>
      <c r="S113" s="601"/>
      <c r="T113" s="602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218</v>
      </c>
      <c r="B114" s="60" t="s">
        <v>219</v>
      </c>
      <c r="C114" s="34">
        <v>4301020186</v>
      </c>
      <c r="D114" s="598">
        <v>4680115887664</v>
      </c>
      <c r="E114" s="599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1"/>
      <c r="R114" s="601"/>
      <c r="S114" s="601"/>
      <c r="T114" s="602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218</v>
      </c>
      <c r="B115" s="60" t="s">
        <v>222</v>
      </c>
      <c r="C115" s="34">
        <v>4301020430</v>
      </c>
      <c r="D115" s="598">
        <v>4680115887664</v>
      </c>
      <c r="E115" s="599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1"/>
      <c r="R115" s="601"/>
      <c r="S115" s="601"/>
      <c r="T115" s="602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223</v>
      </c>
      <c r="B116" s="60" t="s">
        <v>224</v>
      </c>
      <c r="C116" s="34">
        <v>4301020393</v>
      </c>
      <c r="D116" s="598">
        <v>4680115882775</v>
      </c>
      <c r="E116" s="599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1"/>
      <c r="R116" s="601"/>
      <c r="S116" s="601"/>
      <c r="T116" s="602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225</v>
      </c>
      <c r="B117" s="60" t="s">
        <v>226</v>
      </c>
      <c r="C117" s="34">
        <v>4301020344</v>
      </c>
      <c r="D117" s="598">
        <v>4680115880658</v>
      </c>
      <c r="E117" s="599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1"/>
      <c r="R117" s="601"/>
      <c r="S117" s="601"/>
      <c r="T117" s="602"/>
      <c r="U117" s="37"/>
      <c r="V117" s="37"/>
      <c r="W117" s="38" t="s">
        <v>67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4"/>
      <c r="B118" s="605"/>
      <c r="C118" s="605"/>
      <c r="D118" s="605"/>
      <c r="E118" s="605"/>
      <c r="F118" s="605"/>
      <c r="G118" s="605"/>
      <c r="H118" s="605"/>
      <c r="I118" s="605"/>
      <c r="J118" s="605"/>
      <c r="K118" s="605"/>
      <c r="L118" s="605"/>
      <c r="M118" s="605"/>
      <c r="N118" s="605"/>
      <c r="O118" s="606"/>
      <c r="P118" s="595" t="s">
        <v>72</v>
      </c>
      <c r="Q118" s="596"/>
      <c r="R118" s="596"/>
      <c r="S118" s="596"/>
      <c r="T118" s="596"/>
      <c r="U118" s="596"/>
      <c r="V118" s="597"/>
      <c r="W118" s="40" t="s">
        <v>73</v>
      </c>
      <c r="X118" s="41">
        <f>IFERROR(X112/H112,"0")+IFERROR(X113/H113,"0")+IFERROR(X114/H114,"0")+IFERROR(X115/H115,"0")+IFERROR(X116/H116,"0")+IFERROR(X117/H117,"0")</f>
        <v>1.8518518518518516</v>
      </c>
      <c r="Y118" s="41">
        <f>IFERROR(Y112/H112,"0")+IFERROR(Y113/H113,"0")+IFERROR(Y114/H114,"0")+IFERROR(Y115/H115,"0")+IFERROR(Y116/H116,"0")+IFERROR(Y117/H117,"0")</f>
        <v>2</v>
      </c>
      <c r="Z118" s="41">
        <f>IFERROR(IF(Z112="",0,Z112),"0")+IFERROR(IF(Z113="",0,Z113),"0")+IFERROR(IF(Z114="",0,Z114),"0")+IFERROR(IF(Z115="",0,Z115),"0")+IFERROR(IF(Z116="",0,Z116),"0")+IFERROR(IF(Z117="",0,Z117),"0")</f>
        <v>3.7960000000000001E-2</v>
      </c>
      <c r="AA118" s="64"/>
      <c r="AB118" s="64"/>
      <c r="AC118" s="64"/>
    </row>
    <row r="119" spans="1:68" x14ac:dyDescent="0.2">
      <c r="A119" s="605"/>
      <c r="B119" s="605"/>
      <c r="C119" s="605"/>
      <c r="D119" s="605"/>
      <c r="E119" s="605"/>
      <c r="F119" s="605"/>
      <c r="G119" s="605"/>
      <c r="H119" s="605"/>
      <c r="I119" s="605"/>
      <c r="J119" s="605"/>
      <c r="K119" s="605"/>
      <c r="L119" s="605"/>
      <c r="M119" s="605"/>
      <c r="N119" s="605"/>
      <c r="O119" s="606"/>
      <c r="P119" s="595" t="s">
        <v>72</v>
      </c>
      <c r="Q119" s="596"/>
      <c r="R119" s="596"/>
      <c r="S119" s="596"/>
      <c r="T119" s="596"/>
      <c r="U119" s="596"/>
      <c r="V119" s="597"/>
      <c r="W119" s="40" t="s">
        <v>67</v>
      </c>
      <c r="X119" s="41">
        <f>IFERROR(SUM(X112:X117),"0")</f>
        <v>20</v>
      </c>
      <c r="Y119" s="41">
        <f>IFERROR(SUM(Y112:Y117),"0")</f>
        <v>21.6</v>
      </c>
      <c r="Z119" s="40"/>
      <c r="AA119" s="64"/>
      <c r="AB119" s="64"/>
      <c r="AC119" s="64"/>
    </row>
    <row r="120" spans="1:68" ht="14.25" customHeight="1" x14ac:dyDescent="0.25">
      <c r="A120" s="609" t="s">
        <v>74</v>
      </c>
      <c r="B120" s="605"/>
      <c r="C120" s="605"/>
      <c r="D120" s="605"/>
      <c r="E120" s="605"/>
      <c r="F120" s="605"/>
      <c r="G120" s="605"/>
      <c r="H120" s="605"/>
      <c r="I120" s="605"/>
      <c r="J120" s="605"/>
      <c r="K120" s="605"/>
      <c r="L120" s="605"/>
      <c r="M120" s="605"/>
      <c r="N120" s="605"/>
      <c r="O120" s="605"/>
      <c r="P120" s="605"/>
      <c r="Q120" s="605"/>
      <c r="R120" s="605"/>
      <c r="S120" s="605"/>
      <c r="T120" s="605"/>
      <c r="U120" s="605"/>
      <c r="V120" s="605"/>
      <c r="W120" s="605"/>
      <c r="X120" s="605"/>
      <c r="Y120" s="605"/>
      <c r="Z120" s="605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8">
        <v>4607091385168</v>
      </c>
      <c r="E121" s="599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1"/>
      <c r="R121" s="601"/>
      <c r="S121" s="601"/>
      <c r="T121" s="602"/>
      <c r="U121" s="37"/>
      <c r="V121" s="37"/>
      <c r="W121" s="38" t="s">
        <v>67</v>
      </c>
      <c r="X121" s="56">
        <v>150</v>
      </c>
      <c r="Y121" s="53">
        <f>IFERROR(IF(X121="",0,CEILING((X121/$H121),1)*$H121),"")</f>
        <v>153.9</v>
      </c>
      <c r="Z121" s="39">
        <f>IFERROR(IF(Y121=0,"",ROUNDUP(Y121/H121,0)*0.01898),"")</f>
        <v>0.36062</v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159.03703703703701</v>
      </c>
      <c r="BN121" s="75">
        <f>IFERROR(Y121*I121/H121,"0")</f>
        <v>163.172</v>
      </c>
      <c r="BO121" s="75">
        <f>IFERROR(1/J121*(X121/H121),"0")</f>
        <v>0.28935185185185186</v>
      </c>
      <c r="BP121" s="75">
        <f>IFERROR(1/J121*(Y121/H121),"0")</f>
        <v>0.296875</v>
      </c>
    </row>
    <row r="122" spans="1:68" ht="27" customHeight="1" x14ac:dyDescent="0.25">
      <c r="A122" s="60" t="s">
        <v>230</v>
      </c>
      <c r="B122" s="60" t="s">
        <v>231</v>
      </c>
      <c r="C122" s="34">
        <v>4301051730</v>
      </c>
      <c r="D122" s="598">
        <v>4607091383256</v>
      </c>
      <c r="E122" s="599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1"/>
      <c r="R122" s="601"/>
      <c r="S122" s="601"/>
      <c r="T122" s="602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232</v>
      </c>
      <c r="B123" s="60" t="s">
        <v>233</v>
      </c>
      <c r="C123" s="34">
        <v>4301051721</v>
      </c>
      <c r="D123" s="598">
        <v>4607091385748</v>
      </c>
      <c r="E123" s="599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1"/>
      <c r="R123" s="601"/>
      <c r="S123" s="601"/>
      <c r="T123" s="602"/>
      <c r="U123" s="37"/>
      <c r="V123" s="37"/>
      <c r="W123" s="38" t="s">
        <v>67</v>
      </c>
      <c r="X123" s="56">
        <v>180</v>
      </c>
      <c r="Y123" s="53">
        <f>IFERROR(IF(X123="",0,CEILING((X123/$H123),1)*$H123),"")</f>
        <v>180.9</v>
      </c>
      <c r="Z123" s="39">
        <f>IFERROR(IF(Y123=0,"",ROUNDUP(Y123/H123,0)*0.00651),"")</f>
        <v>0.43617</v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196.79999999999998</v>
      </c>
      <c r="BN123" s="75">
        <f>IFERROR(Y123*I123/H123,"0")</f>
        <v>197.78399999999999</v>
      </c>
      <c r="BO123" s="75">
        <f>IFERROR(1/J123*(X123/H123),"0")</f>
        <v>0.36630036630036628</v>
      </c>
      <c r="BP123" s="75">
        <f>IFERROR(1/J123*(Y123/H123),"0")</f>
        <v>0.36813186813186816</v>
      </c>
    </row>
    <row r="124" spans="1:68" ht="16.5" customHeight="1" x14ac:dyDescent="0.25">
      <c r="A124" s="60" t="s">
        <v>234</v>
      </c>
      <c r="B124" s="60" t="s">
        <v>235</v>
      </c>
      <c r="C124" s="34">
        <v>4301051740</v>
      </c>
      <c r="D124" s="598">
        <v>4680115884533</v>
      </c>
      <c r="E124" s="599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9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1"/>
      <c r="R124" s="601"/>
      <c r="S124" s="601"/>
      <c r="T124" s="602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4"/>
      <c r="B125" s="605"/>
      <c r="C125" s="605"/>
      <c r="D125" s="605"/>
      <c r="E125" s="605"/>
      <c r="F125" s="605"/>
      <c r="G125" s="605"/>
      <c r="H125" s="605"/>
      <c r="I125" s="605"/>
      <c r="J125" s="605"/>
      <c r="K125" s="605"/>
      <c r="L125" s="605"/>
      <c r="M125" s="605"/>
      <c r="N125" s="605"/>
      <c r="O125" s="606"/>
      <c r="P125" s="595" t="s">
        <v>72</v>
      </c>
      <c r="Q125" s="596"/>
      <c r="R125" s="596"/>
      <c r="S125" s="596"/>
      <c r="T125" s="596"/>
      <c r="U125" s="596"/>
      <c r="V125" s="597"/>
      <c r="W125" s="40" t="s">
        <v>73</v>
      </c>
      <c r="X125" s="41">
        <f>IFERROR(X121/H121,"0")+IFERROR(X122/H122,"0")+IFERROR(X123/H123,"0")+IFERROR(X124/H124,"0")</f>
        <v>85.185185185185176</v>
      </c>
      <c r="Y125" s="41">
        <f>IFERROR(Y121/H121,"0")+IFERROR(Y122/H122,"0")+IFERROR(Y123/H123,"0")+IFERROR(Y124/H124,"0")</f>
        <v>86</v>
      </c>
      <c r="Z125" s="41">
        <f>IFERROR(IF(Z121="",0,Z121),"0")+IFERROR(IF(Z122="",0,Z122),"0")+IFERROR(IF(Z123="",0,Z123),"0")+IFERROR(IF(Z124="",0,Z124),"0")</f>
        <v>0.79679</v>
      </c>
      <c r="AA125" s="64"/>
      <c r="AB125" s="64"/>
      <c r="AC125" s="64"/>
    </row>
    <row r="126" spans="1:68" x14ac:dyDescent="0.2">
      <c r="A126" s="605"/>
      <c r="B126" s="605"/>
      <c r="C126" s="605"/>
      <c r="D126" s="605"/>
      <c r="E126" s="605"/>
      <c r="F126" s="605"/>
      <c r="G126" s="605"/>
      <c r="H126" s="605"/>
      <c r="I126" s="605"/>
      <c r="J126" s="605"/>
      <c r="K126" s="605"/>
      <c r="L126" s="605"/>
      <c r="M126" s="605"/>
      <c r="N126" s="605"/>
      <c r="O126" s="606"/>
      <c r="P126" s="595" t="s">
        <v>72</v>
      </c>
      <c r="Q126" s="596"/>
      <c r="R126" s="596"/>
      <c r="S126" s="596"/>
      <c r="T126" s="596"/>
      <c r="U126" s="596"/>
      <c r="V126" s="597"/>
      <c r="W126" s="40" t="s">
        <v>67</v>
      </c>
      <c r="X126" s="41">
        <f>IFERROR(SUM(X121:X124),"0")</f>
        <v>330</v>
      </c>
      <c r="Y126" s="41">
        <f>IFERROR(SUM(Y121:Y124),"0")</f>
        <v>334.8</v>
      </c>
      <c r="Z126" s="40"/>
      <c r="AA126" s="64"/>
      <c r="AB126" s="64"/>
      <c r="AC126" s="64"/>
    </row>
    <row r="127" spans="1:68" ht="14.25" customHeight="1" x14ac:dyDescent="0.25">
      <c r="A127" s="609" t="s">
        <v>169</v>
      </c>
      <c r="B127" s="605"/>
      <c r="C127" s="605"/>
      <c r="D127" s="605"/>
      <c r="E127" s="605"/>
      <c r="F127" s="605"/>
      <c r="G127" s="605"/>
      <c r="H127" s="605"/>
      <c r="I127" s="605"/>
      <c r="J127" s="605"/>
      <c r="K127" s="605"/>
      <c r="L127" s="605"/>
      <c r="M127" s="605"/>
      <c r="N127" s="605"/>
      <c r="O127" s="605"/>
      <c r="P127" s="605"/>
      <c r="Q127" s="605"/>
      <c r="R127" s="605"/>
      <c r="S127" s="605"/>
      <c r="T127" s="605"/>
      <c r="U127" s="605"/>
      <c r="V127" s="605"/>
      <c r="W127" s="605"/>
      <c r="X127" s="605"/>
      <c r="Y127" s="605"/>
      <c r="Z127" s="605"/>
      <c r="AA127" s="63"/>
      <c r="AB127" s="63"/>
      <c r="AC127" s="63"/>
    </row>
    <row r="128" spans="1:68" ht="16.5" customHeight="1" x14ac:dyDescent="0.25">
      <c r="A128" s="60" t="s">
        <v>237</v>
      </c>
      <c r="B128" s="60" t="s">
        <v>238</v>
      </c>
      <c r="C128" s="34">
        <v>4301060317</v>
      </c>
      <c r="D128" s="598">
        <v>4680115880238</v>
      </c>
      <c r="E128" s="599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1"/>
      <c r="R128" s="601"/>
      <c r="S128" s="601"/>
      <c r="T128" s="602"/>
      <c r="U128" s="37"/>
      <c r="V128" s="37"/>
      <c r="W128" s="38" t="s">
        <v>67</v>
      </c>
      <c r="X128" s="56">
        <v>13</v>
      </c>
      <c r="Y128" s="53">
        <f>IFERROR(IF(X128="",0,CEILING((X128/$H128),1)*$H128),"")</f>
        <v>13.86</v>
      </c>
      <c r="Z128" s="39">
        <f>IFERROR(IF(Y128=0,"",ROUNDUP(Y128/H128,0)*0.00651),"")</f>
        <v>4.5569999999999999E-2</v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14.693939393939395</v>
      </c>
      <c r="BN128" s="75">
        <f>IFERROR(Y128*I128/H128,"0")</f>
        <v>15.666</v>
      </c>
      <c r="BO128" s="75">
        <f>IFERROR(1/J128*(X128/H128),"0")</f>
        <v>3.6075036075036079E-2</v>
      </c>
      <c r="BP128" s="75">
        <f>IFERROR(1/J128*(Y128/H128),"0")</f>
        <v>3.8461538461538464E-2</v>
      </c>
    </row>
    <row r="129" spans="1:68" x14ac:dyDescent="0.2">
      <c r="A129" s="604"/>
      <c r="B129" s="605"/>
      <c r="C129" s="605"/>
      <c r="D129" s="605"/>
      <c r="E129" s="605"/>
      <c r="F129" s="605"/>
      <c r="G129" s="605"/>
      <c r="H129" s="605"/>
      <c r="I129" s="605"/>
      <c r="J129" s="605"/>
      <c r="K129" s="605"/>
      <c r="L129" s="605"/>
      <c r="M129" s="605"/>
      <c r="N129" s="605"/>
      <c r="O129" s="606"/>
      <c r="P129" s="595" t="s">
        <v>72</v>
      </c>
      <c r="Q129" s="596"/>
      <c r="R129" s="596"/>
      <c r="S129" s="596"/>
      <c r="T129" s="596"/>
      <c r="U129" s="596"/>
      <c r="V129" s="597"/>
      <c r="W129" s="40" t="s">
        <v>73</v>
      </c>
      <c r="X129" s="41">
        <f>IFERROR(X128/H128,"0")</f>
        <v>6.5656565656565657</v>
      </c>
      <c r="Y129" s="41">
        <f>IFERROR(Y128/H128,"0")</f>
        <v>7</v>
      </c>
      <c r="Z129" s="41">
        <f>IFERROR(IF(Z128="",0,Z128),"0")</f>
        <v>4.5569999999999999E-2</v>
      </c>
      <c r="AA129" s="64"/>
      <c r="AB129" s="64"/>
      <c r="AC129" s="64"/>
    </row>
    <row r="130" spans="1:68" x14ac:dyDescent="0.2">
      <c r="A130" s="605"/>
      <c r="B130" s="605"/>
      <c r="C130" s="605"/>
      <c r="D130" s="605"/>
      <c r="E130" s="605"/>
      <c r="F130" s="605"/>
      <c r="G130" s="605"/>
      <c r="H130" s="605"/>
      <c r="I130" s="605"/>
      <c r="J130" s="605"/>
      <c r="K130" s="605"/>
      <c r="L130" s="605"/>
      <c r="M130" s="605"/>
      <c r="N130" s="605"/>
      <c r="O130" s="606"/>
      <c r="P130" s="595" t="s">
        <v>72</v>
      </c>
      <c r="Q130" s="596"/>
      <c r="R130" s="596"/>
      <c r="S130" s="596"/>
      <c r="T130" s="596"/>
      <c r="U130" s="596"/>
      <c r="V130" s="597"/>
      <c r="W130" s="40" t="s">
        <v>67</v>
      </c>
      <c r="X130" s="41">
        <f>IFERROR(SUM(X128:X128),"0")</f>
        <v>13</v>
      </c>
      <c r="Y130" s="41">
        <f>IFERROR(SUM(Y128:Y128),"0")</f>
        <v>13.86</v>
      </c>
      <c r="Z130" s="40"/>
      <c r="AA130" s="64"/>
      <c r="AB130" s="64"/>
      <c r="AC130" s="64"/>
    </row>
    <row r="131" spans="1:68" ht="16.5" customHeight="1" x14ac:dyDescent="0.25">
      <c r="A131" s="610" t="s">
        <v>240</v>
      </c>
      <c r="B131" s="605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62"/>
      <c r="AB131" s="62"/>
      <c r="AC131" s="62"/>
    </row>
    <row r="132" spans="1:68" ht="14.25" customHeight="1" x14ac:dyDescent="0.25">
      <c r="A132" s="609" t="s">
        <v>117</v>
      </c>
      <c r="B132" s="605"/>
      <c r="C132" s="605"/>
      <c r="D132" s="605"/>
      <c r="E132" s="605"/>
      <c r="F132" s="605"/>
      <c r="G132" s="605"/>
      <c r="H132" s="605"/>
      <c r="I132" s="605"/>
      <c r="J132" s="605"/>
      <c r="K132" s="605"/>
      <c r="L132" s="605"/>
      <c r="M132" s="605"/>
      <c r="N132" s="605"/>
      <c r="O132" s="605"/>
      <c r="P132" s="605"/>
      <c r="Q132" s="605"/>
      <c r="R132" s="605"/>
      <c r="S132" s="605"/>
      <c r="T132" s="605"/>
      <c r="U132" s="605"/>
      <c r="V132" s="605"/>
      <c r="W132" s="605"/>
      <c r="X132" s="605"/>
      <c r="Y132" s="605"/>
      <c r="Z132" s="605"/>
      <c r="AA132" s="63"/>
      <c r="AB132" s="63"/>
      <c r="AC132" s="63"/>
    </row>
    <row r="133" spans="1:68" ht="27" customHeight="1" x14ac:dyDescent="0.25">
      <c r="A133" s="60" t="s">
        <v>241</v>
      </c>
      <c r="B133" s="60" t="s">
        <v>242</v>
      </c>
      <c r="C133" s="34">
        <v>4301011562</v>
      </c>
      <c r="D133" s="598">
        <v>4680115882577</v>
      </c>
      <c r="E133" s="59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1"/>
      <c r="R133" s="601"/>
      <c r="S133" s="601"/>
      <c r="T133" s="602"/>
      <c r="U133" s="37"/>
      <c r="V133" s="37"/>
      <c r="W133" s="38" t="s">
        <v>67</v>
      </c>
      <c r="X133" s="56">
        <v>40</v>
      </c>
      <c r="Y133" s="53">
        <f>IFERROR(IF(X133="",0,CEILING((X133/$H133),1)*$H133),"")</f>
        <v>41.6</v>
      </c>
      <c r="Z133" s="39">
        <f>IFERROR(IF(Y133=0,"",ROUNDUP(Y133/H133,0)*0.00651),"")</f>
        <v>8.4629999999999997E-2</v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42.249999999999993</v>
      </c>
      <c r="BN133" s="75">
        <f>IFERROR(Y133*I133/H133,"0")</f>
        <v>43.94</v>
      </c>
      <c r="BO133" s="75">
        <f>IFERROR(1/J133*(X133/H133),"0")</f>
        <v>6.8681318681318687E-2</v>
      </c>
      <c r="BP133" s="75">
        <f>IFERROR(1/J133*(Y133/H133),"0")</f>
        <v>7.1428571428571438E-2</v>
      </c>
    </row>
    <row r="134" spans="1:68" ht="27" customHeight="1" x14ac:dyDescent="0.25">
      <c r="A134" s="60" t="s">
        <v>241</v>
      </c>
      <c r="B134" s="60" t="s">
        <v>244</v>
      </c>
      <c r="C134" s="34">
        <v>4301011564</v>
      </c>
      <c r="D134" s="598">
        <v>4680115882577</v>
      </c>
      <c r="E134" s="599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1"/>
      <c r="R134" s="601"/>
      <c r="S134" s="601"/>
      <c r="T134" s="602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4"/>
      <c r="B135" s="605"/>
      <c r="C135" s="605"/>
      <c r="D135" s="605"/>
      <c r="E135" s="605"/>
      <c r="F135" s="605"/>
      <c r="G135" s="605"/>
      <c r="H135" s="605"/>
      <c r="I135" s="605"/>
      <c r="J135" s="605"/>
      <c r="K135" s="605"/>
      <c r="L135" s="605"/>
      <c r="M135" s="605"/>
      <c r="N135" s="605"/>
      <c r="O135" s="606"/>
      <c r="P135" s="595" t="s">
        <v>72</v>
      </c>
      <c r="Q135" s="596"/>
      <c r="R135" s="596"/>
      <c r="S135" s="596"/>
      <c r="T135" s="596"/>
      <c r="U135" s="596"/>
      <c r="V135" s="597"/>
      <c r="W135" s="40" t="s">
        <v>73</v>
      </c>
      <c r="X135" s="41">
        <f>IFERROR(X133/H133,"0")+IFERROR(X134/H134,"0")</f>
        <v>12.5</v>
      </c>
      <c r="Y135" s="41">
        <f>IFERROR(Y133/H133,"0")+IFERROR(Y134/H134,"0")</f>
        <v>13</v>
      </c>
      <c r="Z135" s="41">
        <f>IFERROR(IF(Z133="",0,Z133),"0")+IFERROR(IF(Z134="",0,Z134),"0")</f>
        <v>8.4629999999999997E-2</v>
      </c>
      <c r="AA135" s="64"/>
      <c r="AB135" s="64"/>
      <c r="AC135" s="64"/>
    </row>
    <row r="136" spans="1:68" x14ac:dyDescent="0.2">
      <c r="A136" s="605"/>
      <c r="B136" s="605"/>
      <c r="C136" s="605"/>
      <c r="D136" s="605"/>
      <c r="E136" s="605"/>
      <c r="F136" s="605"/>
      <c r="G136" s="605"/>
      <c r="H136" s="605"/>
      <c r="I136" s="605"/>
      <c r="J136" s="605"/>
      <c r="K136" s="605"/>
      <c r="L136" s="605"/>
      <c r="M136" s="605"/>
      <c r="N136" s="605"/>
      <c r="O136" s="606"/>
      <c r="P136" s="595" t="s">
        <v>72</v>
      </c>
      <c r="Q136" s="596"/>
      <c r="R136" s="596"/>
      <c r="S136" s="596"/>
      <c r="T136" s="596"/>
      <c r="U136" s="596"/>
      <c r="V136" s="597"/>
      <c r="W136" s="40" t="s">
        <v>67</v>
      </c>
      <c r="X136" s="41">
        <f>IFERROR(SUM(X133:X134),"0")</f>
        <v>40</v>
      </c>
      <c r="Y136" s="41">
        <f>IFERROR(SUM(Y133:Y134),"0")</f>
        <v>41.6</v>
      </c>
      <c r="Z136" s="40"/>
      <c r="AA136" s="64"/>
      <c r="AB136" s="64"/>
      <c r="AC136" s="64"/>
    </row>
    <row r="137" spans="1:68" ht="14.25" customHeight="1" x14ac:dyDescent="0.25">
      <c r="A137" s="609" t="s">
        <v>62</v>
      </c>
      <c r="B137" s="605"/>
      <c r="C137" s="605"/>
      <c r="D137" s="605"/>
      <c r="E137" s="605"/>
      <c r="F137" s="605"/>
      <c r="G137" s="605"/>
      <c r="H137" s="605"/>
      <c r="I137" s="605"/>
      <c r="J137" s="605"/>
      <c r="K137" s="605"/>
      <c r="L137" s="605"/>
      <c r="M137" s="605"/>
      <c r="N137" s="605"/>
      <c r="O137" s="605"/>
      <c r="P137" s="605"/>
      <c r="Q137" s="605"/>
      <c r="R137" s="605"/>
      <c r="S137" s="605"/>
      <c r="T137" s="605"/>
      <c r="U137" s="605"/>
      <c r="V137" s="605"/>
      <c r="W137" s="605"/>
      <c r="X137" s="605"/>
      <c r="Y137" s="605"/>
      <c r="Z137" s="605"/>
      <c r="AA137" s="63"/>
      <c r="AB137" s="63"/>
      <c r="AC137" s="63"/>
    </row>
    <row r="138" spans="1:68" ht="27" customHeight="1" x14ac:dyDescent="0.25">
      <c r="A138" s="60" t="s">
        <v>245</v>
      </c>
      <c r="B138" s="60" t="s">
        <v>246</v>
      </c>
      <c r="C138" s="34">
        <v>4301031234</v>
      </c>
      <c r="D138" s="598">
        <v>4680115883444</v>
      </c>
      <c r="E138" s="59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1"/>
      <c r="R138" s="601"/>
      <c r="S138" s="601"/>
      <c r="T138" s="602"/>
      <c r="U138" s="37"/>
      <c r="V138" s="37"/>
      <c r="W138" s="38" t="s">
        <v>67</v>
      </c>
      <c r="X138" s="56">
        <v>35</v>
      </c>
      <c r="Y138" s="53">
        <f>IFERROR(IF(X138="",0,CEILING((X138/$H138),1)*$H138),"")</f>
        <v>36.4</v>
      </c>
      <c r="Z138" s="39">
        <f>IFERROR(IF(Y138=0,"",ROUNDUP(Y138/H138,0)*0.00651),"")</f>
        <v>8.4629999999999997E-2</v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38.35</v>
      </c>
      <c r="BN138" s="75">
        <f>IFERROR(Y138*I138/H138,"0")</f>
        <v>39.884</v>
      </c>
      <c r="BO138" s="75">
        <f>IFERROR(1/J138*(X138/H138),"0")</f>
        <v>6.8681318681318687E-2</v>
      </c>
      <c r="BP138" s="75">
        <f>IFERROR(1/J138*(Y138/H138),"0")</f>
        <v>7.1428571428571438E-2</v>
      </c>
    </row>
    <row r="139" spans="1:68" ht="27" customHeight="1" x14ac:dyDescent="0.25">
      <c r="A139" s="60" t="s">
        <v>245</v>
      </c>
      <c r="B139" s="60" t="s">
        <v>248</v>
      </c>
      <c r="C139" s="34">
        <v>4301031235</v>
      </c>
      <c r="D139" s="598">
        <v>4680115883444</v>
      </c>
      <c r="E139" s="599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1"/>
      <c r="R139" s="601"/>
      <c r="S139" s="601"/>
      <c r="T139" s="602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4"/>
      <c r="B140" s="605"/>
      <c r="C140" s="605"/>
      <c r="D140" s="605"/>
      <c r="E140" s="605"/>
      <c r="F140" s="605"/>
      <c r="G140" s="605"/>
      <c r="H140" s="605"/>
      <c r="I140" s="605"/>
      <c r="J140" s="605"/>
      <c r="K140" s="605"/>
      <c r="L140" s="605"/>
      <c r="M140" s="605"/>
      <c r="N140" s="605"/>
      <c r="O140" s="606"/>
      <c r="P140" s="595" t="s">
        <v>72</v>
      </c>
      <c r="Q140" s="596"/>
      <c r="R140" s="596"/>
      <c r="S140" s="596"/>
      <c r="T140" s="596"/>
      <c r="U140" s="596"/>
      <c r="V140" s="597"/>
      <c r="W140" s="40" t="s">
        <v>73</v>
      </c>
      <c r="X140" s="41">
        <f>IFERROR(X138/H138,"0")+IFERROR(X139/H139,"0")</f>
        <v>12.5</v>
      </c>
      <c r="Y140" s="41">
        <f>IFERROR(Y138/H138,"0")+IFERROR(Y139/H139,"0")</f>
        <v>13</v>
      </c>
      <c r="Z140" s="41">
        <f>IFERROR(IF(Z138="",0,Z138),"0")+IFERROR(IF(Z139="",0,Z139),"0")</f>
        <v>8.4629999999999997E-2</v>
      </c>
      <c r="AA140" s="64"/>
      <c r="AB140" s="64"/>
      <c r="AC140" s="64"/>
    </row>
    <row r="141" spans="1:68" x14ac:dyDescent="0.2">
      <c r="A141" s="605"/>
      <c r="B141" s="605"/>
      <c r="C141" s="605"/>
      <c r="D141" s="605"/>
      <c r="E141" s="605"/>
      <c r="F141" s="605"/>
      <c r="G141" s="605"/>
      <c r="H141" s="605"/>
      <c r="I141" s="605"/>
      <c r="J141" s="605"/>
      <c r="K141" s="605"/>
      <c r="L141" s="605"/>
      <c r="M141" s="605"/>
      <c r="N141" s="605"/>
      <c r="O141" s="606"/>
      <c r="P141" s="595" t="s">
        <v>72</v>
      </c>
      <c r="Q141" s="596"/>
      <c r="R141" s="596"/>
      <c r="S141" s="596"/>
      <c r="T141" s="596"/>
      <c r="U141" s="596"/>
      <c r="V141" s="597"/>
      <c r="W141" s="40" t="s">
        <v>67</v>
      </c>
      <c r="X141" s="41">
        <f>IFERROR(SUM(X138:X139),"0")</f>
        <v>35</v>
      </c>
      <c r="Y141" s="41">
        <f>IFERROR(SUM(Y138:Y139),"0")</f>
        <v>36.4</v>
      </c>
      <c r="Z141" s="40"/>
      <c r="AA141" s="64"/>
      <c r="AB141" s="64"/>
      <c r="AC141" s="64"/>
    </row>
    <row r="142" spans="1:68" ht="14.25" customHeight="1" x14ac:dyDescent="0.25">
      <c r="A142" s="609" t="s">
        <v>74</v>
      </c>
      <c r="B142" s="605"/>
      <c r="C142" s="605"/>
      <c r="D142" s="605"/>
      <c r="E142" s="605"/>
      <c r="F142" s="605"/>
      <c r="G142" s="605"/>
      <c r="H142" s="605"/>
      <c r="I142" s="605"/>
      <c r="J142" s="605"/>
      <c r="K142" s="605"/>
      <c r="L142" s="605"/>
      <c r="M142" s="605"/>
      <c r="N142" s="605"/>
      <c r="O142" s="605"/>
      <c r="P142" s="605"/>
      <c r="Q142" s="605"/>
      <c r="R142" s="605"/>
      <c r="S142" s="605"/>
      <c r="T142" s="605"/>
      <c r="U142" s="605"/>
      <c r="V142" s="605"/>
      <c r="W142" s="605"/>
      <c r="X142" s="605"/>
      <c r="Y142" s="605"/>
      <c r="Z142" s="605"/>
      <c r="AA142" s="63"/>
      <c r="AB142" s="63"/>
      <c r="AC142" s="63"/>
    </row>
    <row r="143" spans="1:68" ht="16.5" customHeight="1" x14ac:dyDescent="0.25">
      <c r="A143" s="60" t="s">
        <v>249</v>
      </c>
      <c r="B143" s="60" t="s">
        <v>250</v>
      </c>
      <c r="C143" s="34">
        <v>4301051476</v>
      </c>
      <c r="D143" s="598">
        <v>4680115882584</v>
      </c>
      <c r="E143" s="59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1"/>
      <c r="R143" s="601"/>
      <c r="S143" s="601"/>
      <c r="T143" s="602"/>
      <c r="U143" s="37"/>
      <c r="V143" s="37"/>
      <c r="W143" s="38" t="s">
        <v>67</v>
      </c>
      <c r="X143" s="56">
        <v>13</v>
      </c>
      <c r="Y143" s="53">
        <f>IFERROR(IF(X143="",0,CEILING((X143/$H143),1)*$H143),"")</f>
        <v>13.200000000000001</v>
      </c>
      <c r="Z143" s="39">
        <f>IFERROR(IF(Y143=0,"",ROUNDUP(Y143/H143,0)*0.00651),"")</f>
        <v>3.2550000000000003E-2</v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14.31969696969697</v>
      </c>
      <c r="BN143" s="75">
        <f>IFERROR(Y143*I143/H143,"0")</f>
        <v>14.540000000000001</v>
      </c>
      <c r="BO143" s="75">
        <f>IFERROR(1/J143*(X143/H143),"0")</f>
        <v>2.7056277056277056E-2</v>
      </c>
      <c r="BP143" s="75">
        <f>IFERROR(1/J143*(Y143/H143),"0")</f>
        <v>2.7472527472527476E-2</v>
      </c>
    </row>
    <row r="144" spans="1:68" ht="16.5" customHeight="1" x14ac:dyDescent="0.25">
      <c r="A144" s="60" t="s">
        <v>249</v>
      </c>
      <c r="B144" s="60" t="s">
        <v>251</v>
      </c>
      <c r="C144" s="34">
        <v>4301051477</v>
      </c>
      <c r="D144" s="598">
        <v>4680115882584</v>
      </c>
      <c r="E144" s="599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1"/>
      <c r="R144" s="601"/>
      <c r="S144" s="601"/>
      <c r="T144" s="602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4"/>
      <c r="B145" s="605"/>
      <c r="C145" s="605"/>
      <c r="D145" s="605"/>
      <c r="E145" s="605"/>
      <c r="F145" s="605"/>
      <c r="G145" s="605"/>
      <c r="H145" s="605"/>
      <c r="I145" s="605"/>
      <c r="J145" s="605"/>
      <c r="K145" s="605"/>
      <c r="L145" s="605"/>
      <c r="M145" s="605"/>
      <c r="N145" s="605"/>
      <c r="O145" s="606"/>
      <c r="P145" s="595" t="s">
        <v>72</v>
      </c>
      <c r="Q145" s="596"/>
      <c r="R145" s="596"/>
      <c r="S145" s="596"/>
      <c r="T145" s="596"/>
      <c r="U145" s="596"/>
      <c r="V145" s="597"/>
      <c r="W145" s="40" t="s">
        <v>73</v>
      </c>
      <c r="X145" s="41">
        <f>IFERROR(X143/H143,"0")+IFERROR(X144/H144,"0")</f>
        <v>4.9242424242424239</v>
      </c>
      <c r="Y145" s="41">
        <f>IFERROR(Y143/H143,"0")+IFERROR(Y144/H144,"0")</f>
        <v>5</v>
      </c>
      <c r="Z145" s="41">
        <f>IFERROR(IF(Z143="",0,Z143),"0")+IFERROR(IF(Z144="",0,Z144),"0")</f>
        <v>3.2550000000000003E-2</v>
      </c>
      <c r="AA145" s="64"/>
      <c r="AB145" s="64"/>
      <c r="AC145" s="64"/>
    </row>
    <row r="146" spans="1:68" x14ac:dyDescent="0.2">
      <c r="A146" s="605"/>
      <c r="B146" s="605"/>
      <c r="C146" s="605"/>
      <c r="D146" s="605"/>
      <c r="E146" s="605"/>
      <c r="F146" s="605"/>
      <c r="G146" s="605"/>
      <c r="H146" s="605"/>
      <c r="I146" s="605"/>
      <c r="J146" s="605"/>
      <c r="K146" s="605"/>
      <c r="L146" s="605"/>
      <c r="M146" s="605"/>
      <c r="N146" s="605"/>
      <c r="O146" s="606"/>
      <c r="P146" s="595" t="s">
        <v>72</v>
      </c>
      <c r="Q146" s="596"/>
      <c r="R146" s="596"/>
      <c r="S146" s="596"/>
      <c r="T146" s="596"/>
      <c r="U146" s="596"/>
      <c r="V146" s="597"/>
      <c r="W146" s="40" t="s">
        <v>67</v>
      </c>
      <c r="X146" s="41">
        <f>IFERROR(SUM(X143:X144),"0")</f>
        <v>13</v>
      </c>
      <c r="Y146" s="41">
        <f>IFERROR(SUM(Y143:Y144),"0")</f>
        <v>13.200000000000001</v>
      </c>
      <c r="Z146" s="40"/>
      <c r="AA146" s="64"/>
      <c r="AB146" s="64"/>
      <c r="AC146" s="64"/>
    </row>
    <row r="147" spans="1:68" ht="16.5" customHeight="1" x14ac:dyDescent="0.25">
      <c r="A147" s="610" t="s">
        <v>252</v>
      </c>
      <c r="B147" s="605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  <c r="N147" s="605"/>
      <c r="O147" s="605"/>
      <c r="P147" s="605"/>
      <c r="Q147" s="605"/>
      <c r="R147" s="605"/>
      <c r="S147" s="605"/>
      <c r="T147" s="605"/>
      <c r="U147" s="605"/>
      <c r="V147" s="605"/>
      <c r="W147" s="605"/>
      <c r="X147" s="605"/>
      <c r="Y147" s="605"/>
      <c r="Z147" s="605"/>
      <c r="AA147" s="62"/>
      <c r="AB147" s="62"/>
      <c r="AC147" s="62"/>
    </row>
    <row r="148" spans="1:68" ht="14.25" customHeight="1" x14ac:dyDescent="0.25">
      <c r="A148" s="609" t="s">
        <v>74</v>
      </c>
      <c r="B148" s="605"/>
      <c r="C148" s="605"/>
      <c r="D148" s="605"/>
      <c r="E148" s="605"/>
      <c r="F148" s="605"/>
      <c r="G148" s="605"/>
      <c r="H148" s="605"/>
      <c r="I148" s="605"/>
      <c r="J148" s="605"/>
      <c r="K148" s="605"/>
      <c r="L148" s="605"/>
      <c r="M148" s="605"/>
      <c r="N148" s="605"/>
      <c r="O148" s="605"/>
      <c r="P148" s="605"/>
      <c r="Q148" s="605"/>
      <c r="R148" s="605"/>
      <c r="S148" s="605"/>
      <c r="T148" s="605"/>
      <c r="U148" s="605"/>
      <c r="V148" s="605"/>
      <c r="W148" s="605"/>
      <c r="X148" s="605"/>
      <c r="Y148" s="605"/>
      <c r="Z148" s="605"/>
      <c r="AA148" s="63"/>
      <c r="AB148" s="63"/>
      <c r="AC148" s="63"/>
    </row>
    <row r="149" spans="1:68" ht="27" customHeight="1" x14ac:dyDescent="0.25">
      <c r="A149" s="60" t="s">
        <v>253</v>
      </c>
      <c r="B149" s="60" t="s">
        <v>254</v>
      </c>
      <c r="C149" s="34">
        <v>4301052174</v>
      </c>
      <c r="D149" s="598">
        <v>4680115888203</v>
      </c>
      <c r="E149" s="59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2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1"/>
      <c r="R149" s="601"/>
      <c r="S149" s="601"/>
      <c r="T149" s="602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256</v>
      </c>
      <c r="B150" s="60" t="s">
        <v>257</v>
      </c>
      <c r="C150" s="34">
        <v>4301052172</v>
      </c>
      <c r="D150" s="598">
        <v>4680115888180</v>
      </c>
      <c r="E150" s="599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1"/>
      <c r="R150" s="601"/>
      <c r="S150" s="601"/>
      <c r="T150" s="602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259</v>
      </c>
      <c r="B151" s="60" t="s">
        <v>260</v>
      </c>
      <c r="C151" s="34">
        <v>4301052173</v>
      </c>
      <c r="D151" s="598">
        <v>4680115888197</v>
      </c>
      <c r="E151" s="599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1"/>
      <c r="R151" s="601"/>
      <c r="S151" s="601"/>
      <c r="T151" s="602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262</v>
      </c>
      <c r="B152" s="60" t="s">
        <v>263</v>
      </c>
      <c r="C152" s="34">
        <v>4301052175</v>
      </c>
      <c r="D152" s="598">
        <v>4680115888210</v>
      </c>
      <c r="E152" s="59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1"/>
      <c r="R152" s="601"/>
      <c r="S152" s="601"/>
      <c r="T152" s="602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04"/>
      <c r="B153" s="605"/>
      <c r="C153" s="605"/>
      <c r="D153" s="605"/>
      <c r="E153" s="605"/>
      <c r="F153" s="605"/>
      <c r="G153" s="605"/>
      <c r="H153" s="605"/>
      <c r="I153" s="605"/>
      <c r="J153" s="605"/>
      <c r="K153" s="605"/>
      <c r="L153" s="605"/>
      <c r="M153" s="605"/>
      <c r="N153" s="605"/>
      <c r="O153" s="606"/>
      <c r="P153" s="595" t="s">
        <v>72</v>
      </c>
      <c r="Q153" s="596"/>
      <c r="R153" s="596"/>
      <c r="S153" s="596"/>
      <c r="T153" s="596"/>
      <c r="U153" s="596"/>
      <c r="V153" s="597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5"/>
      <c r="B154" s="605"/>
      <c r="C154" s="605"/>
      <c r="D154" s="605"/>
      <c r="E154" s="605"/>
      <c r="F154" s="605"/>
      <c r="G154" s="605"/>
      <c r="H154" s="605"/>
      <c r="I154" s="605"/>
      <c r="J154" s="605"/>
      <c r="K154" s="605"/>
      <c r="L154" s="605"/>
      <c r="M154" s="605"/>
      <c r="N154" s="605"/>
      <c r="O154" s="606"/>
      <c r="P154" s="595" t="s">
        <v>72</v>
      </c>
      <c r="Q154" s="596"/>
      <c r="R154" s="596"/>
      <c r="S154" s="596"/>
      <c r="T154" s="596"/>
      <c r="U154" s="596"/>
      <c r="V154" s="597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0" t="s">
        <v>115</v>
      </c>
      <c r="B155" s="605"/>
      <c r="C155" s="605"/>
      <c r="D155" s="605"/>
      <c r="E155" s="605"/>
      <c r="F155" s="605"/>
      <c r="G155" s="605"/>
      <c r="H155" s="605"/>
      <c r="I155" s="60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2"/>
      <c r="AB155" s="62"/>
      <c r="AC155" s="62"/>
    </row>
    <row r="156" spans="1:68" ht="14.25" customHeight="1" x14ac:dyDescent="0.25">
      <c r="A156" s="609" t="s">
        <v>117</v>
      </c>
      <c r="B156" s="605"/>
      <c r="C156" s="605"/>
      <c r="D156" s="605"/>
      <c r="E156" s="605"/>
      <c r="F156" s="605"/>
      <c r="G156" s="605"/>
      <c r="H156" s="605"/>
      <c r="I156" s="605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3"/>
      <c r="AB156" s="63"/>
      <c r="AC156" s="63"/>
    </row>
    <row r="157" spans="1:68" ht="27" customHeight="1" x14ac:dyDescent="0.25">
      <c r="A157" s="60" t="s">
        <v>265</v>
      </c>
      <c r="B157" s="60" t="s">
        <v>266</v>
      </c>
      <c r="C157" s="34">
        <v>4301012244</v>
      </c>
      <c r="D157" s="598">
        <v>4680115887374</v>
      </c>
      <c r="E157" s="599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2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1"/>
      <c r="R157" s="601"/>
      <c r="S157" s="601"/>
      <c r="T157" s="602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268</v>
      </c>
      <c r="B158" s="60" t="s">
        <v>269</v>
      </c>
      <c r="C158" s="34">
        <v>4301011705</v>
      </c>
      <c r="D158" s="598">
        <v>4607091384604</v>
      </c>
      <c r="E158" s="599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1"/>
      <c r="R158" s="601"/>
      <c r="S158" s="601"/>
      <c r="T158" s="602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4"/>
      <c r="B159" s="605"/>
      <c r="C159" s="605"/>
      <c r="D159" s="605"/>
      <c r="E159" s="605"/>
      <c r="F159" s="605"/>
      <c r="G159" s="605"/>
      <c r="H159" s="605"/>
      <c r="I159" s="605"/>
      <c r="J159" s="605"/>
      <c r="K159" s="605"/>
      <c r="L159" s="605"/>
      <c r="M159" s="605"/>
      <c r="N159" s="605"/>
      <c r="O159" s="606"/>
      <c r="P159" s="595" t="s">
        <v>72</v>
      </c>
      <c r="Q159" s="596"/>
      <c r="R159" s="596"/>
      <c r="S159" s="596"/>
      <c r="T159" s="596"/>
      <c r="U159" s="596"/>
      <c r="V159" s="597"/>
      <c r="W159" s="40" t="s">
        <v>73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05"/>
      <c r="B160" s="605"/>
      <c r="C160" s="605"/>
      <c r="D160" s="605"/>
      <c r="E160" s="605"/>
      <c r="F160" s="605"/>
      <c r="G160" s="605"/>
      <c r="H160" s="605"/>
      <c r="I160" s="605"/>
      <c r="J160" s="605"/>
      <c r="K160" s="605"/>
      <c r="L160" s="605"/>
      <c r="M160" s="605"/>
      <c r="N160" s="605"/>
      <c r="O160" s="606"/>
      <c r="P160" s="595" t="s">
        <v>72</v>
      </c>
      <c r="Q160" s="596"/>
      <c r="R160" s="596"/>
      <c r="S160" s="596"/>
      <c r="T160" s="596"/>
      <c r="U160" s="596"/>
      <c r="V160" s="597"/>
      <c r="W160" s="40" t="s">
        <v>67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09" t="s">
        <v>152</v>
      </c>
      <c r="B161" s="605"/>
      <c r="C161" s="605"/>
      <c r="D161" s="605"/>
      <c r="E161" s="605"/>
      <c r="F161" s="605"/>
      <c r="G161" s="605"/>
      <c r="H161" s="605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63"/>
      <c r="AB161" s="63"/>
      <c r="AC161" s="63"/>
    </row>
    <row r="162" spans="1:68" ht="16.5" customHeight="1" x14ac:dyDescent="0.25">
      <c r="A162" s="60" t="s">
        <v>271</v>
      </c>
      <c r="B162" s="60" t="s">
        <v>272</v>
      </c>
      <c r="C162" s="34">
        <v>4301020410</v>
      </c>
      <c r="D162" s="598">
        <v>4680115887695</v>
      </c>
      <c r="E162" s="599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1"/>
      <c r="R162" s="601"/>
      <c r="S162" s="601"/>
      <c r="T162" s="602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04"/>
      <c r="B163" s="605"/>
      <c r="C163" s="605"/>
      <c r="D163" s="605"/>
      <c r="E163" s="605"/>
      <c r="F163" s="605"/>
      <c r="G163" s="605"/>
      <c r="H163" s="605"/>
      <c r="I163" s="605"/>
      <c r="J163" s="605"/>
      <c r="K163" s="605"/>
      <c r="L163" s="605"/>
      <c r="M163" s="605"/>
      <c r="N163" s="605"/>
      <c r="O163" s="606"/>
      <c r="P163" s="595" t="s">
        <v>72</v>
      </c>
      <c r="Q163" s="596"/>
      <c r="R163" s="596"/>
      <c r="S163" s="596"/>
      <c r="T163" s="596"/>
      <c r="U163" s="596"/>
      <c r="V163" s="597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5"/>
      <c r="B164" s="605"/>
      <c r="C164" s="605"/>
      <c r="D164" s="605"/>
      <c r="E164" s="605"/>
      <c r="F164" s="605"/>
      <c r="G164" s="605"/>
      <c r="H164" s="605"/>
      <c r="I164" s="605"/>
      <c r="J164" s="605"/>
      <c r="K164" s="605"/>
      <c r="L164" s="605"/>
      <c r="M164" s="605"/>
      <c r="N164" s="605"/>
      <c r="O164" s="606"/>
      <c r="P164" s="595" t="s">
        <v>72</v>
      </c>
      <c r="Q164" s="596"/>
      <c r="R164" s="596"/>
      <c r="S164" s="596"/>
      <c r="T164" s="596"/>
      <c r="U164" s="596"/>
      <c r="V164" s="597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09" t="s">
        <v>62</v>
      </c>
      <c r="B165" s="605"/>
      <c r="C165" s="605"/>
      <c r="D165" s="605"/>
      <c r="E165" s="605"/>
      <c r="F165" s="605"/>
      <c r="G165" s="605"/>
      <c r="H165" s="605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3"/>
      <c r="AB165" s="63"/>
      <c r="AC165" s="63"/>
    </row>
    <row r="166" spans="1:68" ht="27" customHeight="1" x14ac:dyDescent="0.25">
      <c r="A166" s="60" t="s">
        <v>274</v>
      </c>
      <c r="B166" s="60" t="s">
        <v>275</v>
      </c>
      <c r="C166" s="34">
        <v>4301031496</v>
      </c>
      <c r="D166" s="598">
        <v>4680115887428</v>
      </c>
      <c r="E166" s="599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1"/>
      <c r="R166" s="601"/>
      <c r="S166" s="601"/>
      <c r="T166" s="602"/>
      <c r="U166" s="37"/>
      <c r="V166" s="37"/>
      <c r="W166" s="38" t="s">
        <v>67</v>
      </c>
      <c r="X166" s="56">
        <v>40</v>
      </c>
      <c r="Y166" s="53">
        <f t="shared" ref="Y166:Y175" si="21">IFERROR(IF(X166="",0,CEILING((X166/$H166),1)*$H166),"")</f>
        <v>42</v>
      </c>
      <c r="Z166" s="39">
        <f>IFERROR(IF(Y166=0,"",ROUNDUP(Y166/H166,0)*0.00902),"")</f>
        <v>0.10824</v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42.171428571428571</v>
      </c>
      <c r="BN166" s="75">
        <f t="shared" ref="BN166:BN175" si="23">IFERROR(Y166*I166/H166,"0")</f>
        <v>44.279999999999994</v>
      </c>
      <c r="BO166" s="75">
        <f t="shared" ref="BO166:BO175" si="24">IFERROR(1/J166*(X166/H166),"0")</f>
        <v>8.658008658008659E-2</v>
      </c>
      <c r="BP166" s="75">
        <f t="shared" ref="BP166:BP175" si="25">IFERROR(1/J166*(Y166/H166),"0")</f>
        <v>9.0909090909090912E-2</v>
      </c>
    </row>
    <row r="167" spans="1:68" ht="27" customHeight="1" x14ac:dyDescent="0.25">
      <c r="A167" s="60" t="s">
        <v>277</v>
      </c>
      <c r="B167" s="60" t="s">
        <v>278</v>
      </c>
      <c r="C167" s="34">
        <v>4301030963</v>
      </c>
      <c r="D167" s="598">
        <v>4607091382426</v>
      </c>
      <c r="E167" s="599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2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1"/>
      <c r="R167" s="601"/>
      <c r="S167" s="601"/>
      <c r="T167" s="602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4301031498</v>
      </c>
      <c r="D168" s="598">
        <v>4680115887398</v>
      </c>
      <c r="E168" s="599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1"/>
      <c r="R168" s="601"/>
      <c r="S168" s="601"/>
      <c r="T168" s="602"/>
      <c r="U168" s="37"/>
      <c r="V168" s="37"/>
      <c r="W168" s="38" t="s">
        <v>67</v>
      </c>
      <c r="X168" s="56">
        <v>100</v>
      </c>
      <c r="Y168" s="53">
        <f t="shared" si="21"/>
        <v>101.5</v>
      </c>
      <c r="Z168" s="39">
        <f>IFERROR(IF(Y168=0,"",ROUNDUP(Y168/H168,0)*0.00902),"")</f>
        <v>0.26158000000000003</v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105.42857142857143</v>
      </c>
      <c r="BN168" s="75">
        <f t="shared" si="23"/>
        <v>107.00999999999999</v>
      </c>
      <c r="BO168" s="75">
        <f t="shared" si="24"/>
        <v>0.21645021645021648</v>
      </c>
      <c r="BP168" s="75">
        <f t="shared" si="25"/>
        <v>0.2196969696969697</v>
      </c>
    </row>
    <row r="169" spans="1:68" ht="27" customHeight="1" x14ac:dyDescent="0.25">
      <c r="A169" s="60" t="s">
        <v>283</v>
      </c>
      <c r="B169" s="60" t="s">
        <v>284</v>
      </c>
      <c r="C169" s="34">
        <v>4301031497</v>
      </c>
      <c r="D169" s="598">
        <v>4680115887336</v>
      </c>
      <c r="E169" s="599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1"/>
      <c r="R169" s="601"/>
      <c r="S169" s="601"/>
      <c r="T169" s="602"/>
      <c r="U169" s="37"/>
      <c r="V169" s="37"/>
      <c r="W169" s="38" t="s">
        <v>67</v>
      </c>
      <c r="X169" s="56">
        <v>200</v>
      </c>
      <c r="Y169" s="53">
        <f t="shared" si="21"/>
        <v>203</v>
      </c>
      <c r="Z169" s="39">
        <f>IFERROR(IF(Y169=0,"",ROUNDUP(Y169/H169,0)*0.00902),"")</f>
        <v>0.52316000000000007</v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210.85714285714286</v>
      </c>
      <c r="BN169" s="75">
        <f t="shared" si="23"/>
        <v>214.01999999999998</v>
      </c>
      <c r="BO169" s="75">
        <f t="shared" si="24"/>
        <v>0.43290043290043295</v>
      </c>
      <c r="BP169" s="75">
        <f t="shared" si="25"/>
        <v>0.43939393939393939</v>
      </c>
    </row>
    <row r="170" spans="1:68" ht="16.5" customHeight="1" x14ac:dyDescent="0.25">
      <c r="A170" s="60" t="s">
        <v>286</v>
      </c>
      <c r="B170" s="60" t="s">
        <v>287</v>
      </c>
      <c r="C170" s="34">
        <v>4301032049</v>
      </c>
      <c r="D170" s="598">
        <v>4680115887787</v>
      </c>
      <c r="E170" s="599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1"/>
      <c r="R170" s="601"/>
      <c r="S170" s="601"/>
      <c r="T170" s="602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598">
        <v>4680115887503</v>
      </c>
      <c r="E171" s="599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1"/>
      <c r="R171" s="601"/>
      <c r="S171" s="601"/>
      <c r="T171" s="602"/>
      <c r="U171" s="37"/>
      <c r="V171" s="37"/>
      <c r="W171" s="38" t="s">
        <v>67</v>
      </c>
      <c r="X171" s="56">
        <v>224</v>
      </c>
      <c r="Y171" s="53">
        <f t="shared" si="21"/>
        <v>225.12</v>
      </c>
      <c r="Z171" s="39">
        <f>IFERROR(IF(Y171=0,"",ROUNDUP(Y171/H171,0)*0.00502),"")</f>
        <v>0.67268000000000006</v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237.33333333333337</v>
      </c>
      <c r="BN171" s="75">
        <f t="shared" si="23"/>
        <v>238.52000000000004</v>
      </c>
      <c r="BO171" s="75">
        <f t="shared" si="24"/>
        <v>0.56980056980056992</v>
      </c>
      <c r="BP171" s="75">
        <f t="shared" si="25"/>
        <v>0.57264957264957272</v>
      </c>
    </row>
    <row r="172" spans="1:68" ht="27" customHeight="1" x14ac:dyDescent="0.25">
      <c r="A172" s="60" t="s">
        <v>291</v>
      </c>
      <c r="B172" s="60" t="s">
        <v>292</v>
      </c>
      <c r="C172" s="34">
        <v>4301031389</v>
      </c>
      <c r="D172" s="598">
        <v>4680115887763</v>
      </c>
      <c r="E172" s="599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1"/>
      <c r="R172" s="601"/>
      <c r="S172" s="601"/>
      <c r="T172" s="602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294</v>
      </c>
      <c r="B173" s="60" t="s">
        <v>295</v>
      </c>
      <c r="C173" s="34">
        <v>4301031454</v>
      </c>
      <c r="D173" s="598">
        <v>4680115887480</v>
      </c>
      <c r="E173" s="599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65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1"/>
      <c r="R173" s="601"/>
      <c r="S173" s="601"/>
      <c r="T173" s="602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296</v>
      </c>
      <c r="B174" s="60" t="s">
        <v>297</v>
      </c>
      <c r="C174" s="34">
        <v>4301031434</v>
      </c>
      <c r="D174" s="598">
        <v>4680115888067</v>
      </c>
      <c r="E174" s="599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1"/>
      <c r="R174" s="601"/>
      <c r="S174" s="601"/>
      <c r="T174" s="602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598">
        <v>4680115887435</v>
      </c>
      <c r="E175" s="599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3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1"/>
      <c r="R175" s="601"/>
      <c r="S175" s="601"/>
      <c r="T175" s="602"/>
      <c r="U175" s="37"/>
      <c r="V175" s="37"/>
      <c r="W175" s="38" t="s">
        <v>67</v>
      </c>
      <c r="X175" s="56">
        <v>179</v>
      </c>
      <c r="Y175" s="53">
        <f t="shared" si="21"/>
        <v>179.76</v>
      </c>
      <c r="Z175" s="39">
        <f>IFERROR(IF(Y175=0,"",ROUNDUP(Y175/H175,0)*0.00502),"")</f>
        <v>0.53714000000000006</v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189.65476190476193</v>
      </c>
      <c r="BN175" s="75">
        <f t="shared" si="23"/>
        <v>190.46</v>
      </c>
      <c r="BO175" s="75">
        <f t="shared" si="24"/>
        <v>0.45533170533170542</v>
      </c>
      <c r="BP175" s="75">
        <f t="shared" si="25"/>
        <v>0.45726495726495731</v>
      </c>
    </row>
    <row r="176" spans="1:68" x14ac:dyDescent="0.2">
      <c r="A176" s="604"/>
      <c r="B176" s="605"/>
      <c r="C176" s="605"/>
      <c r="D176" s="605"/>
      <c r="E176" s="605"/>
      <c r="F176" s="605"/>
      <c r="G176" s="605"/>
      <c r="H176" s="605"/>
      <c r="I176" s="605"/>
      <c r="J176" s="605"/>
      <c r="K176" s="605"/>
      <c r="L176" s="605"/>
      <c r="M176" s="605"/>
      <c r="N176" s="605"/>
      <c r="O176" s="606"/>
      <c r="P176" s="595" t="s">
        <v>72</v>
      </c>
      <c r="Q176" s="596"/>
      <c r="R176" s="596"/>
      <c r="S176" s="596"/>
      <c r="T176" s="596"/>
      <c r="U176" s="596"/>
      <c r="V176" s="597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337.02380952380952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340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2.1028000000000002</v>
      </c>
      <c r="AA176" s="64"/>
      <c r="AB176" s="64"/>
      <c r="AC176" s="64"/>
    </row>
    <row r="177" spans="1:68" x14ac:dyDescent="0.2">
      <c r="A177" s="605"/>
      <c r="B177" s="605"/>
      <c r="C177" s="605"/>
      <c r="D177" s="605"/>
      <c r="E177" s="605"/>
      <c r="F177" s="605"/>
      <c r="G177" s="605"/>
      <c r="H177" s="605"/>
      <c r="I177" s="605"/>
      <c r="J177" s="605"/>
      <c r="K177" s="605"/>
      <c r="L177" s="605"/>
      <c r="M177" s="605"/>
      <c r="N177" s="605"/>
      <c r="O177" s="606"/>
      <c r="P177" s="595" t="s">
        <v>72</v>
      </c>
      <c r="Q177" s="596"/>
      <c r="R177" s="596"/>
      <c r="S177" s="596"/>
      <c r="T177" s="596"/>
      <c r="U177" s="596"/>
      <c r="V177" s="597"/>
      <c r="W177" s="40" t="s">
        <v>67</v>
      </c>
      <c r="X177" s="41">
        <f>IFERROR(SUM(X166:X175),"0")</f>
        <v>743</v>
      </c>
      <c r="Y177" s="41">
        <f>IFERROR(SUM(Y166:Y175),"0")</f>
        <v>751.38</v>
      </c>
      <c r="Z177" s="40"/>
      <c r="AA177" s="64"/>
      <c r="AB177" s="64"/>
      <c r="AC177" s="64"/>
    </row>
    <row r="178" spans="1:68" ht="14.25" customHeight="1" x14ac:dyDescent="0.25">
      <c r="A178" s="609" t="s">
        <v>74</v>
      </c>
      <c r="B178" s="605"/>
      <c r="C178" s="605"/>
      <c r="D178" s="605"/>
      <c r="E178" s="605"/>
      <c r="F178" s="605"/>
      <c r="G178" s="605"/>
      <c r="H178" s="605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63"/>
      <c r="AB178" s="63"/>
      <c r="AC178" s="63"/>
    </row>
    <row r="179" spans="1:68" ht="16.5" customHeight="1" x14ac:dyDescent="0.25">
      <c r="A179" s="60" t="s">
        <v>301</v>
      </c>
      <c r="B179" s="60" t="s">
        <v>302</v>
      </c>
      <c r="C179" s="34">
        <v>4301052193</v>
      </c>
      <c r="D179" s="598">
        <v>4680115888395</v>
      </c>
      <c r="E179" s="599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7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1"/>
      <c r="R179" s="601"/>
      <c r="S179" s="601"/>
      <c r="T179" s="602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304</v>
      </c>
      <c r="B180" s="60" t="s">
        <v>305</v>
      </c>
      <c r="C180" s="34">
        <v>4301052191</v>
      </c>
      <c r="D180" s="598">
        <v>4680115888371</v>
      </c>
      <c r="E180" s="599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1"/>
      <c r="R180" s="601"/>
      <c r="S180" s="601"/>
      <c r="T180" s="602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307</v>
      </c>
      <c r="B181" s="60" t="s">
        <v>308</v>
      </c>
      <c r="C181" s="34">
        <v>4301052064</v>
      </c>
      <c r="D181" s="598">
        <v>4680115887459</v>
      </c>
      <c r="E181" s="599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0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1"/>
      <c r="R181" s="601"/>
      <c r="S181" s="601"/>
      <c r="T181" s="602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04"/>
      <c r="B182" s="605"/>
      <c r="C182" s="605"/>
      <c r="D182" s="605"/>
      <c r="E182" s="605"/>
      <c r="F182" s="605"/>
      <c r="G182" s="605"/>
      <c r="H182" s="605"/>
      <c r="I182" s="605"/>
      <c r="J182" s="605"/>
      <c r="K182" s="605"/>
      <c r="L182" s="605"/>
      <c r="M182" s="605"/>
      <c r="N182" s="605"/>
      <c r="O182" s="606"/>
      <c r="P182" s="595" t="s">
        <v>72</v>
      </c>
      <c r="Q182" s="596"/>
      <c r="R182" s="596"/>
      <c r="S182" s="596"/>
      <c r="T182" s="596"/>
      <c r="U182" s="596"/>
      <c r="V182" s="597"/>
      <c r="W182" s="40" t="s">
        <v>73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05"/>
      <c r="B183" s="605"/>
      <c r="C183" s="605"/>
      <c r="D183" s="605"/>
      <c r="E183" s="605"/>
      <c r="F183" s="605"/>
      <c r="G183" s="605"/>
      <c r="H183" s="605"/>
      <c r="I183" s="605"/>
      <c r="J183" s="605"/>
      <c r="K183" s="605"/>
      <c r="L183" s="605"/>
      <c r="M183" s="605"/>
      <c r="N183" s="605"/>
      <c r="O183" s="606"/>
      <c r="P183" s="595" t="s">
        <v>72</v>
      </c>
      <c r="Q183" s="596"/>
      <c r="R183" s="596"/>
      <c r="S183" s="596"/>
      <c r="T183" s="596"/>
      <c r="U183" s="596"/>
      <c r="V183" s="597"/>
      <c r="W183" s="40" t="s">
        <v>67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09" t="s">
        <v>95</v>
      </c>
      <c r="B184" s="605"/>
      <c r="C184" s="605"/>
      <c r="D184" s="605"/>
      <c r="E184" s="605"/>
      <c r="F184" s="605"/>
      <c r="G184" s="605"/>
      <c r="H184" s="605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63"/>
      <c r="AB184" s="63"/>
      <c r="AC184" s="63"/>
    </row>
    <row r="185" spans="1:68" ht="16.5" customHeight="1" x14ac:dyDescent="0.25">
      <c r="A185" s="60" t="s">
        <v>310</v>
      </c>
      <c r="B185" s="60" t="s">
        <v>311</v>
      </c>
      <c r="C185" s="34">
        <v>4301032058</v>
      </c>
      <c r="D185" s="598">
        <v>4680115889026</v>
      </c>
      <c r="E185" s="599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1"/>
      <c r="R185" s="601"/>
      <c r="S185" s="601"/>
      <c r="T185" s="602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315</v>
      </c>
      <c r="B186" s="60" t="s">
        <v>316</v>
      </c>
      <c r="C186" s="34">
        <v>4301032057</v>
      </c>
      <c r="D186" s="598">
        <v>4680115889088</v>
      </c>
      <c r="E186" s="599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1"/>
      <c r="R186" s="601"/>
      <c r="S186" s="601"/>
      <c r="T186" s="602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04"/>
      <c r="B187" s="605"/>
      <c r="C187" s="605"/>
      <c r="D187" s="605"/>
      <c r="E187" s="605"/>
      <c r="F187" s="605"/>
      <c r="G187" s="605"/>
      <c r="H187" s="605"/>
      <c r="I187" s="605"/>
      <c r="J187" s="605"/>
      <c r="K187" s="605"/>
      <c r="L187" s="605"/>
      <c r="M187" s="605"/>
      <c r="N187" s="605"/>
      <c r="O187" s="606"/>
      <c r="P187" s="595" t="s">
        <v>72</v>
      </c>
      <c r="Q187" s="596"/>
      <c r="R187" s="596"/>
      <c r="S187" s="596"/>
      <c r="T187" s="596"/>
      <c r="U187" s="596"/>
      <c r="V187" s="597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5"/>
      <c r="B188" s="605"/>
      <c r="C188" s="605"/>
      <c r="D188" s="605"/>
      <c r="E188" s="605"/>
      <c r="F188" s="605"/>
      <c r="G188" s="605"/>
      <c r="H188" s="605"/>
      <c r="I188" s="605"/>
      <c r="J188" s="605"/>
      <c r="K188" s="605"/>
      <c r="L188" s="605"/>
      <c r="M188" s="605"/>
      <c r="N188" s="605"/>
      <c r="O188" s="606"/>
      <c r="P188" s="595" t="s">
        <v>72</v>
      </c>
      <c r="Q188" s="596"/>
      <c r="R188" s="596"/>
      <c r="S188" s="596"/>
      <c r="T188" s="596"/>
      <c r="U188" s="596"/>
      <c r="V188" s="597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09" t="s">
        <v>318</v>
      </c>
      <c r="B189" s="605"/>
      <c r="C189" s="605"/>
      <c r="D189" s="605"/>
      <c r="E189" s="605"/>
      <c r="F189" s="605"/>
      <c r="G189" s="605"/>
      <c r="H189" s="605"/>
      <c r="I189" s="605"/>
      <c r="J189" s="605"/>
      <c r="K189" s="605"/>
      <c r="L189" s="605"/>
      <c r="M189" s="605"/>
      <c r="N189" s="605"/>
      <c r="O189" s="605"/>
      <c r="P189" s="605"/>
      <c r="Q189" s="605"/>
      <c r="R189" s="605"/>
      <c r="S189" s="605"/>
      <c r="T189" s="605"/>
      <c r="U189" s="605"/>
      <c r="V189" s="605"/>
      <c r="W189" s="605"/>
      <c r="X189" s="605"/>
      <c r="Y189" s="605"/>
      <c r="Z189" s="605"/>
      <c r="AA189" s="63"/>
      <c r="AB189" s="63"/>
      <c r="AC189" s="63"/>
    </row>
    <row r="190" spans="1:68" ht="27" customHeight="1" x14ac:dyDescent="0.25">
      <c r="A190" s="60" t="s">
        <v>319</v>
      </c>
      <c r="B190" s="60" t="s">
        <v>320</v>
      </c>
      <c r="C190" s="34">
        <v>4301041009</v>
      </c>
      <c r="D190" s="598">
        <v>4680115889033</v>
      </c>
      <c r="E190" s="599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1"/>
      <c r="R190" s="601"/>
      <c r="S190" s="601"/>
      <c r="T190" s="602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04"/>
      <c r="B191" s="605"/>
      <c r="C191" s="605"/>
      <c r="D191" s="605"/>
      <c r="E191" s="605"/>
      <c r="F191" s="605"/>
      <c r="G191" s="605"/>
      <c r="H191" s="605"/>
      <c r="I191" s="605"/>
      <c r="J191" s="605"/>
      <c r="K191" s="605"/>
      <c r="L191" s="605"/>
      <c r="M191" s="605"/>
      <c r="N191" s="605"/>
      <c r="O191" s="606"/>
      <c r="P191" s="595" t="s">
        <v>72</v>
      </c>
      <c r="Q191" s="596"/>
      <c r="R191" s="596"/>
      <c r="S191" s="596"/>
      <c r="T191" s="596"/>
      <c r="U191" s="596"/>
      <c r="V191" s="597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5"/>
      <c r="B192" s="605"/>
      <c r="C192" s="605"/>
      <c r="D192" s="605"/>
      <c r="E192" s="605"/>
      <c r="F192" s="605"/>
      <c r="G192" s="605"/>
      <c r="H192" s="605"/>
      <c r="I192" s="605"/>
      <c r="J192" s="605"/>
      <c r="K192" s="605"/>
      <c r="L192" s="605"/>
      <c r="M192" s="605"/>
      <c r="N192" s="605"/>
      <c r="O192" s="606"/>
      <c r="P192" s="595" t="s">
        <v>72</v>
      </c>
      <c r="Q192" s="596"/>
      <c r="R192" s="596"/>
      <c r="S192" s="596"/>
      <c r="T192" s="596"/>
      <c r="U192" s="596"/>
      <c r="V192" s="597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752" t="s">
        <v>322</v>
      </c>
      <c r="B193" s="753"/>
      <c r="C193" s="753"/>
      <c r="D193" s="753"/>
      <c r="E193" s="753"/>
      <c r="F193" s="753"/>
      <c r="G193" s="753"/>
      <c r="H193" s="753"/>
      <c r="I193" s="753"/>
      <c r="J193" s="753"/>
      <c r="K193" s="753"/>
      <c r="L193" s="753"/>
      <c r="M193" s="753"/>
      <c r="N193" s="753"/>
      <c r="O193" s="753"/>
      <c r="P193" s="753"/>
      <c r="Q193" s="753"/>
      <c r="R193" s="753"/>
      <c r="S193" s="753"/>
      <c r="T193" s="753"/>
      <c r="U193" s="753"/>
      <c r="V193" s="753"/>
      <c r="W193" s="753"/>
      <c r="X193" s="753"/>
      <c r="Y193" s="753"/>
      <c r="Z193" s="753"/>
      <c r="AA193" s="52"/>
      <c r="AB193" s="52"/>
      <c r="AC193" s="52"/>
    </row>
    <row r="194" spans="1:68" ht="16.5" customHeight="1" x14ac:dyDescent="0.25">
      <c r="A194" s="610" t="s">
        <v>323</v>
      </c>
      <c r="B194" s="605"/>
      <c r="C194" s="605"/>
      <c r="D194" s="605"/>
      <c r="E194" s="605"/>
      <c r="F194" s="605"/>
      <c r="G194" s="605"/>
      <c r="H194" s="605"/>
      <c r="I194" s="605"/>
      <c r="J194" s="605"/>
      <c r="K194" s="605"/>
      <c r="L194" s="605"/>
      <c r="M194" s="605"/>
      <c r="N194" s="605"/>
      <c r="O194" s="605"/>
      <c r="P194" s="605"/>
      <c r="Q194" s="605"/>
      <c r="R194" s="605"/>
      <c r="S194" s="605"/>
      <c r="T194" s="605"/>
      <c r="U194" s="605"/>
      <c r="V194" s="605"/>
      <c r="W194" s="605"/>
      <c r="X194" s="605"/>
      <c r="Y194" s="605"/>
      <c r="Z194" s="605"/>
      <c r="AA194" s="62"/>
      <c r="AB194" s="62"/>
      <c r="AC194" s="62"/>
    </row>
    <row r="195" spans="1:68" ht="14.25" customHeight="1" x14ac:dyDescent="0.25">
      <c r="A195" s="609" t="s">
        <v>117</v>
      </c>
      <c r="B195" s="605"/>
      <c r="C195" s="605"/>
      <c r="D195" s="605"/>
      <c r="E195" s="605"/>
      <c r="F195" s="605"/>
      <c r="G195" s="605"/>
      <c r="H195" s="605"/>
      <c r="I195" s="605"/>
      <c r="J195" s="605"/>
      <c r="K195" s="605"/>
      <c r="L195" s="605"/>
      <c r="M195" s="605"/>
      <c r="N195" s="605"/>
      <c r="O195" s="605"/>
      <c r="P195" s="605"/>
      <c r="Q195" s="605"/>
      <c r="R195" s="605"/>
      <c r="S195" s="605"/>
      <c r="T195" s="605"/>
      <c r="U195" s="605"/>
      <c r="V195" s="605"/>
      <c r="W195" s="605"/>
      <c r="X195" s="605"/>
      <c r="Y195" s="605"/>
      <c r="Z195" s="605"/>
      <c r="AA195" s="63"/>
      <c r="AB195" s="63"/>
      <c r="AC195" s="63"/>
    </row>
    <row r="196" spans="1:68" ht="27" customHeight="1" x14ac:dyDescent="0.25">
      <c r="A196" s="60" t="s">
        <v>324</v>
      </c>
      <c r="B196" s="60" t="s">
        <v>325</v>
      </c>
      <c r="C196" s="34">
        <v>4301011223</v>
      </c>
      <c r="D196" s="598">
        <v>4607091383423</v>
      </c>
      <c r="E196" s="599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1"/>
      <c r="R196" s="601"/>
      <c r="S196" s="601"/>
      <c r="T196" s="602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326</v>
      </c>
      <c r="B197" s="60" t="s">
        <v>327</v>
      </c>
      <c r="C197" s="34">
        <v>4301012199</v>
      </c>
      <c r="D197" s="598">
        <v>4680115886957</v>
      </c>
      <c r="E197" s="599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4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1"/>
      <c r="R197" s="601"/>
      <c r="S197" s="601"/>
      <c r="T197" s="602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329</v>
      </c>
      <c r="B198" s="60" t="s">
        <v>330</v>
      </c>
      <c r="C198" s="34">
        <v>4301012098</v>
      </c>
      <c r="D198" s="598">
        <v>4680115885660</v>
      </c>
      <c r="E198" s="599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1"/>
      <c r="R198" s="601"/>
      <c r="S198" s="601"/>
      <c r="T198" s="602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332</v>
      </c>
      <c r="B199" s="60" t="s">
        <v>333</v>
      </c>
      <c r="C199" s="34">
        <v>4301012176</v>
      </c>
      <c r="D199" s="598">
        <v>4680115886773</v>
      </c>
      <c r="E199" s="599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1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1"/>
      <c r="R199" s="601"/>
      <c r="S199" s="601"/>
      <c r="T199" s="602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04"/>
      <c r="B200" s="605"/>
      <c r="C200" s="605"/>
      <c r="D200" s="605"/>
      <c r="E200" s="605"/>
      <c r="F200" s="605"/>
      <c r="G200" s="605"/>
      <c r="H200" s="605"/>
      <c r="I200" s="605"/>
      <c r="J200" s="605"/>
      <c r="K200" s="605"/>
      <c r="L200" s="605"/>
      <c r="M200" s="605"/>
      <c r="N200" s="605"/>
      <c r="O200" s="606"/>
      <c r="P200" s="595" t="s">
        <v>72</v>
      </c>
      <c r="Q200" s="596"/>
      <c r="R200" s="596"/>
      <c r="S200" s="596"/>
      <c r="T200" s="596"/>
      <c r="U200" s="596"/>
      <c r="V200" s="597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5"/>
      <c r="B201" s="605"/>
      <c r="C201" s="605"/>
      <c r="D201" s="605"/>
      <c r="E201" s="605"/>
      <c r="F201" s="605"/>
      <c r="G201" s="605"/>
      <c r="H201" s="605"/>
      <c r="I201" s="605"/>
      <c r="J201" s="605"/>
      <c r="K201" s="605"/>
      <c r="L201" s="605"/>
      <c r="M201" s="605"/>
      <c r="N201" s="605"/>
      <c r="O201" s="606"/>
      <c r="P201" s="595" t="s">
        <v>72</v>
      </c>
      <c r="Q201" s="596"/>
      <c r="R201" s="596"/>
      <c r="S201" s="596"/>
      <c r="T201" s="596"/>
      <c r="U201" s="596"/>
      <c r="V201" s="597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0" t="s">
        <v>335</v>
      </c>
      <c r="B202" s="605"/>
      <c r="C202" s="605"/>
      <c r="D202" s="605"/>
      <c r="E202" s="605"/>
      <c r="F202" s="605"/>
      <c r="G202" s="605"/>
      <c r="H202" s="605"/>
      <c r="I202" s="605"/>
      <c r="J202" s="605"/>
      <c r="K202" s="605"/>
      <c r="L202" s="605"/>
      <c r="M202" s="605"/>
      <c r="N202" s="605"/>
      <c r="O202" s="605"/>
      <c r="P202" s="605"/>
      <c r="Q202" s="605"/>
      <c r="R202" s="605"/>
      <c r="S202" s="605"/>
      <c r="T202" s="605"/>
      <c r="U202" s="605"/>
      <c r="V202" s="605"/>
      <c r="W202" s="605"/>
      <c r="X202" s="605"/>
      <c r="Y202" s="605"/>
      <c r="Z202" s="605"/>
      <c r="AA202" s="62"/>
      <c r="AB202" s="62"/>
      <c r="AC202" s="62"/>
    </row>
    <row r="203" spans="1:68" ht="14.25" customHeight="1" x14ac:dyDescent="0.25">
      <c r="A203" s="609" t="s">
        <v>152</v>
      </c>
      <c r="B203" s="605"/>
      <c r="C203" s="605"/>
      <c r="D203" s="605"/>
      <c r="E203" s="605"/>
      <c r="F203" s="605"/>
      <c r="G203" s="605"/>
      <c r="H203" s="605"/>
      <c r="I203" s="605"/>
      <c r="J203" s="605"/>
      <c r="K203" s="605"/>
      <c r="L203" s="605"/>
      <c r="M203" s="605"/>
      <c r="N203" s="605"/>
      <c r="O203" s="605"/>
      <c r="P203" s="605"/>
      <c r="Q203" s="605"/>
      <c r="R203" s="605"/>
      <c r="S203" s="605"/>
      <c r="T203" s="605"/>
      <c r="U203" s="605"/>
      <c r="V203" s="605"/>
      <c r="W203" s="605"/>
      <c r="X203" s="605"/>
      <c r="Y203" s="605"/>
      <c r="Z203" s="605"/>
      <c r="AA203" s="63"/>
      <c r="AB203" s="63"/>
      <c r="AC203" s="63"/>
    </row>
    <row r="204" spans="1:68" ht="27" customHeight="1" x14ac:dyDescent="0.25">
      <c r="A204" s="60" t="s">
        <v>336</v>
      </c>
      <c r="B204" s="60" t="s">
        <v>337</v>
      </c>
      <c r="C204" s="34">
        <v>4301020323</v>
      </c>
      <c r="D204" s="598">
        <v>4680115886223</v>
      </c>
      <c r="E204" s="599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1"/>
      <c r="R204" s="601"/>
      <c r="S204" s="601"/>
      <c r="T204" s="602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04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6"/>
      <c r="P205" s="595" t="s">
        <v>72</v>
      </c>
      <c r="Q205" s="596"/>
      <c r="R205" s="596"/>
      <c r="S205" s="596"/>
      <c r="T205" s="596"/>
      <c r="U205" s="596"/>
      <c r="V205" s="597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5"/>
      <c r="B206" s="605"/>
      <c r="C206" s="605"/>
      <c r="D206" s="605"/>
      <c r="E206" s="605"/>
      <c r="F206" s="605"/>
      <c r="G206" s="605"/>
      <c r="H206" s="605"/>
      <c r="I206" s="605"/>
      <c r="J206" s="605"/>
      <c r="K206" s="605"/>
      <c r="L206" s="605"/>
      <c r="M206" s="605"/>
      <c r="N206" s="605"/>
      <c r="O206" s="606"/>
      <c r="P206" s="595" t="s">
        <v>72</v>
      </c>
      <c r="Q206" s="596"/>
      <c r="R206" s="596"/>
      <c r="S206" s="596"/>
      <c r="T206" s="596"/>
      <c r="U206" s="596"/>
      <c r="V206" s="597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09" t="s">
        <v>62</v>
      </c>
      <c r="B207" s="605"/>
      <c r="C207" s="605"/>
      <c r="D207" s="605"/>
      <c r="E207" s="605"/>
      <c r="F207" s="605"/>
      <c r="G207" s="605"/>
      <c r="H207" s="605"/>
      <c r="I207" s="605"/>
      <c r="J207" s="605"/>
      <c r="K207" s="605"/>
      <c r="L207" s="605"/>
      <c r="M207" s="605"/>
      <c r="N207" s="605"/>
      <c r="O207" s="605"/>
      <c r="P207" s="605"/>
      <c r="Q207" s="605"/>
      <c r="R207" s="605"/>
      <c r="S207" s="605"/>
      <c r="T207" s="605"/>
      <c r="U207" s="605"/>
      <c r="V207" s="605"/>
      <c r="W207" s="605"/>
      <c r="X207" s="605"/>
      <c r="Y207" s="605"/>
      <c r="Z207" s="605"/>
      <c r="AA207" s="63"/>
      <c r="AB207" s="63"/>
      <c r="AC207" s="63"/>
    </row>
    <row r="208" spans="1:68" ht="27" customHeight="1" x14ac:dyDescent="0.25">
      <c r="A208" s="60" t="s">
        <v>339</v>
      </c>
      <c r="B208" s="60" t="s">
        <v>340</v>
      </c>
      <c r="C208" s="34">
        <v>4301031191</v>
      </c>
      <c r="D208" s="598">
        <v>4680115880993</v>
      </c>
      <c r="E208" s="599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1"/>
      <c r="R208" s="601"/>
      <c r="S208" s="601"/>
      <c r="T208" s="602"/>
      <c r="U208" s="37"/>
      <c r="V208" s="37"/>
      <c r="W208" s="38" t="s">
        <v>67</v>
      </c>
      <c r="X208" s="56">
        <v>65</v>
      </c>
      <c r="Y208" s="53">
        <f t="shared" ref="Y208:Y221" si="26">IFERROR(IF(X208="",0,CEILING((X208/$H208),1)*$H208),"")</f>
        <v>67.2</v>
      </c>
      <c r="Z208" s="39">
        <f>IFERROR(IF(Y208=0,"",ROUNDUP(Y208/H208,0)*0.00902),"")</f>
        <v>0.14432</v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68.86904761904762</v>
      </c>
      <c r="BN208" s="75">
        <f t="shared" ref="BN208:BN221" si="28">IFERROR(Y208*I208/H208,"0")</f>
        <v>71.2</v>
      </c>
      <c r="BO208" s="75">
        <f t="shared" ref="BO208:BO221" si="29">IFERROR(1/J208*(X208/H208),"0")</f>
        <v>0.11724386724386725</v>
      </c>
      <c r="BP208" s="75">
        <f t="shared" ref="BP208:BP221" si="30">IFERROR(1/J208*(Y208/H208),"0")</f>
        <v>0.12121212121212122</v>
      </c>
    </row>
    <row r="209" spans="1:68" ht="27" customHeight="1" x14ac:dyDescent="0.25">
      <c r="A209" s="60" t="s">
        <v>342</v>
      </c>
      <c r="B209" s="60" t="s">
        <v>343</v>
      </c>
      <c r="C209" s="34">
        <v>4301031204</v>
      </c>
      <c r="D209" s="598">
        <v>4680115881761</v>
      </c>
      <c r="E209" s="599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1"/>
      <c r="R209" s="601"/>
      <c r="S209" s="601"/>
      <c r="T209" s="602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345</v>
      </c>
      <c r="B210" s="60" t="s">
        <v>346</v>
      </c>
      <c r="C210" s="34">
        <v>4301031201</v>
      </c>
      <c r="D210" s="598">
        <v>4680115881563</v>
      </c>
      <c r="E210" s="599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1"/>
      <c r="R210" s="601"/>
      <c r="S210" s="601"/>
      <c r="T210" s="602"/>
      <c r="U210" s="37"/>
      <c r="V210" s="37"/>
      <c r="W210" s="38" t="s">
        <v>67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348</v>
      </c>
      <c r="B211" s="60" t="s">
        <v>349</v>
      </c>
      <c r="C211" s="34">
        <v>4301031447</v>
      </c>
      <c r="D211" s="598">
        <v>4680115887565</v>
      </c>
      <c r="E211" s="599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1"/>
      <c r="R211" s="601"/>
      <c r="S211" s="601"/>
      <c r="T211" s="602"/>
      <c r="U211" s="37"/>
      <c r="V211" s="37"/>
      <c r="W211" s="38" t="s">
        <v>67</v>
      </c>
      <c r="X211" s="56">
        <v>2</v>
      </c>
      <c r="Y211" s="53">
        <f t="shared" si="26"/>
        <v>2.4000000000000004</v>
      </c>
      <c r="Z211" s="39">
        <f>IFERROR(IF(Y211=0,"",ROUNDUP(Y211/H211,0)*0.00556),"")</f>
        <v>1.668E-2</v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2.3250000000000002</v>
      </c>
      <c r="BN211" s="75">
        <f t="shared" si="28"/>
        <v>2.7900000000000005</v>
      </c>
      <c r="BO211" s="75">
        <f t="shared" si="29"/>
        <v>9.9206349206349201E-3</v>
      </c>
      <c r="BP211" s="75">
        <f t="shared" si="30"/>
        <v>1.1904761904761906E-2</v>
      </c>
    </row>
    <row r="212" spans="1:68" ht="27" customHeight="1" x14ac:dyDescent="0.25">
      <c r="A212" s="60" t="s">
        <v>351</v>
      </c>
      <c r="B212" s="60" t="s">
        <v>352</v>
      </c>
      <c r="C212" s="34">
        <v>4301031199</v>
      </c>
      <c r="D212" s="598">
        <v>4680115880986</v>
      </c>
      <c r="E212" s="599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1"/>
      <c r="R212" s="601"/>
      <c r="S212" s="601"/>
      <c r="T212" s="602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353</v>
      </c>
      <c r="B213" s="60" t="s">
        <v>354</v>
      </c>
      <c r="C213" s="34">
        <v>4301031443</v>
      </c>
      <c r="D213" s="598">
        <v>4680115887213</v>
      </c>
      <c r="E213" s="599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1"/>
      <c r="R213" s="601"/>
      <c r="S213" s="601"/>
      <c r="T213" s="602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356</v>
      </c>
      <c r="B214" s="60" t="s">
        <v>357</v>
      </c>
      <c r="C214" s="34">
        <v>4301031205</v>
      </c>
      <c r="D214" s="598">
        <v>4680115881785</v>
      </c>
      <c r="E214" s="599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6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1"/>
      <c r="R214" s="601"/>
      <c r="S214" s="601"/>
      <c r="T214" s="602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358</v>
      </c>
      <c r="B215" s="60" t="s">
        <v>359</v>
      </c>
      <c r="C215" s="34">
        <v>4301031499</v>
      </c>
      <c r="D215" s="598">
        <v>4680115888432</v>
      </c>
      <c r="E215" s="599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1"/>
      <c r="R215" s="601"/>
      <c r="S215" s="601"/>
      <c r="T215" s="602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361</v>
      </c>
      <c r="B216" s="60" t="s">
        <v>362</v>
      </c>
      <c r="C216" s="34">
        <v>4301031427</v>
      </c>
      <c r="D216" s="598">
        <v>4680115888104</v>
      </c>
      <c r="E216" s="599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1"/>
      <c r="R216" s="601"/>
      <c r="S216" s="601"/>
      <c r="T216" s="602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364</v>
      </c>
      <c r="B217" s="60" t="s">
        <v>365</v>
      </c>
      <c r="C217" s="34">
        <v>4301031399</v>
      </c>
      <c r="D217" s="598">
        <v>4680115886537</v>
      </c>
      <c r="E217" s="599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1"/>
      <c r="R217" s="601"/>
      <c r="S217" s="601"/>
      <c r="T217" s="602"/>
      <c r="U217" s="37"/>
      <c r="V217" s="37"/>
      <c r="W217" s="38" t="s">
        <v>67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367</v>
      </c>
      <c r="B218" s="60" t="s">
        <v>368</v>
      </c>
      <c r="C218" s="34">
        <v>4301031279</v>
      </c>
      <c r="D218" s="598">
        <v>4680115887596</v>
      </c>
      <c r="E218" s="599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1"/>
      <c r="R218" s="601"/>
      <c r="S218" s="601"/>
      <c r="T218" s="602"/>
      <c r="U218" s="37"/>
      <c r="V218" s="37"/>
      <c r="W218" s="38" t="s">
        <v>67</v>
      </c>
      <c r="X218" s="56">
        <v>4</v>
      </c>
      <c r="Y218" s="53">
        <f t="shared" si="26"/>
        <v>4</v>
      </c>
      <c r="Z218" s="39">
        <f>IFERROR(IF(Y218=0,"",ROUNDUP(Y218/H218,0)*0.00417),"")</f>
        <v>2.085E-2</v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5.05</v>
      </c>
      <c r="BN218" s="75">
        <f t="shared" si="28"/>
        <v>5.05</v>
      </c>
      <c r="BO218" s="75">
        <f t="shared" si="29"/>
        <v>1.488095238095238E-2</v>
      </c>
      <c r="BP218" s="75">
        <f t="shared" si="30"/>
        <v>1.488095238095238E-2</v>
      </c>
    </row>
    <row r="219" spans="1:68" ht="37.5" customHeight="1" x14ac:dyDescent="0.25">
      <c r="A219" s="60" t="s">
        <v>370</v>
      </c>
      <c r="B219" s="60" t="s">
        <v>371</v>
      </c>
      <c r="C219" s="34">
        <v>4301031202</v>
      </c>
      <c r="D219" s="598">
        <v>4680115881679</v>
      </c>
      <c r="E219" s="599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1"/>
      <c r="R219" s="601"/>
      <c r="S219" s="601"/>
      <c r="T219" s="602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372</v>
      </c>
      <c r="B220" s="60" t="s">
        <v>373</v>
      </c>
      <c r="C220" s="34">
        <v>4301031158</v>
      </c>
      <c r="D220" s="598">
        <v>4680115880191</v>
      </c>
      <c r="E220" s="599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1"/>
      <c r="R220" s="601"/>
      <c r="S220" s="601"/>
      <c r="T220" s="602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374</v>
      </c>
      <c r="B221" s="60" t="s">
        <v>375</v>
      </c>
      <c r="C221" s="34">
        <v>4301031245</v>
      </c>
      <c r="D221" s="598">
        <v>4680115883963</v>
      </c>
      <c r="E221" s="599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1"/>
      <c r="R221" s="601"/>
      <c r="S221" s="601"/>
      <c r="T221" s="602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4"/>
      <c r="B222" s="605"/>
      <c r="C222" s="605"/>
      <c r="D222" s="605"/>
      <c r="E222" s="605"/>
      <c r="F222" s="605"/>
      <c r="G222" s="605"/>
      <c r="H222" s="605"/>
      <c r="I222" s="605"/>
      <c r="J222" s="605"/>
      <c r="K222" s="605"/>
      <c r="L222" s="605"/>
      <c r="M222" s="605"/>
      <c r="N222" s="605"/>
      <c r="O222" s="606"/>
      <c r="P222" s="595" t="s">
        <v>72</v>
      </c>
      <c r="Q222" s="596"/>
      <c r="R222" s="596"/>
      <c r="S222" s="596"/>
      <c r="T222" s="596"/>
      <c r="U222" s="596"/>
      <c r="V222" s="597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22.976190476190474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24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0.18185000000000001</v>
      </c>
      <c r="AA222" s="64"/>
      <c r="AB222" s="64"/>
      <c r="AC222" s="64"/>
    </row>
    <row r="223" spans="1:68" x14ac:dyDescent="0.2">
      <c r="A223" s="605"/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5"/>
      <c r="N223" s="605"/>
      <c r="O223" s="606"/>
      <c r="P223" s="595" t="s">
        <v>72</v>
      </c>
      <c r="Q223" s="596"/>
      <c r="R223" s="596"/>
      <c r="S223" s="596"/>
      <c r="T223" s="596"/>
      <c r="U223" s="596"/>
      <c r="V223" s="597"/>
      <c r="W223" s="40" t="s">
        <v>67</v>
      </c>
      <c r="X223" s="41">
        <f>IFERROR(SUM(X208:X221),"0")</f>
        <v>71</v>
      </c>
      <c r="Y223" s="41">
        <f>IFERROR(SUM(Y208:Y221),"0")</f>
        <v>73.600000000000009</v>
      </c>
      <c r="Z223" s="40"/>
      <c r="AA223" s="64"/>
      <c r="AB223" s="64"/>
      <c r="AC223" s="64"/>
    </row>
    <row r="224" spans="1:68" ht="14.25" customHeight="1" x14ac:dyDescent="0.25">
      <c r="A224" s="609" t="s">
        <v>74</v>
      </c>
      <c r="B224" s="605"/>
      <c r="C224" s="605"/>
      <c r="D224" s="605"/>
      <c r="E224" s="605"/>
      <c r="F224" s="605"/>
      <c r="G224" s="605"/>
      <c r="H224" s="605"/>
      <c r="I224" s="605"/>
      <c r="J224" s="605"/>
      <c r="K224" s="605"/>
      <c r="L224" s="605"/>
      <c r="M224" s="605"/>
      <c r="N224" s="605"/>
      <c r="O224" s="605"/>
      <c r="P224" s="605"/>
      <c r="Q224" s="605"/>
      <c r="R224" s="605"/>
      <c r="S224" s="605"/>
      <c r="T224" s="605"/>
      <c r="U224" s="605"/>
      <c r="V224" s="605"/>
      <c r="W224" s="605"/>
      <c r="X224" s="605"/>
      <c r="Y224" s="605"/>
      <c r="Z224" s="605"/>
      <c r="AA224" s="63"/>
      <c r="AB224" s="63"/>
      <c r="AC224" s="63"/>
    </row>
    <row r="225" spans="1:68" ht="27" customHeight="1" x14ac:dyDescent="0.25">
      <c r="A225" s="60" t="s">
        <v>377</v>
      </c>
      <c r="B225" s="60" t="s">
        <v>378</v>
      </c>
      <c r="C225" s="34">
        <v>4301052177</v>
      </c>
      <c r="D225" s="598">
        <v>4680115888951</v>
      </c>
      <c r="E225" s="599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1"/>
      <c r="R225" s="601"/>
      <c r="S225" s="601"/>
      <c r="T225" s="602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380</v>
      </c>
      <c r="B226" s="60" t="s">
        <v>381</v>
      </c>
      <c r="C226" s="34">
        <v>4301052176</v>
      </c>
      <c r="D226" s="598">
        <v>4680115888982</v>
      </c>
      <c r="E226" s="599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1"/>
      <c r="R226" s="601"/>
      <c r="S226" s="601"/>
      <c r="T226" s="602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4"/>
      <c r="B227" s="605"/>
      <c r="C227" s="605"/>
      <c r="D227" s="605"/>
      <c r="E227" s="605"/>
      <c r="F227" s="605"/>
      <c r="G227" s="605"/>
      <c r="H227" s="605"/>
      <c r="I227" s="605"/>
      <c r="J227" s="605"/>
      <c r="K227" s="605"/>
      <c r="L227" s="605"/>
      <c r="M227" s="605"/>
      <c r="N227" s="605"/>
      <c r="O227" s="606"/>
      <c r="P227" s="595" t="s">
        <v>72</v>
      </c>
      <c r="Q227" s="596"/>
      <c r="R227" s="596"/>
      <c r="S227" s="596"/>
      <c r="T227" s="596"/>
      <c r="U227" s="596"/>
      <c r="V227" s="597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5"/>
      <c r="B228" s="605"/>
      <c r="C228" s="605"/>
      <c r="D228" s="605"/>
      <c r="E228" s="605"/>
      <c r="F228" s="605"/>
      <c r="G228" s="605"/>
      <c r="H228" s="605"/>
      <c r="I228" s="605"/>
      <c r="J228" s="605"/>
      <c r="K228" s="605"/>
      <c r="L228" s="605"/>
      <c r="M228" s="605"/>
      <c r="N228" s="605"/>
      <c r="O228" s="606"/>
      <c r="P228" s="595" t="s">
        <v>72</v>
      </c>
      <c r="Q228" s="596"/>
      <c r="R228" s="596"/>
      <c r="S228" s="596"/>
      <c r="T228" s="596"/>
      <c r="U228" s="596"/>
      <c r="V228" s="597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09" t="s">
        <v>95</v>
      </c>
      <c r="B229" s="605"/>
      <c r="C229" s="605"/>
      <c r="D229" s="605"/>
      <c r="E229" s="605"/>
      <c r="F229" s="605"/>
      <c r="G229" s="605"/>
      <c r="H229" s="605"/>
      <c r="I229" s="605"/>
      <c r="J229" s="605"/>
      <c r="K229" s="605"/>
      <c r="L229" s="605"/>
      <c r="M229" s="605"/>
      <c r="N229" s="605"/>
      <c r="O229" s="605"/>
      <c r="P229" s="605"/>
      <c r="Q229" s="605"/>
      <c r="R229" s="605"/>
      <c r="S229" s="605"/>
      <c r="T229" s="605"/>
      <c r="U229" s="605"/>
      <c r="V229" s="605"/>
      <c r="W229" s="605"/>
      <c r="X229" s="605"/>
      <c r="Y229" s="605"/>
      <c r="Z229" s="605"/>
      <c r="AA229" s="63"/>
      <c r="AB229" s="63"/>
      <c r="AC229" s="63"/>
    </row>
    <row r="230" spans="1:68" ht="27" customHeight="1" x14ac:dyDescent="0.25">
      <c r="A230" s="60" t="s">
        <v>383</v>
      </c>
      <c r="B230" s="60" t="s">
        <v>384</v>
      </c>
      <c r="C230" s="34">
        <v>4301032053</v>
      </c>
      <c r="D230" s="598">
        <v>4680115886780</v>
      </c>
      <c r="E230" s="599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1"/>
      <c r="R230" s="601"/>
      <c r="S230" s="601"/>
      <c r="T230" s="602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386</v>
      </c>
      <c r="B231" s="60" t="s">
        <v>387</v>
      </c>
      <c r="C231" s="34">
        <v>4301032051</v>
      </c>
      <c r="D231" s="598">
        <v>4680115886742</v>
      </c>
      <c r="E231" s="599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1"/>
      <c r="R231" s="601"/>
      <c r="S231" s="601"/>
      <c r="T231" s="602"/>
      <c r="U231" s="37"/>
      <c r="V231" s="37"/>
      <c r="W231" s="38" t="s">
        <v>67</v>
      </c>
      <c r="X231" s="56">
        <v>3</v>
      </c>
      <c r="Y231" s="53">
        <f>IFERROR(IF(X231="",0,CEILING((X231/$H231),1)*$H231),"")</f>
        <v>3.7800000000000002</v>
      </c>
      <c r="Z231" s="39">
        <f>IFERROR(IF(Y231=0,"",ROUNDUP(Y231/H231,0)*0.0059),"")</f>
        <v>1.77E-2</v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3.4523809523809521</v>
      </c>
      <c r="BN231" s="75">
        <f>IFERROR(Y231*I231/H231,"0")</f>
        <v>4.3499999999999996</v>
      </c>
      <c r="BO231" s="75">
        <f>IFERROR(1/J231*(X231/H231),"0")</f>
        <v>1.1022927689594356E-2</v>
      </c>
      <c r="BP231" s="75">
        <f>IFERROR(1/J231*(Y231/H231),"0")</f>
        <v>1.3888888888888888E-2</v>
      </c>
    </row>
    <row r="232" spans="1:68" ht="27" customHeight="1" x14ac:dyDescent="0.25">
      <c r="A232" s="60" t="s">
        <v>389</v>
      </c>
      <c r="B232" s="60" t="s">
        <v>390</v>
      </c>
      <c r="C232" s="34">
        <v>4301032052</v>
      </c>
      <c r="D232" s="598">
        <v>4680115886766</v>
      </c>
      <c r="E232" s="599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1"/>
      <c r="R232" s="601"/>
      <c r="S232" s="601"/>
      <c r="T232" s="602"/>
      <c r="U232" s="37"/>
      <c r="V232" s="37"/>
      <c r="W232" s="38" t="s">
        <v>67</v>
      </c>
      <c r="X232" s="56">
        <v>3</v>
      </c>
      <c r="Y232" s="53">
        <f>IFERROR(IF(X232="",0,CEILING((X232/$H232),1)*$H232),"")</f>
        <v>3.7800000000000002</v>
      </c>
      <c r="Z232" s="39">
        <f>IFERROR(IF(Y232=0,"",ROUNDUP(Y232/H232,0)*0.0059),"")</f>
        <v>1.77E-2</v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3.4523809523809521</v>
      </c>
      <c r="BN232" s="75">
        <f>IFERROR(Y232*I232/H232,"0")</f>
        <v>4.3499999999999996</v>
      </c>
      <c r="BO232" s="75">
        <f>IFERROR(1/J232*(X232/H232),"0")</f>
        <v>1.1022927689594356E-2</v>
      </c>
      <c r="BP232" s="75">
        <f>IFERROR(1/J232*(Y232/H232),"0")</f>
        <v>1.3888888888888888E-2</v>
      </c>
    </row>
    <row r="233" spans="1:68" x14ac:dyDescent="0.2">
      <c r="A233" s="604"/>
      <c r="B233" s="605"/>
      <c r="C233" s="605"/>
      <c r="D233" s="605"/>
      <c r="E233" s="605"/>
      <c r="F233" s="605"/>
      <c r="G233" s="605"/>
      <c r="H233" s="605"/>
      <c r="I233" s="605"/>
      <c r="J233" s="605"/>
      <c r="K233" s="605"/>
      <c r="L233" s="605"/>
      <c r="M233" s="605"/>
      <c r="N233" s="605"/>
      <c r="O233" s="606"/>
      <c r="P233" s="595" t="s">
        <v>72</v>
      </c>
      <c r="Q233" s="596"/>
      <c r="R233" s="596"/>
      <c r="S233" s="596"/>
      <c r="T233" s="596"/>
      <c r="U233" s="596"/>
      <c r="V233" s="597"/>
      <c r="W233" s="40" t="s">
        <v>73</v>
      </c>
      <c r="X233" s="41">
        <f>IFERROR(X230/H230,"0")+IFERROR(X231/H231,"0")+IFERROR(X232/H232,"0")</f>
        <v>4.7619047619047619</v>
      </c>
      <c r="Y233" s="41">
        <f>IFERROR(Y230/H230,"0")+IFERROR(Y231/H231,"0")+IFERROR(Y232/H232,"0")</f>
        <v>6</v>
      </c>
      <c r="Z233" s="41">
        <f>IFERROR(IF(Z230="",0,Z230),"0")+IFERROR(IF(Z231="",0,Z231),"0")+IFERROR(IF(Z232="",0,Z232),"0")</f>
        <v>3.5400000000000001E-2</v>
      </c>
      <c r="AA233" s="64"/>
      <c r="AB233" s="64"/>
      <c r="AC233" s="64"/>
    </row>
    <row r="234" spans="1:68" x14ac:dyDescent="0.2">
      <c r="A234" s="605"/>
      <c r="B234" s="605"/>
      <c r="C234" s="605"/>
      <c r="D234" s="605"/>
      <c r="E234" s="605"/>
      <c r="F234" s="605"/>
      <c r="G234" s="605"/>
      <c r="H234" s="605"/>
      <c r="I234" s="605"/>
      <c r="J234" s="605"/>
      <c r="K234" s="605"/>
      <c r="L234" s="605"/>
      <c r="M234" s="605"/>
      <c r="N234" s="605"/>
      <c r="O234" s="606"/>
      <c r="P234" s="595" t="s">
        <v>72</v>
      </c>
      <c r="Q234" s="596"/>
      <c r="R234" s="596"/>
      <c r="S234" s="596"/>
      <c r="T234" s="596"/>
      <c r="U234" s="596"/>
      <c r="V234" s="597"/>
      <c r="W234" s="40" t="s">
        <v>67</v>
      </c>
      <c r="X234" s="41">
        <f>IFERROR(SUM(X230:X232),"0")</f>
        <v>6</v>
      </c>
      <c r="Y234" s="41">
        <f>IFERROR(SUM(Y230:Y232),"0")</f>
        <v>7.5600000000000005</v>
      </c>
      <c r="Z234" s="40"/>
      <c r="AA234" s="64"/>
      <c r="AB234" s="64"/>
      <c r="AC234" s="64"/>
    </row>
    <row r="235" spans="1:68" ht="14.25" customHeight="1" x14ac:dyDescent="0.25">
      <c r="A235" s="609" t="s">
        <v>391</v>
      </c>
      <c r="B235" s="605"/>
      <c r="C235" s="605"/>
      <c r="D235" s="605"/>
      <c r="E235" s="605"/>
      <c r="F235" s="605"/>
      <c r="G235" s="605"/>
      <c r="H235" s="605"/>
      <c r="I235" s="605"/>
      <c r="J235" s="605"/>
      <c r="K235" s="605"/>
      <c r="L235" s="605"/>
      <c r="M235" s="605"/>
      <c r="N235" s="605"/>
      <c r="O235" s="605"/>
      <c r="P235" s="605"/>
      <c r="Q235" s="605"/>
      <c r="R235" s="605"/>
      <c r="S235" s="605"/>
      <c r="T235" s="605"/>
      <c r="U235" s="605"/>
      <c r="V235" s="605"/>
      <c r="W235" s="605"/>
      <c r="X235" s="605"/>
      <c r="Y235" s="605"/>
      <c r="Z235" s="605"/>
      <c r="AA235" s="63"/>
      <c r="AB235" s="63"/>
      <c r="AC235" s="63"/>
    </row>
    <row r="236" spans="1:68" ht="27" customHeight="1" x14ac:dyDescent="0.25">
      <c r="A236" s="60" t="s">
        <v>392</v>
      </c>
      <c r="B236" s="60" t="s">
        <v>393</v>
      </c>
      <c r="C236" s="34">
        <v>4301170013</v>
      </c>
      <c r="D236" s="598">
        <v>4680115886797</v>
      </c>
      <c r="E236" s="599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1"/>
      <c r="R236" s="601"/>
      <c r="S236" s="601"/>
      <c r="T236" s="602"/>
      <c r="U236" s="37"/>
      <c r="V236" s="37"/>
      <c r="W236" s="38" t="s">
        <v>67</v>
      </c>
      <c r="X236" s="56">
        <v>3</v>
      </c>
      <c r="Y236" s="53">
        <f>IFERROR(IF(X236="",0,CEILING((X236/$H236),1)*$H236),"")</f>
        <v>3.7800000000000002</v>
      </c>
      <c r="Z236" s="39">
        <f>IFERROR(IF(Y236=0,"",ROUNDUP(Y236/H236,0)*0.0059),"")</f>
        <v>1.77E-2</v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3.4523809523809521</v>
      </c>
      <c r="BN236" s="75">
        <f>IFERROR(Y236*I236/H236,"0")</f>
        <v>4.3499999999999996</v>
      </c>
      <c r="BO236" s="75">
        <f>IFERROR(1/J236*(X236/H236),"0")</f>
        <v>1.1022927689594356E-2</v>
      </c>
      <c r="BP236" s="75">
        <f>IFERROR(1/J236*(Y236/H236),"0")</f>
        <v>1.3888888888888888E-2</v>
      </c>
    </row>
    <row r="237" spans="1:68" x14ac:dyDescent="0.2">
      <c r="A237" s="604"/>
      <c r="B237" s="605"/>
      <c r="C237" s="605"/>
      <c r="D237" s="605"/>
      <c r="E237" s="605"/>
      <c r="F237" s="605"/>
      <c r="G237" s="605"/>
      <c r="H237" s="605"/>
      <c r="I237" s="605"/>
      <c r="J237" s="605"/>
      <c r="K237" s="605"/>
      <c r="L237" s="605"/>
      <c r="M237" s="605"/>
      <c r="N237" s="605"/>
      <c r="O237" s="606"/>
      <c r="P237" s="595" t="s">
        <v>72</v>
      </c>
      <c r="Q237" s="596"/>
      <c r="R237" s="596"/>
      <c r="S237" s="596"/>
      <c r="T237" s="596"/>
      <c r="U237" s="596"/>
      <c r="V237" s="597"/>
      <c r="W237" s="40" t="s">
        <v>73</v>
      </c>
      <c r="X237" s="41">
        <f>IFERROR(X236/H236,"0")</f>
        <v>2.3809523809523809</v>
      </c>
      <c r="Y237" s="41">
        <f>IFERROR(Y236/H236,"0")</f>
        <v>3</v>
      </c>
      <c r="Z237" s="41">
        <f>IFERROR(IF(Z236="",0,Z236),"0")</f>
        <v>1.77E-2</v>
      </c>
      <c r="AA237" s="64"/>
      <c r="AB237" s="64"/>
      <c r="AC237" s="64"/>
    </row>
    <row r="238" spans="1:68" x14ac:dyDescent="0.2">
      <c r="A238" s="605"/>
      <c r="B238" s="605"/>
      <c r="C238" s="605"/>
      <c r="D238" s="605"/>
      <c r="E238" s="605"/>
      <c r="F238" s="605"/>
      <c r="G238" s="605"/>
      <c r="H238" s="605"/>
      <c r="I238" s="605"/>
      <c r="J238" s="605"/>
      <c r="K238" s="605"/>
      <c r="L238" s="605"/>
      <c r="M238" s="605"/>
      <c r="N238" s="605"/>
      <c r="O238" s="606"/>
      <c r="P238" s="595" t="s">
        <v>72</v>
      </c>
      <c r="Q238" s="596"/>
      <c r="R238" s="596"/>
      <c r="S238" s="596"/>
      <c r="T238" s="596"/>
      <c r="U238" s="596"/>
      <c r="V238" s="597"/>
      <c r="W238" s="40" t="s">
        <v>67</v>
      </c>
      <c r="X238" s="41">
        <f>IFERROR(SUM(X236:X236),"0")</f>
        <v>3</v>
      </c>
      <c r="Y238" s="41">
        <f>IFERROR(SUM(Y236:Y236),"0")</f>
        <v>3.7800000000000002</v>
      </c>
      <c r="Z238" s="40"/>
      <c r="AA238" s="64"/>
      <c r="AB238" s="64"/>
      <c r="AC238" s="64"/>
    </row>
    <row r="239" spans="1:68" ht="16.5" customHeight="1" x14ac:dyDescent="0.25">
      <c r="A239" s="610" t="s">
        <v>394</v>
      </c>
      <c r="B239" s="605"/>
      <c r="C239" s="605"/>
      <c r="D239" s="605"/>
      <c r="E239" s="605"/>
      <c r="F239" s="605"/>
      <c r="G239" s="605"/>
      <c r="H239" s="605"/>
      <c r="I239" s="605"/>
      <c r="J239" s="605"/>
      <c r="K239" s="605"/>
      <c r="L239" s="605"/>
      <c r="M239" s="605"/>
      <c r="N239" s="605"/>
      <c r="O239" s="605"/>
      <c r="P239" s="605"/>
      <c r="Q239" s="605"/>
      <c r="R239" s="605"/>
      <c r="S239" s="605"/>
      <c r="T239" s="605"/>
      <c r="U239" s="605"/>
      <c r="V239" s="605"/>
      <c r="W239" s="605"/>
      <c r="X239" s="605"/>
      <c r="Y239" s="605"/>
      <c r="Z239" s="605"/>
      <c r="AA239" s="62"/>
      <c r="AB239" s="62"/>
      <c r="AC239" s="62"/>
    </row>
    <row r="240" spans="1:68" ht="14.25" customHeight="1" x14ac:dyDescent="0.25">
      <c r="A240" s="609" t="s">
        <v>117</v>
      </c>
      <c r="B240" s="605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3"/>
      <c r="AB240" s="63"/>
      <c r="AC240" s="63"/>
    </row>
    <row r="241" spans="1:68" ht="27" customHeight="1" x14ac:dyDescent="0.25">
      <c r="A241" s="60" t="s">
        <v>395</v>
      </c>
      <c r="B241" s="60" t="s">
        <v>396</v>
      </c>
      <c r="C241" s="34">
        <v>4301011450</v>
      </c>
      <c r="D241" s="598">
        <v>4680115881402</v>
      </c>
      <c r="E241" s="599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1"/>
      <c r="R241" s="601"/>
      <c r="S241" s="601"/>
      <c r="T241" s="602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398</v>
      </c>
      <c r="B242" s="60" t="s">
        <v>399</v>
      </c>
      <c r="C242" s="34">
        <v>4301011768</v>
      </c>
      <c r="D242" s="598">
        <v>4680115881396</v>
      </c>
      <c r="E242" s="599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1"/>
      <c r="R242" s="601"/>
      <c r="S242" s="601"/>
      <c r="T242" s="602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4"/>
      <c r="B243" s="605"/>
      <c r="C243" s="605"/>
      <c r="D243" s="605"/>
      <c r="E243" s="605"/>
      <c r="F243" s="605"/>
      <c r="G243" s="605"/>
      <c r="H243" s="605"/>
      <c r="I243" s="605"/>
      <c r="J243" s="605"/>
      <c r="K243" s="605"/>
      <c r="L243" s="605"/>
      <c r="M243" s="605"/>
      <c r="N243" s="605"/>
      <c r="O243" s="606"/>
      <c r="P243" s="595" t="s">
        <v>72</v>
      </c>
      <c r="Q243" s="596"/>
      <c r="R243" s="596"/>
      <c r="S243" s="596"/>
      <c r="T243" s="596"/>
      <c r="U243" s="596"/>
      <c r="V243" s="597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5"/>
      <c r="B244" s="605"/>
      <c r="C244" s="605"/>
      <c r="D244" s="605"/>
      <c r="E244" s="605"/>
      <c r="F244" s="605"/>
      <c r="G244" s="605"/>
      <c r="H244" s="605"/>
      <c r="I244" s="605"/>
      <c r="J244" s="605"/>
      <c r="K244" s="605"/>
      <c r="L244" s="605"/>
      <c r="M244" s="605"/>
      <c r="N244" s="605"/>
      <c r="O244" s="606"/>
      <c r="P244" s="595" t="s">
        <v>72</v>
      </c>
      <c r="Q244" s="596"/>
      <c r="R244" s="596"/>
      <c r="S244" s="596"/>
      <c r="T244" s="596"/>
      <c r="U244" s="596"/>
      <c r="V244" s="597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09" t="s">
        <v>152</v>
      </c>
      <c r="B245" s="605"/>
      <c r="C245" s="605"/>
      <c r="D245" s="605"/>
      <c r="E245" s="605"/>
      <c r="F245" s="605"/>
      <c r="G245" s="605"/>
      <c r="H245" s="605"/>
      <c r="I245" s="605"/>
      <c r="J245" s="605"/>
      <c r="K245" s="605"/>
      <c r="L245" s="605"/>
      <c r="M245" s="605"/>
      <c r="N245" s="605"/>
      <c r="O245" s="605"/>
      <c r="P245" s="605"/>
      <c r="Q245" s="605"/>
      <c r="R245" s="605"/>
      <c r="S245" s="605"/>
      <c r="T245" s="605"/>
      <c r="U245" s="605"/>
      <c r="V245" s="605"/>
      <c r="W245" s="605"/>
      <c r="X245" s="605"/>
      <c r="Y245" s="605"/>
      <c r="Z245" s="605"/>
      <c r="AA245" s="63"/>
      <c r="AB245" s="63"/>
      <c r="AC245" s="63"/>
    </row>
    <row r="246" spans="1:68" ht="16.5" customHeight="1" x14ac:dyDescent="0.25">
      <c r="A246" s="60" t="s">
        <v>400</v>
      </c>
      <c r="B246" s="60" t="s">
        <v>401</v>
      </c>
      <c r="C246" s="34">
        <v>4301020261</v>
      </c>
      <c r="D246" s="598">
        <v>4680115882935</v>
      </c>
      <c r="E246" s="599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1"/>
      <c r="R246" s="601"/>
      <c r="S246" s="601"/>
      <c r="T246" s="602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403</v>
      </c>
      <c r="B247" s="60" t="s">
        <v>404</v>
      </c>
      <c r="C247" s="34">
        <v>4301020220</v>
      </c>
      <c r="D247" s="598">
        <v>4680115880764</v>
      </c>
      <c r="E247" s="599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1"/>
      <c r="R247" s="601"/>
      <c r="S247" s="601"/>
      <c r="T247" s="602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4"/>
      <c r="B248" s="605"/>
      <c r="C248" s="605"/>
      <c r="D248" s="605"/>
      <c r="E248" s="605"/>
      <c r="F248" s="605"/>
      <c r="G248" s="605"/>
      <c r="H248" s="605"/>
      <c r="I248" s="605"/>
      <c r="J248" s="605"/>
      <c r="K248" s="605"/>
      <c r="L248" s="605"/>
      <c r="M248" s="605"/>
      <c r="N248" s="605"/>
      <c r="O248" s="606"/>
      <c r="P248" s="595" t="s">
        <v>72</v>
      </c>
      <c r="Q248" s="596"/>
      <c r="R248" s="596"/>
      <c r="S248" s="596"/>
      <c r="T248" s="596"/>
      <c r="U248" s="596"/>
      <c r="V248" s="597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5"/>
      <c r="B249" s="605"/>
      <c r="C249" s="605"/>
      <c r="D249" s="605"/>
      <c r="E249" s="605"/>
      <c r="F249" s="605"/>
      <c r="G249" s="605"/>
      <c r="H249" s="605"/>
      <c r="I249" s="605"/>
      <c r="J249" s="605"/>
      <c r="K249" s="605"/>
      <c r="L249" s="605"/>
      <c r="M249" s="605"/>
      <c r="N249" s="605"/>
      <c r="O249" s="606"/>
      <c r="P249" s="595" t="s">
        <v>72</v>
      </c>
      <c r="Q249" s="596"/>
      <c r="R249" s="596"/>
      <c r="S249" s="596"/>
      <c r="T249" s="596"/>
      <c r="U249" s="596"/>
      <c r="V249" s="597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09" t="s">
        <v>62</v>
      </c>
      <c r="B250" s="605"/>
      <c r="C250" s="605"/>
      <c r="D250" s="605"/>
      <c r="E250" s="605"/>
      <c r="F250" s="605"/>
      <c r="G250" s="605"/>
      <c r="H250" s="605"/>
      <c r="I250" s="605"/>
      <c r="J250" s="605"/>
      <c r="K250" s="605"/>
      <c r="L250" s="605"/>
      <c r="M250" s="605"/>
      <c r="N250" s="605"/>
      <c r="O250" s="605"/>
      <c r="P250" s="605"/>
      <c r="Q250" s="605"/>
      <c r="R250" s="605"/>
      <c r="S250" s="605"/>
      <c r="T250" s="605"/>
      <c r="U250" s="605"/>
      <c r="V250" s="605"/>
      <c r="W250" s="605"/>
      <c r="X250" s="605"/>
      <c r="Y250" s="605"/>
      <c r="Z250" s="605"/>
      <c r="AA250" s="63"/>
      <c r="AB250" s="63"/>
      <c r="AC250" s="63"/>
    </row>
    <row r="251" spans="1:68" ht="27" customHeight="1" x14ac:dyDescent="0.25">
      <c r="A251" s="60" t="s">
        <v>405</v>
      </c>
      <c r="B251" s="60" t="s">
        <v>406</v>
      </c>
      <c r="C251" s="34">
        <v>4301031224</v>
      </c>
      <c r="D251" s="598">
        <v>4680115882683</v>
      </c>
      <c r="E251" s="599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1"/>
      <c r="R251" s="601"/>
      <c r="S251" s="601"/>
      <c r="T251" s="602"/>
      <c r="U251" s="37"/>
      <c r="V251" s="37"/>
      <c r="W251" s="38" t="s">
        <v>67</v>
      </c>
      <c r="X251" s="56">
        <v>101</v>
      </c>
      <c r="Y251" s="53">
        <f t="shared" ref="Y251:Y258" si="32">IFERROR(IF(X251="",0,CEILING((X251/$H251),1)*$H251),"")</f>
        <v>102.60000000000001</v>
      </c>
      <c r="Z251" s="39">
        <f>IFERROR(IF(Y251=0,"",ROUNDUP(Y251/H251,0)*0.00902),"")</f>
        <v>0.17138</v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104.5537037037037</v>
      </c>
      <c r="BN251" s="75">
        <f t="shared" ref="BN251:BN258" si="34">IFERROR(Y251*I251/H251,"0")</f>
        <v>106.21</v>
      </c>
      <c r="BO251" s="75">
        <f t="shared" ref="BO251:BO258" si="35">IFERROR(1/J251*(X251/H251),"0")</f>
        <v>0.14169472502805835</v>
      </c>
      <c r="BP251" s="75">
        <f t="shared" ref="BP251:BP258" si="36">IFERROR(1/J251*(Y251/H251),"0")</f>
        <v>0.14393939393939395</v>
      </c>
    </row>
    <row r="252" spans="1:68" ht="27" customHeight="1" x14ac:dyDescent="0.25">
      <c r="A252" s="60" t="s">
        <v>408</v>
      </c>
      <c r="B252" s="60" t="s">
        <v>409</v>
      </c>
      <c r="C252" s="34">
        <v>4301031230</v>
      </c>
      <c r="D252" s="598">
        <v>4680115882690</v>
      </c>
      <c r="E252" s="599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4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1"/>
      <c r="R252" s="601"/>
      <c r="S252" s="601"/>
      <c r="T252" s="602"/>
      <c r="U252" s="37"/>
      <c r="V252" s="37"/>
      <c r="W252" s="38" t="s">
        <v>67</v>
      </c>
      <c r="X252" s="56">
        <v>97</v>
      </c>
      <c r="Y252" s="53">
        <f t="shared" si="32"/>
        <v>97.2</v>
      </c>
      <c r="Z252" s="39">
        <f>IFERROR(IF(Y252=0,"",ROUNDUP(Y252/H252,0)*0.00902),"")</f>
        <v>0.16236</v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100.41296296296296</v>
      </c>
      <c r="BN252" s="75">
        <f t="shared" si="34"/>
        <v>100.61999999999999</v>
      </c>
      <c r="BO252" s="75">
        <f t="shared" si="35"/>
        <v>0.13608305274971941</v>
      </c>
      <c r="BP252" s="75">
        <f t="shared" si="36"/>
        <v>0.13636363636363635</v>
      </c>
    </row>
    <row r="253" spans="1:68" ht="27" customHeight="1" x14ac:dyDescent="0.25">
      <c r="A253" s="60" t="s">
        <v>411</v>
      </c>
      <c r="B253" s="60" t="s">
        <v>412</v>
      </c>
      <c r="C253" s="34">
        <v>4301031220</v>
      </c>
      <c r="D253" s="598">
        <v>4680115882669</v>
      </c>
      <c r="E253" s="599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8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1"/>
      <c r="R253" s="601"/>
      <c r="S253" s="601"/>
      <c r="T253" s="602"/>
      <c r="U253" s="37"/>
      <c r="V253" s="37"/>
      <c r="W253" s="38" t="s">
        <v>67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414</v>
      </c>
      <c r="B254" s="60" t="s">
        <v>415</v>
      </c>
      <c r="C254" s="34">
        <v>4301031221</v>
      </c>
      <c r="D254" s="598">
        <v>4680115882676</v>
      </c>
      <c r="E254" s="599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1"/>
      <c r="R254" s="601"/>
      <c r="S254" s="601"/>
      <c r="T254" s="602"/>
      <c r="U254" s="37"/>
      <c r="V254" s="37"/>
      <c r="W254" s="38" t="s">
        <v>67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417</v>
      </c>
      <c r="B255" s="60" t="s">
        <v>418</v>
      </c>
      <c r="C255" s="34">
        <v>4301031223</v>
      </c>
      <c r="D255" s="598">
        <v>4680115884014</v>
      </c>
      <c r="E255" s="599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1"/>
      <c r="R255" s="601"/>
      <c r="S255" s="601"/>
      <c r="T255" s="602"/>
      <c r="U255" s="37"/>
      <c r="V255" s="37"/>
      <c r="W255" s="38" t="s">
        <v>67</v>
      </c>
      <c r="X255" s="56">
        <v>45</v>
      </c>
      <c r="Y255" s="53">
        <f t="shared" si="32"/>
        <v>45</v>
      </c>
      <c r="Z255" s="39">
        <f>IFERROR(IF(Y255=0,"",ROUNDUP(Y255/H255,0)*0.00502),"")</f>
        <v>0.1255</v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48.249999999999993</v>
      </c>
      <c r="BN255" s="75">
        <f t="shared" si="34"/>
        <v>48.249999999999993</v>
      </c>
      <c r="BO255" s="75">
        <f t="shared" si="35"/>
        <v>0.10683760683760685</v>
      </c>
      <c r="BP255" s="75">
        <f t="shared" si="36"/>
        <v>0.10683760683760685</v>
      </c>
    </row>
    <row r="256" spans="1:68" ht="27" customHeight="1" x14ac:dyDescent="0.25">
      <c r="A256" s="60" t="s">
        <v>419</v>
      </c>
      <c r="B256" s="60" t="s">
        <v>420</v>
      </c>
      <c r="C256" s="34">
        <v>4301031222</v>
      </c>
      <c r="D256" s="598">
        <v>4680115884007</v>
      </c>
      <c r="E256" s="599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1"/>
      <c r="R256" s="601"/>
      <c r="S256" s="601"/>
      <c r="T256" s="602"/>
      <c r="U256" s="37"/>
      <c r="V256" s="37"/>
      <c r="W256" s="38" t="s">
        <v>67</v>
      </c>
      <c r="X256" s="56">
        <v>49</v>
      </c>
      <c r="Y256" s="53">
        <f t="shared" si="32"/>
        <v>50.4</v>
      </c>
      <c r="Z256" s="39">
        <f>IFERROR(IF(Y256=0,"",ROUNDUP(Y256/H256,0)*0.00502),"")</f>
        <v>0.14056000000000002</v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51.722222222222214</v>
      </c>
      <c r="BN256" s="75">
        <f t="shared" si="34"/>
        <v>53.199999999999996</v>
      </c>
      <c r="BO256" s="75">
        <f t="shared" si="35"/>
        <v>0.11633428300094968</v>
      </c>
      <c r="BP256" s="75">
        <f t="shared" si="36"/>
        <v>0.11965811965811968</v>
      </c>
    </row>
    <row r="257" spans="1:68" ht="27" customHeight="1" x14ac:dyDescent="0.25">
      <c r="A257" s="60" t="s">
        <v>421</v>
      </c>
      <c r="B257" s="60" t="s">
        <v>422</v>
      </c>
      <c r="C257" s="34">
        <v>4301031229</v>
      </c>
      <c r="D257" s="598">
        <v>4680115884038</v>
      </c>
      <c r="E257" s="599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1"/>
      <c r="R257" s="601"/>
      <c r="S257" s="601"/>
      <c r="T257" s="602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423</v>
      </c>
      <c r="B258" s="60" t="s">
        <v>424</v>
      </c>
      <c r="C258" s="34">
        <v>4301031225</v>
      </c>
      <c r="D258" s="598">
        <v>4680115884021</v>
      </c>
      <c r="E258" s="599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1"/>
      <c r="R258" s="601"/>
      <c r="S258" s="601"/>
      <c r="T258" s="602"/>
      <c r="U258" s="37"/>
      <c r="V258" s="37"/>
      <c r="W258" s="38" t="s">
        <v>67</v>
      </c>
      <c r="X258" s="56">
        <v>14</v>
      </c>
      <c r="Y258" s="53">
        <f t="shared" si="32"/>
        <v>14.4</v>
      </c>
      <c r="Z258" s="39">
        <f>IFERROR(IF(Y258=0,"",ROUNDUP(Y258/H258,0)*0.00502),"")</f>
        <v>4.0160000000000001E-2</v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14.777777777777777</v>
      </c>
      <c r="BN258" s="75">
        <f t="shared" si="34"/>
        <v>15.2</v>
      </c>
      <c r="BO258" s="75">
        <f t="shared" si="35"/>
        <v>3.3238366571699908E-2</v>
      </c>
      <c r="BP258" s="75">
        <f t="shared" si="36"/>
        <v>3.4188034188034191E-2</v>
      </c>
    </row>
    <row r="259" spans="1:68" x14ac:dyDescent="0.2">
      <c r="A259" s="604"/>
      <c r="B259" s="605"/>
      <c r="C259" s="605"/>
      <c r="D259" s="605"/>
      <c r="E259" s="605"/>
      <c r="F259" s="605"/>
      <c r="G259" s="605"/>
      <c r="H259" s="605"/>
      <c r="I259" s="605"/>
      <c r="J259" s="605"/>
      <c r="K259" s="605"/>
      <c r="L259" s="605"/>
      <c r="M259" s="605"/>
      <c r="N259" s="605"/>
      <c r="O259" s="606"/>
      <c r="P259" s="595" t="s">
        <v>72</v>
      </c>
      <c r="Q259" s="596"/>
      <c r="R259" s="596"/>
      <c r="S259" s="596"/>
      <c r="T259" s="596"/>
      <c r="U259" s="596"/>
      <c r="V259" s="597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96.666666666666657</v>
      </c>
      <c r="Y259" s="41">
        <f>IFERROR(Y251/H251,"0")+IFERROR(Y252/H252,"0")+IFERROR(Y253/H253,"0")+IFERROR(Y254/H254,"0")+IFERROR(Y255/H255,"0")+IFERROR(Y256/H256,"0")+IFERROR(Y257/H257,"0")+IFERROR(Y258/H258,"0")</f>
        <v>98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0.63996000000000008</v>
      </c>
      <c r="AA259" s="64"/>
      <c r="AB259" s="64"/>
      <c r="AC259" s="64"/>
    </row>
    <row r="260" spans="1:68" x14ac:dyDescent="0.2">
      <c r="A260" s="605"/>
      <c r="B260" s="605"/>
      <c r="C260" s="605"/>
      <c r="D260" s="605"/>
      <c r="E260" s="605"/>
      <c r="F260" s="605"/>
      <c r="G260" s="605"/>
      <c r="H260" s="605"/>
      <c r="I260" s="605"/>
      <c r="J260" s="605"/>
      <c r="K260" s="605"/>
      <c r="L260" s="605"/>
      <c r="M260" s="605"/>
      <c r="N260" s="605"/>
      <c r="O260" s="606"/>
      <c r="P260" s="595" t="s">
        <v>72</v>
      </c>
      <c r="Q260" s="596"/>
      <c r="R260" s="596"/>
      <c r="S260" s="596"/>
      <c r="T260" s="596"/>
      <c r="U260" s="596"/>
      <c r="V260" s="597"/>
      <c r="W260" s="40" t="s">
        <v>67</v>
      </c>
      <c r="X260" s="41">
        <f>IFERROR(SUM(X251:X258),"0")</f>
        <v>306</v>
      </c>
      <c r="Y260" s="41">
        <f>IFERROR(SUM(Y251:Y258),"0")</f>
        <v>309.59999999999997</v>
      </c>
      <c r="Z260" s="40"/>
      <c r="AA260" s="64"/>
      <c r="AB260" s="64"/>
      <c r="AC260" s="64"/>
    </row>
    <row r="261" spans="1:68" ht="14.25" customHeight="1" x14ac:dyDescent="0.25">
      <c r="A261" s="609" t="s">
        <v>74</v>
      </c>
      <c r="B261" s="605"/>
      <c r="C261" s="605"/>
      <c r="D261" s="605"/>
      <c r="E261" s="605"/>
      <c r="F261" s="605"/>
      <c r="G261" s="605"/>
      <c r="H261" s="605"/>
      <c r="I261" s="605"/>
      <c r="J261" s="605"/>
      <c r="K261" s="605"/>
      <c r="L261" s="605"/>
      <c r="M261" s="605"/>
      <c r="N261" s="605"/>
      <c r="O261" s="605"/>
      <c r="P261" s="605"/>
      <c r="Q261" s="605"/>
      <c r="R261" s="605"/>
      <c r="S261" s="605"/>
      <c r="T261" s="605"/>
      <c r="U261" s="605"/>
      <c r="V261" s="605"/>
      <c r="W261" s="605"/>
      <c r="X261" s="605"/>
      <c r="Y261" s="605"/>
      <c r="Z261" s="605"/>
      <c r="AA261" s="63"/>
      <c r="AB261" s="63"/>
      <c r="AC261" s="63"/>
    </row>
    <row r="262" spans="1:68" ht="37.5" customHeight="1" x14ac:dyDescent="0.25">
      <c r="A262" s="60" t="s">
        <v>425</v>
      </c>
      <c r="B262" s="60" t="s">
        <v>426</v>
      </c>
      <c r="C262" s="34">
        <v>4301051408</v>
      </c>
      <c r="D262" s="598">
        <v>4680115881594</v>
      </c>
      <c r="E262" s="599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1"/>
      <c r="R262" s="601"/>
      <c r="S262" s="601"/>
      <c r="T262" s="602"/>
      <c r="U262" s="37"/>
      <c r="V262" s="37"/>
      <c r="W262" s="38" t="s">
        <v>67</v>
      </c>
      <c r="X262" s="56">
        <v>36</v>
      </c>
      <c r="Y262" s="53">
        <f t="shared" ref="Y262:Y273" si="37">IFERROR(IF(X262="",0,CEILING((X262/$H262),1)*$H262),"")</f>
        <v>40.5</v>
      </c>
      <c r="Z262" s="39">
        <f>IFERROR(IF(Y262=0,"",ROUNDUP(Y262/H262,0)*0.01898),"")</f>
        <v>9.4899999999999998E-2</v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38.195555555555551</v>
      </c>
      <c r="BN262" s="75">
        <f t="shared" ref="BN262:BN273" si="39">IFERROR(Y262*I262/H262,"0")</f>
        <v>42.97</v>
      </c>
      <c r="BO262" s="75">
        <f t="shared" ref="BO262:BO273" si="40">IFERROR(1/J262*(X262/H262),"0")</f>
        <v>6.9444444444444448E-2</v>
      </c>
      <c r="BP262" s="75">
        <f t="shared" ref="BP262:BP273" si="41">IFERROR(1/J262*(Y262/H262),"0")</f>
        <v>7.8125E-2</v>
      </c>
    </row>
    <row r="263" spans="1:68" ht="37.5" customHeight="1" x14ac:dyDescent="0.25">
      <c r="A263" s="60" t="s">
        <v>428</v>
      </c>
      <c r="B263" s="60" t="s">
        <v>429</v>
      </c>
      <c r="C263" s="34">
        <v>4301051411</v>
      </c>
      <c r="D263" s="598">
        <v>4680115881617</v>
      </c>
      <c r="E263" s="599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1"/>
      <c r="R263" s="601"/>
      <c r="S263" s="601"/>
      <c r="T263" s="602"/>
      <c r="U263" s="37"/>
      <c r="V263" s="37"/>
      <c r="W263" s="38" t="s">
        <v>67</v>
      </c>
      <c r="X263" s="56">
        <v>40</v>
      </c>
      <c r="Y263" s="53">
        <f t="shared" si="37"/>
        <v>40.5</v>
      </c>
      <c r="Z263" s="39">
        <f>IFERROR(IF(Y263=0,"",ROUNDUP(Y263/H263,0)*0.01898),"")</f>
        <v>9.4899999999999998E-2</v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42.350617283950619</v>
      </c>
      <c r="BN263" s="75">
        <f t="shared" si="39"/>
        <v>42.88</v>
      </c>
      <c r="BO263" s="75">
        <f t="shared" si="40"/>
        <v>7.7160493827160503E-2</v>
      </c>
      <c r="BP263" s="75">
        <f t="shared" si="41"/>
        <v>7.8125E-2</v>
      </c>
    </row>
    <row r="264" spans="1:68" ht="27" customHeight="1" x14ac:dyDescent="0.25">
      <c r="A264" s="60" t="s">
        <v>431</v>
      </c>
      <c r="B264" s="60" t="s">
        <v>432</v>
      </c>
      <c r="C264" s="34">
        <v>4301051656</v>
      </c>
      <c r="D264" s="598">
        <v>4680115880573</v>
      </c>
      <c r="E264" s="599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1"/>
      <c r="R264" s="601"/>
      <c r="S264" s="601"/>
      <c r="T264" s="602"/>
      <c r="U264" s="37"/>
      <c r="V264" s="37"/>
      <c r="W264" s="38" t="s">
        <v>67</v>
      </c>
      <c r="X264" s="56">
        <v>39</v>
      </c>
      <c r="Y264" s="53">
        <f t="shared" si="37"/>
        <v>43.5</v>
      </c>
      <c r="Z264" s="39">
        <f>IFERROR(IF(Y264=0,"",ROUNDUP(Y264/H264,0)*0.01898),"")</f>
        <v>9.4899999999999998E-2</v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41.214482758620697</v>
      </c>
      <c r="BN264" s="75">
        <f t="shared" si="39"/>
        <v>45.970000000000006</v>
      </c>
      <c r="BO264" s="75">
        <f t="shared" si="40"/>
        <v>7.004310344827587E-2</v>
      </c>
      <c r="BP264" s="75">
        <f t="shared" si="41"/>
        <v>7.8125E-2</v>
      </c>
    </row>
    <row r="265" spans="1:68" ht="37.5" customHeight="1" x14ac:dyDescent="0.25">
      <c r="A265" s="60" t="s">
        <v>434</v>
      </c>
      <c r="B265" s="60" t="s">
        <v>435</v>
      </c>
      <c r="C265" s="34">
        <v>4301051407</v>
      </c>
      <c r="D265" s="598">
        <v>4680115882195</v>
      </c>
      <c r="E265" s="599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1"/>
      <c r="R265" s="601"/>
      <c r="S265" s="601"/>
      <c r="T265" s="602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436</v>
      </c>
      <c r="B266" s="60" t="s">
        <v>437</v>
      </c>
      <c r="C266" s="34">
        <v>4301051752</v>
      </c>
      <c r="D266" s="598">
        <v>4680115882607</v>
      </c>
      <c r="E266" s="599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1"/>
      <c r="R266" s="601"/>
      <c r="S266" s="601"/>
      <c r="T266" s="602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438</v>
      </c>
      <c r="B267" s="60" t="s">
        <v>439</v>
      </c>
      <c r="C267" s="34">
        <v>4301052143</v>
      </c>
      <c r="D267" s="598">
        <v>4680115882607</v>
      </c>
      <c r="E267" s="599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1"/>
      <c r="R267" s="601"/>
      <c r="S267" s="601"/>
      <c r="T267" s="602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441</v>
      </c>
      <c r="B268" s="60" t="s">
        <v>442</v>
      </c>
      <c r="C268" s="34">
        <v>4301051666</v>
      </c>
      <c r="D268" s="598">
        <v>4680115880092</v>
      </c>
      <c r="E268" s="599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1"/>
      <c r="R268" s="601"/>
      <c r="S268" s="601"/>
      <c r="T268" s="602"/>
      <c r="U268" s="37"/>
      <c r="V268" s="37"/>
      <c r="W268" s="38" t="s">
        <v>67</v>
      </c>
      <c r="X268" s="56">
        <v>612</v>
      </c>
      <c r="Y268" s="53">
        <f t="shared" si="37"/>
        <v>612</v>
      </c>
      <c r="Z268" s="39">
        <f>IFERROR(IF(Y268=0,"",ROUNDUP(Y268/H268,0)*0.00651),"")</f>
        <v>1.66005</v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676.2600000000001</v>
      </c>
      <c r="BN268" s="75">
        <f t="shared" si="39"/>
        <v>676.2600000000001</v>
      </c>
      <c r="BO268" s="75">
        <f t="shared" si="40"/>
        <v>1.4010989010989012</v>
      </c>
      <c r="BP268" s="75">
        <f t="shared" si="41"/>
        <v>1.4010989010989012</v>
      </c>
    </row>
    <row r="269" spans="1:68" ht="27" customHeight="1" x14ac:dyDescent="0.25">
      <c r="A269" s="60" t="s">
        <v>443</v>
      </c>
      <c r="B269" s="60" t="s">
        <v>444</v>
      </c>
      <c r="C269" s="34">
        <v>4301052214</v>
      </c>
      <c r="D269" s="598">
        <v>4680115889064</v>
      </c>
      <c r="E269" s="599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1"/>
      <c r="R269" s="601"/>
      <c r="S269" s="601"/>
      <c r="T269" s="602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598">
        <v>4680115880221</v>
      </c>
      <c r="E270" s="599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1"/>
      <c r="R270" s="601"/>
      <c r="S270" s="601"/>
      <c r="T270" s="602"/>
      <c r="U270" s="37"/>
      <c r="V270" s="37"/>
      <c r="W270" s="38" t="s">
        <v>67</v>
      </c>
      <c r="X270" s="56">
        <v>374</v>
      </c>
      <c r="Y270" s="53">
        <f t="shared" si="37"/>
        <v>374.4</v>
      </c>
      <c r="Z270" s="39">
        <f>IFERROR(IF(Y270=0,"",ROUNDUP(Y270/H270,0)*0.00651),"")</f>
        <v>1.01556</v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413.27000000000004</v>
      </c>
      <c r="BN270" s="75">
        <f t="shared" si="39"/>
        <v>413.71200000000005</v>
      </c>
      <c r="BO270" s="75">
        <f t="shared" si="40"/>
        <v>0.85622710622710629</v>
      </c>
      <c r="BP270" s="75">
        <f t="shared" si="41"/>
        <v>0.85714285714285721</v>
      </c>
    </row>
    <row r="271" spans="1:68" ht="27" customHeight="1" x14ac:dyDescent="0.25">
      <c r="A271" s="60" t="s">
        <v>447</v>
      </c>
      <c r="B271" s="60" t="s">
        <v>448</v>
      </c>
      <c r="C271" s="34">
        <v>4301051945</v>
      </c>
      <c r="D271" s="598">
        <v>4680115880504</v>
      </c>
      <c r="E271" s="599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1"/>
      <c r="R271" s="601"/>
      <c r="S271" s="601"/>
      <c r="T271" s="602"/>
      <c r="U271" s="37"/>
      <c r="V271" s="37"/>
      <c r="W271" s="38" t="s">
        <v>67</v>
      </c>
      <c r="X271" s="56">
        <v>93</v>
      </c>
      <c r="Y271" s="53">
        <f t="shared" si="37"/>
        <v>93.6</v>
      </c>
      <c r="Z271" s="39">
        <f>IFERROR(IF(Y271=0,"",ROUNDUP(Y271/H271,0)*0.00651),"")</f>
        <v>0.25389</v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102.76500000000001</v>
      </c>
      <c r="BN271" s="75">
        <f t="shared" si="39"/>
        <v>103.42800000000001</v>
      </c>
      <c r="BO271" s="75">
        <f t="shared" si="40"/>
        <v>0.21291208791208793</v>
      </c>
      <c r="BP271" s="75">
        <f t="shared" si="41"/>
        <v>0.2142857142857143</v>
      </c>
    </row>
    <row r="272" spans="1:68" ht="27" customHeight="1" x14ac:dyDescent="0.25">
      <c r="A272" s="60" t="s">
        <v>450</v>
      </c>
      <c r="B272" s="60" t="s">
        <v>451</v>
      </c>
      <c r="C272" s="34">
        <v>4301051410</v>
      </c>
      <c r="D272" s="598">
        <v>4680115882164</v>
      </c>
      <c r="E272" s="599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1"/>
      <c r="R272" s="601"/>
      <c r="S272" s="601"/>
      <c r="T272" s="602"/>
      <c r="U272" s="37"/>
      <c r="V272" s="37"/>
      <c r="W272" s="38" t="s">
        <v>67</v>
      </c>
      <c r="X272" s="56">
        <v>6</v>
      </c>
      <c r="Y272" s="53">
        <f t="shared" si="37"/>
        <v>7.1999999999999993</v>
      </c>
      <c r="Z272" s="39">
        <f>IFERROR(IF(Y272=0,"",ROUNDUP(Y272/H272,0)*0.00651),"")</f>
        <v>1.9529999999999999E-2</v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6.6450000000000005</v>
      </c>
      <c r="BN272" s="75">
        <f t="shared" si="39"/>
        <v>7.9740000000000002</v>
      </c>
      <c r="BO272" s="75">
        <f t="shared" si="40"/>
        <v>1.3736263736263738E-2</v>
      </c>
      <c r="BP272" s="75">
        <f t="shared" si="41"/>
        <v>1.6483516483516484E-2</v>
      </c>
    </row>
    <row r="273" spans="1:68" ht="27" customHeight="1" x14ac:dyDescent="0.25">
      <c r="A273" s="60" t="s">
        <v>453</v>
      </c>
      <c r="B273" s="60" t="s">
        <v>454</v>
      </c>
      <c r="C273" s="34">
        <v>4301052180</v>
      </c>
      <c r="D273" s="598">
        <v>4680115888340</v>
      </c>
      <c r="E273" s="599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1"/>
      <c r="R273" s="601"/>
      <c r="S273" s="601"/>
      <c r="T273" s="602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4"/>
      <c r="B274" s="605"/>
      <c r="C274" s="605"/>
      <c r="D274" s="605"/>
      <c r="E274" s="605"/>
      <c r="F274" s="605"/>
      <c r="G274" s="605"/>
      <c r="H274" s="605"/>
      <c r="I274" s="605"/>
      <c r="J274" s="605"/>
      <c r="K274" s="605"/>
      <c r="L274" s="605"/>
      <c r="M274" s="605"/>
      <c r="N274" s="605"/>
      <c r="O274" s="606"/>
      <c r="P274" s="595" t="s">
        <v>72</v>
      </c>
      <c r="Q274" s="596"/>
      <c r="R274" s="596"/>
      <c r="S274" s="596"/>
      <c r="T274" s="596"/>
      <c r="U274" s="596"/>
      <c r="V274" s="597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465.9488080034057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468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3.23373</v>
      </c>
      <c r="AA274" s="64"/>
      <c r="AB274" s="64"/>
      <c r="AC274" s="64"/>
    </row>
    <row r="275" spans="1:68" x14ac:dyDescent="0.2">
      <c r="A275" s="605"/>
      <c r="B275" s="605"/>
      <c r="C275" s="605"/>
      <c r="D275" s="605"/>
      <c r="E275" s="605"/>
      <c r="F275" s="605"/>
      <c r="G275" s="605"/>
      <c r="H275" s="605"/>
      <c r="I275" s="605"/>
      <c r="J275" s="605"/>
      <c r="K275" s="605"/>
      <c r="L275" s="605"/>
      <c r="M275" s="605"/>
      <c r="N275" s="605"/>
      <c r="O275" s="606"/>
      <c r="P275" s="595" t="s">
        <v>72</v>
      </c>
      <c r="Q275" s="596"/>
      <c r="R275" s="596"/>
      <c r="S275" s="596"/>
      <c r="T275" s="596"/>
      <c r="U275" s="596"/>
      <c r="V275" s="597"/>
      <c r="W275" s="40" t="s">
        <v>67</v>
      </c>
      <c r="X275" s="41">
        <f>IFERROR(SUM(X262:X273),"0")</f>
        <v>1200</v>
      </c>
      <c r="Y275" s="41">
        <f>IFERROR(SUM(Y262:Y273),"0")</f>
        <v>1211.7</v>
      </c>
      <c r="Z275" s="40"/>
      <c r="AA275" s="64"/>
      <c r="AB275" s="64"/>
      <c r="AC275" s="64"/>
    </row>
    <row r="276" spans="1:68" ht="14.25" customHeight="1" x14ac:dyDescent="0.25">
      <c r="A276" s="609" t="s">
        <v>169</v>
      </c>
      <c r="B276" s="605"/>
      <c r="C276" s="605"/>
      <c r="D276" s="605"/>
      <c r="E276" s="605"/>
      <c r="F276" s="605"/>
      <c r="G276" s="605"/>
      <c r="H276" s="605"/>
      <c r="I276" s="605"/>
      <c r="J276" s="605"/>
      <c r="K276" s="605"/>
      <c r="L276" s="605"/>
      <c r="M276" s="605"/>
      <c r="N276" s="605"/>
      <c r="O276" s="605"/>
      <c r="P276" s="605"/>
      <c r="Q276" s="605"/>
      <c r="R276" s="605"/>
      <c r="S276" s="605"/>
      <c r="T276" s="605"/>
      <c r="U276" s="605"/>
      <c r="V276" s="605"/>
      <c r="W276" s="605"/>
      <c r="X276" s="605"/>
      <c r="Y276" s="605"/>
      <c r="Z276" s="605"/>
      <c r="AA276" s="63"/>
      <c r="AB276" s="63"/>
      <c r="AC276" s="63"/>
    </row>
    <row r="277" spans="1:68" ht="27" customHeight="1" x14ac:dyDescent="0.25">
      <c r="A277" s="60" t="s">
        <v>456</v>
      </c>
      <c r="B277" s="60" t="s">
        <v>457</v>
      </c>
      <c r="C277" s="34">
        <v>4301060463</v>
      </c>
      <c r="D277" s="598">
        <v>4680115880818</v>
      </c>
      <c r="E277" s="599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1"/>
      <c r="R277" s="601"/>
      <c r="S277" s="601"/>
      <c r="T277" s="602"/>
      <c r="U277" s="37"/>
      <c r="V277" s="37"/>
      <c r="W277" s="38" t="s">
        <v>67</v>
      </c>
      <c r="X277" s="56">
        <v>11</v>
      </c>
      <c r="Y277" s="53">
        <f>IFERROR(IF(X277="",0,CEILING((X277/$H277),1)*$H277),"")</f>
        <v>12</v>
      </c>
      <c r="Z277" s="39">
        <f>IFERROR(IF(Y277=0,"",ROUNDUP(Y277/H277,0)*0.00651),"")</f>
        <v>3.2550000000000003E-2</v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12.155000000000001</v>
      </c>
      <c r="BN277" s="75">
        <f>IFERROR(Y277*I277/H277,"0")</f>
        <v>13.260000000000002</v>
      </c>
      <c r="BO277" s="75">
        <f>IFERROR(1/J277*(X277/H277),"0")</f>
        <v>2.5183150183150187E-2</v>
      </c>
      <c r="BP277" s="75">
        <f>IFERROR(1/J277*(Y277/H277),"0")</f>
        <v>2.7472527472527476E-2</v>
      </c>
    </row>
    <row r="278" spans="1:68" ht="37.5" customHeight="1" x14ac:dyDescent="0.25">
      <c r="A278" s="60" t="s">
        <v>459</v>
      </c>
      <c r="B278" s="60" t="s">
        <v>460</v>
      </c>
      <c r="C278" s="34">
        <v>4301060389</v>
      </c>
      <c r="D278" s="598">
        <v>4680115880801</v>
      </c>
      <c r="E278" s="599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1"/>
      <c r="R278" s="601"/>
      <c r="S278" s="601"/>
      <c r="T278" s="602"/>
      <c r="U278" s="37"/>
      <c r="V278" s="37"/>
      <c r="W278" s="38" t="s">
        <v>67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4"/>
      <c r="B279" s="605"/>
      <c r="C279" s="605"/>
      <c r="D279" s="605"/>
      <c r="E279" s="605"/>
      <c r="F279" s="605"/>
      <c r="G279" s="605"/>
      <c r="H279" s="605"/>
      <c r="I279" s="605"/>
      <c r="J279" s="605"/>
      <c r="K279" s="605"/>
      <c r="L279" s="605"/>
      <c r="M279" s="605"/>
      <c r="N279" s="605"/>
      <c r="O279" s="606"/>
      <c r="P279" s="595" t="s">
        <v>72</v>
      </c>
      <c r="Q279" s="596"/>
      <c r="R279" s="596"/>
      <c r="S279" s="596"/>
      <c r="T279" s="596"/>
      <c r="U279" s="596"/>
      <c r="V279" s="597"/>
      <c r="W279" s="40" t="s">
        <v>73</v>
      </c>
      <c r="X279" s="41">
        <f>IFERROR(X277/H277,"0")+IFERROR(X278/H278,"0")</f>
        <v>4.5833333333333339</v>
      </c>
      <c r="Y279" s="41">
        <f>IFERROR(Y277/H277,"0")+IFERROR(Y278/H278,"0")</f>
        <v>5</v>
      </c>
      <c r="Z279" s="41">
        <f>IFERROR(IF(Z277="",0,Z277),"0")+IFERROR(IF(Z278="",0,Z278),"0")</f>
        <v>3.2550000000000003E-2</v>
      </c>
      <c r="AA279" s="64"/>
      <c r="AB279" s="64"/>
      <c r="AC279" s="64"/>
    </row>
    <row r="280" spans="1:68" x14ac:dyDescent="0.2">
      <c r="A280" s="605"/>
      <c r="B280" s="605"/>
      <c r="C280" s="605"/>
      <c r="D280" s="605"/>
      <c r="E280" s="605"/>
      <c r="F280" s="605"/>
      <c r="G280" s="605"/>
      <c r="H280" s="605"/>
      <c r="I280" s="605"/>
      <c r="J280" s="605"/>
      <c r="K280" s="605"/>
      <c r="L280" s="605"/>
      <c r="M280" s="605"/>
      <c r="N280" s="605"/>
      <c r="O280" s="606"/>
      <c r="P280" s="595" t="s">
        <v>72</v>
      </c>
      <c r="Q280" s="596"/>
      <c r="R280" s="596"/>
      <c r="S280" s="596"/>
      <c r="T280" s="596"/>
      <c r="U280" s="596"/>
      <c r="V280" s="597"/>
      <c r="W280" s="40" t="s">
        <v>67</v>
      </c>
      <c r="X280" s="41">
        <f>IFERROR(SUM(X277:X278),"0")</f>
        <v>11</v>
      </c>
      <c r="Y280" s="41">
        <f>IFERROR(SUM(Y277:Y278),"0")</f>
        <v>12</v>
      </c>
      <c r="Z280" s="40"/>
      <c r="AA280" s="64"/>
      <c r="AB280" s="64"/>
      <c r="AC280" s="64"/>
    </row>
    <row r="281" spans="1:68" ht="16.5" customHeight="1" x14ac:dyDescent="0.25">
      <c r="A281" s="610" t="s">
        <v>462</v>
      </c>
      <c r="B281" s="605"/>
      <c r="C281" s="605"/>
      <c r="D281" s="605"/>
      <c r="E281" s="605"/>
      <c r="F281" s="605"/>
      <c r="G281" s="605"/>
      <c r="H281" s="605"/>
      <c r="I281" s="605"/>
      <c r="J281" s="605"/>
      <c r="K281" s="605"/>
      <c r="L281" s="605"/>
      <c r="M281" s="605"/>
      <c r="N281" s="605"/>
      <c r="O281" s="605"/>
      <c r="P281" s="605"/>
      <c r="Q281" s="605"/>
      <c r="R281" s="605"/>
      <c r="S281" s="605"/>
      <c r="T281" s="605"/>
      <c r="U281" s="605"/>
      <c r="V281" s="605"/>
      <c r="W281" s="605"/>
      <c r="X281" s="605"/>
      <c r="Y281" s="605"/>
      <c r="Z281" s="605"/>
      <c r="AA281" s="62"/>
      <c r="AB281" s="62"/>
      <c r="AC281" s="62"/>
    </row>
    <row r="282" spans="1:68" ht="14.25" customHeight="1" x14ac:dyDescent="0.25">
      <c r="A282" s="609" t="s">
        <v>117</v>
      </c>
      <c r="B282" s="605"/>
      <c r="C282" s="605"/>
      <c r="D282" s="605"/>
      <c r="E282" s="605"/>
      <c r="F282" s="605"/>
      <c r="G282" s="605"/>
      <c r="H282" s="605"/>
      <c r="I282" s="605"/>
      <c r="J282" s="605"/>
      <c r="K282" s="605"/>
      <c r="L282" s="605"/>
      <c r="M282" s="605"/>
      <c r="N282" s="605"/>
      <c r="O282" s="605"/>
      <c r="P282" s="605"/>
      <c r="Q282" s="605"/>
      <c r="R282" s="605"/>
      <c r="S282" s="605"/>
      <c r="T282" s="605"/>
      <c r="U282" s="605"/>
      <c r="V282" s="605"/>
      <c r="W282" s="605"/>
      <c r="X282" s="605"/>
      <c r="Y282" s="605"/>
      <c r="Z282" s="605"/>
      <c r="AA282" s="63"/>
      <c r="AB282" s="63"/>
      <c r="AC282" s="63"/>
    </row>
    <row r="283" spans="1:68" ht="27" customHeight="1" x14ac:dyDescent="0.25">
      <c r="A283" s="60" t="s">
        <v>463</v>
      </c>
      <c r="B283" s="60" t="s">
        <v>464</v>
      </c>
      <c r="C283" s="34">
        <v>4301011826</v>
      </c>
      <c r="D283" s="598">
        <v>4680115884137</v>
      </c>
      <c r="E283" s="599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1"/>
      <c r="R283" s="601"/>
      <c r="S283" s="601"/>
      <c r="T283" s="602"/>
      <c r="U283" s="37"/>
      <c r="V283" s="37"/>
      <c r="W283" s="38" t="s">
        <v>67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466</v>
      </c>
      <c r="B284" s="60" t="s">
        <v>467</v>
      </c>
      <c r="C284" s="34">
        <v>4301011724</v>
      </c>
      <c r="D284" s="598">
        <v>4680115884236</v>
      </c>
      <c r="E284" s="599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1"/>
      <c r="R284" s="601"/>
      <c r="S284" s="601"/>
      <c r="T284" s="602"/>
      <c r="U284" s="37"/>
      <c r="V284" s="37"/>
      <c r="W284" s="38" t="s">
        <v>67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469</v>
      </c>
      <c r="B285" s="60" t="s">
        <v>470</v>
      </c>
      <c r="C285" s="34">
        <v>4301011721</v>
      </c>
      <c r="D285" s="598">
        <v>4680115884175</v>
      </c>
      <c r="E285" s="599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1"/>
      <c r="R285" s="601"/>
      <c r="S285" s="601"/>
      <c r="T285" s="602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471</v>
      </c>
      <c r="B286" s="60" t="s">
        <v>472</v>
      </c>
      <c r="C286" s="34">
        <v>4301011824</v>
      </c>
      <c r="D286" s="598">
        <v>4680115884144</v>
      </c>
      <c r="E286" s="599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1"/>
      <c r="R286" s="601"/>
      <c r="S286" s="601"/>
      <c r="T286" s="602"/>
      <c r="U286" s="37"/>
      <c r="V286" s="37"/>
      <c r="W286" s="38" t="s">
        <v>67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473</v>
      </c>
      <c r="B287" s="60" t="s">
        <v>474</v>
      </c>
      <c r="C287" s="34">
        <v>4301012149</v>
      </c>
      <c r="D287" s="598">
        <v>4680115886551</v>
      </c>
      <c r="E287" s="599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1"/>
      <c r="R287" s="601"/>
      <c r="S287" s="601"/>
      <c r="T287" s="602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476</v>
      </c>
      <c r="B288" s="60" t="s">
        <v>477</v>
      </c>
      <c r="C288" s="34">
        <v>4301012228</v>
      </c>
      <c r="D288" s="598">
        <v>4680115887282</v>
      </c>
      <c r="E288" s="599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1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1"/>
      <c r="R288" s="601"/>
      <c r="S288" s="601"/>
      <c r="T288" s="602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479</v>
      </c>
      <c r="B289" s="60" t="s">
        <v>480</v>
      </c>
      <c r="C289" s="34">
        <v>4301011722</v>
      </c>
      <c r="D289" s="598">
        <v>4680115884205</v>
      </c>
      <c r="E289" s="599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1"/>
      <c r="R289" s="601"/>
      <c r="S289" s="601"/>
      <c r="T289" s="602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4"/>
      <c r="B290" s="605"/>
      <c r="C290" s="605"/>
      <c r="D290" s="605"/>
      <c r="E290" s="605"/>
      <c r="F290" s="605"/>
      <c r="G290" s="605"/>
      <c r="H290" s="605"/>
      <c r="I290" s="605"/>
      <c r="J290" s="605"/>
      <c r="K290" s="605"/>
      <c r="L290" s="605"/>
      <c r="M290" s="605"/>
      <c r="N290" s="605"/>
      <c r="O290" s="606"/>
      <c r="P290" s="595" t="s">
        <v>72</v>
      </c>
      <c r="Q290" s="596"/>
      <c r="R290" s="596"/>
      <c r="S290" s="596"/>
      <c r="T290" s="596"/>
      <c r="U290" s="596"/>
      <c r="V290" s="597"/>
      <c r="W290" s="40" t="s">
        <v>73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05"/>
      <c r="B291" s="605"/>
      <c r="C291" s="605"/>
      <c r="D291" s="605"/>
      <c r="E291" s="605"/>
      <c r="F291" s="605"/>
      <c r="G291" s="605"/>
      <c r="H291" s="605"/>
      <c r="I291" s="605"/>
      <c r="J291" s="605"/>
      <c r="K291" s="605"/>
      <c r="L291" s="605"/>
      <c r="M291" s="605"/>
      <c r="N291" s="605"/>
      <c r="O291" s="606"/>
      <c r="P291" s="595" t="s">
        <v>72</v>
      </c>
      <c r="Q291" s="596"/>
      <c r="R291" s="596"/>
      <c r="S291" s="596"/>
      <c r="T291" s="596"/>
      <c r="U291" s="596"/>
      <c r="V291" s="597"/>
      <c r="W291" s="40" t="s">
        <v>67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609" t="s">
        <v>152</v>
      </c>
      <c r="B292" s="605"/>
      <c r="C292" s="605"/>
      <c r="D292" s="605"/>
      <c r="E292" s="605"/>
      <c r="F292" s="605"/>
      <c r="G292" s="605"/>
      <c r="H292" s="605"/>
      <c r="I292" s="605"/>
      <c r="J292" s="605"/>
      <c r="K292" s="605"/>
      <c r="L292" s="605"/>
      <c r="M292" s="605"/>
      <c r="N292" s="605"/>
      <c r="O292" s="605"/>
      <c r="P292" s="605"/>
      <c r="Q292" s="605"/>
      <c r="R292" s="605"/>
      <c r="S292" s="605"/>
      <c r="T292" s="605"/>
      <c r="U292" s="605"/>
      <c r="V292" s="605"/>
      <c r="W292" s="605"/>
      <c r="X292" s="605"/>
      <c r="Y292" s="605"/>
      <c r="Z292" s="605"/>
      <c r="AA292" s="63"/>
      <c r="AB292" s="63"/>
      <c r="AC292" s="63"/>
    </row>
    <row r="293" spans="1:68" ht="27" customHeight="1" x14ac:dyDescent="0.25">
      <c r="A293" s="60" t="s">
        <v>481</v>
      </c>
      <c r="B293" s="60" t="s">
        <v>482</v>
      </c>
      <c r="C293" s="34">
        <v>4301020377</v>
      </c>
      <c r="D293" s="598">
        <v>4680115885981</v>
      </c>
      <c r="E293" s="599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1"/>
      <c r="R293" s="601"/>
      <c r="S293" s="601"/>
      <c r="T293" s="602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04"/>
      <c r="B294" s="605"/>
      <c r="C294" s="605"/>
      <c r="D294" s="605"/>
      <c r="E294" s="605"/>
      <c r="F294" s="605"/>
      <c r="G294" s="605"/>
      <c r="H294" s="605"/>
      <c r="I294" s="605"/>
      <c r="J294" s="605"/>
      <c r="K294" s="605"/>
      <c r="L294" s="605"/>
      <c r="M294" s="605"/>
      <c r="N294" s="605"/>
      <c r="O294" s="606"/>
      <c r="P294" s="595" t="s">
        <v>72</v>
      </c>
      <c r="Q294" s="596"/>
      <c r="R294" s="596"/>
      <c r="S294" s="596"/>
      <c r="T294" s="596"/>
      <c r="U294" s="596"/>
      <c r="V294" s="597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5"/>
      <c r="B295" s="605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6"/>
      <c r="P295" s="595" t="s">
        <v>72</v>
      </c>
      <c r="Q295" s="596"/>
      <c r="R295" s="596"/>
      <c r="S295" s="596"/>
      <c r="T295" s="596"/>
      <c r="U295" s="596"/>
      <c r="V295" s="597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09" t="s">
        <v>484</v>
      </c>
      <c r="B296" s="605"/>
      <c r="C296" s="605"/>
      <c r="D296" s="605"/>
      <c r="E296" s="605"/>
      <c r="F296" s="605"/>
      <c r="G296" s="605"/>
      <c r="H296" s="605"/>
      <c r="I296" s="605"/>
      <c r="J296" s="605"/>
      <c r="K296" s="605"/>
      <c r="L296" s="605"/>
      <c r="M296" s="605"/>
      <c r="N296" s="605"/>
      <c r="O296" s="605"/>
      <c r="P296" s="605"/>
      <c r="Q296" s="605"/>
      <c r="R296" s="605"/>
      <c r="S296" s="605"/>
      <c r="T296" s="605"/>
      <c r="U296" s="605"/>
      <c r="V296" s="605"/>
      <c r="W296" s="605"/>
      <c r="X296" s="605"/>
      <c r="Y296" s="605"/>
      <c r="Z296" s="605"/>
      <c r="AA296" s="63"/>
      <c r="AB296" s="63"/>
      <c r="AC296" s="63"/>
    </row>
    <row r="297" spans="1:68" ht="27" customHeight="1" x14ac:dyDescent="0.25">
      <c r="A297" s="60" t="s">
        <v>485</v>
      </c>
      <c r="B297" s="60" t="s">
        <v>486</v>
      </c>
      <c r="C297" s="34">
        <v>4301040362</v>
      </c>
      <c r="D297" s="598">
        <v>4680115886803</v>
      </c>
      <c r="E297" s="599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1"/>
      <c r="R297" s="601"/>
      <c r="S297" s="601"/>
      <c r="T297" s="602"/>
      <c r="U297" s="37"/>
      <c r="V297" s="37"/>
      <c r="W297" s="38" t="s">
        <v>67</v>
      </c>
      <c r="X297" s="56">
        <v>3</v>
      </c>
      <c r="Y297" s="53">
        <f>IFERROR(IF(X297="",0,CEILING((X297/$H297),1)*$H297),"")</f>
        <v>3.6</v>
      </c>
      <c r="Z297" s="39">
        <f>IFERROR(IF(Y297=0,"",ROUNDUP(Y297/H297,0)*0.0059),"")</f>
        <v>1.18E-2</v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3.291666666666667</v>
      </c>
      <c r="BN297" s="75">
        <f>IFERROR(Y297*I297/H297,"0")</f>
        <v>3.95</v>
      </c>
      <c r="BO297" s="75">
        <f>IFERROR(1/J297*(X297/H297),"0")</f>
        <v>7.7160493827160481E-3</v>
      </c>
      <c r="BP297" s="75">
        <f>IFERROR(1/J297*(Y297/H297),"0")</f>
        <v>9.2592592592592587E-3</v>
      </c>
    </row>
    <row r="298" spans="1:68" x14ac:dyDescent="0.2">
      <c r="A298" s="604"/>
      <c r="B298" s="605"/>
      <c r="C298" s="605"/>
      <c r="D298" s="605"/>
      <c r="E298" s="605"/>
      <c r="F298" s="605"/>
      <c r="G298" s="605"/>
      <c r="H298" s="605"/>
      <c r="I298" s="605"/>
      <c r="J298" s="605"/>
      <c r="K298" s="605"/>
      <c r="L298" s="605"/>
      <c r="M298" s="605"/>
      <c r="N298" s="605"/>
      <c r="O298" s="606"/>
      <c r="P298" s="595" t="s">
        <v>72</v>
      </c>
      <c r="Q298" s="596"/>
      <c r="R298" s="596"/>
      <c r="S298" s="596"/>
      <c r="T298" s="596"/>
      <c r="U298" s="596"/>
      <c r="V298" s="597"/>
      <c r="W298" s="40" t="s">
        <v>73</v>
      </c>
      <c r="X298" s="41">
        <f>IFERROR(X297/H297,"0")</f>
        <v>1.6666666666666665</v>
      </c>
      <c r="Y298" s="41">
        <f>IFERROR(Y297/H297,"0")</f>
        <v>2</v>
      </c>
      <c r="Z298" s="41">
        <f>IFERROR(IF(Z297="",0,Z297),"0")</f>
        <v>1.18E-2</v>
      </c>
      <c r="AA298" s="64"/>
      <c r="AB298" s="64"/>
      <c r="AC298" s="64"/>
    </row>
    <row r="299" spans="1:68" x14ac:dyDescent="0.2">
      <c r="A299" s="605"/>
      <c r="B299" s="605"/>
      <c r="C299" s="605"/>
      <c r="D299" s="605"/>
      <c r="E299" s="605"/>
      <c r="F299" s="605"/>
      <c r="G299" s="605"/>
      <c r="H299" s="605"/>
      <c r="I299" s="605"/>
      <c r="J299" s="605"/>
      <c r="K299" s="605"/>
      <c r="L299" s="605"/>
      <c r="M299" s="605"/>
      <c r="N299" s="605"/>
      <c r="O299" s="606"/>
      <c r="P299" s="595" t="s">
        <v>72</v>
      </c>
      <c r="Q299" s="596"/>
      <c r="R299" s="596"/>
      <c r="S299" s="596"/>
      <c r="T299" s="596"/>
      <c r="U299" s="596"/>
      <c r="V299" s="597"/>
      <c r="W299" s="40" t="s">
        <v>67</v>
      </c>
      <c r="X299" s="41">
        <f>IFERROR(SUM(X297:X297),"0")</f>
        <v>3</v>
      </c>
      <c r="Y299" s="41">
        <f>IFERROR(SUM(Y297:Y297),"0")</f>
        <v>3.6</v>
      </c>
      <c r="Z299" s="40"/>
      <c r="AA299" s="64"/>
      <c r="AB299" s="64"/>
      <c r="AC299" s="64"/>
    </row>
    <row r="300" spans="1:68" ht="14.25" customHeight="1" x14ac:dyDescent="0.25">
      <c r="A300" s="609" t="s">
        <v>318</v>
      </c>
      <c r="B300" s="605"/>
      <c r="C300" s="605"/>
      <c r="D300" s="605"/>
      <c r="E300" s="605"/>
      <c r="F300" s="605"/>
      <c r="G300" s="605"/>
      <c r="H300" s="605"/>
      <c r="I300" s="605"/>
      <c r="J300" s="605"/>
      <c r="K300" s="605"/>
      <c r="L300" s="605"/>
      <c r="M300" s="605"/>
      <c r="N300" s="605"/>
      <c r="O300" s="605"/>
      <c r="P300" s="605"/>
      <c r="Q300" s="605"/>
      <c r="R300" s="605"/>
      <c r="S300" s="605"/>
      <c r="T300" s="605"/>
      <c r="U300" s="605"/>
      <c r="V300" s="605"/>
      <c r="W300" s="605"/>
      <c r="X300" s="605"/>
      <c r="Y300" s="605"/>
      <c r="Z300" s="605"/>
      <c r="AA300" s="63"/>
      <c r="AB300" s="63"/>
      <c r="AC300" s="63"/>
    </row>
    <row r="301" spans="1:68" ht="27" customHeight="1" x14ac:dyDescent="0.25">
      <c r="A301" s="60" t="s">
        <v>488</v>
      </c>
      <c r="B301" s="60" t="s">
        <v>489</v>
      </c>
      <c r="C301" s="34">
        <v>4301041004</v>
      </c>
      <c r="D301" s="598">
        <v>4680115886704</v>
      </c>
      <c r="E301" s="599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1"/>
      <c r="R301" s="601"/>
      <c r="S301" s="601"/>
      <c r="T301" s="602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491</v>
      </c>
      <c r="B302" s="60" t="s">
        <v>492</v>
      </c>
      <c r="C302" s="34">
        <v>4301041008</v>
      </c>
      <c r="D302" s="598">
        <v>4680115886681</v>
      </c>
      <c r="E302" s="599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1"/>
      <c r="R302" s="601"/>
      <c r="S302" s="601"/>
      <c r="T302" s="602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493</v>
      </c>
      <c r="B303" s="60" t="s">
        <v>494</v>
      </c>
      <c r="C303" s="34">
        <v>4301041007</v>
      </c>
      <c r="D303" s="598">
        <v>4680115886735</v>
      </c>
      <c r="E303" s="599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1"/>
      <c r="R303" s="601"/>
      <c r="S303" s="601"/>
      <c r="T303" s="602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495</v>
      </c>
      <c r="B304" s="60" t="s">
        <v>496</v>
      </c>
      <c r="C304" s="34">
        <v>4301041005</v>
      </c>
      <c r="D304" s="598">
        <v>4680115886711</v>
      </c>
      <c r="E304" s="599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1"/>
      <c r="R304" s="601"/>
      <c r="S304" s="601"/>
      <c r="T304" s="602"/>
      <c r="U304" s="37"/>
      <c r="V304" s="37" t="s">
        <v>497</v>
      </c>
      <c r="W304" s="38" t="s">
        <v>67</v>
      </c>
      <c r="X304" s="56">
        <v>1</v>
      </c>
      <c r="Y304" s="53">
        <f>IFERROR(IF(X304="",0,CEILING((X304/$H304),1)*$H304),"")</f>
        <v>1.98</v>
      </c>
      <c r="Z304" s="39">
        <f>IFERROR(IF(Y304=0,"",ROUNDUP(Y304/H304,0)*0.0059),"")</f>
        <v>1.18E-2</v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1.1919191919191918</v>
      </c>
      <c r="BN304" s="75">
        <f>IFERROR(Y304*I304/H304,"0")</f>
        <v>2.36</v>
      </c>
      <c r="BO304" s="75">
        <f>IFERROR(1/J304*(X304/H304),"0")</f>
        <v>4.6763935652824546E-3</v>
      </c>
      <c r="BP304" s="75">
        <f>IFERROR(1/J304*(Y304/H304),"0")</f>
        <v>9.2592592592592587E-3</v>
      </c>
    </row>
    <row r="305" spans="1:68" x14ac:dyDescent="0.2">
      <c r="A305" s="604"/>
      <c r="B305" s="605"/>
      <c r="C305" s="605"/>
      <c r="D305" s="605"/>
      <c r="E305" s="605"/>
      <c r="F305" s="605"/>
      <c r="G305" s="605"/>
      <c r="H305" s="605"/>
      <c r="I305" s="605"/>
      <c r="J305" s="605"/>
      <c r="K305" s="605"/>
      <c r="L305" s="605"/>
      <c r="M305" s="605"/>
      <c r="N305" s="605"/>
      <c r="O305" s="606"/>
      <c r="P305" s="595" t="s">
        <v>72</v>
      </c>
      <c r="Q305" s="596"/>
      <c r="R305" s="596"/>
      <c r="S305" s="596"/>
      <c r="T305" s="596"/>
      <c r="U305" s="596"/>
      <c r="V305" s="597"/>
      <c r="W305" s="40" t="s">
        <v>73</v>
      </c>
      <c r="X305" s="41">
        <f>IFERROR(X301/H301,"0")+IFERROR(X302/H302,"0")+IFERROR(X303/H303,"0")+IFERROR(X304/H304,"0")</f>
        <v>1.0101010101010102</v>
      </c>
      <c r="Y305" s="41">
        <f>IFERROR(Y301/H301,"0")+IFERROR(Y302/H302,"0")+IFERROR(Y303/H303,"0")+IFERROR(Y304/H304,"0")</f>
        <v>2</v>
      </c>
      <c r="Z305" s="41">
        <f>IFERROR(IF(Z301="",0,Z301),"0")+IFERROR(IF(Z302="",0,Z302),"0")+IFERROR(IF(Z303="",0,Z303),"0")+IFERROR(IF(Z304="",0,Z304),"0")</f>
        <v>1.18E-2</v>
      </c>
      <c r="AA305" s="64"/>
      <c r="AB305" s="64"/>
      <c r="AC305" s="64"/>
    </row>
    <row r="306" spans="1:68" x14ac:dyDescent="0.2">
      <c r="A306" s="605"/>
      <c r="B306" s="605"/>
      <c r="C306" s="605"/>
      <c r="D306" s="605"/>
      <c r="E306" s="605"/>
      <c r="F306" s="605"/>
      <c r="G306" s="605"/>
      <c r="H306" s="605"/>
      <c r="I306" s="605"/>
      <c r="J306" s="605"/>
      <c r="K306" s="605"/>
      <c r="L306" s="605"/>
      <c r="M306" s="605"/>
      <c r="N306" s="605"/>
      <c r="O306" s="606"/>
      <c r="P306" s="595" t="s">
        <v>72</v>
      </c>
      <c r="Q306" s="596"/>
      <c r="R306" s="596"/>
      <c r="S306" s="596"/>
      <c r="T306" s="596"/>
      <c r="U306" s="596"/>
      <c r="V306" s="597"/>
      <c r="W306" s="40" t="s">
        <v>67</v>
      </c>
      <c r="X306" s="41">
        <f>IFERROR(SUM(X301:X304),"0")</f>
        <v>1</v>
      </c>
      <c r="Y306" s="41">
        <f>IFERROR(SUM(Y301:Y304),"0")</f>
        <v>1.98</v>
      </c>
      <c r="Z306" s="40"/>
      <c r="AA306" s="64"/>
      <c r="AB306" s="64"/>
      <c r="AC306" s="64"/>
    </row>
    <row r="307" spans="1:68" ht="16.5" customHeight="1" x14ac:dyDescent="0.25">
      <c r="A307" s="610" t="s">
        <v>498</v>
      </c>
      <c r="B307" s="605"/>
      <c r="C307" s="605"/>
      <c r="D307" s="605"/>
      <c r="E307" s="605"/>
      <c r="F307" s="605"/>
      <c r="G307" s="605"/>
      <c r="H307" s="605"/>
      <c r="I307" s="605"/>
      <c r="J307" s="605"/>
      <c r="K307" s="605"/>
      <c r="L307" s="605"/>
      <c r="M307" s="605"/>
      <c r="N307" s="605"/>
      <c r="O307" s="605"/>
      <c r="P307" s="605"/>
      <c r="Q307" s="605"/>
      <c r="R307" s="605"/>
      <c r="S307" s="605"/>
      <c r="T307" s="605"/>
      <c r="U307" s="605"/>
      <c r="V307" s="605"/>
      <c r="W307" s="605"/>
      <c r="X307" s="605"/>
      <c r="Y307" s="605"/>
      <c r="Z307" s="605"/>
      <c r="AA307" s="62"/>
      <c r="AB307" s="62"/>
      <c r="AC307" s="62"/>
    </row>
    <row r="308" spans="1:68" ht="14.25" customHeight="1" x14ac:dyDescent="0.25">
      <c r="A308" s="609" t="s">
        <v>117</v>
      </c>
      <c r="B308" s="605"/>
      <c r="C308" s="605"/>
      <c r="D308" s="605"/>
      <c r="E308" s="605"/>
      <c r="F308" s="605"/>
      <c r="G308" s="605"/>
      <c r="H308" s="605"/>
      <c r="I308" s="605"/>
      <c r="J308" s="605"/>
      <c r="K308" s="605"/>
      <c r="L308" s="605"/>
      <c r="M308" s="605"/>
      <c r="N308" s="605"/>
      <c r="O308" s="605"/>
      <c r="P308" s="605"/>
      <c r="Q308" s="605"/>
      <c r="R308" s="605"/>
      <c r="S308" s="605"/>
      <c r="T308" s="605"/>
      <c r="U308" s="605"/>
      <c r="V308" s="605"/>
      <c r="W308" s="605"/>
      <c r="X308" s="605"/>
      <c r="Y308" s="605"/>
      <c r="Z308" s="605"/>
      <c r="AA308" s="63"/>
      <c r="AB308" s="63"/>
      <c r="AC308" s="63"/>
    </row>
    <row r="309" spans="1:68" ht="27" customHeight="1" x14ac:dyDescent="0.25">
      <c r="A309" s="60" t="s">
        <v>499</v>
      </c>
      <c r="B309" s="60" t="s">
        <v>500</v>
      </c>
      <c r="C309" s="34">
        <v>4301011855</v>
      </c>
      <c r="D309" s="598">
        <v>4680115885837</v>
      </c>
      <c r="E309" s="599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1"/>
      <c r="R309" s="601"/>
      <c r="S309" s="601"/>
      <c r="T309" s="602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502</v>
      </c>
      <c r="B310" s="60" t="s">
        <v>503</v>
      </c>
      <c r="C310" s="34">
        <v>4301012234</v>
      </c>
      <c r="D310" s="598">
        <v>4680115887237</v>
      </c>
      <c r="E310" s="599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1"/>
      <c r="R310" s="601"/>
      <c r="S310" s="601"/>
      <c r="T310" s="602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505</v>
      </c>
      <c r="B311" s="60" t="s">
        <v>506</v>
      </c>
      <c r="C311" s="34">
        <v>4301011850</v>
      </c>
      <c r="D311" s="598">
        <v>4680115885806</v>
      </c>
      <c r="E311" s="599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1"/>
      <c r="R311" s="601"/>
      <c r="S311" s="601"/>
      <c r="T311" s="602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508</v>
      </c>
      <c r="B312" s="60" t="s">
        <v>509</v>
      </c>
      <c r="C312" s="34">
        <v>4301011852</v>
      </c>
      <c r="D312" s="598">
        <v>4680115885844</v>
      </c>
      <c r="E312" s="599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2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1"/>
      <c r="R312" s="601"/>
      <c r="S312" s="601"/>
      <c r="T312" s="602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511</v>
      </c>
      <c r="B313" s="60" t="s">
        <v>512</v>
      </c>
      <c r="C313" s="34">
        <v>4301011851</v>
      </c>
      <c r="D313" s="598">
        <v>4680115885820</v>
      </c>
      <c r="E313" s="599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1"/>
      <c r="R313" s="601"/>
      <c r="S313" s="601"/>
      <c r="T313" s="602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4"/>
      <c r="B314" s="605"/>
      <c r="C314" s="605"/>
      <c r="D314" s="605"/>
      <c r="E314" s="605"/>
      <c r="F314" s="605"/>
      <c r="G314" s="605"/>
      <c r="H314" s="605"/>
      <c r="I314" s="605"/>
      <c r="J314" s="605"/>
      <c r="K314" s="605"/>
      <c r="L314" s="605"/>
      <c r="M314" s="605"/>
      <c r="N314" s="605"/>
      <c r="O314" s="606"/>
      <c r="P314" s="595" t="s">
        <v>72</v>
      </c>
      <c r="Q314" s="596"/>
      <c r="R314" s="596"/>
      <c r="S314" s="596"/>
      <c r="T314" s="596"/>
      <c r="U314" s="596"/>
      <c r="V314" s="597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05"/>
      <c r="B315" s="605"/>
      <c r="C315" s="605"/>
      <c r="D315" s="605"/>
      <c r="E315" s="605"/>
      <c r="F315" s="605"/>
      <c r="G315" s="605"/>
      <c r="H315" s="605"/>
      <c r="I315" s="605"/>
      <c r="J315" s="605"/>
      <c r="K315" s="605"/>
      <c r="L315" s="605"/>
      <c r="M315" s="605"/>
      <c r="N315" s="605"/>
      <c r="O315" s="606"/>
      <c r="P315" s="595" t="s">
        <v>72</v>
      </c>
      <c r="Q315" s="596"/>
      <c r="R315" s="596"/>
      <c r="S315" s="596"/>
      <c r="T315" s="596"/>
      <c r="U315" s="596"/>
      <c r="V315" s="597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10" t="s">
        <v>514</v>
      </c>
      <c r="B316" s="605"/>
      <c r="C316" s="605"/>
      <c r="D316" s="605"/>
      <c r="E316" s="605"/>
      <c r="F316" s="605"/>
      <c r="G316" s="605"/>
      <c r="H316" s="605"/>
      <c r="I316" s="605"/>
      <c r="J316" s="605"/>
      <c r="K316" s="605"/>
      <c r="L316" s="605"/>
      <c r="M316" s="605"/>
      <c r="N316" s="605"/>
      <c r="O316" s="605"/>
      <c r="P316" s="605"/>
      <c r="Q316" s="605"/>
      <c r="R316" s="605"/>
      <c r="S316" s="605"/>
      <c r="T316" s="605"/>
      <c r="U316" s="605"/>
      <c r="V316" s="605"/>
      <c r="W316" s="605"/>
      <c r="X316" s="605"/>
      <c r="Y316" s="605"/>
      <c r="Z316" s="605"/>
      <c r="AA316" s="62"/>
      <c r="AB316" s="62"/>
      <c r="AC316" s="62"/>
    </row>
    <row r="317" spans="1:68" ht="14.25" customHeight="1" x14ac:dyDescent="0.25">
      <c r="A317" s="609" t="s">
        <v>74</v>
      </c>
      <c r="B317" s="605"/>
      <c r="C317" s="605"/>
      <c r="D317" s="605"/>
      <c r="E317" s="605"/>
      <c r="F317" s="605"/>
      <c r="G317" s="605"/>
      <c r="H317" s="605"/>
      <c r="I317" s="605"/>
      <c r="J317" s="605"/>
      <c r="K317" s="605"/>
      <c r="L317" s="605"/>
      <c r="M317" s="605"/>
      <c r="N317" s="605"/>
      <c r="O317" s="605"/>
      <c r="P317" s="605"/>
      <c r="Q317" s="605"/>
      <c r="R317" s="605"/>
      <c r="S317" s="605"/>
      <c r="T317" s="605"/>
      <c r="U317" s="605"/>
      <c r="V317" s="605"/>
      <c r="W317" s="605"/>
      <c r="X317" s="605"/>
      <c r="Y317" s="605"/>
      <c r="Z317" s="605"/>
      <c r="AA317" s="63"/>
      <c r="AB317" s="63"/>
      <c r="AC317" s="63"/>
    </row>
    <row r="318" spans="1:68" ht="27" customHeight="1" x14ac:dyDescent="0.25">
      <c r="A318" s="60" t="s">
        <v>515</v>
      </c>
      <c r="B318" s="60" t="s">
        <v>516</v>
      </c>
      <c r="C318" s="34">
        <v>4301051893</v>
      </c>
      <c r="D318" s="598">
        <v>4680115886186</v>
      </c>
      <c r="E318" s="599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1"/>
      <c r="R318" s="601"/>
      <c r="S318" s="601"/>
      <c r="T318" s="602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518</v>
      </c>
      <c r="B319" s="60" t="s">
        <v>519</v>
      </c>
      <c r="C319" s="34">
        <v>4301051795</v>
      </c>
      <c r="D319" s="598">
        <v>4680115881228</v>
      </c>
      <c r="E319" s="599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1"/>
      <c r="R319" s="601"/>
      <c r="S319" s="601"/>
      <c r="T319" s="602"/>
      <c r="U319" s="37"/>
      <c r="V319" s="37"/>
      <c r="W319" s="38" t="s">
        <v>67</v>
      </c>
      <c r="X319" s="56">
        <v>23</v>
      </c>
      <c r="Y319" s="53">
        <f>IFERROR(IF(X319="",0,CEILING((X319/$H319),1)*$H319),"")</f>
        <v>24</v>
      </c>
      <c r="Z319" s="39">
        <f>IFERROR(IF(Y319=0,"",ROUNDUP(Y319/H319,0)*0.00651),"")</f>
        <v>6.5100000000000005E-2</v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25.415000000000003</v>
      </c>
      <c r="BN319" s="75">
        <f>IFERROR(Y319*I319/H319,"0")</f>
        <v>26.520000000000003</v>
      </c>
      <c r="BO319" s="75">
        <f>IFERROR(1/J319*(X319/H319),"0")</f>
        <v>5.2655677655677663E-2</v>
      </c>
      <c r="BP319" s="75">
        <f>IFERROR(1/J319*(Y319/H319),"0")</f>
        <v>5.4945054945054951E-2</v>
      </c>
    </row>
    <row r="320" spans="1:68" ht="27" customHeight="1" x14ac:dyDescent="0.25">
      <c r="A320" s="60" t="s">
        <v>521</v>
      </c>
      <c r="B320" s="60" t="s">
        <v>522</v>
      </c>
      <c r="C320" s="34">
        <v>4301051388</v>
      </c>
      <c r="D320" s="598">
        <v>4680115881211</v>
      </c>
      <c r="E320" s="599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1"/>
      <c r="R320" s="601"/>
      <c r="S320" s="601"/>
      <c r="T320" s="602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4"/>
      <c r="B321" s="605"/>
      <c r="C321" s="605"/>
      <c r="D321" s="605"/>
      <c r="E321" s="605"/>
      <c r="F321" s="605"/>
      <c r="G321" s="605"/>
      <c r="H321" s="605"/>
      <c r="I321" s="605"/>
      <c r="J321" s="605"/>
      <c r="K321" s="605"/>
      <c r="L321" s="605"/>
      <c r="M321" s="605"/>
      <c r="N321" s="605"/>
      <c r="O321" s="606"/>
      <c r="P321" s="595" t="s">
        <v>72</v>
      </c>
      <c r="Q321" s="596"/>
      <c r="R321" s="596"/>
      <c r="S321" s="596"/>
      <c r="T321" s="596"/>
      <c r="U321" s="596"/>
      <c r="V321" s="597"/>
      <c r="W321" s="40" t="s">
        <v>73</v>
      </c>
      <c r="X321" s="41">
        <f>IFERROR(X318/H318,"0")+IFERROR(X319/H319,"0")+IFERROR(X320/H320,"0")</f>
        <v>9.5833333333333339</v>
      </c>
      <c r="Y321" s="41">
        <f>IFERROR(Y318/H318,"0")+IFERROR(Y319/H319,"0")+IFERROR(Y320/H320,"0")</f>
        <v>10</v>
      </c>
      <c r="Z321" s="41">
        <f>IFERROR(IF(Z318="",0,Z318),"0")+IFERROR(IF(Z319="",0,Z319),"0")+IFERROR(IF(Z320="",0,Z320),"0")</f>
        <v>6.5100000000000005E-2</v>
      </c>
      <c r="AA321" s="64"/>
      <c r="AB321" s="64"/>
      <c r="AC321" s="64"/>
    </row>
    <row r="322" spans="1:68" x14ac:dyDescent="0.2">
      <c r="A322" s="605"/>
      <c r="B322" s="605"/>
      <c r="C322" s="605"/>
      <c r="D322" s="605"/>
      <c r="E322" s="605"/>
      <c r="F322" s="605"/>
      <c r="G322" s="605"/>
      <c r="H322" s="605"/>
      <c r="I322" s="605"/>
      <c r="J322" s="605"/>
      <c r="K322" s="605"/>
      <c r="L322" s="605"/>
      <c r="M322" s="605"/>
      <c r="N322" s="605"/>
      <c r="O322" s="606"/>
      <c r="P322" s="595" t="s">
        <v>72</v>
      </c>
      <c r="Q322" s="596"/>
      <c r="R322" s="596"/>
      <c r="S322" s="596"/>
      <c r="T322" s="596"/>
      <c r="U322" s="596"/>
      <c r="V322" s="597"/>
      <c r="W322" s="40" t="s">
        <v>67</v>
      </c>
      <c r="X322" s="41">
        <f>IFERROR(SUM(X318:X320),"0")</f>
        <v>23</v>
      </c>
      <c r="Y322" s="41">
        <f>IFERROR(SUM(Y318:Y320),"0")</f>
        <v>24</v>
      </c>
      <c r="Z322" s="40"/>
      <c r="AA322" s="64"/>
      <c r="AB322" s="64"/>
      <c r="AC322" s="64"/>
    </row>
    <row r="323" spans="1:68" ht="16.5" customHeight="1" x14ac:dyDescent="0.25">
      <c r="A323" s="610" t="s">
        <v>523</v>
      </c>
      <c r="B323" s="605"/>
      <c r="C323" s="605"/>
      <c r="D323" s="605"/>
      <c r="E323" s="605"/>
      <c r="F323" s="605"/>
      <c r="G323" s="605"/>
      <c r="H323" s="605"/>
      <c r="I323" s="605"/>
      <c r="J323" s="605"/>
      <c r="K323" s="605"/>
      <c r="L323" s="605"/>
      <c r="M323" s="605"/>
      <c r="N323" s="605"/>
      <c r="O323" s="605"/>
      <c r="P323" s="605"/>
      <c r="Q323" s="605"/>
      <c r="R323" s="605"/>
      <c r="S323" s="605"/>
      <c r="T323" s="605"/>
      <c r="U323" s="605"/>
      <c r="V323" s="605"/>
      <c r="W323" s="605"/>
      <c r="X323" s="605"/>
      <c r="Y323" s="605"/>
      <c r="Z323" s="605"/>
      <c r="AA323" s="62"/>
      <c r="AB323" s="62"/>
      <c r="AC323" s="62"/>
    </row>
    <row r="324" spans="1:68" ht="14.25" customHeight="1" x14ac:dyDescent="0.25">
      <c r="A324" s="609" t="s">
        <v>62</v>
      </c>
      <c r="B324" s="605"/>
      <c r="C324" s="605"/>
      <c r="D324" s="605"/>
      <c r="E324" s="605"/>
      <c r="F324" s="605"/>
      <c r="G324" s="605"/>
      <c r="H324" s="605"/>
      <c r="I324" s="605"/>
      <c r="J324" s="605"/>
      <c r="K324" s="605"/>
      <c r="L324" s="605"/>
      <c r="M324" s="605"/>
      <c r="N324" s="605"/>
      <c r="O324" s="605"/>
      <c r="P324" s="605"/>
      <c r="Q324" s="605"/>
      <c r="R324" s="605"/>
      <c r="S324" s="605"/>
      <c r="T324" s="605"/>
      <c r="U324" s="605"/>
      <c r="V324" s="605"/>
      <c r="W324" s="605"/>
      <c r="X324" s="605"/>
      <c r="Y324" s="605"/>
      <c r="Z324" s="605"/>
      <c r="AA324" s="63"/>
      <c r="AB324" s="63"/>
      <c r="AC324" s="63"/>
    </row>
    <row r="325" spans="1:68" ht="27" customHeight="1" x14ac:dyDescent="0.25">
      <c r="A325" s="60" t="s">
        <v>524</v>
      </c>
      <c r="B325" s="60" t="s">
        <v>525</v>
      </c>
      <c r="C325" s="34">
        <v>4301031445</v>
      </c>
      <c r="D325" s="598">
        <v>4680115888319</v>
      </c>
      <c r="E325" s="599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1"/>
      <c r="R325" s="601"/>
      <c r="S325" s="601"/>
      <c r="T325" s="602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526</v>
      </c>
      <c r="B326" s="60" t="s">
        <v>527</v>
      </c>
      <c r="C326" s="34">
        <v>4301031502</v>
      </c>
      <c r="D326" s="598">
        <v>4680115884700</v>
      </c>
      <c r="E326" s="599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1"/>
      <c r="R326" s="601"/>
      <c r="S326" s="601"/>
      <c r="T326" s="602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529</v>
      </c>
      <c r="B327" s="60" t="s">
        <v>530</v>
      </c>
      <c r="C327" s="34">
        <v>4301031307</v>
      </c>
      <c r="D327" s="598">
        <v>4680115880344</v>
      </c>
      <c r="E327" s="599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1"/>
      <c r="R327" s="601"/>
      <c r="S327" s="601"/>
      <c r="T327" s="602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532</v>
      </c>
      <c r="B328" s="60" t="s">
        <v>533</v>
      </c>
      <c r="C328" s="34">
        <v>4301031501</v>
      </c>
      <c r="D328" s="598">
        <v>4680115886919</v>
      </c>
      <c r="E328" s="599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1"/>
      <c r="R328" s="601"/>
      <c r="S328" s="601"/>
      <c r="T328" s="602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535</v>
      </c>
      <c r="B329" s="60" t="s">
        <v>536</v>
      </c>
      <c r="C329" s="34">
        <v>4301031246</v>
      </c>
      <c r="D329" s="598">
        <v>4680115883970</v>
      </c>
      <c r="E329" s="599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1"/>
      <c r="R329" s="601"/>
      <c r="S329" s="601"/>
      <c r="T329" s="602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04"/>
      <c r="B330" s="605"/>
      <c r="C330" s="605"/>
      <c r="D330" s="605"/>
      <c r="E330" s="605"/>
      <c r="F330" s="605"/>
      <c r="G330" s="605"/>
      <c r="H330" s="605"/>
      <c r="I330" s="605"/>
      <c r="J330" s="605"/>
      <c r="K330" s="605"/>
      <c r="L330" s="605"/>
      <c r="M330" s="605"/>
      <c r="N330" s="605"/>
      <c r="O330" s="606"/>
      <c r="P330" s="595" t="s">
        <v>72</v>
      </c>
      <c r="Q330" s="596"/>
      <c r="R330" s="596"/>
      <c r="S330" s="596"/>
      <c r="T330" s="596"/>
      <c r="U330" s="596"/>
      <c r="V330" s="597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5"/>
      <c r="B331" s="605"/>
      <c r="C331" s="605"/>
      <c r="D331" s="605"/>
      <c r="E331" s="605"/>
      <c r="F331" s="605"/>
      <c r="G331" s="605"/>
      <c r="H331" s="605"/>
      <c r="I331" s="605"/>
      <c r="J331" s="605"/>
      <c r="K331" s="605"/>
      <c r="L331" s="605"/>
      <c r="M331" s="605"/>
      <c r="N331" s="605"/>
      <c r="O331" s="606"/>
      <c r="P331" s="595" t="s">
        <v>72</v>
      </c>
      <c r="Q331" s="596"/>
      <c r="R331" s="596"/>
      <c r="S331" s="596"/>
      <c r="T331" s="596"/>
      <c r="U331" s="596"/>
      <c r="V331" s="597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09" t="s">
        <v>74</v>
      </c>
      <c r="B332" s="605"/>
      <c r="C332" s="605"/>
      <c r="D332" s="605"/>
      <c r="E332" s="605"/>
      <c r="F332" s="605"/>
      <c r="G332" s="605"/>
      <c r="H332" s="605"/>
      <c r="I332" s="605"/>
      <c r="J332" s="605"/>
      <c r="K332" s="605"/>
      <c r="L332" s="605"/>
      <c r="M332" s="605"/>
      <c r="N332" s="605"/>
      <c r="O332" s="605"/>
      <c r="P332" s="605"/>
      <c r="Q332" s="605"/>
      <c r="R332" s="605"/>
      <c r="S332" s="605"/>
      <c r="T332" s="605"/>
      <c r="U332" s="605"/>
      <c r="V332" s="605"/>
      <c r="W332" s="605"/>
      <c r="X332" s="605"/>
      <c r="Y332" s="605"/>
      <c r="Z332" s="605"/>
      <c r="AA332" s="63"/>
      <c r="AB332" s="63"/>
      <c r="AC332" s="63"/>
    </row>
    <row r="333" spans="1:68" ht="37.5" customHeight="1" x14ac:dyDescent="0.25">
      <c r="A333" s="60" t="s">
        <v>538</v>
      </c>
      <c r="B333" s="60" t="s">
        <v>539</v>
      </c>
      <c r="C333" s="34">
        <v>4301051782</v>
      </c>
      <c r="D333" s="598">
        <v>4680115884618</v>
      </c>
      <c r="E333" s="599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1"/>
      <c r="R333" s="601"/>
      <c r="S333" s="601"/>
      <c r="T333" s="602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541</v>
      </c>
      <c r="B334" s="60" t="s">
        <v>542</v>
      </c>
      <c r="C334" s="34">
        <v>4301052057</v>
      </c>
      <c r="D334" s="598">
        <v>4680115887114</v>
      </c>
      <c r="E334" s="599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1"/>
      <c r="R334" s="601"/>
      <c r="S334" s="601"/>
      <c r="T334" s="602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04"/>
      <c r="B335" s="605"/>
      <c r="C335" s="605"/>
      <c r="D335" s="605"/>
      <c r="E335" s="605"/>
      <c r="F335" s="605"/>
      <c r="G335" s="605"/>
      <c r="H335" s="605"/>
      <c r="I335" s="605"/>
      <c r="J335" s="605"/>
      <c r="K335" s="605"/>
      <c r="L335" s="605"/>
      <c r="M335" s="605"/>
      <c r="N335" s="605"/>
      <c r="O335" s="606"/>
      <c r="P335" s="595" t="s">
        <v>72</v>
      </c>
      <c r="Q335" s="596"/>
      <c r="R335" s="596"/>
      <c r="S335" s="596"/>
      <c r="T335" s="596"/>
      <c r="U335" s="596"/>
      <c r="V335" s="597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5"/>
      <c r="B336" s="605"/>
      <c r="C336" s="605"/>
      <c r="D336" s="605"/>
      <c r="E336" s="605"/>
      <c r="F336" s="605"/>
      <c r="G336" s="605"/>
      <c r="H336" s="605"/>
      <c r="I336" s="605"/>
      <c r="J336" s="605"/>
      <c r="K336" s="605"/>
      <c r="L336" s="605"/>
      <c r="M336" s="605"/>
      <c r="N336" s="605"/>
      <c r="O336" s="606"/>
      <c r="P336" s="595" t="s">
        <v>72</v>
      </c>
      <c r="Q336" s="596"/>
      <c r="R336" s="596"/>
      <c r="S336" s="596"/>
      <c r="T336" s="596"/>
      <c r="U336" s="596"/>
      <c r="V336" s="597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0" t="s">
        <v>544</v>
      </c>
      <c r="B337" s="605"/>
      <c r="C337" s="605"/>
      <c r="D337" s="605"/>
      <c r="E337" s="605"/>
      <c r="F337" s="605"/>
      <c r="G337" s="605"/>
      <c r="H337" s="605"/>
      <c r="I337" s="605"/>
      <c r="J337" s="605"/>
      <c r="K337" s="605"/>
      <c r="L337" s="605"/>
      <c r="M337" s="605"/>
      <c r="N337" s="605"/>
      <c r="O337" s="605"/>
      <c r="P337" s="605"/>
      <c r="Q337" s="605"/>
      <c r="R337" s="605"/>
      <c r="S337" s="605"/>
      <c r="T337" s="605"/>
      <c r="U337" s="605"/>
      <c r="V337" s="605"/>
      <c r="W337" s="605"/>
      <c r="X337" s="605"/>
      <c r="Y337" s="605"/>
      <c r="Z337" s="605"/>
      <c r="AA337" s="62"/>
      <c r="AB337" s="62"/>
      <c r="AC337" s="62"/>
    </row>
    <row r="338" spans="1:68" ht="14.25" customHeight="1" x14ac:dyDescent="0.25">
      <c r="A338" s="609" t="s">
        <v>117</v>
      </c>
      <c r="B338" s="605"/>
      <c r="C338" s="605"/>
      <c r="D338" s="605"/>
      <c r="E338" s="605"/>
      <c r="F338" s="605"/>
      <c r="G338" s="605"/>
      <c r="H338" s="605"/>
      <c r="I338" s="605"/>
      <c r="J338" s="605"/>
      <c r="K338" s="605"/>
      <c r="L338" s="605"/>
      <c r="M338" s="605"/>
      <c r="N338" s="605"/>
      <c r="O338" s="605"/>
      <c r="P338" s="605"/>
      <c r="Q338" s="605"/>
      <c r="R338" s="605"/>
      <c r="S338" s="605"/>
      <c r="T338" s="605"/>
      <c r="U338" s="605"/>
      <c r="V338" s="605"/>
      <c r="W338" s="605"/>
      <c r="X338" s="605"/>
      <c r="Y338" s="605"/>
      <c r="Z338" s="605"/>
      <c r="AA338" s="63"/>
      <c r="AB338" s="63"/>
      <c r="AC338" s="63"/>
    </row>
    <row r="339" spans="1:68" ht="27" customHeight="1" x14ac:dyDescent="0.25">
      <c r="A339" s="60" t="s">
        <v>545</v>
      </c>
      <c r="B339" s="60" t="s">
        <v>546</v>
      </c>
      <c r="C339" s="34">
        <v>4301012324</v>
      </c>
      <c r="D339" s="598">
        <v>4680115887947</v>
      </c>
      <c r="E339" s="599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1"/>
      <c r="R339" s="601"/>
      <c r="S339" s="601"/>
      <c r="T339" s="602"/>
      <c r="U339" s="37"/>
      <c r="V339" s="37"/>
      <c r="W339" s="38" t="s">
        <v>67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548</v>
      </c>
      <c r="B340" s="60" t="s">
        <v>549</v>
      </c>
      <c r="C340" s="34">
        <v>4301012325</v>
      </c>
      <c r="D340" s="598">
        <v>4680115887978</v>
      </c>
      <c r="E340" s="599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1"/>
      <c r="R340" s="601"/>
      <c r="S340" s="601"/>
      <c r="T340" s="602"/>
      <c r="U340" s="37"/>
      <c r="V340" s="37"/>
      <c r="W340" s="38" t="s">
        <v>67</v>
      </c>
      <c r="X340" s="56">
        <v>150</v>
      </c>
      <c r="Y340" s="53">
        <f>IFERROR(IF(X340="",0,CEILING((X340/$H340),1)*$H340),"")</f>
        <v>156</v>
      </c>
      <c r="Z340" s="39">
        <f>IFERROR(IF(Y340=0,"",ROUNDUP(Y340/H340,0)*0.01898),"")</f>
        <v>0.37959999999999999</v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157.88461538461542</v>
      </c>
      <c r="BN340" s="75">
        <f>IFERROR(Y340*I340/H340,"0")</f>
        <v>164.20000000000005</v>
      </c>
      <c r="BO340" s="75">
        <f>IFERROR(1/J340*(X340/H340),"0")</f>
        <v>0.30048076923076922</v>
      </c>
      <c r="BP340" s="75">
        <f>IFERROR(1/J340*(Y340/H340),"0")</f>
        <v>0.3125</v>
      </c>
    </row>
    <row r="341" spans="1:68" ht="27" customHeight="1" x14ac:dyDescent="0.25">
      <c r="A341" s="60" t="s">
        <v>551</v>
      </c>
      <c r="B341" s="60" t="s">
        <v>552</v>
      </c>
      <c r="C341" s="34">
        <v>4301012327</v>
      </c>
      <c r="D341" s="598">
        <v>4680115887992</v>
      </c>
      <c r="E341" s="599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6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1"/>
      <c r="R341" s="601"/>
      <c r="S341" s="601"/>
      <c r="T341" s="602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4"/>
      <c r="B342" s="605"/>
      <c r="C342" s="605"/>
      <c r="D342" s="605"/>
      <c r="E342" s="605"/>
      <c r="F342" s="605"/>
      <c r="G342" s="605"/>
      <c r="H342" s="605"/>
      <c r="I342" s="605"/>
      <c r="J342" s="605"/>
      <c r="K342" s="605"/>
      <c r="L342" s="605"/>
      <c r="M342" s="605"/>
      <c r="N342" s="605"/>
      <c r="O342" s="606"/>
      <c r="P342" s="595" t="s">
        <v>72</v>
      </c>
      <c r="Q342" s="596"/>
      <c r="R342" s="596"/>
      <c r="S342" s="596"/>
      <c r="T342" s="596"/>
      <c r="U342" s="596"/>
      <c r="V342" s="597"/>
      <c r="W342" s="40" t="s">
        <v>73</v>
      </c>
      <c r="X342" s="41">
        <f>IFERROR(X339/H339,"0")+IFERROR(X340/H340,"0")+IFERROR(X341/H341,"0")</f>
        <v>19.23076923076923</v>
      </c>
      <c r="Y342" s="41">
        <f>IFERROR(Y339/H339,"0")+IFERROR(Y340/H340,"0")+IFERROR(Y341/H341,"0")</f>
        <v>20</v>
      </c>
      <c r="Z342" s="41">
        <f>IFERROR(IF(Z339="",0,Z339),"0")+IFERROR(IF(Z340="",0,Z340),"0")+IFERROR(IF(Z341="",0,Z341),"0")</f>
        <v>0.37959999999999999</v>
      </c>
      <c r="AA342" s="64"/>
      <c r="AB342" s="64"/>
      <c r="AC342" s="64"/>
    </row>
    <row r="343" spans="1:68" x14ac:dyDescent="0.2">
      <c r="A343" s="605"/>
      <c r="B343" s="605"/>
      <c r="C343" s="605"/>
      <c r="D343" s="605"/>
      <c r="E343" s="605"/>
      <c r="F343" s="605"/>
      <c r="G343" s="605"/>
      <c r="H343" s="605"/>
      <c r="I343" s="605"/>
      <c r="J343" s="605"/>
      <c r="K343" s="605"/>
      <c r="L343" s="605"/>
      <c r="M343" s="605"/>
      <c r="N343" s="605"/>
      <c r="O343" s="606"/>
      <c r="P343" s="595" t="s">
        <v>72</v>
      </c>
      <c r="Q343" s="596"/>
      <c r="R343" s="596"/>
      <c r="S343" s="596"/>
      <c r="T343" s="596"/>
      <c r="U343" s="596"/>
      <c r="V343" s="597"/>
      <c r="W343" s="40" t="s">
        <v>67</v>
      </c>
      <c r="X343" s="41">
        <f>IFERROR(SUM(X339:X341),"0")</f>
        <v>150</v>
      </c>
      <c r="Y343" s="41">
        <f>IFERROR(SUM(Y339:Y341),"0")</f>
        <v>156</v>
      </c>
      <c r="Z343" s="40"/>
      <c r="AA343" s="64"/>
      <c r="AB343" s="64"/>
      <c r="AC343" s="64"/>
    </row>
    <row r="344" spans="1:68" ht="16.5" customHeight="1" x14ac:dyDescent="0.25">
      <c r="A344" s="610" t="s">
        <v>554</v>
      </c>
      <c r="B344" s="605"/>
      <c r="C344" s="605"/>
      <c r="D344" s="605"/>
      <c r="E344" s="605"/>
      <c r="F344" s="605"/>
      <c r="G344" s="605"/>
      <c r="H344" s="605"/>
      <c r="I344" s="605"/>
      <c r="J344" s="605"/>
      <c r="K344" s="605"/>
      <c r="L344" s="605"/>
      <c r="M344" s="605"/>
      <c r="N344" s="605"/>
      <c r="O344" s="605"/>
      <c r="P344" s="605"/>
      <c r="Q344" s="605"/>
      <c r="R344" s="605"/>
      <c r="S344" s="605"/>
      <c r="T344" s="605"/>
      <c r="U344" s="605"/>
      <c r="V344" s="605"/>
      <c r="W344" s="605"/>
      <c r="X344" s="605"/>
      <c r="Y344" s="605"/>
      <c r="Z344" s="605"/>
      <c r="AA344" s="62"/>
      <c r="AB344" s="62"/>
      <c r="AC344" s="62"/>
    </row>
    <row r="345" spans="1:68" ht="14.25" customHeight="1" x14ac:dyDescent="0.25">
      <c r="A345" s="609" t="s">
        <v>117</v>
      </c>
      <c r="B345" s="605"/>
      <c r="C345" s="605"/>
      <c r="D345" s="605"/>
      <c r="E345" s="605"/>
      <c r="F345" s="605"/>
      <c r="G345" s="605"/>
      <c r="H345" s="605"/>
      <c r="I345" s="605"/>
      <c r="J345" s="605"/>
      <c r="K345" s="605"/>
      <c r="L345" s="605"/>
      <c r="M345" s="605"/>
      <c r="N345" s="605"/>
      <c r="O345" s="605"/>
      <c r="P345" s="605"/>
      <c r="Q345" s="605"/>
      <c r="R345" s="605"/>
      <c r="S345" s="605"/>
      <c r="T345" s="605"/>
      <c r="U345" s="605"/>
      <c r="V345" s="605"/>
      <c r="W345" s="605"/>
      <c r="X345" s="605"/>
      <c r="Y345" s="605"/>
      <c r="Z345" s="605"/>
      <c r="AA345" s="63"/>
      <c r="AB345" s="63"/>
      <c r="AC345" s="63"/>
    </row>
    <row r="346" spans="1:68" ht="27" customHeight="1" x14ac:dyDescent="0.25">
      <c r="A346" s="60" t="s">
        <v>555</v>
      </c>
      <c r="B346" s="60" t="s">
        <v>556</v>
      </c>
      <c r="C346" s="34">
        <v>4301012235</v>
      </c>
      <c r="D346" s="598">
        <v>4680115887190</v>
      </c>
      <c r="E346" s="599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1"/>
      <c r="R346" s="601"/>
      <c r="S346" s="601"/>
      <c r="T346" s="602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customHeight="1" x14ac:dyDescent="0.25">
      <c r="A347" s="60" t="s">
        <v>558</v>
      </c>
      <c r="B347" s="60" t="s">
        <v>559</v>
      </c>
      <c r="C347" s="34">
        <v>4301012233</v>
      </c>
      <c r="D347" s="598">
        <v>4680115887138</v>
      </c>
      <c r="E347" s="599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1"/>
      <c r="R347" s="601"/>
      <c r="S347" s="601"/>
      <c r="T347" s="602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561</v>
      </c>
      <c r="B348" s="60" t="s">
        <v>562</v>
      </c>
      <c r="C348" s="34">
        <v>4301012016</v>
      </c>
      <c r="D348" s="598">
        <v>4680115885554</v>
      </c>
      <c r="E348" s="599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1"/>
      <c r="R348" s="601"/>
      <c r="S348" s="601"/>
      <c r="T348" s="602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564</v>
      </c>
      <c r="B349" s="60" t="s">
        <v>565</v>
      </c>
      <c r="C349" s="34">
        <v>4301012236</v>
      </c>
      <c r="D349" s="598">
        <v>4680115887220</v>
      </c>
      <c r="E349" s="599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1"/>
      <c r="R349" s="601"/>
      <c r="S349" s="601"/>
      <c r="T349" s="602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566</v>
      </c>
      <c r="B350" s="60" t="s">
        <v>567</v>
      </c>
      <c r="C350" s="34">
        <v>4301011859</v>
      </c>
      <c r="D350" s="598">
        <v>4680115885608</v>
      </c>
      <c r="E350" s="599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1"/>
      <c r="R350" s="601"/>
      <c r="S350" s="601"/>
      <c r="T350" s="602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x14ac:dyDescent="0.2">
      <c r="A351" s="604"/>
      <c r="B351" s="605"/>
      <c r="C351" s="605"/>
      <c r="D351" s="605"/>
      <c r="E351" s="605"/>
      <c r="F351" s="605"/>
      <c r="G351" s="605"/>
      <c r="H351" s="605"/>
      <c r="I351" s="605"/>
      <c r="J351" s="605"/>
      <c r="K351" s="605"/>
      <c r="L351" s="605"/>
      <c r="M351" s="605"/>
      <c r="N351" s="605"/>
      <c r="O351" s="606"/>
      <c r="P351" s="595" t="s">
        <v>72</v>
      </c>
      <c r="Q351" s="596"/>
      <c r="R351" s="596"/>
      <c r="S351" s="596"/>
      <c r="T351" s="596"/>
      <c r="U351" s="596"/>
      <c r="V351" s="597"/>
      <c r="W351" s="40" t="s">
        <v>73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05"/>
      <c r="B352" s="605"/>
      <c r="C352" s="605"/>
      <c r="D352" s="605"/>
      <c r="E352" s="605"/>
      <c r="F352" s="605"/>
      <c r="G352" s="605"/>
      <c r="H352" s="605"/>
      <c r="I352" s="605"/>
      <c r="J352" s="605"/>
      <c r="K352" s="605"/>
      <c r="L352" s="605"/>
      <c r="M352" s="605"/>
      <c r="N352" s="605"/>
      <c r="O352" s="606"/>
      <c r="P352" s="595" t="s">
        <v>72</v>
      </c>
      <c r="Q352" s="596"/>
      <c r="R352" s="596"/>
      <c r="S352" s="596"/>
      <c r="T352" s="596"/>
      <c r="U352" s="596"/>
      <c r="V352" s="597"/>
      <c r="W352" s="40" t="s">
        <v>67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customHeight="1" x14ac:dyDescent="0.25">
      <c r="A353" s="609" t="s">
        <v>62</v>
      </c>
      <c r="B353" s="605"/>
      <c r="C353" s="605"/>
      <c r="D353" s="605"/>
      <c r="E353" s="605"/>
      <c r="F353" s="605"/>
      <c r="G353" s="605"/>
      <c r="H353" s="605"/>
      <c r="I353" s="605"/>
      <c r="J353" s="605"/>
      <c r="K353" s="605"/>
      <c r="L353" s="605"/>
      <c r="M353" s="605"/>
      <c r="N353" s="605"/>
      <c r="O353" s="605"/>
      <c r="P353" s="605"/>
      <c r="Q353" s="605"/>
      <c r="R353" s="605"/>
      <c r="S353" s="605"/>
      <c r="T353" s="605"/>
      <c r="U353" s="605"/>
      <c r="V353" s="605"/>
      <c r="W353" s="605"/>
      <c r="X353" s="605"/>
      <c r="Y353" s="605"/>
      <c r="Z353" s="605"/>
      <c r="AA353" s="63"/>
      <c r="AB353" s="63"/>
      <c r="AC353" s="63"/>
    </row>
    <row r="354" spans="1:68" ht="27" customHeight="1" x14ac:dyDescent="0.25">
      <c r="A354" s="60" t="s">
        <v>569</v>
      </c>
      <c r="B354" s="60" t="s">
        <v>570</v>
      </c>
      <c r="C354" s="34">
        <v>4301030878</v>
      </c>
      <c r="D354" s="598">
        <v>4607091387193</v>
      </c>
      <c r="E354" s="599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1"/>
      <c r="R354" s="601"/>
      <c r="S354" s="601"/>
      <c r="T354" s="602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customHeight="1" x14ac:dyDescent="0.25">
      <c r="A355" s="60" t="s">
        <v>572</v>
      </c>
      <c r="B355" s="60" t="s">
        <v>573</v>
      </c>
      <c r="C355" s="34">
        <v>4301031153</v>
      </c>
      <c r="D355" s="598">
        <v>4607091387230</v>
      </c>
      <c r="E355" s="599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1"/>
      <c r="R355" s="601"/>
      <c r="S355" s="601"/>
      <c r="T355" s="602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customHeight="1" x14ac:dyDescent="0.25">
      <c r="A356" s="60" t="s">
        <v>575</v>
      </c>
      <c r="B356" s="60" t="s">
        <v>576</v>
      </c>
      <c r="C356" s="34">
        <v>4301031154</v>
      </c>
      <c r="D356" s="598">
        <v>4607091387292</v>
      </c>
      <c r="E356" s="599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1"/>
      <c r="R356" s="601"/>
      <c r="S356" s="601"/>
      <c r="T356" s="602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customHeight="1" x14ac:dyDescent="0.25">
      <c r="A357" s="60" t="s">
        <v>578</v>
      </c>
      <c r="B357" s="60" t="s">
        <v>579</v>
      </c>
      <c r="C357" s="34">
        <v>4301031152</v>
      </c>
      <c r="D357" s="598">
        <v>4607091387285</v>
      </c>
      <c r="E357" s="599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1"/>
      <c r="R357" s="601"/>
      <c r="S357" s="601"/>
      <c r="T357" s="602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customHeight="1" x14ac:dyDescent="0.25">
      <c r="A358" s="60" t="s">
        <v>580</v>
      </c>
      <c r="B358" s="60" t="s">
        <v>581</v>
      </c>
      <c r="C358" s="34">
        <v>4301031305</v>
      </c>
      <c r="D358" s="598">
        <v>4607091389845</v>
      </c>
      <c r="E358" s="599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1"/>
      <c r="R358" s="601"/>
      <c r="S358" s="601"/>
      <c r="T358" s="602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customHeight="1" x14ac:dyDescent="0.25">
      <c r="A359" s="60" t="s">
        <v>583</v>
      </c>
      <c r="B359" s="60" t="s">
        <v>584</v>
      </c>
      <c r="C359" s="34">
        <v>4301031460</v>
      </c>
      <c r="D359" s="598">
        <v>4680115887442</v>
      </c>
      <c r="E359" s="599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1"/>
      <c r="R359" s="601"/>
      <c r="S359" s="601"/>
      <c r="T359" s="602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customHeight="1" x14ac:dyDescent="0.25">
      <c r="A360" s="60" t="s">
        <v>585</v>
      </c>
      <c r="B360" s="60" t="s">
        <v>586</v>
      </c>
      <c r="C360" s="34">
        <v>4301031066</v>
      </c>
      <c r="D360" s="598">
        <v>4607091383836</v>
      </c>
      <c r="E360" s="599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9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1"/>
      <c r="R360" s="601"/>
      <c r="S360" s="601"/>
      <c r="T360" s="602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x14ac:dyDescent="0.2">
      <c r="A361" s="604"/>
      <c r="B361" s="605"/>
      <c r="C361" s="605"/>
      <c r="D361" s="605"/>
      <c r="E361" s="605"/>
      <c r="F361" s="605"/>
      <c r="G361" s="605"/>
      <c r="H361" s="605"/>
      <c r="I361" s="605"/>
      <c r="J361" s="605"/>
      <c r="K361" s="605"/>
      <c r="L361" s="605"/>
      <c r="M361" s="605"/>
      <c r="N361" s="605"/>
      <c r="O361" s="606"/>
      <c r="P361" s="595" t="s">
        <v>72</v>
      </c>
      <c r="Q361" s="596"/>
      <c r="R361" s="596"/>
      <c r="S361" s="596"/>
      <c r="T361" s="596"/>
      <c r="U361" s="596"/>
      <c r="V361" s="597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05"/>
      <c r="B362" s="605"/>
      <c r="C362" s="605"/>
      <c r="D362" s="605"/>
      <c r="E362" s="605"/>
      <c r="F362" s="605"/>
      <c r="G362" s="605"/>
      <c r="H362" s="605"/>
      <c r="I362" s="605"/>
      <c r="J362" s="605"/>
      <c r="K362" s="605"/>
      <c r="L362" s="605"/>
      <c r="M362" s="605"/>
      <c r="N362" s="605"/>
      <c r="O362" s="606"/>
      <c r="P362" s="595" t="s">
        <v>72</v>
      </c>
      <c r="Q362" s="596"/>
      <c r="R362" s="596"/>
      <c r="S362" s="596"/>
      <c r="T362" s="596"/>
      <c r="U362" s="596"/>
      <c r="V362" s="597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customHeight="1" x14ac:dyDescent="0.25">
      <c r="A363" s="609" t="s">
        <v>74</v>
      </c>
      <c r="B363" s="605"/>
      <c r="C363" s="605"/>
      <c r="D363" s="605"/>
      <c r="E363" s="605"/>
      <c r="F363" s="605"/>
      <c r="G363" s="605"/>
      <c r="H363" s="605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  <c r="T363" s="605"/>
      <c r="U363" s="605"/>
      <c r="V363" s="605"/>
      <c r="W363" s="605"/>
      <c r="X363" s="605"/>
      <c r="Y363" s="605"/>
      <c r="Z363" s="605"/>
      <c r="AA363" s="63"/>
      <c r="AB363" s="63"/>
      <c r="AC363" s="63"/>
    </row>
    <row r="364" spans="1:68" ht="27" customHeight="1" x14ac:dyDescent="0.25">
      <c r="A364" s="60" t="s">
        <v>588</v>
      </c>
      <c r="B364" s="60" t="s">
        <v>589</v>
      </c>
      <c r="C364" s="34">
        <v>4301051100</v>
      </c>
      <c r="D364" s="598">
        <v>4607091387766</v>
      </c>
      <c r="E364" s="599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1"/>
      <c r="R364" s="601"/>
      <c r="S364" s="601"/>
      <c r="T364" s="602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591</v>
      </c>
      <c r="B365" s="60" t="s">
        <v>592</v>
      </c>
      <c r="C365" s="34">
        <v>4301051818</v>
      </c>
      <c r="D365" s="598">
        <v>4607091387957</v>
      </c>
      <c r="E365" s="599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1"/>
      <c r="R365" s="601"/>
      <c r="S365" s="601"/>
      <c r="T365" s="602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594</v>
      </c>
      <c r="B366" s="60" t="s">
        <v>595</v>
      </c>
      <c r="C366" s="34">
        <v>4301051819</v>
      </c>
      <c r="D366" s="598">
        <v>4607091387964</v>
      </c>
      <c r="E366" s="599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1"/>
      <c r="R366" s="601"/>
      <c r="S366" s="601"/>
      <c r="T366" s="602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597</v>
      </c>
      <c r="B367" s="60" t="s">
        <v>598</v>
      </c>
      <c r="C367" s="34">
        <v>4301051734</v>
      </c>
      <c r="D367" s="598">
        <v>4680115884588</v>
      </c>
      <c r="E367" s="599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1"/>
      <c r="R367" s="601"/>
      <c r="S367" s="601"/>
      <c r="T367" s="602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4"/>
      <c r="B368" s="605"/>
      <c r="C368" s="605"/>
      <c r="D368" s="605"/>
      <c r="E368" s="605"/>
      <c r="F368" s="605"/>
      <c r="G368" s="605"/>
      <c r="H368" s="605"/>
      <c r="I368" s="605"/>
      <c r="J368" s="605"/>
      <c r="K368" s="605"/>
      <c r="L368" s="605"/>
      <c r="M368" s="605"/>
      <c r="N368" s="605"/>
      <c r="O368" s="606"/>
      <c r="P368" s="595" t="s">
        <v>72</v>
      </c>
      <c r="Q368" s="596"/>
      <c r="R368" s="596"/>
      <c r="S368" s="596"/>
      <c r="T368" s="596"/>
      <c r="U368" s="596"/>
      <c r="V368" s="597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05"/>
      <c r="B369" s="605"/>
      <c r="C369" s="605"/>
      <c r="D369" s="605"/>
      <c r="E369" s="605"/>
      <c r="F369" s="605"/>
      <c r="G369" s="605"/>
      <c r="H369" s="605"/>
      <c r="I369" s="605"/>
      <c r="J369" s="605"/>
      <c r="K369" s="605"/>
      <c r="L369" s="605"/>
      <c r="M369" s="605"/>
      <c r="N369" s="605"/>
      <c r="O369" s="606"/>
      <c r="P369" s="595" t="s">
        <v>72</v>
      </c>
      <c r="Q369" s="596"/>
      <c r="R369" s="596"/>
      <c r="S369" s="596"/>
      <c r="T369" s="596"/>
      <c r="U369" s="596"/>
      <c r="V369" s="597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09" t="s">
        <v>169</v>
      </c>
      <c r="B370" s="605"/>
      <c r="C370" s="605"/>
      <c r="D370" s="605"/>
      <c r="E370" s="605"/>
      <c r="F370" s="605"/>
      <c r="G370" s="605"/>
      <c r="H370" s="605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  <c r="T370" s="605"/>
      <c r="U370" s="605"/>
      <c r="V370" s="605"/>
      <c r="W370" s="605"/>
      <c r="X370" s="605"/>
      <c r="Y370" s="605"/>
      <c r="Z370" s="605"/>
      <c r="AA370" s="63"/>
      <c r="AB370" s="63"/>
      <c r="AC370" s="63"/>
    </row>
    <row r="371" spans="1:68" ht="27" customHeight="1" x14ac:dyDescent="0.25">
      <c r="A371" s="60" t="s">
        <v>599</v>
      </c>
      <c r="B371" s="60" t="s">
        <v>600</v>
      </c>
      <c r="C371" s="34">
        <v>4301060387</v>
      </c>
      <c r="D371" s="598">
        <v>4607091380880</v>
      </c>
      <c r="E371" s="599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1"/>
      <c r="R371" s="601"/>
      <c r="S371" s="601"/>
      <c r="T371" s="602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598">
        <v>4607091384482</v>
      </c>
      <c r="E372" s="599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1"/>
      <c r="R372" s="601"/>
      <c r="S372" s="601"/>
      <c r="T372" s="602"/>
      <c r="U372" s="37"/>
      <c r="V372" s="37"/>
      <c r="W372" s="38" t="s">
        <v>67</v>
      </c>
      <c r="X372" s="56">
        <v>580</v>
      </c>
      <c r="Y372" s="53">
        <f>IFERROR(IF(X372="",0,CEILING((X372/$H372),1)*$H372),"")</f>
        <v>585</v>
      </c>
      <c r="Z372" s="39">
        <f>IFERROR(IF(Y372=0,"",ROUNDUP(Y372/H372,0)*0.01898),"")</f>
        <v>1.4235</v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616.73333333333335</v>
      </c>
      <c r="BN372" s="75">
        <f>IFERROR(Y372*I372/H372,"0")</f>
        <v>622.05000000000007</v>
      </c>
      <c r="BO372" s="75">
        <f>IFERROR(1/J372*(X372/H372),"0")</f>
        <v>1.1618589743589745</v>
      </c>
      <c r="BP372" s="75">
        <f>IFERROR(1/J372*(Y372/H372),"0")</f>
        <v>1.171875</v>
      </c>
    </row>
    <row r="373" spans="1:68" ht="16.5" customHeight="1" x14ac:dyDescent="0.25">
      <c r="A373" s="60" t="s">
        <v>605</v>
      </c>
      <c r="B373" s="60" t="s">
        <v>606</v>
      </c>
      <c r="C373" s="34">
        <v>4301060484</v>
      </c>
      <c r="D373" s="598">
        <v>4607091380897</v>
      </c>
      <c r="E373" s="599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1"/>
      <c r="R373" s="601"/>
      <c r="S373" s="601"/>
      <c r="T373" s="602"/>
      <c r="U373" s="37"/>
      <c r="V373" s="37"/>
      <c r="W373" s="38" t="s">
        <v>67</v>
      </c>
      <c r="X373" s="56">
        <v>99</v>
      </c>
      <c r="Y373" s="53">
        <f>IFERROR(IF(X373="",0,CEILING((X373/$H373),1)*$H373),"")</f>
        <v>100.80000000000001</v>
      </c>
      <c r="Z373" s="39">
        <f>IFERROR(IF(Y373=0,"",ROUNDUP(Y373/H373,0)*0.01898),"")</f>
        <v>0.22776000000000002</v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104.82214285714285</v>
      </c>
      <c r="BN373" s="75">
        <f>IFERROR(Y373*I373/H373,"0")</f>
        <v>106.72800000000001</v>
      </c>
      <c r="BO373" s="75">
        <f>IFERROR(1/J373*(X373/H373),"0")</f>
        <v>0.1841517857142857</v>
      </c>
      <c r="BP373" s="75">
        <f>IFERROR(1/J373*(Y373/H373),"0")</f>
        <v>0.1875</v>
      </c>
    </row>
    <row r="374" spans="1:68" x14ac:dyDescent="0.2">
      <c r="A374" s="604"/>
      <c r="B374" s="605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5"/>
      <c r="O374" s="606"/>
      <c r="P374" s="595" t="s">
        <v>72</v>
      </c>
      <c r="Q374" s="596"/>
      <c r="R374" s="596"/>
      <c r="S374" s="596"/>
      <c r="T374" s="596"/>
      <c r="U374" s="596"/>
      <c r="V374" s="597"/>
      <c r="W374" s="40" t="s">
        <v>73</v>
      </c>
      <c r="X374" s="41">
        <f>IFERROR(X371/H371,"0")+IFERROR(X372/H372,"0")+IFERROR(X373/H373,"0")</f>
        <v>86.144688644688642</v>
      </c>
      <c r="Y374" s="41">
        <f>IFERROR(Y371/H371,"0")+IFERROR(Y372/H372,"0")+IFERROR(Y373/H373,"0")</f>
        <v>87</v>
      </c>
      <c r="Z374" s="41">
        <f>IFERROR(IF(Z371="",0,Z371),"0")+IFERROR(IF(Z372="",0,Z372),"0")+IFERROR(IF(Z373="",0,Z373),"0")</f>
        <v>1.65126</v>
      </c>
      <c r="AA374" s="64"/>
      <c r="AB374" s="64"/>
      <c r="AC374" s="64"/>
    </row>
    <row r="375" spans="1:68" x14ac:dyDescent="0.2">
      <c r="A375" s="605"/>
      <c r="B375" s="605"/>
      <c r="C375" s="605"/>
      <c r="D375" s="605"/>
      <c r="E375" s="605"/>
      <c r="F375" s="605"/>
      <c r="G375" s="605"/>
      <c r="H375" s="605"/>
      <c r="I375" s="605"/>
      <c r="J375" s="605"/>
      <c r="K375" s="605"/>
      <c r="L375" s="605"/>
      <c r="M375" s="605"/>
      <c r="N375" s="605"/>
      <c r="O375" s="606"/>
      <c r="P375" s="595" t="s">
        <v>72</v>
      </c>
      <c r="Q375" s="596"/>
      <c r="R375" s="596"/>
      <c r="S375" s="596"/>
      <c r="T375" s="596"/>
      <c r="U375" s="596"/>
      <c r="V375" s="597"/>
      <c r="W375" s="40" t="s">
        <v>67</v>
      </c>
      <c r="X375" s="41">
        <f>IFERROR(SUM(X371:X373),"0")</f>
        <v>679</v>
      </c>
      <c r="Y375" s="41">
        <f>IFERROR(SUM(Y371:Y373),"0")</f>
        <v>685.8</v>
      </c>
      <c r="Z375" s="40"/>
      <c r="AA375" s="64"/>
      <c r="AB375" s="64"/>
      <c r="AC375" s="64"/>
    </row>
    <row r="376" spans="1:68" ht="14.25" customHeight="1" x14ac:dyDescent="0.25">
      <c r="A376" s="609" t="s">
        <v>95</v>
      </c>
      <c r="B376" s="605"/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  <c r="T376" s="605"/>
      <c r="U376" s="605"/>
      <c r="V376" s="605"/>
      <c r="W376" s="605"/>
      <c r="X376" s="605"/>
      <c r="Y376" s="605"/>
      <c r="Z376" s="605"/>
      <c r="AA376" s="63"/>
      <c r="AB376" s="63"/>
      <c r="AC376" s="63"/>
    </row>
    <row r="377" spans="1:68" ht="27" customHeight="1" x14ac:dyDescent="0.25">
      <c r="A377" s="60" t="s">
        <v>608</v>
      </c>
      <c r="B377" s="60" t="s">
        <v>609</v>
      </c>
      <c r="C377" s="34">
        <v>4301030235</v>
      </c>
      <c r="D377" s="598">
        <v>4607091388381</v>
      </c>
      <c r="E377" s="599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1"/>
      <c r="R377" s="601"/>
      <c r="S377" s="601"/>
      <c r="T377" s="602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611</v>
      </c>
      <c r="B378" s="60" t="s">
        <v>612</v>
      </c>
      <c r="C378" s="34">
        <v>4301030232</v>
      </c>
      <c r="D378" s="598">
        <v>4607091388374</v>
      </c>
      <c r="E378" s="599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1"/>
      <c r="R378" s="601"/>
      <c r="S378" s="601"/>
      <c r="T378" s="602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613</v>
      </c>
      <c r="B379" s="60" t="s">
        <v>614</v>
      </c>
      <c r="C379" s="34">
        <v>4301032015</v>
      </c>
      <c r="D379" s="598">
        <v>4607091383102</v>
      </c>
      <c r="E379" s="599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1"/>
      <c r="R379" s="601"/>
      <c r="S379" s="601"/>
      <c r="T379" s="602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615</v>
      </c>
      <c r="B380" s="60" t="s">
        <v>616</v>
      </c>
      <c r="C380" s="34">
        <v>4301030233</v>
      </c>
      <c r="D380" s="598">
        <v>4607091388404</v>
      </c>
      <c r="E380" s="599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1"/>
      <c r="R380" s="601"/>
      <c r="S380" s="601"/>
      <c r="T380" s="602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04"/>
      <c r="B381" s="605"/>
      <c r="C381" s="605"/>
      <c r="D381" s="605"/>
      <c r="E381" s="605"/>
      <c r="F381" s="605"/>
      <c r="G381" s="605"/>
      <c r="H381" s="605"/>
      <c r="I381" s="605"/>
      <c r="J381" s="605"/>
      <c r="K381" s="605"/>
      <c r="L381" s="605"/>
      <c r="M381" s="605"/>
      <c r="N381" s="605"/>
      <c r="O381" s="606"/>
      <c r="P381" s="595" t="s">
        <v>72</v>
      </c>
      <c r="Q381" s="596"/>
      <c r="R381" s="596"/>
      <c r="S381" s="596"/>
      <c r="T381" s="596"/>
      <c r="U381" s="596"/>
      <c r="V381" s="597"/>
      <c r="W381" s="40" t="s">
        <v>73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05"/>
      <c r="B382" s="605"/>
      <c r="C382" s="605"/>
      <c r="D382" s="605"/>
      <c r="E382" s="605"/>
      <c r="F382" s="605"/>
      <c r="G382" s="605"/>
      <c r="H382" s="605"/>
      <c r="I382" s="605"/>
      <c r="J382" s="605"/>
      <c r="K382" s="605"/>
      <c r="L382" s="605"/>
      <c r="M382" s="605"/>
      <c r="N382" s="605"/>
      <c r="O382" s="606"/>
      <c r="P382" s="595" t="s">
        <v>72</v>
      </c>
      <c r="Q382" s="596"/>
      <c r="R382" s="596"/>
      <c r="S382" s="596"/>
      <c r="T382" s="596"/>
      <c r="U382" s="596"/>
      <c r="V382" s="597"/>
      <c r="W382" s="40" t="s">
        <v>67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09" t="s">
        <v>617</v>
      </c>
      <c r="B383" s="605"/>
      <c r="C383" s="605"/>
      <c r="D383" s="605"/>
      <c r="E383" s="605"/>
      <c r="F383" s="605"/>
      <c r="G383" s="605"/>
      <c r="H383" s="605"/>
      <c r="I383" s="605"/>
      <c r="J383" s="605"/>
      <c r="K383" s="605"/>
      <c r="L383" s="605"/>
      <c r="M383" s="605"/>
      <c r="N383" s="605"/>
      <c r="O383" s="605"/>
      <c r="P383" s="605"/>
      <c r="Q383" s="605"/>
      <c r="R383" s="605"/>
      <c r="S383" s="605"/>
      <c r="T383" s="605"/>
      <c r="U383" s="605"/>
      <c r="V383" s="605"/>
      <c r="W383" s="605"/>
      <c r="X383" s="605"/>
      <c r="Y383" s="605"/>
      <c r="Z383" s="605"/>
      <c r="AA383" s="63"/>
      <c r="AB383" s="63"/>
      <c r="AC383" s="63"/>
    </row>
    <row r="384" spans="1:68" ht="16.5" customHeight="1" x14ac:dyDescent="0.25">
      <c r="A384" s="60" t="s">
        <v>618</v>
      </c>
      <c r="B384" s="60" t="s">
        <v>619</v>
      </c>
      <c r="C384" s="34">
        <v>4301180007</v>
      </c>
      <c r="D384" s="598">
        <v>4680115881808</v>
      </c>
      <c r="E384" s="599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1"/>
      <c r="R384" s="601"/>
      <c r="S384" s="601"/>
      <c r="T384" s="602"/>
      <c r="U384" s="37"/>
      <c r="V384" s="37"/>
      <c r="W384" s="38" t="s">
        <v>67</v>
      </c>
      <c r="X384" s="56">
        <v>20</v>
      </c>
      <c r="Y384" s="53">
        <f>IFERROR(IF(X384="",0,CEILING((X384/$H384),1)*$H384),"")</f>
        <v>20</v>
      </c>
      <c r="Z384" s="39">
        <f>IFERROR(IF(Y384=0,"",ROUNDUP(Y384/H384,0)*0.00474),"")</f>
        <v>4.7400000000000005E-2</v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22.400000000000002</v>
      </c>
      <c r="BN384" s="75">
        <f>IFERROR(Y384*I384/H384,"0")</f>
        <v>22.400000000000002</v>
      </c>
      <c r="BO384" s="75">
        <f>IFERROR(1/J384*(X384/H384),"0")</f>
        <v>4.2016806722689072E-2</v>
      </c>
      <c r="BP384" s="75">
        <f>IFERROR(1/J384*(Y384/H384),"0")</f>
        <v>4.2016806722689072E-2</v>
      </c>
    </row>
    <row r="385" spans="1:68" ht="27" customHeight="1" x14ac:dyDescent="0.25">
      <c r="A385" s="60" t="s">
        <v>622</v>
      </c>
      <c r="B385" s="60" t="s">
        <v>623</v>
      </c>
      <c r="C385" s="34">
        <v>4301180006</v>
      </c>
      <c r="D385" s="598">
        <v>4680115881822</v>
      </c>
      <c r="E385" s="599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1"/>
      <c r="R385" s="601"/>
      <c r="S385" s="601"/>
      <c r="T385" s="602"/>
      <c r="U385" s="37"/>
      <c r="V385" s="37"/>
      <c r="W385" s="38" t="s">
        <v>67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624</v>
      </c>
      <c r="B386" s="60" t="s">
        <v>625</v>
      </c>
      <c r="C386" s="34">
        <v>4301180001</v>
      </c>
      <c r="D386" s="598">
        <v>4680115880016</v>
      </c>
      <c r="E386" s="599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1"/>
      <c r="R386" s="601"/>
      <c r="S386" s="601"/>
      <c r="T386" s="602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4"/>
      <c r="B387" s="605"/>
      <c r="C387" s="605"/>
      <c r="D387" s="605"/>
      <c r="E387" s="605"/>
      <c r="F387" s="605"/>
      <c r="G387" s="605"/>
      <c r="H387" s="605"/>
      <c r="I387" s="605"/>
      <c r="J387" s="605"/>
      <c r="K387" s="605"/>
      <c r="L387" s="605"/>
      <c r="M387" s="605"/>
      <c r="N387" s="605"/>
      <c r="O387" s="606"/>
      <c r="P387" s="595" t="s">
        <v>72</v>
      </c>
      <c r="Q387" s="596"/>
      <c r="R387" s="596"/>
      <c r="S387" s="596"/>
      <c r="T387" s="596"/>
      <c r="U387" s="596"/>
      <c r="V387" s="597"/>
      <c r="W387" s="40" t="s">
        <v>73</v>
      </c>
      <c r="X387" s="41">
        <f>IFERROR(X384/H384,"0")+IFERROR(X385/H385,"0")+IFERROR(X386/H386,"0")</f>
        <v>10</v>
      </c>
      <c r="Y387" s="41">
        <f>IFERROR(Y384/H384,"0")+IFERROR(Y385/H385,"0")+IFERROR(Y386/H386,"0")</f>
        <v>10</v>
      </c>
      <c r="Z387" s="41">
        <f>IFERROR(IF(Z384="",0,Z384),"0")+IFERROR(IF(Z385="",0,Z385),"0")+IFERROR(IF(Z386="",0,Z386),"0")</f>
        <v>4.7400000000000005E-2</v>
      </c>
      <c r="AA387" s="64"/>
      <c r="AB387" s="64"/>
      <c r="AC387" s="64"/>
    </row>
    <row r="388" spans="1:68" x14ac:dyDescent="0.2">
      <c r="A388" s="605"/>
      <c r="B388" s="605"/>
      <c r="C388" s="605"/>
      <c r="D388" s="605"/>
      <c r="E388" s="605"/>
      <c r="F388" s="605"/>
      <c r="G388" s="605"/>
      <c r="H388" s="605"/>
      <c r="I388" s="605"/>
      <c r="J388" s="605"/>
      <c r="K388" s="605"/>
      <c r="L388" s="605"/>
      <c r="M388" s="605"/>
      <c r="N388" s="605"/>
      <c r="O388" s="606"/>
      <c r="P388" s="595" t="s">
        <v>72</v>
      </c>
      <c r="Q388" s="596"/>
      <c r="R388" s="596"/>
      <c r="S388" s="596"/>
      <c r="T388" s="596"/>
      <c r="U388" s="596"/>
      <c r="V388" s="597"/>
      <c r="W388" s="40" t="s">
        <v>67</v>
      </c>
      <c r="X388" s="41">
        <f>IFERROR(SUM(X384:X386),"0")</f>
        <v>20</v>
      </c>
      <c r="Y388" s="41">
        <f>IFERROR(SUM(Y384:Y386),"0")</f>
        <v>20</v>
      </c>
      <c r="Z388" s="40"/>
      <c r="AA388" s="64"/>
      <c r="AB388" s="64"/>
      <c r="AC388" s="64"/>
    </row>
    <row r="389" spans="1:68" ht="16.5" customHeight="1" x14ac:dyDescent="0.25">
      <c r="A389" s="610" t="s">
        <v>626</v>
      </c>
      <c r="B389" s="605"/>
      <c r="C389" s="605"/>
      <c r="D389" s="605"/>
      <c r="E389" s="605"/>
      <c r="F389" s="605"/>
      <c r="G389" s="605"/>
      <c r="H389" s="605"/>
      <c r="I389" s="605"/>
      <c r="J389" s="605"/>
      <c r="K389" s="605"/>
      <c r="L389" s="605"/>
      <c r="M389" s="605"/>
      <c r="N389" s="605"/>
      <c r="O389" s="605"/>
      <c r="P389" s="605"/>
      <c r="Q389" s="605"/>
      <c r="R389" s="605"/>
      <c r="S389" s="605"/>
      <c r="T389" s="605"/>
      <c r="U389" s="605"/>
      <c r="V389" s="605"/>
      <c r="W389" s="605"/>
      <c r="X389" s="605"/>
      <c r="Y389" s="605"/>
      <c r="Z389" s="605"/>
      <c r="AA389" s="62"/>
      <c r="AB389" s="62"/>
      <c r="AC389" s="62"/>
    </row>
    <row r="390" spans="1:68" ht="14.25" customHeight="1" x14ac:dyDescent="0.25">
      <c r="A390" s="609" t="s">
        <v>74</v>
      </c>
      <c r="B390" s="605"/>
      <c r="C390" s="605"/>
      <c r="D390" s="605"/>
      <c r="E390" s="605"/>
      <c r="F390" s="605"/>
      <c r="G390" s="605"/>
      <c r="H390" s="605"/>
      <c r="I390" s="605"/>
      <c r="J390" s="605"/>
      <c r="K390" s="605"/>
      <c r="L390" s="605"/>
      <c r="M390" s="605"/>
      <c r="N390" s="605"/>
      <c r="O390" s="605"/>
      <c r="P390" s="605"/>
      <c r="Q390" s="605"/>
      <c r="R390" s="605"/>
      <c r="S390" s="605"/>
      <c r="T390" s="605"/>
      <c r="U390" s="605"/>
      <c r="V390" s="605"/>
      <c r="W390" s="605"/>
      <c r="X390" s="605"/>
      <c r="Y390" s="605"/>
      <c r="Z390" s="605"/>
      <c r="AA390" s="63"/>
      <c r="AB390" s="63"/>
      <c r="AC390" s="63"/>
    </row>
    <row r="391" spans="1:68" ht="37.5" customHeight="1" x14ac:dyDescent="0.25">
      <c r="A391" s="60" t="s">
        <v>627</v>
      </c>
      <c r="B391" s="60" t="s">
        <v>628</v>
      </c>
      <c r="C391" s="34">
        <v>4301051489</v>
      </c>
      <c r="D391" s="598">
        <v>4607091387919</v>
      </c>
      <c r="E391" s="599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1"/>
      <c r="R391" s="601"/>
      <c r="S391" s="601"/>
      <c r="T391" s="602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630</v>
      </c>
      <c r="B392" s="60" t="s">
        <v>631</v>
      </c>
      <c r="C392" s="34">
        <v>4301051461</v>
      </c>
      <c r="D392" s="598">
        <v>4680115883604</v>
      </c>
      <c r="E392" s="599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1"/>
      <c r="R392" s="601"/>
      <c r="S392" s="601"/>
      <c r="T392" s="602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633</v>
      </c>
      <c r="B393" s="60" t="s">
        <v>634</v>
      </c>
      <c r="C393" s="34">
        <v>4301051864</v>
      </c>
      <c r="D393" s="598">
        <v>4680115883567</v>
      </c>
      <c r="E393" s="599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1"/>
      <c r="R393" s="601"/>
      <c r="S393" s="601"/>
      <c r="T393" s="602"/>
      <c r="U393" s="37"/>
      <c r="V393" s="37"/>
      <c r="W393" s="38" t="s">
        <v>67</v>
      </c>
      <c r="X393" s="56">
        <v>18</v>
      </c>
      <c r="Y393" s="53">
        <f>IFERROR(IF(X393="",0,CEILING((X393/$H393),1)*$H393),"")</f>
        <v>18.900000000000002</v>
      </c>
      <c r="Z393" s="39">
        <f>IFERROR(IF(Y393=0,"",ROUNDUP(Y393/H393,0)*0.00651),"")</f>
        <v>5.8590000000000003E-2</v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20.057142857142853</v>
      </c>
      <c r="BN393" s="75">
        <f>IFERROR(Y393*I393/H393,"0")</f>
        <v>21.06</v>
      </c>
      <c r="BO393" s="75">
        <f>IFERROR(1/J393*(X393/H393),"0")</f>
        <v>4.709576138147567E-2</v>
      </c>
      <c r="BP393" s="75">
        <f>IFERROR(1/J393*(Y393/H393),"0")</f>
        <v>4.9450549450549455E-2</v>
      </c>
    </row>
    <row r="394" spans="1:68" x14ac:dyDescent="0.2">
      <c r="A394" s="604"/>
      <c r="B394" s="605"/>
      <c r="C394" s="605"/>
      <c r="D394" s="605"/>
      <c r="E394" s="605"/>
      <c r="F394" s="605"/>
      <c r="G394" s="605"/>
      <c r="H394" s="605"/>
      <c r="I394" s="605"/>
      <c r="J394" s="605"/>
      <c r="K394" s="605"/>
      <c r="L394" s="605"/>
      <c r="M394" s="605"/>
      <c r="N394" s="605"/>
      <c r="O394" s="606"/>
      <c r="P394" s="595" t="s">
        <v>72</v>
      </c>
      <c r="Q394" s="596"/>
      <c r="R394" s="596"/>
      <c r="S394" s="596"/>
      <c r="T394" s="596"/>
      <c r="U394" s="596"/>
      <c r="V394" s="597"/>
      <c r="W394" s="40" t="s">
        <v>73</v>
      </c>
      <c r="X394" s="41">
        <f>IFERROR(X391/H391,"0")+IFERROR(X392/H392,"0")+IFERROR(X393/H393,"0")</f>
        <v>8.5714285714285712</v>
      </c>
      <c r="Y394" s="41">
        <f>IFERROR(Y391/H391,"0")+IFERROR(Y392/H392,"0")+IFERROR(Y393/H393,"0")</f>
        <v>9</v>
      </c>
      <c r="Z394" s="41">
        <f>IFERROR(IF(Z391="",0,Z391),"0")+IFERROR(IF(Z392="",0,Z392),"0")+IFERROR(IF(Z393="",0,Z393),"0")</f>
        <v>5.8590000000000003E-2</v>
      </c>
      <c r="AA394" s="64"/>
      <c r="AB394" s="64"/>
      <c r="AC394" s="64"/>
    </row>
    <row r="395" spans="1:68" x14ac:dyDescent="0.2">
      <c r="A395" s="605"/>
      <c r="B395" s="605"/>
      <c r="C395" s="605"/>
      <c r="D395" s="605"/>
      <c r="E395" s="605"/>
      <c r="F395" s="605"/>
      <c r="G395" s="605"/>
      <c r="H395" s="605"/>
      <c r="I395" s="605"/>
      <c r="J395" s="605"/>
      <c r="K395" s="605"/>
      <c r="L395" s="605"/>
      <c r="M395" s="605"/>
      <c r="N395" s="605"/>
      <c r="O395" s="606"/>
      <c r="P395" s="595" t="s">
        <v>72</v>
      </c>
      <c r="Q395" s="596"/>
      <c r="R395" s="596"/>
      <c r="S395" s="596"/>
      <c r="T395" s="596"/>
      <c r="U395" s="596"/>
      <c r="V395" s="597"/>
      <c r="W395" s="40" t="s">
        <v>67</v>
      </c>
      <c r="X395" s="41">
        <f>IFERROR(SUM(X391:X393),"0")</f>
        <v>18</v>
      </c>
      <c r="Y395" s="41">
        <f>IFERROR(SUM(Y391:Y393),"0")</f>
        <v>18.900000000000002</v>
      </c>
      <c r="Z395" s="40"/>
      <c r="AA395" s="64"/>
      <c r="AB395" s="64"/>
      <c r="AC395" s="64"/>
    </row>
    <row r="396" spans="1:68" ht="27.75" customHeight="1" x14ac:dyDescent="0.2">
      <c r="A396" s="752" t="s">
        <v>636</v>
      </c>
      <c r="B396" s="753"/>
      <c r="C396" s="753"/>
      <c r="D396" s="753"/>
      <c r="E396" s="753"/>
      <c r="F396" s="753"/>
      <c r="G396" s="753"/>
      <c r="H396" s="753"/>
      <c r="I396" s="753"/>
      <c r="J396" s="753"/>
      <c r="K396" s="753"/>
      <c r="L396" s="753"/>
      <c r="M396" s="753"/>
      <c r="N396" s="753"/>
      <c r="O396" s="753"/>
      <c r="P396" s="753"/>
      <c r="Q396" s="753"/>
      <c r="R396" s="753"/>
      <c r="S396" s="753"/>
      <c r="T396" s="753"/>
      <c r="U396" s="753"/>
      <c r="V396" s="753"/>
      <c r="W396" s="753"/>
      <c r="X396" s="753"/>
      <c r="Y396" s="753"/>
      <c r="Z396" s="753"/>
      <c r="AA396" s="52"/>
      <c r="AB396" s="52"/>
      <c r="AC396" s="52"/>
    </row>
    <row r="397" spans="1:68" ht="16.5" customHeight="1" x14ac:dyDescent="0.25">
      <c r="A397" s="610" t="s">
        <v>637</v>
      </c>
      <c r="B397" s="605"/>
      <c r="C397" s="605"/>
      <c r="D397" s="605"/>
      <c r="E397" s="605"/>
      <c r="F397" s="605"/>
      <c r="G397" s="605"/>
      <c r="H397" s="605"/>
      <c r="I397" s="605"/>
      <c r="J397" s="605"/>
      <c r="K397" s="605"/>
      <c r="L397" s="605"/>
      <c r="M397" s="605"/>
      <c r="N397" s="605"/>
      <c r="O397" s="605"/>
      <c r="P397" s="605"/>
      <c r="Q397" s="605"/>
      <c r="R397" s="605"/>
      <c r="S397" s="605"/>
      <c r="T397" s="605"/>
      <c r="U397" s="605"/>
      <c r="V397" s="605"/>
      <c r="W397" s="605"/>
      <c r="X397" s="605"/>
      <c r="Y397" s="605"/>
      <c r="Z397" s="605"/>
      <c r="AA397" s="62"/>
      <c r="AB397" s="62"/>
      <c r="AC397" s="62"/>
    </row>
    <row r="398" spans="1:68" ht="14.25" customHeight="1" x14ac:dyDescent="0.25">
      <c r="A398" s="609" t="s">
        <v>117</v>
      </c>
      <c r="B398" s="605"/>
      <c r="C398" s="605"/>
      <c r="D398" s="605"/>
      <c r="E398" s="605"/>
      <c r="F398" s="605"/>
      <c r="G398" s="605"/>
      <c r="H398" s="605"/>
      <c r="I398" s="605"/>
      <c r="J398" s="605"/>
      <c r="K398" s="605"/>
      <c r="L398" s="605"/>
      <c r="M398" s="605"/>
      <c r="N398" s="605"/>
      <c r="O398" s="605"/>
      <c r="P398" s="605"/>
      <c r="Q398" s="605"/>
      <c r="R398" s="605"/>
      <c r="S398" s="605"/>
      <c r="T398" s="605"/>
      <c r="U398" s="605"/>
      <c r="V398" s="605"/>
      <c r="W398" s="605"/>
      <c r="X398" s="605"/>
      <c r="Y398" s="605"/>
      <c r="Z398" s="605"/>
      <c r="AA398" s="63"/>
      <c r="AB398" s="63"/>
      <c r="AC398" s="63"/>
    </row>
    <row r="399" spans="1:68" ht="27" customHeight="1" x14ac:dyDescent="0.25">
      <c r="A399" s="60" t="s">
        <v>638</v>
      </c>
      <c r="B399" s="60" t="s">
        <v>639</v>
      </c>
      <c r="C399" s="34">
        <v>4301012332</v>
      </c>
      <c r="D399" s="598">
        <v>4680115888401</v>
      </c>
      <c r="E399" s="599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4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1"/>
      <c r="R399" s="601"/>
      <c r="S399" s="601"/>
      <c r="T399" s="602"/>
      <c r="U399" s="37"/>
      <c r="V399" s="37"/>
      <c r="W399" s="38" t="s">
        <v>67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customHeight="1" x14ac:dyDescent="0.25">
      <c r="A400" s="60" t="s">
        <v>641</v>
      </c>
      <c r="B400" s="60" t="s">
        <v>642</v>
      </c>
      <c r="C400" s="34">
        <v>4301011869</v>
      </c>
      <c r="D400" s="598">
        <v>4680115884847</v>
      </c>
      <c r="E400" s="599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1"/>
      <c r="R400" s="601"/>
      <c r="S400" s="601"/>
      <c r="T400" s="602"/>
      <c r="U400" s="37"/>
      <c r="V400" s="37"/>
      <c r="W400" s="38" t="s">
        <v>67</v>
      </c>
      <c r="X400" s="56">
        <v>504</v>
      </c>
      <c r="Y400" s="53">
        <f t="shared" si="52"/>
        <v>510</v>
      </c>
      <c r="Z400" s="39">
        <f>IFERROR(IF(Y400=0,"",ROUNDUP(Y400/H400,0)*0.02175),"")</f>
        <v>0.73949999999999994</v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519.79200000000003</v>
      </c>
      <c r="BN400" s="75">
        <f t="shared" si="54"/>
        <v>525.98</v>
      </c>
      <c r="BO400" s="75">
        <f t="shared" si="55"/>
        <v>0.7</v>
      </c>
      <c r="BP400" s="75">
        <f t="shared" si="56"/>
        <v>0.70833333333333326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598">
        <v>4680115884854</v>
      </c>
      <c r="E401" s="599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1"/>
      <c r="R401" s="601"/>
      <c r="S401" s="601"/>
      <c r="T401" s="602"/>
      <c r="U401" s="37"/>
      <c r="V401" s="37"/>
      <c r="W401" s="38" t="s">
        <v>67</v>
      </c>
      <c r="X401" s="56">
        <v>1581</v>
      </c>
      <c r="Y401" s="53">
        <f t="shared" si="52"/>
        <v>1590</v>
      </c>
      <c r="Z401" s="39">
        <f>IFERROR(IF(Y401=0,"",ROUNDUP(Y401/H401,0)*0.02175),"")</f>
        <v>2.3054999999999999</v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1630.538</v>
      </c>
      <c r="BN401" s="75">
        <f t="shared" si="54"/>
        <v>1639.82</v>
      </c>
      <c r="BO401" s="75">
        <f t="shared" si="55"/>
        <v>2.1958333333333333</v>
      </c>
      <c r="BP401" s="75">
        <f t="shared" si="56"/>
        <v>2.208333333333333</v>
      </c>
    </row>
    <row r="402" spans="1:68" ht="27" customHeight="1" x14ac:dyDescent="0.25">
      <c r="A402" s="60" t="s">
        <v>647</v>
      </c>
      <c r="B402" s="60" t="s">
        <v>648</v>
      </c>
      <c r="C402" s="34">
        <v>4301011867</v>
      </c>
      <c r="D402" s="598">
        <v>4680115884830</v>
      </c>
      <c r="E402" s="599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1"/>
      <c r="R402" s="601"/>
      <c r="S402" s="601"/>
      <c r="T402" s="602"/>
      <c r="U402" s="37"/>
      <c r="V402" s="37"/>
      <c r="W402" s="38" t="s">
        <v>67</v>
      </c>
      <c r="X402" s="56">
        <v>1760</v>
      </c>
      <c r="Y402" s="53">
        <f t="shared" si="52"/>
        <v>1770</v>
      </c>
      <c r="Z402" s="39">
        <f>IFERROR(IF(Y402=0,"",ROUNDUP(Y402/H402,0)*0.02175),"")</f>
        <v>2.5665</v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1815.1466666666668</v>
      </c>
      <c r="BN402" s="75">
        <f t="shared" si="54"/>
        <v>1825.46</v>
      </c>
      <c r="BO402" s="75">
        <f t="shared" si="55"/>
        <v>2.4444444444444442</v>
      </c>
      <c r="BP402" s="75">
        <f t="shared" si="56"/>
        <v>2.458333333333333</v>
      </c>
    </row>
    <row r="403" spans="1:68" ht="27" customHeight="1" x14ac:dyDescent="0.25">
      <c r="A403" s="60" t="s">
        <v>650</v>
      </c>
      <c r="B403" s="60" t="s">
        <v>651</v>
      </c>
      <c r="C403" s="34">
        <v>4301012356</v>
      </c>
      <c r="D403" s="598">
        <v>4680115889231</v>
      </c>
      <c r="E403" s="599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1"/>
      <c r="R403" s="601"/>
      <c r="S403" s="601"/>
      <c r="T403" s="602"/>
      <c r="U403" s="37"/>
      <c r="V403" s="37"/>
      <c r="W403" s="38" t="s">
        <v>67</v>
      </c>
      <c r="X403" s="56">
        <v>150</v>
      </c>
      <c r="Y403" s="53">
        <f t="shared" si="52"/>
        <v>150</v>
      </c>
      <c r="Z403" s="39">
        <f>IFERROR(IF(Y403=0,"",ROUNDUP(Y403/H403,0)*0.02175),"")</f>
        <v>0.21749999999999997</v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154.69999999999999</v>
      </c>
      <c r="BN403" s="75">
        <f t="shared" si="54"/>
        <v>154.69999999999999</v>
      </c>
      <c r="BO403" s="75">
        <f t="shared" si="55"/>
        <v>0.20833333333333331</v>
      </c>
      <c r="BP403" s="75">
        <f t="shared" si="56"/>
        <v>0.20833333333333331</v>
      </c>
    </row>
    <row r="404" spans="1:68" ht="27" customHeight="1" x14ac:dyDescent="0.25">
      <c r="A404" s="60" t="s">
        <v>653</v>
      </c>
      <c r="B404" s="60" t="s">
        <v>654</v>
      </c>
      <c r="C404" s="34">
        <v>4301011433</v>
      </c>
      <c r="D404" s="598">
        <v>4680115882638</v>
      </c>
      <c r="E404" s="599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1"/>
      <c r="R404" s="601"/>
      <c r="S404" s="601"/>
      <c r="T404" s="602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customHeight="1" x14ac:dyDescent="0.25">
      <c r="A405" s="60" t="s">
        <v>656</v>
      </c>
      <c r="B405" s="60" t="s">
        <v>657</v>
      </c>
      <c r="C405" s="34">
        <v>4301011952</v>
      </c>
      <c r="D405" s="598">
        <v>4680115884922</v>
      </c>
      <c r="E405" s="599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1"/>
      <c r="R405" s="601"/>
      <c r="S405" s="601"/>
      <c r="T405" s="602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customHeight="1" x14ac:dyDescent="0.25">
      <c r="A406" s="60" t="s">
        <v>659</v>
      </c>
      <c r="B406" s="60" t="s">
        <v>660</v>
      </c>
      <c r="C406" s="34">
        <v>4301011868</v>
      </c>
      <c r="D406" s="598">
        <v>4680115884861</v>
      </c>
      <c r="E406" s="599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1"/>
      <c r="R406" s="601"/>
      <c r="S406" s="601"/>
      <c r="T406" s="602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4"/>
      <c r="B407" s="605"/>
      <c r="C407" s="605"/>
      <c r="D407" s="605"/>
      <c r="E407" s="605"/>
      <c r="F407" s="605"/>
      <c r="G407" s="605"/>
      <c r="H407" s="605"/>
      <c r="I407" s="605"/>
      <c r="J407" s="605"/>
      <c r="K407" s="605"/>
      <c r="L407" s="605"/>
      <c r="M407" s="605"/>
      <c r="N407" s="605"/>
      <c r="O407" s="606"/>
      <c r="P407" s="595" t="s">
        <v>72</v>
      </c>
      <c r="Q407" s="596"/>
      <c r="R407" s="596"/>
      <c r="S407" s="596"/>
      <c r="T407" s="596"/>
      <c r="U407" s="596"/>
      <c r="V407" s="597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266.33333333333331</v>
      </c>
      <c r="Y407" s="41">
        <f>IFERROR(Y399/H399,"0")+IFERROR(Y400/H400,"0")+IFERROR(Y401/H401,"0")+IFERROR(Y402/H402,"0")+IFERROR(Y403/H403,"0")+IFERROR(Y404/H404,"0")+IFERROR(Y405/H405,"0")+IFERROR(Y406/H406,"0")</f>
        <v>268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5.8289999999999997</v>
      </c>
      <c r="AA407" s="64"/>
      <c r="AB407" s="64"/>
      <c r="AC407" s="64"/>
    </row>
    <row r="408" spans="1:68" x14ac:dyDescent="0.2">
      <c r="A408" s="605"/>
      <c r="B408" s="605"/>
      <c r="C408" s="605"/>
      <c r="D408" s="605"/>
      <c r="E408" s="605"/>
      <c r="F408" s="605"/>
      <c r="G408" s="605"/>
      <c r="H408" s="605"/>
      <c r="I408" s="605"/>
      <c r="J408" s="605"/>
      <c r="K408" s="605"/>
      <c r="L408" s="605"/>
      <c r="M408" s="605"/>
      <c r="N408" s="605"/>
      <c r="O408" s="606"/>
      <c r="P408" s="595" t="s">
        <v>72</v>
      </c>
      <c r="Q408" s="596"/>
      <c r="R408" s="596"/>
      <c r="S408" s="596"/>
      <c r="T408" s="596"/>
      <c r="U408" s="596"/>
      <c r="V408" s="597"/>
      <c r="W408" s="40" t="s">
        <v>67</v>
      </c>
      <c r="X408" s="41">
        <f>IFERROR(SUM(X399:X406),"0")</f>
        <v>3995</v>
      </c>
      <c r="Y408" s="41">
        <f>IFERROR(SUM(Y399:Y406),"0")</f>
        <v>4020</v>
      </c>
      <c r="Z408" s="40"/>
      <c r="AA408" s="64"/>
      <c r="AB408" s="64"/>
      <c r="AC408" s="64"/>
    </row>
    <row r="409" spans="1:68" ht="14.25" customHeight="1" x14ac:dyDescent="0.25">
      <c r="A409" s="609" t="s">
        <v>152</v>
      </c>
      <c r="B409" s="605"/>
      <c r="C409" s="605"/>
      <c r="D409" s="605"/>
      <c r="E409" s="605"/>
      <c r="F409" s="605"/>
      <c r="G409" s="605"/>
      <c r="H409" s="605"/>
      <c r="I409" s="605"/>
      <c r="J409" s="605"/>
      <c r="K409" s="605"/>
      <c r="L409" s="605"/>
      <c r="M409" s="605"/>
      <c r="N409" s="605"/>
      <c r="O409" s="605"/>
      <c r="P409" s="605"/>
      <c r="Q409" s="605"/>
      <c r="R409" s="605"/>
      <c r="S409" s="605"/>
      <c r="T409" s="605"/>
      <c r="U409" s="605"/>
      <c r="V409" s="605"/>
      <c r="W409" s="605"/>
      <c r="X409" s="605"/>
      <c r="Y409" s="605"/>
      <c r="Z409" s="605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598">
        <v>4607091383980</v>
      </c>
      <c r="E410" s="599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1"/>
      <c r="R410" s="601"/>
      <c r="S410" s="601"/>
      <c r="T410" s="602"/>
      <c r="U410" s="37"/>
      <c r="V410" s="37"/>
      <c r="W410" s="38" t="s">
        <v>67</v>
      </c>
      <c r="X410" s="56">
        <v>3098</v>
      </c>
      <c r="Y410" s="53">
        <f>IFERROR(IF(X410="",0,CEILING((X410/$H410),1)*$H410),"")</f>
        <v>3105</v>
      </c>
      <c r="Z410" s="39">
        <f>IFERROR(IF(Y410=0,"",ROUNDUP(Y410/H410,0)*0.02175),"")</f>
        <v>4.5022500000000001</v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3195.070666666667</v>
      </c>
      <c r="BN410" s="75">
        <f>IFERROR(Y410*I410/H410,"0")</f>
        <v>3202.29</v>
      </c>
      <c r="BO410" s="75">
        <f>IFERROR(1/J410*(X410/H410),"0")</f>
        <v>4.3027777777777771</v>
      </c>
      <c r="BP410" s="75">
        <f>IFERROR(1/J410*(Y410/H410),"0")</f>
        <v>4.3125</v>
      </c>
    </row>
    <row r="411" spans="1:68" ht="27" customHeight="1" x14ac:dyDescent="0.25">
      <c r="A411" s="60" t="s">
        <v>665</v>
      </c>
      <c r="B411" s="60" t="s">
        <v>666</v>
      </c>
      <c r="C411" s="34">
        <v>4301020355</v>
      </c>
      <c r="D411" s="598">
        <v>4680115888425</v>
      </c>
      <c r="E411" s="599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1"/>
      <c r="R411" s="601"/>
      <c r="S411" s="601"/>
      <c r="T411" s="602"/>
      <c r="U411" s="37"/>
      <c r="V411" s="37"/>
      <c r="W411" s="38" t="s">
        <v>67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668</v>
      </c>
      <c r="B412" s="60" t="s">
        <v>669</v>
      </c>
      <c r="C412" s="34">
        <v>4301020179</v>
      </c>
      <c r="D412" s="598">
        <v>4607091384178</v>
      </c>
      <c r="E412" s="599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1"/>
      <c r="R412" s="601"/>
      <c r="S412" s="601"/>
      <c r="T412" s="602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4"/>
      <c r="B413" s="605"/>
      <c r="C413" s="605"/>
      <c r="D413" s="605"/>
      <c r="E413" s="605"/>
      <c r="F413" s="605"/>
      <c r="G413" s="605"/>
      <c r="H413" s="605"/>
      <c r="I413" s="605"/>
      <c r="J413" s="605"/>
      <c r="K413" s="605"/>
      <c r="L413" s="605"/>
      <c r="M413" s="605"/>
      <c r="N413" s="605"/>
      <c r="O413" s="606"/>
      <c r="P413" s="595" t="s">
        <v>72</v>
      </c>
      <c r="Q413" s="596"/>
      <c r="R413" s="596"/>
      <c r="S413" s="596"/>
      <c r="T413" s="596"/>
      <c r="U413" s="596"/>
      <c r="V413" s="597"/>
      <c r="W413" s="40" t="s">
        <v>73</v>
      </c>
      <c r="X413" s="41">
        <f>IFERROR(X410/H410,"0")+IFERROR(X411/H411,"0")+IFERROR(X412/H412,"0")</f>
        <v>206.53333333333333</v>
      </c>
      <c r="Y413" s="41">
        <f>IFERROR(Y410/H410,"0")+IFERROR(Y411/H411,"0")+IFERROR(Y412/H412,"0")</f>
        <v>207</v>
      </c>
      <c r="Z413" s="41">
        <f>IFERROR(IF(Z410="",0,Z410),"0")+IFERROR(IF(Z411="",0,Z411),"0")+IFERROR(IF(Z412="",0,Z412),"0")</f>
        <v>4.5022500000000001</v>
      </c>
      <c r="AA413" s="64"/>
      <c r="AB413" s="64"/>
      <c r="AC413" s="64"/>
    </row>
    <row r="414" spans="1:68" x14ac:dyDescent="0.2">
      <c r="A414" s="605"/>
      <c r="B414" s="605"/>
      <c r="C414" s="605"/>
      <c r="D414" s="605"/>
      <c r="E414" s="605"/>
      <c r="F414" s="605"/>
      <c r="G414" s="605"/>
      <c r="H414" s="605"/>
      <c r="I414" s="605"/>
      <c r="J414" s="605"/>
      <c r="K414" s="605"/>
      <c r="L414" s="605"/>
      <c r="M414" s="605"/>
      <c r="N414" s="605"/>
      <c r="O414" s="606"/>
      <c r="P414" s="595" t="s">
        <v>72</v>
      </c>
      <c r="Q414" s="596"/>
      <c r="R414" s="596"/>
      <c r="S414" s="596"/>
      <c r="T414" s="596"/>
      <c r="U414" s="596"/>
      <c r="V414" s="597"/>
      <c r="W414" s="40" t="s">
        <v>67</v>
      </c>
      <c r="X414" s="41">
        <f>IFERROR(SUM(X410:X412),"0")</f>
        <v>3098</v>
      </c>
      <c r="Y414" s="41">
        <f>IFERROR(SUM(Y410:Y412),"0")</f>
        <v>3105</v>
      </c>
      <c r="Z414" s="40"/>
      <c r="AA414" s="64"/>
      <c r="AB414" s="64"/>
      <c r="AC414" s="64"/>
    </row>
    <row r="415" spans="1:68" ht="14.25" customHeight="1" x14ac:dyDescent="0.25">
      <c r="A415" s="609" t="s">
        <v>74</v>
      </c>
      <c r="B415" s="605"/>
      <c r="C415" s="605"/>
      <c r="D415" s="605"/>
      <c r="E415" s="605"/>
      <c r="F415" s="605"/>
      <c r="G415" s="605"/>
      <c r="H415" s="605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  <c r="T415" s="605"/>
      <c r="U415" s="605"/>
      <c r="V415" s="605"/>
      <c r="W415" s="605"/>
      <c r="X415" s="605"/>
      <c r="Y415" s="605"/>
      <c r="Z415" s="605"/>
      <c r="AA415" s="63"/>
      <c r="AB415" s="63"/>
      <c r="AC415" s="63"/>
    </row>
    <row r="416" spans="1:68" ht="27" customHeight="1" x14ac:dyDescent="0.25">
      <c r="A416" s="60" t="s">
        <v>671</v>
      </c>
      <c r="B416" s="60" t="s">
        <v>672</v>
      </c>
      <c r="C416" s="34">
        <v>4301051903</v>
      </c>
      <c r="D416" s="598">
        <v>4607091383928</v>
      </c>
      <c r="E416" s="599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1"/>
      <c r="R416" s="601"/>
      <c r="S416" s="601"/>
      <c r="T416" s="602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674</v>
      </c>
      <c r="B417" s="60" t="s">
        <v>675</v>
      </c>
      <c r="C417" s="34">
        <v>4301051897</v>
      </c>
      <c r="D417" s="598">
        <v>4607091384260</v>
      </c>
      <c r="E417" s="599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1"/>
      <c r="R417" s="601"/>
      <c r="S417" s="601"/>
      <c r="T417" s="602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604"/>
      <c r="B418" s="605"/>
      <c r="C418" s="605"/>
      <c r="D418" s="605"/>
      <c r="E418" s="605"/>
      <c r="F418" s="605"/>
      <c r="G418" s="605"/>
      <c r="H418" s="605"/>
      <c r="I418" s="605"/>
      <c r="J418" s="605"/>
      <c r="K418" s="605"/>
      <c r="L418" s="605"/>
      <c r="M418" s="605"/>
      <c r="N418" s="605"/>
      <c r="O418" s="606"/>
      <c r="P418" s="595" t="s">
        <v>72</v>
      </c>
      <c r="Q418" s="596"/>
      <c r="R418" s="596"/>
      <c r="S418" s="596"/>
      <c r="T418" s="596"/>
      <c r="U418" s="596"/>
      <c r="V418" s="597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x14ac:dyDescent="0.2">
      <c r="A419" s="605"/>
      <c r="B419" s="605"/>
      <c r="C419" s="605"/>
      <c r="D419" s="605"/>
      <c r="E419" s="605"/>
      <c r="F419" s="605"/>
      <c r="G419" s="605"/>
      <c r="H419" s="605"/>
      <c r="I419" s="605"/>
      <c r="J419" s="605"/>
      <c r="K419" s="605"/>
      <c r="L419" s="605"/>
      <c r="M419" s="605"/>
      <c r="N419" s="605"/>
      <c r="O419" s="606"/>
      <c r="P419" s="595" t="s">
        <v>72</v>
      </c>
      <c r="Q419" s="596"/>
      <c r="R419" s="596"/>
      <c r="S419" s="596"/>
      <c r="T419" s="596"/>
      <c r="U419" s="596"/>
      <c r="V419" s="597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customHeight="1" x14ac:dyDescent="0.25">
      <c r="A420" s="609" t="s">
        <v>169</v>
      </c>
      <c r="B420" s="605"/>
      <c r="C420" s="605"/>
      <c r="D420" s="605"/>
      <c r="E420" s="605"/>
      <c r="F420" s="605"/>
      <c r="G420" s="605"/>
      <c r="H420" s="605"/>
      <c r="I420" s="605"/>
      <c r="J420" s="605"/>
      <c r="K420" s="605"/>
      <c r="L420" s="605"/>
      <c r="M420" s="605"/>
      <c r="N420" s="605"/>
      <c r="O420" s="605"/>
      <c r="P420" s="605"/>
      <c r="Q420" s="605"/>
      <c r="R420" s="605"/>
      <c r="S420" s="605"/>
      <c r="T420" s="605"/>
      <c r="U420" s="605"/>
      <c r="V420" s="605"/>
      <c r="W420" s="605"/>
      <c r="X420" s="605"/>
      <c r="Y420" s="605"/>
      <c r="Z420" s="605"/>
      <c r="AA420" s="63"/>
      <c r="AB420" s="63"/>
      <c r="AC420" s="63"/>
    </row>
    <row r="421" spans="1:68" ht="16.5" customHeight="1" x14ac:dyDescent="0.25">
      <c r="A421" s="60" t="s">
        <v>677</v>
      </c>
      <c r="B421" s="60" t="s">
        <v>678</v>
      </c>
      <c r="C421" s="34">
        <v>4301060524</v>
      </c>
      <c r="D421" s="598">
        <v>4607091384673</v>
      </c>
      <c r="E421" s="599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1"/>
      <c r="R421" s="601"/>
      <c r="S421" s="601"/>
      <c r="T421" s="602"/>
      <c r="U421" s="37"/>
      <c r="V421" s="37"/>
      <c r="W421" s="38" t="s">
        <v>67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04"/>
      <c r="B422" s="605"/>
      <c r="C422" s="605"/>
      <c r="D422" s="605"/>
      <c r="E422" s="605"/>
      <c r="F422" s="605"/>
      <c r="G422" s="605"/>
      <c r="H422" s="605"/>
      <c r="I422" s="605"/>
      <c r="J422" s="605"/>
      <c r="K422" s="605"/>
      <c r="L422" s="605"/>
      <c r="M422" s="605"/>
      <c r="N422" s="605"/>
      <c r="O422" s="606"/>
      <c r="P422" s="595" t="s">
        <v>72</v>
      </c>
      <c r="Q422" s="596"/>
      <c r="R422" s="596"/>
      <c r="S422" s="596"/>
      <c r="T422" s="596"/>
      <c r="U422" s="596"/>
      <c r="V422" s="597"/>
      <c r="W422" s="40" t="s">
        <v>73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05"/>
      <c r="B423" s="605"/>
      <c r="C423" s="605"/>
      <c r="D423" s="605"/>
      <c r="E423" s="605"/>
      <c r="F423" s="605"/>
      <c r="G423" s="605"/>
      <c r="H423" s="605"/>
      <c r="I423" s="605"/>
      <c r="J423" s="605"/>
      <c r="K423" s="605"/>
      <c r="L423" s="605"/>
      <c r="M423" s="605"/>
      <c r="N423" s="605"/>
      <c r="O423" s="606"/>
      <c r="P423" s="595" t="s">
        <v>72</v>
      </c>
      <c r="Q423" s="596"/>
      <c r="R423" s="596"/>
      <c r="S423" s="596"/>
      <c r="T423" s="596"/>
      <c r="U423" s="596"/>
      <c r="V423" s="597"/>
      <c r="W423" s="40" t="s">
        <v>67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customHeight="1" x14ac:dyDescent="0.25">
      <c r="A424" s="610" t="s">
        <v>680</v>
      </c>
      <c r="B424" s="605"/>
      <c r="C424" s="605"/>
      <c r="D424" s="605"/>
      <c r="E424" s="605"/>
      <c r="F424" s="605"/>
      <c r="G424" s="605"/>
      <c r="H424" s="605"/>
      <c r="I424" s="605"/>
      <c r="J424" s="605"/>
      <c r="K424" s="605"/>
      <c r="L424" s="605"/>
      <c r="M424" s="605"/>
      <c r="N424" s="605"/>
      <c r="O424" s="605"/>
      <c r="P424" s="605"/>
      <c r="Q424" s="605"/>
      <c r="R424" s="605"/>
      <c r="S424" s="605"/>
      <c r="T424" s="605"/>
      <c r="U424" s="605"/>
      <c r="V424" s="605"/>
      <c r="W424" s="605"/>
      <c r="X424" s="605"/>
      <c r="Y424" s="605"/>
      <c r="Z424" s="605"/>
      <c r="AA424" s="62"/>
      <c r="AB424" s="62"/>
      <c r="AC424" s="62"/>
    </row>
    <row r="425" spans="1:68" ht="14.25" customHeight="1" x14ac:dyDescent="0.25">
      <c r="A425" s="609" t="s">
        <v>117</v>
      </c>
      <c r="B425" s="605"/>
      <c r="C425" s="605"/>
      <c r="D425" s="605"/>
      <c r="E425" s="605"/>
      <c r="F425" s="605"/>
      <c r="G425" s="605"/>
      <c r="H425" s="605"/>
      <c r="I425" s="605"/>
      <c r="J425" s="605"/>
      <c r="K425" s="605"/>
      <c r="L425" s="605"/>
      <c r="M425" s="605"/>
      <c r="N425" s="605"/>
      <c r="O425" s="605"/>
      <c r="P425" s="605"/>
      <c r="Q425" s="605"/>
      <c r="R425" s="605"/>
      <c r="S425" s="605"/>
      <c r="T425" s="605"/>
      <c r="U425" s="605"/>
      <c r="V425" s="605"/>
      <c r="W425" s="605"/>
      <c r="X425" s="605"/>
      <c r="Y425" s="605"/>
      <c r="Z425" s="605"/>
      <c r="AA425" s="63"/>
      <c r="AB425" s="63"/>
      <c r="AC425" s="63"/>
    </row>
    <row r="426" spans="1:68" ht="27" customHeight="1" x14ac:dyDescent="0.25">
      <c r="A426" s="60" t="s">
        <v>681</v>
      </c>
      <c r="B426" s="60" t="s">
        <v>682</v>
      </c>
      <c r="C426" s="34">
        <v>4301011875</v>
      </c>
      <c r="D426" s="598">
        <v>4680115884885</v>
      </c>
      <c r="E426" s="599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1"/>
      <c r="R426" s="601"/>
      <c r="S426" s="601"/>
      <c r="T426" s="602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684</v>
      </c>
      <c r="B427" s="60" t="s">
        <v>685</v>
      </c>
      <c r="C427" s="34">
        <v>4301011871</v>
      </c>
      <c r="D427" s="598">
        <v>4680115884908</v>
      </c>
      <c r="E427" s="599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1"/>
      <c r="R427" s="601"/>
      <c r="S427" s="601"/>
      <c r="T427" s="602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04"/>
      <c r="B428" s="605"/>
      <c r="C428" s="605"/>
      <c r="D428" s="605"/>
      <c r="E428" s="605"/>
      <c r="F428" s="605"/>
      <c r="G428" s="605"/>
      <c r="H428" s="605"/>
      <c r="I428" s="605"/>
      <c r="J428" s="605"/>
      <c r="K428" s="605"/>
      <c r="L428" s="605"/>
      <c r="M428" s="605"/>
      <c r="N428" s="605"/>
      <c r="O428" s="606"/>
      <c r="P428" s="595" t="s">
        <v>72</v>
      </c>
      <c r="Q428" s="596"/>
      <c r="R428" s="596"/>
      <c r="S428" s="596"/>
      <c r="T428" s="596"/>
      <c r="U428" s="596"/>
      <c r="V428" s="597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05"/>
      <c r="B429" s="605"/>
      <c r="C429" s="605"/>
      <c r="D429" s="605"/>
      <c r="E429" s="605"/>
      <c r="F429" s="605"/>
      <c r="G429" s="605"/>
      <c r="H429" s="605"/>
      <c r="I429" s="605"/>
      <c r="J429" s="605"/>
      <c r="K429" s="605"/>
      <c r="L429" s="605"/>
      <c r="M429" s="605"/>
      <c r="N429" s="605"/>
      <c r="O429" s="606"/>
      <c r="P429" s="595" t="s">
        <v>72</v>
      </c>
      <c r="Q429" s="596"/>
      <c r="R429" s="596"/>
      <c r="S429" s="596"/>
      <c r="T429" s="596"/>
      <c r="U429" s="596"/>
      <c r="V429" s="597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09" t="s">
        <v>62</v>
      </c>
      <c r="B430" s="605"/>
      <c r="C430" s="605"/>
      <c r="D430" s="605"/>
      <c r="E430" s="605"/>
      <c r="F430" s="605"/>
      <c r="G430" s="605"/>
      <c r="H430" s="605"/>
      <c r="I430" s="605"/>
      <c r="J430" s="605"/>
      <c r="K430" s="605"/>
      <c r="L430" s="605"/>
      <c r="M430" s="605"/>
      <c r="N430" s="605"/>
      <c r="O430" s="605"/>
      <c r="P430" s="605"/>
      <c r="Q430" s="605"/>
      <c r="R430" s="605"/>
      <c r="S430" s="605"/>
      <c r="T430" s="605"/>
      <c r="U430" s="605"/>
      <c r="V430" s="605"/>
      <c r="W430" s="605"/>
      <c r="X430" s="605"/>
      <c r="Y430" s="605"/>
      <c r="Z430" s="605"/>
      <c r="AA430" s="63"/>
      <c r="AB430" s="63"/>
      <c r="AC430" s="63"/>
    </row>
    <row r="431" spans="1:68" ht="27" customHeight="1" x14ac:dyDescent="0.25">
      <c r="A431" s="60" t="s">
        <v>686</v>
      </c>
      <c r="B431" s="60" t="s">
        <v>687</v>
      </c>
      <c r="C431" s="34">
        <v>4301031457</v>
      </c>
      <c r="D431" s="598">
        <v>4607091384802</v>
      </c>
      <c r="E431" s="599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1"/>
      <c r="R431" s="601"/>
      <c r="S431" s="601"/>
      <c r="T431" s="602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04"/>
      <c r="B432" s="605"/>
      <c r="C432" s="605"/>
      <c r="D432" s="605"/>
      <c r="E432" s="605"/>
      <c r="F432" s="605"/>
      <c r="G432" s="605"/>
      <c r="H432" s="605"/>
      <c r="I432" s="605"/>
      <c r="J432" s="605"/>
      <c r="K432" s="605"/>
      <c r="L432" s="605"/>
      <c r="M432" s="605"/>
      <c r="N432" s="605"/>
      <c r="O432" s="606"/>
      <c r="P432" s="595" t="s">
        <v>72</v>
      </c>
      <c r="Q432" s="596"/>
      <c r="R432" s="596"/>
      <c r="S432" s="596"/>
      <c r="T432" s="596"/>
      <c r="U432" s="596"/>
      <c r="V432" s="597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05"/>
      <c r="B433" s="605"/>
      <c r="C433" s="605"/>
      <c r="D433" s="605"/>
      <c r="E433" s="605"/>
      <c r="F433" s="605"/>
      <c r="G433" s="605"/>
      <c r="H433" s="605"/>
      <c r="I433" s="605"/>
      <c r="J433" s="605"/>
      <c r="K433" s="605"/>
      <c r="L433" s="605"/>
      <c r="M433" s="605"/>
      <c r="N433" s="605"/>
      <c r="O433" s="606"/>
      <c r="P433" s="595" t="s">
        <v>72</v>
      </c>
      <c r="Q433" s="596"/>
      <c r="R433" s="596"/>
      <c r="S433" s="596"/>
      <c r="T433" s="596"/>
      <c r="U433" s="596"/>
      <c r="V433" s="597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609" t="s">
        <v>74</v>
      </c>
      <c r="B434" s="605"/>
      <c r="C434" s="605"/>
      <c r="D434" s="605"/>
      <c r="E434" s="605"/>
      <c r="F434" s="605"/>
      <c r="G434" s="605"/>
      <c r="H434" s="605"/>
      <c r="I434" s="605"/>
      <c r="J434" s="605"/>
      <c r="K434" s="605"/>
      <c r="L434" s="605"/>
      <c r="M434" s="605"/>
      <c r="N434" s="605"/>
      <c r="O434" s="605"/>
      <c r="P434" s="605"/>
      <c r="Q434" s="605"/>
      <c r="R434" s="605"/>
      <c r="S434" s="605"/>
      <c r="T434" s="605"/>
      <c r="U434" s="605"/>
      <c r="V434" s="605"/>
      <c r="W434" s="605"/>
      <c r="X434" s="605"/>
      <c r="Y434" s="605"/>
      <c r="Z434" s="605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8">
        <v>4607091384246</v>
      </c>
      <c r="E435" s="599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1"/>
      <c r="R435" s="601"/>
      <c r="S435" s="601"/>
      <c r="T435" s="602"/>
      <c r="U435" s="37"/>
      <c r="V435" s="37"/>
      <c r="W435" s="38" t="s">
        <v>67</v>
      </c>
      <c r="X435" s="56">
        <v>400</v>
      </c>
      <c r="Y435" s="53">
        <f>IFERROR(IF(X435="",0,CEILING((X435/$H435),1)*$H435),"")</f>
        <v>405</v>
      </c>
      <c r="Z435" s="39">
        <f>IFERROR(IF(Y435=0,"",ROUNDUP(Y435/H435,0)*0.01898),"")</f>
        <v>0.85409999999999997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421.95555555555552</v>
      </c>
      <c r="BN435" s="75">
        <f>IFERROR(Y435*I435/H435,"0")</f>
        <v>427.22999999999996</v>
      </c>
      <c r="BO435" s="75">
        <f>IFERROR(1/J435*(X435/H435),"0")</f>
        <v>0.69444444444444442</v>
      </c>
      <c r="BP435" s="75">
        <f>IFERROR(1/J435*(Y435/H435),"0")</f>
        <v>0.703125</v>
      </c>
    </row>
    <row r="436" spans="1:68" ht="27" customHeight="1" x14ac:dyDescent="0.25">
      <c r="A436" s="60" t="s">
        <v>692</v>
      </c>
      <c r="B436" s="60" t="s">
        <v>693</v>
      </c>
      <c r="C436" s="34">
        <v>4301051660</v>
      </c>
      <c r="D436" s="598">
        <v>4607091384253</v>
      </c>
      <c r="E436" s="599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1"/>
      <c r="R436" s="601"/>
      <c r="S436" s="601"/>
      <c r="T436" s="602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692</v>
      </c>
      <c r="B437" s="60" t="s">
        <v>694</v>
      </c>
      <c r="C437" s="34">
        <v>4301052069</v>
      </c>
      <c r="D437" s="598">
        <v>4607091384253</v>
      </c>
      <c r="E437" s="599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6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1"/>
      <c r="R437" s="601"/>
      <c r="S437" s="601"/>
      <c r="T437" s="602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4"/>
      <c r="B438" s="605"/>
      <c r="C438" s="605"/>
      <c r="D438" s="605"/>
      <c r="E438" s="605"/>
      <c r="F438" s="605"/>
      <c r="G438" s="605"/>
      <c r="H438" s="605"/>
      <c r="I438" s="605"/>
      <c r="J438" s="605"/>
      <c r="K438" s="605"/>
      <c r="L438" s="605"/>
      <c r="M438" s="605"/>
      <c r="N438" s="605"/>
      <c r="O438" s="606"/>
      <c r="P438" s="595" t="s">
        <v>72</v>
      </c>
      <c r="Q438" s="596"/>
      <c r="R438" s="596"/>
      <c r="S438" s="596"/>
      <c r="T438" s="596"/>
      <c r="U438" s="596"/>
      <c r="V438" s="597"/>
      <c r="W438" s="40" t="s">
        <v>73</v>
      </c>
      <c r="X438" s="41">
        <f>IFERROR(X435/H435,"0")+IFERROR(X436/H436,"0")+IFERROR(X437/H437,"0")</f>
        <v>44.444444444444443</v>
      </c>
      <c r="Y438" s="41">
        <f>IFERROR(Y435/H435,"0")+IFERROR(Y436/H436,"0")+IFERROR(Y437/H437,"0")</f>
        <v>45</v>
      </c>
      <c r="Z438" s="41">
        <f>IFERROR(IF(Z435="",0,Z435),"0")+IFERROR(IF(Z436="",0,Z436),"0")+IFERROR(IF(Z437="",0,Z437),"0")</f>
        <v>0.85409999999999997</v>
      </c>
      <c r="AA438" s="64"/>
      <c r="AB438" s="64"/>
      <c r="AC438" s="64"/>
    </row>
    <row r="439" spans="1:68" x14ac:dyDescent="0.2">
      <c r="A439" s="605"/>
      <c r="B439" s="605"/>
      <c r="C439" s="605"/>
      <c r="D439" s="605"/>
      <c r="E439" s="605"/>
      <c r="F439" s="605"/>
      <c r="G439" s="605"/>
      <c r="H439" s="605"/>
      <c r="I439" s="605"/>
      <c r="J439" s="605"/>
      <c r="K439" s="605"/>
      <c r="L439" s="605"/>
      <c r="M439" s="605"/>
      <c r="N439" s="605"/>
      <c r="O439" s="606"/>
      <c r="P439" s="595" t="s">
        <v>72</v>
      </c>
      <c r="Q439" s="596"/>
      <c r="R439" s="596"/>
      <c r="S439" s="596"/>
      <c r="T439" s="596"/>
      <c r="U439" s="596"/>
      <c r="V439" s="597"/>
      <c r="W439" s="40" t="s">
        <v>67</v>
      </c>
      <c r="X439" s="41">
        <f>IFERROR(SUM(X435:X437),"0")</f>
        <v>400</v>
      </c>
      <c r="Y439" s="41">
        <f>IFERROR(SUM(Y435:Y437),"0")</f>
        <v>405</v>
      </c>
      <c r="Z439" s="40"/>
      <c r="AA439" s="64"/>
      <c r="AB439" s="64"/>
      <c r="AC439" s="64"/>
    </row>
    <row r="440" spans="1:68" ht="27.75" customHeight="1" x14ac:dyDescent="0.2">
      <c r="A440" s="752" t="s">
        <v>696</v>
      </c>
      <c r="B440" s="753"/>
      <c r="C440" s="753"/>
      <c r="D440" s="753"/>
      <c r="E440" s="753"/>
      <c r="F440" s="753"/>
      <c r="G440" s="753"/>
      <c r="H440" s="753"/>
      <c r="I440" s="753"/>
      <c r="J440" s="753"/>
      <c r="K440" s="753"/>
      <c r="L440" s="753"/>
      <c r="M440" s="753"/>
      <c r="N440" s="753"/>
      <c r="O440" s="753"/>
      <c r="P440" s="753"/>
      <c r="Q440" s="753"/>
      <c r="R440" s="753"/>
      <c r="S440" s="753"/>
      <c r="T440" s="753"/>
      <c r="U440" s="753"/>
      <c r="V440" s="753"/>
      <c r="W440" s="753"/>
      <c r="X440" s="753"/>
      <c r="Y440" s="753"/>
      <c r="Z440" s="753"/>
      <c r="AA440" s="52"/>
      <c r="AB440" s="52"/>
      <c r="AC440" s="52"/>
    </row>
    <row r="441" spans="1:68" ht="16.5" customHeight="1" x14ac:dyDescent="0.25">
      <c r="A441" s="610" t="s">
        <v>697</v>
      </c>
      <c r="B441" s="605"/>
      <c r="C441" s="605"/>
      <c r="D441" s="605"/>
      <c r="E441" s="605"/>
      <c r="F441" s="605"/>
      <c r="G441" s="605"/>
      <c r="H441" s="605"/>
      <c r="I441" s="605"/>
      <c r="J441" s="605"/>
      <c r="K441" s="605"/>
      <c r="L441" s="605"/>
      <c r="M441" s="605"/>
      <c r="N441" s="605"/>
      <c r="O441" s="605"/>
      <c r="P441" s="605"/>
      <c r="Q441" s="605"/>
      <c r="R441" s="605"/>
      <c r="S441" s="605"/>
      <c r="T441" s="605"/>
      <c r="U441" s="605"/>
      <c r="V441" s="605"/>
      <c r="W441" s="605"/>
      <c r="X441" s="605"/>
      <c r="Y441" s="605"/>
      <c r="Z441" s="605"/>
      <c r="AA441" s="62"/>
      <c r="AB441" s="62"/>
      <c r="AC441" s="62"/>
    </row>
    <row r="442" spans="1:68" ht="14.25" customHeight="1" x14ac:dyDescent="0.25">
      <c r="A442" s="609" t="s">
        <v>62</v>
      </c>
      <c r="B442" s="605"/>
      <c r="C442" s="605"/>
      <c r="D442" s="605"/>
      <c r="E442" s="605"/>
      <c r="F442" s="605"/>
      <c r="G442" s="605"/>
      <c r="H442" s="605"/>
      <c r="I442" s="605"/>
      <c r="J442" s="605"/>
      <c r="K442" s="605"/>
      <c r="L442" s="605"/>
      <c r="M442" s="605"/>
      <c r="N442" s="605"/>
      <c r="O442" s="605"/>
      <c r="P442" s="605"/>
      <c r="Q442" s="605"/>
      <c r="R442" s="605"/>
      <c r="S442" s="605"/>
      <c r="T442" s="605"/>
      <c r="U442" s="605"/>
      <c r="V442" s="605"/>
      <c r="W442" s="605"/>
      <c r="X442" s="605"/>
      <c r="Y442" s="605"/>
      <c r="Z442" s="605"/>
      <c r="AA442" s="63"/>
      <c r="AB442" s="63"/>
      <c r="AC442" s="63"/>
    </row>
    <row r="443" spans="1:68" ht="27" customHeight="1" x14ac:dyDescent="0.25">
      <c r="A443" s="60" t="s">
        <v>698</v>
      </c>
      <c r="B443" s="60" t="s">
        <v>699</v>
      </c>
      <c r="C443" s="34">
        <v>4301031405</v>
      </c>
      <c r="D443" s="598">
        <v>4680115886100</v>
      </c>
      <c r="E443" s="599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1"/>
      <c r="R443" s="601"/>
      <c r="S443" s="601"/>
      <c r="T443" s="602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customHeight="1" x14ac:dyDescent="0.25">
      <c r="A444" s="60" t="s">
        <v>701</v>
      </c>
      <c r="B444" s="60" t="s">
        <v>702</v>
      </c>
      <c r="C444" s="34">
        <v>4301031402</v>
      </c>
      <c r="D444" s="598">
        <v>4680115886124</v>
      </c>
      <c r="E444" s="599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1"/>
      <c r="R444" s="601"/>
      <c r="S444" s="601"/>
      <c r="T444" s="602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customHeight="1" x14ac:dyDescent="0.25">
      <c r="A445" s="60" t="s">
        <v>704</v>
      </c>
      <c r="B445" s="60" t="s">
        <v>705</v>
      </c>
      <c r="C445" s="34">
        <v>4301031362</v>
      </c>
      <c r="D445" s="598">
        <v>4607091384338</v>
      </c>
      <c r="E445" s="599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1"/>
      <c r="R445" s="601"/>
      <c r="S445" s="601"/>
      <c r="T445" s="602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customHeight="1" x14ac:dyDescent="0.25">
      <c r="A446" s="60" t="s">
        <v>706</v>
      </c>
      <c r="B446" s="60" t="s">
        <v>707</v>
      </c>
      <c r="C446" s="34">
        <v>4301031364</v>
      </c>
      <c r="D446" s="598">
        <v>4680115883161</v>
      </c>
      <c r="E446" s="599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1"/>
      <c r="R446" s="601"/>
      <c r="S446" s="601"/>
      <c r="T446" s="602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customHeight="1" x14ac:dyDescent="0.25">
      <c r="A447" s="60" t="s">
        <v>709</v>
      </c>
      <c r="B447" s="60" t="s">
        <v>710</v>
      </c>
      <c r="C447" s="34">
        <v>4301031358</v>
      </c>
      <c r="D447" s="598">
        <v>4607091389531</v>
      </c>
      <c r="E447" s="599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1"/>
      <c r="R447" s="601"/>
      <c r="S447" s="601"/>
      <c r="T447" s="602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customHeight="1" x14ac:dyDescent="0.25">
      <c r="A448" s="60" t="s">
        <v>712</v>
      </c>
      <c r="B448" s="60" t="s">
        <v>713</v>
      </c>
      <c r="C448" s="34">
        <v>4301031360</v>
      </c>
      <c r="D448" s="598">
        <v>4607091384345</v>
      </c>
      <c r="E448" s="599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1"/>
      <c r="R448" s="601"/>
      <c r="S448" s="601"/>
      <c r="T448" s="602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x14ac:dyDescent="0.2">
      <c r="A449" s="604"/>
      <c r="B449" s="605"/>
      <c r="C449" s="605"/>
      <c r="D449" s="605"/>
      <c r="E449" s="605"/>
      <c r="F449" s="605"/>
      <c r="G449" s="605"/>
      <c r="H449" s="605"/>
      <c r="I449" s="605"/>
      <c r="J449" s="605"/>
      <c r="K449" s="605"/>
      <c r="L449" s="605"/>
      <c r="M449" s="605"/>
      <c r="N449" s="605"/>
      <c r="O449" s="606"/>
      <c r="P449" s="595" t="s">
        <v>72</v>
      </c>
      <c r="Q449" s="596"/>
      <c r="R449" s="596"/>
      <c r="S449" s="596"/>
      <c r="T449" s="596"/>
      <c r="U449" s="596"/>
      <c r="V449" s="597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x14ac:dyDescent="0.2">
      <c r="A450" s="605"/>
      <c r="B450" s="605"/>
      <c r="C450" s="605"/>
      <c r="D450" s="605"/>
      <c r="E450" s="605"/>
      <c r="F450" s="605"/>
      <c r="G450" s="605"/>
      <c r="H450" s="605"/>
      <c r="I450" s="605"/>
      <c r="J450" s="605"/>
      <c r="K450" s="605"/>
      <c r="L450" s="605"/>
      <c r="M450" s="605"/>
      <c r="N450" s="605"/>
      <c r="O450" s="606"/>
      <c r="P450" s="595" t="s">
        <v>72</v>
      </c>
      <c r="Q450" s="596"/>
      <c r="R450" s="596"/>
      <c r="S450" s="596"/>
      <c r="T450" s="596"/>
      <c r="U450" s="596"/>
      <c r="V450" s="597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customHeight="1" x14ac:dyDescent="0.25">
      <c r="A451" s="609" t="s">
        <v>74</v>
      </c>
      <c r="B451" s="605"/>
      <c r="C451" s="605"/>
      <c r="D451" s="605"/>
      <c r="E451" s="605"/>
      <c r="F451" s="605"/>
      <c r="G451" s="605"/>
      <c r="H451" s="605"/>
      <c r="I451" s="605"/>
      <c r="J451" s="605"/>
      <c r="K451" s="605"/>
      <c r="L451" s="605"/>
      <c r="M451" s="605"/>
      <c r="N451" s="605"/>
      <c r="O451" s="605"/>
      <c r="P451" s="605"/>
      <c r="Q451" s="605"/>
      <c r="R451" s="605"/>
      <c r="S451" s="605"/>
      <c r="T451" s="605"/>
      <c r="U451" s="605"/>
      <c r="V451" s="605"/>
      <c r="W451" s="605"/>
      <c r="X451" s="605"/>
      <c r="Y451" s="605"/>
      <c r="Z451" s="605"/>
      <c r="AA451" s="63"/>
      <c r="AB451" s="63"/>
      <c r="AC451" s="63"/>
    </row>
    <row r="452" spans="1:68" ht="27" customHeight="1" x14ac:dyDescent="0.25">
      <c r="A452" s="60" t="s">
        <v>714</v>
      </c>
      <c r="B452" s="60" t="s">
        <v>715</v>
      </c>
      <c r="C452" s="34">
        <v>4301051284</v>
      </c>
      <c r="D452" s="598">
        <v>4607091384352</v>
      </c>
      <c r="E452" s="599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3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1"/>
      <c r="R452" s="601"/>
      <c r="S452" s="601"/>
      <c r="T452" s="602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717</v>
      </c>
      <c r="B453" s="60" t="s">
        <v>718</v>
      </c>
      <c r="C453" s="34">
        <v>4301051431</v>
      </c>
      <c r="D453" s="598">
        <v>4607091389654</v>
      </c>
      <c r="E453" s="599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1"/>
      <c r="R453" s="601"/>
      <c r="S453" s="601"/>
      <c r="T453" s="602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04"/>
      <c r="B454" s="605"/>
      <c r="C454" s="605"/>
      <c r="D454" s="605"/>
      <c r="E454" s="605"/>
      <c r="F454" s="605"/>
      <c r="G454" s="605"/>
      <c r="H454" s="605"/>
      <c r="I454" s="605"/>
      <c r="J454" s="605"/>
      <c r="K454" s="605"/>
      <c r="L454" s="605"/>
      <c r="M454" s="605"/>
      <c r="N454" s="605"/>
      <c r="O454" s="606"/>
      <c r="P454" s="595" t="s">
        <v>72</v>
      </c>
      <c r="Q454" s="596"/>
      <c r="R454" s="596"/>
      <c r="S454" s="596"/>
      <c r="T454" s="596"/>
      <c r="U454" s="596"/>
      <c r="V454" s="597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05"/>
      <c r="B455" s="605"/>
      <c r="C455" s="605"/>
      <c r="D455" s="605"/>
      <c r="E455" s="605"/>
      <c r="F455" s="605"/>
      <c r="G455" s="605"/>
      <c r="H455" s="605"/>
      <c r="I455" s="605"/>
      <c r="J455" s="605"/>
      <c r="K455" s="605"/>
      <c r="L455" s="605"/>
      <c r="M455" s="605"/>
      <c r="N455" s="605"/>
      <c r="O455" s="606"/>
      <c r="P455" s="595" t="s">
        <v>72</v>
      </c>
      <c r="Q455" s="596"/>
      <c r="R455" s="596"/>
      <c r="S455" s="596"/>
      <c r="T455" s="596"/>
      <c r="U455" s="596"/>
      <c r="V455" s="597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10" t="s">
        <v>720</v>
      </c>
      <c r="B456" s="605"/>
      <c r="C456" s="605"/>
      <c r="D456" s="605"/>
      <c r="E456" s="605"/>
      <c r="F456" s="605"/>
      <c r="G456" s="605"/>
      <c r="H456" s="605"/>
      <c r="I456" s="605"/>
      <c r="J456" s="605"/>
      <c r="K456" s="605"/>
      <c r="L456" s="605"/>
      <c r="M456" s="605"/>
      <c r="N456" s="605"/>
      <c r="O456" s="605"/>
      <c r="P456" s="605"/>
      <c r="Q456" s="605"/>
      <c r="R456" s="605"/>
      <c r="S456" s="605"/>
      <c r="T456" s="605"/>
      <c r="U456" s="605"/>
      <c r="V456" s="605"/>
      <c r="W456" s="605"/>
      <c r="X456" s="605"/>
      <c r="Y456" s="605"/>
      <c r="Z456" s="605"/>
      <c r="AA456" s="62"/>
      <c r="AB456" s="62"/>
      <c r="AC456" s="62"/>
    </row>
    <row r="457" spans="1:68" ht="14.25" customHeight="1" x14ac:dyDescent="0.25">
      <c r="A457" s="609" t="s">
        <v>152</v>
      </c>
      <c r="B457" s="605"/>
      <c r="C457" s="605"/>
      <c r="D457" s="605"/>
      <c r="E457" s="605"/>
      <c r="F457" s="605"/>
      <c r="G457" s="605"/>
      <c r="H457" s="605"/>
      <c r="I457" s="605"/>
      <c r="J457" s="605"/>
      <c r="K457" s="605"/>
      <c r="L457" s="605"/>
      <c r="M457" s="605"/>
      <c r="N457" s="605"/>
      <c r="O457" s="605"/>
      <c r="P457" s="605"/>
      <c r="Q457" s="605"/>
      <c r="R457" s="605"/>
      <c r="S457" s="605"/>
      <c r="T457" s="605"/>
      <c r="U457" s="605"/>
      <c r="V457" s="605"/>
      <c r="W457" s="605"/>
      <c r="X457" s="605"/>
      <c r="Y457" s="605"/>
      <c r="Z457" s="605"/>
      <c r="AA457" s="63"/>
      <c r="AB457" s="63"/>
      <c r="AC457" s="63"/>
    </row>
    <row r="458" spans="1:68" ht="27" customHeight="1" x14ac:dyDescent="0.25">
      <c r="A458" s="60" t="s">
        <v>721</v>
      </c>
      <c r="B458" s="60" t="s">
        <v>722</v>
      </c>
      <c r="C458" s="34">
        <v>4301020416</v>
      </c>
      <c r="D458" s="598">
        <v>4680115885240</v>
      </c>
      <c r="E458" s="599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6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1"/>
      <c r="R458" s="601"/>
      <c r="S458" s="601"/>
      <c r="T458" s="602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04"/>
      <c r="B459" s="605"/>
      <c r="C459" s="605"/>
      <c r="D459" s="605"/>
      <c r="E459" s="605"/>
      <c r="F459" s="605"/>
      <c r="G459" s="605"/>
      <c r="H459" s="605"/>
      <c r="I459" s="605"/>
      <c r="J459" s="605"/>
      <c r="K459" s="605"/>
      <c r="L459" s="605"/>
      <c r="M459" s="605"/>
      <c r="N459" s="605"/>
      <c r="O459" s="606"/>
      <c r="P459" s="595" t="s">
        <v>72</v>
      </c>
      <c r="Q459" s="596"/>
      <c r="R459" s="596"/>
      <c r="S459" s="596"/>
      <c r="T459" s="596"/>
      <c r="U459" s="596"/>
      <c r="V459" s="597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05"/>
      <c r="B460" s="605"/>
      <c r="C460" s="605"/>
      <c r="D460" s="605"/>
      <c r="E460" s="605"/>
      <c r="F460" s="605"/>
      <c r="G460" s="605"/>
      <c r="H460" s="605"/>
      <c r="I460" s="605"/>
      <c r="J460" s="605"/>
      <c r="K460" s="605"/>
      <c r="L460" s="605"/>
      <c r="M460" s="605"/>
      <c r="N460" s="605"/>
      <c r="O460" s="606"/>
      <c r="P460" s="595" t="s">
        <v>72</v>
      </c>
      <c r="Q460" s="596"/>
      <c r="R460" s="596"/>
      <c r="S460" s="596"/>
      <c r="T460" s="596"/>
      <c r="U460" s="596"/>
      <c r="V460" s="597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09" t="s">
        <v>62</v>
      </c>
      <c r="B461" s="605"/>
      <c r="C461" s="605"/>
      <c r="D461" s="605"/>
      <c r="E461" s="605"/>
      <c r="F461" s="605"/>
      <c r="G461" s="605"/>
      <c r="H461" s="605"/>
      <c r="I461" s="605"/>
      <c r="J461" s="605"/>
      <c r="K461" s="605"/>
      <c r="L461" s="605"/>
      <c r="M461" s="605"/>
      <c r="N461" s="605"/>
      <c r="O461" s="605"/>
      <c r="P461" s="605"/>
      <c r="Q461" s="605"/>
      <c r="R461" s="605"/>
      <c r="S461" s="605"/>
      <c r="T461" s="605"/>
      <c r="U461" s="605"/>
      <c r="V461" s="605"/>
      <c r="W461" s="605"/>
      <c r="X461" s="605"/>
      <c r="Y461" s="605"/>
      <c r="Z461" s="605"/>
      <c r="AA461" s="63"/>
      <c r="AB461" s="63"/>
      <c r="AC461" s="63"/>
    </row>
    <row r="462" spans="1:68" ht="27" customHeight="1" x14ac:dyDescent="0.25">
      <c r="A462" s="60" t="s">
        <v>724</v>
      </c>
      <c r="B462" s="60" t="s">
        <v>725</v>
      </c>
      <c r="C462" s="34">
        <v>4301031407</v>
      </c>
      <c r="D462" s="598">
        <v>4680115886094</v>
      </c>
      <c r="E462" s="599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1"/>
      <c r="R462" s="601"/>
      <c r="S462" s="601"/>
      <c r="T462" s="602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727</v>
      </c>
      <c r="B463" s="60" t="s">
        <v>728</v>
      </c>
      <c r="C463" s="34">
        <v>4301031373</v>
      </c>
      <c r="D463" s="598">
        <v>4680115880771</v>
      </c>
      <c r="E463" s="599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1"/>
      <c r="R463" s="601"/>
      <c r="S463" s="601"/>
      <c r="T463" s="602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730</v>
      </c>
      <c r="B464" s="60" t="s">
        <v>731</v>
      </c>
      <c r="C464" s="34">
        <v>4301031359</v>
      </c>
      <c r="D464" s="598">
        <v>4607091389500</v>
      </c>
      <c r="E464" s="599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1"/>
      <c r="R464" s="601"/>
      <c r="S464" s="601"/>
      <c r="T464" s="602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4"/>
      <c r="B465" s="605"/>
      <c r="C465" s="605"/>
      <c r="D465" s="605"/>
      <c r="E465" s="605"/>
      <c r="F465" s="605"/>
      <c r="G465" s="605"/>
      <c r="H465" s="605"/>
      <c r="I465" s="605"/>
      <c r="J465" s="605"/>
      <c r="K465" s="605"/>
      <c r="L465" s="605"/>
      <c r="M465" s="605"/>
      <c r="N465" s="605"/>
      <c r="O465" s="606"/>
      <c r="P465" s="595" t="s">
        <v>72</v>
      </c>
      <c r="Q465" s="596"/>
      <c r="R465" s="596"/>
      <c r="S465" s="596"/>
      <c r="T465" s="596"/>
      <c r="U465" s="596"/>
      <c r="V465" s="597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605"/>
      <c r="B466" s="605"/>
      <c r="C466" s="605"/>
      <c r="D466" s="605"/>
      <c r="E466" s="605"/>
      <c r="F466" s="605"/>
      <c r="G466" s="605"/>
      <c r="H466" s="605"/>
      <c r="I466" s="605"/>
      <c r="J466" s="605"/>
      <c r="K466" s="605"/>
      <c r="L466" s="605"/>
      <c r="M466" s="605"/>
      <c r="N466" s="605"/>
      <c r="O466" s="606"/>
      <c r="P466" s="595" t="s">
        <v>72</v>
      </c>
      <c r="Q466" s="596"/>
      <c r="R466" s="596"/>
      <c r="S466" s="596"/>
      <c r="T466" s="596"/>
      <c r="U466" s="596"/>
      <c r="V466" s="597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752" t="s">
        <v>732</v>
      </c>
      <c r="B467" s="753"/>
      <c r="C467" s="753"/>
      <c r="D467" s="753"/>
      <c r="E467" s="753"/>
      <c r="F467" s="753"/>
      <c r="G467" s="753"/>
      <c r="H467" s="753"/>
      <c r="I467" s="753"/>
      <c r="J467" s="753"/>
      <c r="K467" s="753"/>
      <c r="L467" s="753"/>
      <c r="M467" s="753"/>
      <c r="N467" s="753"/>
      <c r="O467" s="753"/>
      <c r="P467" s="753"/>
      <c r="Q467" s="753"/>
      <c r="R467" s="753"/>
      <c r="S467" s="753"/>
      <c r="T467" s="753"/>
      <c r="U467" s="753"/>
      <c r="V467" s="753"/>
      <c r="W467" s="753"/>
      <c r="X467" s="753"/>
      <c r="Y467" s="753"/>
      <c r="Z467" s="753"/>
      <c r="AA467" s="52"/>
      <c r="AB467" s="52"/>
      <c r="AC467" s="52"/>
    </row>
    <row r="468" spans="1:68" ht="16.5" customHeight="1" x14ac:dyDescent="0.25">
      <c r="A468" s="610" t="s">
        <v>732</v>
      </c>
      <c r="B468" s="605"/>
      <c r="C468" s="605"/>
      <c r="D468" s="605"/>
      <c r="E468" s="605"/>
      <c r="F468" s="605"/>
      <c r="G468" s="605"/>
      <c r="H468" s="605"/>
      <c r="I468" s="605"/>
      <c r="J468" s="605"/>
      <c r="K468" s="605"/>
      <c r="L468" s="605"/>
      <c r="M468" s="605"/>
      <c r="N468" s="605"/>
      <c r="O468" s="605"/>
      <c r="P468" s="605"/>
      <c r="Q468" s="605"/>
      <c r="R468" s="605"/>
      <c r="S468" s="605"/>
      <c r="T468" s="605"/>
      <c r="U468" s="605"/>
      <c r="V468" s="605"/>
      <c r="W468" s="605"/>
      <c r="X468" s="605"/>
      <c r="Y468" s="605"/>
      <c r="Z468" s="605"/>
      <c r="AA468" s="62"/>
      <c r="AB468" s="62"/>
      <c r="AC468" s="62"/>
    </row>
    <row r="469" spans="1:68" ht="14.25" customHeight="1" x14ac:dyDescent="0.25">
      <c r="A469" s="609" t="s">
        <v>117</v>
      </c>
      <c r="B469" s="605"/>
      <c r="C469" s="605"/>
      <c r="D469" s="605"/>
      <c r="E469" s="605"/>
      <c r="F469" s="605"/>
      <c r="G469" s="605"/>
      <c r="H469" s="605"/>
      <c r="I469" s="605"/>
      <c r="J469" s="605"/>
      <c r="K469" s="605"/>
      <c r="L469" s="605"/>
      <c r="M469" s="605"/>
      <c r="N469" s="605"/>
      <c r="O469" s="605"/>
      <c r="P469" s="605"/>
      <c r="Q469" s="605"/>
      <c r="R469" s="605"/>
      <c r="S469" s="605"/>
      <c r="T469" s="605"/>
      <c r="U469" s="605"/>
      <c r="V469" s="605"/>
      <c r="W469" s="605"/>
      <c r="X469" s="605"/>
      <c r="Y469" s="605"/>
      <c r="Z469" s="605"/>
      <c r="AA469" s="63"/>
      <c r="AB469" s="63"/>
      <c r="AC469" s="63"/>
    </row>
    <row r="470" spans="1:68" ht="27" customHeight="1" x14ac:dyDescent="0.25">
      <c r="A470" s="60" t="s">
        <v>733</v>
      </c>
      <c r="B470" s="60" t="s">
        <v>734</v>
      </c>
      <c r="C470" s="34">
        <v>4301011769</v>
      </c>
      <c r="D470" s="598">
        <v>4607091389067</v>
      </c>
      <c r="E470" s="599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1"/>
      <c r="R470" s="601"/>
      <c r="S470" s="601"/>
      <c r="T470" s="602"/>
      <c r="U470" s="37"/>
      <c r="V470" s="37"/>
      <c r="W470" s="38" t="s">
        <v>67</v>
      </c>
      <c r="X470" s="56">
        <v>26</v>
      </c>
      <c r="Y470" s="53">
        <f t="shared" ref="Y470:Y478" si="62">IFERROR(IF(X470="",0,CEILING((X470/$H470),1)*$H470),"")</f>
        <v>26.400000000000002</v>
      </c>
      <c r="Z470" s="39">
        <f t="shared" ref="Z470:Z475" si="63">IFERROR(IF(Y470=0,"",ROUNDUP(Y470/H470,0)*0.01196),"")</f>
        <v>5.9799999999999999E-2</v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27.723484848484848</v>
      </c>
      <c r="BN470" s="75">
        <f t="shared" ref="BN470:BN478" si="65">IFERROR(Y470*I470/H470,"0")</f>
        <v>28.15</v>
      </c>
      <c r="BO470" s="75">
        <f t="shared" ref="BO470:BO478" si="66">IFERROR(1/J470*(X470/H470),"0")</f>
        <v>4.7348484848484848E-2</v>
      </c>
      <c r="BP470" s="75">
        <f t="shared" ref="BP470:BP478" si="67">IFERROR(1/J470*(Y470/H470),"0")</f>
        <v>4.807692307692308E-2</v>
      </c>
    </row>
    <row r="471" spans="1:68" ht="27" customHeight="1" x14ac:dyDescent="0.25">
      <c r="A471" s="60" t="s">
        <v>735</v>
      </c>
      <c r="B471" s="60" t="s">
        <v>736</v>
      </c>
      <c r="C471" s="34">
        <v>4301012210</v>
      </c>
      <c r="D471" s="598">
        <v>4607091383522</v>
      </c>
      <c r="E471" s="599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1"/>
      <c r="R471" s="601"/>
      <c r="S471" s="601"/>
      <c r="T471" s="602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customHeight="1" x14ac:dyDescent="0.25">
      <c r="A472" s="60" t="s">
        <v>738</v>
      </c>
      <c r="B472" s="60" t="s">
        <v>739</v>
      </c>
      <c r="C472" s="34">
        <v>4301011961</v>
      </c>
      <c r="D472" s="598">
        <v>4680115885271</v>
      </c>
      <c r="E472" s="599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1"/>
      <c r="R472" s="601"/>
      <c r="S472" s="601"/>
      <c r="T472" s="602"/>
      <c r="U472" s="37"/>
      <c r="V472" s="37"/>
      <c r="W472" s="38" t="s">
        <v>67</v>
      </c>
      <c r="X472" s="56">
        <v>52</v>
      </c>
      <c r="Y472" s="53">
        <f t="shared" si="62"/>
        <v>52.800000000000004</v>
      </c>
      <c r="Z472" s="39">
        <f t="shared" si="63"/>
        <v>0.1196</v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55.446969696969695</v>
      </c>
      <c r="BN472" s="75">
        <f t="shared" si="65"/>
        <v>56.3</v>
      </c>
      <c r="BO472" s="75">
        <f t="shared" si="66"/>
        <v>9.4696969696969696E-2</v>
      </c>
      <c r="BP472" s="75">
        <f t="shared" si="67"/>
        <v>9.6153846153846159E-2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598">
        <v>4680115885226</v>
      </c>
      <c r="E473" s="599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1"/>
      <c r="R473" s="601"/>
      <c r="S473" s="601"/>
      <c r="T473" s="602"/>
      <c r="U473" s="37"/>
      <c r="V473" s="37"/>
      <c r="W473" s="38" t="s">
        <v>67</v>
      </c>
      <c r="X473" s="56">
        <v>500</v>
      </c>
      <c r="Y473" s="53">
        <f t="shared" si="62"/>
        <v>501.6</v>
      </c>
      <c r="Z473" s="39">
        <f t="shared" si="63"/>
        <v>1.1362000000000001</v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533.14393939393938</v>
      </c>
      <c r="BN473" s="75">
        <f t="shared" si="65"/>
        <v>534.85</v>
      </c>
      <c r="BO473" s="75">
        <f t="shared" si="66"/>
        <v>0.91054778554778548</v>
      </c>
      <c r="BP473" s="75">
        <f t="shared" si="67"/>
        <v>0.91346153846153855</v>
      </c>
    </row>
    <row r="474" spans="1:68" ht="16.5" customHeight="1" x14ac:dyDescent="0.25">
      <c r="A474" s="60" t="s">
        <v>744</v>
      </c>
      <c r="B474" s="60" t="s">
        <v>745</v>
      </c>
      <c r="C474" s="34">
        <v>4301011797</v>
      </c>
      <c r="D474" s="598">
        <v>4680115884502</v>
      </c>
      <c r="E474" s="599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1"/>
      <c r="R474" s="601"/>
      <c r="S474" s="601"/>
      <c r="T474" s="602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8">
        <v>4607091389104</v>
      </c>
      <c r="E475" s="599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1"/>
      <c r="R475" s="601"/>
      <c r="S475" s="601"/>
      <c r="T475" s="602"/>
      <c r="U475" s="37"/>
      <c r="V475" s="37"/>
      <c r="W475" s="38" t="s">
        <v>67</v>
      </c>
      <c r="X475" s="56">
        <v>500</v>
      </c>
      <c r="Y475" s="53">
        <f t="shared" si="62"/>
        <v>501.6</v>
      </c>
      <c r="Z475" s="39">
        <f t="shared" si="63"/>
        <v>1.1362000000000001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533.14393939393938</v>
      </c>
      <c r="BN475" s="75">
        <f t="shared" si="65"/>
        <v>534.85</v>
      </c>
      <c r="BO475" s="75">
        <f t="shared" si="66"/>
        <v>0.91054778554778548</v>
      </c>
      <c r="BP475" s="75">
        <f t="shared" si="67"/>
        <v>0.91346153846153855</v>
      </c>
    </row>
    <row r="476" spans="1:68" ht="27" customHeight="1" x14ac:dyDescent="0.25">
      <c r="A476" s="60" t="s">
        <v>750</v>
      </c>
      <c r="B476" s="60" t="s">
        <v>751</v>
      </c>
      <c r="C476" s="34">
        <v>4301012125</v>
      </c>
      <c r="D476" s="598">
        <v>4680115886391</v>
      </c>
      <c r="E476" s="599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1"/>
      <c r="R476" s="601"/>
      <c r="S476" s="601"/>
      <c r="T476" s="602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752</v>
      </c>
      <c r="B477" s="60" t="s">
        <v>753</v>
      </c>
      <c r="C477" s="34">
        <v>4301012048</v>
      </c>
      <c r="D477" s="598">
        <v>4680115880603</v>
      </c>
      <c r="E477" s="599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1"/>
      <c r="R477" s="601"/>
      <c r="S477" s="601"/>
      <c r="T477" s="602"/>
      <c r="U477" s="37"/>
      <c r="V477" s="37"/>
      <c r="W477" s="38" t="s">
        <v>67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customHeight="1" x14ac:dyDescent="0.25">
      <c r="A478" s="60" t="s">
        <v>754</v>
      </c>
      <c r="B478" s="60" t="s">
        <v>755</v>
      </c>
      <c r="C478" s="34">
        <v>4301012034</v>
      </c>
      <c r="D478" s="598">
        <v>4607091389982</v>
      </c>
      <c r="E478" s="599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1"/>
      <c r="R478" s="601"/>
      <c r="S478" s="601"/>
      <c r="T478" s="602"/>
      <c r="U478" s="37"/>
      <c r="V478" s="37"/>
      <c r="W478" s="38" t="s">
        <v>67</v>
      </c>
      <c r="X478" s="56">
        <v>0</v>
      </c>
      <c r="Y478" s="53">
        <f t="shared" si="62"/>
        <v>0</v>
      </c>
      <c r="Z478" s="39" t="str">
        <f>IFERROR(IF(Y478=0,"",ROUNDUP(Y478/H478,0)*0.00902),"")</f>
        <v/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x14ac:dyDescent="0.2">
      <c r="A479" s="604"/>
      <c r="B479" s="605"/>
      <c r="C479" s="605"/>
      <c r="D479" s="605"/>
      <c r="E479" s="605"/>
      <c r="F479" s="605"/>
      <c r="G479" s="605"/>
      <c r="H479" s="605"/>
      <c r="I479" s="605"/>
      <c r="J479" s="605"/>
      <c r="K479" s="605"/>
      <c r="L479" s="605"/>
      <c r="M479" s="605"/>
      <c r="N479" s="605"/>
      <c r="O479" s="606"/>
      <c r="P479" s="595" t="s">
        <v>72</v>
      </c>
      <c r="Q479" s="596"/>
      <c r="R479" s="596"/>
      <c r="S479" s="596"/>
      <c r="T479" s="596"/>
      <c r="U479" s="596"/>
      <c r="V479" s="597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204.16666666666663</v>
      </c>
      <c r="Y479" s="41">
        <f>IFERROR(Y470/H470,"0")+IFERROR(Y471/H471,"0")+IFERROR(Y472/H472,"0")+IFERROR(Y473/H473,"0")+IFERROR(Y474/H474,"0")+IFERROR(Y475/H475,"0")+IFERROR(Y476/H476,"0")+IFERROR(Y477/H477,"0")+IFERROR(Y478/H478,"0")</f>
        <v>205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2.4518000000000004</v>
      </c>
      <c r="AA479" s="64"/>
      <c r="AB479" s="64"/>
      <c r="AC479" s="64"/>
    </row>
    <row r="480" spans="1:68" x14ac:dyDescent="0.2">
      <c r="A480" s="605"/>
      <c r="B480" s="605"/>
      <c r="C480" s="605"/>
      <c r="D480" s="605"/>
      <c r="E480" s="605"/>
      <c r="F480" s="605"/>
      <c r="G480" s="605"/>
      <c r="H480" s="605"/>
      <c r="I480" s="605"/>
      <c r="J480" s="605"/>
      <c r="K480" s="605"/>
      <c r="L480" s="605"/>
      <c r="M480" s="605"/>
      <c r="N480" s="605"/>
      <c r="O480" s="606"/>
      <c r="P480" s="595" t="s">
        <v>72</v>
      </c>
      <c r="Q480" s="596"/>
      <c r="R480" s="596"/>
      <c r="S480" s="596"/>
      <c r="T480" s="596"/>
      <c r="U480" s="596"/>
      <c r="V480" s="597"/>
      <c r="W480" s="40" t="s">
        <v>67</v>
      </c>
      <c r="X480" s="41">
        <f>IFERROR(SUM(X470:X478),"0")</f>
        <v>1078</v>
      </c>
      <c r="Y480" s="41">
        <f>IFERROR(SUM(Y470:Y478),"0")</f>
        <v>1082.4000000000001</v>
      </c>
      <c r="Z480" s="40"/>
      <c r="AA480" s="64"/>
      <c r="AB480" s="64"/>
      <c r="AC480" s="64"/>
    </row>
    <row r="481" spans="1:68" ht="14.25" customHeight="1" x14ac:dyDescent="0.25">
      <c r="A481" s="609" t="s">
        <v>152</v>
      </c>
      <c r="B481" s="605"/>
      <c r="C481" s="605"/>
      <c r="D481" s="605"/>
      <c r="E481" s="605"/>
      <c r="F481" s="605"/>
      <c r="G481" s="605"/>
      <c r="H481" s="605"/>
      <c r="I481" s="605"/>
      <c r="J481" s="605"/>
      <c r="K481" s="605"/>
      <c r="L481" s="605"/>
      <c r="M481" s="605"/>
      <c r="N481" s="605"/>
      <c r="O481" s="605"/>
      <c r="P481" s="605"/>
      <c r="Q481" s="605"/>
      <c r="R481" s="605"/>
      <c r="S481" s="605"/>
      <c r="T481" s="605"/>
      <c r="U481" s="605"/>
      <c r="V481" s="605"/>
      <c r="W481" s="605"/>
      <c r="X481" s="605"/>
      <c r="Y481" s="605"/>
      <c r="Z481" s="605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8">
        <v>4607091388930</v>
      </c>
      <c r="E482" s="599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1"/>
      <c r="R482" s="601"/>
      <c r="S482" s="601"/>
      <c r="T482" s="602"/>
      <c r="U482" s="37"/>
      <c r="V482" s="37"/>
      <c r="W482" s="38" t="s">
        <v>67</v>
      </c>
      <c r="X482" s="56">
        <v>777</v>
      </c>
      <c r="Y482" s="53">
        <f>IFERROR(IF(X482="",0,CEILING((X482/$H482),1)*$H482),"")</f>
        <v>781.44</v>
      </c>
      <c r="Z482" s="39">
        <f>IFERROR(IF(Y482=0,"",ROUNDUP(Y482/H482,0)*0.01196),"")</f>
        <v>1.7700800000000001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828.50568181818187</v>
      </c>
      <c r="BN482" s="75">
        <f>IFERROR(Y482*I482/H482,"0")</f>
        <v>833.24</v>
      </c>
      <c r="BO482" s="75">
        <f>IFERROR(1/J482*(X482/H482),"0")</f>
        <v>1.4149912587412588</v>
      </c>
      <c r="BP482" s="75">
        <f>IFERROR(1/J482*(Y482/H482),"0")</f>
        <v>1.4230769230769231</v>
      </c>
    </row>
    <row r="483" spans="1:68" ht="16.5" customHeight="1" x14ac:dyDescent="0.25">
      <c r="A483" s="60" t="s">
        <v>759</v>
      </c>
      <c r="B483" s="60" t="s">
        <v>760</v>
      </c>
      <c r="C483" s="34">
        <v>4301020374</v>
      </c>
      <c r="D483" s="598">
        <v>4680115886407</v>
      </c>
      <c r="E483" s="599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8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1"/>
      <c r="R483" s="601"/>
      <c r="S483" s="601"/>
      <c r="T483" s="602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761</v>
      </c>
      <c r="B484" s="60" t="s">
        <v>762</v>
      </c>
      <c r="C484" s="34">
        <v>4301020385</v>
      </c>
      <c r="D484" s="598">
        <v>4680115880054</v>
      </c>
      <c r="E484" s="599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1"/>
      <c r="R484" s="601"/>
      <c r="S484" s="601"/>
      <c r="T484" s="602"/>
      <c r="U484" s="37"/>
      <c r="V484" s="37"/>
      <c r="W484" s="38" t="s">
        <v>67</v>
      </c>
      <c r="X484" s="56">
        <v>28</v>
      </c>
      <c r="Y484" s="53">
        <f>IFERROR(IF(X484="",0,CEILING((X484/$H484),1)*$H484),"")</f>
        <v>28.799999999999997</v>
      </c>
      <c r="Z484" s="39">
        <f>IFERROR(IF(Y484=0,"",ROUNDUP(Y484/H484,0)*0.00902),"")</f>
        <v>5.4120000000000001E-2</v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40.308333333333337</v>
      </c>
      <c r="BN484" s="75">
        <f>IFERROR(Y484*I484/H484,"0")</f>
        <v>41.46</v>
      </c>
      <c r="BO484" s="75">
        <f>IFERROR(1/J484*(X484/H484),"0")</f>
        <v>4.4191919191919199E-2</v>
      </c>
      <c r="BP484" s="75">
        <f>IFERROR(1/J484*(Y484/H484),"0")</f>
        <v>4.5454545454545456E-2</v>
      </c>
    </row>
    <row r="485" spans="1:68" x14ac:dyDescent="0.2">
      <c r="A485" s="604"/>
      <c r="B485" s="605"/>
      <c r="C485" s="605"/>
      <c r="D485" s="605"/>
      <c r="E485" s="605"/>
      <c r="F485" s="605"/>
      <c r="G485" s="605"/>
      <c r="H485" s="605"/>
      <c r="I485" s="605"/>
      <c r="J485" s="605"/>
      <c r="K485" s="605"/>
      <c r="L485" s="605"/>
      <c r="M485" s="605"/>
      <c r="N485" s="605"/>
      <c r="O485" s="606"/>
      <c r="P485" s="595" t="s">
        <v>72</v>
      </c>
      <c r="Q485" s="596"/>
      <c r="R485" s="596"/>
      <c r="S485" s="596"/>
      <c r="T485" s="596"/>
      <c r="U485" s="596"/>
      <c r="V485" s="597"/>
      <c r="W485" s="40" t="s">
        <v>73</v>
      </c>
      <c r="X485" s="41">
        <f>IFERROR(X482/H482,"0")+IFERROR(X483/H483,"0")+IFERROR(X484/H484,"0")</f>
        <v>152.99242424242425</v>
      </c>
      <c r="Y485" s="41">
        <f>IFERROR(Y482/H482,"0")+IFERROR(Y483/H483,"0")+IFERROR(Y484/H484,"0")</f>
        <v>154</v>
      </c>
      <c r="Z485" s="41">
        <f>IFERROR(IF(Z482="",0,Z482),"0")+IFERROR(IF(Z483="",0,Z483),"0")+IFERROR(IF(Z484="",0,Z484),"0")</f>
        <v>1.8242</v>
      </c>
      <c r="AA485" s="64"/>
      <c r="AB485" s="64"/>
      <c r="AC485" s="64"/>
    </row>
    <row r="486" spans="1:68" x14ac:dyDescent="0.2">
      <c r="A486" s="605"/>
      <c r="B486" s="605"/>
      <c r="C486" s="605"/>
      <c r="D486" s="605"/>
      <c r="E486" s="605"/>
      <c r="F486" s="605"/>
      <c r="G486" s="605"/>
      <c r="H486" s="605"/>
      <c r="I486" s="605"/>
      <c r="J486" s="605"/>
      <c r="K486" s="605"/>
      <c r="L486" s="605"/>
      <c r="M486" s="605"/>
      <c r="N486" s="605"/>
      <c r="O486" s="606"/>
      <c r="P486" s="595" t="s">
        <v>72</v>
      </c>
      <c r="Q486" s="596"/>
      <c r="R486" s="596"/>
      <c r="S486" s="596"/>
      <c r="T486" s="596"/>
      <c r="U486" s="596"/>
      <c r="V486" s="597"/>
      <c r="W486" s="40" t="s">
        <v>67</v>
      </c>
      <c r="X486" s="41">
        <f>IFERROR(SUM(X482:X484),"0")</f>
        <v>805</v>
      </c>
      <c r="Y486" s="41">
        <f>IFERROR(SUM(Y482:Y484),"0")</f>
        <v>810.24</v>
      </c>
      <c r="Z486" s="40"/>
      <c r="AA486" s="64"/>
      <c r="AB486" s="64"/>
      <c r="AC486" s="64"/>
    </row>
    <row r="487" spans="1:68" ht="14.25" customHeight="1" x14ac:dyDescent="0.25">
      <c r="A487" s="609" t="s">
        <v>62</v>
      </c>
      <c r="B487" s="605"/>
      <c r="C487" s="605"/>
      <c r="D487" s="605"/>
      <c r="E487" s="605"/>
      <c r="F487" s="605"/>
      <c r="G487" s="605"/>
      <c r="H487" s="605"/>
      <c r="I487" s="605"/>
      <c r="J487" s="605"/>
      <c r="K487" s="605"/>
      <c r="L487" s="605"/>
      <c r="M487" s="605"/>
      <c r="N487" s="605"/>
      <c r="O487" s="605"/>
      <c r="P487" s="605"/>
      <c r="Q487" s="605"/>
      <c r="R487" s="605"/>
      <c r="S487" s="605"/>
      <c r="T487" s="605"/>
      <c r="U487" s="605"/>
      <c r="V487" s="605"/>
      <c r="W487" s="605"/>
      <c r="X487" s="605"/>
      <c r="Y487" s="605"/>
      <c r="Z487" s="605"/>
      <c r="AA487" s="63"/>
      <c r="AB487" s="63"/>
      <c r="AC487" s="63"/>
    </row>
    <row r="488" spans="1:68" ht="27" customHeight="1" x14ac:dyDescent="0.25">
      <c r="A488" s="60" t="s">
        <v>763</v>
      </c>
      <c r="B488" s="60" t="s">
        <v>764</v>
      </c>
      <c r="C488" s="34">
        <v>4301031349</v>
      </c>
      <c r="D488" s="598">
        <v>4680115883116</v>
      </c>
      <c r="E488" s="599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1"/>
      <c r="R488" s="601"/>
      <c r="S488" s="601"/>
      <c r="T488" s="602"/>
      <c r="U488" s="37"/>
      <c r="V488" s="37"/>
      <c r="W488" s="38" t="s">
        <v>67</v>
      </c>
      <c r="X488" s="56">
        <v>96</v>
      </c>
      <c r="Y488" s="53">
        <f t="shared" ref="Y488:Y494" si="68">IFERROR(IF(X488="",0,CEILING((X488/$H488),1)*$H488),"")</f>
        <v>100.32000000000001</v>
      </c>
      <c r="Z488" s="39">
        <f>IFERROR(IF(Y488=0,"",ROUNDUP(Y488/H488,0)*0.01196),"")</f>
        <v>0.22724</v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102.36363636363636</v>
      </c>
      <c r="BN488" s="75">
        <f t="shared" ref="BN488:BN494" si="70">IFERROR(Y488*I488/H488,"0")</f>
        <v>106.97</v>
      </c>
      <c r="BO488" s="75">
        <f t="shared" ref="BO488:BO494" si="71">IFERROR(1/J488*(X488/H488),"0")</f>
        <v>0.17482517482517482</v>
      </c>
      <c r="BP488" s="75">
        <f t="shared" ref="BP488:BP494" si="72">IFERROR(1/J488*(Y488/H488),"0")</f>
        <v>0.18269230769230771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598">
        <v>4680115883093</v>
      </c>
      <c r="E489" s="599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1"/>
      <c r="R489" s="601"/>
      <c r="S489" s="601"/>
      <c r="T489" s="602"/>
      <c r="U489" s="37"/>
      <c r="V489" s="37"/>
      <c r="W489" s="38" t="s">
        <v>67</v>
      </c>
      <c r="X489" s="56">
        <v>200</v>
      </c>
      <c r="Y489" s="53">
        <f t="shared" si="68"/>
        <v>200.64000000000001</v>
      </c>
      <c r="Z489" s="39">
        <f>IFERROR(IF(Y489=0,"",ROUNDUP(Y489/H489,0)*0.01196),"")</f>
        <v>0.45448</v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213.25757575757575</v>
      </c>
      <c r="BN489" s="75">
        <f t="shared" si="70"/>
        <v>213.94</v>
      </c>
      <c r="BO489" s="75">
        <f t="shared" si="71"/>
        <v>0.36421911421911418</v>
      </c>
      <c r="BP489" s="75">
        <f t="shared" si="72"/>
        <v>0.36538461538461542</v>
      </c>
    </row>
    <row r="490" spans="1:68" ht="27" customHeight="1" x14ac:dyDescent="0.25">
      <c r="A490" s="60" t="s">
        <v>769</v>
      </c>
      <c r="B490" s="60" t="s">
        <v>770</v>
      </c>
      <c r="C490" s="34">
        <v>4301031353</v>
      </c>
      <c r="D490" s="598">
        <v>4680115883109</v>
      </c>
      <c r="E490" s="599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1"/>
      <c r="R490" s="601"/>
      <c r="S490" s="601"/>
      <c r="T490" s="602"/>
      <c r="U490" s="37"/>
      <c r="V490" s="37"/>
      <c r="W490" s="38" t="s">
        <v>67</v>
      </c>
      <c r="X490" s="56">
        <v>555</v>
      </c>
      <c r="Y490" s="53">
        <f t="shared" si="68"/>
        <v>559.68000000000006</v>
      </c>
      <c r="Z490" s="39">
        <f>IFERROR(IF(Y490=0,"",ROUNDUP(Y490/H490,0)*0.01196),"")</f>
        <v>1.26776</v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591.78977272727275</v>
      </c>
      <c r="BN490" s="75">
        <f t="shared" si="70"/>
        <v>596.78000000000009</v>
      </c>
      <c r="BO490" s="75">
        <f t="shared" si="71"/>
        <v>1.0107080419580419</v>
      </c>
      <c r="BP490" s="75">
        <f t="shared" si="72"/>
        <v>1.0192307692307694</v>
      </c>
    </row>
    <row r="491" spans="1:68" ht="27" customHeight="1" x14ac:dyDescent="0.25">
      <c r="A491" s="60" t="s">
        <v>772</v>
      </c>
      <c r="B491" s="60" t="s">
        <v>773</v>
      </c>
      <c r="C491" s="34">
        <v>4301031419</v>
      </c>
      <c r="D491" s="598">
        <v>4680115882072</v>
      </c>
      <c r="E491" s="599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1"/>
      <c r="R491" s="601"/>
      <c r="S491" s="601"/>
      <c r="T491" s="602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774</v>
      </c>
      <c r="B492" s="60" t="s">
        <v>775</v>
      </c>
      <c r="C492" s="34">
        <v>4301031352</v>
      </c>
      <c r="D492" s="598">
        <v>4680115882102</v>
      </c>
      <c r="E492" s="599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1"/>
      <c r="R492" s="601"/>
      <c r="S492" s="601"/>
      <c r="T492" s="602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774</v>
      </c>
      <c r="B493" s="60" t="s">
        <v>776</v>
      </c>
      <c r="C493" s="34">
        <v>4301031418</v>
      </c>
      <c r="D493" s="598">
        <v>4680115882102</v>
      </c>
      <c r="E493" s="599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1"/>
      <c r="R493" s="601"/>
      <c r="S493" s="601"/>
      <c r="T493" s="602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777</v>
      </c>
      <c r="B494" s="60" t="s">
        <v>778</v>
      </c>
      <c r="C494" s="34">
        <v>4301031417</v>
      </c>
      <c r="D494" s="598">
        <v>4680115882096</v>
      </c>
      <c r="E494" s="599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1"/>
      <c r="R494" s="601"/>
      <c r="S494" s="601"/>
      <c r="T494" s="602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4"/>
      <c r="B495" s="605"/>
      <c r="C495" s="605"/>
      <c r="D495" s="605"/>
      <c r="E495" s="605"/>
      <c r="F495" s="605"/>
      <c r="G495" s="605"/>
      <c r="H495" s="605"/>
      <c r="I495" s="605"/>
      <c r="J495" s="605"/>
      <c r="K495" s="605"/>
      <c r="L495" s="605"/>
      <c r="M495" s="605"/>
      <c r="N495" s="605"/>
      <c r="O495" s="606"/>
      <c r="P495" s="595" t="s">
        <v>72</v>
      </c>
      <c r="Q495" s="596"/>
      <c r="R495" s="596"/>
      <c r="S495" s="596"/>
      <c r="T495" s="596"/>
      <c r="U495" s="596"/>
      <c r="V495" s="597"/>
      <c r="W495" s="40" t="s">
        <v>73</v>
      </c>
      <c r="X495" s="41">
        <f>IFERROR(X488/H488,"0")+IFERROR(X489/H489,"0")+IFERROR(X490/H490,"0")+IFERROR(X491/H491,"0")+IFERROR(X492/H492,"0")+IFERROR(X493/H493,"0")+IFERROR(X494/H494,"0")</f>
        <v>161.17424242424241</v>
      </c>
      <c r="Y495" s="41">
        <f>IFERROR(Y488/H488,"0")+IFERROR(Y489/H489,"0")+IFERROR(Y490/H490,"0")+IFERROR(Y491/H491,"0")+IFERROR(Y492/H492,"0")+IFERROR(Y493/H493,"0")+IFERROR(Y494/H494,"0")</f>
        <v>163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1.9494799999999999</v>
      </c>
      <c r="AA495" s="64"/>
      <c r="AB495" s="64"/>
      <c r="AC495" s="64"/>
    </row>
    <row r="496" spans="1:68" x14ac:dyDescent="0.2">
      <c r="A496" s="605"/>
      <c r="B496" s="605"/>
      <c r="C496" s="605"/>
      <c r="D496" s="605"/>
      <c r="E496" s="605"/>
      <c r="F496" s="605"/>
      <c r="G496" s="605"/>
      <c r="H496" s="605"/>
      <c r="I496" s="605"/>
      <c r="J496" s="605"/>
      <c r="K496" s="605"/>
      <c r="L496" s="605"/>
      <c r="M496" s="605"/>
      <c r="N496" s="605"/>
      <c r="O496" s="606"/>
      <c r="P496" s="595" t="s">
        <v>72</v>
      </c>
      <c r="Q496" s="596"/>
      <c r="R496" s="596"/>
      <c r="S496" s="596"/>
      <c r="T496" s="596"/>
      <c r="U496" s="596"/>
      <c r="V496" s="597"/>
      <c r="W496" s="40" t="s">
        <v>67</v>
      </c>
      <c r="X496" s="41">
        <f>IFERROR(SUM(X488:X494),"0")</f>
        <v>851</v>
      </c>
      <c r="Y496" s="41">
        <f>IFERROR(SUM(Y488:Y494),"0")</f>
        <v>860.6400000000001</v>
      </c>
      <c r="Z496" s="40"/>
      <c r="AA496" s="64"/>
      <c r="AB496" s="64"/>
      <c r="AC496" s="64"/>
    </row>
    <row r="497" spans="1:68" ht="27.75" customHeight="1" x14ac:dyDescent="0.2">
      <c r="A497" s="752" t="s">
        <v>779</v>
      </c>
      <c r="B497" s="753"/>
      <c r="C497" s="753"/>
      <c r="D497" s="753"/>
      <c r="E497" s="753"/>
      <c r="F497" s="753"/>
      <c r="G497" s="753"/>
      <c r="H497" s="753"/>
      <c r="I497" s="753"/>
      <c r="J497" s="753"/>
      <c r="K497" s="753"/>
      <c r="L497" s="753"/>
      <c r="M497" s="753"/>
      <c r="N497" s="753"/>
      <c r="O497" s="753"/>
      <c r="P497" s="753"/>
      <c r="Q497" s="753"/>
      <c r="R497" s="753"/>
      <c r="S497" s="753"/>
      <c r="T497" s="753"/>
      <c r="U497" s="753"/>
      <c r="V497" s="753"/>
      <c r="W497" s="753"/>
      <c r="X497" s="753"/>
      <c r="Y497" s="753"/>
      <c r="Z497" s="753"/>
      <c r="AA497" s="52"/>
      <c r="AB497" s="52"/>
      <c r="AC497" s="52"/>
    </row>
    <row r="498" spans="1:68" ht="16.5" customHeight="1" x14ac:dyDescent="0.25">
      <c r="A498" s="610" t="s">
        <v>779</v>
      </c>
      <c r="B498" s="605"/>
      <c r="C498" s="605"/>
      <c r="D498" s="605"/>
      <c r="E498" s="605"/>
      <c r="F498" s="605"/>
      <c r="G498" s="605"/>
      <c r="H498" s="605"/>
      <c r="I498" s="605"/>
      <c r="J498" s="605"/>
      <c r="K498" s="605"/>
      <c r="L498" s="605"/>
      <c r="M498" s="605"/>
      <c r="N498" s="605"/>
      <c r="O498" s="605"/>
      <c r="P498" s="605"/>
      <c r="Q498" s="605"/>
      <c r="R498" s="605"/>
      <c r="S498" s="605"/>
      <c r="T498" s="605"/>
      <c r="U498" s="605"/>
      <c r="V498" s="605"/>
      <c r="W498" s="605"/>
      <c r="X498" s="605"/>
      <c r="Y498" s="605"/>
      <c r="Z498" s="605"/>
      <c r="AA498" s="62"/>
      <c r="AB498" s="62"/>
      <c r="AC498" s="62"/>
    </row>
    <row r="499" spans="1:68" ht="14.25" customHeight="1" x14ac:dyDescent="0.25">
      <c r="A499" s="609" t="s">
        <v>117</v>
      </c>
      <c r="B499" s="605"/>
      <c r="C499" s="605"/>
      <c r="D499" s="605"/>
      <c r="E499" s="605"/>
      <c r="F499" s="605"/>
      <c r="G499" s="605"/>
      <c r="H499" s="605"/>
      <c r="I499" s="605"/>
      <c r="J499" s="605"/>
      <c r="K499" s="605"/>
      <c r="L499" s="605"/>
      <c r="M499" s="605"/>
      <c r="N499" s="605"/>
      <c r="O499" s="605"/>
      <c r="P499" s="605"/>
      <c r="Q499" s="605"/>
      <c r="R499" s="605"/>
      <c r="S499" s="605"/>
      <c r="T499" s="605"/>
      <c r="U499" s="605"/>
      <c r="V499" s="605"/>
      <c r="W499" s="605"/>
      <c r="X499" s="605"/>
      <c r="Y499" s="605"/>
      <c r="Z499" s="605"/>
      <c r="AA499" s="63"/>
      <c r="AB499" s="63"/>
      <c r="AC499" s="63"/>
    </row>
    <row r="500" spans="1:68" ht="27" customHeight="1" x14ac:dyDescent="0.25">
      <c r="A500" s="60" t="s">
        <v>780</v>
      </c>
      <c r="B500" s="60" t="s">
        <v>781</v>
      </c>
      <c r="C500" s="34">
        <v>4301011584</v>
      </c>
      <c r="D500" s="598">
        <v>4640242180564</v>
      </c>
      <c r="E500" s="599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1"/>
      <c r="R500" s="601"/>
      <c r="S500" s="601"/>
      <c r="T500" s="602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04"/>
      <c r="B501" s="605"/>
      <c r="C501" s="605"/>
      <c r="D501" s="605"/>
      <c r="E501" s="605"/>
      <c r="F501" s="605"/>
      <c r="G501" s="605"/>
      <c r="H501" s="605"/>
      <c r="I501" s="605"/>
      <c r="J501" s="605"/>
      <c r="K501" s="605"/>
      <c r="L501" s="605"/>
      <c r="M501" s="605"/>
      <c r="N501" s="605"/>
      <c r="O501" s="606"/>
      <c r="P501" s="595" t="s">
        <v>72</v>
      </c>
      <c r="Q501" s="596"/>
      <c r="R501" s="596"/>
      <c r="S501" s="596"/>
      <c r="T501" s="596"/>
      <c r="U501" s="596"/>
      <c r="V501" s="597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05"/>
      <c r="B502" s="605"/>
      <c r="C502" s="605"/>
      <c r="D502" s="605"/>
      <c r="E502" s="605"/>
      <c r="F502" s="605"/>
      <c r="G502" s="605"/>
      <c r="H502" s="605"/>
      <c r="I502" s="605"/>
      <c r="J502" s="605"/>
      <c r="K502" s="605"/>
      <c r="L502" s="605"/>
      <c r="M502" s="605"/>
      <c r="N502" s="605"/>
      <c r="O502" s="606"/>
      <c r="P502" s="595" t="s">
        <v>72</v>
      </c>
      <c r="Q502" s="596"/>
      <c r="R502" s="596"/>
      <c r="S502" s="596"/>
      <c r="T502" s="596"/>
      <c r="U502" s="596"/>
      <c r="V502" s="597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09" t="s">
        <v>152</v>
      </c>
      <c r="B503" s="605"/>
      <c r="C503" s="605"/>
      <c r="D503" s="605"/>
      <c r="E503" s="605"/>
      <c r="F503" s="605"/>
      <c r="G503" s="605"/>
      <c r="H503" s="605"/>
      <c r="I503" s="605"/>
      <c r="J503" s="605"/>
      <c r="K503" s="605"/>
      <c r="L503" s="605"/>
      <c r="M503" s="605"/>
      <c r="N503" s="605"/>
      <c r="O503" s="605"/>
      <c r="P503" s="605"/>
      <c r="Q503" s="605"/>
      <c r="R503" s="605"/>
      <c r="S503" s="605"/>
      <c r="T503" s="605"/>
      <c r="U503" s="605"/>
      <c r="V503" s="605"/>
      <c r="W503" s="605"/>
      <c r="X503" s="605"/>
      <c r="Y503" s="605"/>
      <c r="Z503" s="605"/>
      <c r="AA503" s="63"/>
      <c r="AB503" s="63"/>
      <c r="AC503" s="63"/>
    </row>
    <row r="504" spans="1:68" ht="27" customHeight="1" x14ac:dyDescent="0.25">
      <c r="A504" s="60" t="s">
        <v>783</v>
      </c>
      <c r="B504" s="60" t="s">
        <v>784</v>
      </c>
      <c r="C504" s="34">
        <v>4301020400</v>
      </c>
      <c r="D504" s="598">
        <v>4640242180519</v>
      </c>
      <c r="E504" s="599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1"/>
      <c r="R504" s="601"/>
      <c r="S504" s="601"/>
      <c r="T504" s="602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04"/>
      <c r="B505" s="605"/>
      <c r="C505" s="605"/>
      <c r="D505" s="605"/>
      <c r="E505" s="605"/>
      <c r="F505" s="605"/>
      <c r="G505" s="605"/>
      <c r="H505" s="605"/>
      <c r="I505" s="605"/>
      <c r="J505" s="605"/>
      <c r="K505" s="605"/>
      <c r="L505" s="605"/>
      <c r="M505" s="605"/>
      <c r="N505" s="605"/>
      <c r="O505" s="606"/>
      <c r="P505" s="595" t="s">
        <v>72</v>
      </c>
      <c r="Q505" s="596"/>
      <c r="R505" s="596"/>
      <c r="S505" s="596"/>
      <c r="T505" s="596"/>
      <c r="U505" s="596"/>
      <c r="V505" s="597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05"/>
      <c r="B506" s="605"/>
      <c r="C506" s="605"/>
      <c r="D506" s="605"/>
      <c r="E506" s="605"/>
      <c r="F506" s="605"/>
      <c r="G506" s="605"/>
      <c r="H506" s="605"/>
      <c r="I506" s="605"/>
      <c r="J506" s="605"/>
      <c r="K506" s="605"/>
      <c r="L506" s="605"/>
      <c r="M506" s="605"/>
      <c r="N506" s="605"/>
      <c r="O506" s="606"/>
      <c r="P506" s="595" t="s">
        <v>72</v>
      </c>
      <c r="Q506" s="596"/>
      <c r="R506" s="596"/>
      <c r="S506" s="596"/>
      <c r="T506" s="596"/>
      <c r="U506" s="596"/>
      <c r="V506" s="597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09" t="s">
        <v>62</v>
      </c>
      <c r="B507" s="605"/>
      <c r="C507" s="605"/>
      <c r="D507" s="605"/>
      <c r="E507" s="605"/>
      <c r="F507" s="605"/>
      <c r="G507" s="605"/>
      <c r="H507" s="605"/>
      <c r="I507" s="605"/>
      <c r="J507" s="605"/>
      <c r="K507" s="605"/>
      <c r="L507" s="605"/>
      <c r="M507" s="605"/>
      <c r="N507" s="605"/>
      <c r="O507" s="605"/>
      <c r="P507" s="605"/>
      <c r="Q507" s="605"/>
      <c r="R507" s="605"/>
      <c r="S507" s="605"/>
      <c r="T507" s="605"/>
      <c r="U507" s="605"/>
      <c r="V507" s="605"/>
      <c r="W507" s="605"/>
      <c r="X507" s="605"/>
      <c r="Y507" s="605"/>
      <c r="Z507" s="605"/>
      <c r="AA507" s="63"/>
      <c r="AB507" s="63"/>
      <c r="AC507" s="63"/>
    </row>
    <row r="508" spans="1:68" ht="27" customHeight="1" x14ac:dyDescent="0.25">
      <c r="A508" s="60" t="s">
        <v>786</v>
      </c>
      <c r="B508" s="60" t="s">
        <v>787</v>
      </c>
      <c r="C508" s="34">
        <v>4301031467</v>
      </c>
      <c r="D508" s="598">
        <v>4640242180595</v>
      </c>
      <c r="E508" s="599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1"/>
      <c r="R508" s="601"/>
      <c r="S508" s="601"/>
      <c r="T508" s="602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customHeight="1" x14ac:dyDescent="0.25">
      <c r="A509" s="60" t="s">
        <v>786</v>
      </c>
      <c r="B509" s="60" t="s">
        <v>789</v>
      </c>
      <c r="C509" s="34">
        <v>4301031500</v>
      </c>
      <c r="D509" s="598">
        <v>4640242180595</v>
      </c>
      <c r="E509" s="599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1"/>
      <c r="R509" s="601"/>
      <c r="S509" s="601"/>
      <c r="T509" s="602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04"/>
      <c r="B510" s="605"/>
      <c r="C510" s="605"/>
      <c r="D510" s="605"/>
      <c r="E510" s="605"/>
      <c r="F510" s="605"/>
      <c r="G510" s="605"/>
      <c r="H510" s="605"/>
      <c r="I510" s="605"/>
      <c r="J510" s="605"/>
      <c r="K510" s="605"/>
      <c r="L510" s="605"/>
      <c r="M510" s="605"/>
      <c r="N510" s="605"/>
      <c r="O510" s="606"/>
      <c r="P510" s="595" t="s">
        <v>72</v>
      </c>
      <c r="Q510" s="596"/>
      <c r="R510" s="596"/>
      <c r="S510" s="596"/>
      <c r="T510" s="596"/>
      <c r="U510" s="596"/>
      <c r="V510" s="597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x14ac:dyDescent="0.2">
      <c r="A511" s="605"/>
      <c r="B511" s="605"/>
      <c r="C511" s="605"/>
      <c r="D511" s="605"/>
      <c r="E511" s="605"/>
      <c r="F511" s="605"/>
      <c r="G511" s="605"/>
      <c r="H511" s="605"/>
      <c r="I511" s="605"/>
      <c r="J511" s="605"/>
      <c r="K511" s="605"/>
      <c r="L511" s="605"/>
      <c r="M511" s="605"/>
      <c r="N511" s="605"/>
      <c r="O511" s="606"/>
      <c r="P511" s="595" t="s">
        <v>72</v>
      </c>
      <c r="Q511" s="596"/>
      <c r="R511" s="596"/>
      <c r="S511" s="596"/>
      <c r="T511" s="596"/>
      <c r="U511" s="596"/>
      <c r="V511" s="597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customHeight="1" x14ac:dyDescent="0.25">
      <c r="A512" s="609" t="s">
        <v>74</v>
      </c>
      <c r="B512" s="605"/>
      <c r="C512" s="605"/>
      <c r="D512" s="605"/>
      <c r="E512" s="605"/>
      <c r="F512" s="605"/>
      <c r="G512" s="605"/>
      <c r="H512" s="605"/>
      <c r="I512" s="605"/>
      <c r="J512" s="605"/>
      <c r="K512" s="605"/>
      <c r="L512" s="605"/>
      <c r="M512" s="605"/>
      <c r="N512" s="605"/>
      <c r="O512" s="605"/>
      <c r="P512" s="605"/>
      <c r="Q512" s="605"/>
      <c r="R512" s="605"/>
      <c r="S512" s="605"/>
      <c r="T512" s="605"/>
      <c r="U512" s="605"/>
      <c r="V512" s="605"/>
      <c r="W512" s="605"/>
      <c r="X512" s="605"/>
      <c r="Y512" s="605"/>
      <c r="Z512" s="605"/>
      <c r="AA512" s="63"/>
      <c r="AB512" s="63"/>
      <c r="AC512" s="63"/>
    </row>
    <row r="513" spans="1:68" ht="27" customHeight="1" x14ac:dyDescent="0.25">
      <c r="A513" s="60" t="s">
        <v>791</v>
      </c>
      <c r="B513" s="60" t="s">
        <v>792</v>
      </c>
      <c r="C513" s="34">
        <v>4301052046</v>
      </c>
      <c r="D513" s="598">
        <v>4640242180533</v>
      </c>
      <c r="E513" s="599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1"/>
      <c r="R513" s="601"/>
      <c r="S513" s="601"/>
      <c r="T513" s="602"/>
      <c r="U513" s="37"/>
      <c r="V513" s="37"/>
      <c r="W513" s="38" t="s">
        <v>67</v>
      </c>
      <c r="X513" s="56">
        <v>64</v>
      </c>
      <c r="Y513" s="53">
        <f>IFERROR(IF(X513="",0,CEILING((X513/$H513),1)*$H513),"")</f>
        <v>72</v>
      </c>
      <c r="Z513" s="39">
        <f>IFERROR(IF(Y513=0,"",ROUNDUP(Y513/H513,0)*0.01898),"")</f>
        <v>0.15184</v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67.512888888888881</v>
      </c>
      <c r="BN513" s="75">
        <f>IFERROR(Y513*I513/H513,"0")</f>
        <v>75.951999999999998</v>
      </c>
      <c r="BO513" s="75">
        <f>IFERROR(1/J513*(X513/H513),"0")</f>
        <v>0.1111111111111111</v>
      </c>
      <c r="BP513" s="75">
        <f>IFERROR(1/J513*(Y513/H513),"0")</f>
        <v>0.125</v>
      </c>
    </row>
    <row r="514" spans="1:68" x14ac:dyDescent="0.2">
      <c r="A514" s="604"/>
      <c r="B514" s="605"/>
      <c r="C514" s="605"/>
      <c r="D514" s="605"/>
      <c r="E514" s="605"/>
      <c r="F514" s="605"/>
      <c r="G514" s="605"/>
      <c r="H514" s="605"/>
      <c r="I514" s="605"/>
      <c r="J514" s="605"/>
      <c r="K514" s="605"/>
      <c r="L514" s="605"/>
      <c r="M514" s="605"/>
      <c r="N514" s="605"/>
      <c r="O514" s="606"/>
      <c r="P514" s="595" t="s">
        <v>72</v>
      </c>
      <c r="Q514" s="596"/>
      <c r="R514" s="596"/>
      <c r="S514" s="596"/>
      <c r="T514" s="596"/>
      <c r="U514" s="596"/>
      <c r="V514" s="597"/>
      <c r="W514" s="40" t="s">
        <v>73</v>
      </c>
      <c r="X514" s="41">
        <f>IFERROR(X513/H513,"0")</f>
        <v>7.1111111111111107</v>
      </c>
      <c r="Y514" s="41">
        <f>IFERROR(Y513/H513,"0")</f>
        <v>8</v>
      </c>
      <c r="Z514" s="41">
        <f>IFERROR(IF(Z513="",0,Z513),"0")</f>
        <v>0.15184</v>
      </c>
      <c r="AA514" s="64"/>
      <c r="AB514" s="64"/>
      <c r="AC514" s="64"/>
    </row>
    <row r="515" spans="1:68" x14ac:dyDescent="0.2">
      <c r="A515" s="605"/>
      <c r="B515" s="605"/>
      <c r="C515" s="605"/>
      <c r="D515" s="605"/>
      <c r="E515" s="605"/>
      <c r="F515" s="605"/>
      <c r="G515" s="605"/>
      <c r="H515" s="605"/>
      <c r="I515" s="605"/>
      <c r="J515" s="605"/>
      <c r="K515" s="605"/>
      <c r="L515" s="605"/>
      <c r="M515" s="605"/>
      <c r="N515" s="605"/>
      <c r="O515" s="606"/>
      <c r="P515" s="595" t="s">
        <v>72</v>
      </c>
      <c r="Q515" s="596"/>
      <c r="R515" s="596"/>
      <c r="S515" s="596"/>
      <c r="T515" s="596"/>
      <c r="U515" s="596"/>
      <c r="V515" s="597"/>
      <c r="W515" s="40" t="s">
        <v>67</v>
      </c>
      <c r="X515" s="41">
        <f>IFERROR(SUM(X513:X513),"0")</f>
        <v>64</v>
      </c>
      <c r="Y515" s="41">
        <f>IFERROR(SUM(Y513:Y513),"0")</f>
        <v>72</v>
      </c>
      <c r="Z515" s="40"/>
      <c r="AA515" s="64"/>
      <c r="AB515" s="64"/>
      <c r="AC515" s="64"/>
    </row>
    <row r="516" spans="1:68" ht="14.25" customHeight="1" x14ac:dyDescent="0.25">
      <c r="A516" s="609" t="s">
        <v>169</v>
      </c>
      <c r="B516" s="605"/>
      <c r="C516" s="605"/>
      <c r="D516" s="605"/>
      <c r="E516" s="605"/>
      <c r="F516" s="605"/>
      <c r="G516" s="605"/>
      <c r="H516" s="605"/>
      <c r="I516" s="605"/>
      <c r="J516" s="605"/>
      <c r="K516" s="605"/>
      <c r="L516" s="605"/>
      <c r="M516" s="605"/>
      <c r="N516" s="605"/>
      <c r="O516" s="605"/>
      <c r="P516" s="605"/>
      <c r="Q516" s="605"/>
      <c r="R516" s="605"/>
      <c r="S516" s="605"/>
      <c r="T516" s="605"/>
      <c r="U516" s="605"/>
      <c r="V516" s="605"/>
      <c r="W516" s="605"/>
      <c r="X516" s="605"/>
      <c r="Y516" s="605"/>
      <c r="Z516" s="605"/>
      <c r="AA516" s="63"/>
      <c r="AB516" s="63"/>
      <c r="AC516" s="63"/>
    </row>
    <row r="517" spans="1:68" ht="27" customHeight="1" x14ac:dyDescent="0.25">
      <c r="A517" s="60" t="s">
        <v>794</v>
      </c>
      <c r="B517" s="60" t="s">
        <v>795</v>
      </c>
      <c r="C517" s="34">
        <v>4301060535</v>
      </c>
      <c r="D517" s="598">
        <v>4640242180120</v>
      </c>
      <c r="E517" s="599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1"/>
      <c r="R517" s="601"/>
      <c r="S517" s="601"/>
      <c r="T517" s="602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customHeight="1" x14ac:dyDescent="0.25">
      <c r="A518" s="60" t="s">
        <v>797</v>
      </c>
      <c r="B518" s="60" t="s">
        <v>798</v>
      </c>
      <c r="C518" s="34">
        <v>4301060536</v>
      </c>
      <c r="D518" s="598">
        <v>4640242180137</v>
      </c>
      <c r="E518" s="599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1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1"/>
      <c r="R518" s="601"/>
      <c r="S518" s="601"/>
      <c r="T518" s="602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x14ac:dyDescent="0.2">
      <c r="A519" s="604"/>
      <c r="B519" s="605"/>
      <c r="C519" s="605"/>
      <c r="D519" s="605"/>
      <c r="E519" s="605"/>
      <c r="F519" s="605"/>
      <c r="G519" s="605"/>
      <c r="H519" s="605"/>
      <c r="I519" s="605"/>
      <c r="J519" s="605"/>
      <c r="K519" s="605"/>
      <c r="L519" s="605"/>
      <c r="M519" s="605"/>
      <c r="N519" s="605"/>
      <c r="O519" s="606"/>
      <c r="P519" s="595" t="s">
        <v>72</v>
      </c>
      <c r="Q519" s="596"/>
      <c r="R519" s="596"/>
      <c r="S519" s="596"/>
      <c r="T519" s="596"/>
      <c r="U519" s="596"/>
      <c r="V519" s="597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x14ac:dyDescent="0.2">
      <c r="A520" s="605"/>
      <c r="B520" s="605"/>
      <c r="C520" s="605"/>
      <c r="D520" s="605"/>
      <c r="E520" s="605"/>
      <c r="F520" s="605"/>
      <c r="G520" s="605"/>
      <c r="H520" s="605"/>
      <c r="I520" s="605"/>
      <c r="J520" s="605"/>
      <c r="K520" s="605"/>
      <c r="L520" s="605"/>
      <c r="M520" s="605"/>
      <c r="N520" s="605"/>
      <c r="O520" s="606"/>
      <c r="P520" s="595" t="s">
        <v>72</v>
      </c>
      <c r="Q520" s="596"/>
      <c r="R520" s="596"/>
      <c r="S520" s="596"/>
      <c r="T520" s="596"/>
      <c r="U520" s="596"/>
      <c r="V520" s="597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customHeight="1" x14ac:dyDescent="0.25">
      <c r="A521" s="610" t="s">
        <v>800</v>
      </c>
      <c r="B521" s="605"/>
      <c r="C521" s="605"/>
      <c r="D521" s="605"/>
      <c r="E521" s="605"/>
      <c r="F521" s="605"/>
      <c r="G521" s="605"/>
      <c r="H521" s="605"/>
      <c r="I521" s="605"/>
      <c r="J521" s="605"/>
      <c r="K521" s="605"/>
      <c r="L521" s="605"/>
      <c r="M521" s="605"/>
      <c r="N521" s="605"/>
      <c r="O521" s="605"/>
      <c r="P521" s="605"/>
      <c r="Q521" s="605"/>
      <c r="R521" s="605"/>
      <c r="S521" s="605"/>
      <c r="T521" s="605"/>
      <c r="U521" s="605"/>
      <c r="V521" s="605"/>
      <c r="W521" s="605"/>
      <c r="X521" s="605"/>
      <c r="Y521" s="605"/>
      <c r="Z521" s="605"/>
      <c r="AA521" s="62"/>
      <c r="AB521" s="62"/>
      <c r="AC521" s="62"/>
    </row>
    <row r="522" spans="1:68" ht="14.25" customHeight="1" x14ac:dyDescent="0.25">
      <c r="A522" s="609" t="s">
        <v>152</v>
      </c>
      <c r="B522" s="605"/>
      <c r="C522" s="605"/>
      <c r="D522" s="605"/>
      <c r="E522" s="605"/>
      <c r="F522" s="605"/>
      <c r="G522" s="605"/>
      <c r="H522" s="605"/>
      <c r="I522" s="605"/>
      <c r="J522" s="605"/>
      <c r="K522" s="605"/>
      <c r="L522" s="605"/>
      <c r="M522" s="605"/>
      <c r="N522" s="605"/>
      <c r="O522" s="605"/>
      <c r="P522" s="605"/>
      <c r="Q522" s="605"/>
      <c r="R522" s="605"/>
      <c r="S522" s="605"/>
      <c r="T522" s="605"/>
      <c r="U522" s="605"/>
      <c r="V522" s="605"/>
      <c r="W522" s="605"/>
      <c r="X522" s="605"/>
      <c r="Y522" s="605"/>
      <c r="Z522" s="605"/>
      <c r="AA522" s="63"/>
      <c r="AB522" s="63"/>
      <c r="AC522" s="63"/>
    </row>
    <row r="523" spans="1:68" ht="27" customHeight="1" x14ac:dyDescent="0.25">
      <c r="A523" s="60" t="s">
        <v>801</v>
      </c>
      <c r="B523" s="60" t="s">
        <v>802</v>
      </c>
      <c r="C523" s="34">
        <v>4301020428</v>
      </c>
      <c r="D523" s="598">
        <v>4640242180090</v>
      </c>
      <c r="E523" s="599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1"/>
      <c r="R523" s="601"/>
      <c r="S523" s="601"/>
      <c r="T523" s="602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04"/>
      <c r="B524" s="605"/>
      <c r="C524" s="605"/>
      <c r="D524" s="605"/>
      <c r="E524" s="605"/>
      <c r="F524" s="605"/>
      <c r="G524" s="605"/>
      <c r="H524" s="605"/>
      <c r="I524" s="605"/>
      <c r="J524" s="605"/>
      <c r="K524" s="605"/>
      <c r="L524" s="605"/>
      <c r="M524" s="605"/>
      <c r="N524" s="605"/>
      <c r="O524" s="606"/>
      <c r="P524" s="595" t="s">
        <v>72</v>
      </c>
      <c r="Q524" s="596"/>
      <c r="R524" s="596"/>
      <c r="S524" s="596"/>
      <c r="T524" s="596"/>
      <c r="U524" s="596"/>
      <c r="V524" s="597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x14ac:dyDescent="0.2">
      <c r="A525" s="605"/>
      <c r="B525" s="605"/>
      <c r="C525" s="605"/>
      <c r="D525" s="605"/>
      <c r="E525" s="605"/>
      <c r="F525" s="605"/>
      <c r="G525" s="605"/>
      <c r="H525" s="605"/>
      <c r="I525" s="605"/>
      <c r="J525" s="605"/>
      <c r="K525" s="605"/>
      <c r="L525" s="605"/>
      <c r="M525" s="605"/>
      <c r="N525" s="605"/>
      <c r="O525" s="606"/>
      <c r="P525" s="595" t="s">
        <v>72</v>
      </c>
      <c r="Q525" s="596"/>
      <c r="R525" s="596"/>
      <c r="S525" s="596"/>
      <c r="T525" s="596"/>
      <c r="U525" s="596"/>
      <c r="V525" s="597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78"/>
      <c r="B526" s="605"/>
      <c r="C526" s="605"/>
      <c r="D526" s="605"/>
      <c r="E526" s="605"/>
      <c r="F526" s="605"/>
      <c r="G526" s="605"/>
      <c r="H526" s="605"/>
      <c r="I526" s="605"/>
      <c r="J526" s="605"/>
      <c r="K526" s="605"/>
      <c r="L526" s="605"/>
      <c r="M526" s="605"/>
      <c r="N526" s="605"/>
      <c r="O526" s="679"/>
      <c r="P526" s="671" t="s">
        <v>804</v>
      </c>
      <c r="Q526" s="672"/>
      <c r="R526" s="672"/>
      <c r="S526" s="672"/>
      <c r="T526" s="672"/>
      <c r="U526" s="672"/>
      <c r="V526" s="673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15213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15364.89</v>
      </c>
      <c r="Z526" s="40"/>
      <c r="AA526" s="64"/>
      <c r="AB526" s="64"/>
      <c r="AC526" s="64"/>
    </row>
    <row r="527" spans="1:68" x14ac:dyDescent="0.2">
      <c r="A527" s="605"/>
      <c r="B527" s="605"/>
      <c r="C527" s="605"/>
      <c r="D527" s="605"/>
      <c r="E527" s="605"/>
      <c r="F527" s="605"/>
      <c r="G527" s="605"/>
      <c r="H527" s="605"/>
      <c r="I527" s="605"/>
      <c r="J527" s="605"/>
      <c r="K527" s="605"/>
      <c r="L527" s="605"/>
      <c r="M527" s="605"/>
      <c r="N527" s="605"/>
      <c r="O527" s="679"/>
      <c r="P527" s="671" t="s">
        <v>805</v>
      </c>
      <c r="Q527" s="672"/>
      <c r="R527" s="672"/>
      <c r="S527" s="672"/>
      <c r="T527" s="672"/>
      <c r="U527" s="672"/>
      <c r="V527" s="673"/>
      <c r="W527" s="40" t="s">
        <v>67</v>
      </c>
      <c r="X527" s="41">
        <f>IFERROR(SUM(BM22:BM523),"0")</f>
        <v>15985.568336645478</v>
      </c>
      <c r="Y527" s="41">
        <f>IFERROR(SUM(BN22:BN523),"0")</f>
        <v>16146.099999999999</v>
      </c>
      <c r="Z527" s="40"/>
      <c r="AA527" s="64"/>
      <c r="AB527" s="64"/>
      <c r="AC527" s="64"/>
    </row>
    <row r="528" spans="1:68" x14ac:dyDescent="0.2">
      <c r="A528" s="605"/>
      <c r="B528" s="605"/>
      <c r="C528" s="605"/>
      <c r="D528" s="605"/>
      <c r="E528" s="605"/>
      <c r="F528" s="605"/>
      <c r="G528" s="605"/>
      <c r="H528" s="605"/>
      <c r="I528" s="605"/>
      <c r="J528" s="605"/>
      <c r="K528" s="605"/>
      <c r="L528" s="605"/>
      <c r="M528" s="605"/>
      <c r="N528" s="605"/>
      <c r="O528" s="679"/>
      <c r="P528" s="671" t="s">
        <v>806</v>
      </c>
      <c r="Q528" s="672"/>
      <c r="R528" s="672"/>
      <c r="S528" s="672"/>
      <c r="T528" s="672"/>
      <c r="U528" s="672"/>
      <c r="V528" s="673"/>
      <c r="W528" s="40" t="s">
        <v>807</v>
      </c>
      <c r="X528" s="42">
        <f>ROUNDUP(SUM(BO22:BO523),0)</f>
        <v>26</v>
      </c>
      <c r="Y528" s="42">
        <f>ROUNDUP(SUM(BP22:BP523),0)</f>
        <v>26</v>
      </c>
      <c r="Z528" s="40"/>
      <c r="AA528" s="64"/>
      <c r="AB528" s="64"/>
      <c r="AC528" s="64"/>
    </row>
    <row r="529" spans="1:32" x14ac:dyDescent="0.2">
      <c r="A529" s="605"/>
      <c r="B529" s="605"/>
      <c r="C529" s="605"/>
      <c r="D529" s="605"/>
      <c r="E529" s="605"/>
      <c r="F529" s="605"/>
      <c r="G529" s="605"/>
      <c r="H529" s="605"/>
      <c r="I529" s="605"/>
      <c r="J529" s="605"/>
      <c r="K529" s="605"/>
      <c r="L529" s="605"/>
      <c r="M529" s="605"/>
      <c r="N529" s="605"/>
      <c r="O529" s="679"/>
      <c r="P529" s="671" t="s">
        <v>808</v>
      </c>
      <c r="Q529" s="672"/>
      <c r="R529" s="672"/>
      <c r="S529" s="672"/>
      <c r="T529" s="672"/>
      <c r="U529" s="672"/>
      <c r="V529" s="673"/>
      <c r="W529" s="40" t="s">
        <v>67</v>
      </c>
      <c r="X529" s="41">
        <f>GrossWeightTotal+PalletQtyTotal*25</f>
        <v>16635.568336645476</v>
      </c>
      <c r="Y529" s="41">
        <f>GrossWeightTotalR+PalletQtyTotalR*25</f>
        <v>16796.099999999999</v>
      </c>
      <c r="Z529" s="40"/>
      <c r="AA529" s="64"/>
      <c r="AB529" s="64"/>
      <c r="AC529" s="64"/>
    </row>
    <row r="530" spans="1:32" x14ac:dyDescent="0.2">
      <c r="A530" s="605"/>
      <c r="B530" s="605"/>
      <c r="C530" s="605"/>
      <c r="D530" s="605"/>
      <c r="E530" s="605"/>
      <c r="F530" s="605"/>
      <c r="G530" s="605"/>
      <c r="H530" s="605"/>
      <c r="I530" s="605"/>
      <c r="J530" s="605"/>
      <c r="K530" s="605"/>
      <c r="L530" s="605"/>
      <c r="M530" s="605"/>
      <c r="N530" s="605"/>
      <c r="O530" s="679"/>
      <c r="P530" s="671" t="s">
        <v>809</v>
      </c>
      <c r="Q530" s="672"/>
      <c r="R530" s="672"/>
      <c r="S530" s="672"/>
      <c r="T530" s="672"/>
      <c r="U530" s="672"/>
      <c r="V530" s="673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2393.5042685921994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2421</v>
      </c>
      <c r="Z530" s="40"/>
      <c r="AA530" s="64"/>
      <c r="AB530" s="64"/>
      <c r="AC530" s="64"/>
    </row>
    <row r="531" spans="1:32" ht="14.25" customHeight="1" x14ac:dyDescent="0.2">
      <c r="A531" s="605"/>
      <c r="B531" s="605"/>
      <c r="C531" s="605"/>
      <c r="D531" s="605"/>
      <c r="E531" s="605"/>
      <c r="F531" s="605"/>
      <c r="G531" s="605"/>
      <c r="H531" s="605"/>
      <c r="I531" s="605"/>
      <c r="J531" s="605"/>
      <c r="K531" s="605"/>
      <c r="L531" s="605"/>
      <c r="M531" s="605"/>
      <c r="N531" s="605"/>
      <c r="O531" s="679"/>
      <c r="P531" s="671" t="s">
        <v>810</v>
      </c>
      <c r="Q531" s="672"/>
      <c r="R531" s="672"/>
      <c r="S531" s="672"/>
      <c r="T531" s="672"/>
      <c r="U531" s="672"/>
      <c r="V531" s="673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29.662160000000004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3" t="s">
        <v>115</v>
      </c>
      <c r="E533" s="614"/>
      <c r="F533" s="614"/>
      <c r="G533" s="614"/>
      <c r="H533" s="614"/>
      <c r="I533" s="614"/>
      <c r="J533" s="615"/>
      <c r="K533" s="613" t="s">
        <v>322</v>
      </c>
      <c r="L533" s="614"/>
      <c r="M533" s="614"/>
      <c r="N533" s="614"/>
      <c r="O533" s="614"/>
      <c r="P533" s="614"/>
      <c r="Q533" s="614"/>
      <c r="R533" s="614"/>
      <c r="S533" s="614"/>
      <c r="T533" s="614"/>
      <c r="U533" s="615"/>
      <c r="V533" s="613" t="s">
        <v>636</v>
      </c>
      <c r="W533" s="615"/>
      <c r="X533" s="613" t="s">
        <v>696</v>
      </c>
      <c r="Y533" s="615"/>
      <c r="Z533" s="80" t="s">
        <v>732</v>
      </c>
      <c r="AA533" s="613" t="s">
        <v>779</v>
      </c>
      <c r="AB533" s="615"/>
      <c r="AC533" s="9"/>
      <c r="AF533" s="1"/>
    </row>
    <row r="534" spans="1:32" ht="14.25" customHeight="1" thickTop="1" x14ac:dyDescent="0.2">
      <c r="A534" s="748" t="s">
        <v>813</v>
      </c>
      <c r="B534" s="613" t="s">
        <v>61</v>
      </c>
      <c r="C534" s="613" t="s">
        <v>102</v>
      </c>
      <c r="D534" s="613" t="s">
        <v>116</v>
      </c>
      <c r="E534" s="613" t="s">
        <v>132</v>
      </c>
      <c r="F534" s="613" t="s">
        <v>176</v>
      </c>
      <c r="G534" s="613" t="s">
        <v>197</v>
      </c>
      <c r="H534" s="613" t="s">
        <v>240</v>
      </c>
      <c r="I534" s="613" t="s">
        <v>252</v>
      </c>
      <c r="J534" s="613" t="s">
        <v>115</v>
      </c>
      <c r="K534" s="613" t="s">
        <v>323</v>
      </c>
      <c r="L534" s="613" t="s">
        <v>335</v>
      </c>
      <c r="M534" s="613" t="s">
        <v>394</v>
      </c>
      <c r="N534" s="1"/>
      <c r="O534" s="613" t="s">
        <v>462</v>
      </c>
      <c r="P534" s="613" t="s">
        <v>498</v>
      </c>
      <c r="Q534" s="613" t="s">
        <v>514</v>
      </c>
      <c r="R534" s="613" t="s">
        <v>523</v>
      </c>
      <c r="S534" s="613" t="s">
        <v>544</v>
      </c>
      <c r="T534" s="613" t="s">
        <v>554</v>
      </c>
      <c r="U534" s="613" t="s">
        <v>626</v>
      </c>
      <c r="V534" s="613" t="s">
        <v>637</v>
      </c>
      <c r="W534" s="613" t="s">
        <v>680</v>
      </c>
      <c r="X534" s="613" t="s">
        <v>697</v>
      </c>
      <c r="Y534" s="613" t="s">
        <v>720</v>
      </c>
      <c r="Z534" s="613" t="s">
        <v>732</v>
      </c>
      <c r="AA534" s="613" t="s">
        <v>779</v>
      </c>
      <c r="AB534" s="613" t="s">
        <v>800</v>
      </c>
      <c r="AC534" s="9"/>
      <c r="AF534" s="1"/>
    </row>
    <row r="535" spans="1:32" ht="13.5" customHeight="1" thickBot="1" x14ac:dyDescent="0.25">
      <c r="A535" s="749"/>
      <c r="B535" s="616"/>
      <c r="C535" s="616"/>
      <c r="D535" s="616"/>
      <c r="E535" s="616"/>
      <c r="F535" s="616"/>
      <c r="G535" s="616"/>
      <c r="H535" s="616"/>
      <c r="I535" s="616"/>
      <c r="J535" s="616"/>
      <c r="K535" s="616"/>
      <c r="L535" s="616"/>
      <c r="M535" s="616"/>
      <c r="N535" s="1"/>
      <c r="O535" s="616"/>
      <c r="P535" s="616"/>
      <c r="Q535" s="616"/>
      <c r="R535" s="616"/>
      <c r="S535" s="616"/>
      <c r="T535" s="616"/>
      <c r="U535" s="616"/>
      <c r="V535" s="616"/>
      <c r="W535" s="616"/>
      <c r="X535" s="616"/>
      <c r="Y535" s="616"/>
      <c r="Z535" s="616"/>
      <c r="AA535" s="616"/>
      <c r="AB535" s="616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302.40000000000003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301.79999999999995</v>
      </c>
      <c r="F536" s="50">
        <f>IFERROR(Y87*1,"0")+IFERROR(Y88*1,"0")+IFERROR(Y89*1,"0")+IFERROR(Y90*1,"0")+IFERROR(Y94*1,"0")+IFERROR(Y95*1,"0")+IFERROR(Y96*1,"0")+IFERROR(Y97*1,"0")</f>
        <v>412.20000000000005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622.11</v>
      </c>
      <c r="H536" s="50">
        <f>IFERROR(Y133*1,"0")+IFERROR(Y134*1,"0")+IFERROR(Y138*1,"0")+IFERROR(Y139*1,"0")+IFERROR(Y143*1,"0")+IFERROR(Y144*1,"0")</f>
        <v>91.2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751.38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84.940000000000012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1533.3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5.58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24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156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705.8</v>
      </c>
      <c r="U536" s="50">
        <f>IFERROR(Y391*1,"0")+IFERROR(Y392*1,"0")+IFERROR(Y393*1,"0")</f>
        <v>18.900000000000002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7125</v>
      </c>
      <c r="W536" s="50">
        <f>IFERROR(Y426*1,"0")+IFERROR(Y427*1,"0")+IFERROR(Y431*1,"0")+IFERROR(Y435*1,"0")+IFERROR(Y436*1,"0")+IFERROR(Y437*1,"0")</f>
        <v>405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2753.2799999999997</v>
      </c>
      <c r="AA536" s="50">
        <f>IFERROR(Y500*1,"0")+IFERROR(Y504*1,"0")+IFERROR(Y508*1,"0")+IFERROR(Y509*1,"0")+IFERROR(Y513*1,"0")+IFERROR(Y517*1,"0")+IFERROR(Y518*1,"0")</f>
        <v>72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1"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D54:E54"/>
    <mergeCell ref="P160:V160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P483:T483"/>
    <mergeCell ref="D320:E320"/>
    <mergeCell ref="D149:E149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D134:E134"/>
    <mergeCell ref="A80:Z80"/>
    <mergeCell ref="A330:O331"/>
    <mergeCell ref="D357:E357"/>
    <mergeCell ref="P172:T172"/>
    <mergeCell ref="P459:V459"/>
    <mergeCell ref="D365:E365"/>
    <mergeCell ref="P91:V9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