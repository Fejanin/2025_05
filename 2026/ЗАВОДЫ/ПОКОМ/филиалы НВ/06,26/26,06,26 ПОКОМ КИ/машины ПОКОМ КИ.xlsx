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0E6265E1-E5AA-424C-A588-E88D382E35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3" i="1"/>
  <c r="S20" i="1"/>
  <c r="S25" i="1" s="1"/>
  <c r="R20" i="1"/>
  <c r="R25" i="1" s="1"/>
  <c r="Q20" i="1"/>
  <c r="Q25" i="1" s="1"/>
  <c r="P20" i="1"/>
  <c r="P25" i="1" s="1"/>
  <c r="O20" i="1"/>
  <c r="O25" i="1" s="1"/>
  <c r="N20" i="1"/>
  <c r="N25" i="1" s="1"/>
  <c r="B23" i="1"/>
  <c r="B22" i="1"/>
  <c r="B21" i="1"/>
  <c r="W17" i="1" l="1"/>
  <c r="W18" i="1"/>
  <c r="C20" i="1" l="1"/>
  <c r="C25" i="1" s="1"/>
  <c r="D20" i="1"/>
  <c r="D25" i="1" s="1"/>
  <c r="W14" i="1" l="1"/>
  <c r="W15" i="1"/>
  <c r="W16" i="1" l="1"/>
  <c r="E20" i="1" l="1"/>
  <c r="E25" i="1" s="1"/>
  <c r="W19" i="1" l="1"/>
  <c r="V20" i="1"/>
  <c r="V25" i="1" s="1"/>
  <c r="U20" i="1"/>
  <c r="U25" i="1" s="1"/>
  <c r="T20" i="1"/>
  <c r="T25" i="1" s="1"/>
  <c r="F20" i="1" l="1"/>
  <c r="F25" i="1" s="1"/>
  <c r="G20" i="1"/>
  <c r="G25" i="1" s="1"/>
  <c r="H20" i="1"/>
  <c r="H25" i="1" s="1"/>
  <c r="I20" i="1"/>
  <c r="I25" i="1" s="1"/>
  <c r="J20" i="1"/>
  <c r="J25" i="1" s="1"/>
  <c r="K20" i="1"/>
  <c r="K25" i="1" s="1"/>
  <c r="L20" i="1"/>
  <c r="L25" i="1" s="1"/>
  <c r="M20" i="1"/>
  <c r="M25" i="1" s="1"/>
  <c r="B20" i="1" l="1"/>
  <c r="B25" i="1" s="1"/>
  <c r="W20" i="1" l="1"/>
  <c r="W25" i="1" s="1"/>
</calcChain>
</file>

<file path=xl/sharedStrings.xml><?xml version="1.0" encoding="utf-8"?>
<sst xmlns="http://schemas.openxmlformats.org/spreadsheetml/2006/main" count="52" uniqueCount="35">
  <si>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</si>
  <si>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</si>
  <si>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</si>
  <si>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</si>
  <si>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</si>
  <si>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</si>
  <si>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</si>
  <si>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</si>
  <si>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</si>
  <si>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</si>
  <si>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</si>
  <si>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</si>
  <si>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</si>
  <si>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</si>
  <si>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</si>
  <si>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</si>
  <si>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</si>
  <si>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</si>
  <si>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</si>
  <si>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</si>
  <si>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</si>
  <si>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</si>
  <si>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</si>
  <si>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</si>
  <si>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</si>
  <si>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</si>
  <si>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Донецк и Луганск сыры</t>
  </si>
  <si>
    <t>Мелитополь сыры</t>
  </si>
  <si>
    <t>Бердянск сыры</t>
  </si>
  <si>
    <t>1 машина на 29,06</t>
  </si>
  <si>
    <t>2 машина на 29,06</t>
  </si>
  <si>
    <t>3 машина на 29,06</t>
  </si>
  <si>
    <t>4 машина на 29,06</t>
  </si>
  <si>
    <t>1 машина на 30,06</t>
  </si>
  <si>
    <t>2 машина на 30,06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</si>
</sst>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5" xfId="0" applyBorder="1"/>
    <xf numFmtId="0" fontId="0" fillId="0" borderId="29" xfId="0" applyBorder="1"/>
    <xf numFmtId="0" fontId="0" fillId="0" borderId="16" xfId="0" applyBorder="1"/>
    <xf numFmtId="0" fontId="0" fillId="0" borderId="30" xfId="0" applyBorder="1"/>
    <xf numFmtId="0" fontId="0" fillId="0" borderId="21" xfId="0" applyBorder="1"/>
    <xf numFmtId="0" fontId="0" fillId="0" borderId="31" xfId="0" applyBorder="1"/>
    <xf numFmtId="0" fontId="1" fillId="0" borderId="33" xfId="0" applyFont="1" applyBorder="1"/>
    <xf numFmtId="0" fontId="1" fillId="0" borderId="32" xfId="0" applyFont="1" applyBorder="1"/>
    <xf numFmtId="0" fontId="0" fillId="3" borderId="6" xfId="0" applyFill="1" applyBorder="1"/>
    <xf numFmtId="0" fontId="0" fillId="3" borderId="0" xfId="0" applyFill="1"/>
    <xf numFmtId="0" fontId="0" fillId="4" borderId="6" xfId="0" applyFill="1" applyBorder="1"/>
    <xf numFmtId="0" fontId="0" fillId="4" borderId="20" xfId="0" applyFill="1" applyBorder="1"/>
    <xf numFmtId="0" fontId="0" fillId="4" borderId="0" xfId="0" applyFill="1"/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zoomScale="115" zoomScaleNormal="115" workbookViewId="0">
      <selection activeCell="F28" sqref="F28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3" width="8.140625" bestFit="1" customWidth="1"/>
  </cols>
  <sheetData>
    <row r="1" spans="1:23" ht="15" customHeight="1" x14ac:dyDescent="0.25">
      <c r="A1" s="35" t="s">
        <v>5</v>
      </c>
      <c r="B1" s="37" t="s">
        <v>19</v>
      </c>
      <c r="C1" s="37" t="s">
        <v>20</v>
      </c>
      <c r="D1" s="37" t="s">
        <v>21</v>
      </c>
      <c r="E1" s="35" t="s">
        <v>29</v>
      </c>
      <c r="F1" s="39"/>
      <c r="G1" s="40"/>
      <c r="H1" s="35" t="s">
        <v>30</v>
      </c>
      <c r="I1" s="39"/>
      <c r="J1" s="40"/>
      <c r="K1" s="35" t="s">
        <v>31</v>
      </c>
      <c r="L1" s="39"/>
      <c r="M1" s="40"/>
      <c r="N1" s="35" t="s">
        <v>32</v>
      </c>
      <c r="O1" s="39"/>
      <c r="P1" s="40"/>
      <c r="Q1" s="35" t="s">
        <v>33</v>
      </c>
      <c r="R1" s="39"/>
      <c r="S1" s="40"/>
      <c r="T1" s="35" t="s">
        <v>34</v>
      </c>
      <c r="U1" s="39"/>
      <c r="V1" s="40"/>
      <c r="W1" s="33" t="s">
        <v>6</v>
      </c>
    </row>
    <row r="2" spans="1:23" ht="30.75" thickBot="1" x14ac:dyDescent="0.3">
      <c r="A2" s="36"/>
      <c r="B2" s="38"/>
      <c r="C2" s="38"/>
      <c r="D2" s="38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17" t="s">
        <v>10</v>
      </c>
      <c r="R2" s="18" t="s">
        <v>11</v>
      </c>
      <c r="S2" s="19" t="s">
        <v>12</v>
      </c>
      <c r="T2" s="17" t="s">
        <v>10</v>
      </c>
      <c r="U2" s="18" t="s">
        <v>11</v>
      </c>
      <c r="V2" s="19" t="s">
        <v>12</v>
      </c>
      <c r="W2" s="34"/>
    </row>
    <row r="3" spans="1:23" x14ac:dyDescent="0.25">
      <c r="A3" s="6" t="s">
        <v>0</v>
      </c>
      <c r="B3" s="20">
        <v>15364</v>
      </c>
      <c r="C3" s="21">
        <v>16796</v>
      </c>
      <c r="D3" s="21">
        <v>26</v>
      </c>
      <c r="E3" s="6">
        <v>15364</v>
      </c>
      <c r="F3" s="3">
        <v>16796</v>
      </c>
      <c r="G3" s="7">
        <v>26</v>
      </c>
      <c r="H3" s="6"/>
      <c r="I3" s="3"/>
      <c r="J3" s="7"/>
      <c r="K3" s="6"/>
      <c r="L3" s="3"/>
      <c r="M3" s="7"/>
      <c r="N3" s="6"/>
      <c r="O3" s="3"/>
      <c r="P3" s="7"/>
      <c r="Q3" s="6"/>
      <c r="R3" s="3"/>
      <c r="S3" s="7"/>
      <c r="T3" s="6"/>
      <c r="U3" s="3"/>
      <c r="V3" s="7"/>
      <c r="W3" s="8">
        <f>B3-E3-H3-K3-N3-Q3-T3</f>
        <v>0</v>
      </c>
    </row>
    <row r="4" spans="1:23" x14ac:dyDescent="0.25">
      <c r="A4" s="30" t="s">
        <v>1</v>
      </c>
      <c r="B4" s="20">
        <v>40793</v>
      </c>
      <c r="C4" s="21"/>
      <c r="D4" s="23"/>
      <c r="E4" s="4"/>
      <c r="F4" s="2"/>
      <c r="G4" s="5"/>
      <c r="H4" s="4">
        <v>17300</v>
      </c>
      <c r="I4" s="2"/>
      <c r="J4" s="5"/>
      <c r="K4" s="4">
        <v>14500</v>
      </c>
      <c r="L4" s="2"/>
      <c r="M4" s="5"/>
      <c r="N4" s="4"/>
      <c r="O4" s="2"/>
      <c r="P4" s="5"/>
      <c r="Q4" s="4">
        <v>9000</v>
      </c>
      <c r="R4" s="2"/>
      <c r="S4" s="5"/>
      <c r="T4" s="4"/>
      <c r="U4" s="2"/>
      <c r="V4" s="5"/>
      <c r="W4" s="8">
        <f t="shared" ref="W4:W13" si="0">B4-E4-H4-K4-N4-Q4-T4</f>
        <v>-7</v>
      </c>
    </row>
    <row r="5" spans="1:23" x14ac:dyDescent="0.25">
      <c r="A5" s="4" t="s">
        <v>2</v>
      </c>
      <c r="B5" s="22">
        <v>11560</v>
      </c>
      <c r="C5" s="23"/>
      <c r="D5" s="23"/>
      <c r="E5" s="4"/>
      <c r="F5" s="2"/>
      <c r="G5" s="5"/>
      <c r="H5" s="4"/>
      <c r="I5" s="2"/>
      <c r="J5" s="5"/>
      <c r="K5" s="4"/>
      <c r="L5" s="2"/>
      <c r="M5" s="5"/>
      <c r="N5" s="4"/>
      <c r="O5" s="2"/>
      <c r="P5" s="5"/>
      <c r="Q5" s="4"/>
      <c r="R5" s="2"/>
      <c r="S5" s="5"/>
      <c r="T5" s="4"/>
      <c r="U5" s="2"/>
      <c r="V5" s="5"/>
      <c r="W5" s="8">
        <f t="shared" si="0"/>
        <v>11560</v>
      </c>
    </row>
    <row r="6" spans="1:23" x14ac:dyDescent="0.25">
      <c r="A6" s="28" t="s">
        <v>3</v>
      </c>
      <c r="B6" s="22">
        <v>12972</v>
      </c>
      <c r="C6" s="23"/>
      <c r="D6" s="23"/>
      <c r="E6" s="4"/>
      <c r="F6" s="2"/>
      <c r="G6" s="5"/>
      <c r="H6" s="4"/>
      <c r="I6" s="2"/>
      <c r="J6" s="5"/>
      <c r="K6" s="4"/>
      <c r="L6" s="2"/>
      <c r="M6" s="5"/>
      <c r="N6" s="4">
        <v>12972</v>
      </c>
      <c r="O6" s="2"/>
      <c r="P6" s="5"/>
      <c r="Q6" s="4"/>
      <c r="R6" s="2"/>
      <c r="S6" s="5"/>
      <c r="T6" s="4"/>
      <c r="U6" s="2"/>
      <c r="V6" s="5"/>
      <c r="W6" s="8">
        <f t="shared" si="0"/>
        <v>0</v>
      </c>
    </row>
    <row r="7" spans="1:23" hidden="1" x14ac:dyDescent="0.25">
      <c r="A7" s="4" t="s">
        <v>8</v>
      </c>
      <c r="B7" s="22"/>
      <c r="C7" s="23"/>
      <c r="D7" s="23"/>
      <c r="E7" s="4"/>
      <c r="F7" s="2"/>
      <c r="G7" s="5"/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5"/>
      <c r="T7" s="4"/>
      <c r="U7" s="2"/>
      <c r="V7" s="5"/>
      <c r="W7" s="8">
        <f t="shared" si="0"/>
        <v>0</v>
      </c>
    </row>
    <row r="8" spans="1:23" hidden="1" x14ac:dyDescent="0.25">
      <c r="A8" s="4" t="s">
        <v>14</v>
      </c>
      <c r="B8" s="22"/>
      <c r="C8" s="23"/>
      <c r="D8" s="23"/>
      <c r="E8" s="4"/>
      <c r="F8" s="2"/>
      <c r="G8" s="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4"/>
      <c r="U8" s="2"/>
      <c r="V8" s="5"/>
      <c r="W8" s="8">
        <f t="shared" si="0"/>
        <v>0</v>
      </c>
    </row>
    <row r="9" spans="1:23" hidden="1" x14ac:dyDescent="0.25">
      <c r="A9" s="4" t="s">
        <v>4</v>
      </c>
      <c r="B9" s="22"/>
      <c r="C9" s="23"/>
      <c r="D9" s="23"/>
      <c r="E9" s="4"/>
      <c r="F9" s="2"/>
      <c r="G9" s="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4"/>
      <c r="U9" s="2"/>
      <c r="V9" s="5"/>
      <c r="W9" s="8">
        <f t="shared" si="0"/>
        <v>0</v>
      </c>
    </row>
    <row r="10" spans="1:23" hidden="1" x14ac:dyDescent="0.25">
      <c r="A10" s="9" t="s">
        <v>22</v>
      </c>
      <c r="B10" s="24"/>
      <c r="C10" s="25"/>
      <c r="D10" s="25"/>
      <c r="E10" s="9"/>
      <c r="F10" s="10"/>
      <c r="G10" s="11"/>
      <c r="H10" s="9"/>
      <c r="I10" s="10"/>
      <c r="J10" s="11"/>
      <c r="K10" s="9"/>
      <c r="L10" s="10"/>
      <c r="M10" s="11"/>
      <c r="N10" s="9"/>
      <c r="O10" s="10"/>
      <c r="P10" s="11"/>
      <c r="Q10" s="9"/>
      <c r="R10" s="10"/>
      <c r="S10" s="11"/>
      <c r="T10" s="9"/>
      <c r="U10" s="10"/>
      <c r="V10" s="11"/>
      <c r="W10" s="8">
        <f t="shared" si="0"/>
        <v>0</v>
      </c>
    </row>
    <row r="11" spans="1:23" hidden="1" x14ac:dyDescent="0.25">
      <c r="A11" s="9" t="s">
        <v>13</v>
      </c>
      <c r="B11" s="24"/>
      <c r="C11" s="25"/>
      <c r="D11" s="25"/>
      <c r="E11" s="9"/>
      <c r="F11" s="10"/>
      <c r="G11" s="11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9"/>
      <c r="U11" s="10"/>
      <c r="V11" s="11"/>
      <c r="W11" s="8">
        <f t="shared" si="0"/>
        <v>0</v>
      </c>
    </row>
    <row r="12" spans="1:23" hidden="1" x14ac:dyDescent="0.25">
      <c r="A12" s="9" t="s">
        <v>25</v>
      </c>
      <c r="B12" s="24"/>
      <c r="C12" s="25"/>
      <c r="D12" s="25"/>
      <c r="E12" s="9"/>
      <c r="F12" s="10"/>
      <c r="G12" s="11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9"/>
      <c r="U12" s="10"/>
      <c r="V12" s="11"/>
      <c r="W12" s="8">
        <f t="shared" si="0"/>
        <v>0</v>
      </c>
    </row>
    <row r="13" spans="1:23" ht="15.75" thickBot="1" x14ac:dyDescent="0.3">
      <c r="A13" s="31" t="s">
        <v>16</v>
      </c>
      <c r="B13" s="24">
        <v>7599</v>
      </c>
      <c r="C13" s="25">
        <v>8432</v>
      </c>
      <c r="D13" s="25">
        <v>14</v>
      </c>
      <c r="E13" s="9"/>
      <c r="F13" s="10"/>
      <c r="G13" s="11"/>
      <c r="H13" s="9"/>
      <c r="I13" s="10"/>
      <c r="J13" s="11"/>
      <c r="K13" s="9"/>
      <c r="L13" s="10"/>
      <c r="M13" s="11"/>
      <c r="N13" s="9"/>
      <c r="O13" s="10"/>
      <c r="P13" s="11"/>
      <c r="Q13" s="9">
        <v>7599</v>
      </c>
      <c r="R13" s="10">
        <v>8432</v>
      </c>
      <c r="S13" s="11">
        <v>14</v>
      </c>
      <c r="T13" s="9"/>
      <c r="U13" s="10"/>
      <c r="V13" s="11"/>
      <c r="W13" s="8">
        <f t="shared" si="0"/>
        <v>0</v>
      </c>
    </row>
    <row r="14" spans="1:23" hidden="1" x14ac:dyDescent="0.25">
      <c r="A14" s="9" t="s">
        <v>17</v>
      </c>
      <c r="B14" s="24"/>
      <c r="C14" s="25"/>
      <c r="D14" s="25"/>
      <c r="E14" s="9"/>
      <c r="F14" s="10"/>
      <c r="G14" s="11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9"/>
      <c r="U14" s="10"/>
      <c r="V14" s="11"/>
      <c r="W14" s="8">
        <f>B14-E14-H14-K14-T14</f>
        <v>0</v>
      </c>
    </row>
    <row r="15" spans="1:23" hidden="1" x14ac:dyDescent="0.25">
      <c r="A15" s="9" t="s">
        <v>18</v>
      </c>
      <c r="B15" s="22"/>
      <c r="C15" s="23"/>
      <c r="D15" s="23"/>
      <c r="E15" s="4"/>
      <c r="F15" s="2"/>
      <c r="G15" s="5"/>
      <c r="H15" s="4"/>
      <c r="I15" s="2"/>
      <c r="J15" s="5"/>
      <c r="K15" s="9"/>
      <c r="L15" s="10"/>
      <c r="M15" s="11"/>
      <c r="N15" s="9"/>
      <c r="O15" s="10"/>
      <c r="P15" s="11"/>
      <c r="Q15" s="9"/>
      <c r="R15" s="10"/>
      <c r="S15" s="11"/>
      <c r="T15" s="9"/>
      <c r="U15" s="10"/>
      <c r="V15" s="11"/>
      <c r="W15" s="8">
        <f>B15-E15-H15-K15-T15</f>
        <v>0</v>
      </c>
    </row>
    <row r="16" spans="1:23" hidden="1" x14ac:dyDescent="0.25">
      <c r="A16" s="9" t="s">
        <v>9</v>
      </c>
      <c r="B16" s="24"/>
      <c r="C16" s="25"/>
      <c r="D16" s="25"/>
      <c r="E16" s="9"/>
      <c r="F16" s="10"/>
      <c r="G16" s="11"/>
      <c r="H16" s="9"/>
      <c r="I16" s="10"/>
      <c r="J16" s="11"/>
      <c r="K16" s="9"/>
      <c r="L16" s="10"/>
      <c r="M16" s="11"/>
      <c r="N16" s="9"/>
      <c r="O16" s="10"/>
      <c r="P16" s="11"/>
      <c r="Q16" s="9"/>
      <c r="R16" s="10"/>
      <c r="S16" s="11"/>
      <c r="T16" s="9"/>
      <c r="U16" s="10"/>
      <c r="V16" s="11"/>
      <c r="W16" s="8">
        <f t="shared" ref="W16:W18" si="1">B16-E16-H16-K16-T16</f>
        <v>0</v>
      </c>
    </row>
    <row r="17" spans="1:23" hidden="1" x14ac:dyDescent="0.25">
      <c r="A17" s="9" t="s">
        <v>15</v>
      </c>
      <c r="B17" s="24"/>
      <c r="C17" s="25"/>
      <c r="D17" s="25"/>
      <c r="E17" s="9"/>
      <c r="F17" s="10"/>
      <c r="G17" s="11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9"/>
      <c r="U17" s="10"/>
      <c r="V17" s="11"/>
      <c r="W17" s="8">
        <f t="shared" si="1"/>
        <v>0</v>
      </c>
    </row>
    <row r="18" spans="1:23" hidden="1" x14ac:dyDescent="0.25">
      <c r="A18" s="9" t="s">
        <v>24</v>
      </c>
      <c r="B18" s="24"/>
      <c r="C18" s="25"/>
      <c r="D18" s="25"/>
      <c r="E18" s="9"/>
      <c r="F18" s="10"/>
      <c r="G18" s="11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9"/>
      <c r="U18" s="10"/>
      <c r="V18" s="11"/>
      <c r="W18" s="8">
        <f t="shared" si="1"/>
        <v>0</v>
      </c>
    </row>
    <row r="19" spans="1:23" ht="15.75" hidden="1" thickBot="1" x14ac:dyDescent="0.3">
      <c r="A19" s="9" t="s">
        <v>23</v>
      </c>
      <c r="B19" s="24"/>
      <c r="C19" s="25"/>
      <c r="D19" s="25"/>
      <c r="E19" s="4"/>
      <c r="F19" s="10"/>
      <c r="G19" s="11"/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9"/>
      <c r="U19" s="10"/>
      <c r="V19" s="11"/>
      <c r="W19" s="8">
        <f>B19-E19-H19-K19-T19</f>
        <v>0</v>
      </c>
    </row>
    <row r="20" spans="1:23" s="1" customFormat="1" ht="15.75" thickBot="1" x14ac:dyDescent="0.3">
      <c r="A20" s="27" t="s">
        <v>7</v>
      </c>
      <c r="B20" s="26">
        <f t="shared" ref="B20:S20" si="2">SUM(B3:B19)</f>
        <v>88288</v>
      </c>
      <c r="C20" s="13">
        <f t="shared" si="2"/>
        <v>25228</v>
      </c>
      <c r="D20" s="13">
        <f t="shared" si="2"/>
        <v>40</v>
      </c>
      <c r="E20" s="12">
        <f t="shared" si="2"/>
        <v>15364</v>
      </c>
      <c r="F20" s="14">
        <f t="shared" si="2"/>
        <v>16796</v>
      </c>
      <c r="G20" s="15">
        <f t="shared" si="2"/>
        <v>26</v>
      </c>
      <c r="H20" s="12">
        <f t="shared" si="2"/>
        <v>17300</v>
      </c>
      <c r="I20" s="14">
        <f t="shared" si="2"/>
        <v>0</v>
      </c>
      <c r="J20" s="15">
        <f t="shared" si="2"/>
        <v>0</v>
      </c>
      <c r="K20" s="12">
        <f t="shared" si="2"/>
        <v>14500</v>
      </c>
      <c r="L20" s="14">
        <f t="shared" si="2"/>
        <v>0</v>
      </c>
      <c r="M20" s="15">
        <f t="shared" si="2"/>
        <v>0</v>
      </c>
      <c r="N20" s="12">
        <f t="shared" si="2"/>
        <v>12972</v>
      </c>
      <c r="O20" s="14">
        <f t="shared" si="2"/>
        <v>0</v>
      </c>
      <c r="P20" s="15">
        <f t="shared" si="2"/>
        <v>0</v>
      </c>
      <c r="Q20" s="12">
        <f t="shared" si="2"/>
        <v>16599</v>
      </c>
      <c r="R20" s="14">
        <f t="shared" si="2"/>
        <v>8432</v>
      </c>
      <c r="S20" s="15">
        <f t="shared" si="2"/>
        <v>14</v>
      </c>
      <c r="T20" s="12">
        <f t="shared" ref="T20:V20" si="3">SUM(T3:T19)</f>
        <v>0</v>
      </c>
      <c r="U20" s="14">
        <f t="shared" si="3"/>
        <v>0</v>
      </c>
      <c r="V20" s="15">
        <f t="shared" si="3"/>
        <v>0</v>
      </c>
      <c r="W20" s="16">
        <f>SUM(W3:W19)</f>
        <v>11553</v>
      </c>
    </row>
    <row r="21" spans="1:23" x14ac:dyDescent="0.25">
      <c r="A21" s="32" t="s">
        <v>26</v>
      </c>
      <c r="B21">
        <f>1200+250</f>
        <v>1450</v>
      </c>
      <c r="D21">
        <v>3</v>
      </c>
      <c r="K21">
        <v>1450</v>
      </c>
      <c r="M21">
        <v>3</v>
      </c>
    </row>
    <row r="22" spans="1:23" x14ac:dyDescent="0.25">
      <c r="A22" s="29" t="s">
        <v>27</v>
      </c>
      <c r="B22">
        <f>800+174</f>
        <v>974</v>
      </c>
      <c r="D22">
        <v>2</v>
      </c>
      <c r="N22">
        <v>974</v>
      </c>
      <c r="P22">
        <v>2</v>
      </c>
    </row>
    <row r="23" spans="1:23" x14ac:dyDescent="0.25">
      <c r="A23" t="s">
        <v>28</v>
      </c>
      <c r="B23">
        <f>1000+252</f>
        <v>1252</v>
      </c>
      <c r="D23">
        <v>3</v>
      </c>
      <c r="E23">
        <v>1252</v>
      </c>
      <c r="G23">
        <v>3</v>
      </c>
    </row>
    <row r="24" spans="1:23" ht="15.75" thickBot="1" x14ac:dyDescent="0.3">
      <c r="A24" s="29" t="s">
        <v>14</v>
      </c>
      <c r="B24">
        <v>1084</v>
      </c>
      <c r="D24">
        <v>4</v>
      </c>
      <c r="N24">
        <v>1084</v>
      </c>
      <c r="P24">
        <v>4</v>
      </c>
    </row>
    <row r="25" spans="1:23" s="1" customFormat="1" ht="15.75" thickBot="1" x14ac:dyDescent="0.3">
      <c r="A25" s="27" t="s">
        <v>7</v>
      </c>
      <c r="B25" s="26">
        <f t="shared" ref="B25:W25" si="4">SUM(B20:B24)</f>
        <v>93048</v>
      </c>
      <c r="C25" s="13">
        <f t="shared" si="4"/>
        <v>25228</v>
      </c>
      <c r="D25" s="13">
        <f t="shared" si="4"/>
        <v>52</v>
      </c>
      <c r="E25" s="12">
        <f t="shared" si="4"/>
        <v>16616</v>
      </c>
      <c r="F25" s="14">
        <f t="shared" si="4"/>
        <v>16796</v>
      </c>
      <c r="G25" s="15">
        <f t="shared" si="4"/>
        <v>29</v>
      </c>
      <c r="H25" s="12">
        <f t="shared" si="4"/>
        <v>17300</v>
      </c>
      <c r="I25" s="14">
        <f t="shared" si="4"/>
        <v>0</v>
      </c>
      <c r="J25" s="15">
        <f t="shared" si="4"/>
        <v>0</v>
      </c>
      <c r="K25" s="12">
        <f t="shared" si="4"/>
        <v>15950</v>
      </c>
      <c r="L25" s="14">
        <f t="shared" si="4"/>
        <v>0</v>
      </c>
      <c r="M25" s="15">
        <f t="shared" si="4"/>
        <v>3</v>
      </c>
      <c r="N25" s="12">
        <f t="shared" si="4"/>
        <v>15030</v>
      </c>
      <c r="O25" s="14">
        <f t="shared" si="4"/>
        <v>0</v>
      </c>
      <c r="P25" s="15">
        <f t="shared" si="4"/>
        <v>6</v>
      </c>
      <c r="Q25" s="12">
        <f t="shared" si="4"/>
        <v>16599</v>
      </c>
      <c r="R25" s="14">
        <f t="shared" si="4"/>
        <v>8432</v>
      </c>
      <c r="S25" s="15">
        <f t="shared" si="4"/>
        <v>14</v>
      </c>
      <c r="T25" s="12">
        <f t="shared" si="4"/>
        <v>0</v>
      </c>
      <c r="U25" s="14">
        <f t="shared" si="4"/>
        <v>0</v>
      </c>
      <c r="V25" s="15">
        <f t="shared" si="4"/>
        <v>0</v>
      </c>
      <c r="W25" s="16">
        <f t="shared" si="4"/>
        <v>11553</v>
      </c>
    </row>
  </sheetData>
  <mergeCells count="11">
    <mergeCell ref="W1:W2"/>
    <mergeCell ref="A1:A2"/>
    <mergeCell ref="B1:B2"/>
    <mergeCell ref="E1:G1"/>
    <mergeCell ref="H1:J1"/>
    <mergeCell ref="K1:M1"/>
    <mergeCell ref="T1:V1"/>
    <mergeCell ref="C1:C2"/>
    <mergeCell ref="D1:D2"/>
    <mergeCell ref="N1:P1"/>
    <mergeCell ref="Q1:S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2026-06-26T12:42:00Z</dcterms:modified>
</cp:coreProperties>
</file>