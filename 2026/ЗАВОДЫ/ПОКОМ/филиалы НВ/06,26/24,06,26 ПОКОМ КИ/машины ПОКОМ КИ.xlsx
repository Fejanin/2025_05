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ПОКОМ\"/>
    </mc:Choice>
  </mc:AlternateContent>
  <xr:revisionPtr revIDLastSave="0" documentId="13_ncr:1_{3377E839-86F9-4189-BD53-97BB3FF622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0" i="1" l="1"/>
  <c r="O20" i="1"/>
  <c r="N2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3" i="1"/>
  <c r="V20" i="1"/>
  <c r="U20" i="1"/>
  <c r="T20" i="1"/>
  <c r="C20" i="1" l="1"/>
  <c r="D20" i="1"/>
  <c r="E20" i="1" l="1"/>
  <c r="S20" i="1" l="1"/>
  <c r="R20" i="1"/>
  <c r="Q20" i="1"/>
  <c r="F20" i="1" l="1"/>
  <c r="G20" i="1"/>
  <c r="H20" i="1"/>
  <c r="I20" i="1"/>
  <c r="J20" i="1"/>
  <c r="K20" i="1"/>
  <c r="L20" i="1"/>
  <c r="M20" i="1"/>
  <c r="B20" i="1" l="1"/>
  <c r="B22" i="1" s="1"/>
  <c r="W20" i="1" l="1"/>
</calcChain>
</file>

<file path=xl/sharedStrings.xml><?xml version="1.0" encoding="utf-8"?>
<sst xmlns="http://schemas.openxmlformats.org/spreadsheetml/2006/main" count="47" uniqueCount="32">
  <si>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</si>
  <si>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</si>
  <si>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</si>
  <si>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</si>
  <si>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</si>
  <si>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</si>
  <si>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</si>
  <si>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</si>
  <si>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</si>
  <si>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</si>
  <si>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</si>
  <si>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</si>
  <si>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</si>
  <si>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</si>
  <si>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</si>
  <si>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</si>
  <si>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</si>
  <si>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</si>
  <si>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</si>
  <si>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</si>
  <si>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</si>
  <si>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</si>
  <si>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</si>
  <si>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</si>
  <si>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</si>
  <si>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1 машина на 27,06</t>
  </si>
  <si>
    <t>1 машина на 26,06</t>
  </si>
  <si>
    <t>Логистон (ПРС)</t>
  </si>
  <si>
    <t>1 машина 28,06</t>
  </si>
  <si>
    <t>2 машина 27,06</t>
  </si>
  <si>
    <t>3 машина 27,06</t>
  </si>
  <si>
    <t>2 машина 28,06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</si>
</sst>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3" borderId="20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6" xfId="0" applyFill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4" borderId="6" xfId="0" applyFill="1" applyBorder="1"/>
    <xf numFmtId="0" fontId="0" fillId="4" borderId="15" xfId="0" applyFill="1" applyBorder="1"/>
    <xf numFmtId="0" fontId="0" fillId="4" borderId="16" xfId="0" applyFill="1" applyBorder="1"/>
    <xf numFmtId="0" fontId="0" fillId="2" borderId="1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2" xfId="0" applyFill="1" applyBorder="1"/>
    <xf numFmtId="0" fontId="0" fillId="3" borderId="12" xfId="0" applyFill="1" applyBorder="1"/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zoomScale="115" zoomScaleNormal="115" workbookViewId="0">
      <selection activeCell="Y13" sqref="Y13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4" ht="15" customHeight="1" x14ac:dyDescent="0.25">
      <c r="A1" s="41" t="s">
        <v>5</v>
      </c>
      <c r="B1" s="43" t="s">
        <v>19</v>
      </c>
      <c r="C1" s="43" t="s">
        <v>20</v>
      </c>
      <c r="D1" s="43" t="s">
        <v>21</v>
      </c>
      <c r="E1" s="41" t="s">
        <v>26</v>
      </c>
      <c r="F1" s="45"/>
      <c r="G1" s="46"/>
      <c r="H1" s="41" t="s">
        <v>25</v>
      </c>
      <c r="I1" s="45"/>
      <c r="J1" s="46"/>
      <c r="K1" s="41" t="s">
        <v>29</v>
      </c>
      <c r="L1" s="45"/>
      <c r="M1" s="46"/>
      <c r="N1" s="41" t="s">
        <v>30</v>
      </c>
      <c r="O1" s="45"/>
      <c r="P1" s="46"/>
      <c r="Q1" s="41" t="s">
        <v>28</v>
      </c>
      <c r="R1" s="45"/>
      <c r="S1" s="46"/>
      <c r="T1" s="41" t="s">
        <v>31</v>
      </c>
      <c r="U1" s="45"/>
      <c r="V1" s="46"/>
      <c r="W1" s="39" t="s">
        <v>6</v>
      </c>
    </row>
    <row r="2" spans="1:24" ht="30.75" thickBot="1" x14ac:dyDescent="0.3">
      <c r="A2" s="42"/>
      <c r="B2" s="44"/>
      <c r="C2" s="44"/>
      <c r="D2" s="44"/>
      <c r="E2" s="26" t="s">
        <v>10</v>
      </c>
      <c r="F2" s="27" t="s">
        <v>11</v>
      </c>
      <c r="G2" s="28" t="s">
        <v>12</v>
      </c>
      <c r="H2" s="26" t="s">
        <v>10</v>
      </c>
      <c r="I2" s="27" t="s">
        <v>11</v>
      </c>
      <c r="J2" s="28" t="s">
        <v>12</v>
      </c>
      <c r="K2" s="26" t="s">
        <v>10</v>
      </c>
      <c r="L2" s="27" t="s">
        <v>11</v>
      </c>
      <c r="M2" s="28" t="s">
        <v>12</v>
      </c>
      <c r="N2" s="26" t="s">
        <v>10</v>
      </c>
      <c r="O2" s="27" t="s">
        <v>11</v>
      </c>
      <c r="P2" s="28" t="s">
        <v>12</v>
      </c>
      <c r="Q2" s="26" t="s">
        <v>10</v>
      </c>
      <c r="R2" s="27" t="s">
        <v>11</v>
      </c>
      <c r="S2" s="28" t="s">
        <v>12</v>
      </c>
      <c r="T2" s="26" t="s">
        <v>10</v>
      </c>
      <c r="U2" s="27" t="s">
        <v>11</v>
      </c>
      <c r="V2" s="28" t="s">
        <v>12</v>
      </c>
      <c r="W2" s="40"/>
    </row>
    <row r="3" spans="1:24" x14ac:dyDescent="0.25">
      <c r="A3" s="6" t="s">
        <v>0</v>
      </c>
      <c r="B3" s="31">
        <v>17515</v>
      </c>
      <c r="C3" s="19">
        <v>19090</v>
      </c>
      <c r="D3" s="19">
        <v>29</v>
      </c>
      <c r="E3" s="6"/>
      <c r="F3" s="3"/>
      <c r="G3" s="7"/>
      <c r="H3" s="6"/>
      <c r="I3" s="3"/>
      <c r="J3" s="7"/>
      <c r="K3" s="36">
        <v>17515</v>
      </c>
      <c r="L3" s="37">
        <v>19090</v>
      </c>
      <c r="M3" s="38">
        <v>29</v>
      </c>
      <c r="N3" s="29"/>
      <c r="O3" s="3"/>
      <c r="P3" s="7"/>
      <c r="Q3" s="6"/>
      <c r="R3" s="3"/>
      <c r="S3" s="7"/>
      <c r="T3" s="6"/>
      <c r="U3" s="3"/>
      <c r="V3" s="7"/>
      <c r="W3" s="9">
        <f>B3-E3-H3-K3-N3-Q3-T3</f>
        <v>0</v>
      </c>
      <c r="X3">
        <v>3623</v>
      </c>
    </row>
    <row r="4" spans="1:24" x14ac:dyDescent="0.25">
      <c r="A4" s="4" t="s">
        <v>1</v>
      </c>
      <c r="B4" s="32">
        <v>29752</v>
      </c>
      <c r="C4" s="20"/>
      <c r="D4" s="20"/>
      <c r="E4" s="4"/>
      <c r="F4" s="2"/>
      <c r="G4" s="5"/>
      <c r="H4" s="4"/>
      <c r="I4" s="2"/>
      <c r="J4" s="5"/>
      <c r="K4" s="4"/>
      <c r="L4" s="2"/>
      <c r="M4" s="5"/>
      <c r="N4" s="25">
        <v>17265</v>
      </c>
      <c r="O4" s="34">
        <v>19202</v>
      </c>
      <c r="P4" s="35">
        <v>31</v>
      </c>
      <c r="Q4" s="4"/>
      <c r="R4" s="2"/>
      <c r="S4" s="5"/>
      <c r="T4" s="30">
        <v>12487</v>
      </c>
      <c r="U4" s="34">
        <v>13903</v>
      </c>
      <c r="V4" s="35">
        <v>23</v>
      </c>
      <c r="W4" s="9">
        <f t="shared" ref="W4:W19" si="0">B4-E4-H4-K4-N4-Q4-T4</f>
        <v>0</v>
      </c>
      <c r="X4">
        <v>11919</v>
      </c>
    </row>
    <row r="5" spans="1:24" x14ac:dyDescent="0.25">
      <c r="A5" s="4" t="s">
        <v>2</v>
      </c>
      <c r="B5" s="33">
        <v>8165</v>
      </c>
      <c r="C5" s="20"/>
      <c r="D5" s="20"/>
      <c r="E5" s="4"/>
      <c r="F5" s="2"/>
      <c r="G5" s="5"/>
      <c r="H5" s="4"/>
      <c r="I5" s="2"/>
      <c r="J5" s="5"/>
      <c r="K5" s="4"/>
      <c r="L5" s="2"/>
      <c r="M5" s="5"/>
      <c r="N5" s="4"/>
      <c r="O5" s="2"/>
      <c r="P5" s="5"/>
      <c r="Q5" s="25">
        <v>8165</v>
      </c>
      <c r="R5" s="34">
        <v>8995</v>
      </c>
      <c r="S5" s="35">
        <v>15</v>
      </c>
      <c r="T5" s="4"/>
      <c r="U5" s="2"/>
      <c r="V5" s="5"/>
      <c r="W5" s="9">
        <f t="shared" si="0"/>
        <v>0</v>
      </c>
      <c r="X5">
        <v>8458</v>
      </c>
    </row>
    <row r="6" spans="1:24" x14ac:dyDescent="0.25">
      <c r="A6" s="4" t="s">
        <v>3</v>
      </c>
      <c r="B6" s="33">
        <v>10847</v>
      </c>
      <c r="C6" s="20">
        <v>11733</v>
      </c>
      <c r="D6" s="20">
        <v>17</v>
      </c>
      <c r="E6" s="4"/>
      <c r="F6" s="2"/>
      <c r="G6" s="5"/>
      <c r="H6" s="25">
        <v>10847</v>
      </c>
      <c r="I6" s="34">
        <v>11733</v>
      </c>
      <c r="J6" s="35">
        <v>17</v>
      </c>
      <c r="K6" s="4"/>
      <c r="L6" s="2"/>
      <c r="M6" s="5"/>
      <c r="N6" s="4"/>
      <c r="O6" s="2"/>
      <c r="P6" s="5"/>
      <c r="Q6" s="4"/>
      <c r="R6" s="2"/>
      <c r="S6" s="5"/>
      <c r="T6" s="4"/>
      <c r="U6" s="2"/>
      <c r="V6" s="5"/>
      <c r="W6" s="9">
        <f t="shared" si="0"/>
        <v>0</v>
      </c>
      <c r="X6">
        <v>4012</v>
      </c>
    </row>
    <row r="7" spans="1:24" x14ac:dyDescent="0.25">
      <c r="A7" s="4" t="s">
        <v>8</v>
      </c>
      <c r="B7" s="8"/>
      <c r="C7" s="20"/>
      <c r="D7" s="20"/>
      <c r="E7" s="4"/>
      <c r="F7" s="2"/>
      <c r="G7" s="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4"/>
      <c r="U7" s="2"/>
      <c r="V7" s="5"/>
      <c r="W7" s="9">
        <f t="shared" si="0"/>
        <v>0</v>
      </c>
    </row>
    <row r="8" spans="1:24" x14ac:dyDescent="0.25">
      <c r="A8" s="4" t="s">
        <v>14</v>
      </c>
      <c r="B8" s="8"/>
      <c r="C8" s="20"/>
      <c r="D8" s="20"/>
      <c r="E8" s="4"/>
      <c r="F8" s="2"/>
      <c r="G8" s="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9">
        <f t="shared" si="0"/>
        <v>0</v>
      </c>
    </row>
    <row r="9" spans="1:24" x14ac:dyDescent="0.25">
      <c r="A9" s="4" t="s">
        <v>4</v>
      </c>
      <c r="B9" s="8"/>
      <c r="C9" s="20"/>
      <c r="D9" s="20"/>
      <c r="E9" s="4"/>
      <c r="F9" s="2"/>
      <c r="G9" s="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4"/>
      <c r="U9" s="2"/>
      <c r="V9" s="5"/>
      <c r="W9" s="9">
        <f t="shared" si="0"/>
        <v>0</v>
      </c>
    </row>
    <row r="10" spans="1:24" x14ac:dyDescent="0.25">
      <c r="A10" s="10" t="s">
        <v>22</v>
      </c>
      <c r="B10" s="11">
        <v>6770</v>
      </c>
      <c r="C10" s="21">
        <v>7265</v>
      </c>
      <c r="D10" s="21">
        <v>10</v>
      </c>
      <c r="E10" s="10"/>
      <c r="F10" s="12"/>
      <c r="G10" s="13"/>
      <c r="H10" s="22">
        <v>6770</v>
      </c>
      <c r="I10" s="23">
        <v>7265</v>
      </c>
      <c r="J10" s="24">
        <v>10</v>
      </c>
      <c r="K10" s="10"/>
      <c r="L10" s="12"/>
      <c r="M10" s="13"/>
      <c r="N10" s="10"/>
      <c r="O10" s="12"/>
      <c r="P10" s="13"/>
      <c r="Q10" s="10"/>
      <c r="R10" s="12"/>
      <c r="S10" s="13"/>
      <c r="T10" s="4"/>
      <c r="U10" s="2"/>
      <c r="V10" s="5"/>
      <c r="W10" s="9">
        <f t="shared" si="0"/>
        <v>0</v>
      </c>
    </row>
    <row r="11" spans="1:24" x14ac:dyDescent="0.25">
      <c r="A11" s="10" t="s">
        <v>13</v>
      </c>
      <c r="B11" s="11"/>
      <c r="C11" s="21"/>
      <c r="D11" s="21"/>
      <c r="E11" s="10"/>
      <c r="F11" s="12"/>
      <c r="G11" s="13"/>
      <c r="H11" s="10"/>
      <c r="I11" s="12"/>
      <c r="J11" s="13"/>
      <c r="K11" s="10"/>
      <c r="L11" s="12"/>
      <c r="M11" s="13"/>
      <c r="N11" s="10"/>
      <c r="O11" s="12"/>
      <c r="P11" s="13"/>
      <c r="Q11" s="10"/>
      <c r="R11" s="12"/>
      <c r="S11" s="13"/>
      <c r="T11" s="4"/>
      <c r="U11" s="2"/>
      <c r="V11" s="5"/>
      <c r="W11" s="9">
        <f t="shared" si="0"/>
        <v>0</v>
      </c>
    </row>
    <row r="12" spans="1:24" x14ac:dyDescent="0.25">
      <c r="A12" s="10" t="s">
        <v>27</v>
      </c>
      <c r="B12" s="11">
        <v>2934</v>
      </c>
      <c r="C12" s="21">
        <v>3505</v>
      </c>
      <c r="D12" s="21">
        <v>7</v>
      </c>
      <c r="E12" s="10"/>
      <c r="F12" s="12"/>
      <c r="G12" s="13"/>
      <c r="H12" s="10"/>
      <c r="I12" s="12"/>
      <c r="J12" s="13"/>
      <c r="K12" s="10"/>
      <c r="L12" s="12"/>
      <c r="M12" s="13"/>
      <c r="N12" s="10"/>
      <c r="O12" s="12"/>
      <c r="P12" s="13"/>
      <c r="Q12" s="10"/>
      <c r="R12" s="12"/>
      <c r="S12" s="13"/>
      <c r="T12" s="25">
        <v>2934</v>
      </c>
      <c r="U12" s="34">
        <v>3505</v>
      </c>
      <c r="V12" s="35">
        <v>7</v>
      </c>
      <c r="W12" s="9">
        <f t="shared" si="0"/>
        <v>0</v>
      </c>
    </row>
    <row r="13" spans="1:24" x14ac:dyDescent="0.25">
      <c r="A13" s="10" t="s">
        <v>16</v>
      </c>
      <c r="B13" s="11"/>
      <c r="C13" s="21"/>
      <c r="D13" s="21"/>
      <c r="E13" s="10"/>
      <c r="F13" s="12"/>
      <c r="G13" s="13"/>
      <c r="H13" s="10"/>
      <c r="I13" s="12"/>
      <c r="J13" s="13"/>
      <c r="K13" s="10"/>
      <c r="L13" s="12"/>
      <c r="M13" s="13"/>
      <c r="N13" s="10"/>
      <c r="O13" s="12"/>
      <c r="P13" s="13"/>
      <c r="Q13" s="10"/>
      <c r="R13" s="12"/>
      <c r="S13" s="13"/>
      <c r="T13" s="4"/>
      <c r="U13" s="2"/>
      <c r="V13" s="5"/>
      <c r="W13" s="9">
        <f t="shared" si="0"/>
        <v>0</v>
      </c>
    </row>
    <row r="14" spans="1:24" x14ac:dyDescent="0.25">
      <c r="A14" s="10" t="s">
        <v>17</v>
      </c>
      <c r="B14" s="11">
        <v>1497</v>
      </c>
      <c r="C14" s="21">
        <v>1647</v>
      </c>
      <c r="D14" s="21">
        <v>3</v>
      </c>
      <c r="E14" s="10"/>
      <c r="F14" s="12"/>
      <c r="G14" s="13"/>
      <c r="H14" s="10"/>
      <c r="I14" s="12"/>
      <c r="J14" s="13"/>
      <c r="K14" s="10"/>
      <c r="L14" s="12"/>
      <c r="M14" s="13"/>
      <c r="N14" s="10"/>
      <c r="O14" s="12"/>
      <c r="P14" s="13"/>
      <c r="Q14" s="22">
        <v>1497</v>
      </c>
      <c r="R14" s="23">
        <v>1647</v>
      </c>
      <c r="S14" s="24">
        <v>3</v>
      </c>
      <c r="T14" s="4"/>
      <c r="U14" s="2"/>
      <c r="V14" s="5"/>
      <c r="W14" s="9">
        <f t="shared" si="0"/>
        <v>0</v>
      </c>
    </row>
    <row r="15" spans="1:24" x14ac:dyDescent="0.25">
      <c r="A15" s="10" t="s">
        <v>18</v>
      </c>
      <c r="B15" s="8">
        <v>7957</v>
      </c>
      <c r="C15" s="20">
        <v>8701</v>
      </c>
      <c r="D15" s="20">
        <v>14</v>
      </c>
      <c r="E15" s="4"/>
      <c r="F15" s="2"/>
      <c r="G15" s="5"/>
      <c r="H15" s="4"/>
      <c r="I15" s="2"/>
      <c r="J15" s="5"/>
      <c r="K15" s="10"/>
      <c r="L15" s="12"/>
      <c r="M15" s="13"/>
      <c r="N15" s="10"/>
      <c r="O15" s="12"/>
      <c r="P15" s="13"/>
      <c r="Q15" s="22">
        <v>7957</v>
      </c>
      <c r="R15" s="23">
        <v>8701</v>
      </c>
      <c r="S15" s="24">
        <v>14</v>
      </c>
      <c r="T15" s="4"/>
      <c r="U15" s="2"/>
      <c r="V15" s="5"/>
      <c r="W15" s="9">
        <f t="shared" si="0"/>
        <v>0</v>
      </c>
    </row>
    <row r="16" spans="1:24" x14ac:dyDescent="0.25">
      <c r="A16" s="10" t="s">
        <v>9</v>
      </c>
      <c r="B16" s="11">
        <v>1690</v>
      </c>
      <c r="C16" s="21">
        <v>1866</v>
      </c>
      <c r="D16" s="21">
        <v>3</v>
      </c>
      <c r="E16" s="10"/>
      <c r="F16" s="12"/>
      <c r="G16" s="13"/>
      <c r="H16" s="10"/>
      <c r="I16" s="12"/>
      <c r="J16" s="13"/>
      <c r="K16" s="10"/>
      <c r="L16" s="12"/>
      <c r="M16" s="13"/>
      <c r="N16" s="10"/>
      <c r="O16" s="12"/>
      <c r="P16" s="13"/>
      <c r="Q16" s="10"/>
      <c r="R16" s="12"/>
      <c r="S16" s="13"/>
      <c r="T16" s="25">
        <v>1690</v>
      </c>
      <c r="U16" s="34">
        <v>1866</v>
      </c>
      <c r="V16" s="35">
        <v>3</v>
      </c>
      <c r="W16" s="9">
        <f t="shared" si="0"/>
        <v>0</v>
      </c>
    </row>
    <row r="17" spans="1:23" x14ac:dyDescent="0.25">
      <c r="A17" s="10" t="s">
        <v>15</v>
      </c>
      <c r="B17" s="11"/>
      <c r="C17" s="21"/>
      <c r="D17" s="21"/>
      <c r="E17" s="10"/>
      <c r="F17" s="12"/>
      <c r="G17" s="13"/>
      <c r="H17" s="10"/>
      <c r="I17" s="12"/>
      <c r="J17" s="13"/>
      <c r="K17" s="10"/>
      <c r="L17" s="12"/>
      <c r="M17" s="13"/>
      <c r="N17" s="10"/>
      <c r="O17" s="12"/>
      <c r="P17" s="13"/>
      <c r="Q17" s="10"/>
      <c r="R17" s="12"/>
      <c r="S17" s="13"/>
      <c r="T17" s="10"/>
      <c r="U17" s="12"/>
      <c r="V17" s="13"/>
      <c r="W17" s="9">
        <f t="shared" si="0"/>
        <v>0</v>
      </c>
    </row>
    <row r="18" spans="1:23" x14ac:dyDescent="0.25">
      <c r="A18" s="10" t="s">
        <v>24</v>
      </c>
      <c r="B18" s="11">
        <v>7666</v>
      </c>
      <c r="C18" s="21">
        <v>8337</v>
      </c>
      <c r="D18" s="21">
        <v>13</v>
      </c>
      <c r="E18" s="22">
        <v>7666</v>
      </c>
      <c r="F18" s="23">
        <v>8337</v>
      </c>
      <c r="G18" s="24">
        <v>13</v>
      </c>
      <c r="H18" s="10"/>
      <c r="I18" s="12"/>
      <c r="J18" s="13"/>
      <c r="K18" s="10"/>
      <c r="L18" s="12"/>
      <c r="M18" s="13"/>
      <c r="N18" s="10"/>
      <c r="O18" s="12"/>
      <c r="P18" s="13"/>
      <c r="Q18" s="10"/>
      <c r="R18" s="12"/>
      <c r="S18" s="13"/>
      <c r="T18" s="10"/>
      <c r="U18" s="12"/>
      <c r="V18" s="13"/>
      <c r="W18" s="9">
        <f t="shared" si="0"/>
        <v>0</v>
      </c>
    </row>
    <row r="19" spans="1:23" ht="15.75" thickBot="1" x14ac:dyDescent="0.3">
      <c r="A19" s="10" t="s">
        <v>23</v>
      </c>
      <c r="B19" s="11">
        <v>10146</v>
      </c>
      <c r="C19" s="21">
        <v>11092</v>
      </c>
      <c r="D19" s="21">
        <v>18</v>
      </c>
      <c r="E19" s="25">
        <v>10146</v>
      </c>
      <c r="F19" s="23">
        <v>11092</v>
      </c>
      <c r="G19" s="24">
        <v>18</v>
      </c>
      <c r="H19" s="10"/>
      <c r="I19" s="12"/>
      <c r="J19" s="13"/>
      <c r="K19" s="10"/>
      <c r="L19" s="12"/>
      <c r="M19" s="13"/>
      <c r="N19" s="10"/>
      <c r="O19" s="12"/>
      <c r="P19" s="13"/>
      <c r="Q19" s="10"/>
      <c r="R19" s="12"/>
      <c r="S19" s="13"/>
      <c r="T19" s="10"/>
      <c r="U19" s="12"/>
      <c r="V19" s="13"/>
      <c r="W19" s="9">
        <f t="shared" si="0"/>
        <v>0</v>
      </c>
    </row>
    <row r="20" spans="1:23" s="1" customFormat="1" ht="15.75" thickBot="1" x14ac:dyDescent="0.3">
      <c r="A20" s="14" t="s">
        <v>7</v>
      </c>
      <c r="B20" s="15">
        <f t="shared" ref="B20:P20" si="1">SUM(B3:B19)</f>
        <v>104939</v>
      </c>
      <c r="C20" s="15">
        <f t="shared" si="1"/>
        <v>73236</v>
      </c>
      <c r="D20" s="15">
        <f t="shared" si="1"/>
        <v>114</v>
      </c>
      <c r="E20" s="14">
        <f t="shared" si="1"/>
        <v>17812</v>
      </c>
      <c r="F20" s="16">
        <f t="shared" si="1"/>
        <v>19429</v>
      </c>
      <c r="G20" s="17">
        <f t="shared" si="1"/>
        <v>31</v>
      </c>
      <c r="H20" s="14">
        <f t="shared" si="1"/>
        <v>17617</v>
      </c>
      <c r="I20" s="16">
        <f t="shared" si="1"/>
        <v>18998</v>
      </c>
      <c r="J20" s="17">
        <f t="shared" si="1"/>
        <v>27</v>
      </c>
      <c r="K20" s="14">
        <f t="shared" si="1"/>
        <v>17515</v>
      </c>
      <c r="L20" s="16">
        <f t="shared" si="1"/>
        <v>19090</v>
      </c>
      <c r="M20" s="17">
        <f t="shared" si="1"/>
        <v>29</v>
      </c>
      <c r="N20" s="14">
        <f t="shared" si="1"/>
        <v>17265</v>
      </c>
      <c r="O20" s="16">
        <f t="shared" si="1"/>
        <v>19202</v>
      </c>
      <c r="P20" s="17">
        <f t="shared" si="1"/>
        <v>31</v>
      </c>
      <c r="Q20" s="14">
        <f t="shared" ref="Q20:S20" si="2">SUM(Q3:Q19)</f>
        <v>17619</v>
      </c>
      <c r="R20" s="16">
        <f t="shared" si="2"/>
        <v>19343</v>
      </c>
      <c r="S20" s="17">
        <f t="shared" si="2"/>
        <v>32</v>
      </c>
      <c r="T20" s="14">
        <f t="shared" ref="T20:V20" si="3">SUM(T3:T19)</f>
        <v>17111</v>
      </c>
      <c r="U20" s="16">
        <f t="shared" si="3"/>
        <v>19274</v>
      </c>
      <c r="V20" s="17">
        <f t="shared" si="3"/>
        <v>33</v>
      </c>
      <c r="W20" s="18">
        <f>SUM(W3:W19)</f>
        <v>0</v>
      </c>
    </row>
    <row r="22" spans="1:23" x14ac:dyDescent="0.25">
      <c r="B22">
        <f>B20/17500</f>
        <v>5.9965142857142855</v>
      </c>
    </row>
  </sheetData>
  <mergeCells count="11">
    <mergeCell ref="W1:W2"/>
    <mergeCell ref="A1:A2"/>
    <mergeCell ref="B1:B2"/>
    <mergeCell ref="E1:G1"/>
    <mergeCell ref="H1:J1"/>
    <mergeCell ref="K1:M1"/>
    <mergeCell ref="Q1:S1"/>
    <mergeCell ref="C1:C2"/>
    <mergeCell ref="D1:D2"/>
    <mergeCell ref="N1:P1"/>
    <mergeCell ref="T1:V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2026-06-24T12:05:02Z</dcterms:modified>
</cp:coreProperties>
</file>