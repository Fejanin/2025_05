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Бердянск\"/>
    </mc:Choice>
  </mc:AlternateContent>
  <xr:revisionPtr revIDLastSave="0" documentId="13_ncr:1_{C8104E84-2F0A-40D2-9B9E-5B0B909B0D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1" i="1" l="1"/>
  <c r="M73" i="1"/>
  <c r="M75" i="1"/>
  <c r="M77" i="1"/>
  <c r="M79" i="1"/>
  <c r="M81" i="1"/>
  <c r="M83" i="1"/>
  <c r="M85" i="1"/>
  <c r="M87" i="1"/>
  <c r="M89" i="1"/>
  <c r="M91" i="1"/>
  <c r="M93" i="1"/>
  <c r="M95" i="1"/>
  <c r="M97" i="1"/>
  <c r="M99" i="1"/>
  <c r="M101" i="1"/>
  <c r="M103" i="1"/>
  <c r="M105" i="1"/>
  <c r="M107" i="1"/>
  <c r="M109" i="1"/>
  <c r="M111" i="1"/>
  <c r="M112" i="1"/>
  <c r="M114" i="1"/>
  <c r="M115" i="1"/>
  <c r="M116" i="1"/>
  <c r="M117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" i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L72" i="1"/>
  <c r="M72" i="1" s="1"/>
  <c r="L73" i="1"/>
  <c r="L74" i="1"/>
  <c r="M74" i="1" s="1"/>
  <c r="L75" i="1"/>
  <c r="L76" i="1"/>
  <c r="M76" i="1" s="1"/>
  <c r="L77" i="1"/>
  <c r="L78" i="1"/>
  <c r="M78" i="1" s="1"/>
  <c r="L79" i="1"/>
  <c r="L80" i="1"/>
  <c r="M80" i="1" s="1"/>
  <c r="L81" i="1"/>
  <c r="L82" i="1"/>
  <c r="M82" i="1" s="1"/>
  <c r="L83" i="1"/>
  <c r="L84" i="1"/>
  <c r="M84" i="1" s="1"/>
  <c r="L85" i="1"/>
  <c r="L86" i="1"/>
  <c r="M86" i="1" s="1"/>
  <c r="L87" i="1"/>
  <c r="L88" i="1"/>
  <c r="M88" i="1" s="1"/>
  <c r="L89" i="1"/>
  <c r="L90" i="1"/>
  <c r="M90" i="1" s="1"/>
  <c r="L91" i="1"/>
  <c r="L92" i="1"/>
  <c r="M92" i="1" s="1"/>
  <c r="L93" i="1"/>
  <c r="L94" i="1"/>
  <c r="M94" i="1" s="1"/>
  <c r="L95" i="1"/>
  <c r="L96" i="1"/>
  <c r="M96" i="1" s="1"/>
  <c r="L97" i="1"/>
  <c r="L98" i="1"/>
  <c r="M98" i="1" s="1"/>
  <c r="L99" i="1"/>
  <c r="L100" i="1"/>
  <c r="M100" i="1" s="1"/>
  <c r="L101" i="1"/>
  <c r="L102" i="1"/>
  <c r="M102" i="1" s="1"/>
  <c r="L103" i="1"/>
  <c r="L104" i="1"/>
  <c r="M104" i="1" s="1"/>
  <c r="L105" i="1"/>
  <c r="L106" i="1"/>
  <c r="M106" i="1" s="1"/>
  <c r="L107" i="1"/>
  <c r="L108" i="1"/>
  <c r="M108" i="1" s="1"/>
  <c r="L109" i="1"/>
  <c r="L110" i="1"/>
  <c r="M110" i="1" s="1"/>
  <c r="L111" i="1"/>
  <c r="L113" i="1"/>
  <c r="M113" i="1" s="1"/>
  <c r="L11" i="1"/>
  <c r="M11" i="1" s="1"/>
  <c r="U113" i="1" l="1"/>
  <c r="U99" i="1"/>
  <c r="U95" i="1"/>
  <c r="U89" i="1"/>
  <c r="U81" i="1"/>
  <c r="U77" i="1"/>
  <c r="U73" i="1"/>
  <c r="U65" i="1"/>
  <c r="U41" i="1"/>
  <c r="U33" i="1"/>
  <c r="I16" i="1"/>
  <c r="I17" i="1"/>
  <c r="I18" i="1"/>
  <c r="I19" i="1"/>
  <c r="I20" i="1"/>
  <c r="I21" i="1"/>
  <c r="I22" i="1"/>
  <c r="I23" i="1"/>
  <c r="I25" i="1"/>
  <c r="I26" i="1"/>
  <c r="I27" i="1"/>
  <c r="I28" i="1"/>
  <c r="I29" i="1"/>
  <c r="I30" i="1"/>
  <c r="I31" i="1"/>
  <c r="I33" i="1"/>
  <c r="I34" i="1"/>
  <c r="I35" i="1"/>
  <c r="I36" i="1"/>
  <c r="I37" i="1"/>
  <c r="I38" i="1"/>
  <c r="I39" i="1"/>
  <c r="I40" i="1"/>
  <c r="I41" i="1"/>
  <c r="I42" i="1"/>
  <c r="I43" i="1"/>
  <c r="I44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7" i="1"/>
  <c r="I68" i="1"/>
  <c r="I69" i="1"/>
  <c r="I70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112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AB24" i="1" s="1"/>
  <c r="H25" i="1"/>
  <c r="H26" i="1"/>
  <c r="AB26" i="1" s="1"/>
  <c r="H27" i="1"/>
  <c r="H28" i="1"/>
  <c r="AB28" i="1" s="1"/>
  <c r="H29" i="1"/>
  <c r="H30" i="1"/>
  <c r="H31" i="1"/>
  <c r="AB31" i="1" s="1"/>
  <c r="H32" i="1"/>
  <c r="H33" i="1"/>
  <c r="AB33" i="1" s="1"/>
  <c r="H34" i="1"/>
  <c r="AB34" i="1" s="1"/>
  <c r="H35" i="1"/>
  <c r="H36" i="1"/>
  <c r="H37" i="1"/>
  <c r="H38" i="1"/>
  <c r="H39" i="1"/>
  <c r="H40" i="1"/>
  <c r="H41" i="1"/>
  <c r="AB41" i="1" s="1"/>
  <c r="H42" i="1"/>
  <c r="H43" i="1"/>
  <c r="H44" i="1"/>
  <c r="AB44" i="1" s="1"/>
  <c r="H45" i="1"/>
  <c r="AB45" i="1" s="1"/>
  <c r="H46" i="1"/>
  <c r="H47" i="1"/>
  <c r="H48" i="1"/>
  <c r="H49" i="1"/>
  <c r="H50" i="1"/>
  <c r="AB50" i="1" s="1"/>
  <c r="H51" i="1"/>
  <c r="H52" i="1"/>
  <c r="H53" i="1"/>
  <c r="AB53" i="1" s="1"/>
  <c r="H54" i="1"/>
  <c r="AB54" i="1" s="1"/>
  <c r="H55" i="1"/>
  <c r="H56" i="1"/>
  <c r="H57" i="1"/>
  <c r="H58" i="1"/>
  <c r="AB58" i="1" s="1"/>
  <c r="H59" i="1"/>
  <c r="H60" i="1"/>
  <c r="H61" i="1"/>
  <c r="H62" i="1"/>
  <c r="AB62" i="1" s="1"/>
  <c r="H63" i="1"/>
  <c r="H64" i="1"/>
  <c r="H65" i="1"/>
  <c r="AB65" i="1" s="1"/>
  <c r="H66" i="1"/>
  <c r="H67" i="1"/>
  <c r="H68" i="1"/>
  <c r="H69" i="1"/>
  <c r="H70" i="1"/>
  <c r="H71" i="1"/>
  <c r="AB71" i="1" s="1"/>
  <c r="H72" i="1"/>
  <c r="H73" i="1"/>
  <c r="AB73" i="1" s="1"/>
  <c r="H74" i="1"/>
  <c r="AB74" i="1" s="1"/>
  <c r="H75" i="1"/>
  <c r="AB75" i="1" s="1"/>
  <c r="H76" i="1"/>
  <c r="AB76" i="1" s="1"/>
  <c r="H77" i="1"/>
  <c r="AB77" i="1" s="1"/>
  <c r="H78" i="1"/>
  <c r="AB78" i="1" s="1"/>
  <c r="H79" i="1"/>
  <c r="H80" i="1"/>
  <c r="H81" i="1"/>
  <c r="AB81" i="1" s="1"/>
  <c r="H82" i="1"/>
  <c r="H83" i="1"/>
  <c r="H84" i="1"/>
  <c r="H85" i="1"/>
  <c r="H86" i="1"/>
  <c r="H87" i="1"/>
  <c r="H88" i="1"/>
  <c r="AB88" i="1" s="1"/>
  <c r="H89" i="1"/>
  <c r="AB89" i="1" s="1"/>
  <c r="H90" i="1"/>
  <c r="AB90" i="1" s="1"/>
  <c r="H91" i="1"/>
  <c r="H92" i="1"/>
  <c r="AB92" i="1" s="1"/>
  <c r="H93" i="1"/>
  <c r="AB93" i="1" s="1"/>
  <c r="H94" i="1"/>
  <c r="AB94" i="1" s="1"/>
  <c r="H95" i="1"/>
  <c r="AB95" i="1" s="1"/>
  <c r="H96" i="1"/>
  <c r="H97" i="1"/>
  <c r="AB97" i="1" s="1"/>
  <c r="H98" i="1"/>
  <c r="H99" i="1"/>
  <c r="AB99" i="1" s="1"/>
  <c r="H100" i="1"/>
  <c r="H101" i="1"/>
  <c r="H102" i="1"/>
  <c r="H103" i="1"/>
  <c r="H104" i="1"/>
  <c r="AB104" i="1" s="1"/>
  <c r="H105" i="1"/>
  <c r="H106" i="1"/>
  <c r="H107" i="1"/>
  <c r="H108" i="1"/>
  <c r="H109" i="1"/>
  <c r="H110" i="1"/>
  <c r="AB110" i="1" s="1"/>
  <c r="H111" i="1"/>
  <c r="H112" i="1"/>
  <c r="AB112" i="1" s="1"/>
  <c r="H113" i="1"/>
  <c r="AB113" i="1" s="1"/>
  <c r="H114" i="1"/>
  <c r="AB114" i="1" s="1"/>
  <c r="H115" i="1"/>
  <c r="AB115" i="1" s="1"/>
  <c r="H116" i="1"/>
  <c r="AB116" i="1" s="1"/>
  <c r="H117" i="1"/>
  <c r="AB117" i="1" s="1"/>
  <c r="H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4" i="1"/>
  <c r="G115" i="1"/>
  <c r="G116" i="1"/>
  <c r="G117" i="1"/>
  <c r="G11" i="1"/>
  <c r="AA12" i="1"/>
  <c r="AA13" i="1"/>
  <c r="AA15" i="1"/>
  <c r="AA29" i="1"/>
  <c r="AA31" i="1"/>
  <c r="AA37" i="1"/>
  <c r="AA71" i="1"/>
  <c r="AA98" i="1"/>
  <c r="AA100" i="1"/>
  <c r="AA101" i="1"/>
  <c r="AA103" i="1"/>
  <c r="AA104" i="1"/>
  <c r="AA105" i="1"/>
  <c r="AA113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" i="1"/>
  <c r="Q12" i="1"/>
  <c r="Q11" i="1"/>
  <c r="Q13" i="1"/>
  <c r="Q14" i="1"/>
  <c r="Q15" i="1"/>
  <c r="Q16" i="1"/>
  <c r="Q17" i="1"/>
  <c r="Q18" i="1"/>
  <c r="Q19" i="1"/>
  <c r="Q20" i="1"/>
  <c r="Q21" i="1"/>
  <c r="Q22" i="1"/>
  <c r="Q23" i="1"/>
  <c r="Q24" i="1"/>
  <c r="V24" i="1" s="1"/>
  <c r="Q25" i="1"/>
  <c r="Q26" i="1"/>
  <c r="V26" i="1" s="1"/>
  <c r="Q27" i="1"/>
  <c r="Q28" i="1"/>
  <c r="V28" i="1" s="1"/>
  <c r="Q29" i="1"/>
  <c r="Q30" i="1"/>
  <c r="Q31" i="1"/>
  <c r="V31" i="1" s="1"/>
  <c r="Q32" i="1"/>
  <c r="Q33" i="1"/>
  <c r="V33" i="1" s="1"/>
  <c r="Q34" i="1"/>
  <c r="V34" i="1" s="1"/>
  <c r="Q35" i="1"/>
  <c r="Q36" i="1"/>
  <c r="Q37" i="1"/>
  <c r="Q38" i="1"/>
  <c r="Q39" i="1"/>
  <c r="Q40" i="1"/>
  <c r="Q41" i="1"/>
  <c r="V41" i="1" s="1"/>
  <c r="Q42" i="1"/>
  <c r="Q43" i="1"/>
  <c r="Q44" i="1"/>
  <c r="V44" i="1" s="1"/>
  <c r="Q45" i="1"/>
  <c r="V45" i="1" s="1"/>
  <c r="Q46" i="1"/>
  <c r="Q47" i="1"/>
  <c r="Q48" i="1"/>
  <c r="Q49" i="1"/>
  <c r="Q50" i="1"/>
  <c r="V50" i="1" s="1"/>
  <c r="Q51" i="1"/>
  <c r="Q52" i="1"/>
  <c r="Q53" i="1"/>
  <c r="V53" i="1" s="1"/>
  <c r="Q54" i="1"/>
  <c r="V54" i="1" s="1"/>
  <c r="Q55" i="1"/>
  <c r="Q56" i="1"/>
  <c r="Q57" i="1"/>
  <c r="Q58" i="1"/>
  <c r="V58" i="1" s="1"/>
  <c r="Q59" i="1"/>
  <c r="Q60" i="1"/>
  <c r="Q61" i="1"/>
  <c r="Q62" i="1"/>
  <c r="V62" i="1" s="1"/>
  <c r="Q63" i="1"/>
  <c r="Q64" i="1"/>
  <c r="Q65" i="1"/>
  <c r="V65" i="1" s="1"/>
  <c r="Q66" i="1"/>
  <c r="Q67" i="1"/>
  <c r="Q68" i="1"/>
  <c r="Q69" i="1"/>
  <c r="Q70" i="1"/>
  <c r="Q71" i="1"/>
  <c r="V71" i="1" s="1"/>
  <c r="Q72" i="1"/>
  <c r="Q73" i="1"/>
  <c r="V73" i="1" s="1"/>
  <c r="Q74" i="1"/>
  <c r="V74" i="1" s="1"/>
  <c r="Q75" i="1"/>
  <c r="V75" i="1" s="1"/>
  <c r="Q76" i="1"/>
  <c r="V76" i="1" s="1"/>
  <c r="Q77" i="1"/>
  <c r="V77" i="1" s="1"/>
  <c r="Q78" i="1"/>
  <c r="V78" i="1" s="1"/>
  <c r="Q79" i="1"/>
  <c r="Q80" i="1"/>
  <c r="Q81" i="1"/>
  <c r="V81" i="1" s="1"/>
  <c r="Q82" i="1"/>
  <c r="Q83" i="1"/>
  <c r="Q84" i="1"/>
  <c r="Q85" i="1"/>
  <c r="Q86" i="1"/>
  <c r="Q87" i="1"/>
  <c r="Q88" i="1"/>
  <c r="V88" i="1" s="1"/>
  <c r="Q89" i="1"/>
  <c r="V89" i="1" s="1"/>
  <c r="Q90" i="1"/>
  <c r="V90" i="1" s="1"/>
  <c r="Q91" i="1"/>
  <c r="Q92" i="1"/>
  <c r="V92" i="1" s="1"/>
  <c r="Q93" i="1"/>
  <c r="V93" i="1" s="1"/>
  <c r="Q94" i="1"/>
  <c r="V94" i="1" s="1"/>
  <c r="Q95" i="1"/>
  <c r="V95" i="1" s="1"/>
  <c r="Q96" i="1"/>
  <c r="Q97" i="1"/>
  <c r="V97" i="1" s="1"/>
  <c r="Q98" i="1"/>
  <c r="Q99" i="1"/>
  <c r="V99" i="1" s="1"/>
  <c r="Q100" i="1"/>
  <c r="Q101" i="1"/>
  <c r="Q102" i="1"/>
  <c r="Q103" i="1"/>
  <c r="Q104" i="1"/>
  <c r="V104" i="1" s="1"/>
  <c r="Q105" i="1"/>
  <c r="Q106" i="1"/>
  <c r="Q107" i="1"/>
  <c r="Q108" i="1"/>
  <c r="Q109" i="1"/>
  <c r="Q110" i="1"/>
  <c r="V110" i="1" s="1"/>
  <c r="Q111" i="1"/>
  <c r="Q112" i="1"/>
  <c r="V112" i="1" s="1"/>
  <c r="Q113" i="1"/>
  <c r="V113" i="1" s="1"/>
  <c r="Q114" i="1"/>
  <c r="V114" i="1" s="1"/>
  <c r="Q115" i="1"/>
  <c r="V115" i="1" s="1"/>
  <c r="Q116" i="1"/>
  <c r="V116" i="1" s="1"/>
  <c r="Q117" i="1"/>
  <c r="V117" i="1" s="1"/>
  <c r="O10" i="1"/>
  <c r="M10" i="1"/>
  <c r="C10" i="1"/>
  <c r="D10" i="1"/>
  <c r="E10" i="1"/>
  <c r="F10" i="1"/>
  <c r="S10" i="1"/>
  <c r="P10" i="1"/>
  <c r="N10" i="1"/>
  <c r="R108" i="1" l="1"/>
  <c r="V108" i="1"/>
  <c r="R106" i="1"/>
  <c r="V106" i="1"/>
  <c r="V102" i="1"/>
  <c r="R102" i="1"/>
  <c r="V100" i="1"/>
  <c r="R100" i="1"/>
  <c r="V98" i="1"/>
  <c r="R98" i="1"/>
  <c r="V96" i="1"/>
  <c r="R96" i="1"/>
  <c r="R86" i="1"/>
  <c r="V86" i="1"/>
  <c r="V84" i="1"/>
  <c r="R84" i="1"/>
  <c r="R82" i="1"/>
  <c r="V82" i="1"/>
  <c r="V80" i="1"/>
  <c r="R80" i="1"/>
  <c r="R72" i="1"/>
  <c r="V72" i="1"/>
  <c r="R70" i="1"/>
  <c r="V70" i="1"/>
  <c r="V68" i="1"/>
  <c r="R68" i="1"/>
  <c r="R66" i="1"/>
  <c r="V66" i="1"/>
  <c r="V64" i="1"/>
  <c r="R64" i="1"/>
  <c r="R60" i="1"/>
  <c r="V60" i="1"/>
  <c r="R56" i="1"/>
  <c r="V56" i="1"/>
  <c r="R52" i="1"/>
  <c r="V52" i="1"/>
  <c r="R48" i="1"/>
  <c r="V48" i="1"/>
  <c r="R46" i="1"/>
  <c r="V46" i="1"/>
  <c r="R42" i="1"/>
  <c r="V42" i="1"/>
  <c r="R40" i="1"/>
  <c r="V40" i="1"/>
  <c r="R38" i="1"/>
  <c r="V38" i="1"/>
  <c r="R36" i="1"/>
  <c r="V36" i="1"/>
  <c r="R32" i="1"/>
  <c r="V32" i="1"/>
  <c r="V30" i="1"/>
  <c r="R30" i="1"/>
  <c r="R22" i="1"/>
  <c r="V22" i="1"/>
  <c r="V20" i="1"/>
  <c r="R20" i="1"/>
  <c r="R18" i="1"/>
  <c r="V18" i="1"/>
  <c r="V16" i="1"/>
  <c r="R16" i="1"/>
  <c r="R14" i="1"/>
  <c r="V14" i="1"/>
  <c r="R11" i="1"/>
  <c r="V11" i="1"/>
  <c r="U26" i="1"/>
  <c r="U34" i="1"/>
  <c r="U44" i="1"/>
  <c r="U50" i="1"/>
  <c r="U54" i="1"/>
  <c r="U58" i="1"/>
  <c r="U76" i="1"/>
  <c r="U88" i="1"/>
  <c r="U94" i="1"/>
  <c r="U114" i="1"/>
  <c r="U78" i="1"/>
  <c r="R111" i="1"/>
  <c r="V111" i="1"/>
  <c r="V109" i="1"/>
  <c r="R109" i="1"/>
  <c r="R107" i="1"/>
  <c r="V107" i="1"/>
  <c r="V105" i="1"/>
  <c r="R105" i="1"/>
  <c r="R103" i="1"/>
  <c r="V103" i="1"/>
  <c r="R101" i="1"/>
  <c r="V101" i="1"/>
  <c r="R91" i="1"/>
  <c r="V91" i="1"/>
  <c r="V87" i="1"/>
  <c r="R87" i="1"/>
  <c r="R85" i="1"/>
  <c r="V85" i="1"/>
  <c r="R83" i="1"/>
  <c r="V83" i="1"/>
  <c r="R79" i="1"/>
  <c r="V79" i="1"/>
  <c r="R69" i="1"/>
  <c r="V69" i="1"/>
  <c r="R67" i="1"/>
  <c r="V67" i="1"/>
  <c r="R63" i="1"/>
  <c r="V63" i="1"/>
  <c r="R61" i="1"/>
  <c r="V61" i="1"/>
  <c r="R59" i="1"/>
  <c r="V59" i="1"/>
  <c r="R57" i="1"/>
  <c r="V57" i="1"/>
  <c r="R55" i="1"/>
  <c r="V55" i="1"/>
  <c r="R51" i="1"/>
  <c r="V51" i="1"/>
  <c r="V49" i="1"/>
  <c r="R49" i="1"/>
  <c r="R47" i="1"/>
  <c r="V47" i="1"/>
  <c r="R43" i="1"/>
  <c r="V43" i="1"/>
  <c r="R39" i="1"/>
  <c r="V39" i="1"/>
  <c r="R37" i="1"/>
  <c r="V37" i="1"/>
  <c r="R35" i="1"/>
  <c r="V35" i="1"/>
  <c r="R29" i="1"/>
  <c r="V29" i="1"/>
  <c r="R27" i="1"/>
  <c r="V27" i="1"/>
  <c r="R25" i="1"/>
  <c r="V25" i="1"/>
  <c r="R23" i="1"/>
  <c r="V23" i="1"/>
  <c r="R21" i="1"/>
  <c r="V21" i="1"/>
  <c r="R19" i="1"/>
  <c r="V19" i="1"/>
  <c r="R17" i="1"/>
  <c r="V17" i="1"/>
  <c r="R15" i="1"/>
  <c r="V15" i="1"/>
  <c r="R13" i="1"/>
  <c r="V13" i="1"/>
  <c r="V12" i="1"/>
  <c r="R12" i="1"/>
  <c r="U31" i="1"/>
  <c r="U45" i="1"/>
  <c r="U75" i="1"/>
  <c r="U93" i="1"/>
  <c r="U97" i="1"/>
  <c r="U24" i="1"/>
  <c r="U62" i="1"/>
  <c r="U74" i="1"/>
  <c r="U90" i="1"/>
  <c r="U104" i="1"/>
  <c r="U112" i="1"/>
  <c r="U116" i="1"/>
  <c r="U71" i="1"/>
  <c r="U115" i="1"/>
  <c r="U28" i="1"/>
  <c r="U92" i="1"/>
  <c r="U110" i="1"/>
  <c r="U53" i="1"/>
  <c r="U117" i="1"/>
  <c r="X10" i="1"/>
  <c r="Z10" i="1"/>
  <c r="Y10" i="1"/>
  <c r="W10" i="1"/>
  <c r="L10" i="1"/>
  <c r="Q10" i="1"/>
  <c r="AB12" i="1" l="1"/>
  <c r="U12" i="1"/>
  <c r="U49" i="1"/>
  <c r="AB49" i="1"/>
  <c r="AB87" i="1"/>
  <c r="U87" i="1"/>
  <c r="U105" i="1"/>
  <c r="AB105" i="1"/>
  <c r="AB109" i="1"/>
  <c r="U109" i="1"/>
  <c r="U11" i="1"/>
  <c r="AB11" i="1"/>
  <c r="R10" i="1"/>
  <c r="AB14" i="1"/>
  <c r="U14" i="1"/>
  <c r="U18" i="1"/>
  <c r="AB18" i="1"/>
  <c r="AB22" i="1"/>
  <c r="U22" i="1"/>
  <c r="AB32" i="1"/>
  <c r="U32" i="1"/>
  <c r="AB36" i="1"/>
  <c r="U36" i="1"/>
  <c r="AB38" i="1"/>
  <c r="U38" i="1"/>
  <c r="AB40" i="1"/>
  <c r="U40" i="1"/>
  <c r="U42" i="1"/>
  <c r="AB42" i="1"/>
  <c r="AB46" i="1"/>
  <c r="U46" i="1"/>
  <c r="AB48" i="1"/>
  <c r="U48" i="1"/>
  <c r="AB52" i="1"/>
  <c r="U52" i="1"/>
  <c r="AB56" i="1"/>
  <c r="U56" i="1"/>
  <c r="AB60" i="1"/>
  <c r="U60" i="1"/>
  <c r="U66" i="1"/>
  <c r="AB66" i="1"/>
  <c r="AB70" i="1"/>
  <c r="U70" i="1"/>
  <c r="AB72" i="1"/>
  <c r="U72" i="1"/>
  <c r="U82" i="1"/>
  <c r="AB82" i="1"/>
  <c r="AB86" i="1"/>
  <c r="U86" i="1"/>
  <c r="U106" i="1"/>
  <c r="AB106" i="1"/>
  <c r="AB108" i="1"/>
  <c r="U108" i="1"/>
  <c r="AB13" i="1"/>
  <c r="U13" i="1"/>
  <c r="AB15" i="1"/>
  <c r="U15" i="1"/>
  <c r="U17" i="1"/>
  <c r="AB17" i="1"/>
  <c r="U19" i="1"/>
  <c r="AB19" i="1"/>
  <c r="AB21" i="1"/>
  <c r="U21" i="1"/>
  <c r="AB23" i="1"/>
  <c r="U23" i="1"/>
  <c r="U25" i="1"/>
  <c r="AB25" i="1"/>
  <c r="U27" i="1"/>
  <c r="AB27" i="1"/>
  <c r="AB29" i="1"/>
  <c r="U29" i="1"/>
  <c r="U35" i="1"/>
  <c r="AB35" i="1"/>
  <c r="AB37" i="1"/>
  <c r="U37" i="1"/>
  <c r="AB39" i="1"/>
  <c r="U39" i="1"/>
  <c r="U43" i="1"/>
  <c r="AB43" i="1"/>
  <c r="AB47" i="1"/>
  <c r="U47" i="1"/>
  <c r="U51" i="1"/>
  <c r="AB51" i="1"/>
  <c r="AB55" i="1"/>
  <c r="U55" i="1"/>
  <c r="U57" i="1"/>
  <c r="AB57" i="1"/>
  <c r="U59" i="1"/>
  <c r="AB59" i="1"/>
  <c r="AB61" i="1"/>
  <c r="U61" i="1"/>
  <c r="AB63" i="1"/>
  <c r="U63" i="1"/>
  <c r="U67" i="1"/>
  <c r="AB67" i="1"/>
  <c r="AB69" i="1"/>
  <c r="U69" i="1"/>
  <c r="AB79" i="1"/>
  <c r="U79" i="1"/>
  <c r="U83" i="1"/>
  <c r="AB83" i="1"/>
  <c r="AB85" i="1"/>
  <c r="U85" i="1"/>
  <c r="U91" i="1"/>
  <c r="AB91" i="1"/>
  <c r="AB101" i="1"/>
  <c r="U101" i="1"/>
  <c r="AB103" i="1"/>
  <c r="U103" i="1"/>
  <c r="U107" i="1"/>
  <c r="AB107" i="1"/>
  <c r="AB111" i="1"/>
  <c r="U111" i="1"/>
  <c r="AB16" i="1"/>
  <c r="U16" i="1"/>
  <c r="AB20" i="1"/>
  <c r="U20" i="1"/>
  <c r="AB30" i="1"/>
  <c r="U30" i="1"/>
  <c r="AB64" i="1"/>
  <c r="U64" i="1"/>
  <c r="AB68" i="1"/>
  <c r="U68" i="1"/>
  <c r="AB80" i="1"/>
  <c r="U80" i="1"/>
  <c r="AB84" i="1"/>
  <c r="U84" i="1"/>
  <c r="AB96" i="1"/>
  <c r="U96" i="1"/>
  <c r="U98" i="1"/>
  <c r="AB98" i="1"/>
  <c r="AB100" i="1"/>
  <c r="U100" i="1"/>
  <c r="AB102" i="1"/>
  <c r="U102" i="1"/>
  <c r="AB10" i="1" l="1"/>
</calcChain>
</file>

<file path=xl/sharedStrings.xml><?xml version="1.0" encoding="utf-8"?>
<sst xmlns="http://schemas.openxmlformats.org/spreadsheetml/2006/main" count="268" uniqueCount="151">
  <si>
    <t>Ведомость по товарам на складах</t>
  </si>
  <si>
    <t>Параметры:</t>
  </si>
  <si>
    <t>Период: 16.06.2026 - 23.06.2026</t>
  </si>
  <si>
    <t>Количество товаров: В единицах хранения</t>
  </si>
  <si>
    <t>Отбор:</t>
  </si>
  <si>
    <t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</si>
  <si>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</si>
  <si>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</si>
  <si>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</si>
  <si>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</si>
  <si>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</si>
  <si>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</si>
  <si>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</si>
  <si>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</si>
  <si>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</si>
  <si>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</si>
  <si>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</si>
  <si>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</si>
  <si>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</si>
  <si>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</si>
  <si>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</si>
  <si>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</si>
  <si>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</si>
  <si>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</si>
  <si>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</si>
  <si>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</si>
  <si>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</si>
  <si>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</si>
  <si>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</si>
  <si>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</si>
  <si>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</si>
  <si>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</si>
  <si>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</si>
  <si>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</si>
  <si>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</si>
  <si>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</si>
  <si>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</si>
  <si>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</si>
  <si>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</si>
  <si>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</si>
  <si>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</si>
  <si>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</si>
  <si>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</si>
  <si>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</si>
  <si>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</si>
  <si>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</si>
  <si>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</si>
  <si>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</si>
  <si>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</si>
  <si>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</si>
  <si>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</si>
  <si>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</si>
  <si>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</si>
  <si>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</si>
  <si>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</si>
  <si>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</si>
  <si>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</si>
  <si>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</si>
  <si>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</si>
  <si>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</si>
  <si>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</si>
  <si>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</si>
  <si>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</si>
  <si>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</si>
  <si>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</si>
  <si>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</si>
  <si>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</si>
  <si>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</si>
  <si>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</si>
  <si>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</si>
  <si>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</si>
  <si>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</si>
  <si>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</si>
  <si>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</si>
  <si>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</si>
  <si>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</si>
  <si>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</si>
  <si>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</si>
  <si>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</si>
  <si>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</si>
  <si>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</si>
  <si>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</si>
  <si>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</si>
  <si>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</si>
  <si>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</si>
  <si>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</si>
  <si>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</si>
  <si>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</si>
  <si>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</si>
  <si>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</si>
  <si>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</si>
  <si>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</si>
  <si>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</si>
  <si>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</si>
  <si>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</si>
  <si>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</si>
  <si>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</si>
  <si>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</si>
  <si>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</si>
  <si>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</si>
  <si>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</si>
  <si>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</si>
  <si>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</si>
  <si>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</si>
  <si>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</si>
  <si>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</si>
  <si>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</si>
  <si>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</si>
  <si>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</si>
  <si>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</si>
  <si>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</si>
  <si>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</si>
  <si>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</si>
  <si>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</si>
  <si>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</si>
  <si>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</si>
  <si>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</si>
  <si>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</si>
  <si>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</si>
  <si>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</si>
  <si>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</si>
  <si>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</si>
  <si>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</si>
  <si>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</si>
  <si>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</si>
  <si>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</si>
  <si>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</si>
  <si>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</si>
  <si>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</si>
  <si>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</si>
  <si>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</si>
  <si>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</si>
  <si>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20,06,</t>
  </si>
  <si>
    <t>18,06,</t>
  </si>
  <si>
    <t>21,06,</t>
  </si>
  <si>
    <t>28,05,</t>
  </si>
  <si>
    <t>04,06,</t>
  </si>
  <si>
    <t>11,06,</t>
  </si>
  <si>
    <t>23,06,</t>
  </si>
  <si>
    <t xml:space="preserve"> 230  Колбаса Молочная Особая ТМ Особый рецепт, п/а, ВЕС. ПОКОМ</t>
  </si>
  <si>
    <t xml:space="preserve"> 558  Колбаса Балыковая НОВАЯ ВЕС Вязанка фиброуз в/у ПОКОМ</t>
  </si>
  <si>
    <t>Копченые колбасы «Сервелат Финский» Фикс.вес 0,28 фиброуз срез ТМ «Вязанка»</t>
  </si>
  <si>
    <t>Копченые колбасы «Сервелат Ореховый» Фикс.вес 0,09 нарезка ТМ «Вязанка»</t>
  </si>
  <si>
    <t>Копченые колбасы «Балыковая » Фикс.вес 0,09 нарезка ТМ «Вязанка»</t>
  </si>
  <si>
    <t>Копченые колбасы «Сервелат Финский» Фикс.вес 0,09 нарезка ТМ «Вязанка»</t>
  </si>
  <si>
    <t>27,06,</t>
  </si>
  <si>
    <t>20,06-1</t>
  </si>
  <si>
    <t>P005375</t>
  </si>
  <si>
    <t>Заменил код на корректный</t>
  </si>
  <si>
    <t>Промо</t>
  </si>
  <si>
    <t>Промо 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</si>
</sst>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0" fillId="0" borderId="0" xfId="0" applyAlignment="1"/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0" fontId="3" fillId="2" borderId="0" xfId="0" applyFont="1" applyFill="1" applyBorder="1" applyAlignment="1">
      <alignment horizontal="left" vertical="top"/>
    </xf>
    <xf numFmtId="2" fontId="4" fillId="3" borderId="0" xfId="1" applyNumberFormat="1" applyFont="1" applyFill="1"/>
    <xf numFmtId="164" fontId="4" fillId="3" borderId="0" xfId="1" applyNumberFormat="1" applyFont="1" applyFill="1"/>
    <xf numFmtId="164" fontId="5" fillId="3" borderId="0" xfId="1" applyNumberFormat="1" applyFont="1" applyFill="1"/>
    <xf numFmtId="164" fontId="4" fillId="4" borderId="0" xfId="1" applyNumberFormat="1" applyFont="1" applyFill="1"/>
    <xf numFmtId="0" fontId="3" fillId="2" borderId="4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center" vertical="top"/>
    </xf>
    <xf numFmtId="164" fontId="3" fillId="5" borderId="0" xfId="1" applyNumberFormat="1" applyFill="1"/>
    <xf numFmtId="164" fontId="0" fillId="0" borderId="0" xfId="0" applyNumberFormat="1" applyAlignment="1"/>
    <xf numFmtId="164" fontId="0" fillId="0" borderId="6" xfId="0" applyNumberFormat="1" applyBorder="1" applyAlignment="1"/>
    <xf numFmtId="0" fontId="7" fillId="6" borderId="0" xfId="0" applyFont="1" applyFill="1" applyAlignment="1">
      <alignment horizontal="left"/>
    </xf>
    <xf numFmtId="0" fontId="0" fillId="6" borderId="4" xfId="0" applyFill="1" applyBorder="1" applyAlignment="1">
      <alignment horizontal="left" vertical="top"/>
    </xf>
    <xf numFmtId="164" fontId="0" fillId="6" borderId="0" xfId="0" applyNumberFormat="1" applyFill="1" applyAlignment="1"/>
    <xf numFmtId="164" fontId="0" fillId="7" borderId="0" xfId="0" applyNumberFormat="1" applyFill="1" applyAlignment="1"/>
    <xf numFmtId="164" fontId="0" fillId="6" borderId="6" xfId="0" applyNumberFormat="1" applyFill="1" applyBorder="1" applyAlignmen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44;&#1074;.%2018.06.2026%20&#1055;&#1086;&#1082;&#1086;&#1084;%20&#1050;&#1048;%20&#1041;&#1077;&#1088;&#1076;&#1103;&#1085;&#1089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79;&#1072;&#1103;&#1074;.%20&#1086;&#1090;&#1075;&#1088;&#1091;&#1078;.%2023.06.2026%20&#1055;&#1086;&#1082;&#1086;&#1084;%20&#1050;&#1048;%20&#1041;&#1077;&#1088;&#1076;&#1103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11.06.2026 - 18.06.2026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"ПОКОМ Логистический Партн..."</v>
          </cell>
        </row>
        <row r="7">
          <cell r="O7" t="str">
            <v>20,06-1</v>
          </cell>
          <cell r="P7" t="str">
            <v>есть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без опта</v>
          </cell>
          <cell r="Q8" t="str">
            <v>ср нов</v>
          </cell>
          <cell r="R8" t="str">
            <v>расчет</v>
          </cell>
          <cell r="S8" t="str">
            <v>заказ филиала</v>
          </cell>
          <cell r="T8" t="str">
            <v>Комментарии филиала</v>
          </cell>
          <cell r="U8" t="str">
            <v>кон ост</v>
          </cell>
          <cell r="V8" t="str">
            <v>факт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ср</v>
          </cell>
          <cell r="AA8" t="str">
            <v>комментарии</v>
          </cell>
        </row>
        <row r="9">
          <cell r="C9" t="str">
            <v>Начальный остаток</v>
          </cell>
          <cell r="D9" t="str">
            <v>Приход</v>
          </cell>
          <cell r="E9" t="str">
            <v>Расход</v>
          </cell>
          <cell r="F9" t="str">
            <v>Конечный остаток</v>
          </cell>
          <cell r="O9" t="str">
            <v>20,06,</v>
          </cell>
          <cell r="P9" t="str">
            <v>20,06,</v>
          </cell>
          <cell r="Q9" t="str">
            <v>18,06,</v>
          </cell>
          <cell r="R9" t="str">
            <v>21,06,</v>
          </cell>
          <cell r="W9" t="str">
            <v>19,05,</v>
          </cell>
          <cell r="X9" t="str">
            <v>28,05,</v>
          </cell>
          <cell r="Y9" t="str">
            <v>04,06,</v>
          </cell>
          <cell r="Z9" t="str">
            <v>11,06,</v>
          </cell>
        </row>
        <row r="10">
          <cell r="C10">
            <v>8759.8939999999984</v>
          </cell>
          <cell r="D10">
            <v>22242.657999999999</v>
          </cell>
          <cell r="E10">
            <v>22871.190999999999</v>
          </cell>
          <cell r="F10">
            <v>6603.8389999999999</v>
          </cell>
          <cell r="L10">
            <v>25808.691000000003</v>
          </cell>
          <cell r="M10">
            <v>-2937.5000000000009</v>
          </cell>
          <cell r="N10">
            <v>64.296999999999997</v>
          </cell>
          <cell r="O10">
            <v>1800</v>
          </cell>
          <cell r="P10">
            <v>20995</v>
          </cell>
          <cell r="Q10">
            <v>4574.238199999998</v>
          </cell>
          <cell r="R10">
            <v>23110</v>
          </cell>
          <cell r="S10">
            <v>4430</v>
          </cell>
          <cell r="W10">
            <v>4309.5451999999996</v>
          </cell>
          <cell r="X10">
            <v>3947.5021999999994</v>
          </cell>
          <cell r="Y10">
            <v>4479.8339999999989</v>
          </cell>
          <cell r="Z10">
            <v>4445.773799999999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189.536</v>
          </cell>
          <cell r="D11">
            <v>96.326999999999998</v>
          </cell>
          <cell r="E11">
            <v>269.61799999999999</v>
          </cell>
          <cell r="F11">
            <v>1.175</v>
          </cell>
          <cell r="G11" t="str">
            <v>P003011</v>
          </cell>
          <cell r="H11">
            <v>1</v>
          </cell>
          <cell r="L11">
            <v>271.39999999999998</v>
          </cell>
          <cell r="M11">
            <v>-1.7819999999999823</v>
          </cell>
          <cell r="N11">
            <v>64.296999999999997</v>
          </cell>
          <cell r="O11">
            <v>0</v>
          </cell>
          <cell r="P11">
            <v>500</v>
          </cell>
          <cell r="Q11">
            <v>53.9236</v>
          </cell>
          <cell r="R11">
            <v>150</v>
          </cell>
          <cell r="S11">
            <v>150</v>
          </cell>
          <cell r="T11" t="str">
            <v>Промо</v>
          </cell>
          <cell r="U11">
            <v>12.075881432248588</v>
          </cell>
          <cell r="V11">
            <v>2.1790088198859126E-2</v>
          </cell>
          <cell r="W11">
            <v>66.139800000000008</v>
          </cell>
          <cell r="X11">
            <v>63.439599999999999</v>
          </cell>
          <cell r="Y11">
            <v>49.296800000000005</v>
          </cell>
          <cell r="Z11">
            <v>54.128</v>
          </cell>
          <cell r="AA11" t="str">
            <v>промо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13.411</v>
          </cell>
          <cell r="D12">
            <v>277.197</v>
          </cell>
          <cell r="E12">
            <v>232.75299999999999</v>
          </cell>
          <cell r="F12">
            <v>50.508000000000003</v>
          </cell>
          <cell r="G12" t="str">
            <v>P003986</v>
          </cell>
          <cell r="H12">
            <v>1</v>
          </cell>
          <cell r="L12">
            <v>233.7</v>
          </cell>
          <cell r="M12">
            <v>-0.94700000000000273</v>
          </cell>
          <cell r="O12">
            <v>0</v>
          </cell>
          <cell r="P12">
            <v>500</v>
          </cell>
          <cell r="Q12">
            <v>46.550599999999996</v>
          </cell>
          <cell r="R12">
            <v>150</v>
          </cell>
          <cell r="S12">
            <v>150</v>
          </cell>
          <cell r="T12" t="str">
            <v>Промо</v>
          </cell>
          <cell r="U12">
            <v>15.048313018521783</v>
          </cell>
          <cell r="V12">
            <v>1.0850128677181392</v>
          </cell>
          <cell r="W12">
            <v>45.974599999999995</v>
          </cell>
          <cell r="X12">
            <v>37.011600000000001</v>
          </cell>
          <cell r="Y12">
            <v>45.130600000000001</v>
          </cell>
          <cell r="Z12">
            <v>43.219000000000001</v>
          </cell>
          <cell r="AA12" t="str">
            <v>промо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37.534999999999997</v>
          </cell>
          <cell r="D13">
            <v>362.85</v>
          </cell>
          <cell r="E13">
            <v>285.16699999999997</v>
          </cell>
          <cell r="F13">
            <v>101.13</v>
          </cell>
          <cell r="G13" t="str">
            <v>P003988</v>
          </cell>
          <cell r="H13">
            <v>1</v>
          </cell>
          <cell r="L13">
            <v>293.7</v>
          </cell>
          <cell r="M13">
            <v>-8.5330000000000155</v>
          </cell>
          <cell r="O13">
            <v>0</v>
          </cell>
          <cell r="P13">
            <v>500</v>
          </cell>
          <cell r="Q13">
            <v>57.033399999999993</v>
          </cell>
          <cell r="R13">
            <v>150</v>
          </cell>
          <cell r="S13">
            <v>150</v>
          </cell>
          <cell r="T13" t="str">
            <v>Промо</v>
          </cell>
          <cell r="U13">
            <v>13.170002139097443</v>
          </cell>
          <cell r="V13">
            <v>1.7731715100274577</v>
          </cell>
          <cell r="W13">
            <v>48.474400000000003</v>
          </cell>
          <cell r="X13">
            <v>49.338799999999999</v>
          </cell>
          <cell r="Y13">
            <v>60.385000000000005</v>
          </cell>
          <cell r="Z13">
            <v>53.020799999999994</v>
          </cell>
          <cell r="AA13" t="str">
            <v>промо</v>
          </cell>
        </row>
        <row r="14">
          <cell r="A14" t="str">
            <v xml:space="preserve"> 030  Сосиски Вязанка Молочные, Вязанка вискофан МГС, 0.45кг, ПОКОМ</v>
          </cell>
          <cell r="B14" t="str">
            <v>шт</v>
          </cell>
          <cell r="C14">
            <v>-7</v>
          </cell>
          <cell r="D14">
            <v>932</v>
          </cell>
          <cell r="E14">
            <v>751</v>
          </cell>
          <cell r="F14">
            <v>157.607</v>
          </cell>
          <cell r="G14" t="str">
            <v>P003985</v>
          </cell>
          <cell r="H14">
            <v>0.45</v>
          </cell>
          <cell r="L14">
            <v>765</v>
          </cell>
          <cell r="M14">
            <v>-14</v>
          </cell>
          <cell r="O14">
            <v>0</v>
          </cell>
          <cell r="P14">
            <v>0</v>
          </cell>
          <cell r="Q14">
            <v>150.19999999999999</v>
          </cell>
          <cell r="R14">
            <v>1300</v>
          </cell>
          <cell r="T14">
            <v>0</v>
          </cell>
          <cell r="U14">
            <v>9.7044407456724375</v>
          </cell>
          <cell r="V14">
            <v>1.0493142476697737</v>
          </cell>
          <cell r="W14">
            <v>107.6</v>
          </cell>
          <cell r="X14">
            <v>86.2</v>
          </cell>
          <cell r="Y14">
            <v>120.6</v>
          </cell>
          <cell r="Z14">
            <v>72.8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B15" t="str">
            <v>шт</v>
          </cell>
          <cell r="C15">
            <v>-12.006</v>
          </cell>
          <cell r="D15">
            <v>643.00599999999997</v>
          </cell>
          <cell r="E15">
            <v>625</v>
          </cell>
          <cell r="F15">
            <v>-6</v>
          </cell>
          <cell r="G15" t="str">
            <v>P003989</v>
          </cell>
          <cell r="H15">
            <v>0.45</v>
          </cell>
          <cell r="L15">
            <v>680</v>
          </cell>
          <cell r="M15">
            <v>-55</v>
          </cell>
          <cell r="O15">
            <v>0</v>
          </cell>
          <cell r="P15">
            <v>300</v>
          </cell>
          <cell r="Q15">
            <v>125</v>
          </cell>
          <cell r="R15">
            <v>900</v>
          </cell>
          <cell r="T15">
            <v>0</v>
          </cell>
          <cell r="U15">
            <v>9.5519999999999996</v>
          </cell>
          <cell r="V15">
            <v>-4.8000000000000001E-2</v>
          </cell>
          <cell r="W15">
            <v>135.4</v>
          </cell>
          <cell r="X15">
            <v>99.2</v>
          </cell>
          <cell r="Y15">
            <v>110.2</v>
          </cell>
          <cell r="Z15">
            <v>113.8</v>
          </cell>
          <cell r="AA15" t="str">
            <v>Уменьшить т.к. 600шт приехаело, в четверг ещё 320 приедет.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B16" t="str">
            <v>шт</v>
          </cell>
          <cell r="C16">
            <v>128</v>
          </cell>
          <cell r="D16">
            <v>5</v>
          </cell>
          <cell r="E16">
            <v>90</v>
          </cell>
          <cell r="F16">
            <v>38</v>
          </cell>
          <cell r="G16" t="str">
            <v>P002290</v>
          </cell>
          <cell r="H16">
            <v>0.17</v>
          </cell>
          <cell r="I16" t="str">
            <v>матрица</v>
          </cell>
          <cell r="L16">
            <v>95</v>
          </cell>
          <cell r="M16">
            <v>-5</v>
          </cell>
          <cell r="O16">
            <v>0</v>
          </cell>
          <cell r="P16">
            <v>250</v>
          </cell>
          <cell r="Q16">
            <v>18</v>
          </cell>
          <cell r="T16">
            <v>0</v>
          </cell>
          <cell r="U16">
            <v>16</v>
          </cell>
          <cell r="V16">
            <v>2.1111111111111112</v>
          </cell>
          <cell r="W16">
            <v>13.6</v>
          </cell>
          <cell r="X16">
            <v>16</v>
          </cell>
          <cell r="Y16">
            <v>12.6</v>
          </cell>
          <cell r="Z16">
            <v>15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B17" t="str">
            <v>шт</v>
          </cell>
          <cell r="D17">
            <v>277</v>
          </cell>
          <cell r="E17">
            <v>162</v>
          </cell>
          <cell r="F17">
            <v>111</v>
          </cell>
          <cell r="G17" t="str">
            <v>P002461</v>
          </cell>
          <cell r="H17">
            <v>0.3</v>
          </cell>
          <cell r="I17" t="str">
            <v>матрица</v>
          </cell>
          <cell r="L17">
            <v>161</v>
          </cell>
          <cell r="M17">
            <v>1</v>
          </cell>
          <cell r="O17">
            <v>0</v>
          </cell>
          <cell r="P17">
            <v>0</v>
          </cell>
          <cell r="Q17">
            <v>32.4</v>
          </cell>
          <cell r="R17">
            <v>220</v>
          </cell>
          <cell r="T17">
            <v>0</v>
          </cell>
          <cell r="U17">
            <v>10.216049382716049</v>
          </cell>
          <cell r="V17">
            <v>3.425925925925926</v>
          </cell>
          <cell r="W17">
            <v>19.2</v>
          </cell>
          <cell r="X17">
            <v>16.600000000000001</v>
          </cell>
          <cell r="Y17">
            <v>28.8</v>
          </cell>
          <cell r="Z17">
            <v>5</v>
          </cell>
        </row>
        <row r="18">
          <cell r="A18" t="str">
            <v xml:space="preserve"> 083  Колбаса Швейцарская 0,17 кг., ШТ., сырокопченая   ПОКОМ</v>
          </cell>
          <cell r="B18" t="str">
            <v>шт</v>
          </cell>
          <cell r="C18">
            <v>155</v>
          </cell>
          <cell r="D18">
            <v>5</v>
          </cell>
          <cell r="E18">
            <v>152</v>
          </cell>
          <cell r="F18">
            <v>3</v>
          </cell>
          <cell r="G18" t="str">
            <v>P001909</v>
          </cell>
          <cell r="H18">
            <v>0.17</v>
          </cell>
          <cell r="I18" t="str">
            <v>матрица</v>
          </cell>
          <cell r="L18">
            <v>157</v>
          </cell>
          <cell r="M18">
            <v>-5</v>
          </cell>
          <cell r="O18">
            <v>0</v>
          </cell>
          <cell r="P18">
            <v>400</v>
          </cell>
          <cell r="Q18">
            <v>30.4</v>
          </cell>
          <cell r="T18">
            <v>0</v>
          </cell>
          <cell r="U18">
            <v>13.256578947368421</v>
          </cell>
          <cell r="V18">
            <v>9.8684210526315791E-2</v>
          </cell>
          <cell r="W18">
            <v>25.2</v>
          </cell>
          <cell r="X18">
            <v>22</v>
          </cell>
          <cell r="Y18">
            <v>19.8</v>
          </cell>
          <cell r="Z18">
            <v>22</v>
          </cell>
        </row>
        <row r="19">
          <cell r="A19" t="str">
            <v xml:space="preserve"> 200  Ветчина Дугушка ТМ Стародворье, вектор в/у    ПОКОМ</v>
          </cell>
          <cell r="B19" t="str">
            <v>кг</v>
          </cell>
          <cell r="C19">
            <v>101.73099999999999</v>
          </cell>
          <cell r="D19">
            <v>256.60000000000002</v>
          </cell>
          <cell r="E19">
            <v>351.11900000000003</v>
          </cell>
          <cell r="F19">
            <v>-1.772</v>
          </cell>
          <cell r="G19" t="str">
            <v>P004460</v>
          </cell>
          <cell r="H19">
            <v>1</v>
          </cell>
          <cell r="I19" t="str">
            <v>матрица</v>
          </cell>
          <cell r="L19">
            <v>396.4</v>
          </cell>
          <cell r="M19">
            <v>-45.280999999999949</v>
          </cell>
          <cell r="O19">
            <v>0</v>
          </cell>
          <cell r="P19">
            <v>800</v>
          </cell>
          <cell r="Q19">
            <v>70.223800000000011</v>
          </cell>
          <cell r="R19">
            <v>150</v>
          </cell>
          <cell r="S19">
            <v>150</v>
          </cell>
          <cell r="T19" t="str">
            <v>Промо</v>
          </cell>
          <cell r="U19">
            <v>13.502943446523826</v>
          </cell>
          <cell r="V19">
            <v>-2.5233610257491046E-2</v>
          </cell>
          <cell r="W19">
            <v>81.252600000000001</v>
          </cell>
          <cell r="X19">
            <v>85.433599999999998</v>
          </cell>
          <cell r="Y19">
            <v>78.587000000000003</v>
          </cell>
          <cell r="Z19">
            <v>103.93379999999999</v>
          </cell>
        </row>
        <row r="20">
          <cell r="A20" t="str">
            <v xml:space="preserve"> 201  Ветчина Нежная ТМ Особый рецепт, (2,5кг), ПОКОМ</v>
          </cell>
          <cell r="B20" t="str">
            <v>кг</v>
          </cell>
          <cell r="C20">
            <v>381.47199999999998</v>
          </cell>
          <cell r="D20">
            <v>1622.2550000000001</v>
          </cell>
          <cell r="E20">
            <v>1783.9449999999999</v>
          </cell>
          <cell r="F20">
            <v>107.574</v>
          </cell>
          <cell r="G20" t="str">
            <v>P002555</v>
          </cell>
          <cell r="H20">
            <v>1</v>
          </cell>
          <cell r="I20" t="str">
            <v>матрица</v>
          </cell>
          <cell r="L20">
            <v>2093.6</v>
          </cell>
          <cell r="M20">
            <v>-309.65499999999997</v>
          </cell>
          <cell r="O20">
            <v>500</v>
          </cell>
          <cell r="P20">
            <v>1700</v>
          </cell>
          <cell r="Q20">
            <v>356.78899999999999</v>
          </cell>
          <cell r="R20">
            <v>1100</v>
          </cell>
          <cell r="T20">
            <v>0</v>
          </cell>
          <cell r="U20">
            <v>9.5506700038398051</v>
          </cell>
          <cell r="V20">
            <v>0.30150593207750237</v>
          </cell>
          <cell r="W20">
            <v>437.12659999999994</v>
          </cell>
          <cell r="X20">
            <v>402.76819999999998</v>
          </cell>
          <cell r="Y20">
            <v>385.99779999999998</v>
          </cell>
          <cell r="Z20">
            <v>456.52380000000005</v>
          </cell>
        </row>
        <row r="21">
          <cell r="A21" t="str">
            <v xml:space="preserve"> 215  Колбаса Докторская ГОСТ Дугушка, ВЕС, ТМ Стародворье ПОКОМ</v>
          </cell>
          <cell r="B21" t="str">
            <v>кг</v>
          </cell>
          <cell r="D21">
            <v>116.441</v>
          </cell>
          <cell r="E21">
            <v>82.372</v>
          </cell>
          <cell r="F21">
            <v>33.414000000000001</v>
          </cell>
          <cell r="G21" t="str">
            <v>P004028</v>
          </cell>
          <cell r="H21">
            <v>1</v>
          </cell>
          <cell r="I21" t="str">
            <v>матрица</v>
          </cell>
          <cell r="L21">
            <v>78.2</v>
          </cell>
          <cell r="M21">
            <v>4.171999999999997</v>
          </cell>
          <cell r="O21">
            <v>0</v>
          </cell>
          <cell r="P21">
            <v>20</v>
          </cell>
          <cell r="Q21">
            <v>16.474399999999999</v>
          </cell>
          <cell r="R21">
            <v>120</v>
          </cell>
          <cell r="T21">
            <v>0</v>
          </cell>
          <cell r="U21">
            <v>10.526271062982566</v>
          </cell>
          <cell r="V21">
            <v>2.0282377506919831</v>
          </cell>
          <cell r="W21">
            <v>9.0492000000000008</v>
          </cell>
          <cell r="X21">
            <v>7.8915999999999995</v>
          </cell>
          <cell r="Y21">
            <v>13.292599999999998</v>
          </cell>
          <cell r="Z21">
            <v>6.5541999999999998</v>
          </cell>
        </row>
        <row r="22">
          <cell r="A22" t="str">
            <v xml:space="preserve"> 219  Колбаса Докторская Особая ТМ Особый рецепт, ВЕС  ПОКОМ</v>
          </cell>
          <cell r="B22" t="str">
            <v>кг</v>
          </cell>
          <cell r="C22">
            <v>203.10400000000001</v>
          </cell>
          <cell r="D22">
            <v>1274.271</v>
          </cell>
          <cell r="E22">
            <v>1115.8779999999999</v>
          </cell>
          <cell r="F22">
            <v>202.81100000000001</v>
          </cell>
          <cell r="G22" t="str">
            <v>P005077</v>
          </cell>
          <cell r="H22">
            <v>1</v>
          </cell>
          <cell r="I22" t="str">
            <v>матрица</v>
          </cell>
          <cell r="L22">
            <v>1285.047</v>
          </cell>
          <cell r="M22">
            <v>-169.1690000000001</v>
          </cell>
          <cell r="O22">
            <v>0</v>
          </cell>
          <cell r="P22">
            <v>880</v>
          </cell>
          <cell r="Q22">
            <v>223.17559999999997</v>
          </cell>
          <cell r="R22">
            <v>1100</v>
          </cell>
          <cell r="T22">
            <v>0</v>
          </cell>
          <cell r="U22">
            <v>9.7806883906663629</v>
          </cell>
          <cell r="V22">
            <v>0.90875077741473542</v>
          </cell>
          <cell r="W22">
            <v>215.62060000000002</v>
          </cell>
          <cell r="X22">
            <v>199.435</v>
          </cell>
          <cell r="Y22">
            <v>217.35759999999999</v>
          </cell>
          <cell r="Z22">
            <v>205.24799999999999</v>
          </cell>
        </row>
        <row r="23">
          <cell r="A23" t="str">
            <v xml:space="preserve"> 225  Колбаса Дугушка со шпиком, ВЕС, ТМ Стародворье   ПОКОМ</v>
          </cell>
          <cell r="B23" t="str">
            <v>кг</v>
          </cell>
          <cell r="C23">
            <v>35.545999999999999</v>
          </cell>
          <cell r="D23">
            <v>22.068999999999999</v>
          </cell>
          <cell r="E23">
            <v>36.332999999999998</v>
          </cell>
          <cell r="F23">
            <v>19.524999999999999</v>
          </cell>
          <cell r="G23" t="str">
            <v>P004406</v>
          </cell>
          <cell r="H23">
            <v>1</v>
          </cell>
          <cell r="I23" t="str">
            <v>матрица</v>
          </cell>
          <cell r="L23">
            <v>34.6</v>
          </cell>
          <cell r="M23">
            <v>1.732999999999997</v>
          </cell>
          <cell r="O23">
            <v>0</v>
          </cell>
          <cell r="P23">
            <v>20</v>
          </cell>
          <cell r="Q23">
            <v>7.2665999999999995</v>
          </cell>
          <cell r="R23">
            <v>40</v>
          </cell>
          <cell r="T23">
            <v>0</v>
          </cell>
          <cell r="U23">
            <v>10.943907742272867</v>
          </cell>
          <cell r="V23">
            <v>2.6869512564335452</v>
          </cell>
          <cell r="W23">
            <v>5.3003999999999998</v>
          </cell>
          <cell r="X23">
            <v>9.9833999999999996</v>
          </cell>
          <cell r="Y23">
            <v>6.6639999999999997</v>
          </cell>
          <cell r="Z23">
            <v>7.9236000000000004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B24" t="str">
            <v>кг</v>
          </cell>
          <cell r="C24">
            <v>11.928000000000001</v>
          </cell>
          <cell r="D24">
            <v>0.70599999999999996</v>
          </cell>
          <cell r="E24">
            <v>12.731999999999999</v>
          </cell>
          <cell r="F24">
            <v>-9.8000000000000004E-2</v>
          </cell>
          <cell r="G24" t="str">
            <v>P001900</v>
          </cell>
          <cell r="H24">
            <v>1</v>
          </cell>
          <cell r="L24">
            <v>11.73</v>
          </cell>
          <cell r="M24">
            <v>1.0019999999999989</v>
          </cell>
          <cell r="O24">
            <v>0</v>
          </cell>
          <cell r="P24">
            <v>20</v>
          </cell>
          <cell r="Q24">
            <v>2.5463999999999998</v>
          </cell>
          <cell r="R24">
            <v>25</v>
          </cell>
          <cell r="S24">
            <v>25</v>
          </cell>
          <cell r="T24">
            <v>0</v>
          </cell>
          <cell r="U24">
            <v>17.633521834747096</v>
          </cell>
          <cell r="V24">
            <v>-3.848570530945649E-2</v>
          </cell>
          <cell r="W24">
            <v>2.0478000000000001</v>
          </cell>
          <cell r="X24">
            <v>1.5609999999999999</v>
          </cell>
          <cell r="Y24">
            <v>2.3315999999999999</v>
          </cell>
          <cell r="Z24">
            <v>1.6940000000000002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159.43600000000001</v>
          </cell>
          <cell r="D25">
            <v>108.979</v>
          </cell>
          <cell r="E25">
            <v>268.51799999999997</v>
          </cell>
          <cell r="F25">
            <v>-4.6429999999999998</v>
          </cell>
          <cell r="G25" t="str">
            <v>P004030</v>
          </cell>
          <cell r="H25">
            <v>1</v>
          </cell>
          <cell r="I25" t="str">
            <v>матрица</v>
          </cell>
          <cell r="L25">
            <v>279.8</v>
          </cell>
          <cell r="M25">
            <v>-11.282000000000039</v>
          </cell>
          <cell r="O25">
            <v>0</v>
          </cell>
          <cell r="P25">
            <v>600</v>
          </cell>
          <cell r="Q25">
            <v>53.703599999999994</v>
          </cell>
          <cell r="R25">
            <v>150</v>
          </cell>
          <cell r="S25">
            <v>150</v>
          </cell>
          <cell r="T25" t="str">
            <v>Промо</v>
          </cell>
          <cell r="U25">
            <v>13.87908818030821</v>
          </cell>
          <cell r="V25">
            <v>-8.6456029018538799E-2</v>
          </cell>
          <cell r="W25">
            <v>78.503</v>
          </cell>
          <cell r="X25">
            <v>77.642200000000003</v>
          </cell>
          <cell r="Y25">
            <v>62.739400000000003</v>
          </cell>
          <cell r="Z25">
            <v>79.265599999999992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11.555999999999999</v>
          </cell>
          <cell r="D26">
            <v>107.107</v>
          </cell>
          <cell r="E26">
            <v>107.059</v>
          </cell>
          <cell r="F26">
            <v>9.843</v>
          </cell>
          <cell r="G26" t="str">
            <v>P004465</v>
          </cell>
          <cell r="H26">
            <v>1</v>
          </cell>
          <cell r="I26" t="str">
            <v>матрица</v>
          </cell>
          <cell r="L26">
            <v>100.3</v>
          </cell>
          <cell r="M26">
            <v>6.7590000000000003</v>
          </cell>
          <cell r="O26">
            <v>0</v>
          </cell>
          <cell r="P26">
            <v>20</v>
          </cell>
          <cell r="Q26">
            <v>21.411799999999999</v>
          </cell>
          <cell r="R26">
            <v>200</v>
          </cell>
          <cell r="T26">
            <v>0</v>
          </cell>
          <cell r="U26">
            <v>10.734408130096488</v>
          </cell>
          <cell r="V26">
            <v>0.45969979170364006</v>
          </cell>
          <cell r="W26">
            <v>18.160800000000002</v>
          </cell>
          <cell r="X26">
            <v>17.553000000000001</v>
          </cell>
          <cell r="Y26">
            <v>20.255400000000002</v>
          </cell>
          <cell r="Z26">
            <v>21.950600000000001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76.180999999999997</v>
          </cell>
          <cell r="D27">
            <v>117.798</v>
          </cell>
          <cell r="E27">
            <v>189.286</v>
          </cell>
          <cell r="F27">
            <v>-3.5539999999999998</v>
          </cell>
          <cell r="G27" t="str">
            <v>P004466</v>
          </cell>
          <cell r="H27">
            <v>1</v>
          </cell>
          <cell r="I27" t="str">
            <v>матрица</v>
          </cell>
          <cell r="L27">
            <v>178</v>
          </cell>
          <cell r="M27">
            <v>11.286000000000001</v>
          </cell>
          <cell r="O27">
            <v>0</v>
          </cell>
          <cell r="P27">
            <v>400</v>
          </cell>
          <cell r="Q27">
            <v>37.857199999999999</v>
          </cell>
          <cell r="R27">
            <v>20</v>
          </cell>
          <cell r="T27">
            <v>0</v>
          </cell>
          <cell r="U27">
            <v>11.000443772915061</v>
          </cell>
          <cell r="V27">
            <v>-9.3879103578711584E-2</v>
          </cell>
          <cell r="W27">
            <v>35.8902</v>
          </cell>
          <cell r="X27">
            <v>32.679199999999994</v>
          </cell>
          <cell r="Y27">
            <v>30.837599999999998</v>
          </cell>
          <cell r="Z27">
            <v>28.3216</v>
          </cell>
        </row>
        <row r="28">
          <cell r="A28" t="str">
            <v xml:space="preserve"> 240  Колбаса Салями охотничья, ВЕС. ПОКОМ</v>
          </cell>
          <cell r="B28" t="str">
            <v>кг</v>
          </cell>
          <cell r="C28">
            <v>49.401000000000003</v>
          </cell>
          <cell r="D28">
            <v>0.72599999999999998</v>
          </cell>
          <cell r="E28">
            <v>29.056999999999999</v>
          </cell>
          <cell r="F28">
            <v>21.07</v>
          </cell>
          <cell r="G28" t="str">
            <v>P001916</v>
          </cell>
          <cell r="H28">
            <v>1</v>
          </cell>
          <cell r="I28" t="str">
            <v>матрица</v>
          </cell>
          <cell r="L28">
            <v>25.02</v>
          </cell>
          <cell r="M28">
            <v>4.036999999999999</v>
          </cell>
          <cell r="O28">
            <v>0</v>
          </cell>
          <cell r="P28">
            <v>0</v>
          </cell>
          <cell r="Q28">
            <v>5.8113999999999999</v>
          </cell>
          <cell r="R28">
            <v>40</v>
          </cell>
          <cell r="T28">
            <v>0</v>
          </cell>
          <cell r="U28">
            <v>10.508655401452318</v>
          </cell>
          <cell r="V28">
            <v>3.6256323777403034</v>
          </cell>
          <cell r="W28">
            <v>2.9745999999999997</v>
          </cell>
          <cell r="X28">
            <v>1.4914000000000001</v>
          </cell>
          <cell r="Y28">
            <v>2.7326000000000001</v>
          </cell>
          <cell r="Z28">
            <v>2.423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B29" t="str">
            <v>кг</v>
          </cell>
          <cell r="C29">
            <v>89.429000000000002</v>
          </cell>
          <cell r="D29">
            <v>96.834999999999994</v>
          </cell>
          <cell r="E29">
            <v>188.428</v>
          </cell>
          <cell r="F29">
            <v>-5.5759999999999996</v>
          </cell>
          <cell r="G29" t="str">
            <v>P004470</v>
          </cell>
          <cell r="H29">
            <v>1</v>
          </cell>
          <cell r="I29" t="str">
            <v>матрица</v>
          </cell>
          <cell r="L29">
            <v>174.8</v>
          </cell>
          <cell r="M29">
            <v>13.627999999999986</v>
          </cell>
          <cell r="O29">
            <v>0</v>
          </cell>
          <cell r="P29">
            <v>600</v>
          </cell>
          <cell r="Q29">
            <v>37.685600000000001</v>
          </cell>
          <cell r="R29">
            <v>150</v>
          </cell>
          <cell r="S29">
            <v>150</v>
          </cell>
          <cell r="T29" t="str">
            <v>Промо</v>
          </cell>
          <cell r="U29">
            <v>19.753539813615809</v>
          </cell>
          <cell r="V29">
            <v>-0.14796102490075783</v>
          </cell>
          <cell r="W29">
            <v>42.3964</v>
          </cell>
          <cell r="X29">
            <v>44.4452</v>
          </cell>
          <cell r="Y29">
            <v>36.724200000000003</v>
          </cell>
          <cell r="Z29">
            <v>44.348399999999998</v>
          </cell>
          <cell r="AA29" t="str">
            <v>пРОМО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35.037999999999997</v>
          </cell>
          <cell r="D30">
            <v>424.94499999999999</v>
          </cell>
          <cell r="E30">
            <v>188.84800000000001</v>
          </cell>
          <cell r="F30">
            <v>267.18099999999998</v>
          </cell>
          <cell r="G30" t="str">
            <v>P005080</v>
          </cell>
          <cell r="H30">
            <v>1</v>
          </cell>
          <cell r="I30" t="str">
            <v>матрица</v>
          </cell>
          <cell r="L30">
            <v>173.9</v>
          </cell>
          <cell r="M30">
            <v>14.948000000000008</v>
          </cell>
          <cell r="O30">
            <v>0</v>
          </cell>
          <cell r="P30">
            <v>0</v>
          </cell>
          <cell r="Q30">
            <v>37.769600000000004</v>
          </cell>
          <cell r="R30">
            <v>130</v>
          </cell>
          <cell r="T30">
            <v>0</v>
          </cell>
          <cell r="U30">
            <v>10.515891087011775</v>
          </cell>
          <cell r="V30">
            <v>7.0739695416419544</v>
          </cell>
          <cell r="W30">
            <v>39.480200000000004</v>
          </cell>
          <cell r="X30">
            <v>43.297199999999997</v>
          </cell>
          <cell r="Y30">
            <v>57.178800000000003</v>
          </cell>
          <cell r="Z30">
            <v>35.2318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723.56799999999998</v>
          </cell>
          <cell r="E31">
            <v>138.75200000000001</v>
          </cell>
          <cell r="F31">
            <v>580.78899999999999</v>
          </cell>
          <cell r="G31" t="str">
            <v>P002536</v>
          </cell>
          <cell r="H31">
            <v>1</v>
          </cell>
          <cell r="I31" t="str">
            <v>матрица</v>
          </cell>
          <cell r="L31">
            <v>501</v>
          </cell>
          <cell r="M31">
            <v>-362.24799999999999</v>
          </cell>
          <cell r="O31">
            <v>0</v>
          </cell>
          <cell r="P31">
            <v>300</v>
          </cell>
          <cell r="Q31">
            <v>27.750400000000003</v>
          </cell>
          <cell r="T31">
            <v>0</v>
          </cell>
          <cell r="U31">
            <v>31.739686635147599</v>
          </cell>
          <cell r="V31">
            <v>20.929031653597782</v>
          </cell>
          <cell r="W31">
            <v>11.8864</v>
          </cell>
          <cell r="X31">
            <v>-2.7687999999999997</v>
          </cell>
          <cell r="Y31">
            <v>-1.2551999999999999</v>
          </cell>
          <cell r="Z31">
            <v>73.03479999999999</v>
          </cell>
          <cell r="AA31" t="str">
            <v>ТФ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85.486000000000004</v>
          </cell>
          <cell r="D32">
            <v>947.80600000000004</v>
          </cell>
          <cell r="E32">
            <v>941.10199999999998</v>
          </cell>
          <cell r="F32">
            <v>30.893000000000001</v>
          </cell>
          <cell r="G32" t="str">
            <v>P004844</v>
          </cell>
          <cell r="H32">
            <v>1</v>
          </cell>
          <cell r="L32">
            <v>957.3</v>
          </cell>
          <cell r="M32">
            <v>-16.197999999999979</v>
          </cell>
          <cell r="O32">
            <v>0</v>
          </cell>
          <cell r="P32">
            <v>1000</v>
          </cell>
          <cell r="Q32">
            <v>188.22039999999998</v>
          </cell>
          <cell r="R32">
            <v>1700</v>
          </cell>
          <cell r="S32">
            <v>1700</v>
          </cell>
          <cell r="T32" t="str">
            <v>Промо</v>
          </cell>
          <cell r="U32">
            <v>14.509017088477128</v>
          </cell>
          <cell r="V32">
            <v>0.16413204944841261</v>
          </cell>
          <cell r="W32">
            <v>0</v>
          </cell>
          <cell r="X32">
            <v>0</v>
          </cell>
          <cell r="Y32">
            <v>181.95480000000001</v>
          </cell>
          <cell r="Z32">
            <v>183.54860000000002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37.825000000000003</v>
          </cell>
          <cell r="E33">
            <v>35.884</v>
          </cell>
          <cell r="F33">
            <v>1.5109999999999999</v>
          </cell>
          <cell r="G33" t="str">
            <v>P004843</v>
          </cell>
          <cell r="H33">
            <v>1</v>
          </cell>
          <cell r="I33" t="str">
            <v>матрица</v>
          </cell>
          <cell r="L33">
            <v>31.3</v>
          </cell>
          <cell r="M33">
            <v>4.5839999999999996</v>
          </cell>
          <cell r="O33">
            <v>0</v>
          </cell>
          <cell r="P33">
            <v>60</v>
          </cell>
          <cell r="Q33">
            <v>7.1768000000000001</v>
          </cell>
          <cell r="R33">
            <v>20</v>
          </cell>
          <cell r="T33">
            <v>0</v>
          </cell>
          <cell r="U33">
            <v>11.357568832906029</v>
          </cell>
          <cell r="V33">
            <v>0.21053951621892764</v>
          </cell>
          <cell r="W33">
            <v>3.7694000000000001</v>
          </cell>
          <cell r="X33">
            <v>1.5976000000000001</v>
          </cell>
          <cell r="Y33">
            <v>1.4674</v>
          </cell>
          <cell r="Z33">
            <v>2.2871999999999999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76.867000000000004</v>
          </cell>
          <cell r="E34">
            <v>60.444000000000003</v>
          </cell>
          <cell r="F34">
            <v>5.351</v>
          </cell>
          <cell r="G34" t="str">
            <v>P004913</v>
          </cell>
          <cell r="H34">
            <v>1</v>
          </cell>
          <cell r="I34" t="str">
            <v>матрица</v>
          </cell>
          <cell r="L34">
            <v>72.5</v>
          </cell>
          <cell r="M34">
            <v>-12.055999999999997</v>
          </cell>
          <cell r="O34">
            <v>0</v>
          </cell>
          <cell r="P34">
            <v>50</v>
          </cell>
          <cell r="Q34">
            <v>12.088800000000001</v>
          </cell>
          <cell r="R34">
            <v>70</v>
          </cell>
          <cell r="T34">
            <v>0</v>
          </cell>
          <cell r="U34">
            <v>10.369184699887498</v>
          </cell>
          <cell r="V34">
            <v>0.4426411223611938</v>
          </cell>
          <cell r="W34">
            <v>9.8552</v>
          </cell>
          <cell r="X34">
            <v>14.986000000000001</v>
          </cell>
          <cell r="Y34">
            <v>13.0144</v>
          </cell>
          <cell r="Z34">
            <v>16.220400000000001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32.564999999999998</v>
          </cell>
          <cell r="D35">
            <v>119.691</v>
          </cell>
          <cell r="E35">
            <v>87.713999999999999</v>
          </cell>
          <cell r="F35">
            <v>25.533000000000001</v>
          </cell>
          <cell r="G35" t="str">
            <v>P004896</v>
          </cell>
          <cell r="H35">
            <v>1</v>
          </cell>
          <cell r="I35" t="str">
            <v>матрица</v>
          </cell>
          <cell r="L35">
            <v>118.087</v>
          </cell>
          <cell r="M35">
            <v>-30.373000000000005</v>
          </cell>
          <cell r="O35">
            <v>0</v>
          </cell>
          <cell r="P35">
            <v>40</v>
          </cell>
          <cell r="Q35">
            <v>17.5428</v>
          </cell>
          <cell r="R35">
            <v>120</v>
          </cell>
          <cell r="T35">
            <v>0</v>
          </cell>
          <cell r="U35">
            <v>10.576019791595414</v>
          </cell>
          <cell r="V35">
            <v>1.4554689103221836</v>
          </cell>
          <cell r="W35">
            <v>29.788600000000002</v>
          </cell>
          <cell r="X35">
            <v>24.976199999999999</v>
          </cell>
          <cell r="Y35">
            <v>22.631999999999998</v>
          </cell>
          <cell r="Z35">
            <v>22.380600000000001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C36">
            <v>0.68100000000000005</v>
          </cell>
          <cell r="D36">
            <v>85.697999999999993</v>
          </cell>
          <cell r="E36">
            <v>74.332999999999998</v>
          </cell>
          <cell r="F36">
            <v>7.4770000000000003</v>
          </cell>
          <cell r="G36" t="str">
            <v>P004898</v>
          </cell>
          <cell r="H36">
            <v>1</v>
          </cell>
          <cell r="I36" t="str">
            <v>матрица</v>
          </cell>
          <cell r="L36">
            <v>75.5</v>
          </cell>
          <cell r="M36">
            <v>-1.1670000000000016</v>
          </cell>
          <cell r="O36">
            <v>0</v>
          </cell>
          <cell r="P36">
            <v>40</v>
          </cell>
          <cell r="Q36">
            <v>14.8666</v>
          </cell>
          <cell r="R36">
            <v>110</v>
          </cell>
          <cell r="T36">
            <v>0</v>
          </cell>
          <cell r="U36">
            <v>10.592670819151655</v>
          </cell>
          <cell r="V36">
            <v>0.50293947506491066</v>
          </cell>
          <cell r="W36">
            <v>18.1966</v>
          </cell>
          <cell r="X36">
            <v>10.6882</v>
          </cell>
          <cell r="Y36">
            <v>11.6236</v>
          </cell>
          <cell r="Z36">
            <v>10.311400000000001</v>
          </cell>
        </row>
        <row r="37">
          <cell r="A37" t="str">
            <v xml:space="preserve"> 273  Сосиски Сочинки с сочной грудинкой, МГС 0.4кг,   ПОКОМ</v>
          </cell>
          <cell r="B37" t="str">
            <v>шт</v>
          </cell>
          <cell r="C37">
            <v>84</v>
          </cell>
          <cell r="D37">
            <v>1822</v>
          </cell>
          <cell r="E37">
            <v>1645</v>
          </cell>
          <cell r="F37">
            <v>207</v>
          </cell>
          <cell r="G37" t="str">
            <v>P003957</v>
          </cell>
          <cell r="H37">
            <v>0.4</v>
          </cell>
          <cell r="I37" t="str">
            <v>матрица</v>
          </cell>
          <cell r="L37">
            <v>1693</v>
          </cell>
          <cell r="M37">
            <v>-48</v>
          </cell>
          <cell r="O37">
            <v>0</v>
          </cell>
          <cell r="P37">
            <v>950</v>
          </cell>
          <cell r="Q37">
            <v>329</v>
          </cell>
          <cell r="R37">
            <v>2100</v>
          </cell>
          <cell r="T37">
            <v>0</v>
          </cell>
          <cell r="U37">
            <v>9.8996960486322187</v>
          </cell>
          <cell r="V37">
            <v>0.62917933130699089</v>
          </cell>
          <cell r="W37">
            <v>290.60000000000002</v>
          </cell>
          <cell r="X37">
            <v>287.2</v>
          </cell>
          <cell r="Y37">
            <v>319.39999999999998</v>
          </cell>
          <cell r="Z37">
            <v>310</v>
          </cell>
          <cell r="AA37" t="str">
            <v>В достатке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B38" t="str">
            <v>шт</v>
          </cell>
          <cell r="C38">
            <v>111</v>
          </cell>
          <cell r="D38">
            <v>2</v>
          </cell>
          <cell r="E38">
            <v>148</v>
          </cell>
          <cell r="F38">
            <v>-73</v>
          </cell>
          <cell r="G38" t="str">
            <v>P003103</v>
          </cell>
          <cell r="H38">
            <v>0.45</v>
          </cell>
          <cell r="I38" t="str">
            <v>ВНИМАНИЕ / матрица</v>
          </cell>
          <cell r="L38">
            <v>273</v>
          </cell>
          <cell r="M38">
            <v>-125</v>
          </cell>
          <cell r="O38">
            <v>0</v>
          </cell>
          <cell r="P38">
            <v>300</v>
          </cell>
          <cell r="Q38">
            <v>29.6</v>
          </cell>
          <cell r="R38">
            <v>150</v>
          </cell>
          <cell r="S38">
            <v>150</v>
          </cell>
          <cell r="T38">
            <v>0</v>
          </cell>
          <cell r="U38">
            <v>12.736486486486486</v>
          </cell>
          <cell r="V38">
            <v>-2.4662162162162162</v>
          </cell>
          <cell r="W38">
            <v>24.2</v>
          </cell>
          <cell r="X38">
            <v>26.6</v>
          </cell>
          <cell r="Y38">
            <v>55.2</v>
          </cell>
          <cell r="Z38">
            <v>58.2</v>
          </cell>
        </row>
        <row r="39">
          <cell r="A39" t="str">
            <v xml:space="preserve"> 278  Сосиски Сочинки с сочным окороком, МГС 0.4кг,   ПОКОМ</v>
          </cell>
          <cell r="B39" t="str">
            <v>шт</v>
          </cell>
          <cell r="C39">
            <v>57</v>
          </cell>
          <cell r="D39">
            <v>786</v>
          </cell>
          <cell r="E39">
            <v>449</v>
          </cell>
          <cell r="F39">
            <v>376</v>
          </cell>
          <cell r="G39" t="str">
            <v>P003958</v>
          </cell>
          <cell r="H39">
            <v>0.4</v>
          </cell>
          <cell r="I39" t="str">
            <v>матрица</v>
          </cell>
          <cell r="L39">
            <v>595</v>
          </cell>
          <cell r="M39">
            <v>-146</v>
          </cell>
          <cell r="O39">
            <v>0</v>
          </cell>
          <cell r="P39">
            <v>0</v>
          </cell>
          <cell r="Q39">
            <v>89.8</v>
          </cell>
          <cell r="R39">
            <v>550</v>
          </cell>
          <cell r="T39">
            <v>0</v>
          </cell>
          <cell r="U39">
            <v>10.311804008908686</v>
          </cell>
          <cell r="V39">
            <v>4.1870824053452118</v>
          </cell>
          <cell r="W39">
            <v>136.80000000000001</v>
          </cell>
          <cell r="X39">
            <v>93.8</v>
          </cell>
          <cell r="Y39">
            <v>118.6</v>
          </cell>
          <cell r="Z39">
            <v>114.8</v>
          </cell>
        </row>
        <row r="40">
          <cell r="A40" t="str">
            <v xml:space="preserve"> 281  Сосиски Молочные для завтрака ТМ Особый рецепт, 0,4кг  ПОКОМ</v>
          </cell>
          <cell r="B40" t="str">
            <v>шт</v>
          </cell>
          <cell r="C40">
            <v>8</v>
          </cell>
          <cell r="D40">
            <v>120</v>
          </cell>
          <cell r="E40">
            <v>112</v>
          </cell>
          <cell r="F40">
            <v>11</v>
          </cell>
          <cell r="G40" t="str">
            <v>P005198</v>
          </cell>
          <cell r="H40">
            <v>0.4</v>
          </cell>
          <cell r="I40" t="str">
            <v>матрица</v>
          </cell>
          <cell r="L40">
            <v>136</v>
          </cell>
          <cell r="M40">
            <v>-24</v>
          </cell>
          <cell r="O40">
            <v>0</v>
          </cell>
          <cell r="P40">
            <v>0</v>
          </cell>
          <cell r="Q40">
            <v>22.4</v>
          </cell>
          <cell r="R40">
            <v>220</v>
          </cell>
          <cell r="T40">
            <v>0</v>
          </cell>
          <cell r="U40">
            <v>10.3125</v>
          </cell>
          <cell r="V40">
            <v>0.4910714285714286</v>
          </cell>
          <cell r="W40">
            <v>14.4</v>
          </cell>
          <cell r="X40">
            <v>3</v>
          </cell>
          <cell r="Y40">
            <v>14.8</v>
          </cell>
          <cell r="Z40">
            <v>8.1999999999999993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1.482</v>
          </cell>
          <cell r="D41">
            <v>17.382000000000001</v>
          </cell>
          <cell r="E41">
            <v>6.5389999999999997</v>
          </cell>
          <cell r="F41">
            <v>10.185</v>
          </cell>
          <cell r="G41" t="str">
            <v>Р003959</v>
          </cell>
          <cell r="H41">
            <v>1</v>
          </cell>
          <cell r="I41" t="str">
            <v>матрица</v>
          </cell>
          <cell r="L41">
            <v>8.3000000000000007</v>
          </cell>
          <cell r="M41">
            <v>-1.761000000000001</v>
          </cell>
          <cell r="O41">
            <v>0</v>
          </cell>
          <cell r="P41">
            <v>0</v>
          </cell>
          <cell r="Q41">
            <v>1.3077999999999999</v>
          </cell>
          <cell r="R41">
            <v>10</v>
          </cell>
          <cell r="S41">
            <v>10</v>
          </cell>
          <cell r="T41">
            <v>0</v>
          </cell>
          <cell r="U41">
            <v>15.434317173879801</v>
          </cell>
          <cell r="V41">
            <v>7.78788805627772</v>
          </cell>
          <cell r="W41">
            <v>2.2662</v>
          </cell>
          <cell r="X41">
            <v>1.7312000000000001</v>
          </cell>
          <cell r="Y41">
            <v>2.1154000000000002</v>
          </cell>
          <cell r="Z41">
            <v>2.3014000000000001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D42">
            <v>80</v>
          </cell>
          <cell r="E42">
            <v>76</v>
          </cell>
          <cell r="F42">
            <v>4</v>
          </cell>
          <cell r="G42" t="str">
            <v>P002648</v>
          </cell>
          <cell r="H42">
            <v>0.1</v>
          </cell>
          <cell r="I42" t="str">
            <v>матрица</v>
          </cell>
          <cell r="L42">
            <v>82</v>
          </cell>
          <cell r="M42">
            <v>-6</v>
          </cell>
          <cell r="O42">
            <v>0</v>
          </cell>
          <cell r="P42">
            <v>200</v>
          </cell>
          <cell r="Q42">
            <v>15.2</v>
          </cell>
          <cell r="T42">
            <v>0</v>
          </cell>
          <cell r="U42">
            <v>13.421052631578949</v>
          </cell>
          <cell r="V42">
            <v>0.26315789473684209</v>
          </cell>
          <cell r="W42">
            <v>18.600000000000001</v>
          </cell>
          <cell r="X42">
            <v>10.8</v>
          </cell>
          <cell r="Y42">
            <v>14</v>
          </cell>
          <cell r="Z42">
            <v>11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1</v>
          </cell>
          <cell r="D43">
            <v>115</v>
          </cell>
          <cell r="E43">
            <v>96</v>
          </cell>
          <cell r="G43" t="str">
            <v>P003256</v>
          </cell>
          <cell r="H43">
            <v>0.35</v>
          </cell>
          <cell r="I43" t="str">
            <v>матрица</v>
          </cell>
          <cell r="L43">
            <v>115</v>
          </cell>
          <cell r="M43">
            <v>-19</v>
          </cell>
          <cell r="O43">
            <v>0</v>
          </cell>
          <cell r="P43">
            <v>80</v>
          </cell>
          <cell r="Q43">
            <v>19.2</v>
          </cell>
          <cell r="R43">
            <v>120</v>
          </cell>
          <cell r="T43">
            <v>0</v>
          </cell>
          <cell r="U43">
            <v>10.416666666666668</v>
          </cell>
          <cell r="V43">
            <v>0</v>
          </cell>
          <cell r="W43">
            <v>13</v>
          </cell>
          <cell r="X43">
            <v>13.2</v>
          </cell>
          <cell r="Y43">
            <v>15.8</v>
          </cell>
          <cell r="Z43">
            <v>7.6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8.9999999999999993E-3</v>
          </cell>
          <cell r="E44">
            <v>-5.8220000000000001</v>
          </cell>
          <cell r="F44">
            <v>8.9999999999999993E-3</v>
          </cell>
          <cell r="G44" t="str">
            <v>P003179</v>
          </cell>
          <cell r="H44">
            <v>1</v>
          </cell>
          <cell r="I44" t="str">
            <v>матрица</v>
          </cell>
          <cell r="L44">
            <v>27.4</v>
          </cell>
          <cell r="M44">
            <v>-33.222000000000001</v>
          </cell>
          <cell r="O44">
            <v>0</v>
          </cell>
          <cell r="P44">
            <v>0</v>
          </cell>
          <cell r="Q44">
            <v>-1.1644000000000001</v>
          </cell>
          <cell r="T44">
            <v>0</v>
          </cell>
          <cell r="U44">
            <v>-7.7293026451391265E-3</v>
          </cell>
          <cell r="V44">
            <v>-7.7293026451391265E-3</v>
          </cell>
          <cell r="W44">
            <v>12.6526</v>
          </cell>
          <cell r="X44">
            <v>12.2912</v>
          </cell>
          <cell r="Y44">
            <v>15.029199999999999</v>
          </cell>
          <cell r="Z44">
            <v>7.6513999999999998</v>
          </cell>
        </row>
        <row r="45">
          <cell r="A45" t="str">
            <v xml:space="preserve"> 298  Колбаса Сливушка ТМ Вязанка, 0,375кг,  ПОКОМ</v>
          </cell>
          <cell r="B45" t="str">
            <v>шт</v>
          </cell>
          <cell r="D45">
            <v>160</v>
          </cell>
          <cell r="E45">
            <v>15</v>
          </cell>
          <cell r="F45">
            <v>145</v>
          </cell>
          <cell r="H45">
            <v>0.375</v>
          </cell>
          <cell r="L45">
            <v>15</v>
          </cell>
          <cell r="M45">
            <v>0</v>
          </cell>
          <cell r="O45">
            <v>0</v>
          </cell>
          <cell r="P45">
            <v>0</v>
          </cell>
          <cell r="Q45">
            <v>3</v>
          </cell>
          <cell r="T45">
            <v>0</v>
          </cell>
          <cell r="U45">
            <v>48.333333333333336</v>
          </cell>
          <cell r="V45">
            <v>48.333333333333336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31</v>
          </cell>
          <cell r="D46">
            <v>15</v>
          </cell>
          <cell r="E46">
            <v>26</v>
          </cell>
          <cell r="F46">
            <v>15</v>
          </cell>
          <cell r="G46" t="str">
            <v>P003475</v>
          </cell>
          <cell r="H46">
            <v>0.4</v>
          </cell>
          <cell r="I46" t="str">
            <v>матрица</v>
          </cell>
          <cell r="L46">
            <v>162</v>
          </cell>
          <cell r="M46">
            <v>-136</v>
          </cell>
          <cell r="O46">
            <v>0</v>
          </cell>
          <cell r="P46">
            <v>200</v>
          </cell>
          <cell r="Q46">
            <v>5.2</v>
          </cell>
          <cell r="T46">
            <v>0</v>
          </cell>
          <cell r="U46">
            <v>41.346153846153847</v>
          </cell>
          <cell r="V46">
            <v>2.8846153846153846</v>
          </cell>
          <cell r="W46">
            <v>19</v>
          </cell>
          <cell r="X46">
            <v>14.4</v>
          </cell>
          <cell r="Y46">
            <v>9</v>
          </cell>
          <cell r="Z46">
            <v>21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D47">
            <v>342</v>
          </cell>
          <cell r="E47">
            <v>259</v>
          </cell>
          <cell r="F47">
            <v>74</v>
          </cell>
          <cell r="G47" t="str">
            <v>P003217</v>
          </cell>
          <cell r="H47">
            <v>0.4</v>
          </cell>
          <cell r="I47" t="str">
            <v>матрица</v>
          </cell>
          <cell r="L47">
            <v>262</v>
          </cell>
          <cell r="M47">
            <v>-3</v>
          </cell>
          <cell r="O47">
            <v>0</v>
          </cell>
          <cell r="P47">
            <v>200</v>
          </cell>
          <cell r="Q47">
            <v>51.8</v>
          </cell>
          <cell r="R47">
            <v>260</v>
          </cell>
          <cell r="T47">
            <v>0</v>
          </cell>
          <cell r="U47">
            <v>10.30888030888031</v>
          </cell>
          <cell r="V47">
            <v>1.4285714285714286</v>
          </cell>
          <cell r="W47">
            <v>22.8</v>
          </cell>
          <cell r="X47">
            <v>27</v>
          </cell>
          <cell r="Y47">
            <v>40.4</v>
          </cell>
          <cell r="Z47">
            <v>22.2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45.436</v>
          </cell>
          <cell r="D48">
            <v>107.604</v>
          </cell>
          <cell r="E48">
            <v>141.22</v>
          </cell>
          <cell r="F48">
            <v>-1.288</v>
          </cell>
          <cell r="G48" t="str">
            <v>P003259</v>
          </cell>
          <cell r="H48">
            <v>1</v>
          </cell>
          <cell r="I48" t="str">
            <v>матрица</v>
          </cell>
          <cell r="L48">
            <v>155.30000000000001</v>
          </cell>
          <cell r="M48">
            <v>-14.080000000000013</v>
          </cell>
          <cell r="O48">
            <v>0</v>
          </cell>
          <cell r="P48">
            <v>140</v>
          </cell>
          <cell r="Q48">
            <v>28.244</v>
          </cell>
          <cell r="R48">
            <v>160</v>
          </cell>
          <cell r="T48">
            <v>0</v>
          </cell>
          <cell r="U48">
            <v>10.576122362271633</v>
          </cell>
          <cell r="V48">
            <v>-4.5602605863192182E-2</v>
          </cell>
          <cell r="W48">
            <v>20.411999999999999</v>
          </cell>
          <cell r="X48">
            <v>19.128399999999999</v>
          </cell>
          <cell r="Y48">
            <v>19.760200000000001</v>
          </cell>
          <cell r="Z48">
            <v>16.6722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245</v>
          </cell>
          <cell r="D49">
            <v>162</v>
          </cell>
          <cell r="E49">
            <v>322</v>
          </cell>
          <cell r="F49">
            <v>74</v>
          </cell>
          <cell r="G49" t="str">
            <v>P003260</v>
          </cell>
          <cell r="H49">
            <v>0.35</v>
          </cell>
          <cell r="I49" t="str">
            <v>матрица</v>
          </cell>
          <cell r="L49">
            <v>330</v>
          </cell>
          <cell r="M49">
            <v>-8</v>
          </cell>
          <cell r="O49">
            <v>0</v>
          </cell>
          <cell r="P49">
            <v>220</v>
          </cell>
          <cell r="Q49">
            <v>64.400000000000006</v>
          </cell>
          <cell r="R49">
            <v>380</v>
          </cell>
          <cell r="T49">
            <v>0</v>
          </cell>
          <cell r="U49">
            <v>10.46583850931677</v>
          </cell>
          <cell r="V49">
            <v>1.1490683229813663</v>
          </cell>
          <cell r="W49">
            <v>77.599999999999994</v>
          </cell>
          <cell r="X49">
            <v>68.2</v>
          </cell>
          <cell r="Y49">
            <v>61.2</v>
          </cell>
          <cell r="Z49">
            <v>51.8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4</v>
          </cell>
          <cell r="D50">
            <v>505</v>
          </cell>
          <cell r="E50">
            <v>390</v>
          </cell>
          <cell r="F50">
            <v>110</v>
          </cell>
          <cell r="G50" t="str">
            <v>P004178</v>
          </cell>
          <cell r="H50">
            <v>0.4</v>
          </cell>
          <cell r="I50" t="str">
            <v>матрица</v>
          </cell>
          <cell r="L50">
            <v>395</v>
          </cell>
          <cell r="M50">
            <v>-5</v>
          </cell>
          <cell r="O50">
            <v>0</v>
          </cell>
          <cell r="P50">
            <v>110</v>
          </cell>
          <cell r="Q50">
            <v>78</v>
          </cell>
          <cell r="R50">
            <v>600</v>
          </cell>
          <cell r="T50">
            <v>0</v>
          </cell>
          <cell r="U50">
            <v>10.512820512820513</v>
          </cell>
          <cell r="V50">
            <v>1.4102564102564104</v>
          </cell>
          <cell r="W50">
            <v>65.400000000000006</v>
          </cell>
          <cell r="X50">
            <v>58.8</v>
          </cell>
          <cell r="Y50">
            <v>74.599999999999994</v>
          </cell>
          <cell r="Z50">
            <v>55.6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119.79600000000001</v>
          </cell>
          <cell r="D51">
            <v>1.3440000000000001</v>
          </cell>
          <cell r="E51">
            <v>84.950999999999993</v>
          </cell>
          <cell r="F51">
            <v>34.835000000000001</v>
          </cell>
          <cell r="G51" t="str">
            <v>P003234</v>
          </cell>
          <cell r="H51">
            <v>1</v>
          </cell>
          <cell r="I51" t="str">
            <v>матрица</v>
          </cell>
          <cell r="L51">
            <v>84.2</v>
          </cell>
          <cell r="M51">
            <v>0.75099999999999056</v>
          </cell>
          <cell r="O51">
            <v>0</v>
          </cell>
          <cell r="P51">
            <v>70</v>
          </cell>
          <cell r="Q51">
            <v>16.990199999999998</v>
          </cell>
          <cell r="R51">
            <v>70</v>
          </cell>
          <cell r="T51">
            <v>0</v>
          </cell>
          <cell r="U51">
            <v>10.290343845275514</v>
          </cell>
          <cell r="V51">
            <v>2.0502995844663396</v>
          </cell>
          <cell r="W51">
            <v>19.138399999999997</v>
          </cell>
          <cell r="X51">
            <v>22.029</v>
          </cell>
          <cell r="Y51">
            <v>15.5932</v>
          </cell>
          <cell r="Z51">
            <v>15.644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53.64</v>
          </cell>
          <cell r="D52">
            <v>152.34399999999999</v>
          </cell>
          <cell r="E52">
            <v>151.26900000000001</v>
          </cell>
          <cell r="F52">
            <v>52.457999999999998</v>
          </cell>
          <cell r="G52" t="str">
            <v>P003239</v>
          </cell>
          <cell r="H52">
            <v>1</v>
          </cell>
          <cell r="I52" t="str">
            <v>матрица</v>
          </cell>
          <cell r="L52">
            <v>147.9</v>
          </cell>
          <cell r="M52">
            <v>3.3689999999999998</v>
          </cell>
          <cell r="O52">
            <v>0</v>
          </cell>
          <cell r="P52">
            <v>500</v>
          </cell>
          <cell r="Q52">
            <v>30.253800000000002</v>
          </cell>
          <cell r="T52">
            <v>0</v>
          </cell>
          <cell r="U52">
            <v>18.260780463941717</v>
          </cell>
          <cell r="V52">
            <v>1.7339309442119666</v>
          </cell>
          <cell r="W52">
            <v>33.453600000000002</v>
          </cell>
          <cell r="X52">
            <v>28.570999999999998</v>
          </cell>
          <cell r="Y52">
            <v>29.1296</v>
          </cell>
          <cell r="Z52">
            <v>26.573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C53">
            <v>48.595999999999997</v>
          </cell>
          <cell r="D53">
            <v>44.887</v>
          </cell>
          <cell r="E53">
            <v>93.180999999999997</v>
          </cell>
          <cell r="F53">
            <v>-1.24</v>
          </cell>
          <cell r="G53" t="str">
            <v>P004991</v>
          </cell>
          <cell r="H53">
            <v>1</v>
          </cell>
          <cell r="I53" t="str">
            <v>ВНИМАНИЕ!!! / матрица</v>
          </cell>
          <cell r="L53">
            <v>90.5</v>
          </cell>
          <cell r="M53">
            <v>2.6809999999999974</v>
          </cell>
          <cell r="O53">
            <v>0</v>
          </cell>
          <cell r="P53">
            <v>50</v>
          </cell>
          <cell r="Q53">
            <v>18.636199999999999</v>
          </cell>
          <cell r="R53">
            <v>150</v>
          </cell>
          <cell r="T53">
            <v>0</v>
          </cell>
          <cell r="U53">
            <v>10.665264377931123</v>
          </cell>
          <cell r="V53">
            <v>-6.6537169594659856E-2</v>
          </cell>
          <cell r="W53">
            <v>23.304400000000001</v>
          </cell>
          <cell r="X53">
            <v>13.4558</v>
          </cell>
          <cell r="Y53">
            <v>20.5946</v>
          </cell>
          <cell r="Z53">
            <v>29.741199999999999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181</v>
          </cell>
          <cell r="D54">
            <v>42</v>
          </cell>
          <cell r="E54">
            <v>177</v>
          </cell>
          <cell r="F54">
            <v>44</v>
          </cell>
          <cell r="G54" t="str">
            <v>P003227</v>
          </cell>
          <cell r="H54">
            <v>0.45</v>
          </cell>
          <cell r="I54" t="str">
            <v>матрица</v>
          </cell>
          <cell r="L54">
            <v>179</v>
          </cell>
          <cell r="M54">
            <v>-2</v>
          </cell>
          <cell r="O54">
            <v>0</v>
          </cell>
          <cell r="P54">
            <v>80</v>
          </cell>
          <cell r="Q54">
            <v>35.4</v>
          </cell>
          <cell r="R54">
            <v>250</v>
          </cell>
          <cell r="T54">
            <v>0</v>
          </cell>
          <cell r="U54">
            <v>10.564971751412429</v>
          </cell>
          <cell r="V54">
            <v>1.2429378531073447</v>
          </cell>
          <cell r="W54">
            <v>27</v>
          </cell>
          <cell r="X54">
            <v>24.6</v>
          </cell>
          <cell r="Y54">
            <v>30.8</v>
          </cell>
          <cell r="Z54">
            <v>26.2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30</v>
          </cell>
          <cell r="D55">
            <v>284</v>
          </cell>
          <cell r="E55">
            <v>267</v>
          </cell>
          <cell r="F55">
            <v>40</v>
          </cell>
          <cell r="G55" t="str">
            <v>P003228</v>
          </cell>
          <cell r="H55">
            <v>0.45</v>
          </cell>
          <cell r="I55" t="str">
            <v>матрица</v>
          </cell>
          <cell r="L55">
            <v>281</v>
          </cell>
          <cell r="M55">
            <v>-14</v>
          </cell>
          <cell r="O55">
            <v>0</v>
          </cell>
          <cell r="P55">
            <v>300</v>
          </cell>
          <cell r="Q55">
            <v>53.4</v>
          </cell>
          <cell r="R55">
            <v>220</v>
          </cell>
          <cell r="T55">
            <v>0</v>
          </cell>
          <cell r="U55">
            <v>10.486891385767791</v>
          </cell>
          <cell r="V55">
            <v>0.74906367041198507</v>
          </cell>
          <cell r="W55">
            <v>40.799999999999997</v>
          </cell>
          <cell r="X55">
            <v>45.8</v>
          </cell>
          <cell r="Y55">
            <v>50.6</v>
          </cell>
          <cell r="Z55">
            <v>52.2</v>
          </cell>
        </row>
        <row r="56">
          <cell r="A56" t="str">
            <v xml:space="preserve"> 328  Сардельки Сочинки Стародворье ТМ  0,4 кг ПОКОМ</v>
          </cell>
          <cell r="B56" t="str">
            <v>шт</v>
          </cell>
          <cell r="C56">
            <v>1</v>
          </cell>
          <cell r="E56">
            <v>-12</v>
          </cell>
          <cell r="G56" t="str">
            <v>P003961</v>
          </cell>
          <cell r="H56">
            <v>0.4</v>
          </cell>
          <cell r="L56">
            <v>31</v>
          </cell>
          <cell r="M56">
            <v>-43</v>
          </cell>
          <cell r="O56">
            <v>0</v>
          </cell>
          <cell r="P56">
            <v>50</v>
          </cell>
          <cell r="Q56">
            <v>-2.4</v>
          </cell>
          <cell r="T56">
            <v>0</v>
          </cell>
          <cell r="U56">
            <v>-20.833333333333336</v>
          </cell>
          <cell r="V56">
            <v>0</v>
          </cell>
          <cell r="W56">
            <v>12.6</v>
          </cell>
          <cell r="X56">
            <v>7.8</v>
          </cell>
          <cell r="Y56">
            <v>1.6</v>
          </cell>
          <cell r="Z56">
            <v>-1.4</v>
          </cell>
        </row>
        <row r="57">
          <cell r="A57" t="str">
            <v xml:space="preserve"> 329  Сардельки Сочинки с сыром Стародворье ТМ, 0,4 кг. ПОКОМ</v>
          </cell>
          <cell r="B57" t="str">
            <v>шт</v>
          </cell>
          <cell r="C57">
            <v>116</v>
          </cell>
          <cell r="D57">
            <v>37</v>
          </cell>
          <cell r="E57">
            <v>71</v>
          </cell>
          <cell r="F57">
            <v>74</v>
          </cell>
          <cell r="G57" t="str">
            <v>P003961</v>
          </cell>
          <cell r="H57">
            <v>0.4</v>
          </cell>
          <cell r="I57" t="str">
            <v>матрица</v>
          </cell>
          <cell r="L57">
            <v>79</v>
          </cell>
          <cell r="M57">
            <v>-8</v>
          </cell>
          <cell r="O57">
            <v>0</v>
          </cell>
          <cell r="P57">
            <v>90</v>
          </cell>
          <cell r="Q57">
            <v>14.2</v>
          </cell>
          <cell r="T57">
            <v>0</v>
          </cell>
          <cell r="U57">
            <v>11.549295774647888</v>
          </cell>
          <cell r="V57">
            <v>5.211267605633803</v>
          </cell>
          <cell r="W57">
            <v>10.4</v>
          </cell>
          <cell r="X57">
            <v>10.6</v>
          </cell>
          <cell r="Y57">
            <v>12.6</v>
          </cell>
          <cell r="Z57">
            <v>15.8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B58" t="str">
            <v>кг</v>
          </cell>
          <cell r="C58">
            <v>64.453999999999994</v>
          </cell>
          <cell r="D58">
            <v>21.483000000000001</v>
          </cell>
          <cell r="E58">
            <v>81.328000000000003</v>
          </cell>
          <cell r="F58">
            <v>-2.7469999999999999</v>
          </cell>
          <cell r="G58" t="str">
            <v>P003235</v>
          </cell>
          <cell r="H58">
            <v>1</v>
          </cell>
          <cell r="L58">
            <v>85.5</v>
          </cell>
          <cell r="M58">
            <v>-4.171999999999997</v>
          </cell>
          <cell r="O58">
            <v>0</v>
          </cell>
          <cell r="P58">
            <v>250</v>
          </cell>
          <cell r="Q58">
            <v>16.265599999999999</v>
          </cell>
          <cell r="T58">
            <v>0</v>
          </cell>
          <cell r="U58">
            <v>15.200976293527445</v>
          </cell>
          <cell r="V58">
            <v>-0.16888402518197915</v>
          </cell>
          <cell r="W58">
            <v>19.702000000000002</v>
          </cell>
          <cell r="X58">
            <v>16.552399999999999</v>
          </cell>
          <cell r="Y58">
            <v>14.782</v>
          </cell>
          <cell r="Z58">
            <v>13.0688</v>
          </cell>
        </row>
        <row r="59">
          <cell r="A59" t="str">
            <v xml:space="preserve"> 334  Паштет Любительский ТМ Стародворье ламистер 0,1 кг  ПОКОМ</v>
          </cell>
          <cell r="B59" t="str">
            <v>шт</v>
          </cell>
          <cell r="C59">
            <v>5</v>
          </cell>
          <cell r="D59">
            <v>80</v>
          </cell>
          <cell r="E59">
            <v>86</v>
          </cell>
          <cell r="F59">
            <v>-1</v>
          </cell>
          <cell r="G59" t="str">
            <v>P003253</v>
          </cell>
          <cell r="H59">
            <v>0.1</v>
          </cell>
          <cell r="I59" t="str">
            <v>матрица</v>
          </cell>
          <cell r="L59">
            <v>76</v>
          </cell>
          <cell r="M59">
            <v>10</v>
          </cell>
          <cell r="O59">
            <v>0</v>
          </cell>
          <cell r="P59">
            <v>100</v>
          </cell>
          <cell r="Q59">
            <v>17.2</v>
          </cell>
          <cell r="R59">
            <v>90</v>
          </cell>
          <cell r="T59">
            <v>0</v>
          </cell>
          <cell r="U59">
            <v>10.988372093023257</v>
          </cell>
          <cell r="V59">
            <v>-5.8139534883720929E-2</v>
          </cell>
          <cell r="W59">
            <v>10.8</v>
          </cell>
          <cell r="X59">
            <v>10.4</v>
          </cell>
          <cell r="Y59">
            <v>12.6</v>
          </cell>
          <cell r="Z59">
            <v>11</v>
          </cell>
        </row>
        <row r="60">
          <cell r="A60" t="str">
            <v xml:space="preserve"> 335  Колбаса Сливушка ТМ Вязанка. ВЕС.  ПОКОМ </v>
          </cell>
          <cell r="B60" t="str">
            <v>кг</v>
          </cell>
          <cell r="C60">
            <v>41.847000000000001</v>
          </cell>
          <cell r="D60">
            <v>171.32300000000001</v>
          </cell>
          <cell r="E60">
            <v>146.39099999999999</v>
          </cell>
          <cell r="F60">
            <v>65.688000000000002</v>
          </cell>
          <cell r="G60" t="str">
            <v>P003357</v>
          </cell>
          <cell r="H60">
            <v>1</v>
          </cell>
          <cell r="I60" t="str">
            <v>матрица</v>
          </cell>
          <cell r="L60">
            <v>140.1</v>
          </cell>
          <cell r="M60">
            <v>6.2909999999999968</v>
          </cell>
          <cell r="O60">
            <v>0</v>
          </cell>
          <cell r="P60">
            <v>300</v>
          </cell>
          <cell r="Q60">
            <v>29.278199999999998</v>
          </cell>
          <cell r="T60">
            <v>0</v>
          </cell>
          <cell r="U60">
            <v>12.490112097055148</v>
          </cell>
          <cell r="V60">
            <v>2.2435805479845077</v>
          </cell>
          <cell r="W60">
            <v>34.353200000000001</v>
          </cell>
          <cell r="X60">
            <v>25.026800000000001</v>
          </cell>
          <cell r="Y60">
            <v>33.039400000000001</v>
          </cell>
          <cell r="Z60">
            <v>29.8872</v>
          </cell>
        </row>
        <row r="61">
          <cell r="A61" t="str">
            <v xml:space="preserve"> 336  Ветчина Сливушка с индейкой ТМ Вязанка. ВЕС  ПОКОМ</v>
          </cell>
          <cell r="B61" t="str">
            <v>кг</v>
          </cell>
          <cell r="C61">
            <v>65.372</v>
          </cell>
          <cell r="E61">
            <v>46.588000000000001</v>
          </cell>
          <cell r="F61">
            <v>17.433</v>
          </cell>
          <cell r="G61" t="str">
            <v>P004607</v>
          </cell>
          <cell r="H61">
            <v>1</v>
          </cell>
          <cell r="I61" t="str">
            <v>матрица</v>
          </cell>
          <cell r="L61">
            <v>46.3</v>
          </cell>
          <cell r="M61">
            <v>0.28800000000000381</v>
          </cell>
          <cell r="O61">
            <v>0</v>
          </cell>
          <cell r="P61">
            <v>50</v>
          </cell>
          <cell r="Q61">
            <v>9.3176000000000005</v>
          </cell>
          <cell r="R61">
            <v>30</v>
          </cell>
          <cell r="T61">
            <v>0</v>
          </cell>
          <cell r="U61">
            <v>10.456877307461147</v>
          </cell>
          <cell r="V61">
            <v>1.8709753584614062</v>
          </cell>
          <cell r="W61">
            <v>6.5536000000000003</v>
          </cell>
          <cell r="X61">
            <v>8.9471999999999987</v>
          </cell>
          <cell r="Y61">
            <v>4.6289999999999996</v>
          </cell>
          <cell r="Z61">
            <v>3.5051999999999999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B62" t="str">
            <v>шт</v>
          </cell>
          <cell r="C62">
            <v>89</v>
          </cell>
          <cell r="D62">
            <v>40</v>
          </cell>
          <cell r="E62">
            <v>94</v>
          </cell>
          <cell r="F62">
            <v>35</v>
          </cell>
          <cell r="G62" t="str">
            <v>P003252</v>
          </cell>
          <cell r="H62">
            <v>0.1</v>
          </cell>
          <cell r="I62" t="str">
            <v>матрица</v>
          </cell>
          <cell r="L62">
            <v>86</v>
          </cell>
          <cell r="M62">
            <v>8</v>
          </cell>
          <cell r="O62">
            <v>0</v>
          </cell>
          <cell r="P62">
            <v>100</v>
          </cell>
          <cell r="Q62">
            <v>18.8</v>
          </cell>
          <cell r="R62">
            <v>60</v>
          </cell>
          <cell r="T62">
            <v>0</v>
          </cell>
          <cell r="U62">
            <v>10.372340425531915</v>
          </cell>
          <cell r="V62">
            <v>1.8617021276595744</v>
          </cell>
          <cell r="W62">
            <v>11.4</v>
          </cell>
          <cell r="X62">
            <v>9.8000000000000007</v>
          </cell>
          <cell r="Y62">
            <v>14.8</v>
          </cell>
          <cell r="Z62">
            <v>8.8000000000000007</v>
          </cell>
        </row>
        <row r="63">
          <cell r="A63" t="str">
            <v xml:space="preserve"> 339  Колбаса вареная Филейская ТМ Вязанка ТС Классическая, 0,40 кг.  ПОКОМ</v>
          </cell>
          <cell r="B63" t="str">
            <v>шт</v>
          </cell>
          <cell r="C63">
            <v>24</v>
          </cell>
          <cell r="D63">
            <v>1</v>
          </cell>
          <cell r="E63">
            <v>16</v>
          </cell>
          <cell r="F63">
            <v>8</v>
          </cell>
          <cell r="G63" t="str">
            <v>P003243</v>
          </cell>
          <cell r="H63">
            <v>0.4</v>
          </cell>
          <cell r="I63" t="str">
            <v>матрица</v>
          </cell>
          <cell r="L63">
            <v>21</v>
          </cell>
          <cell r="M63">
            <v>-5</v>
          </cell>
          <cell r="O63">
            <v>0</v>
          </cell>
          <cell r="P63">
            <v>20</v>
          </cell>
          <cell r="Q63">
            <v>3.2</v>
          </cell>
          <cell r="R63">
            <v>10</v>
          </cell>
          <cell r="T63">
            <v>0</v>
          </cell>
          <cell r="U63">
            <v>11.875</v>
          </cell>
          <cell r="V63">
            <v>2.5</v>
          </cell>
          <cell r="W63">
            <v>3.6</v>
          </cell>
          <cell r="X63">
            <v>3.6</v>
          </cell>
          <cell r="Y63">
            <v>2.8</v>
          </cell>
          <cell r="Z63">
            <v>4.5999999999999996</v>
          </cell>
        </row>
        <row r="64">
          <cell r="A64" t="str">
            <v xml:space="preserve"> 340  Сосиски Сочинки Молочные ТМ Стародворье, ВЕС ПОКОМ</v>
          </cell>
          <cell r="B64" t="str">
            <v>кг</v>
          </cell>
          <cell r="C64">
            <v>91.614000000000004</v>
          </cell>
          <cell r="D64">
            <v>38.115000000000002</v>
          </cell>
          <cell r="E64">
            <v>48.104999999999997</v>
          </cell>
          <cell r="F64">
            <v>74.995999999999995</v>
          </cell>
          <cell r="G64" t="str">
            <v>P003263</v>
          </cell>
          <cell r="H64">
            <v>1</v>
          </cell>
          <cell r="I64" t="str">
            <v>матрица</v>
          </cell>
          <cell r="L64">
            <v>50.8</v>
          </cell>
          <cell r="M64">
            <v>-2.6950000000000003</v>
          </cell>
          <cell r="O64">
            <v>0</v>
          </cell>
          <cell r="P64">
            <v>30</v>
          </cell>
          <cell r="Q64">
            <v>9.6209999999999987</v>
          </cell>
          <cell r="T64">
            <v>0</v>
          </cell>
          <cell r="U64">
            <v>10.913210684959985</v>
          </cell>
          <cell r="V64">
            <v>7.7950317014863328</v>
          </cell>
          <cell r="W64">
            <v>8.0906000000000002</v>
          </cell>
          <cell r="X64">
            <v>12.450199999999999</v>
          </cell>
          <cell r="Y64">
            <v>4.6276000000000002</v>
          </cell>
          <cell r="Z64">
            <v>6.4956000000000005</v>
          </cell>
        </row>
        <row r="65">
          <cell r="A65" t="str">
            <v xml:space="preserve"> 341 Сосиски Сочинки Сливочные ТМ Стародворье ВЕС ПОКОМ</v>
          </cell>
          <cell r="B65" t="str">
            <v>кг</v>
          </cell>
          <cell r="C65">
            <v>16.48</v>
          </cell>
          <cell r="D65">
            <v>5.4660000000000002</v>
          </cell>
          <cell r="E65">
            <v>8.0449999999999999</v>
          </cell>
          <cell r="F65">
            <v>7.3999999999999996E-2</v>
          </cell>
          <cell r="G65" t="str">
            <v>P003266</v>
          </cell>
          <cell r="H65">
            <v>1</v>
          </cell>
          <cell r="I65" t="str">
            <v>матрица</v>
          </cell>
          <cell r="L65">
            <v>25.7</v>
          </cell>
          <cell r="M65">
            <v>-17.655000000000001</v>
          </cell>
          <cell r="O65">
            <v>0</v>
          </cell>
          <cell r="P65">
            <v>20</v>
          </cell>
          <cell r="Q65">
            <v>1.609</v>
          </cell>
          <cell r="T65">
            <v>0</v>
          </cell>
          <cell r="U65">
            <v>12.476072094468615</v>
          </cell>
          <cell r="V65">
            <v>4.5991298943443129E-2</v>
          </cell>
          <cell r="W65">
            <v>8.4047999999999998</v>
          </cell>
          <cell r="X65">
            <v>3.5328000000000004</v>
          </cell>
          <cell r="Y65">
            <v>2.7397999999999998</v>
          </cell>
          <cell r="Z65">
            <v>2.2021999999999999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-19</v>
          </cell>
          <cell r="D66">
            <v>600</v>
          </cell>
          <cell r="E66">
            <v>405</v>
          </cell>
          <cell r="F66">
            <v>155</v>
          </cell>
          <cell r="G66" t="str">
            <v>P003262</v>
          </cell>
          <cell r="H66">
            <v>0.4</v>
          </cell>
          <cell r="I66" t="str">
            <v>матрица</v>
          </cell>
          <cell r="L66">
            <v>425</v>
          </cell>
          <cell r="M66">
            <v>-20</v>
          </cell>
          <cell r="O66">
            <v>0</v>
          </cell>
          <cell r="P66">
            <v>0</v>
          </cell>
          <cell r="Q66">
            <v>81</v>
          </cell>
          <cell r="R66">
            <v>690</v>
          </cell>
          <cell r="T66">
            <v>0</v>
          </cell>
          <cell r="U66">
            <v>10.432098765432098</v>
          </cell>
          <cell r="V66">
            <v>1.9135802469135803</v>
          </cell>
          <cell r="W66">
            <v>73.599999999999994</v>
          </cell>
          <cell r="X66">
            <v>61.2</v>
          </cell>
          <cell r="Y66">
            <v>83</v>
          </cell>
          <cell r="Z66">
            <v>62.8</v>
          </cell>
        </row>
        <row r="67">
          <cell r="A67" t="str">
            <v xml:space="preserve"> 343 Сосиски Сочинки Сливочные ТМ Стародворье  0,4 кг ПОКОМ</v>
          </cell>
          <cell r="B67" t="str">
            <v>шт</v>
          </cell>
          <cell r="D67">
            <v>532</v>
          </cell>
          <cell r="E67">
            <v>316</v>
          </cell>
          <cell r="F67">
            <v>203</v>
          </cell>
          <cell r="G67" t="str">
            <v>P003265</v>
          </cell>
          <cell r="H67">
            <v>0.4</v>
          </cell>
          <cell r="L67">
            <v>324</v>
          </cell>
          <cell r="M67">
            <v>-8</v>
          </cell>
          <cell r="O67">
            <v>0</v>
          </cell>
          <cell r="P67">
            <v>0</v>
          </cell>
          <cell r="Q67">
            <v>63.2</v>
          </cell>
          <cell r="R67">
            <v>460</v>
          </cell>
          <cell r="T67">
            <v>0</v>
          </cell>
          <cell r="U67">
            <v>10.490506329113924</v>
          </cell>
          <cell r="V67">
            <v>3.212025316455696</v>
          </cell>
          <cell r="W67">
            <v>51</v>
          </cell>
          <cell r="X67">
            <v>63</v>
          </cell>
          <cell r="Y67">
            <v>71.8</v>
          </cell>
          <cell r="Z67">
            <v>48.2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5.7880000000000003</v>
          </cell>
          <cell r="D68">
            <v>190.636</v>
          </cell>
          <cell r="E68">
            <v>182.143</v>
          </cell>
          <cell r="F68">
            <v>2.23</v>
          </cell>
          <cell r="G68" t="str">
            <v>P003387</v>
          </cell>
          <cell r="H68">
            <v>1</v>
          </cell>
          <cell r="I68" t="str">
            <v>матрица</v>
          </cell>
          <cell r="L68">
            <v>178.607</v>
          </cell>
          <cell r="M68">
            <v>3.5360000000000014</v>
          </cell>
          <cell r="O68">
            <v>0</v>
          </cell>
          <cell r="P68">
            <v>290</v>
          </cell>
          <cell r="Q68">
            <v>36.428600000000003</v>
          </cell>
          <cell r="R68">
            <v>90</v>
          </cell>
          <cell r="T68">
            <v>0</v>
          </cell>
          <cell r="U68">
            <v>10.492580005819603</v>
          </cell>
          <cell r="V68">
            <v>6.1215638262244493E-2</v>
          </cell>
          <cell r="W68">
            <v>27.4846</v>
          </cell>
          <cell r="X68">
            <v>25.005199999999999</v>
          </cell>
          <cell r="Y68">
            <v>29.2378</v>
          </cell>
          <cell r="Z68">
            <v>27.107199999999999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19.204000000000001</v>
          </cell>
          <cell r="D69">
            <v>137.68199999999999</v>
          </cell>
          <cell r="E69">
            <v>125.919</v>
          </cell>
          <cell r="F69">
            <v>14.837</v>
          </cell>
          <cell r="G69" t="str">
            <v>P003401</v>
          </cell>
          <cell r="H69">
            <v>1</v>
          </cell>
          <cell r="I69" t="str">
            <v>матрица</v>
          </cell>
          <cell r="L69">
            <v>129.5</v>
          </cell>
          <cell r="M69">
            <v>-3.5810000000000031</v>
          </cell>
          <cell r="O69">
            <v>0</v>
          </cell>
          <cell r="P69">
            <v>30</v>
          </cell>
          <cell r="Q69">
            <v>25.183799999999998</v>
          </cell>
          <cell r="R69">
            <v>220</v>
          </cell>
          <cell r="T69">
            <v>0</v>
          </cell>
          <cell r="U69">
            <v>10.516165153789341</v>
          </cell>
          <cell r="V69">
            <v>0.58914857964246858</v>
          </cell>
          <cell r="W69">
            <v>26.174799999999998</v>
          </cell>
          <cell r="X69">
            <v>26.104000000000003</v>
          </cell>
          <cell r="Y69">
            <v>26.245200000000001</v>
          </cell>
          <cell r="Z69">
            <v>27.139800000000001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31.021000000000001</v>
          </cell>
          <cell r="D70">
            <v>527.63300000000004</v>
          </cell>
          <cell r="E70">
            <v>498.488</v>
          </cell>
          <cell r="F70">
            <v>29.559000000000001</v>
          </cell>
          <cell r="G70" t="str">
            <v>P003383</v>
          </cell>
          <cell r="H70">
            <v>1</v>
          </cell>
          <cell r="I70" t="str">
            <v>матрица</v>
          </cell>
          <cell r="L70">
            <v>500</v>
          </cell>
          <cell r="M70">
            <v>-1.5120000000000005</v>
          </cell>
          <cell r="O70">
            <v>0</v>
          </cell>
          <cell r="P70">
            <v>370</v>
          </cell>
          <cell r="Q70">
            <v>99.697599999999994</v>
          </cell>
          <cell r="R70">
            <v>650</v>
          </cell>
          <cell r="T70">
            <v>0</v>
          </cell>
          <cell r="U70">
            <v>10.527424932997384</v>
          </cell>
          <cell r="V70">
            <v>0.29648657540402179</v>
          </cell>
          <cell r="W70">
            <v>81.707599999999999</v>
          </cell>
          <cell r="X70">
            <v>65.369</v>
          </cell>
          <cell r="Y70">
            <v>79.146000000000001</v>
          </cell>
          <cell r="Z70">
            <v>68.245000000000005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92.099000000000004</v>
          </cell>
          <cell r="D71">
            <v>119.535</v>
          </cell>
          <cell r="E71">
            <v>170.398</v>
          </cell>
          <cell r="F71">
            <v>10.486000000000001</v>
          </cell>
          <cell r="G71" t="str">
            <v>P003384</v>
          </cell>
          <cell r="H71">
            <v>1</v>
          </cell>
          <cell r="I71" t="str">
            <v>матрица</v>
          </cell>
          <cell r="L71">
            <v>188.2</v>
          </cell>
          <cell r="M71">
            <v>-17.801999999999992</v>
          </cell>
          <cell r="O71">
            <v>0</v>
          </cell>
          <cell r="P71">
            <v>300</v>
          </cell>
          <cell r="Q71">
            <v>34.079599999999999</v>
          </cell>
          <cell r="R71">
            <v>50</v>
          </cell>
          <cell r="T71">
            <v>0</v>
          </cell>
          <cell r="U71">
            <v>10.577764997241752</v>
          </cell>
          <cell r="V71">
            <v>0.30769140482869523</v>
          </cell>
          <cell r="W71">
            <v>36.739999999999995</v>
          </cell>
          <cell r="X71">
            <v>37.672800000000002</v>
          </cell>
          <cell r="Y71">
            <v>34.772599999999997</v>
          </cell>
          <cell r="Z71">
            <v>32.616799999999998</v>
          </cell>
        </row>
        <row r="72">
          <cell r="A72" t="str">
            <v xml:space="preserve"> 364  Сардельки Филейские Вязанка ВЕС NDX ТМ Вязанка  ПОКОМ</v>
          </cell>
          <cell r="B72" t="str">
            <v>кг</v>
          </cell>
          <cell r="C72">
            <v>30.457000000000001</v>
          </cell>
          <cell r="D72">
            <v>370.19799999999998</v>
          </cell>
          <cell r="E72">
            <v>185.16200000000001</v>
          </cell>
          <cell r="F72">
            <v>205.786</v>
          </cell>
          <cell r="G72" t="str">
            <v>P003883</v>
          </cell>
          <cell r="H72">
            <v>1</v>
          </cell>
          <cell r="L72">
            <v>190.9</v>
          </cell>
          <cell r="M72">
            <v>-5.7379999999999995</v>
          </cell>
          <cell r="O72">
            <v>0</v>
          </cell>
          <cell r="P72">
            <v>0</v>
          </cell>
          <cell r="Q72">
            <v>37.032400000000003</v>
          </cell>
          <cell r="R72">
            <v>180</v>
          </cell>
          <cell r="T72">
            <v>0</v>
          </cell>
          <cell r="U72">
            <v>10.417526274289541</v>
          </cell>
          <cell r="V72">
            <v>5.5569177260993072</v>
          </cell>
          <cell r="W72">
            <v>0</v>
          </cell>
          <cell r="X72">
            <v>31.822600000000001</v>
          </cell>
          <cell r="Y72">
            <v>59.592200000000005</v>
          </cell>
          <cell r="Z72">
            <v>49.133600000000001</v>
          </cell>
          <cell r="AA72" t="str">
            <v>Промо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B73" t="str">
            <v>шт</v>
          </cell>
          <cell r="D73">
            <v>108</v>
          </cell>
          <cell r="E73">
            <v>86</v>
          </cell>
          <cell r="F73">
            <v>8</v>
          </cell>
          <cell r="G73" t="str">
            <v>P004689</v>
          </cell>
          <cell r="H73">
            <v>0.6</v>
          </cell>
          <cell r="I73" t="str">
            <v>матрица</v>
          </cell>
          <cell r="L73">
            <v>104</v>
          </cell>
          <cell r="M73">
            <v>-18</v>
          </cell>
          <cell r="O73">
            <v>0</v>
          </cell>
          <cell r="P73">
            <v>0</v>
          </cell>
          <cell r="Q73">
            <v>17.2</v>
          </cell>
          <cell r="R73">
            <v>170</v>
          </cell>
          <cell r="T73">
            <v>0</v>
          </cell>
          <cell r="U73">
            <v>10.348837209302326</v>
          </cell>
          <cell r="V73">
            <v>0.46511627906976744</v>
          </cell>
          <cell r="W73">
            <v>12.8</v>
          </cell>
          <cell r="X73">
            <v>10.6</v>
          </cell>
          <cell r="Y73">
            <v>23.6</v>
          </cell>
          <cell r="Z73">
            <v>10.4</v>
          </cell>
        </row>
        <row r="74">
          <cell r="A74" t="str">
            <v xml:space="preserve"> 377  Колбаса Молочная Дугушка 0,6кг ТМ Стародворье  ПОКОМ</v>
          </cell>
          <cell r="B74" t="str">
            <v>шт</v>
          </cell>
          <cell r="D74">
            <v>192</v>
          </cell>
          <cell r="E74">
            <v>191</v>
          </cell>
          <cell r="F74">
            <v>1</v>
          </cell>
          <cell r="G74" t="str">
            <v>P004688</v>
          </cell>
          <cell r="H74">
            <v>0.6</v>
          </cell>
          <cell r="I74" t="str">
            <v>матрица</v>
          </cell>
          <cell r="L74">
            <v>225</v>
          </cell>
          <cell r="M74">
            <v>-34</v>
          </cell>
          <cell r="O74">
            <v>0</v>
          </cell>
          <cell r="P74">
            <v>0</v>
          </cell>
          <cell r="Q74">
            <v>38.200000000000003</v>
          </cell>
          <cell r="R74">
            <v>400</v>
          </cell>
          <cell r="T74">
            <v>0</v>
          </cell>
          <cell r="U74">
            <v>10.497382198952879</v>
          </cell>
          <cell r="V74">
            <v>2.6178010471204185E-2</v>
          </cell>
          <cell r="W74">
            <v>6</v>
          </cell>
          <cell r="X74">
            <v>30.8</v>
          </cell>
          <cell r="Y74">
            <v>29</v>
          </cell>
          <cell r="Z74">
            <v>34.200000000000003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B75" t="str">
            <v>шт</v>
          </cell>
          <cell r="C75">
            <v>2</v>
          </cell>
          <cell r="D75">
            <v>112</v>
          </cell>
          <cell r="E75">
            <v>92</v>
          </cell>
          <cell r="F75">
            <v>22</v>
          </cell>
          <cell r="G75" t="str">
            <v>P003437</v>
          </cell>
          <cell r="H75">
            <v>0.4</v>
          </cell>
          <cell r="I75" t="str">
            <v>матрица</v>
          </cell>
          <cell r="L75">
            <v>101</v>
          </cell>
          <cell r="M75">
            <v>-9</v>
          </cell>
          <cell r="O75">
            <v>0</v>
          </cell>
          <cell r="P75">
            <v>80</v>
          </cell>
          <cell r="Q75">
            <v>18.399999999999999</v>
          </cell>
          <cell r="R75">
            <v>100</v>
          </cell>
          <cell r="T75">
            <v>0</v>
          </cell>
          <cell r="U75">
            <v>10.978260869565219</v>
          </cell>
          <cell r="V75">
            <v>1.1956521739130437</v>
          </cell>
          <cell r="W75">
            <v>22.6</v>
          </cell>
          <cell r="X75">
            <v>24.4</v>
          </cell>
          <cell r="Y75">
            <v>18.2</v>
          </cell>
          <cell r="Z75">
            <v>17.600000000000001</v>
          </cell>
        </row>
        <row r="76">
          <cell r="A76" t="str">
            <v xml:space="preserve"> 388  Сосиски Восточные Халяль ТМ Вязанка 0,33 кг АК. ПОКОМ</v>
          </cell>
          <cell r="B76" t="str">
            <v>шт</v>
          </cell>
          <cell r="C76">
            <v>7</v>
          </cell>
          <cell r="D76">
            <v>142</v>
          </cell>
          <cell r="E76">
            <v>126</v>
          </cell>
          <cell r="F76">
            <v>9</v>
          </cell>
          <cell r="G76" t="str">
            <v>P003438</v>
          </cell>
          <cell r="H76">
            <v>0.33</v>
          </cell>
          <cell r="I76" t="str">
            <v>матрица</v>
          </cell>
          <cell r="L76">
            <v>186</v>
          </cell>
          <cell r="M76">
            <v>-60</v>
          </cell>
          <cell r="O76">
            <v>0</v>
          </cell>
          <cell r="P76">
            <v>100</v>
          </cell>
          <cell r="Q76">
            <v>25.2</v>
          </cell>
          <cell r="R76">
            <v>150</v>
          </cell>
          <cell r="T76">
            <v>0</v>
          </cell>
          <cell r="U76">
            <v>10.277777777777779</v>
          </cell>
          <cell r="V76">
            <v>0.35714285714285715</v>
          </cell>
          <cell r="W76">
            <v>33.4</v>
          </cell>
          <cell r="X76">
            <v>22</v>
          </cell>
          <cell r="Y76">
            <v>21.8</v>
          </cell>
          <cell r="Z76">
            <v>29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B77" t="str">
            <v>шт</v>
          </cell>
          <cell r="C77">
            <v>4</v>
          </cell>
          <cell r="D77">
            <v>120</v>
          </cell>
          <cell r="E77">
            <v>126</v>
          </cell>
          <cell r="F77">
            <v>-2</v>
          </cell>
          <cell r="G77" t="str">
            <v>P003442</v>
          </cell>
          <cell r="H77">
            <v>0.35</v>
          </cell>
          <cell r="I77" t="str">
            <v>матрица</v>
          </cell>
          <cell r="L77">
            <v>136</v>
          </cell>
          <cell r="M77">
            <v>-10</v>
          </cell>
          <cell r="O77">
            <v>0</v>
          </cell>
          <cell r="P77">
            <v>100</v>
          </cell>
          <cell r="Q77">
            <v>25.2</v>
          </cell>
          <cell r="R77">
            <v>160</v>
          </cell>
          <cell r="T77">
            <v>0</v>
          </cell>
          <cell r="U77">
            <v>10.238095238095239</v>
          </cell>
          <cell r="V77">
            <v>-7.9365079365079361E-2</v>
          </cell>
          <cell r="W77">
            <v>28</v>
          </cell>
          <cell r="X77">
            <v>26.4</v>
          </cell>
          <cell r="Y77">
            <v>20.399999999999999</v>
          </cell>
          <cell r="Z77">
            <v>25.4</v>
          </cell>
        </row>
        <row r="78">
          <cell r="A78" t="str">
            <v xml:space="preserve"> 397  Ветчина Дугушка ТМ Стародворье ТС Дугушка в полиамидной оболочке 0,6 кг. ПОКОМ</v>
          </cell>
          <cell r="B78" t="str">
            <v>шт</v>
          </cell>
          <cell r="C78">
            <v>-2</v>
          </cell>
          <cell r="D78">
            <v>32</v>
          </cell>
          <cell r="E78">
            <v>32</v>
          </cell>
          <cell r="F78">
            <v>-2</v>
          </cell>
          <cell r="G78" t="str">
            <v>Р004923</v>
          </cell>
          <cell r="H78">
            <v>0.6</v>
          </cell>
          <cell r="I78" t="str">
            <v>ВНИМАНИЕ / матрица</v>
          </cell>
          <cell r="L78">
            <v>63</v>
          </cell>
          <cell r="M78">
            <v>-31</v>
          </cell>
          <cell r="O78">
            <v>0</v>
          </cell>
          <cell r="P78">
            <v>0</v>
          </cell>
          <cell r="Q78">
            <v>6.4</v>
          </cell>
          <cell r="R78">
            <v>70</v>
          </cell>
          <cell r="T78">
            <v>0</v>
          </cell>
          <cell r="U78">
            <v>10.625</v>
          </cell>
          <cell r="V78">
            <v>-0.3125</v>
          </cell>
          <cell r="W78">
            <v>22.6</v>
          </cell>
          <cell r="X78">
            <v>7.4</v>
          </cell>
          <cell r="Y78">
            <v>14</v>
          </cell>
          <cell r="Z78">
            <v>11.4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 t="str">
            <v>шт</v>
          </cell>
          <cell r="C79">
            <v>14</v>
          </cell>
          <cell r="D79">
            <v>24</v>
          </cell>
          <cell r="E79">
            <v>35</v>
          </cell>
          <cell r="F79">
            <v>-2</v>
          </cell>
          <cell r="G79" t="str">
            <v>Р002644</v>
          </cell>
          <cell r="H79">
            <v>0.33</v>
          </cell>
          <cell r="L79">
            <v>46</v>
          </cell>
          <cell r="M79">
            <v>-11</v>
          </cell>
          <cell r="O79">
            <v>0</v>
          </cell>
          <cell r="P79">
            <v>90</v>
          </cell>
          <cell r="Q79">
            <v>7</v>
          </cell>
          <cell r="T79">
            <v>0</v>
          </cell>
          <cell r="U79">
            <v>12.571428571428571</v>
          </cell>
          <cell r="V79">
            <v>-0.2857142857142857</v>
          </cell>
          <cell r="W79">
            <v>7.6</v>
          </cell>
          <cell r="X79">
            <v>4.5999999999999996</v>
          </cell>
          <cell r="Y79">
            <v>5.8</v>
          </cell>
          <cell r="Z79">
            <v>5.6</v>
          </cell>
        </row>
        <row r="80">
          <cell r="A80" t="str">
            <v xml:space="preserve"> 408  Ветчина Сливушка с индейкой ТМ Вязанка, 0,4кг  ПОКОМ</v>
          </cell>
          <cell r="B80" t="str">
            <v>шт</v>
          </cell>
          <cell r="C80">
            <v>22</v>
          </cell>
          <cell r="D80">
            <v>42</v>
          </cell>
          <cell r="E80">
            <v>41</v>
          </cell>
          <cell r="F80">
            <v>23</v>
          </cell>
          <cell r="G80" t="str">
            <v>P004586</v>
          </cell>
          <cell r="H80">
            <v>0.4</v>
          </cell>
          <cell r="I80" t="str">
            <v>матрица</v>
          </cell>
          <cell r="L80">
            <v>41</v>
          </cell>
          <cell r="M80">
            <v>0</v>
          </cell>
          <cell r="O80">
            <v>0</v>
          </cell>
          <cell r="P80">
            <v>50</v>
          </cell>
          <cell r="Q80">
            <v>8.1999999999999993</v>
          </cell>
          <cell r="R80">
            <v>20</v>
          </cell>
          <cell r="T80">
            <v>0</v>
          </cell>
          <cell r="U80">
            <v>11.341463414634147</v>
          </cell>
          <cell r="V80">
            <v>2.8048780487804881</v>
          </cell>
          <cell r="W80">
            <v>2.2000000000000002</v>
          </cell>
          <cell r="X80">
            <v>6.2</v>
          </cell>
          <cell r="Y80">
            <v>6.4</v>
          </cell>
          <cell r="Z80">
            <v>3.2</v>
          </cell>
        </row>
        <row r="81">
          <cell r="A81" t="str">
            <v xml:space="preserve"> 410  Сосиски Баварские с сыром ТМ Стародворье 0,35 кг. ПОКОМ</v>
          </cell>
          <cell r="B81" t="str">
            <v>шт</v>
          </cell>
          <cell r="C81">
            <v>-4</v>
          </cell>
          <cell r="D81">
            <v>96</v>
          </cell>
          <cell r="E81">
            <v>43</v>
          </cell>
          <cell r="F81">
            <v>48</v>
          </cell>
          <cell r="G81" t="str">
            <v>P003364</v>
          </cell>
          <cell r="H81">
            <v>0.35</v>
          </cell>
          <cell r="I81" t="str">
            <v>матрица</v>
          </cell>
          <cell r="L81">
            <v>43</v>
          </cell>
          <cell r="M81">
            <v>0</v>
          </cell>
          <cell r="O81">
            <v>0</v>
          </cell>
          <cell r="P81">
            <v>30</v>
          </cell>
          <cell r="Q81">
            <v>8.6</v>
          </cell>
          <cell r="R81">
            <v>20</v>
          </cell>
          <cell r="T81">
            <v>0</v>
          </cell>
          <cell r="U81">
            <v>11.395348837209303</v>
          </cell>
          <cell r="V81">
            <v>5.5813953488372094</v>
          </cell>
          <cell r="W81">
            <v>6.6</v>
          </cell>
          <cell r="X81">
            <v>3.6</v>
          </cell>
          <cell r="Y81">
            <v>9.1999999999999993</v>
          </cell>
          <cell r="Z81">
            <v>2.6</v>
          </cell>
        </row>
        <row r="82">
          <cell r="A82" t="str">
            <v xml:space="preserve"> 412  Сосиски Баварские ТМ Стародворье 0,35 кг ПОКОМ</v>
          </cell>
          <cell r="B82" t="str">
            <v>шт</v>
          </cell>
          <cell r="D82">
            <v>84</v>
          </cell>
          <cell r="E82">
            <v>88</v>
          </cell>
          <cell r="F82">
            <v>-4</v>
          </cell>
          <cell r="G82" t="str">
            <v>P003363</v>
          </cell>
          <cell r="H82">
            <v>0.35</v>
          </cell>
          <cell r="I82" t="str">
            <v>матрица</v>
          </cell>
          <cell r="L82">
            <v>119</v>
          </cell>
          <cell r="M82">
            <v>-31</v>
          </cell>
          <cell r="O82">
            <v>0</v>
          </cell>
          <cell r="P82">
            <v>0</v>
          </cell>
          <cell r="Q82">
            <v>17.600000000000001</v>
          </cell>
          <cell r="R82">
            <v>190</v>
          </cell>
          <cell r="T82">
            <v>0</v>
          </cell>
          <cell r="U82">
            <v>10.568181818181817</v>
          </cell>
          <cell r="V82">
            <v>-0.22727272727272727</v>
          </cell>
          <cell r="W82">
            <v>15.8</v>
          </cell>
          <cell r="X82">
            <v>20.399999999999999</v>
          </cell>
          <cell r="Y82">
            <v>22</v>
          </cell>
          <cell r="Z82">
            <v>29.4</v>
          </cell>
        </row>
        <row r="83">
          <cell r="A83" t="str">
            <v xml:space="preserve"> 449  Колбаса Дугушка Стародворская ВЕС ТС Дугушка ПОКОМ</v>
          </cell>
          <cell r="B83" t="str">
            <v>кг</v>
          </cell>
          <cell r="C83">
            <v>43.344000000000001</v>
          </cell>
          <cell r="D83">
            <v>169.02099999999999</v>
          </cell>
          <cell r="E83">
            <v>213.166</v>
          </cell>
          <cell r="F83">
            <v>-2.5049999999999999</v>
          </cell>
          <cell r="G83" t="str">
            <v>P002989</v>
          </cell>
          <cell r="H83">
            <v>1</v>
          </cell>
          <cell r="I83" t="str">
            <v>матрица</v>
          </cell>
          <cell r="L83">
            <v>203.8</v>
          </cell>
          <cell r="M83">
            <v>9.3659999999999854</v>
          </cell>
          <cell r="O83">
            <v>0</v>
          </cell>
          <cell r="P83">
            <v>300</v>
          </cell>
          <cell r="Q83">
            <v>42.633200000000002</v>
          </cell>
          <cell r="R83">
            <v>150</v>
          </cell>
          <cell r="T83">
            <v>0</v>
          </cell>
          <cell r="U83">
            <v>10.496397174033381</v>
          </cell>
          <cell r="V83">
            <v>-5.8757025041516933E-2</v>
          </cell>
          <cell r="W83">
            <v>45.132199999999997</v>
          </cell>
          <cell r="X83">
            <v>30.560000000000002</v>
          </cell>
          <cell r="Y83">
            <v>34.906199999999998</v>
          </cell>
          <cell r="Z83">
            <v>35.253799999999998</v>
          </cell>
        </row>
        <row r="84">
          <cell r="A84" t="str">
            <v xml:space="preserve"> 452  Колбаса Со шпиком ВЕС большой батон ТМ Особый рецепт  ПОКОМ</v>
          </cell>
          <cell r="B84" t="str">
            <v>кг</v>
          </cell>
          <cell r="C84">
            <v>127.173</v>
          </cell>
          <cell r="D84">
            <v>1493.088</v>
          </cell>
          <cell r="E84">
            <v>1257.8309999999999</v>
          </cell>
          <cell r="F84">
            <v>145.27600000000001</v>
          </cell>
          <cell r="G84" t="str">
            <v>P004257</v>
          </cell>
          <cell r="H84">
            <v>1</v>
          </cell>
          <cell r="I84" t="str">
            <v>матрица</v>
          </cell>
          <cell r="L84">
            <v>1556</v>
          </cell>
          <cell r="M84">
            <v>-298.1690000000001</v>
          </cell>
          <cell r="O84">
            <v>500</v>
          </cell>
          <cell r="P84">
            <v>1000</v>
          </cell>
          <cell r="Q84">
            <v>251.56619999999998</v>
          </cell>
          <cell r="R84">
            <v>900</v>
          </cell>
          <cell r="T84">
            <v>0</v>
          </cell>
          <cell r="U84">
            <v>10.117718517034483</v>
          </cell>
          <cell r="V84">
            <v>0.57748616467554081</v>
          </cell>
          <cell r="W84">
            <v>293.67579999999998</v>
          </cell>
          <cell r="X84">
            <v>272.88400000000001</v>
          </cell>
          <cell r="Y84">
            <v>285.44979999999998</v>
          </cell>
          <cell r="Z84">
            <v>314.61520000000002</v>
          </cell>
        </row>
        <row r="85">
          <cell r="A85" t="str">
            <v xml:space="preserve"> 456  Колбаса Филейная ТМ Особый рецепт ВЕС большой батон  ПОКОМ</v>
          </cell>
          <cell r="B85" t="str">
            <v>кг</v>
          </cell>
          <cell r="C85">
            <v>598.53300000000002</v>
          </cell>
          <cell r="D85">
            <v>209.34200000000001</v>
          </cell>
          <cell r="E85">
            <v>830.36500000000001</v>
          </cell>
          <cell r="F85">
            <v>-24.620999999999999</v>
          </cell>
          <cell r="G85" t="str">
            <v>P004252</v>
          </cell>
          <cell r="H85">
            <v>1</v>
          </cell>
          <cell r="I85" t="str">
            <v>матрица</v>
          </cell>
          <cell r="L85">
            <v>956</v>
          </cell>
          <cell r="M85">
            <v>-125.63499999999999</v>
          </cell>
          <cell r="O85">
            <v>500</v>
          </cell>
          <cell r="P85">
            <v>1500</v>
          </cell>
          <cell r="Q85">
            <v>166.07300000000001</v>
          </cell>
          <cell r="T85">
            <v>0</v>
          </cell>
          <cell r="U85">
            <v>11.894642717359233</v>
          </cell>
          <cell r="V85">
            <v>-0.14825408103665255</v>
          </cell>
          <cell r="W85">
            <v>230.67959999999999</v>
          </cell>
          <cell r="X85">
            <v>212.28400000000002</v>
          </cell>
          <cell r="Y85">
            <v>179.25659999999999</v>
          </cell>
          <cell r="Z85">
            <v>223.30839999999998</v>
          </cell>
        </row>
        <row r="86">
          <cell r="A86" t="str">
            <v xml:space="preserve"> 457  Колбаса Молочная ТМ Особый рецепт ВЕС большой батон  ПОКОМ</v>
          </cell>
          <cell r="B86" t="str">
            <v>кг</v>
          </cell>
          <cell r="C86">
            <v>420.77600000000001</v>
          </cell>
          <cell r="D86">
            <v>2216.4780000000001</v>
          </cell>
          <cell r="E86">
            <v>2185.4879999999998</v>
          </cell>
          <cell r="F86">
            <v>235.14</v>
          </cell>
          <cell r="G86" t="str">
            <v>P004256</v>
          </cell>
          <cell r="H86">
            <v>1</v>
          </cell>
          <cell r="I86" t="str">
            <v>матрица</v>
          </cell>
          <cell r="L86">
            <v>2434.8000000000002</v>
          </cell>
          <cell r="M86">
            <v>-249.31200000000035</v>
          </cell>
          <cell r="O86">
            <v>300</v>
          </cell>
          <cell r="P86">
            <v>1620</v>
          </cell>
          <cell r="Q86">
            <v>437.09759999999994</v>
          </cell>
          <cell r="R86">
            <v>2400</v>
          </cell>
          <cell r="T86">
            <v>0</v>
          </cell>
          <cell r="U86">
            <v>10.421333816520612</v>
          </cell>
          <cell r="V86">
            <v>0.53795765522391337</v>
          </cell>
          <cell r="W86">
            <v>392.83640000000003</v>
          </cell>
          <cell r="X86">
            <v>363.51339999999999</v>
          </cell>
          <cell r="Y86">
            <v>416.96999999999997</v>
          </cell>
          <cell r="Z86">
            <v>381.81599999999997</v>
          </cell>
        </row>
        <row r="87">
          <cell r="A87" t="str">
            <v xml:space="preserve"> 498  Колбаса Сочинка рубленая с сочным окороком 0,3кг ТМ Стародворье  ПОКОМ</v>
          </cell>
          <cell r="B87" t="str">
            <v>шт</v>
          </cell>
          <cell r="C87">
            <v>2</v>
          </cell>
          <cell r="D87">
            <v>114</v>
          </cell>
          <cell r="E87">
            <v>84</v>
          </cell>
          <cell r="F87">
            <v>4</v>
          </cell>
          <cell r="G87" t="str">
            <v>P003390</v>
          </cell>
          <cell r="H87">
            <v>0.3</v>
          </cell>
          <cell r="I87" t="str">
            <v>матрица</v>
          </cell>
          <cell r="L87">
            <v>121</v>
          </cell>
          <cell r="M87">
            <v>-37</v>
          </cell>
          <cell r="O87">
            <v>0</v>
          </cell>
          <cell r="P87">
            <v>30</v>
          </cell>
          <cell r="Q87">
            <v>16.8</v>
          </cell>
          <cell r="R87">
            <v>140</v>
          </cell>
          <cell r="T87">
            <v>0</v>
          </cell>
          <cell r="U87">
            <v>10.357142857142856</v>
          </cell>
          <cell r="V87">
            <v>0.23809523809523808</v>
          </cell>
          <cell r="W87">
            <v>15.4</v>
          </cell>
          <cell r="X87">
            <v>21.2</v>
          </cell>
          <cell r="Y87">
            <v>21.2</v>
          </cell>
          <cell r="Z87">
            <v>18</v>
          </cell>
        </row>
        <row r="88">
          <cell r="A88" t="str">
            <v xml:space="preserve"> 523  Колбаса Сальчичон нарезка 0,07кг ТМ Стародворье  ПОКОМ </v>
          </cell>
          <cell r="B88" t="str">
            <v>шт</v>
          </cell>
          <cell r="C88">
            <v>18</v>
          </cell>
          <cell r="D88">
            <v>108</v>
          </cell>
          <cell r="E88">
            <v>75</v>
          </cell>
          <cell r="F88">
            <v>50</v>
          </cell>
          <cell r="G88" t="str">
            <v>P004978</v>
          </cell>
          <cell r="H88">
            <v>7.0000000000000007E-2</v>
          </cell>
          <cell r="I88" t="str">
            <v>матрица</v>
          </cell>
          <cell r="L88">
            <v>76</v>
          </cell>
          <cell r="M88">
            <v>-1</v>
          </cell>
          <cell r="O88">
            <v>0</v>
          </cell>
          <cell r="P88">
            <v>80</v>
          </cell>
          <cell r="Q88">
            <v>15</v>
          </cell>
          <cell r="R88">
            <v>80</v>
          </cell>
          <cell r="S88">
            <v>80</v>
          </cell>
          <cell r="T88">
            <v>0</v>
          </cell>
          <cell r="U88">
            <v>14</v>
          </cell>
          <cell r="V88">
            <v>3.3333333333333335</v>
          </cell>
          <cell r="W88">
            <v>8</v>
          </cell>
          <cell r="X88">
            <v>10</v>
          </cell>
          <cell r="Y88">
            <v>12.8</v>
          </cell>
          <cell r="Z88">
            <v>6.6</v>
          </cell>
        </row>
        <row r="89">
          <cell r="A89" t="str">
            <v xml:space="preserve"> 524  Колбаса Сервелат Ореховый нарезка 0,07кг ТМ Стародворье  ПОКОМ</v>
          </cell>
          <cell r="B89" t="str">
            <v>шт</v>
          </cell>
          <cell r="C89">
            <v>86</v>
          </cell>
          <cell r="E89">
            <v>84</v>
          </cell>
          <cell r="F89">
            <v>2</v>
          </cell>
          <cell r="G89" t="str">
            <v>P004979</v>
          </cell>
          <cell r="H89">
            <v>7.0000000000000007E-2</v>
          </cell>
          <cell r="I89" t="str">
            <v>матрица</v>
          </cell>
          <cell r="L89">
            <v>92</v>
          </cell>
          <cell r="M89">
            <v>-8</v>
          </cell>
          <cell r="O89">
            <v>0</v>
          </cell>
          <cell r="P89">
            <v>120</v>
          </cell>
          <cell r="Q89">
            <v>16.8</v>
          </cell>
          <cell r="R89">
            <v>80</v>
          </cell>
          <cell r="S89">
            <v>80</v>
          </cell>
          <cell r="T89">
            <v>0</v>
          </cell>
          <cell r="U89">
            <v>12.023809523809524</v>
          </cell>
          <cell r="V89">
            <v>0.11904761904761904</v>
          </cell>
          <cell r="W89">
            <v>13.6</v>
          </cell>
          <cell r="X89">
            <v>16</v>
          </cell>
          <cell r="Y89">
            <v>12.4</v>
          </cell>
          <cell r="Z89">
            <v>10.8</v>
          </cell>
        </row>
        <row r="90">
          <cell r="A90" t="str">
            <v xml:space="preserve"> 525  Колбаса Фуэт нарезка 0,07кг ТМ Стародворье  ПОКОМ</v>
          </cell>
          <cell r="B90" t="str">
            <v>шт</v>
          </cell>
          <cell r="C90">
            <v>38</v>
          </cell>
          <cell r="D90">
            <v>22</v>
          </cell>
          <cell r="E90">
            <v>55</v>
          </cell>
          <cell r="F90">
            <v>1</v>
          </cell>
          <cell r="G90" t="str">
            <v>P004982</v>
          </cell>
          <cell r="H90">
            <v>7.0000000000000007E-2</v>
          </cell>
          <cell r="I90" t="str">
            <v>матрица</v>
          </cell>
          <cell r="L90">
            <v>61</v>
          </cell>
          <cell r="M90">
            <v>-6</v>
          </cell>
          <cell r="O90">
            <v>0</v>
          </cell>
          <cell r="P90">
            <v>90</v>
          </cell>
          <cell r="Q90">
            <v>11</v>
          </cell>
          <cell r="R90">
            <v>80</v>
          </cell>
          <cell r="S90">
            <v>80</v>
          </cell>
          <cell r="T90">
            <v>0</v>
          </cell>
          <cell r="U90">
            <v>15.545454545454545</v>
          </cell>
          <cell r="V90">
            <v>9.0909090909090912E-2</v>
          </cell>
          <cell r="W90">
            <v>5.4</v>
          </cell>
          <cell r="X90">
            <v>7.4</v>
          </cell>
          <cell r="Y90">
            <v>7.2</v>
          </cell>
          <cell r="Z90">
            <v>5.6</v>
          </cell>
        </row>
        <row r="91">
          <cell r="A91" t="str">
            <v xml:space="preserve"> 526  Корейка вяленая выдержанная нарезка 0,05кг ТМ Стародворье  ПОКОМ</v>
          </cell>
          <cell r="B91" t="str">
            <v>шт</v>
          </cell>
          <cell r="C91">
            <v>18</v>
          </cell>
          <cell r="D91">
            <v>94</v>
          </cell>
          <cell r="E91">
            <v>48</v>
          </cell>
          <cell r="F91">
            <v>57</v>
          </cell>
          <cell r="G91" t="str">
            <v>P005023</v>
          </cell>
          <cell r="H91">
            <v>0.05</v>
          </cell>
          <cell r="I91" t="str">
            <v>матрица</v>
          </cell>
          <cell r="L91">
            <v>55</v>
          </cell>
          <cell r="M91">
            <v>-7</v>
          </cell>
          <cell r="O91">
            <v>0</v>
          </cell>
          <cell r="P91">
            <v>0</v>
          </cell>
          <cell r="Q91">
            <v>9.6</v>
          </cell>
          <cell r="R91">
            <v>50</v>
          </cell>
          <cell r="T91">
            <v>0</v>
          </cell>
          <cell r="U91">
            <v>11.145833333333334</v>
          </cell>
          <cell r="V91">
            <v>5.9375</v>
          </cell>
          <cell r="W91">
            <v>7.6</v>
          </cell>
          <cell r="X91">
            <v>8.1999999999999993</v>
          </cell>
          <cell r="Y91">
            <v>10.199999999999999</v>
          </cell>
          <cell r="Z91">
            <v>10.4</v>
          </cell>
        </row>
        <row r="92">
          <cell r="A92" t="str">
            <v xml:space="preserve"> 527  Окорок Прошутто выдержанный нарезка 0,055кг ТМ Стародворье  ПОКОМ</v>
          </cell>
          <cell r="B92" t="str">
            <v>шт</v>
          </cell>
          <cell r="C92">
            <v>44</v>
          </cell>
          <cell r="D92">
            <v>94</v>
          </cell>
          <cell r="E92">
            <v>68</v>
          </cell>
          <cell r="F92">
            <v>61</v>
          </cell>
          <cell r="G92" t="str">
            <v>P005022</v>
          </cell>
          <cell r="H92">
            <v>5.5E-2</v>
          </cell>
          <cell r="I92" t="str">
            <v>матрица</v>
          </cell>
          <cell r="L92">
            <v>77</v>
          </cell>
          <cell r="M92">
            <v>-9</v>
          </cell>
          <cell r="O92">
            <v>0</v>
          </cell>
          <cell r="P92">
            <v>0</v>
          </cell>
          <cell r="Q92">
            <v>13.6</v>
          </cell>
          <cell r="R92">
            <v>80</v>
          </cell>
          <cell r="T92">
            <v>0</v>
          </cell>
          <cell r="U92">
            <v>10.367647058823529</v>
          </cell>
          <cell r="V92">
            <v>4.4852941176470589</v>
          </cell>
          <cell r="W92">
            <v>5</v>
          </cell>
          <cell r="X92">
            <v>8.8000000000000007</v>
          </cell>
          <cell r="Y92">
            <v>9.4</v>
          </cell>
          <cell r="Z92">
            <v>7.4</v>
          </cell>
        </row>
        <row r="93">
          <cell r="A93" t="str">
            <v xml:space="preserve"> 530  Окорок Хамон выдержанный нарезка 0,055кг ТМ Стародворье  ПОКОМ</v>
          </cell>
          <cell r="B93" t="str">
            <v>шт</v>
          </cell>
          <cell r="C93">
            <v>24</v>
          </cell>
          <cell r="D93">
            <v>112</v>
          </cell>
          <cell r="E93">
            <v>59</v>
          </cell>
          <cell r="F93">
            <v>70</v>
          </cell>
          <cell r="G93" t="str">
            <v>P005021</v>
          </cell>
          <cell r="H93">
            <v>5.5E-2</v>
          </cell>
          <cell r="I93" t="str">
            <v>матрица</v>
          </cell>
          <cell r="L93">
            <v>66</v>
          </cell>
          <cell r="M93">
            <v>-7</v>
          </cell>
          <cell r="O93">
            <v>0</v>
          </cell>
          <cell r="P93">
            <v>0</v>
          </cell>
          <cell r="Q93">
            <v>11.8</v>
          </cell>
          <cell r="R93">
            <v>60</v>
          </cell>
          <cell r="T93">
            <v>0</v>
          </cell>
          <cell r="U93">
            <v>11.016949152542372</v>
          </cell>
          <cell r="V93">
            <v>5.9322033898305078</v>
          </cell>
          <cell r="W93">
            <v>3.6</v>
          </cell>
          <cell r="X93">
            <v>8.1999999999999993</v>
          </cell>
          <cell r="Y93">
            <v>10.6</v>
          </cell>
          <cell r="Z93">
            <v>6.2</v>
          </cell>
        </row>
        <row r="94">
          <cell r="A94" t="str">
            <v xml:space="preserve"> 547  Колбаса Мясная Классическая ТМ Вязанка в оболочке полиамид. ВЕС  ПОКОМ</v>
          </cell>
          <cell r="B94" t="str">
            <v>кг</v>
          </cell>
          <cell r="C94">
            <v>592.18399999999997</v>
          </cell>
          <cell r="D94">
            <v>204.751</v>
          </cell>
          <cell r="E94">
            <v>49.069000000000003</v>
          </cell>
          <cell r="F94">
            <v>747.86599999999999</v>
          </cell>
          <cell r="G94" t="str">
            <v>P005156</v>
          </cell>
          <cell r="H94">
            <v>1</v>
          </cell>
          <cell r="L94">
            <v>41</v>
          </cell>
          <cell r="M94">
            <v>8.0690000000000026</v>
          </cell>
          <cell r="O94">
            <v>0</v>
          </cell>
          <cell r="P94">
            <v>0</v>
          </cell>
          <cell r="Q94">
            <v>9.8138000000000005</v>
          </cell>
          <cell r="T94">
            <v>0</v>
          </cell>
          <cell r="U94">
            <v>76.20554729055003</v>
          </cell>
          <cell r="V94">
            <v>76.20554729055003</v>
          </cell>
          <cell r="W94">
            <v>0</v>
          </cell>
          <cell r="X94">
            <v>1.6108</v>
          </cell>
          <cell r="Y94">
            <v>3.8398000000000003</v>
          </cell>
          <cell r="Z94">
            <v>9.2504000000000008</v>
          </cell>
        </row>
        <row r="95">
          <cell r="A95" t="str">
            <v xml:space="preserve"> 551  Колбаса Сливушка ТМ Вязанка в модифицированной газовой среде 0,11 кг нарезка  ПОКОМ</v>
          </cell>
          <cell r="B95" t="str">
            <v>шт</v>
          </cell>
          <cell r="C95">
            <v>5</v>
          </cell>
          <cell r="E95">
            <v>-1</v>
          </cell>
          <cell r="F95">
            <v>2</v>
          </cell>
          <cell r="G95" t="str">
            <v>Р004758</v>
          </cell>
          <cell r="H95">
            <v>0.11</v>
          </cell>
          <cell r="L95">
            <v>5</v>
          </cell>
          <cell r="M95">
            <v>-6</v>
          </cell>
          <cell r="O95">
            <v>0</v>
          </cell>
          <cell r="P95">
            <v>0</v>
          </cell>
          <cell r="Q95">
            <v>-0.2</v>
          </cell>
          <cell r="T95">
            <v>0</v>
          </cell>
          <cell r="U95">
            <v>-10</v>
          </cell>
          <cell r="V95">
            <v>-10</v>
          </cell>
          <cell r="W95">
            <v>3</v>
          </cell>
          <cell r="X95">
            <v>0.6</v>
          </cell>
          <cell r="Y95">
            <v>1.8</v>
          </cell>
          <cell r="Z95">
            <v>-1.4</v>
          </cell>
        </row>
        <row r="96">
          <cell r="A96" t="str">
            <v xml:space="preserve"> 553  Ассорти колбас Мясорубская коллекция: Сервелат Делюкс, С балыком 0,08 кг нарезка  ПОКОМ</v>
          </cell>
          <cell r="B96" t="str">
            <v>шт</v>
          </cell>
          <cell r="C96">
            <v>9</v>
          </cell>
          <cell r="D96">
            <v>91</v>
          </cell>
          <cell r="E96">
            <v>89</v>
          </cell>
          <cell r="F96">
            <v>3</v>
          </cell>
          <cell r="G96" t="str">
            <v>P005155</v>
          </cell>
          <cell r="H96">
            <v>0.08</v>
          </cell>
          <cell r="L96">
            <v>108</v>
          </cell>
          <cell r="M96">
            <v>-19</v>
          </cell>
          <cell r="O96">
            <v>0</v>
          </cell>
          <cell r="P96">
            <v>55</v>
          </cell>
          <cell r="Q96">
            <v>17.8</v>
          </cell>
          <cell r="R96">
            <v>130</v>
          </cell>
          <cell r="T96">
            <v>0</v>
          </cell>
          <cell r="U96">
            <v>10.561797752808989</v>
          </cell>
          <cell r="V96">
            <v>0.16853932584269662</v>
          </cell>
          <cell r="W96">
            <v>8.8000000000000007</v>
          </cell>
          <cell r="X96">
            <v>20</v>
          </cell>
          <cell r="Y96">
            <v>18</v>
          </cell>
          <cell r="Z96">
            <v>20.8</v>
          </cell>
        </row>
        <row r="97">
          <cell r="A97" t="str">
            <v xml:space="preserve"> 554  Колбаса Сервелат Мясорубский ТМ Стародворье в упаковке скин 0,08 кг нарезка  ПОКОМ</v>
          </cell>
          <cell r="B97" t="str">
            <v>шт</v>
          </cell>
          <cell r="C97">
            <v>54</v>
          </cell>
          <cell r="D97">
            <v>181</v>
          </cell>
          <cell r="E97">
            <v>95</v>
          </cell>
          <cell r="F97">
            <v>137</v>
          </cell>
          <cell r="G97" t="str">
            <v>Р003837</v>
          </cell>
          <cell r="H97">
            <v>0.08</v>
          </cell>
          <cell r="L97">
            <v>98</v>
          </cell>
          <cell r="M97">
            <v>-3</v>
          </cell>
          <cell r="O97">
            <v>0</v>
          </cell>
          <cell r="P97">
            <v>30</v>
          </cell>
          <cell r="Q97">
            <v>19</v>
          </cell>
          <cell r="R97">
            <v>40</v>
          </cell>
          <cell r="T97">
            <v>0</v>
          </cell>
          <cell r="U97">
            <v>10.894736842105264</v>
          </cell>
          <cell r="V97">
            <v>7.2105263157894735</v>
          </cell>
          <cell r="W97">
            <v>11.4</v>
          </cell>
          <cell r="X97">
            <v>17.2</v>
          </cell>
          <cell r="Y97">
            <v>11.4</v>
          </cell>
          <cell r="Z97">
            <v>11.6</v>
          </cell>
        </row>
        <row r="98">
          <cell r="A98" t="str">
            <v xml:space="preserve"> 555  Колбаса Молокуша ТМ Вязанка в модифицированной газовой среде 0,17 кг нарезка  ПОКОМ</v>
          </cell>
          <cell r="B98" t="str">
            <v>шт</v>
          </cell>
          <cell r="C98">
            <v>18</v>
          </cell>
          <cell r="E98">
            <v>-3</v>
          </cell>
          <cell r="F98">
            <v>18</v>
          </cell>
          <cell r="G98" t="str">
            <v>P002641</v>
          </cell>
          <cell r="H98">
            <v>0.17</v>
          </cell>
          <cell r="L98">
            <v>12</v>
          </cell>
          <cell r="M98">
            <v>-15</v>
          </cell>
          <cell r="O98">
            <v>0</v>
          </cell>
          <cell r="P98">
            <v>0</v>
          </cell>
          <cell r="Q98">
            <v>-0.6</v>
          </cell>
          <cell r="T98">
            <v>0</v>
          </cell>
          <cell r="U98">
            <v>-30</v>
          </cell>
          <cell r="V98">
            <v>-30</v>
          </cell>
          <cell r="W98">
            <v>3.2</v>
          </cell>
          <cell r="X98">
            <v>0</v>
          </cell>
          <cell r="Y98">
            <v>0.2</v>
          </cell>
          <cell r="Z98">
            <v>-1</v>
          </cell>
        </row>
        <row r="99">
          <cell r="A99" t="str">
            <v xml:space="preserve"> 556  Колбаса Сервелат Ореховый ТМ Вязанка в оболочке фиброуз в вакуумной упаковке, ВЕС  ПОКОМ</v>
          </cell>
          <cell r="B99" t="str">
            <v>кг</v>
          </cell>
          <cell r="C99">
            <v>462.62099999999998</v>
          </cell>
          <cell r="D99">
            <v>0.73399999999999999</v>
          </cell>
          <cell r="E99">
            <v>186.77500000000001</v>
          </cell>
          <cell r="F99">
            <v>275.846</v>
          </cell>
          <cell r="G99" t="str">
            <v>P005376</v>
          </cell>
          <cell r="H99">
            <v>1</v>
          </cell>
          <cell r="L99">
            <v>187.2</v>
          </cell>
          <cell r="M99">
            <v>-0.42499999999998295</v>
          </cell>
          <cell r="O99">
            <v>0</v>
          </cell>
          <cell r="P99">
            <v>30</v>
          </cell>
          <cell r="Q99">
            <v>37.355000000000004</v>
          </cell>
          <cell r="R99">
            <v>150</v>
          </cell>
          <cell r="S99">
            <v>150</v>
          </cell>
          <cell r="T99" t="str">
            <v>Промо</v>
          </cell>
          <cell r="U99">
            <v>12.203078570472492</v>
          </cell>
          <cell r="V99">
            <v>7.384446526569401</v>
          </cell>
          <cell r="W99">
            <v>23.062000000000001</v>
          </cell>
          <cell r="X99">
            <v>25.351800000000001</v>
          </cell>
          <cell r="Y99">
            <v>31.613</v>
          </cell>
          <cell r="Z99">
            <v>20.223400000000002</v>
          </cell>
          <cell r="AA99" t="str">
            <v>пРОМО</v>
          </cell>
        </row>
        <row r="100">
          <cell r="A100" t="str">
            <v xml:space="preserve"> 557  Колбаса Сервелат Финский ТМ Вязанка в оболочке фиброуз в вакуумной упаковке, ВЕС  ПОКОМ</v>
          </cell>
          <cell r="B100" t="str">
            <v>кг</v>
          </cell>
          <cell r="C100">
            <v>14.026999999999999</v>
          </cell>
          <cell r="D100">
            <v>184.261</v>
          </cell>
          <cell r="E100">
            <v>113.986</v>
          </cell>
          <cell r="F100">
            <v>83.572000000000003</v>
          </cell>
          <cell r="G100" t="str">
            <v>P005377</v>
          </cell>
          <cell r="H100">
            <v>1</v>
          </cell>
          <cell r="L100">
            <v>119.4</v>
          </cell>
          <cell r="M100">
            <v>-5.4140000000000015</v>
          </cell>
          <cell r="O100">
            <v>0</v>
          </cell>
          <cell r="P100">
            <v>100</v>
          </cell>
          <cell r="Q100">
            <v>22.7972</v>
          </cell>
          <cell r="R100">
            <v>200</v>
          </cell>
          <cell r="S100">
            <v>200</v>
          </cell>
          <cell r="T100" t="str">
            <v>Промо</v>
          </cell>
          <cell r="U100">
            <v>16.825399610478481</v>
          </cell>
          <cell r="V100">
            <v>3.6658887933605881</v>
          </cell>
          <cell r="W100">
            <v>0</v>
          </cell>
          <cell r="X100">
            <v>0</v>
          </cell>
          <cell r="Y100">
            <v>27.5456</v>
          </cell>
          <cell r="Z100">
            <v>21.107599999999998</v>
          </cell>
        </row>
        <row r="101">
          <cell r="A101" t="str">
            <v xml:space="preserve"> 569  Колбаса Балыковая ТМ Вязанка в оболочке фиброуз в вакуумной упаковке 0,28 кг срез.  ПОКОМ</v>
          </cell>
          <cell r="B101" t="str">
            <v>шт</v>
          </cell>
          <cell r="C101">
            <v>480</v>
          </cell>
          <cell r="E101">
            <v>226</v>
          </cell>
          <cell r="F101">
            <v>236</v>
          </cell>
          <cell r="G101" t="str">
            <v>P005163</v>
          </cell>
          <cell r="H101">
            <v>0.28000000000000003</v>
          </cell>
          <cell r="L101">
            <v>243</v>
          </cell>
          <cell r="M101">
            <v>-17</v>
          </cell>
          <cell r="O101">
            <v>0</v>
          </cell>
          <cell r="P101">
            <v>20</v>
          </cell>
          <cell r="Q101">
            <v>45.2</v>
          </cell>
          <cell r="R101">
            <v>300</v>
          </cell>
          <cell r="S101">
            <v>300</v>
          </cell>
          <cell r="T101">
            <v>0</v>
          </cell>
          <cell r="U101">
            <v>12.300884955752212</v>
          </cell>
          <cell r="V101">
            <v>5.221238938053097</v>
          </cell>
          <cell r="W101">
            <v>66.599999999999994</v>
          </cell>
          <cell r="X101">
            <v>12.2</v>
          </cell>
          <cell r="Y101">
            <v>49</v>
          </cell>
          <cell r="Z101">
            <v>36.6</v>
          </cell>
          <cell r="AA101" t="str">
            <v>Новинка</v>
          </cell>
        </row>
        <row r="102">
          <cell r="A102" t="str">
            <v xml:space="preserve"> 571  Колбаса Сервелат Ореховый ТМ Вязанка в оболочке фиброуз в вак. упаковке 0,28 кг срез  ПОКОМ</v>
          </cell>
          <cell r="B102" t="str">
            <v>шт</v>
          </cell>
          <cell r="C102">
            <v>430</v>
          </cell>
          <cell r="E102">
            <v>161</v>
          </cell>
          <cell r="F102">
            <v>265</v>
          </cell>
          <cell r="G102" t="str">
            <v>P005166</v>
          </cell>
          <cell r="H102">
            <v>0.28000000000000003</v>
          </cell>
          <cell r="L102">
            <v>164</v>
          </cell>
          <cell r="M102">
            <v>-3</v>
          </cell>
          <cell r="O102">
            <v>0</v>
          </cell>
          <cell r="P102">
            <v>0</v>
          </cell>
          <cell r="Q102">
            <v>32.200000000000003</v>
          </cell>
          <cell r="R102">
            <v>150</v>
          </cell>
          <cell r="S102">
            <v>150</v>
          </cell>
          <cell r="T102">
            <v>0</v>
          </cell>
          <cell r="U102">
            <v>12.888198757763973</v>
          </cell>
          <cell r="V102">
            <v>8.2298136645962732</v>
          </cell>
          <cell r="W102">
            <v>52.2</v>
          </cell>
          <cell r="X102">
            <v>13</v>
          </cell>
          <cell r="Y102">
            <v>34.200000000000003</v>
          </cell>
          <cell r="Z102">
            <v>37.799999999999997</v>
          </cell>
          <cell r="AA102" t="str">
            <v>Новинка</v>
          </cell>
        </row>
        <row r="103">
          <cell r="A103" t="str">
            <v xml:space="preserve"> 579  Колбаса Ветчинно-рубленая ТМ Особый рецепт в оболочке полиамид.ВЕС  ПОКОМ</v>
          </cell>
          <cell r="B103" t="str">
            <v>кг</v>
          </cell>
          <cell r="C103">
            <v>23.748000000000001</v>
          </cell>
          <cell r="D103">
            <v>122.681</v>
          </cell>
          <cell r="E103">
            <v>151.411</v>
          </cell>
          <cell r="F103">
            <v>-6.4420000000000002</v>
          </cell>
          <cell r="G103" t="str">
            <v>P005358</v>
          </cell>
          <cell r="H103">
            <v>1</v>
          </cell>
          <cell r="L103">
            <v>212.5</v>
          </cell>
          <cell r="M103">
            <v>-61.088999999999999</v>
          </cell>
          <cell r="O103">
            <v>0</v>
          </cell>
          <cell r="P103">
            <v>130</v>
          </cell>
          <cell r="Q103">
            <v>30.2822</v>
          </cell>
          <cell r="R103">
            <v>125</v>
          </cell>
          <cell r="S103">
            <v>125</v>
          </cell>
          <cell r="T103">
            <v>0</v>
          </cell>
          <cell r="U103">
            <v>8.2080562178441454</v>
          </cell>
          <cell r="V103">
            <v>-0.21273223213637055</v>
          </cell>
          <cell r="W103">
            <v>11.933</v>
          </cell>
          <cell r="X103">
            <v>17.016999999999999</v>
          </cell>
          <cell r="Y103">
            <v>18.36</v>
          </cell>
          <cell r="Z103">
            <v>14.105</v>
          </cell>
        </row>
        <row r="104">
          <cell r="A104" t="str">
            <v xml:space="preserve"> 580  Ветчина Нежная с индейкой ТМ Особый рецепт в оболочке полиамид.ВЕС  ПОКОМ</v>
          </cell>
          <cell r="B104" t="str">
            <v>кг</v>
          </cell>
          <cell r="C104">
            <v>277.96300000000002</v>
          </cell>
          <cell r="E104">
            <v>165.05099999999999</v>
          </cell>
          <cell r="F104">
            <v>112.91200000000001</v>
          </cell>
          <cell r="G104" t="str">
            <v>P004675</v>
          </cell>
          <cell r="H104">
            <v>1</v>
          </cell>
          <cell r="L104">
            <v>165</v>
          </cell>
          <cell r="M104">
            <v>5.0999999999987722E-2</v>
          </cell>
          <cell r="O104">
            <v>0</v>
          </cell>
          <cell r="P104">
            <v>0</v>
          </cell>
          <cell r="Q104">
            <v>33.010199999999998</v>
          </cell>
          <cell r="R104">
            <v>100</v>
          </cell>
          <cell r="S104">
            <v>100</v>
          </cell>
          <cell r="T104">
            <v>0</v>
          </cell>
          <cell r="U104">
            <v>6.4498851870028062</v>
          </cell>
          <cell r="V104">
            <v>3.4205185064010522</v>
          </cell>
          <cell r="W104">
            <v>44.041000000000004</v>
          </cell>
          <cell r="X104">
            <v>14.873799999999999</v>
          </cell>
          <cell r="Y104">
            <v>17.5974</v>
          </cell>
          <cell r="Z104">
            <v>24.006599999999999</v>
          </cell>
          <cell r="AA104" t="str">
            <v>Новинка</v>
          </cell>
        </row>
        <row r="105">
          <cell r="A105" t="str">
            <v xml:space="preserve"> 585  Колбаса Молочная ТМ Стародворье в оболочке вектор НД ВЕС.  ПОКОМ</v>
          </cell>
          <cell r="B105" t="str">
            <v>кг</v>
          </cell>
          <cell r="C105">
            <v>74.872</v>
          </cell>
          <cell r="E105">
            <v>72.015000000000001</v>
          </cell>
          <cell r="F105">
            <v>2.8570000000000002</v>
          </cell>
          <cell r="G105" t="str">
            <v>P005360</v>
          </cell>
          <cell r="H105">
            <v>1</v>
          </cell>
          <cell r="L105">
            <v>94.4</v>
          </cell>
          <cell r="M105">
            <v>-22.385000000000005</v>
          </cell>
          <cell r="O105">
            <v>0</v>
          </cell>
          <cell r="P105">
            <v>150</v>
          </cell>
          <cell r="Q105">
            <v>14.403</v>
          </cell>
          <cell r="R105">
            <v>100</v>
          </cell>
          <cell r="S105">
            <v>100</v>
          </cell>
          <cell r="T105" t="str">
            <v>Промо</v>
          </cell>
          <cell r="U105">
            <v>17.555856418801639</v>
          </cell>
          <cell r="V105">
            <v>0.19836145247517878</v>
          </cell>
          <cell r="W105">
            <v>0</v>
          </cell>
          <cell r="X105">
            <v>16.150399999999998</v>
          </cell>
          <cell r="Y105">
            <v>9.27</v>
          </cell>
          <cell r="Z105">
            <v>22.412600000000001</v>
          </cell>
          <cell r="AA105" t="str">
            <v>пРОМО</v>
          </cell>
        </row>
        <row r="106">
          <cell r="A106" t="str">
            <v xml:space="preserve"> 586  Колбаса Мясная ТМ Стародворье в оболочке вектор НД ВЕС.  ПОКОМ</v>
          </cell>
          <cell r="B106" t="str">
            <v>кг</v>
          </cell>
          <cell r="C106">
            <v>309.29399999999998</v>
          </cell>
          <cell r="D106">
            <v>1.363</v>
          </cell>
          <cell r="E106">
            <v>195.38</v>
          </cell>
          <cell r="F106">
            <v>113.914</v>
          </cell>
          <cell r="G106" t="str">
            <v>P005361</v>
          </cell>
          <cell r="H106">
            <v>1</v>
          </cell>
          <cell r="L106">
            <v>187.7</v>
          </cell>
          <cell r="M106">
            <v>7.6800000000000068</v>
          </cell>
          <cell r="O106">
            <v>0</v>
          </cell>
          <cell r="P106">
            <v>240</v>
          </cell>
          <cell r="Q106">
            <v>39.076000000000001</v>
          </cell>
          <cell r="R106">
            <v>100</v>
          </cell>
          <cell r="S106">
            <v>100</v>
          </cell>
          <cell r="T106" t="str">
            <v>Промо</v>
          </cell>
          <cell r="U106">
            <v>11.616183846862524</v>
          </cell>
          <cell r="V106">
            <v>2.9151909100214968</v>
          </cell>
          <cell r="W106">
            <v>15.884399999999999</v>
          </cell>
          <cell r="X106">
            <v>26.943599999999996</v>
          </cell>
          <cell r="Y106">
            <v>25.497399999999999</v>
          </cell>
          <cell r="Z106">
            <v>33.244999999999997</v>
          </cell>
          <cell r="AA106" t="str">
            <v>пРОМО</v>
          </cell>
        </row>
        <row r="107">
          <cell r="A107" t="str">
            <v xml:space="preserve"> 588 Колбаса Со шпиком ТМ Стародворье в оболочке вектор ВЕС  ПОКОМ</v>
          </cell>
          <cell r="B107" t="str">
            <v>кг</v>
          </cell>
          <cell r="C107">
            <v>73.052999999999997</v>
          </cell>
          <cell r="E107">
            <v>55.654000000000003</v>
          </cell>
          <cell r="F107">
            <v>16.972999999999999</v>
          </cell>
          <cell r="G107" t="str">
            <v>P005363</v>
          </cell>
          <cell r="H107">
            <v>1</v>
          </cell>
          <cell r="L107">
            <v>54.1</v>
          </cell>
          <cell r="M107">
            <v>1.554000000000002</v>
          </cell>
          <cell r="O107">
            <v>0</v>
          </cell>
          <cell r="P107">
            <v>60</v>
          </cell>
          <cell r="Q107">
            <v>11.130800000000001</v>
          </cell>
          <cell r="R107">
            <v>60</v>
          </cell>
          <cell r="S107">
            <v>60</v>
          </cell>
          <cell r="T107" t="str">
            <v>Промо</v>
          </cell>
          <cell r="U107">
            <v>12.305764185862651</v>
          </cell>
          <cell r="V107">
            <v>1.5248679340209148</v>
          </cell>
          <cell r="W107">
            <v>7.3805999999999994</v>
          </cell>
          <cell r="X107">
            <v>5.9408000000000003</v>
          </cell>
          <cell r="Y107">
            <v>3.2612000000000001</v>
          </cell>
          <cell r="Z107">
            <v>5.8381999999999996</v>
          </cell>
        </row>
        <row r="108">
          <cell r="A108" t="str">
            <v>495  Колбаса Сочинка по-европейски с сочной грудинкой 0,3кг ТМ Стародворье  ПОКОМ</v>
          </cell>
          <cell r="B108" t="str">
            <v>шт</v>
          </cell>
          <cell r="C108">
            <v>70</v>
          </cell>
          <cell r="D108">
            <v>192</v>
          </cell>
          <cell r="E108">
            <v>183</v>
          </cell>
          <cell r="F108">
            <v>62</v>
          </cell>
          <cell r="G108" t="str">
            <v>P003386</v>
          </cell>
          <cell r="H108">
            <v>0.3</v>
          </cell>
          <cell r="L108">
            <v>200</v>
          </cell>
          <cell r="M108">
            <v>-17</v>
          </cell>
          <cell r="O108">
            <v>0</v>
          </cell>
          <cell r="P108">
            <v>50</v>
          </cell>
          <cell r="Q108">
            <v>36.6</v>
          </cell>
          <cell r="R108">
            <v>280</v>
          </cell>
          <cell r="T108">
            <v>0</v>
          </cell>
          <cell r="U108">
            <v>10.710382513661202</v>
          </cell>
          <cell r="V108">
            <v>1.6939890710382512</v>
          </cell>
          <cell r="W108">
            <v>31.2</v>
          </cell>
          <cell r="X108">
            <v>39.6</v>
          </cell>
          <cell r="Y108">
            <v>39.200000000000003</v>
          </cell>
          <cell r="Z108">
            <v>38.200000000000003</v>
          </cell>
        </row>
        <row r="109">
          <cell r="A109" t="str">
            <v>496  Колбаса Сочинка по-фински с сочным окроком 0,3кг ТМ Стародворье  ПОКОМ</v>
          </cell>
          <cell r="B109" t="str">
            <v>шт</v>
          </cell>
          <cell r="C109">
            <v>4</v>
          </cell>
          <cell r="D109">
            <v>43</v>
          </cell>
          <cell r="E109">
            <v>19</v>
          </cell>
          <cell r="F109">
            <v>7</v>
          </cell>
          <cell r="G109" t="str">
            <v>P003385</v>
          </cell>
          <cell r="H109">
            <v>0.3</v>
          </cell>
          <cell r="L109">
            <v>114</v>
          </cell>
          <cell r="M109">
            <v>-95</v>
          </cell>
          <cell r="O109">
            <v>0</v>
          </cell>
          <cell r="P109">
            <v>0</v>
          </cell>
          <cell r="Q109">
            <v>3.8</v>
          </cell>
          <cell r="R109">
            <v>30</v>
          </cell>
          <cell r="T109">
            <v>0</v>
          </cell>
          <cell r="U109">
            <v>9.7368421052631575</v>
          </cell>
          <cell r="V109">
            <v>1.8421052631578949</v>
          </cell>
          <cell r="W109">
            <v>18.399999999999999</v>
          </cell>
          <cell r="X109">
            <v>23.4</v>
          </cell>
          <cell r="Y109">
            <v>17.399999999999999</v>
          </cell>
          <cell r="Z109">
            <v>19.8</v>
          </cell>
        </row>
        <row r="110">
          <cell r="A110" t="str">
            <v>503 Колбаса Филейская со шпиком ТМ Вязанка в оболочке полиамид.ПОКОМ</v>
          </cell>
          <cell r="B110" t="str">
            <v>кг</v>
          </cell>
          <cell r="C110">
            <v>27.721</v>
          </cell>
          <cell r="E110">
            <v>23.347999999999999</v>
          </cell>
          <cell r="F110">
            <v>3.0009999999999999</v>
          </cell>
          <cell r="G110" t="str">
            <v>P004621</v>
          </cell>
          <cell r="H110">
            <v>1</v>
          </cell>
          <cell r="L110">
            <v>22.2</v>
          </cell>
          <cell r="M110">
            <v>1.1479999999999997</v>
          </cell>
          <cell r="O110">
            <v>0</v>
          </cell>
          <cell r="P110">
            <v>50</v>
          </cell>
          <cell r="Q110">
            <v>4.6696</v>
          </cell>
          <cell r="T110">
            <v>0</v>
          </cell>
          <cell r="U110">
            <v>11.35022271714922</v>
          </cell>
          <cell r="V110">
            <v>0.6426674661641254</v>
          </cell>
          <cell r="W110">
            <v>5.327</v>
          </cell>
          <cell r="X110">
            <v>4.3450000000000006</v>
          </cell>
          <cell r="Y110">
            <v>1.3715999999999999</v>
          </cell>
          <cell r="Z110">
            <v>2.7716000000000003</v>
          </cell>
        </row>
        <row r="111">
          <cell r="A111" t="str">
            <v>515  Колбаса Сервелат Мясорубский Делюкс 0,3кг ТМ Стародворье  ПОКОМ</v>
          </cell>
          <cell r="B111" t="str">
            <v>шт</v>
          </cell>
          <cell r="C111">
            <v>60</v>
          </cell>
          <cell r="D111">
            <v>2</v>
          </cell>
          <cell r="E111">
            <v>46</v>
          </cell>
          <cell r="G111" t="str">
            <v>P004890</v>
          </cell>
          <cell r="H111">
            <v>0.3</v>
          </cell>
          <cell r="L111">
            <v>73</v>
          </cell>
          <cell r="M111">
            <v>-27</v>
          </cell>
          <cell r="O111">
            <v>0</v>
          </cell>
          <cell r="P111">
            <v>90</v>
          </cell>
          <cell r="Q111">
            <v>9.1999999999999993</v>
          </cell>
          <cell r="R111">
            <v>120</v>
          </cell>
          <cell r="S111">
            <v>120</v>
          </cell>
          <cell r="T111">
            <v>0</v>
          </cell>
          <cell r="U111">
            <v>22.826086956521742</v>
          </cell>
          <cell r="V111">
            <v>0</v>
          </cell>
          <cell r="W111">
            <v>9.4</v>
          </cell>
          <cell r="X111">
            <v>16.600000000000001</v>
          </cell>
          <cell r="Y111">
            <v>4.8</v>
          </cell>
          <cell r="Z111">
            <v>14.6</v>
          </cell>
        </row>
        <row r="112">
          <cell r="A112" t="str">
            <v>519  Грудинка 0,12 кг нарезка ТМ Стародворье  ПОКОМ</v>
          </cell>
          <cell r="B112" t="str">
            <v>шт</v>
          </cell>
          <cell r="D112">
            <v>105</v>
          </cell>
          <cell r="E112">
            <v>46</v>
          </cell>
          <cell r="F112">
            <v>56</v>
          </cell>
          <cell r="G112" t="str">
            <v>P005060</v>
          </cell>
          <cell r="H112">
            <v>0.12</v>
          </cell>
          <cell r="L112">
            <v>49</v>
          </cell>
          <cell r="M112">
            <v>-3</v>
          </cell>
          <cell r="O112">
            <v>0</v>
          </cell>
          <cell r="P112">
            <v>0</v>
          </cell>
          <cell r="Q112">
            <v>9.1999999999999993</v>
          </cell>
          <cell r="R112">
            <v>40</v>
          </cell>
          <cell r="T112">
            <v>0</v>
          </cell>
          <cell r="U112">
            <v>10.434782608695652</v>
          </cell>
          <cell r="V112">
            <v>6.0869565217391308</v>
          </cell>
          <cell r="W112">
            <v>1.2</v>
          </cell>
          <cell r="X112">
            <v>3.6</v>
          </cell>
          <cell r="Y112">
            <v>9.4</v>
          </cell>
          <cell r="Z112">
            <v>0</v>
          </cell>
        </row>
        <row r="113">
          <cell r="A113" t="str">
            <v xml:space="preserve"> 230  Колбаса Молочная Особая ТМ Особый рецепт, п/а, ВЕС. ПОКОМ</v>
          </cell>
          <cell r="B113" t="str">
            <v>кг</v>
          </cell>
          <cell r="E113">
            <v>0</v>
          </cell>
          <cell r="G113" t="str">
            <v>P004256</v>
          </cell>
          <cell r="H113">
            <v>1</v>
          </cell>
          <cell r="I113" t="str">
            <v>не матрица</v>
          </cell>
          <cell r="L113">
            <v>0</v>
          </cell>
          <cell r="M113">
            <v>0</v>
          </cell>
          <cell r="O113">
            <v>0</v>
          </cell>
          <cell r="P113">
            <v>0</v>
          </cell>
          <cell r="Q113">
            <v>0</v>
          </cell>
          <cell r="T113">
            <v>0</v>
          </cell>
          <cell r="U113" t="e">
            <v>#DIV/0!</v>
          </cell>
          <cell r="V113" t="e">
            <v>#DIV/0!</v>
          </cell>
          <cell r="W113">
            <v>0</v>
          </cell>
          <cell r="X113">
            <v>0</v>
          </cell>
          <cell r="Y113">
            <v>0</v>
          </cell>
          <cell r="Z113">
            <v>0.98080000000000001</v>
          </cell>
        </row>
        <row r="114">
          <cell r="A114" t="str">
            <v xml:space="preserve"> 558  Колбаса Балыковая НОВАЯ ВЕС Вязанка фиброуз в/у ПОКОМ</v>
          </cell>
          <cell r="B114" t="str">
            <v>кг</v>
          </cell>
          <cell r="E114">
            <v>-3.5950000000000002</v>
          </cell>
          <cell r="G114" t="str">
            <v>P005156</v>
          </cell>
          <cell r="H114">
            <v>1</v>
          </cell>
          <cell r="L114">
            <v>43.5</v>
          </cell>
          <cell r="M114">
            <v>-47.094999999999999</v>
          </cell>
          <cell r="O114">
            <v>0</v>
          </cell>
          <cell r="P114">
            <v>0</v>
          </cell>
          <cell r="Q114">
            <v>-0.71900000000000008</v>
          </cell>
          <cell r="T114">
            <v>0</v>
          </cell>
          <cell r="U114">
            <v>0</v>
          </cell>
          <cell r="V114">
            <v>0</v>
          </cell>
          <cell r="W114">
            <v>31.067399999999999</v>
          </cell>
          <cell r="X114">
            <v>20.687799999999999</v>
          </cell>
          <cell r="Y114">
            <v>-0.28639999999999999</v>
          </cell>
          <cell r="Z114">
            <v>-0.71460000000000001</v>
          </cell>
          <cell r="AA114" t="str">
            <v>пРОМО</v>
          </cell>
        </row>
        <row r="115">
          <cell r="A115" t="str">
            <v>Копченые колбасы «Сервелат Финский» Фикс.вес 0,28 фиброуз срез ТМ «Вязанка»</v>
          </cell>
          <cell r="B115" t="str">
            <v>шт</v>
          </cell>
          <cell r="E115">
            <v>0</v>
          </cell>
          <cell r="G115" t="str">
            <v>P005169</v>
          </cell>
          <cell r="H115">
            <v>0.28000000000000003</v>
          </cell>
          <cell r="L115">
            <v>0</v>
          </cell>
          <cell r="M115">
            <v>0</v>
          </cell>
          <cell r="O115">
            <v>0</v>
          </cell>
          <cell r="P115">
            <v>250</v>
          </cell>
          <cell r="Q115">
            <v>0</v>
          </cell>
          <cell r="T115">
            <v>0</v>
          </cell>
          <cell r="U115" t="e">
            <v>#DIV/0!</v>
          </cell>
          <cell r="V115" t="e">
            <v>#DIV/0!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>Копченые колбасы «Сервелат Ореховый» Фикс.вес 0,09 нарезка ТМ «Вязанка»</v>
          </cell>
          <cell r="B116" t="str">
            <v>шт</v>
          </cell>
          <cell r="E116">
            <v>0</v>
          </cell>
          <cell r="G116" t="str">
            <v>P005114</v>
          </cell>
          <cell r="H116">
            <v>0.09</v>
          </cell>
          <cell r="L116">
            <v>0</v>
          </cell>
          <cell r="M116">
            <v>0</v>
          </cell>
          <cell r="O116">
            <v>0</v>
          </cell>
          <cell r="P116">
            <v>50</v>
          </cell>
          <cell r="Q116">
            <v>0</v>
          </cell>
          <cell r="T116">
            <v>0</v>
          </cell>
          <cell r="U116" t="e">
            <v>#DIV/0!</v>
          </cell>
          <cell r="V116" t="e">
            <v>#DIV/0!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>Копченые колбасы «Балыковая » Фикс.вес 0,09 нарезка ТМ «Вязанка»</v>
          </cell>
          <cell r="B117" t="str">
            <v>шт</v>
          </cell>
          <cell r="E117">
            <v>0</v>
          </cell>
          <cell r="G117" t="str">
            <v>P004725</v>
          </cell>
          <cell r="H117">
            <v>0.09</v>
          </cell>
          <cell r="L117">
            <v>0</v>
          </cell>
          <cell r="M117">
            <v>0</v>
          </cell>
          <cell r="O117">
            <v>0</v>
          </cell>
          <cell r="P117">
            <v>50</v>
          </cell>
          <cell r="Q117">
            <v>0</v>
          </cell>
          <cell r="T117">
            <v>0</v>
          </cell>
          <cell r="U117" t="e">
            <v>#DIV/0!</v>
          </cell>
          <cell r="V117" t="e">
            <v>#DIV/0!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 t="str">
            <v>Копченые колбасы «Сервелат Финский» Фикс.вес 0,09 нарезка ТМ «Вязанка»</v>
          </cell>
          <cell r="B118" t="str">
            <v>шт</v>
          </cell>
          <cell r="E118">
            <v>0</v>
          </cell>
          <cell r="G118" t="str">
            <v>P004728</v>
          </cell>
          <cell r="H118">
            <v>0.09</v>
          </cell>
          <cell r="L118">
            <v>0</v>
          </cell>
          <cell r="M118">
            <v>0</v>
          </cell>
          <cell r="O118">
            <v>0</v>
          </cell>
          <cell r="P118">
            <v>50</v>
          </cell>
          <cell r="Q118">
            <v>0</v>
          </cell>
          <cell r="T118">
            <v>0</v>
          </cell>
          <cell r="U118" t="e">
            <v>#DIV/0!</v>
          </cell>
          <cell r="V118" t="e">
            <v>#DIV/0!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 t="str">
            <v>Период отчета: 17.06.2026 - 23.06.2026</v>
          </cell>
        </row>
        <row r="3">
          <cell r="A3" t="str">
            <v>Отбор:</v>
          </cell>
          <cell r="B3" t="str">
            <v>Организация В группе из списка "НОВОЕ ВРЕМЯ; Общий прайс" И
Номенклатура В группе из списка "ПОКОМ Логистический Партн..." И
Номенклатура.Товарная категория.Группа категорий В группе ""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Бердянск ПОКОМ</v>
          </cell>
          <cell r="B7">
            <v>27563.204000000002</v>
          </cell>
        </row>
        <row r="8">
          <cell r="A8" t="str">
            <v>ПОКОМ Логистический Партнер</v>
          </cell>
          <cell r="B8">
            <v>27563.204000000002</v>
          </cell>
        </row>
        <row r="9">
          <cell r="A9" t="str">
            <v>Вязанка Логистический Партнер(Кг)</v>
          </cell>
          <cell r="B9">
            <v>1586.5920000000001</v>
          </cell>
        </row>
        <row r="10">
          <cell r="A10" t="str">
            <v xml:space="preserve"> 005  Колбаса Докторская ГОСТ, Вязанка вектор,ВЕС. ПОКОМ</v>
          </cell>
          <cell r="B10">
            <v>237.9</v>
          </cell>
        </row>
        <row r="11">
          <cell r="A11" t="str">
            <v xml:space="preserve"> 016  Сосиски Вязанка Молочные, Вязанка вискофан  ВЕС.ПОКОМ</v>
          </cell>
          <cell r="B11">
            <v>210.95599999999999</v>
          </cell>
        </row>
        <row r="12">
          <cell r="A12" t="str">
            <v xml:space="preserve"> 017  Сосиски Вязанка Сливочные, Вязанка амицел ВЕС.ПОКОМ</v>
          </cell>
          <cell r="B12">
            <v>260.16199999999998</v>
          </cell>
        </row>
        <row r="13">
          <cell r="A13" t="str">
            <v xml:space="preserve"> 312  Ветчина Филейская ВЕС ТМ  Вязанка ТС Столичная  ПОКОМ</v>
          </cell>
          <cell r="B13">
            <v>99.1</v>
          </cell>
        </row>
        <row r="14">
          <cell r="A14" t="str">
            <v xml:space="preserve"> 315  Колбаса вареная Молокуша ТМ Вязанка ВЕС, ПОКОМ</v>
          </cell>
          <cell r="B14">
            <v>138.1</v>
          </cell>
        </row>
        <row r="15">
          <cell r="A15" t="str">
            <v xml:space="preserve"> 330  Колбаса вареная Филейская ТМ Вязанка ТС Классическая ВЕС  ПОКОМ</v>
          </cell>
          <cell r="B15">
            <v>58.2</v>
          </cell>
        </row>
        <row r="16">
          <cell r="A16" t="str">
            <v xml:space="preserve"> 335  Колбаса Сливушка ТМ Вязанка. ВЕС.  ПОКОМ </v>
          </cell>
          <cell r="B16">
            <v>159.80000000000001</v>
          </cell>
        </row>
        <row r="17">
          <cell r="A17" t="str">
            <v xml:space="preserve"> 336  Ветчина Сливушка с индейкой ТМ Вязанка. ВЕС  ПОКОМ</v>
          </cell>
          <cell r="B17">
            <v>22.6</v>
          </cell>
        </row>
        <row r="18">
          <cell r="A18" t="str">
            <v xml:space="preserve"> 364  Сардельки Филейские Вязанка ВЕС NDX ТМ Вязанка  ПОКОМ</v>
          </cell>
          <cell r="B18">
            <v>205.934</v>
          </cell>
        </row>
        <row r="19">
          <cell r="A19" t="str">
            <v xml:space="preserve"> 547  Колбаса Мясная Классическая ТМ Вязанка в оболочке полиамид. ВЕС  ПОКОМ</v>
          </cell>
          <cell r="B19">
            <v>29.4</v>
          </cell>
        </row>
        <row r="20">
          <cell r="A20" t="str">
            <v xml:space="preserve"> 556  Колбаса Сервелат Ореховый ТМ Вязанка в оболочке фиброуз в вакуумной упаковке, ВЕС  ПОКОМ</v>
          </cell>
          <cell r="B20">
            <v>152.63999999999999</v>
          </cell>
        </row>
        <row r="21">
          <cell r="A21" t="str">
            <v xml:space="preserve"> 558  Колбаса Балыковая НОВАЯ ВЕС Вязанка фиброуз в/у ПОКОМ</v>
          </cell>
          <cell r="B21">
            <v>2.6</v>
          </cell>
        </row>
        <row r="22">
          <cell r="A22" t="str">
            <v>503 Колбаса Филейская со шпиком ТМ Вязанка в оболочке полиамид.ПОКОМ</v>
          </cell>
          <cell r="B22">
            <v>9.1999999999999993</v>
          </cell>
        </row>
        <row r="23">
          <cell r="A23" t="str">
            <v xml:space="preserve"> 030  Сосиски Вязанка Молочные, Вязанка вискофан МГС, 0.45кг, ПОКОМ</v>
          </cell>
          <cell r="B23">
            <v>960</v>
          </cell>
        </row>
        <row r="24">
          <cell r="A24" t="str">
            <v xml:space="preserve"> 032  Сосиски Вязанка Сливочные, Вязанка амицел МГС, 0.45кг, ПОКОМ</v>
          </cell>
          <cell r="B24">
            <v>695</v>
          </cell>
        </row>
        <row r="25">
          <cell r="A25" t="str">
            <v xml:space="preserve"> 276  Колбаса Сливушка ТМ Вязанка в оболочке полиамид 0,45 кг  ПОКОМ</v>
          </cell>
          <cell r="B25">
            <v>317</v>
          </cell>
        </row>
        <row r="26">
          <cell r="A26" t="str">
            <v xml:space="preserve"> 298  Колбаса Сливушка ТМ Вязанка, 0,375кг,  ПОКОМ</v>
          </cell>
          <cell r="B26">
            <v>39</v>
          </cell>
        </row>
        <row r="27">
          <cell r="A27" t="str">
            <v xml:space="preserve"> 319  Колбаса вареная Филейская ТМ Вязанка ТС Классическая, 0,45 кг. ПОКОМ</v>
          </cell>
          <cell r="B27">
            <v>141</v>
          </cell>
        </row>
        <row r="28">
          <cell r="A28" t="str">
            <v xml:space="preserve"> 322  Колбаса вареная Молокуша 0,45кг ТМ Вязанка  ПОКОМ</v>
          </cell>
          <cell r="B28">
            <v>275</v>
          </cell>
        </row>
        <row r="29">
          <cell r="A29" t="str">
            <v xml:space="preserve"> 339  Колбаса вареная Филейская ТМ Вязанка ТС Классическая, 0,40 кг.  ПОКОМ</v>
          </cell>
          <cell r="B29">
            <v>14</v>
          </cell>
        </row>
        <row r="30">
          <cell r="A30" t="str">
            <v xml:space="preserve"> 387  Колбаса вареная Мусульманская Халяль ТМ Вязанка, 0,4 кг ПОКОМ</v>
          </cell>
          <cell r="B30">
            <v>94</v>
          </cell>
        </row>
        <row r="31">
          <cell r="A31" t="str">
            <v xml:space="preserve"> 388  Сосиски Восточные Халяль ТМ Вязанка 0,33 кг АК. ПОКОМ</v>
          </cell>
          <cell r="B31">
            <v>152</v>
          </cell>
        </row>
        <row r="32">
          <cell r="A32" t="str">
            <v xml:space="preserve"> 395  Колбаса Докторская ГОСТ ТМ Вязанка в оболочке полиамид 0,37 кг. ПОКОМ</v>
          </cell>
          <cell r="B32">
            <v>50</v>
          </cell>
        </row>
        <row r="33">
          <cell r="A33" t="str">
            <v xml:space="preserve"> 405  Сардельки Сливушки ТМ Вязанка в оболочке айпил 0,33 кг. ПОКОМ</v>
          </cell>
          <cell r="B33">
            <v>3</v>
          </cell>
        </row>
        <row r="34">
          <cell r="A34" t="str">
            <v xml:space="preserve"> 408  Ветчина Сливушка с индейкой ТМ Вязанка, 0,4кг  ПОКОМ</v>
          </cell>
          <cell r="B34">
            <v>36</v>
          </cell>
        </row>
        <row r="35">
          <cell r="A35" t="str">
            <v xml:space="preserve"> 551  Колбаса Сливушка ТМ Вязанка в модифицированной газовой среде 0,11 кг нарезка  ПОКОМ</v>
          </cell>
          <cell r="B35">
            <v>4</v>
          </cell>
        </row>
        <row r="36">
          <cell r="A36" t="str">
            <v xml:space="preserve"> 555  Колбаса Молокуша ТМ Вязанка в модифицированной газовой среде 0,17 кг нарезка  ПОКОМ</v>
          </cell>
          <cell r="B36">
            <v>13</v>
          </cell>
        </row>
        <row r="37">
          <cell r="A37" t="str">
            <v xml:space="preserve"> 569  Колбаса Балыковая ТМ Вязанка в оболочке фиброуз в вакуумной упаковке 0,28 кг срез.  ПОКОМ</v>
          </cell>
          <cell r="B37">
            <v>277</v>
          </cell>
        </row>
        <row r="38">
          <cell r="A38" t="str">
            <v xml:space="preserve"> 571  Колбаса Сервелат Ореховый ТМ Вязанка в оболочке фиброуз в вак. упаковке 0,28 кг срез  ПОКОМ</v>
          </cell>
          <cell r="B38">
            <v>247</v>
          </cell>
        </row>
        <row r="39">
          <cell r="A39" t="str">
            <v xml:space="preserve"> 318  Сосиски Датские ТМ Зареченские, ВЕС  ПОКОМ</v>
          </cell>
          <cell r="B39">
            <v>131.1</v>
          </cell>
        </row>
        <row r="40">
          <cell r="A40" t="str">
            <v xml:space="preserve"> 200  Ветчина Дугушка ТМ Стародворье, вектор в/у    ПОКОМ</v>
          </cell>
          <cell r="B40">
            <v>415.56799999999998</v>
          </cell>
        </row>
        <row r="41">
          <cell r="A41" t="str">
            <v xml:space="preserve"> 201  Ветчина Нежная ТМ Особый рецепт, (2,5кг), ПОКОМ</v>
          </cell>
          <cell r="B41">
            <v>2648.4119999999998</v>
          </cell>
        </row>
        <row r="42">
          <cell r="A42" t="str">
            <v xml:space="preserve"> 215  Колбаса Докторская ГОСТ Дугушка, ВЕС, ТМ Стародворье ПОКОМ</v>
          </cell>
          <cell r="B42">
            <v>89.6</v>
          </cell>
        </row>
        <row r="43">
          <cell r="A43" t="str">
            <v xml:space="preserve"> 219  Колбаса Докторская Особая ТМ Особый рецепт, ВЕС  ПОКОМ</v>
          </cell>
          <cell r="B43">
            <v>1425.299</v>
          </cell>
        </row>
        <row r="44">
          <cell r="A44" t="str">
            <v xml:space="preserve"> 225  Колбаса Дугушка со шпиком, ВЕС, ТМ Стародворье   ПОКОМ</v>
          </cell>
          <cell r="B44">
            <v>37.799999999999997</v>
          </cell>
        </row>
        <row r="45">
          <cell r="A45" t="str">
            <v xml:space="preserve"> 226  Колбаса Княжеская, с/к белков.обол в термоусад. пакете, ВЕС, ТМ Стародворье ПОКОМ</v>
          </cell>
          <cell r="B45">
            <v>4.93</v>
          </cell>
        </row>
        <row r="46">
          <cell r="A46" t="str">
            <v xml:space="preserve"> 229  Колбаса Молочная Дугушка, в/у, ВЕС, ТМ Стародворье   ПОКОМ</v>
          </cell>
          <cell r="B46">
            <v>373.44799999999998</v>
          </cell>
        </row>
        <row r="47">
          <cell r="A47" t="str">
            <v xml:space="preserve"> 236  Колбаса Рубленая ЗАПЕЧ. Дугушка ТМ Стародворье, вектор, в/к    ПОКОМ</v>
          </cell>
          <cell r="B47">
            <v>114.1</v>
          </cell>
        </row>
        <row r="48">
          <cell r="A48" t="str">
            <v xml:space="preserve"> 239  Колбаса Салями запеч Дугушка, оболочка вектор, ВЕС, ТМ Стародворье  ПОКОМ</v>
          </cell>
          <cell r="B48">
            <v>171.62799999999999</v>
          </cell>
        </row>
        <row r="49">
          <cell r="A49" t="str">
            <v xml:space="preserve"> 240  Колбаса Салями охотничья, ВЕС. ПОКОМ</v>
          </cell>
          <cell r="B49">
            <v>20.420000000000002</v>
          </cell>
        </row>
        <row r="50">
          <cell r="A50" t="str">
            <v xml:space="preserve"> 242  Колбаса Сервелат ЗАПЕЧ.Дугушка ТМ Стародворье, вектор, в/к     ПОКОМ</v>
          </cell>
          <cell r="B50">
            <v>164.1</v>
          </cell>
        </row>
        <row r="51">
          <cell r="A51" t="str">
            <v xml:space="preserve"> 248  Сардельки Сочные ТМ Особый рецепт,   ПОКОМ</v>
          </cell>
          <cell r="B51">
            <v>234.98599999999999</v>
          </cell>
        </row>
        <row r="52">
          <cell r="A52" t="str">
            <v xml:space="preserve"> 250  Сардельки стародворские с говядиной в обол. NDX, ВЕС. ПОКОМ</v>
          </cell>
          <cell r="B52">
            <v>303.12599999999998</v>
          </cell>
        </row>
        <row r="53">
          <cell r="A53" t="str">
            <v xml:space="preserve"> 255  Сосиски Молочные для завтрака ТМ Особый рецепт, п/а МГС, ВЕС, ТМ Стародворье  ПОКОМ</v>
          </cell>
          <cell r="B53">
            <v>1130.692</v>
          </cell>
        </row>
        <row r="54">
          <cell r="A54" t="str">
            <v xml:space="preserve"> 257  Сосиски Молочные оригинальные ТМ Особый рецепт, ВЕС.   ПОКОМ</v>
          </cell>
          <cell r="B54">
            <v>13.2</v>
          </cell>
        </row>
        <row r="55">
          <cell r="A55" t="str">
            <v xml:space="preserve"> 263  Шпикачки Стародворские, ВЕС.  ПОКОМ</v>
          </cell>
          <cell r="B55">
            <v>71.900000000000006</v>
          </cell>
        </row>
        <row r="56">
          <cell r="A56" t="str">
            <v xml:space="preserve"> 265  Колбаса Балыкбургская, ВЕС, ТМ Баварушка  ПОКОМ</v>
          </cell>
          <cell r="B56">
            <v>212.126</v>
          </cell>
        </row>
        <row r="57">
          <cell r="A57" t="str">
            <v xml:space="preserve"> 267  Колбаса Салями Филейбургская зернистая, оболочка фиброуз, ВЕС, ТМ Баварушка  ПОКОМ</v>
          </cell>
          <cell r="B57">
            <v>95.7</v>
          </cell>
        </row>
        <row r="58">
          <cell r="A58" t="str">
            <v xml:space="preserve"> 283  Сосиски Сочинки, ВЕС, ТМ Стародворье ПОКОМ</v>
          </cell>
          <cell r="B58">
            <v>8.4</v>
          </cell>
        </row>
        <row r="59">
          <cell r="A59" t="str">
            <v xml:space="preserve"> 297  Колбаса Мясорубская с рубленой грудинкой ВЕС ТМ Стародворье  ПОКОМ</v>
          </cell>
          <cell r="B59">
            <v>23</v>
          </cell>
        </row>
        <row r="60">
          <cell r="A60" t="str">
            <v xml:space="preserve"> 305  Колбаса Сервелат Мясорубский с мелкорубленным окороком в/у  ТМ Стародворье ВЕС   ПОКОМ</v>
          </cell>
          <cell r="B60">
            <v>125.3</v>
          </cell>
        </row>
        <row r="61">
          <cell r="A61" t="str">
            <v xml:space="preserve"> 340  Сосиски Сочинки Молочные ТМ Стародворье, ВЕС ПОКОМ</v>
          </cell>
          <cell r="B61">
            <v>48.3</v>
          </cell>
        </row>
        <row r="62">
          <cell r="A62" t="str">
            <v xml:space="preserve"> 341 Сосиски Сочинки Сливочные ТМ Стародворье ВЕС ПОКОМ</v>
          </cell>
          <cell r="B62">
            <v>19.100000000000001</v>
          </cell>
        </row>
        <row r="63">
          <cell r="A63" t="str">
            <v xml:space="preserve"> 344  Колбаса Сочинка по-европейски с сочной грудинкой ТМ Стародворье, ВЕС ПОКОМ</v>
          </cell>
          <cell r="B63">
            <v>105.107</v>
          </cell>
        </row>
        <row r="64">
          <cell r="A64" t="str">
            <v xml:space="preserve"> 345  Колбаса Сочинка по-фински с сочным окроком ТМ Стародворье ВЕС ПОКОМ</v>
          </cell>
          <cell r="B64">
            <v>166.1</v>
          </cell>
        </row>
        <row r="65">
          <cell r="A65" t="str">
            <v xml:space="preserve"> 346  Колбаса Сочинка зернистая с сочной грудинкой ТМ Стародворье.ВЕС ПОКОМ</v>
          </cell>
          <cell r="B65">
            <v>453.21</v>
          </cell>
        </row>
        <row r="66">
          <cell r="A66" t="str">
            <v xml:space="preserve"> 347  Колбаса Сочинка рубленая с сочным окороком ТМ Стародворье ВЕС ПОКОМ</v>
          </cell>
          <cell r="B66">
            <v>199.78200000000001</v>
          </cell>
        </row>
        <row r="67">
          <cell r="A67" t="str">
            <v xml:space="preserve"> 449  Колбаса Дугушка Стародворская ВЕС ТС Дугушка ПОКОМ</v>
          </cell>
          <cell r="B67">
            <v>185.7</v>
          </cell>
        </row>
        <row r="68">
          <cell r="A68" t="str">
            <v xml:space="preserve"> 452  Колбаса Со шпиком ВЕС большой батон ТМ Особый рецепт  ПОКОМ</v>
          </cell>
          <cell r="B68">
            <v>2040.905</v>
          </cell>
        </row>
        <row r="69">
          <cell r="A69" t="str">
            <v xml:space="preserve"> 456  Колбаса Филейная ТМ Особый рецепт ВЕС большой батон  ПОКОМ</v>
          </cell>
          <cell r="B69">
            <v>1242.3679999999999</v>
          </cell>
        </row>
        <row r="70">
          <cell r="A70" t="str">
            <v xml:space="preserve"> 457  Колбаса Молочная ТМ Особый рецепт ВЕС большой батон  ПОКОМ</v>
          </cell>
          <cell r="B70">
            <v>2789.4050000000002</v>
          </cell>
        </row>
        <row r="71">
          <cell r="A71" t="str">
            <v xml:space="preserve"> 557  Колбаса Сервелат Финский ТМ Вязанка в оболочке фиброуз в вакуумной упаковке, ВЕС  ПОКОМ</v>
          </cell>
          <cell r="B71">
            <v>97.8</v>
          </cell>
        </row>
        <row r="72">
          <cell r="A72" t="str">
            <v xml:space="preserve"> 579  Колбаса Ветчинно-рубленая ТМ Особый рецепт в оболочке полиамид.ВЕС  ПОКОМ</v>
          </cell>
          <cell r="B72">
            <v>147.5</v>
          </cell>
        </row>
        <row r="73">
          <cell r="A73" t="str">
            <v xml:space="preserve"> 580  Ветчина Нежная с индейкой ТМ Особый рецепт в оболочке полиамид.ВЕС  ПОКОМ</v>
          </cell>
          <cell r="B73">
            <v>167.8</v>
          </cell>
        </row>
        <row r="74">
          <cell r="A74" t="str">
            <v xml:space="preserve"> 585  Колбаса Молочная ТМ Стародворье в оболочке вектор НД ВЕС.  ПОКОМ</v>
          </cell>
          <cell r="B74">
            <v>58.4</v>
          </cell>
        </row>
        <row r="75">
          <cell r="A75" t="str">
            <v xml:space="preserve"> 586  Колбаса Мясная ТМ Стародворье в оболочке вектор НД ВЕС.  ПОКОМ</v>
          </cell>
          <cell r="B75">
            <v>124</v>
          </cell>
        </row>
        <row r="76">
          <cell r="A76" t="str">
            <v xml:space="preserve"> 588 Колбаса Со шпиком ТМ Стародворье в оболочке вектор ВЕС  ПОКОМ</v>
          </cell>
          <cell r="B76">
            <v>39.6</v>
          </cell>
        </row>
        <row r="77">
          <cell r="A77" t="str">
            <v xml:space="preserve"> 047  Кол Баварская, белков.обол. в термоусад. пакете 0.17 кг, ТМ Стародворье  ПОКОМ</v>
          </cell>
          <cell r="B77">
            <v>85</v>
          </cell>
        </row>
        <row r="78">
          <cell r="A78" t="str">
            <v xml:space="preserve"> 062  Колбаса Кракушка пряная с сальцем, 0.3кг в/у п/к, БАВАРУШКА ПОКОМ</v>
          </cell>
          <cell r="B78">
            <v>154</v>
          </cell>
        </row>
        <row r="79">
          <cell r="A79" t="str">
            <v xml:space="preserve"> 083  Колбаса Швейцарская 0,17 кг., ШТ., сырокопченая   ПОКОМ</v>
          </cell>
          <cell r="B79">
            <v>94</v>
          </cell>
        </row>
        <row r="80">
          <cell r="A80" t="str">
            <v xml:space="preserve"> 273  Сосиски Сочинки с сочной грудинкой, МГС 0.4кг,   ПОКОМ</v>
          </cell>
          <cell r="B80">
            <v>1665</v>
          </cell>
        </row>
        <row r="81">
          <cell r="A81" t="str">
            <v xml:space="preserve"> 278  Сосиски Сочинки с сочным окороком, МГС 0.4кг,   ПОКОМ</v>
          </cell>
          <cell r="B81">
            <v>694</v>
          </cell>
        </row>
        <row r="82">
          <cell r="A82" t="str">
            <v xml:space="preserve"> 281  Сосиски Молочные для завтрака ТМ Особый рецепт, 0,4кг  ПОКОМ</v>
          </cell>
          <cell r="B82">
            <v>141</v>
          </cell>
        </row>
        <row r="83">
          <cell r="A83" t="str">
            <v xml:space="preserve"> 285  Паштет печеночный со слив.маслом ТМ Стародворье ламистер 0,1 кг  ПОКОМ</v>
          </cell>
          <cell r="B83">
            <v>56</v>
          </cell>
        </row>
        <row r="84">
          <cell r="A84" t="str">
            <v xml:space="preserve"> 296  Колбаса Мясорубская с рубленой грудинкой 0,35кг срез ТМ Стародворье  ПОКОМ</v>
          </cell>
          <cell r="B84">
            <v>83</v>
          </cell>
        </row>
        <row r="85">
          <cell r="A85" t="str">
            <v xml:space="preserve"> 301  Сосиски Сочинки по-баварски с сыром,  0.4кг, ТМ Стародворье  ПОКОМ</v>
          </cell>
          <cell r="B85">
            <v>224</v>
          </cell>
        </row>
        <row r="86">
          <cell r="A86" t="str">
            <v xml:space="preserve"> 302  Сосиски Сочинки по-баварски,  0.4кг, ТМ Стародворье  ПОКОМ</v>
          </cell>
          <cell r="B86">
            <v>248</v>
          </cell>
        </row>
        <row r="87">
          <cell r="A87" t="str">
            <v xml:space="preserve"> 307  Колбаса Сервелат Мясорубский с мелкорубленным окороком 0,35 кг срез ТМ Стародворье   Поком</v>
          </cell>
          <cell r="B87">
            <v>292</v>
          </cell>
        </row>
        <row r="88">
          <cell r="A88" t="str">
            <v xml:space="preserve"> 309  Сосиски Сочинки с сыром 0,4 кг ТМ Стародворье  ПОКОМ</v>
          </cell>
          <cell r="B88">
            <v>348</v>
          </cell>
        </row>
        <row r="89">
          <cell r="A89" t="str">
            <v xml:space="preserve"> 328  Сардельки Сочинки Стародворье ТМ  0,4 кг ПОКОМ</v>
          </cell>
          <cell r="B89">
            <v>18</v>
          </cell>
        </row>
        <row r="90">
          <cell r="A90" t="str">
            <v xml:space="preserve"> 329  Сардельки Сочинки с сыром Стародворье ТМ, 0,4 кг. ПОКОМ</v>
          </cell>
          <cell r="B90">
            <v>64</v>
          </cell>
        </row>
        <row r="91">
          <cell r="A91" t="str">
            <v xml:space="preserve"> 334  Паштет Любительский ТМ Стародворье ламистер 0,1 кг  ПОКОМ</v>
          </cell>
          <cell r="B91">
            <v>49</v>
          </cell>
        </row>
        <row r="92">
          <cell r="A92" t="str">
            <v xml:space="preserve"> 338  Паштет печеночный с морковью ТМ Стародворье ламистер 0,1 кг.  ПОКОМ</v>
          </cell>
          <cell r="B92">
            <v>61</v>
          </cell>
        </row>
        <row r="93">
          <cell r="A93" t="str">
            <v xml:space="preserve"> 342 Сосиски Сочинки Молочные ТМ Стародворье 0,4 кг ПОКОМ</v>
          </cell>
          <cell r="B93">
            <v>432</v>
          </cell>
        </row>
        <row r="94">
          <cell r="A94" t="str">
            <v xml:space="preserve"> 343 Сосиски Сочинки Сливочные ТМ Стародворье  0,4 кг ПОКОМ</v>
          </cell>
          <cell r="B94">
            <v>395</v>
          </cell>
        </row>
        <row r="95">
          <cell r="A95" t="str">
            <v xml:space="preserve"> 376  Колбаса Докторская Дугушка 0,6кг ГОСТ ТМ Стародворье  ПОКОМ </v>
          </cell>
          <cell r="B95">
            <v>132</v>
          </cell>
        </row>
        <row r="96">
          <cell r="A96" t="str">
            <v xml:space="preserve"> 377  Колбаса Молочная Дугушка 0,6кг ТМ Стародворье  ПОКОМ</v>
          </cell>
          <cell r="B96">
            <v>206</v>
          </cell>
        </row>
        <row r="97">
          <cell r="A97" t="str">
            <v xml:space="preserve"> 394 Колбаса полукопченая Аль-Ислами халяль ТМ Вязанка оболочка фиброуз в в/у 0,35 кг  ПОКОМ</v>
          </cell>
          <cell r="B97">
            <v>103</v>
          </cell>
        </row>
        <row r="98">
          <cell r="A98" t="str">
            <v xml:space="preserve"> 397  Ветчина Дугушка ТМ Стародворье ТС Дугушка в полиамидной оболочке 0,6 кг. ПОКОМ</v>
          </cell>
          <cell r="B98">
            <v>79</v>
          </cell>
        </row>
        <row r="99">
          <cell r="A99" t="str">
            <v xml:space="preserve"> 410  Сосиски Баварские с сыром ТМ Стародворье 0,35 кг. ПОКОМ</v>
          </cell>
          <cell r="B99">
            <v>44</v>
          </cell>
        </row>
        <row r="100">
          <cell r="A100" t="str">
            <v xml:space="preserve"> 412  Сосиски Баварские ТМ Стародворье 0,35 кг ПОКОМ</v>
          </cell>
          <cell r="B100">
            <v>105</v>
          </cell>
        </row>
        <row r="101">
          <cell r="A101" t="str">
            <v xml:space="preserve"> 435  Колбаса Молочная Стародворская  с молоком в оболочке полиамид 0,4 кг.ТМ Стародворье ПОКОМ</v>
          </cell>
          <cell r="B101">
            <v>50</v>
          </cell>
        </row>
        <row r="102">
          <cell r="A102" t="str">
            <v xml:space="preserve"> 498  Колбаса Сочинка рубленая с сочным окороком 0,3кг ТМ Стародворье  ПОКОМ</v>
          </cell>
          <cell r="B102">
            <v>133</v>
          </cell>
        </row>
        <row r="103">
          <cell r="A103" t="str">
            <v xml:space="preserve"> 523  Колбаса Сальчичон нарезка 0,07кг ТМ Стародворье  ПОКОМ </v>
          </cell>
          <cell r="B103">
            <v>62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B104">
            <v>66</v>
          </cell>
        </row>
        <row r="105">
          <cell r="A105" t="str">
            <v xml:space="preserve"> 525  Колбаса Фуэт нарезка 0,07кг ТМ Стародворье  ПОКОМ</v>
          </cell>
          <cell r="B105">
            <v>33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B106">
            <v>50</v>
          </cell>
        </row>
        <row r="107">
          <cell r="A107" t="str">
            <v xml:space="preserve"> 527  Окорок Прошутто выдержанный нарезка 0,055кг ТМ Стародворье  ПОКОМ</v>
          </cell>
          <cell r="B107">
            <v>67</v>
          </cell>
        </row>
        <row r="108">
          <cell r="A108" t="str">
            <v xml:space="preserve"> 530  Окорок Хамон выдержанный нарезка 0,055кг ТМ Стародворье  ПОКОМ</v>
          </cell>
          <cell r="B108">
            <v>54</v>
          </cell>
        </row>
        <row r="109">
          <cell r="A109" t="str">
            <v xml:space="preserve"> 553  Ассорти колбас Мясорубская коллекция: Сервелат Делюкс, С балыком 0,08 кг нарезка  ПОКОМ</v>
          </cell>
          <cell r="B109">
            <v>105</v>
          </cell>
        </row>
        <row r="110">
          <cell r="A110" t="str">
            <v xml:space="preserve"> 554  Колбаса Сервелат Мясорубский ТМ Стародворье в упаковке скин 0,08 кг нарезка  ПОКОМ</v>
          </cell>
          <cell r="B110">
            <v>85</v>
          </cell>
        </row>
        <row r="111">
          <cell r="A111" t="str">
            <v>495  Колбаса Сочинка по-европейски с сочной грудинкой 0,3кг ТМ Стародворье  ПОКОМ</v>
          </cell>
          <cell r="B111">
            <v>220</v>
          </cell>
        </row>
        <row r="112">
          <cell r="A112" t="str">
            <v>496  Колбаса Сочинка по-фински с сочным окроком 0,3кг ТМ Стародворье  ПОКОМ</v>
          </cell>
          <cell r="B112">
            <v>184</v>
          </cell>
        </row>
        <row r="113">
          <cell r="A113" t="str">
            <v>515  Колбаса Сервелат Мясорубский Делюкс 0,3кг ТМ Стародворье  ПОКОМ</v>
          </cell>
          <cell r="B113">
            <v>24</v>
          </cell>
        </row>
        <row r="114">
          <cell r="A114" t="str">
            <v>519  Грудинка 0,12 кг нарезка ТМ Стародворье  ПОКОМ</v>
          </cell>
          <cell r="B114">
            <v>49</v>
          </cell>
        </row>
        <row r="115">
          <cell r="B115">
            <v>27557.504000000001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B117"/>
  <sheetViews>
    <sheetView tabSelected="1" zoomScale="80" zoomScaleNormal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AJ14" sqref="AJ14"/>
    </sheetView>
  </sheetViews>
  <sheetFormatPr defaultColWidth="14.1640625" defaultRowHeight="11.45" customHeight="1" outlineLevelRow="1" x14ac:dyDescent="0.2"/>
  <cols>
    <col min="1" max="1" width="73.5" style="1" customWidth="1"/>
    <col min="2" max="2" width="3.83203125" style="1" customWidth="1"/>
    <col min="3" max="6" width="10" style="1" customWidth="1"/>
    <col min="7" max="7" width="8.5" style="5" customWidth="1"/>
    <col min="8" max="8" width="6.33203125" style="5" bestFit="1" customWidth="1"/>
    <col min="9" max="9" width="4.1640625" style="5" customWidth="1"/>
    <col min="10" max="10" width="1.1640625" style="5" customWidth="1"/>
    <col min="11" max="11" width="1.33203125" style="5" customWidth="1"/>
    <col min="12" max="12" width="9" style="5" customWidth="1"/>
    <col min="13" max="13" width="9.1640625" style="5" customWidth="1"/>
    <col min="14" max="15" width="10.83203125" style="5" bestFit="1" customWidth="1"/>
    <col min="16" max="16" width="8.6640625" style="5" customWidth="1"/>
    <col min="17" max="17" width="8.5" style="5" bestFit="1" customWidth="1"/>
    <col min="18" max="18" width="8.6640625" style="5" bestFit="1" customWidth="1"/>
    <col min="19" max="19" width="13.33203125" style="5" customWidth="1"/>
    <col min="20" max="20" width="7.83203125" style="5" customWidth="1"/>
    <col min="21" max="21" width="9.5" style="5" bestFit="1" customWidth="1"/>
    <col min="22" max="22" width="6.5" style="5" bestFit="1" customWidth="1"/>
    <col min="23" max="26" width="7.83203125" style="5" bestFit="1" customWidth="1"/>
    <col min="27" max="27" width="6.6640625" style="5" customWidth="1"/>
    <col min="28" max="28" width="9" style="5" customWidth="1"/>
    <col min="29" max="50" width="4.5" style="5" customWidth="1"/>
    <col min="51" max="16384" width="14.1640625" style="5"/>
  </cols>
  <sheetData>
    <row r="1" spans="1:28" s="1" customFormat="1" ht="9.9499999999999993" customHeight="1" x14ac:dyDescent="0.2"/>
    <row r="2" spans="1:28" ht="24.95" customHeight="1" x14ac:dyDescent="0.2">
      <c r="A2" s="2" t="s">
        <v>0</v>
      </c>
    </row>
    <row r="3" spans="1:28" s="1" customFormat="1" ht="9.9499999999999993" customHeight="1" x14ac:dyDescent="0.2"/>
    <row r="4" spans="1:28" ht="12.95" customHeight="1" outlineLevel="1" x14ac:dyDescent="0.2">
      <c r="A4" s="3" t="s">
        <v>1</v>
      </c>
      <c r="B4" s="3" t="s">
        <v>2</v>
      </c>
      <c r="C4" s="3"/>
    </row>
    <row r="5" spans="1:28" ht="12.95" customHeight="1" outlineLevel="1" x14ac:dyDescent="0.2">
      <c r="B5" s="3" t="s">
        <v>3</v>
      </c>
      <c r="C5" s="3"/>
    </row>
    <row r="6" spans="1:28" ht="26.1" customHeight="1" outlineLevel="1" x14ac:dyDescent="0.2">
      <c r="A6" s="3" t="s">
        <v>4</v>
      </c>
      <c r="B6" s="3" t="s">
        <v>5</v>
      </c>
      <c r="C6" s="3"/>
      <c r="D6" s="3"/>
      <c r="E6" s="3"/>
      <c r="F6" s="3"/>
    </row>
    <row r="7" spans="1:28" s="1" customFormat="1" ht="9.9499999999999993" customHeight="1" x14ac:dyDescent="0.2">
      <c r="O7" s="23" t="s">
        <v>146</v>
      </c>
    </row>
    <row r="8" spans="1:28" ht="12.95" customHeight="1" x14ac:dyDescent="0.25">
      <c r="A8" s="6" t="s">
        <v>6</v>
      </c>
      <c r="B8" s="6" t="s">
        <v>7</v>
      </c>
      <c r="C8" s="4" t="s">
        <v>8</v>
      </c>
      <c r="D8" s="4"/>
      <c r="E8" s="4"/>
      <c r="F8" s="4"/>
      <c r="G8" s="12"/>
      <c r="H8" s="13" t="s">
        <v>116</v>
      </c>
      <c r="I8" s="14" t="s">
        <v>117</v>
      </c>
      <c r="J8" s="14" t="s">
        <v>118</v>
      </c>
      <c r="K8" s="14" t="s">
        <v>119</v>
      </c>
      <c r="L8" s="14" t="s">
        <v>120</v>
      </c>
      <c r="M8" s="14" t="s">
        <v>121</v>
      </c>
      <c r="N8" s="14" t="s">
        <v>122</v>
      </c>
      <c r="O8" s="14" t="s">
        <v>122</v>
      </c>
      <c r="P8" s="14"/>
      <c r="Q8" s="14" t="s">
        <v>123</v>
      </c>
      <c r="R8" s="15" t="s">
        <v>124</v>
      </c>
      <c r="S8" s="16" t="s">
        <v>125</v>
      </c>
      <c r="T8" s="16" t="s">
        <v>126</v>
      </c>
      <c r="U8" s="14" t="s">
        <v>127</v>
      </c>
      <c r="V8" s="14" t="s">
        <v>128</v>
      </c>
      <c r="W8" s="14" t="s">
        <v>129</v>
      </c>
      <c r="X8" s="14" t="s">
        <v>129</v>
      </c>
      <c r="Y8" s="14" t="s">
        <v>129</v>
      </c>
      <c r="Z8" s="14" t="s">
        <v>129</v>
      </c>
      <c r="AA8" s="14" t="s">
        <v>130</v>
      </c>
      <c r="AB8" s="14" t="s">
        <v>131</v>
      </c>
    </row>
    <row r="9" spans="1:28" ht="17.45" customHeight="1" x14ac:dyDescent="0.2">
      <c r="A9" s="7"/>
      <c r="B9" s="8"/>
      <c r="C9" s="4" t="s">
        <v>9</v>
      </c>
      <c r="D9" s="4" t="s">
        <v>10</v>
      </c>
      <c r="E9" s="4" t="s">
        <v>11</v>
      </c>
      <c r="F9" s="4" t="s">
        <v>12</v>
      </c>
      <c r="G9" s="17"/>
      <c r="H9" s="17"/>
      <c r="I9" s="17"/>
      <c r="J9" s="17"/>
      <c r="K9" s="17"/>
      <c r="L9" s="17"/>
      <c r="M9" s="17"/>
      <c r="N9" s="17"/>
      <c r="O9" s="17" t="s">
        <v>132</v>
      </c>
      <c r="P9" s="17" t="s">
        <v>134</v>
      </c>
      <c r="Q9" s="17" t="s">
        <v>138</v>
      </c>
      <c r="R9" s="18" t="s">
        <v>145</v>
      </c>
      <c r="S9" s="17"/>
      <c r="T9" s="17"/>
      <c r="U9" s="17"/>
      <c r="V9" s="17"/>
      <c r="W9" s="17" t="s">
        <v>135</v>
      </c>
      <c r="X9" s="17" t="s">
        <v>136</v>
      </c>
      <c r="Y9" s="17" t="s">
        <v>137</v>
      </c>
      <c r="Z9" s="17" t="s">
        <v>133</v>
      </c>
      <c r="AA9" s="17"/>
      <c r="AB9" s="17" t="s">
        <v>145</v>
      </c>
    </row>
    <row r="10" spans="1:28" ht="14.45" customHeight="1" x14ac:dyDescent="0.2">
      <c r="A10" s="7"/>
      <c r="B10" s="8"/>
      <c r="C10" s="20">
        <f t="shared" ref="C10" si="0">SUM(C11:C430)</f>
        <v>15404.116999999998</v>
      </c>
      <c r="D10" s="20">
        <f t="shared" ref="D10" si="1">SUM(D11:D430)</f>
        <v>26202.249</v>
      </c>
      <c r="E10" s="20">
        <f t="shared" ref="E10" si="2">SUM(E11:E430)</f>
        <v>23774.091</v>
      </c>
      <c r="F10" s="20">
        <f t="shared" ref="F10" si="3">SUM(F11:F430)</f>
        <v>15573.019000000002</v>
      </c>
      <c r="G10" s="17"/>
      <c r="H10" s="17"/>
      <c r="I10" s="17"/>
      <c r="J10" s="17"/>
      <c r="K10" s="19"/>
      <c r="L10" s="20">
        <f t="shared" ref="L10:S10" si="4">SUM(L11:L430)</f>
        <v>27439.503999999994</v>
      </c>
      <c r="M10" s="20">
        <f t="shared" si="4"/>
        <v>-3665.4129999999996</v>
      </c>
      <c r="N10" s="20">
        <f t="shared" si="4"/>
        <v>0</v>
      </c>
      <c r="O10" s="20">
        <f t="shared" si="4"/>
        <v>1800</v>
      </c>
      <c r="P10" s="20">
        <f t="shared" si="4"/>
        <v>23110</v>
      </c>
      <c r="Q10" s="20">
        <f t="shared" si="4"/>
        <v>4754.8182000000033</v>
      </c>
      <c r="R10" s="20">
        <f t="shared" si="4"/>
        <v>15208.035000000002</v>
      </c>
      <c r="S10" s="20">
        <f t="shared" si="4"/>
        <v>4780</v>
      </c>
      <c r="T10" s="17"/>
      <c r="U10" s="17"/>
      <c r="V10" s="17"/>
      <c r="W10" s="20">
        <f>SUM(W11:W430)</f>
        <v>3939.7021999999993</v>
      </c>
      <c r="X10" s="20">
        <f>SUM(X11:X430)</f>
        <v>4478.2339999999986</v>
      </c>
      <c r="Y10" s="20">
        <f>SUM(Y11:Y430)</f>
        <v>4447.1737999999996</v>
      </c>
      <c r="Z10" s="20">
        <f>SUM(Z11:Z430)</f>
        <v>4576.6381999999985</v>
      </c>
      <c r="AA10" s="17"/>
      <c r="AB10" s="20">
        <f>SUM(AB11:AB430)</f>
        <v>12282.562849999998</v>
      </c>
    </row>
    <row r="11" spans="1:28" ht="11.1" customHeight="1" x14ac:dyDescent="0.2">
      <c r="A11" s="9" t="s">
        <v>13</v>
      </c>
      <c r="B11" s="9" t="s">
        <v>14</v>
      </c>
      <c r="C11" s="10">
        <v>92.474999999999994</v>
      </c>
      <c r="D11" s="10">
        <v>347.29300000000001</v>
      </c>
      <c r="E11" s="10">
        <v>233.524</v>
      </c>
      <c r="F11" s="10">
        <v>193.554</v>
      </c>
      <c r="G11" s="5" t="str">
        <f>VLOOKUP(A:A,[1]TDSheet!$A:$G,7,0)</f>
        <v>P003011</v>
      </c>
      <c r="H11" s="5">
        <f>VLOOKUP(A:A,[1]TDSheet!$A:$H,8,0)</f>
        <v>1</v>
      </c>
      <c r="L11" s="21">
        <f>VLOOKUP(A:A,[2]TDSheet!$A:$B,2,0)</f>
        <v>237.9</v>
      </c>
      <c r="M11" s="21">
        <f>E11-L11</f>
        <v>-4.3760000000000048</v>
      </c>
      <c r="N11" s="21"/>
      <c r="O11" s="21">
        <f>VLOOKUP(A:A,[1]TDSheet!$A:$O,15,0)</f>
        <v>0</v>
      </c>
      <c r="P11" s="21">
        <f>VLOOKUP(A:A,[1]TDSheet!$A:$R,18,0)</f>
        <v>150</v>
      </c>
      <c r="Q11" s="21">
        <f>E11/5</f>
        <v>46.704799999999999</v>
      </c>
      <c r="R11" s="22">
        <f>11*Q11-F11-O11-P11</f>
        <v>170.19880000000001</v>
      </c>
      <c r="S11" s="27">
        <v>250</v>
      </c>
      <c r="T11" s="25" t="s">
        <v>149</v>
      </c>
      <c r="U11" s="21">
        <f>(F11+O11+P11+R11)/Q11</f>
        <v>11</v>
      </c>
      <c r="V11" s="21">
        <f>F11/Q11</f>
        <v>4.1441993114198112</v>
      </c>
      <c r="W11" s="21">
        <f>VLOOKUP(A:A,[1]TDSheet!$A:$X,24,0)</f>
        <v>63.439599999999999</v>
      </c>
      <c r="X11" s="21">
        <f>VLOOKUP(A:A,[1]TDSheet!$A:$Y,25,0)</f>
        <v>49.296800000000005</v>
      </c>
      <c r="Y11" s="21">
        <f>VLOOKUP(A:A,[1]TDSheet!$A:$Z,26,0)</f>
        <v>54.128</v>
      </c>
      <c r="Z11" s="21">
        <f>VLOOKUP(A:A,[1]TDSheet!$A:$Q,17,0)</f>
        <v>53.9236</v>
      </c>
      <c r="AA11" s="21" t="str">
        <f>VLOOKUP(A:A,[1]TDSheet!$A:$AA,27,0)</f>
        <v>промо</v>
      </c>
      <c r="AB11" s="21">
        <f>R11*H11</f>
        <v>170.19880000000001</v>
      </c>
    </row>
    <row r="12" spans="1:28" ht="11.1" customHeight="1" x14ac:dyDescent="0.2">
      <c r="A12" s="9" t="s">
        <v>15</v>
      </c>
      <c r="B12" s="9" t="s">
        <v>14</v>
      </c>
      <c r="C12" s="10">
        <v>135.905</v>
      </c>
      <c r="D12" s="10">
        <v>406.36399999999998</v>
      </c>
      <c r="E12" s="10">
        <v>222.65</v>
      </c>
      <c r="F12" s="10">
        <v>322.33199999999999</v>
      </c>
      <c r="G12" s="5" t="str">
        <f>VLOOKUP(A:A,[1]TDSheet!$A:$G,7,0)</f>
        <v>P003986</v>
      </c>
      <c r="H12" s="5">
        <f>VLOOKUP(A:A,[1]TDSheet!$A:$H,8,0)</f>
        <v>1</v>
      </c>
      <c r="L12" s="21">
        <f>VLOOKUP(A:A,[2]TDSheet!$A:$B,2,0)</f>
        <v>210.95599999999999</v>
      </c>
      <c r="M12" s="21">
        <f t="shared" ref="M12:M75" si="5">E12-L12</f>
        <v>11.694000000000017</v>
      </c>
      <c r="N12" s="21"/>
      <c r="O12" s="21">
        <f>VLOOKUP(A:A,[1]TDSheet!$A:$O,15,0)</f>
        <v>0</v>
      </c>
      <c r="P12" s="21">
        <f>VLOOKUP(A:A,[1]TDSheet!$A:$R,18,0)</f>
        <v>150</v>
      </c>
      <c r="Q12" s="21">
        <f>E12/5</f>
        <v>44.53</v>
      </c>
      <c r="R12" s="22">
        <f t="shared" ref="R12:R72" si="6">11*Q12-F12-O12-P12</f>
        <v>17.498000000000047</v>
      </c>
      <c r="S12" s="27">
        <v>70</v>
      </c>
      <c r="T12" s="25" t="s">
        <v>149</v>
      </c>
      <c r="U12" s="21">
        <f t="shared" ref="U12:U75" si="7">(F12+O12+P12+R12)/Q12</f>
        <v>11</v>
      </c>
      <c r="V12" s="21">
        <f t="shared" ref="V12:V75" si="8">F12/Q12</f>
        <v>7.2385358185492921</v>
      </c>
      <c r="W12" s="21">
        <f>VLOOKUP(A:A,[1]TDSheet!$A:$X,24,0)</f>
        <v>37.011600000000001</v>
      </c>
      <c r="X12" s="21">
        <f>VLOOKUP(A:A,[1]TDSheet!$A:$Y,25,0)</f>
        <v>45.130600000000001</v>
      </c>
      <c r="Y12" s="21">
        <f>VLOOKUP(A:A,[1]TDSheet!$A:$Z,26,0)</f>
        <v>43.219000000000001</v>
      </c>
      <c r="Z12" s="21">
        <f>VLOOKUP(A:A,[1]TDSheet!$A:$Q,17,0)</f>
        <v>46.550599999999996</v>
      </c>
      <c r="AA12" s="21" t="str">
        <f>VLOOKUP(A:A,[1]TDSheet!$A:$AA,27,0)</f>
        <v>промо</v>
      </c>
      <c r="AB12" s="21">
        <f t="shared" ref="AB12:AB75" si="9">R12*H12</f>
        <v>17.498000000000047</v>
      </c>
    </row>
    <row r="13" spans="1:28" ht="11.1" customHeight="1" x14ac:dyDescent="0.2">
      <c r="A13" s="9" t="s">
        <v>16</v>
      </c>
      <c r="B13" s="9" t="s">
        <v>14</v>
      </c>
      <c r="C13" s="10">
        <v>204.12299999999999</v>
      </c>
      <c r="D13" s="10">
        <v>183.00899999999999</v>
      </c>
      <c r="E13" s="10">
        <v>235.98699999999999</v>
      </c>
      <c r="F13" s="10">
        <v>117.69</v>
      </c>
      <c r="G13" s="5" t="str">
        <f>VLOOKUP(A:A,[1]TDSheet!$A:$G,7,0)</f>
        <v>P003988</v>
      </c>
      <c r="H13" s="5">
        <f>VLOOKUP(A:A,[1]TDSheet!$A:$H,8,0)</f>
        <v>1</v>
      </c>
      <c r="L13" s="21">
        <f>VLOOKUP(A:A,[2]TDSheet!$A:$B,2,0)</f>
        <v>260.16199999999998</v>
      </c>
      <c r="M13" s="21">
        <f t="shared" si="5"/>
        <v>-24.174999999999983</v>
      </c>
      <c r="N13" s="21"/>
      <c r="O13" s="21">
        <f>VLOOKUP(A:A,[1]TDSheet!$A:$O,15,0)</f>
        <v>0</v>
      </c>
      <c r="P13" s="21">
        <f>VLOOKUP(A:A,[1]TDSheet!$A:$R,18,0)</f>
        <v>150</v>
      </c>
      <c r="Q13" s="21">
        <f t="shared" ref="Q13:Q75" si="10">E13/5</f>
        <v>47.197400000000002</v>
      </c>
      <c r="R13" s="22">
        <f t="shared" si="6"/>
        <v>251.48140000000006</v>
      </c>
      <c r="S13" s="27">
        <v>300</v>
      </c>
      <c r="T13" s="25" t="s">
        <v>149</v>
      </c>
      <c r="U13" s="21">
        <f t="shared" si="7"/>
        <v>11.000000000000002</v>
      </c>
      <c r="V13" s="21">
        <f t="shared" si="8"/>
        <v>2.4935695610351418</v>
      </c>
      <c r="W13" s="21">
        <f>VLOOKUP(A:A,[1]TDSheet!$A:$X,24,0)</f>
        <v>49.338799999999999</v>
      </c>
      <c r="X13" s="21">
        <f>VLOOKUP(A:A,[1]TDSheet!$A:$Y,25,0)</f>
        <v>60.385000000000005</v>
      </c>
      <c r="Y13" s="21">
        <f>VLOOKUP(A:A,[1]TDSheet!$A:$Z,26,0)</f>
        <v>53.020799999999994</v>
      </c>
      <c r="Z13" s="21">
        <f>VLOOKUP(A:A,[1]TDSheet!$A:$Q,17,0)</f>
        <v>57.033399999999993</v>
      </c>
      <c r="AA13" s="21" t="str">
        <f>VLOOKUP(A:A,[1]TDSheet!$A:$AA,27,0)</f>
        <v>промо</v>
      </c>
      <c r="AB13" s="21">
        <f t="shared" si="9"/>
        <v>251.48140000000006</v>
      </c>
    </row>
    <row r="14" spans="1:28" ht="11.1" customHeight="1" x14ac:dyDescent="0.2">
      <c r="A14" s="9" t="s">
        <v>17</v>
      </c>
      <c r="B14" s="9" t="s">
        <v>18</v>
      </c>
      <c r="C14" s="10">
        <v>641.60699999999997</v>
      </c>
      <c r="D14" s="10">
        <v>182</v>
      </c>
      <c r="E14" s="10">
        <v>799</v>
      </c>
      <c r="F14" s="10">
        <v>2.6070000000000002</v>
      </c>
      <c r="G14" s="5" t="str">
        <f>VLOOKUP(A:A,[1]TDSheet!$A:$G,7,0)</f>
        <v>P003985</v>
      </c>
      <c r="H14" s="5">
        <f>VLOOKUP(A:A,[1]TDSheet!$A:$H,8,0)</f>
        <v>0.45</v>
      </c>
      <c r="L14" s="21">
        <f>VLOOKUP(A:A,[2]TDSheet!$A:$B,2,0)</f>
        <v>960</v>
      </c>
      <c r="M14" s="21">
        <f t="shared" si="5"/>
        <v>-161</v>
      </c>
      <c r="N14" s="21"/>
      <c r="O14" s="21">
        <f>VLOOKUP(A:A,[1]TDSheet!$A:$O,15,0)</f>
        <v>0</v>
      </c>
      <c r="P14" s="21">
        <f>VLOOKUP(A:A,[1]TDSheet!$A:$R,18,0)</f>
        <v>1300</v>
      </c>
      <c r="Q14" s="21">
        <f t="shared" si="10"/>
        <v>159.80000000000001</v>
      </c>
      <c r="R14" s="22">
        <f t="shared" si="6"/>
        <v>455.19300000000021</v>
      </c>
      <c r="S14" s="22"/>
      <c r="T14" s="21"/>
      <c r="U14" s="21">
        <f t="shared" si="7"/>
        <v>11</v>
      </c>
      <c r="V14" s="21">
        <f t="shared" si="8"/>
        <v>1.6314142678347934E-2</v>
      </c>
      <c r="W14" s="21">
        <f>VLOOKUP(A:A,[1]TDSheet!$A:$X,24,0)</f>
        <v>86.2</v>
      </c>
      <c r="X14" s="21">
        <f>VLOOKUP(A:A,[1]TDSheet!$A:$Y,25,0)</f>
        <v>120.6</v>
      </c>
      <c r="Y14" s="21">
        <f>VLOOKUP(A:A,[1]TDSheet!$A:$Z,26,0)</f>
        <v>72.8</v>
      </c>
      <c r="Z14" s="21">
        <f>VLOOKUP(A:A,[1]TDSheet!$A:$Q,17,0)</f>
        <v>150.19999999999999</v>
      </c>
      <c r="AA14" s="21"/>
      <c r="AB14" s="21">
        <f t="shared" si="9"/>
        <v>204.83685000000011</v>
      </c>
    </row>
    <row r="15" spans="1:28" ht="11.1" customHeight="1" x14ac:dyDescent="0.2">
      <c r="A15" s="9" t="s">
        <v>19</v>
      </c>
      <c r="B15" s="9" t="s">
        <v>18</v>
      </c>
      <c r="C15" s="10">
        <v>400</v>
      </c>
      <c r="D15" s="10">
        <v>649</v>
      </c>
      <c r="E15" s="10">
        <v>630</v>
      </c>
      <c r="F15" s="10">
        <v>399</v>
      </c>
      <c r="G15" s="5" t="str">
        <f>VLOOKUP(A:A,[1]TDSheet!$A:$G,7,0)</f>
        <v>P003989</v>
      </c>
      <c r="H15" s="5">
        <f>VLOOKUP(A:A,[1]TDSheet!$A:$H,8,0)</f>
        <v>0.45</v>
      </c>
      <c r="L15" s="21">
        <f>VLOOKUP(A:A,[2]TDSheet!$A:$B,2,0)</f>
        <v>695</v>
      </c>
      <c r="M15" s="21">
        <f t="shared" si="5"/>
        <v>-65</v>
      </c>
      <c r="N15" s="21"/>
      <c r="O15" s="21">
        <f>VLOOKUP(A:A,[1]TDSheet!$A:$O,15,0)</f>
        <v>0</v>
      </c>
      <c r="P15" s="21">
        <f>VLOOKUP(A:A,[1]TDSheet!$A:$R,18,0)</f>
        <v>900</v>
      </c>
      <c r="Q15" s="21">
        <f t="shared" si="10"/>
        <v>126</v>
      </c>
      <c r="R15" s="22">
        <f t="shared" si="6"/>
        <v>87</v>
      </c>
      <c r="S15" s="27">
        <v>200</v>
      </c>
      <c r="T15" s="25"/>
      <c r="U15" s="21">
        <f t="shared" si="7"/>
        <v>11</v>
      </c>
      <c r="V15" s="21">
        <f t="shared" si="8"/>
        <v>3.1666666666666665</v>
      </c>
      <c r="W15" s="21">
        <f>VLOOKUP(A:A,[1]TDSheet!$A:$X,24,0)</f>
        <v>99.2</v>
      </c>
      <c r="X15" s="21">
        <f>VLOOKUP(A:A,[1]TDSheet!$A:$Y,25,0)</f>
        <v>110.2</v>
      </c>
      <c r="Y15" s="21">
        <f>VLOOKUP(A:A,[1]TDSheet!$A:$Z,26,0)</f>
        <v>113.8</v>
      </c>
      <c r="Z15" s="21">
        <f>VLOOKUP(A:A,[1]TDSheet!$A:$Q,17,0)</f>
        <v>125</v>
      </c>
      <c r="AA15" s="21" t="str">
        <f>VLOOKUP(A:A,[1]TDSheet!$A:$AA,27,0)</f>
        <v>Уменьшить т.к. 600шт приехаело, в четверг ещё 320 приедет.</v>
      </c>
      <c r="AB15" s="21">
        <f t="shared" si="9"/>
        <v>39.15</v>
      </c>
    </row>
    <row r="16" spans="1:28" ht="21.95" customHeight="1" x14ac:dyDescent="0.2">
      <c r="A16" s="9" t="s">
        <v>20</v>
      </c>
      <c r="B16" s="9" t="s">
        <v>18</v>
      </c>
      <c r="C16" s="10">
        <v>87</v>
      </c>
      <c r="D16" s="10">
        <v>60</v>
      </c>
      <c r="E16" s="10">
        <v>86</v>
      </c>
      <c r="F16" s="10">
        <v>62</v>
      </c>
      <c r="G16" s="5" t="str">
        <f>VLOOKUP(A:A,[1]TDSheet!$A:$G,7,0)</f>
        <v>P002290</v>
      </c>
      <c r="H16" s="5">
        <f>VLOOKUP(A:A,[1]TDSheet!$A:$H,8,0)</f>
        <v>0.17</v>
      </c>
      <c r="I16" s="5" t="str">
        <f>VLOOKUP(A:A,[1]TDSheet!$A:$I,9,0)</f>
        <v>матрица</v>
      </c>
      <c r="L16" s="21">
        <f>VLOOKUP(A:A,[2]TDSheet!$A:$B,2,0)</f>
        <v>85</v>
      </c>
      <c r="M16" s="21">
        <f t="shared" si="5"/>
        <v>1</v>
      </c>
      <c r="N16" s="21"/>
      <c r="O16" s="21">
        <f>VLOOKUP(A:A,[1]TDSheet!$A:$O,15,0)</f>
        <v>0</v>
      </c>
      <c r="P16" s="21">
        <f>VLOOKUP(A:A,[1]TDSheet!$A:$R,18,0)</f>
        <v>0</v>
      </c>
      <c r="Q16" s="21">
        <f t="shared" si="10"/>
        <v>17.2</v>
      </c>
      <c r="R16" s="22">
        <f t="shared" si="6"/>
        <v>127.19999999999999</v>
      </c>
      <c r="S16" s="22"/>
      <c r="T16" s="21"/>
      <c r="U16" s="21">
        <f t="shared" si="7"/>
        <v>11</v>
      </c>
      <c r="V16" s="21">
        <f t="shared" si="8"/>
        <v>3.6046511627906979</v>
      </c>
      <c r="W16" s="21">
        <f>VLOOKUP(A:A,[1]TDSheet!$A:$X,24,0)</f>
        <v>16</v>
      </c>
      <c r="X16" s="21">
        <f>VLOOKUP(A:A,[1]TDSheet!$A:$Y,25,0)</f>
        <v>12.6</v>
      </c>
      <c r="Y16" s="21">
        <f>VLOOKUP(A:A,[1]TDSheet!$A:$Z,26,0)</f>
        <v>15</v>
      </c>
      <c r="Z16" s="21">
        <f>VLOOKUP(A:A,[1]TDSheet!$A:$Q,17,0)</f>
        <v>18</v>
      </c>
      <c r="AA16" s="21"/>
      <c r="AB16" s="21">
        <f t="shared" si="9"/>
        <v>21.623999999999999</v>
      </c>
    </row>
    <row r="17" spans="1:28" ht="11.1" customHeight="1" x14ac:dyDescent="0.2">
      <c r="A17" s="9" t="s">
        <v>21</v>
      </c>
      <c r="B17" s="9" t="s">
        <v>18</v>
      </c>
      <c r="C17" s="10">
        <v>215</v>
      </c>
      <c r="D17" s="10"/>
      <c r="E17" s="10">
        <v>155</v>
      </c>
      <c r="F17" s="10">
        <v>55</v>
      </c>
      <c r="G17" s="5" t="str">
        <f>VLOOKUP(A:A,[1]TDSheet!$A:$G,7,0)</f>
        <v>P002461</v>
      </c>
      <c r="H17" s="5">
        <f>VLOOKUP(A:A,[1]TDSheet!$A:$H,8,0)</f>
        <v>0.3</v>
      </c>
      <c r="I17" s="5" t="str">
        <f>VLOOKUP(A:A,[1]TDSheet!$A:$I,9,0)</f>
        <v>матрица</v>
      </c>
      <c r="L17" s="21">
        <f>VLOOKUP(A:A,[2]TDSheet!$A:$B,2,0)</f>
        <v>154</v>
      </c>
      <c r="M17" s="21">
        <f t="shared" si="5"/>
        <v>1</v>
      </c>
      <c r="N17" s="21"/>
      <c r="O17" s="21">
        <f>VLOOKUP(A:A,[1]TDSheet!$A:$O,15,0)</f>
        <v>0</v>
      </c>
      <c r="P17" s="21">
        <f>VLOOKUP(A:A,[1]TDSheet!$A:$R,18,0)</f>
        <v>220</v>
      </c>
      <c r="Q17" s="21">
        <f t="shared" si="10"/>
        <v>31</v>
      </c>
      <c r="R17" s="22">
        <f t="shared" si="6"/>
        <v>66</v>
      </c>
      <c r="S17" s="27">
        <v>150</v>
      </c>
      <c r="T17" s="25"/>
      <c r="U17" s="21">
        <f t="shared" si="7"/>
        <v>11</v>
      </c>
      <c r="V17" s="21">
        <f t="shared" si="8"/>
        <v>1.7741935483870968</v>
      </c>
      <c r="W17" s="21">
        <f>VLOOKUP(A:A,[1]TDSheet!$A:$X,24,0)</f>
        <v>16.600000000000001</v>
      </c>
      <c r="X17" s="21">
        <f>VLOOKUP(A:A,[1]TDSheet!$A:$Y,25,0)</f>
        <v>28.8</v>
      </c>
      <c r="Y17" s="21">
        <f>VLOOKUP(A:A,[1]TDSheet!$A:$Z,26,0)</f>
        <v>5</v>
      </c>
      <c r="Z17" s="21">
        <f>VLOOKUP(A:A,[1]TDSheet!$A:$Q,17,0)</f>
        <v>32.4</v>
      </c>
      <c r="AA17" s="21"/>
      <c r="AB17" s="21">
        <f t="shared" si="9"/>
        <v>19.8</v>
      </c>
    </row>
    <row r="18" spans="1:28" ht="11.1" customHeight="1" x14ac:dyDescent="0.2">
      <c r="A18" s="9" t="s">
        <v>22</v>
      </c>
      <c r="B18" s="9" t="s">
        <v>18</v>
      </c>
      <c r="C18" s="10">
        <v>82</v>
      </c>
      <c r="D18" s="10">
        <v>60</v>
      </c>
      <c r="E18" s="10">
        <v>98</v>
      </c>
      <c r="F18" s="10">
        <v>48</v>
      </c>
      <c r="G18" s="5" t="str">
        <f>VLOOKUP(A:A,[1]TDSheet!$A:$G,7,0)</f>
        <v>P001909</v>
      </c>
      <c r="H18" s="5">
        <f>VLOOKUP(A:A,[1]TDSheet!$A:$H,8,0)</f>
        <v>0.17</v>
      </c>
      <c r="I18" s="5" t="str">
        <f>VLOOKUP(A:A,[1]TDSheet!$A:$I,9,0)</f>
        <v>матрица</v>
      </c>
      <c r="L18" s="21">
        <f>VLOOKUP(A:A,[2]TDSheet!$A:$B,2,0)</f>
        <v>94</v>
      </c>
      <c r="M18" s="21">
        <f t="shared" si="5"/>
        <v>4</v>
      </c>
      <c r="N18" s="21"/>
      <c r="O18" s="21">
        <f>VLOOKUP(A:A,[1]TDSheet!$A:$O,15,0)</f>
        <v>0</v>
      </c>
      <c r="P18" s="21">
        <f>VLOOKUP(A:A,[1]TDSheet!$A:$R,18,0)</f>
        <v>0</v>
      </c>
      <c r="Q18" s="21">
        <f t="shared" si="10"/>
        <v>19.600000000000001</v>
      </c>
      <c r="R18" s="22">
        <f t="shared" si="6"/>
        <v>167.60000000000002</v>
      </c>
      <c r="S18" s="27">
        <v>250</v>
      </c>
      <c r="T18" s="25"/>
      <c r="U18" s="21">
        <f t="shared" si="7"/>
        <v>11</v>
      </c>
      <c r="V18" s="21">
        <f t="shared" si="8"/>
        <v>2.4489795918367343</v>
      </c>
      <c r="W18" s="21">
        <f>VLOOKUP(A:A,[1]TDSheet!$A:$X,24,0)</f>
        <v>22</v>
      </c>
      <c r="X18" s="21">
        <f>VLOOKUP(A:A,[1]TDSheet!$A:$Y,25,0)</f>
        <v>19.8</v>
      </c>
      <c r="Y18" s="21">
        <f>VLOOKUP(A:A,[1]TDSheet!$A:$Z,26,0)</f>
        <v>22</v>
      </c>
      <c r="Z18" s="21">
        <f>VLOOKUP(A:A,[1]TDSheet!$A:$Q,17,0)</f>
        <v>30.4</v>
      </c>
      <c r="AA18" s="21"/>
      <c r="AB18" s="21">
        <f t="shared" si="9"/>
        <v>28.492000000000004</v>
      </c>
    </row>
    <row r="19" spans="1:28" ht="11.1" customHeight="1" x14ac:dyDescent="0.2">
      <c r="A19" s="9" t="s">
        <v>23</v>
      </c>
      <c r="B19" s="9" t="s">
        <v>14</v>
      </c>
      <c r="C19" s="10">
        <v>6.1840000000000002</v>
      </c>
      <c r="D19" s="10">
        <v>822.75699999999995</v>
      </c>
      <c r="E19" s="10">
        <v>344.06200000000001</v>
      </c>
      <c r="F19" s="10">
        <v>460.37299999999999</v>
      </c>
      <c r="G19" s="5" t="str">
        <f>VLOOKUP(A:A,[1]TDSheet!$A:$G,7,0)</f>
        <v>P004460</v>
      </c>
      <c r="H19" s="5">
        <f>VLOOKUP(A:A,[1]TDSheet!$A:$H,8,0)</f>
        <v>1</v>
      </c>
      <c r="I19" s="5" t="str">
        <f>VLOOKUP(A:A,[1]TDSheet!$A:$I,9,0)</f>
        <v>матрица</v>
      </c>
      <c r="L19" s="21">
        <f>VLOOKUP(A:A,[2]TDSheet!$A:$B,2,0)</f>
        <v>415.56799999999998</v>
      </c>
      <c r="M19" s="21">
        <f t="shared" si="5"/>
        <v>-71.505999999999972</v>
      </c>
      <c r="N19" s="21"/>
      <c r="O19" s="21">
        <f>VLOOKUP(A:A,[1]TDSheet!$A:$O,15,0)</f>
        <v>0</v>
      </c>
      <c r="P19" s="21">
        <f>VLOOKUP(A:A,[1]TDSheet!$A:$R,18,0)</f>
        <v>150</v>
      </c>
      <c r="Q19" s="21">
        <f t="shared" si="10"/>
        <v>68.812399999999997</v>
      </c>
      <c r="R19" s="22">
        <f t="shared" si="6"/>
        <v>146.56339999999994</v>
      </c>
      <c r="S19" s="27">
        <v>250</v>
      </c>
      <c r="T19" s="25" t="s">
        <v>149</v>
      </c>
      <c r="U19" s="21">
        <f t="shared" si="7"/>
        <v>11.000000000000002</v>
      </c>
      <c r="V19" s="21">
        <f t="shared" si="8"/>
        <v>6.6902622201812463</v>
      </c>
      <c r="W19" s="21">
        <f>VLOOKUP(A:A,[1]TDSheet!$A:$X,24,0)</f>
        <v>85.433599999999998</v>
      </c>
      <c r="X19" s="21">
        <f>VLOOKUP(A:A,[1]TDSheet!$A:$Y,25,0)</f>
        <v>78.587000000000003</v>
      </c>
      <c r="Y19" s="21">
        <f>VLOOKUP(A:A,[1]TDSheet!$A:$Z,26,0)</f>
        <v>103.93379999999999</v>
      </c>
      <c r="Z19" s="21">
        <f>VLOOKUP(A:A,[1]TDSheet!$A:$Q,17,0)</f>
        <v>70.223800000000011</v>
      </c>
      <c r="AA19" s="21"/>
      <c r="AB19" s="21">
        <f t="shared" si="9"/>
        <v>146.56339999999994</v>
      </c>
    </row>
    <row r="20" spans="1:28" ht="11.1" customHeight="1" x14ac:dyDescent="0.2">
      <c r="A20" s="9" t="s">
        <v>24</v>
      </c>
      <c r="B20" s="9" t="s">
        <v>14</v>
      </c>
      <c r="C20" s="10">
        <v>486.79</v>
      </c>
      <c r="D20" s="10">
        <v>3527.1880000000001</v>
      </c>
      <c r="E20" s="10">
        <v>2062.7730000000001</v>
      </c>
      <c r="F20" s="10">
        <v>1577.6020000000001</v>
      </c>
      <c r="G20" s="5" t="str">
        <f>VLOOKUP(A:A,[1]TDSheet!$A:$G,7,0)</f>
        <v>P002555</v>
      </c>
      <c r="H20" s="5">
        <f>VLOOKUP(A:A,[1]TDSheet!$A:$H,8,0)</f>
        <v>1</v>
      </c>
      <c r="I20" s="5" t="str">
        <f>VLOOKUP(A:A,[1]TDSheet!$A:$I,9,0)</f>
        <v>матрица</v>
      </c>
      <c r="L20" s="21">
        <f>VLOOKUP(A:A,[2]TDSheet!$A:$B,2,0)</f>
        <v>2648.4119999999998</v>
      </c>
      <c r="M20" s="21">
        <f t="shared" si="5"/>
        <v>-585.63899999999967</v>
      </c>
      <c r="N20" s="21"/>
      <c r="O20" s="21">
        <f>VLOOKUP(A:A,[1]TDSheet!$A:$O,15,0)</f>
        <v>500</v>
      </c>
      <c r="P20" s="21">
        <f>VLOOKUP(A:A,[1]TDSheet!$A:$R,18,0)</f>
        <v>1100</v>
      </c>
      <c r="Q20" s="21">
        <f t="shared" si="10"/>
        <v>412.55460000000005</v>
      </c>
      <c r="R20" s="22">
        <f t="shared" si="6"/>
        <v>1360.4986000000008</v>
      </c>
      <c r="S20" s="27">
        <v>1500</v>
      </c>
      <c r="T20" s="25" t="s">
        <v>149</v>
      </c>
      <c r="U20" s="21">
        <f t="shared" si="7"/>
        <v>11</v>
      </c>
      <c r="V20" s="21">
        <f t="shared" si="8"/>
        <v>3.8239835406028679</v>
      </c>
      <c r="W20" s="21">
        <f>VLOOKUP(A:A,[1]TDSheet!$A:$X,24,0)</f>
        <v>402.76819999999998</v>
      </c>
      <c r="X20" s="21">
        <f>VLOOKUP(A:A,[1]TDSheet!$A:$Y,25,0)</f>
        <v>385.99779999999998</v>
      </c>
      <c r="Y20" s="21">
        <f>VLOOKUP(A:A,[1]TDSheet!$A:$Z,26,0)</f>
        <v>456.52380000000005</v>
      </c>
      <c r="Z20" s="21">
        <f>VLOOKUP(A:A,[1]TDSheet!$A:$Q,17,0)</f>
        <v>356.78899999999999</v>
      </c>
      <c r="AA20" s="21"/>
      <c r="AB20" s="21">
        <f t="shared" si="9"/>
        <v>1360.4986000000008</v>
      </c>
    </row>
    <row r="21" spans="1:28" ht="11.1" customHeight="1" x14ac:dyDescent="0.2">
      <c r="A21" s="9" t="s">
        <v>25</v>
      </c>
      <c r="B21" s="9" t="s">
        <v>14</v>
      </c>
      <c r="C21" s="10">
        <v>51.095999999999997</v>
      </c>
      <c r="D21" s="10">
        <v>86.366</v>
      </c>
      <c r="E21" s="10">
        <v>85.527000000000001</v>
      </c>
      <c r="F21" s="10">
        <v>43.911000000000001</v>
      </c>
      <c r="G21" s="5" t="str">
        <f>VLOOKUP(A:A,[1]TDSheet!$A:$G,7,0)</f>
        <v>P004028</v>
      </c>
      <c r="H21" s="5">
        <f>VLOOKUP(A:A,[1]TDSheet!$A:$H,8,0)</f>
        <v>1</v>
      </c>
      <c r="I21" s="5" t="str">
        <f>VLOOKUP(A:A,[1]TDSheet!$A:$I,9,0)</f>
        <v>матрица</v>
      </c>
      <c r="L21" s="21">
        <f>VLOOKUP(A:A,[2]TDSheet!$A:$B,2,0)</f>
        <v>89.6</v>
      </c>
      <c r="M21" s="21">
        <f t="shared" si="5"/>
        <v>-4.0729999999999933</v>
      </c>
      <c r="N21" s="21"/>
      <c r="O21" s="21">
        <f>VLOOKUP(A:A,[1]TDSheet!$A:$O,15,0)</f>
        <v>0</v>
      </c>
      <c r="P21" s="21">
        <f>VLOOKUP(A:A,[1]TDSheet!$A:$R,18,0)</f>
        <v>120</v>
      </c>
      <c r="Q21" s="21">
        <f t="shared" si="10"/>
        <v>17.105399999999999</v>
      </c>
      <c r="R21" s="22">
        <f t="shared" si="6"/>
        <v>24.248400000000004</v>
      </c>
      <c r="S21" s="22"/>
      <c r="T21" s="21"/>
      <c r="U21" s="21">
        <f t="shared" si="7"/>
        <v>11</v>
      </c>
      <c r="V21" s="21">
        <f t="shared" si="8"/>
        <v>2.5670840787119857</v>
      </c>
      <c r="W21" s="21">
        <f>VLOOKUP(A:A,[1]TDSheet!$A:$X,24,0)</f>
        <v>7.8915999999999995</v>
      </c>
      <c r="X21" s="21">
        <f>VLOOKUP(A:A,[1]TDSheet!$A:$Y,25,0)</f>
        <v>13.292599999999998</v>
      </c>
      <c r="Y21" s="21">
        <f>VLOOKUP(A:A,[1]TDSheet!$A:$Z,26,0)</f>
        <v>6.5541999999999998</v>
      </c>
      <c r="Z21" s="21">
        <f>VLOOKUP(A:A,[1]TDSheet!$A:$Q,17,0)</f>
        <v>16.474399999999999</v>
      </c>
      <c r="AA21" s="21"/>
      <c r="AB21" s="21">
        <f t="shared" si="9"/>
        <v>24.248400000000004</v>
      </c>
    </row>
    <row r="22" spans="1:28" ht="11.1" customHeight="1" x14ac:dyDescent="0.2">
      <c r="A22" s="9" t="s">
        <v>26</v>
      </c>
      <c r="B22" s="9" t="s">
        <v>14</v>
      </c>
      <c r="C22" s="10">
        <v>659.25099999999998</v>
      </c>
      <c r="D22" s="10">
        <v>1251.527</v>
      </c>
      <c r="E22" s="10">
        <v>1131.847</v>
      </c>
      <c r="F22" s="10">
        <v>492.822</v>
      </c>
      <c r="G22" s="5" t="str">
        <f>VLOOKUP(A:A,[1]TDSheet!$A:$G,7,0)</f>
        <v>P005077</v>
      </c>
      <c r="H22" s="5">
        <f>VLOOKUP(A:A,[1]TDSheet!$A:$H,8,0)</f>
        <v>1</v>
      </c>
      <c r="I22" s="5" t="str">
        <f>VLOOKUP(A:A,[1]TDSheet!$A:$I,9,0)</f>
        <v>матрица</v>
      </c>
      <c r="L22" s="21">
        <f>VLOOKUP(A:A,[2]TDSheet!$A:$B,2,0)</f>
        <v>1425.299</v>
      </c>
      <c r="M22" s="21">
        <f t="shared" si="5"/>
        <v>-293.452</v>
      </c>
      <c r="N22" s="21"/>
      <c r="O22" s="21">
        <f>VLOOKUP(A:A,[1]TDSheet!$A:$O,15,0)</f>
        <v>0</v>
      </c>
      <c r="P22" s="21">
        <f>VLOOKUP(A:A,[1]TDSheet!$A:$R,18,0)</f>
        <v>1100</v>
      </c>
      <c r="Q22" s="21">
        <f t="shared" si="10"/>
        <v>226.36939999999998</v>
      </c>
      <c r="R22" s="22">
        <f t="shared" si="6"/>
        <v>897.24139999999989</v>
      </c>
      <c r="S22" s="22"/>
      <c r="T22" s="21"/>
      <c r="U22" s="21">
        <f t="shared" si="7"/>
        <v>11</v>
      </c>
      <c r="V22" s="21">
        <f t="shared" si="8"/>
        <v>2.1770698689840589</v>
      </c>
      <c r="W22" s="21">
        <f>VLOOKUP(A:A,[1]TDSheet!$A:$X,24,0)</f>
        <v>199.435</v>
      </c>
      <c r="X22" s="21">
        <f>VLOOKUP(A:A,[1]TDSheet!$A:$Y,25,0)</f>
        <v>217.35759999999999</v>
      </c>
      <c r="Y22" s="21">
        <f>VLOOKUP(A:A,[1]TDSheet!$A:$Z,26,0)</f>
        <v>205.24799999999999</v>
      </c>
      <c r="Z22" s="21">
        <f>VLOOKUP(A:A,[1]TDSheet!$A:$Q,17,0)</f>
        <v>223.17559999999997</v>
      </c>
      <c r="AA22" s="21"/>
      <c r="AB22" s="21">
        <f t="shared" si="9"/>
        <v>897.24139999999989</v>
      </c>
    </row>
    <row r="23" spans="1:28" ht="11.1" customHeight="1" x14ac:dyDescent="0.2">
      <c r="A23" s="9" t="s">
        <v>27</v>
      </c>
      <c r="B23" s="9" t="s">
        <v>14</v>
      </c>
      <c r="C23" s="10">
        <v>38.923000000000002</v>
      </c>
      <c r="D23" s="10">
        <v>31.742000000000001</v>
      </c>
      <c r="E23" s="10">
        <v>42.427</v>
      </c>
      <c r="F23" s="10">
        <v>29.132000000000001</v>
      </c>
      <c r="G23" s="5" t="str">
        <f>VLOOKUP(A:A,[1]TDSheet!$A:$G,7,0)</f>
        <v>P004406</v>
      </c>
      <c r="H23" s="5">
        <f>VLOOKUP(A:A,[1]TDSheet!$A:$H,8,0)</f>
        <v>1</v>
      </c>
      <c r="I23" s="5" t="str">
        <f>VLOOKUP(A:A,[1]TDSheet!$A:$I,9,0)</f>
        <v>матрица</v>
      </c>
      <c r="L23" s="21">
        <f>VLOOKUP(A:A,[2]TDSheet!$A:$B,2,0)</f>
        <v>37.799999999999997</v>
      </c>
      <c r="M23" s="21">
        <f t="shared" si="5"/>
        <v>4.6270000000000024</v>
      </c>
      <c r="N23" s="21"/>
      <c r="O23" s="21">
        <f>VLOOKUP(A:A,[1]TDSheet!$A:$O,15,0)</f>
        <v>0</v>
      </c>
      <c r="P23" s="21">
        <f>VLOOKUP(A:A,[1]TDSheet!$A:$R,18,0)</f>
        <v>40</v>
      </c>
      <c r="Q23" s="21">
        <f t="shared" si="10"/>
        <v>8.4854000000000003</v>
      </c>
      <c r="R23" s="22">
        <f t="shared" si="6"/>
        <v>24.207399999999993</v>
      </c>
      <c r="S23" s="22"/>
      <c r="T23" s="21"/>
      <c r="U23" s="21">
        <f t="shared" si="7"/>
        <v>11</v>
      </c>
      <c r="V23" s="21">
        <f t="shared" si="8"/>
        <v>3.4331911282909471</v>
      </c>
      <c r="W23" s="21">
        <f>VLOOKUP(A:A,[1]TDSheet!$A:$X,24,0)</f>
        <v>9.9833999999999996</v>
      </c>
      <c r="X23" s="21">
        <f>VLOOKUP(A:A,[1]TDSheet!$A:$Y,25,0)</f>
        <v>6.6639999999999997</v>
      </c>
      <c r="Y23" s="21">
        <f>VLOOKUP(A:A,[1]TDSheet!$A:$Z,26,0)</f>
        <v>7.9236000000000004</v>
      </c>
      <c r="Z23" s="21">
        <f>VLOOKUP(A:A,[1]TDSheet!$A:$Q,17,0)</f>
        <v>7.2665999999999995</v>
      </c>
      <c r="AA23" s="21"/>
      <c r="AB23" s="21">
        <f t="shared" si="9"/>
        <v>24.207399999999993</v>
      </c>
    </row>
    <row r="24" spans="1:28" ht="21.95" customHeight="1" x14ac:dyDescent="0.2">
      <c r="A24" s="24" t="s">
        <v>28</v>
      </c>
      <c r="B24" s="9" t="s">
        <v>14</v>
      </c>
      <c r="C24" s="10">
        <v>4.5220000000000002</v>
      </c>
      <c r="D24" s="10">
        <v>14.305</v>
      </c>
      <c r="E24" s="10">
        <v>5.3330000000000002</v>
      </c>
      <c r="F24" s="10">
        <v>13.851000000000001</v>
      </c>
      <c r="G24" s="5" t="str">
        <f>VLOOKUP(A:A,[1]TDSheet!$A:$G,7,0)</f>
        <v>P001900</v>
      </c>
      <c r="H24" s="5">
        <f>VLOOKUP(A:A,[1]TDSheet!$A:$H,8,0)</f>
        <v>1</v>
      </c>
      <c r="L24" s="21">
        <f>VLOOKUP(A:A,[2]TDSheet!$A:$B,2,0)</f>
        <v>4.93</v>
      </c>
      <c r="M24" s="21">
        <f t="shared" si="5"/>
        <v>0.40300000000000047</v>
      </c>
      <c r="N24" s="21"/>
      <c r="O24" s="21">
        <f>VLOOKUP(A:A,[1]TDSheet!$A:$O,15,0)</f>
        <v>0</v>
      </c>
      <c r="P24" s="21">
        <f>VLOOKUP(A:A,[1]TDSheet!$A:$R,18,0)</f>
        <v>25</v>
      </c>
      <c r="Q24" s="21">
        <f t="shared" si="10"/>
        <v>1.0666</v>
      </c>
      <c r="R24" s="22"/>
      <c r="S24" s="22"/>
      <c r="T24" s="21"/>
      <c r="U24" s="21">
        <f t="shared" si="7"/>
        <v>36.425089068066754</v>
      </c>
      <c r="V24" s="21">
        <f t="shared" si="8"/>
        <v>12.986124132758299</v>
      </c>
      <c r="W24" s="21">
        <f>VLOOKUP(A:A,[1]TDSheet!$A:$X,24,0)</f>
        <v>1.5609999999999999</v>
      </c>
      <c r="X24" s="21">
        <f>VLOOKUP(A:A,[1]TDSheet!$A:$Y,25,0)</f>
        <v>2.3315999999999999</v>
      </c>
      <c r="Y24" s="21">
        <f>VLOOKUP(A:A,[1]TDSheet!$A:$Z,26,0)</f>
        <v>1.6940000000000002</v>
      </c>
      <c r="Z24" s="21">
        <f>VLOOKUP(A:A,[1]TDSheet!$A:$Q,17,0)</f>
        <v>2.5463999999999998</v>
      </c>
      <c r="AA24" s="21"/>
      <c r="AB24" s="21">
        <f t="shared" si="9"/>
        <v>0</v>
      </c>
    </row>
    <row r="25" spans="1:28" ht="11.1" customHeight="1" x14ac:dyDescent="0.2">
      <c r="A25" s="9" t="s">
        <v>29</v>
      </c>
      <c r="B25" s="9" t="s">
        <v>14</v>
      </c>
      <c r="C25" s="10">
        <v>70.415999999999997</v>
      </c>
      <c r="D25" s="10">
        <v>637.53700000000003</v>
      </c>
      <c r="E25" s="10">
        <v>363.90800000000002</v>
      </c>
      <c r="F25" s="10">
        <v>325.65499999999997</v>
      </c>
      <c r="G25" s="5" t="str">
        <f>VLOOKUP(A:A,[1]TDSheet!$A:$G,7,0)</f>
        <v>P004030</v>
      </c>
      <c r="H25" s="5">
        <f>VLOOKUP(A:A,[1]TDSheet!$A:$H,8,0)</f>
        <v>1</v>
      </c>
      <c r="I25" s="5" t="str">
        <f>VLOOKUP(A:A,[1]TDSheet!$A:$I,9,0)</f>
        <v>матрица</v>
      </c>
      <c r="L25" s="21">
        <f>VLOOKUP(A:A,[2]TDSheet!$A:$B,2,0)</f>
        <v>373.44799999999998</v>
      </c>
      <c r="M25" s="21">
        <f t="shared" si="5"/>
        <v>-9.5399999999999636</v>
      </c>
      <c r="N25" s="21"/>
      <c r="O25" s="21">
        <f>VLOOKUP(A:A,[1]TDSheet!$A:$O,15,0)</f>
        <v>0</v>
      </c>
      <c r="P25" s="21">
        <f>VLOOKUP(A:A,[1]TDSheet!$A:$R,18,0)</f>
        <v>150</v>
      </c>
      <c r="Q25" s="21">
        <f t="shared" si="10"/>
        <v>72.781599999999997</v>
      </c>
      <c r="R25" s="22">
        <f t="shared" si="6"/>
        <v>324.94259999999997</v>
      </c>
      <c r="S25" s="27">
        <v>400</v>
      </c>
      <c r="T25" s="25" t="s">
        <v>149</v>
      </c>
      <c r="U25" s="21">
        <f t="shared" si="7"/>
        <v>11</v>
      </c>
      <c r="V25" s="21">
        <f t="shared" si="8"/>
        <v>4.4744138628444547</v>
      </c>
      <c r="W25" s="21">
        <f>VLOOKUP(A:A,[1]TDSheet!$A:$X,24,0)</f>
        <v>77.642200000000003</v>
      </c>
      <c r="X25" s="21">
        <f>VLOOKUP(A:A,[1]TDSheet!$A:$Y,25,0)</f>
        <v>62.739400000000003</v>
      </c>
      <c r="Y25" s="21">
        <f>VLOOKUP(A:A,[1]TDSheet!$A:$Z,26,0)</f>
        <v>79.265599999999992</v>
      </c>
      <c r="Z25" s="21">
        <f>VLOOKUP(A:A,[1]TDSheet!$A:$Q,17,0)</f>
        <v>53.703599999999994</v>
      </c>
      <c r="AA25" s="21"/>
      <c r="AB25" s="21">
        <f t="shared" si="9"/>
        <v>324.94259999999997</v>
      </c>
    </row>
    <row r="26" spans="1:28" ht="11.1" customHeight="1" x14ac:dyDescent="0.2">
      <c r="A26" s="9" t="s">
        <v>30</v>
      </c>
      <c r="B26" s="9" t="s">
        <v>14</v>
      </c>
      <c r="C26" s="10">
        <v>58.463000000000001</v>
      </c>
      <c r="D26" s="10">
        <v>137.958</v>
      </c>
      <c r="E26" s="10">
        <v>118.996</v>
      </c>
      <c r="F26" s="10">
        <v>72.724000000000004</v>
      </c>
      <c r="G26" s="5" t="str">
        <f>VLOOKUP(A:A,[1]TDSheet!$A:$G,7,0)</f>
        <v>P004465</v>
      </c>
      <c r="H26" s="5">
        <f>VLOOKUP(A:A,[1]TDSheet!$A:$H,8,0)</f>
        <v>1</v>
      </c>
      <c r="I26" s="5" t="str">
        <f>VLOOKUP(A:A,[1]TDSheet!$A:$I,9,0)</f>
        <v>матрица</v>
      </c>
      <c r="L26" s="21">
        <f>VLOOKUP(A:A,[2]TDSheet!$A:$B,2,0)</f>
        <v>114.1</v>
      </c>
      <c r="M26" s="21">
        <f t="shared" si="5"/>
        <v>4.8960000000000008</v>
      </c>
      <c r="N26" s="21"/>
      <c r="O26" s="21">
        <f>VLOOKUP(A:A,[1]TDSheet!$A:$O,15,0)</f>
        <v>0</v>
      </c>
      <c r="P26" s="21">
        <f>VLOOKUP(A:A,[1]TDSheet!$A:$R,18,0)</f>
        <v>200</v>
      </c>
      <c r="Q26" s="21">
        <f t="shared" si="10"/>
        <v>23.799199999999999</v>
      </c>
      <c r="R26" s="22"/>
      <c r="S26" s="22"/>
      <c r="T26" s="21"/>
      <c r="U26" s="21">
        <f t="shared" si="7"/>
        <v>11.459376785774312</v>
      </c>
      <c r="V26" s="21">
        <f t="shared" si="8"/>
        <v>3.0557329658139771</v>
      </c>
      <c r="W26" s="21">
        <f>VLOOKUP(A:A,[1]TDSheet!$A:$X,24,0)</f>
        <v>17.553000000000001</v>
      </c>
      <c r="X26" s="21">
        <f>VLOOKUP(A:A,[1]TDSheet!$A:$Y,25,0)</f>
        <v>20.255400000000002</v>
      </c>
      <c r="Y26" s="21">
        <f>VLOOKUP(A:A,[1]TDSheet!$A:$Z,26,0)</f>
        <v>21.950600000000001</v>
      </c>
      <c r="Z26" s="21">
        <f>VLOOKUP(A:A,[1]TDSheet!$A:$Q,17,0)</f>
        <v>21.411799999999999</v>
      </c>
      <c r="AA26" s="21"/>
      <c r="AB26" s="21">
        <f t="shared" si="9"/>
        <v>0</v>
      </c>
    </row>
    <row r="27" spans="1:28" ht="21.95" customHeight="1" x14ac:dyDescent="0.2">
      <c r="A27" s="9" t="s">
        <v>31</v>
      </c>
      <c r="B27" s="9" t="s">
        <v>14</v>
      </c>
      <c r="C27" s="10">
        <v>45.68</v>
      </c>
      <c r="D27" s="10">
        <v>147.38399999999999</v>
      </c>
      <c r="E27" s="10">
        <v>173.41200000000001</v>
      </c>
      <c r="F27" s="10">
        <v>7.4489999999999998</v>
      </c>
      <c r="G27" s="5" t="str">
        <f>VLOOKUP(A:A,[1]TDSheet!$A:$G,7,0)</f>
        <v>P004466</v>
      </c>
      <c r="H27" s="5">
        <f>VLOOKUP(A:A,[1]TDSheet!$A:$H,8,0)</f>
        <v>1</v>
      </c>
      <c r="I27" s="5" t="str">
        <f>VLOOKUP(A:A,[1]TDSheet!$A:$I,9,0)</f>
        <v>матрица</v>
      </c>
      <c r="L27" s="21">
        <f>VLOOKUP(A:A,[2]TDSheet!$A:$B,2,0)</f>
        <v>171.62799999999999</v>
      </c>
      <c r="M27" s="21">
        <f t="shared" si="5"/>
        <v>1.7840000000000202</v>
      </c>
      <c r="N27" s="21"/>
      <c r="O27" s="21">
        <f>VLOOKUP(A:A,[1]TDSheet!$A:$O,15,0)</f>
        <v>0</v>
      </c>
      <c r="P27" s="21">
        <f>VLOOKUP(A:A,[1]TDSheet!$A:$R,18,0)</f>
        <v>20</v>
      </c>
      <c r="Q27" s="21">
        <f t="shared" si="10"/>
        <v>34.682400000000001</v>
      </c>
      <c r="R27" s="22">
        <f t="shared" si="6"/>
        <v>354.05739999999997</v>
      </c>
      <c r="S27" s="22"/>
      <c r="T27" s="21"/>
      <c r="U27" s="21">
        <f t="shared" si="7"/>
        <v>11</v>
      </c>
      <c r="V27" s="21">
        <f t="shared" si="8"/>
        <v>0.21477752404677874</v>
      </c>
      <c r="W27" s="21">
        <f>VLOOKUP(A:A,[1]TDSheet!$A:$X,24,0)</f>
        <v>32.679199999999994</v>
      </c>
      <c r="X27" s="21">
        <f>VLOOKUP(A:A,[1]TDSheet!$A:$Y,25,0)</f>
        <v>30.837599999999998</v>
      </c>
      <c r="Y27" s="21">
        <f>VLOOKUP(A:A,[1]TDSheet!$A:$Z,26,0)</f>
        <v>28.3216</v>
      </c>
      <c r="Z27" s="21">
        <f>VLOOKUP(A:A,[1]TDSheet!$A:$Q,17,0)</f>
        <v>37.857199999999999</v>
      </c>
      <c r="AA27" s="21"/>
      <c r="AB27" s="21">
        <f t="shared" si="9"/>
        <v>354.05739999999997</v>
      </c>
    </row>
    <row r="28" spans="1:28" ht="11.1" customHeight="1" x14ac:dyDescent="0.2">
      <c r="A28" s="9" t="s">
        <v>32</v>
      </c>
      <c r="B28" s="9" t="s">
        <v>14</v>
      </c>
      <c r="C28" s="10">
        <v>40.802</v>
      </c>
      <c r="D28" s="10"/>
      <c r="E28" s="10">
        <v>23.917999999999999</v>
      </c>
      <c r="F28" s="10">
        <v>16.882999999999999</v>
      </c>
      <c r="G28" s="5" t="str">
        <f>VLOOKUP(A:A,[1]TDSheet!$A:$G,7,0)</f>
        <v>P001916</v>
      </c>
      <c r="H28" s="5">
        <f>VLOOKUP(A:A,[1]TDSheet!$A:$H,8,0)</f>
        <v>1</v>
      </c>
      <c r="I28" s="5" t="str">
        <f>VLOOKUP(A:A,[1]TDSheet!$A:$I,9,0)</f>
        <v>матрица</v>
      </c>
      <c r="L28" s="21">
        <f>VLOOKUP(A:A,[2]TDSheet!$A:$B,2,0)</f>
        <v>20.420000000000002</v>
      </c>
      <c r="M28" s="21">
        <f t="shared" si="5"/>
        <v>3.4979999999999976</v>
      </c>
      <c r="N28" s="21"/>
      <c r="O28" s="21">
        <f>VLOOKUP(A:A,[1]TDSheet!$A:$O,15,0)</f>
        <v>0</v>
      </c>
      <c r="P28" s="21">
        <f>VLOOKUP(A:A,[1]TDSheet!$A:$R,18,0)</f>
        <v>40</v>
      </c>
      <c r="Q28" s="21">
        <f t="shared" si="10"/>
        <v>4.7835999999999999</v>
      </c>
      <c r="R28" s="22"/>
      <c r="S28" s="22"/>
      <c r="T28" s="21"/>
      <c r="U28" s="21">
        <f t="shared" si="7"/>
        <v>11.891253449285056</v>
      </c>
      <c r="V28" s="21">
        <f t="shared" si="8"/>
        <v>3.5293502801237562</v>
      </c>
      <c r="W28" s="21">
        <f>VLOOKUP(A:A,[1]TDSheet!$A:$X,24,0)</f>
        <v>1.4914000000000001</v>
      </c>
      <c r="X28" s="21">
        <f>VLOOKUP(A:A,[1]TDSheet!$A:$Y,25,0)</f>
        <v>2.7326000000000001</v>
      </c>
      <c r="Y28" s="21">
        <f>VLOOKUP(A:A,[1]TDSheet!$A:$Z,26,0)</f>
        <v>2.423</v>
      </c>
      <c r="Z28" s="21">
        <f>VLOOKUP(A:A,[1]TDSheet!$A:$Q,17,0)</f>
        <v>5.8113999999999999</v>
      </c>
      <c r="AA28" s="21"/>
      <c r="AB28" s="21">
        <f t="shared" si="9"/>
        <v>0</v>
      </c>
    </row>
    <row r="29" spans="1:28" ht="11.1" customHeight="1" x14ac:dyDescent="0.2">
      <c r="A29" s="9" t="s">
        <v>33</v>
      </c>
      <c r="B29" s="9" t="s">
        <v>14</v>
      </c>
      <c r="C29" s="10">
        <v>25.751000000000001</v>
      </c>
      <c r="D29" s="10">
        <v>312.99599999999998</v>
      </c>
      <c r="E29" s="10">
        <v>181.09100000000001</v>
      </c>
      <c r="F29" s="10">
        <v>159.399</v>
      </c>
      <c r="G29" s="5" t="str">
        <f>VLOOKUP(A:A,[1]TDSheet!$A:$G,7,0)</f>
        <v>P004470</v>
      </c>
      <c r="H29" s="5">
        <f>VLOOKUP(A:A,[1]TDSheet!$A:$H,8,0)</f>
        <v>1</v>
      </c>
      <c r="I29" s="5" t="str">
        <f>VLOOKUP(A:A,[1]TDSheet!$A:$I,9,0)</f>
        <v>матрица</v>
      </c>
      <c r="L29" s="21">
        <f>VLOOKUP(A:A,[2]TDSheet!$A:$B,2,0)</f>
        <v>164.1</v>
      </c>
      <c r="M29" s="21">
        <f t="shared" si="5"/>
        <v>16.991000000000014</v>
      </c>
      <c r="N29" s="21"/>
      <c r="O29" s="21">
        <f>VLOOKUP(A:A,[1]TDSheet!$A:$O,15,0)</f>
        <v>0</v>
      </c>
      <c r="P29" s="21">
        <f>VLOOKUP(A:A,[1]TDSheet!$A:$R,18,0)</f>
        <v>150</v>
      </c>
      <c r="Q29" s="21">
        <f t="shared" si="10"/>
        <v>36.218200000000003</v>
      </c>
      <c r="R29" s="22">
        <f t="shared" si="6"/>
        <v>89.00120000000004</v>
      </c>
      <c r="S29" s="22"/>
      <c r="T29" s="21"/>
      <c r="U29" s="21">
        <f t="shared" si="7"/>
        <v>11</v>
      </c>
      <c r="V29" s="21">
        <f t="shared" si="8"/>
        <v>4.4010745978541168</v>
      </c>
      <c r="W29" s="21">
        <f>VLOOKUP(A:A,[1]TDSheet!$A:$X,24,0)</f>
        <v>44.4452</v>
      </c>
      <c r="X29" s="21">
        <f>VLOOKUP(A:A,[1]TDSheet!$A:$Y,25,0)</f>
        <v>36.724200000000003</v>
      </c>
      <c r="Y29" s="21">
        <f>VLOOKUP(A:A,[1]TDSheet!$A:$Z,26,0)</f>
        <v>44.348399999999998</v>
      </c>
      <c r="Z29" s="21">
        <f>VLOOKUP(A:A,[1]TDSheet!$A:$Q,17,0)</f>
        <v>37.685600000000001</v>
      </c>
      <c r="AA29" s="21" t="str">
        <f>VLOOKUP(A:A,[1]TDSheet!$A:$AA,27,0)</f>
        <v>пРОМО</v>
      </c>
      <c r="AB29" s="21">
        <f t="shared" si="9"/>
        <v>89.00120000000004</v>
      </c>
    </row>
    <row r="30" spans="1:28" ht="11.1" customHeight="1" x14ac:dyDescent="0.2">
      <c r="A30" s="9" t="s">
        <v>34</v>
      </c>
      <c r="B30" s="9" t="s">
        <v>14</v>
      </c>
      <c r="C30" s="10">
        <v>353.91699999999997</v>
      </c>
      <c r="D30" s="10"/>
      <c r="E30" s="10">
        <v>260.42200000000003</v>
      </c>
      <c r="F30" s="10">
        <v>93.555999999999997</v>
      </c>
      <c r="G30" s="5" t="str">
        <f>VLOOKUP(A:A,[1]TDSheet!$A:$G,7,0)</f>
        <v>P005080</v>
      </c>
      <c r="H30" s="5">
        <f>VLOOKUP(A:A,[1]TDSheet!$A:$H,8,0)</f>
        <v>1</v>
      </c>
      <c r="I30" s="5" t="str">
        <f>VLOOKUP(A:A,[1]TDSheet!$A:$I,9,0)</f>
        <v>матрица</v>
      </c>
      <c r="L30" s="21">
        <f>VLOOKUP(A:A,[2]TDSheet!$A:$B,2,0)</f>
        <v>234.98599999999999</v>
      </c>
      <c r="M30" s="21">
        <f t="shared" si="5"/>
        <v>25.436000000000035</v>
      </c>
      <c r="N30" s="21"/>
      <c r="O30" s="21">
        <f>VLOOKUP(A:A,[1]TDSheet!$A:$O,15,0)</f>
        <v>0</v>
      </c>
      <c r="P30" s="21">
        <f>VLOOKUP(A:A,[1]TDSheet!$A:$R,18,0)</f>
        <v>130</v>
      </c>
      <c r="Q30" s="21">
        <f t="shared" si="10"/>
        <v>52.084400000000002</v>
      </c>
      <c r="R30" s="22">
        <f t="shared" si="6"/>
        <v>349.37240000000003</v>
      </c>
      <c r="S30" s="22"/>
      <c r="T30" s="21"/>
      <c r="U30" s="21">
        <f t="shared" si="7"/>
        <v>11</v>
      </c>
      <c r="V30" s="21">
        <f t="shared" si="8"/>
        <v>1.7962384130373008</v>
      </c>
      <c r="W30" s="21">
        <f>VLOOKUP(A:A,[1]TDSheet!$A:$X,24,0)</f>
        <v>43.297199999999997</v>
      </c>
      <c r="X30" s="21">
        <f>VLOOKUP(A:A,[1]TDSheet!$A:$Y,25,0)</f>
        <v>57.178800000000003</v>
      </c>
      <c r="Y30" s="21">
        <f>VLOOKUP(A:A,[1]TDSheet!$A:$Z,26,0)</f>
        <v>35.2318</v>
      </c>
      <c r="Z30" s="21">
        <f>VLOOKUP(A:A,[1]TDSheet!$A:$Q,17,0)</f>
        <v>37.769600000000004</v>
      </c>
      <c r="AA30" s="21"/>
      <c r="AB30" s="21">
        <f t="shared" si="9"/>
        <v>349.37240000000003</v>
      </c>
    </row>
    <row r="31" spans="1:28" ht="11.1" customHeight="1" x14ac:dyDescent="0.2">
      <c r="A31" s="24" t="s">
        <v>35</v>
      </c>
      <c r="B31" s="9" t="s">
        <v>14</v>
      </c>
      <c r="C31" s="10">
        <v>580.78899999999999</v>
      </c>
      <c r="D31" s="10">
        <v>104.962</v>
      </c>
      <c r="E31" s="10">
        <v>86.518000000000001</v>
      </c>
      <c r="F31" s="10">
        <v>577.98299999999995</v>
      </c>
      <c r="G31" s="5" t="str">
        <f>VLOOKUP(A:A,[1]TDSheet!$A:$G,7,0)</f>
        <v>P002536</v>
      </c>
      <c r="H31" s="5">
        <f>VLOOKUP(A:A,[1]TDSheet!$A:$H,8,0)</f>
        <v>1</v>
      </c>
      <c r="I31" s="5" t="str">
        <f>VLOOKUP(A:A,[1]TDSheet!$A:$I,9,0)</f>
        <v>матрица</v>
      </c>
      <c r="L31" s="21">
        <f>VLOOKUP(A:A,[2]TDSheet!$A:$B,2,0)</f>
        <v>303.12599999999998</v>
      </c>
      <c r="M31" s="21">
        <f t="shared" si="5"/>
        <v>-216.60799999999998</v>
      </c>
      <c r="N31" s="21"/>
      <c r="O31" s="21">
        <f>VLOOKUP(A:A,[1]TDSheet!$A:$O,15,0)</f>
        <v>0</v>
      </c>
      <c r="P31" s="21">
        <f>VLOOKUP(A:A,[1]TDSheet!$A:$R,18,0)</f>
        <v>0</v>
      </c>
      <c r="Q31" s="21">
        <f t="shared" si="10"/>
        <v>17.303599999999999</v>
      </c>
      <c r="R31" s="22"/>
      <c r="S31" s="22"/>
      <c r="T31" s="21"/>
      <c r="U31" s="21">
        <f t="shared" si="7"/>
        <v>33.40247116207032</v>
      </c>
      <c r="V31" s="21">
        <f t="shared" si="8"/>
        <v>33.40247116207032</v>
      </c>
      <c r="W31" s="21">
        <f>VLOOKUP(A:A,[1]TDSheet!$A:$X,24,0)</f>
        <v>-2.7687999999999997</v>
      </c>
      <c r="X31" s="21">
        <f>VLOOKUP(A:A,[1]TDSheet!$A:$Y,25,0)</f>
        <v>-1.2551999999999999</v>
      </c>
      <c r="Y31" s="21">
        <f>VLOOKUP(A:A,[1]TDSheet!$A:$Z,26,0)</f>
        <v>73.03479999999999</v>
      </c>
      <c r="Z31" s="21">
        <f>VLOOKUP(A:A,[1]TDSheet!$A:$Q,17,0)</f>
        <v>27.750400000000003</v>
      </c>
      <c r="AA31" s="21" t="str">
        <f>VLOOKUP(A:A,[1]TDSheet!$A:$AA,27,0)</f>
        <v>ТФ</v>
      </c>
      <c r="AB31" s="21">
        <f t="shared" si="9"/>
        <v>0</v>
      </c>
    </row>
    <row r="32" spans="1:28" ht="21.95" customHeight="1" x14ac:dyDescent="0.2">
      <c r="A32" s="9" t="s">
        <v>36</v>
      </c>
      <c r="B32" s="9" t="s">
        <v>14</v>
      </c>
      <c r="C32" s="10">
        <v>358.89600000000002</v>
      </c>
      <c r="D32" s="10">
        <v>1111.4570000000001</v>
      </c>
      <c r="E32" s="10">
        <v>1088.2280000000001</v>
      </c>
      <c r="F32" s="10">
        <v>299.13799999999998</v>
      </c>
      <c r="G32" s="5" t="str">
        <f>VLOOKUP(A:A,[1]TDSheet!$A:$G,7,0)</f>
        <v>P004844</v>
      </c>
      <c r="H32" s="5">
        <f>VLOOKUP(A:A,[1]TDSheet!$A:$H,8,0)</f>
        <v>1</v>
      </c>
      <c r="L32" s="21">
        <f>VLOOKUP(A:A,[2]TDSheet!$A:$B,2,0)</f>
        <v>1130.692</v>
      </c>
      <c r="M32" s="21">
        <f t="shared" si="5"/>
        <v>-42.463999999999942</v>
      </c>
      <c r="N32" s="21"/>
      <c r="O32" s="21">
        <f>VLOOKUP(A:A,[1]TDSheet!$A:$O,15,0)</f>
        <v>0</v>
      </c>
      <c r="P32" s="21">
        <f>VLOOKUP(A:A,[1]TDSheet!$A:$R,18,0)</f>
        <v>1700</v>
      </c>
      <c r="Q32" s="21">
        <f t="shared" si="10"/>
        <v>217.6456</v>
      </c>
      <c r="R32" s="22">
        <f t="shared" si="6"/>
        <v>394.96360000000004</v>
      </c>
      <c r="S32" s="27">
        <v>500</v>
      </c>
      <c r="T32" s="25" t="s">
        <v>149</v>
      </c>
      <c r="U32" s="21">
        <f t="shared" si="7"/>
        <v>11</v>
      </c>
      <c r="V32" s="21">
        <f t="shared" si="8"/>
        <v>1.3744270502137419</v>
      </c>
      <c r="W32" s="21">
        <f>VLOOKUP(A:A,[1]TDSheet!$A:$X,24,0)</f>
        <v>0</v>
      </c>
      <c r="X32" s="21">
        <f>VLOOKUP(A:A,[1]TDSheet!$A:$Y,25,0)</f>
        <v>181.95480000000001</v>
      </c>
      <c r="Y32" s="21">
        <f>VLOOKUP(A:A,[1]TDSheet!$A:$Z,26,0)</f>
        <v>183.54860000000002</v>
      </c>
      <c r="Z32" s="21">
        <f>VLOOKUP(A:A,[1]TDSheet!$A:$Q,17,0)</f>
        <v>188.22039999999998</v>
      </c>
      <c r="AA32" s="21"/>
      <c r="AB32" s="21">
        <f t="shared" si="9"/>
        <v>394.96360000000004</v>
      </c>
    </row>
    <row r="33" spans="1:28" ht="11.1" customHeight="1" x14ac:dyDescent="0.2">
      <c r="A33" s="9" t="s">
        <v>37</v>
      </c>
      <c r="B33" s="9" t="s">
        <v>14</v>
      </c>
      <c r="C33" s="10">
        <v>7.5529999999999999</v>
      </c>
      <c r="D33" s="10"/>
      <c r="E33" s="10">
        <v>7.5039999999999996</v>
      </c>
      <c r="F33" s="10">
        <v>-7.9000000000000001E-2</v>
      </c>
      <c r="G33" s="5" t="str">
        <f>VLOOKUP(A:A,[1]TDSheet!$A:$G,7,0)</f>
        <v>P004843</v>
      </c>
      <c r="H33" s="5">
        <f>VLOOKUP(A:A,[1]TDSheet!$A:$H,8,0)</f>
        <v>1</v>
      </c>
      <c r="I33" s="5" t="str">
        <f>VLOOKUP(A:A,[1]TDSheet!$A:$I,9,0)</f>
        <v>матрица</v>
      </c>
      <c r="L33" s="21">
        <f>VLOOKUP(A:A,[2]TDSheet!$A:$B,2,0)</f>
        <v>13.2</v>
      </c>
      <c r="M33" s="21">
        <f t="shared" si="5"/>
        <v>-5.6959999999999997</v>
      </c>
      <c r="N33" s="21"/>
      <c r="O33" s="21">
        <f>VLOOKUP(A:A,[1]TDSheet!$A:$O,15,0)</f>
        <v>0</v>
      </c>
      <c r="P33" s="21">
        <f>VLOOKUP(A:A,[1]TDSheet!$A:$R,18,0)</f>
        <v>20</v>
      </c>
      <c r="Q33" s="21">
        <f t="shared" si="10"/>
        <v>1.5007999999999999</v>
      </c>
      <c r="R33" s="22"/>
      <c r="S33" s="22"/>
      <c r="T33" s="21"/>
      <c r="U33" s="21">
        <f t="shared" si="7"/>
        <v>13.273587420042645</v>
      </c>
      <c r="V33" s="21">
        <f t="shared" si="8"/>
        <v>-5.263859275053305E-2</v>
      </c>
      <c r="W33" s="21">
        <f>VLOOKUP(A:A,[1]TDSheet!$A:$X,24,0)</f>
        <v>1.5976000000000001</v>
      </c>
      <c r="X33" s="21">
        <f>VLOOKUP(A:A,[1]TDSheet!$A:$Y,25,0)</f>
        <v>1.4674</v>
      </c>
      <c r="Y33" s="21">
        <f>VLOOKUP(A:A,[1]TDSheet!$A:$Z,26,0)</f>
        <v>2.2871999999999999</v>
      </c>
      <c r="Z33" s="21">
        <f>VLOOKUP(A:A,[1]TDSheet!$A:$Q,17,0)</f>
        <v>7.1768000000000001</v>
      </c>
      <c r="AA33" s="21"/>
      <c r="AB33" s="21">
        <f t="shared" si="9"/>
        <v>0</v>
      </c>
    </row>
    <row r="34" spans="1:28" ht="11.1" customHeight="1" x14ac:dyDescent="0.2">
      <c r="A34" s="9" t="s">
        <v>38</v>
      </c>
      <c r="B34" s="9" t="s">
        <v>14</v>
      </c>
      <c r="C34" s="10">
        <v>39.651000000000003</v>
      </c>
      <c r="D34" s="10">
        <v>92.781999999999996</v>
      </c>
      <c r="E34" s="10">
        <v>40.18</v>
      </c>
      <c r="F34" s="10">
        <v>85.659000000000006</v>
      </c>
      <c r="G34" s="5" t="str">
        <f>VLOOKUP(A:A,[1]TDSheet!$A:$G,7,0)</f>
        <v>P004913</v>
      </c>
      <c r="H34" s="5">
        <f>VLOOKUP(A:A,[1]TDSheet!$A:$H,8,0)</f>
        <v>1</v>
      </c>
      <c r="I34" s="5" t="str">
        <f>VLOOKUP(A:A,[1]TDSheet!$A:$I,9,0)</f>
        <v>матрица</v>
      </c>
      <c r="L34" s="21">
        <f>VLOOKUP(A:A,[2]TDSheet!$A:$B,2,0)</f>
        <v>71.900000000000006</v>
      </c>
      <c r="M34" s="21">
        <f t="shared" si="5"/>
        <v>-31.720000000000006</v>
      </c>
      <c r="N34" s="21"/>
      <c r="O34" s="21">
        <f>VLOOKUP(A:A,[1]TDSheet!$A:$O,15,0)</f>
        <v>0</v>
      </c>
      <c r="P34" s="21">
        <f>VLOOKUP(A:A,[1]TDSheet!$A:$R,18,0)</f>
        <v>70</v>
      </c>
      <c r="Q34" s="21">
        <f t="shared" si="10"/>
        <v>8.0359999999999996</v>
      </c>
      <c r="R34" s="22"/>
      <c r="S34" s="22"/>
      <c r="T34" s="21"/>
      <c r="U34" s="21">
        <f t="shared" si="7"/>
        <v>19.370209059233449</v>
      </c>
      <c r="V34" s="21">
        <f t="shared" si="8"/>
        <v>10.659407665505228</v>
      </c>
      <c r="W34" s="21">
        <f>VLOOKUP(A:A,[1]TDSheet!$A:$X,24,0)</f>
        <v>14.986000000000001</v>
      </c>
      <c r="X34" s="21">
        <f>VLOOKUP(A:A,[1]TDSheet!$A:$Y,25,0)</f>
        <v>13.0144</v>
      </c>
      <c r="Y34" s="21">
        <f>VLOOKUP(A:A,[1]TDSheet!$A:$Z,26,0)</f>
        <v>16.220400000000001</v>
      </c>
      <c r="Z34" s="21">
        <f>VLOOKUP(A:A,[1]TDSheet!$A:$Q,17,0)</f>
        <v>12.088800000000001</v>
      </c>
      <c r="AA34" s="21"/>
      <c r="AB34" s="21">
        <f t="shared" si="9"/>
        <v>0</v>
      </c>
    </row>
    <row r="35" spans="1:28" ht="11.1" customHeight="1" x14ac:dyDescent="0.2">
      <c r="A35" s="9" t="s">
        <v>39</v>
      </c>
      <c r="B35" s="9" t="s">
        <v>14</v>
      </c>
      <c r="C35" s="10">
        <v>66.578999999999994</v>
      </c>
      <c r="D35" s="10">
        <v>205.357</v>
      </c>
      <c r="E35" s="10">
        <v>156.21700000000001</v>
      </c>
      <c r="F35" s="10">
        <v>45.862000000000002</v>
      </c>
      <c r="G35" s="5" t="str">
        <f>VLOOKUP(A:A,[1]TDSheet!$A:$G,7,0)</f>
        <v>P004896</v>
      </c>
      <c r="H35" s="5">
        <f>VLOOKUP(A:A,[1]TDSheet!$A:$H,8,0)</f>
        <v>1</v>
      </c>
      <c r="I35" s="5" t="str">
        <f>VLOOKUP(A:A,[1]TDSheet!$A:$I,9,0)</f>
        <v>матрица</v>
      </c>
      <c r="L35" s="21">
        <f>VLOOKUP(A:A,[2]TDSheet!$A:$B,2,0)</f>
        <v>212.126</v>
      </c>
      <c r="M35" s="21">
        <f t="shared" si="5"/>
        <v>-55.908999999999992</v>
      </c>
      <c r="N35" s="21"/>
      <c r="O35" s="21">
        <f>VLOOKUP(A:A,[1]TDSheet!$A:$O,15,0)</f>
        <v>0</v>
      </c>
      <c r="P35" s="21">
        <f>VLOOKUP(A:A,[1]TDSheet!$A:$R,18,0)</f>
        <v>120</v>
      </c>
      <c r="Q35" s="21">
        <f t="shared" si="10"/>
        <v>31.243400000000001</v>
      </c>
      <c r="R35" s="22">
        <f t="shared" si="6"/>
        <v>177.81540000000001</v>
      </c>
      <c r="S35" s="22"/>
      <c r="T35" s="21"/>
      <c r="U35" s="21">
        <f t="shared" si="7"/>
        <v>11</v>
      </c>
      <c r="V35" s="21">
        <f t="shared" si="8"/>
        <v>1.4678940192168586</v>
      </c>
      <c r="W35" s="21">
        <f>VLOOKUP(A:A,[1]TDSheet!$A:$X,24,0)</f>
        <v>24.976199999999999</v>
      </c>
      <c r="X35" s="21">
        <f>VLOOKUP(A:A,[1]TDSheet!$A:$Y,25,0)</f>
        <v>22.631999999999998</v>
      </c>
      <c r="Y35" s="21">
        <f>VLOOKUP(A:A,[1]TDSheet!$A:$Z,26,0)</f>
        <v>22.380600000000001</v>
      </c>
      <c r="Z35" s="21">
        <f>VLOOKUP(A:A,[1]TDSheet!$A:$Q,17,0)</f>
        <v>17.5428</v>
      </c>
      <c r="AA35" s="21"/>
      <c r="AB35" s="21">
        <f t="shared" si="9"/>
        <v>177.81540000000001</v>
      </c>
    </row>
    <row r="36" spans="1:28" ht="21.95" customHeight="1" x14ac:dyDescent="0.2">
      <c r="A36" s="9" t="s">
        <v>40</v>
      </c>
      <c r="B36" s="9" t="s">
        <v>14</v>
      </c>
      <c r="C36" s="10">
        <v>41.862000000000002</v>
      </c>
      <c r="D36" s="10">
        <v>54.411000000000001</v>
      </c>
      <c r="E36" s="10">
        <v>92.54</v>
      </c>
      <c r="F36" s="10">
        <v>0.98699999999999999</v>
      </c>
      <c r="G36" s="5" t="str">
        <f>VLOOKUP(A:A,[1]TDSheet!$A:$G,7,0)</f>
        <v>P004898</v>
      </c>
      <c r="H36" s="5">
        <f>VLOOKUP(A:A,[1]TDSheet!$A:$H,8,0)</f>
        <v>1</v>
      </c>
      <c r="I36" s="5" t="str">
        <f>VLOOKUP(A:A,[1]TDSheet!$A:$I,9,0)</f>
        <v>матрица</v>
      </c>
      <c r="L36" s="21">
        <f>VLOOKUP(A:A,[2]TDSheet!$A:$B,2,0)</f>
        <v>95.7</v>
      </c>
      <c r="M36" s="21">
        <f t="shared" si="5"/>
        <v>-3.1599999999999966</v>
      </c>
      <c r="N36" s="21"/>
      <c r="O36" s="21">
        <f>VLOOKUP(A:A,[1]TDSheet!$A:$O,15,0)</f>
        <v>0</v>
      </c>
      <c r="P36" s="21">
        <f>VLOOKUP(A:A,[1]TDSheet!$A:$R,18,0)</f>
        <v>110</v>
      </c>
      <c r="Q36" s="21">
        <f t="shared" si="10"/>
        <v>18.508000000000003</v>
      </c>
      <c r="R36" s="22">
        <f t="shared" si="6"/>
        <v>92.601000000000028</v>
      </c>
      <c r="S36" s="22"/>
      <c r="T36" s="21"/>
      <c r="U36" s="21">
        <f t="shared" si="7"/>
        <v>11</v>
      </c>
      <c r="V36" s="21">
        <f t="shared" si="8"/>
        <v>5.3328290468986378E-2</v>
      </c>
      <c r="W36" s="21">
        <f>VLOOKUP(A:A,[1]TDSheet!$A:$X,24,0)</f>
        <v>10.6882</v>
      </c>
      <c r="X36" s="21">
        <f>VLOOKUP(A:A,[1]TDSheet!$A:$Y,25,0)</f>
        <v>11.6236</v>
      </c>
      <c r="Y36" s="21">
        <f>VLOOKUP(A:A,[1]TDSheet!$A:$Z,26,0)</f>
        <v>10.311400000000001</v>
      </c>
      <c r="Z36" s="21">
        <f>VLOOKUP(A:A,[1]TDSheet!$A:$Q,17,0)</f>
        <v>14.8666</v>
      </c>
      <c r="AA36" s="21"/>
      <c r="AB36" s="21">
        <f t="shared" si="9"/>
        <v>92.601000000000028</v>
      </c>
    </row>
    <row r="37" spans="1:28" ht="11.1" customHeight="1" x14ac:dyDescent="0.2">
      <c r="A37" s="9" t="s">
        <v>41</v>
      </c>
      <c r="B37" s="9" t="s">
        <v>18</v>
      </c>
      <c r="C37" s="10">
        <v>957</v>
      </c>
      <c r="D37" s="10">
        <v>1486</v>
      </c>
      <c r="E37" s="10">
        <v>1683</v>
      </c>
      <c r="F37" s="10">
        <v>759</v>
      </c>
      <c r="G37" s="5" t="str">
        <f>VLOOKUP(A:A,[1]TDSheet!$A:$G,7,0)</f>
        <v>P003957</v>
      </c>
      <c r="H37" s="5">
        <f>VLOOKUP(A:A,[1]TDSheet!$A:$H,8,0)</f>
        <v>0.4</v>
      </c>
      <c r="I37" s="5" t="str">
        <f>VLOOKUP(A:A,[1]TDSheet!$A:$I,9,0)</f>
        <v>матрица</v>
      </c>
      <c r="L37" s="21">
        <f>VLOOKUP(A:A,[2]TDSheet!$A:$B,2,0)</f>
        <v>1665</v>
      </c>
      <c r="M37" s="21">
        <f t="shared" si="5"/>
        <v>18</v>
      </c>
      <c r="N37" s="21"/>
      <c r="O37" s="21">
        <f>VLOOKUP(A:A,[1]TDSheet!$A:$O,15,0)</f>
        <v>0</v>
      </c>
      <c r="P37" s="21">
        <f>VLOOKUP(A:A,[1]TDSheet!$A:$R,18,0)</f>
        <v>2100</v>
      </c>
      <c r="Q37" s="21">
        <f t="shared" si="10"/>
        <v>336.6</v>
      </c>
      <c r="R37" s="22">
        <f t="shared" si="6"/>
        <v>843.60000000000036</v>
      </c>
      <c r="S37" s="22"/>
      <c r="T37" s="21"/>
      <c r="U37" s="21">
        <f t="shared" si="7"/>
        <v>11</v>
      </c>
      <c r="V37" s="21">
        <f t="shared" si="8"/>
        <v>2.2549019607843137</v>
      </c>
      <c r="W37" s="21">
        <f>VLOOKUP(A:A,[1]TDSheet!$A:$X,24,0)</f>
        <v>287.2</v>
      </c>
      <c r="X37" s="21">
        <f>VLOOKUP(A:A,[1]TDSheet!$A:$Y,25,0)</f>
        <v>319.39999999999998</v>
      </c>
      <c r="Y37" s="21">
        <f>VLOOKUP(A:A,[1]TDSheet!$A:$Z,26,0)</f>
        <v>310</v>
      </c>
      <c r="Z37" s="21">
        <f>VLOOKUP(A:A,[1]TDSheet!$A:$Q,17,0)</f>
        <v>329</v>
      </c>
      <c r="AA37" s="21" t="str">
        <f>VLOOKUP(A:A,[1]TDSheet!$A:$AA,27,0)</f>
        <v>В достатке</v>
      </c>
      <c r="AB37" s="21">
        <f t="shared" si="9"/>
        <v>337.44000000000017</v>
      </c>
    </row>
    <row r="38" spans="1:28" ht="11.1" customHeight="1" x14ac:dyDescent="0.2">
      <c r="A38" s="9" t="s">
        <v>42</v>
      </c>
      <c r="B38" s="9" t="s">
        <v>18</v>
      </c>
      <c r="C38" s="10">
        <v>-46</v>
      </c>
      <c r="D38" s="10">
        <v>416</v>
      </c>
      <c r="E38" s="10">
        <v>227</v>
      </c>
      <c r="F38" s="10">
        <v>121</v>
      </c>
      <c r="G38" s="5" t="str">
        <f>VLOOKUP(A:A,[1]TDSheet!$A:$G,7,0)</f>
        <v>P003103</v>
      </c>
      <c r="H38" s="5">
        <f>VLOOKUP(A:A,[1]TDSheet!$A:$H,8,0)</f>
        <v>0.45</v>
      </c>
      <c r="I38" s="5" t="str">
        <f>VLOOKUP(A:A,[1]TDSheet!$A:$I,9,0)</f>
        <v>ВНИМАНИЕ / матрица</v>
      </c>
      <c r="L38" s="21">
        <f>VLOOKUP(A:A,[2]TDSheet!$A:$B,2,0)</f>
        <v>317</v>
      </c>
      <c r="M38" s="21">
        <f t="shared" si="5"/>
        <v>-90</v>
      </c>
      <c r="N38" s="21"/>
      <c r="O38" s="21">
        <f>VLOOKUP(A:A,[1]TDSheet!$A:$O,15,0)</f>
        <v>0</v>
      </c>
      <c r="P38" s="21">
        <f>VLOOKUP(A:A,[1]TDSheet!$A:$R,18,0)</f>
        <v>150</v>
      </c>
      <c r="Q38" s="21">
        <f t="shared" si="10"/>
        <v>45.4</v>
      </c>
      <c r="R38" s="22">
        <f t="shared" si="6"/>
        <v>228.39999999999998</v>
      </c>
      <c r="S38" s="27">
        <v>250</v>
      </c>
      <c r="T38" s="25" t="s">
        <v>150</v>
      </c>
      <c r="U38" s="21">
        <f t="shared" si="7"/>
        <v>11</v>
      </c>
      <c r="V38" s="21">
        <f t="shared" si="8"/>
        <v>2.6651982378854626</v>
      </c>
      <c r="W38" s="21">
        <f>VLOOKUP(A:A,[1]TDSheet!$A:$X,24,0)</f>
        <v>26.6</v>
      </c>
      <c r="X38" s="21">
        <f>VLOOKUP(A:A,[1]TDSheet!$A:$Y,25,0)</f>
        <v>55.2</v>
      </c>
      <c r="Y38" s="21">
        <f>VLOOKUP(A:A,[1]TDSheet!$A:$Z,26,0)</f>
        <v>58.2</v>
      </c>
      <c r="Z38" s="21">
        <f>VLOOKUP(A:A,[1]TDSheet!$A:$Q,17,0)</f>
        <v>29.6</v>
      </c>
      <c r="AA38" s="21"/>
      <c r="AB38" s="21">
        <f t="shared" si="9"/>
        <v>102.77999999999999</v>
      </c>
    </row>
    <row r="39" spans="1:28" ht="11.1" customHeight="1" x14ac:dyDescent="0.2">
      <c r="A39" s="9" t="s">
        <v>43</v>
      </c>
      <c r="B39" s="9" t="s">
        <v>18</v>
      </c>
      <c r="C39" s="10">
        <v>715</v>
      </c>
      <c r="D39" s="10">
        <v>451</v>
      </c>
      <c r="E39" s="10">
        <v>690</v>
      </c>
      <c r="F39" s="10">
        <v>466</v>
      </c>
      <c r="G39" s="5" t="str">
        <f>VLOOKUP(A:A,[1]TDSheet!$A:$G,7,0)</f>
        <v>P003958</v>
      </c>
      <c r="H39" s="5">
        <f>VLOOKUP(A:A,[1]TDSheet!$A:$H,8,0)</f>
        <v>0.4</v>
      </c>
      <c r="I39" s="5" t="str">
        <f>VLOOKUP(A:A,[1]TDSheet!$A:$I,9,0)</f>
        <v>матрица</v>
      </c>
      <c r="L39" s="21">
        <f>VLOOKUP(A:A,[2]TDSheet!$A:$B,2,0)</f>
        <v>694</v>
      </c>
      <c r="M39" s="21">
        <f t="shared" si="5"/>
        <v>-4</v>
      </c>
      <c r="N39" s="21"/>
      <c r="O39" s="21">
        <f>VLOOKUP(A:A,[1]TDSheet!$A:$O,15,0)</f>
        <v>0</v>
      </c>
      <c r="P39" s="21">
        <f>VLOOKUP(A:A,[1]TDSheet!$A:$R,18,0)</f>
        <v>550</v>
      </c>
      <c r="Q39" s="21">
        <f t="shared" si="10"/>
        <v>138</v>
      </c>
      <c r="R39" s="22">
        <f t="shared" si="6"/>
        <v>502</v>
      </c>
      <c r="S39" s="22"/>
      <c r="T39" s="21"/>
      <c r="U39" s="21">
        <f t="shared" si="7"/>
        <v>11</v>
      </c>
      <c r="V39" s="21">
        <f t="shared" si="8"/>
        <v>3.3768115942028984</v>
      </c>
      <c r="W39" s="21">
        <f>VLOOKUP(A:A,[1]TDSheet!$A:$X,24,0)</f>
        <v>93.8</v>
      </c>
      <c r="X39" s="21">
        <f>VLOOKUP(A:A,[1]TDSheet!$A:$Y,25,0)</f>
        <v>118.6</v>
      </c>
      <c r="Y39" s="21">
        <f>VLOOKUP(A:A,[1]TDSheet!$A:$Z,26,0)</f>
        <v>114.8</v>
      </c>
      <c r="Z39" s="21">
        <f>VLOOKUP(A:A,[1]TDSheet!$A:$Q,17,0)</f>
        <v>89.8</v>
      </c>
      <c r="AA39" s="21"/>
      <c r="AB39" s="21">
        <f t="shared" si="9"/>
        <v>200.8</v>
      </c>
    </row>
    <row r="40" spans="1:28" ht="11.1" customHeight="1" x14ac:dyDescent="0.2">
      <c r="A40" s="9" t="s">
        <v>44</v>
      </c>
      <c r="B40" s="9" t="s">
        <v>18</v>
      </c>
      <c r="C40" s="10">
        <v>110</v>
      </c>
      <c r="D40" s="10">
        <v>18</v>
      </c>
      <c r="E40" s="10">
        <v>115</v>
      </c>
      <c r="F40" s="10">
        <v>-6</v>
      </c>
      <c r="G40" s="5" t="str">
        <f>VLOOKUP(A:A,[1]TDSheet!$A:$G,7,0)</f>
        <v>P005198</v>
      </c>
      <c r="H40" s="5">
        <f>VLOOKUP(A:A,[1]TDSheet!$A:$H,8,0)</f>
        <v>0.4</v>
      </c>
      <c r="I40" s="5" t="str">
        <f>VLOOKUP(A:A,[1]TDSheet!$A:$I,9,0)</f>
        <v>матрица</v>
      </c>
      <c r="L40" s="21">
        <f>VLOOKUP(A:A,[2]TDSheet!$A:$B,2,0)</f>
        <v>141</v>
      </c>
      <c r="M40" s="21">
        <f t="shared" si="5"/>
        <v>-26</v>
      </c>
      <c r="N40" s="21"/>
      <c r="O40" s="21">
        <f>VLOOKUP(A:A,[1]TDSheet!$A:$O,15,0)</f>
        <v>0</v>
      </c>
      <c r="P40" s="21">
        <f>VLOOKUP(A:A,[1]TDSheet!$A:$R,18,0)</f>
        <v>220</v>
      </c>
      <c r="Q40" s="21">
        <f t="shared" si="10"/>
        <v>23</v>
      </c>
      <c r="R40" s="22">
        <f t="shared" si="6"/>
        <v>39</v>
      </c>
      <c r="S40" s="22"/>
      <c r="T40" s="21"/>
      <c r="U40" s="21">
        <f t="shared" si="7"/>
        <v>11</v>
      </c>
      <c r="V40" s="21">
        <f t="shared" si="8"/>
        <v>-0.2608695652173913</v>
      </c>
      <c r="W40" s="21">
        <f>VLOOKUP(A:A,[1]TDSheet!$A:$X,24,0)</f>
        <v>3</v>
      </c>
      <c r="X40" s="21">
        <f>VLOOKUP(A:A,[1]TDSheet!$A:$Y,25,0)</f>
        <v>14.8</v>
      </c>
      <c r="Y40" s="21">
        <f>VLOOKUP(A:A,[1]TDSheet!$A:$Z,26,0)</f>
        <v>8.1999999999999993</v>
      </c>
      <c r="Z40" s="21">
        <f>VLOOKUP(A:A,[1]TDSheet!$A:$Q,17,0)</f>
        <v>22.4</v>
      </c>
      <c r="AA40" s="21"/>
      <c r="AB40" s="21">
        <f t="shared" si="9"/>
        <v>15.600000000000001</v>
      </c>
    </row>
    <row r="41" spans="1:28" ht="11.1" customHeight="1" x14ac:dyDescent="0.2">
      <c r="A41" s="24" t="s">
        <v>45</v>
      </c>
      <c r="B41" s="9" t="s">
        <v>14</v>
      </c>
      <c r="C41" s="10">
        <v>15.994999999999999</v>
      </c>
      <c r="D41" s="10">
        <v>17.463000000000001</v>
      </c>
      <c r="E41" s="10">
        <v>7.181</v>
      </c>
      <c r="F41" s="10">
        <v>24.762</v>
      </c>
      <c r="G41" s="5" t="str">
        <f>VLOOKUP(A:A,[1]TDSheet!$A:$G,7,0)</f>
        <v>Р003959</v>
      </c>
      <c r="H41" s="5">
        <f>VLOOKUP(A:A,[1]TDSheet!$A:$H,8,0)</f>
        <v>1</v>
      </c>
      <c r="I41" s="5" t="str">
        <f>VLOOKUP(A:A,[1]TDSheet!$A:$I,9,0)</f>
        <v>матрица</v>
      </c>
      <c r="L41" s="21">
        <f>VLOOKUP(A:A,[2]TDSheet!$A:$B,2,0)</f>
        <v>8.4</v>
      </c>
      <c r="M41" s="21">
        <f t="shared" si="5"/>
        <v>-1.2190000000000003</v>
      </c>
      <c r="N41" s="21"/>
      <c r="O41" s="21">
        <f>VLOOKUP(A:A,[1]TDSheet!$A:$O,15,0)</f>
        <v>0</v>
      </c>
      <c r="P41" s="21">
        <f>VLOOKUP(A:A,[1]TDSheet!$A:$R,18,0)</f>
        <v>10</v>
      </c>
      <c r="Q41" s="21">
        <f t="shared" si="10"/>
        <v>1.4361999999999999</v>
      </c>
      <c r="R41" s="22"/>
      <c r="S41" s="22"/>
      <c r="T41" s="21"/>
      <c r="U41" s="21">
        <f t="shared" si="7"/>
        <v>24.204149839855177</v>
      </c>
      <c r="V41" s="21">
        <f t="shared" si="8"/>
        <v>17.241331290906562</v>
      </c>
      <c r="W41" s="21">
        <f>VLOOKUP(A:A,[1]TDSheet!$A:$X,24,0)</f>
        <v>1.7312000000000001</v>
      </c>
      <c r="X41" s="21">
        <f>VLOOKUP(A:A,[1]TDSheet!$A:$Y,25,0)</f>
        <v>2.1154000000000002</v>
      </c>
      <c r="Y41" s="21">
        <f>VLOOKUP(A:A,[1]TDSheet!$A:$Z,26,0)</f>
        <v>2.3014000000000001</v>
      </c>
      <c r="Z41" s="21">
        <f>VLOOKUP(A:A,[1]TDSheet!$A:$Q,17,0)</f>
        <v>1.3077999999999999</v>
      </c>
      <c r="AA41" s="21"/>
      <c r="AB41" s="21">
        <f t="shared" si="9"/>
        <v>0</v>
      </c>
    </row>
    <row r="42" spans="1:28" ht="11.1" customHeight="1" x14ac:dyDescent="0.2">
      <c r="A42" s="9" t="s">
        <v>46</v>
      </c>
      <c r="B42" s="9" t="s">
        <v>18</v>
      </c>
      <c r="C42" s="10">
        <v>4</v>
      </c>
      <c r="D42" s="10">
        <v>60</v>
      </c>
      <c r="E42" s="10">
        <v>46</v>
      </c>
      <c r="F42" s="10">
        <v>18</v>
      </c>
      <c r="G42" s="5" t="str">
        <f>VLOOKUP(A:A,[1]TDSheet!$A:$G,7,0)</f>
        <v>P002648</v>
      </c>
      <c r="H42" s="5">
        <f>VLOOKUP(A:A,[1]TDSheet!$A:$H,8,0)</f>
        <v>0.1</v>
      </c>
      <c r="I42" s="5" t="str">
        <f>VLOOKUP(A:A,[1]TDSheet!$A:$I,9,0)</f>
        <v>матрица</v>
      </c>
      <c r="L42" s="21">
        <f>VLOOKUP(A:A,[2]TDSheet!$A:$B,2,0)</f>
        <v>56</v>
      </c>
      <c r="M42" s="21">
        <f t="shared" si="5"/>
        <v>-10</v>
      </c>
      <c r="N42" s="21"/>
      <c r="O42" s="21">
        <f>VLOOKUP(A:A,[1]TDSheet!$A:$O,15,0)</f>
        <v>0</v>
      </c>
      <c r="P42" s="21">
        <f>VLOOKUP(A:A,[1]TDSheet!$A:$R,18,0)</f>
        <v>0</v>
      </c>
      <c r="Q42" s="21">
        <f t="shared" si="10"/>
        <v>9.1999999999999993</v>
      </c>
      <c r="R42" s="22">
        <f t="shared" si="6"/>
        <v>83.199999999999989</v>
      </c>
      <c r="S42" s="27">
        <v>150</v>
      </c>
      <c r="T42" s="25"/>
      <c r="U42" s="21">
        <f t="shared" si="7"/>
        <v>11</v>
      </c>
      <c r="V42" s="21">
        <f t="shared" si="8"/>
        <v>1.956521739130435</v>
      </c>
      <c r="W42" s="21">
        <f>VLOOKUP(A:A,[1]TDSheet!$A:$X,24,0)</f>
        <v>10.8</v>
      </c>
      <c r="X42" s="21">
        <f>VLOOKUP(A:A,[1]TDSheet!$A:$Y,25,0)</f>
        <v>14</v>
      </c>
      <c r="Y42" s="21">
        <f>VLOOKUP(A:A,[1]TDSheet!$A:$Z,26,0)</f>
        <v>11</v>
      </c>
      <c r="Z42" s="21">
        <f>VLOOKUP(A:A,[1]TDSheet!$A:$Q,17,0)</f>
        <v>15.2</v>
      </c>
      <c r="AA42" s="21"/>
      <c r="AB42" s="21">
        <f t="shared" si="9"/>
        <v>8.3199999999999985</v>
      </c>
    </row>
    <row r="43" spans="1:28" ht="21.95" customHeight="1" x14ac:dyDescent="0.2">
      <c r="A43" s="9" t="s">
        <v>47</v>
      </c>
      <c r="B43" s="9" t="s">
        <v>18</v>
      </c>
      <c r="C43" s="10">
        <v>31</v>
      </c>
      <c r="D43" s="10">
        <v>43</v>
      </c>
      <c r="E43" s="10">
        <v>66</v>
      </c>
      <c r="F43" s="10">
        <v>-1</v>
      </c>
      <c r="G43" s="5" t="str">
        <f>VLOOKUP(A:A,[1]TDSheet!$A:$G,7,0)</f>
        <v>P003256</v>
      </c>
      <c r="H43" s="5">
        <f>VLOOKUP(A:A,[1]TDSheet!$A:$H,8,0)</f>
        <v>0.35</v>
      </c>
      <c r="I43" s="5" t="str">
        <f>VLOOKUP(A:A,[1]TDSheet!$A:$I,9,0)</f>
        <v>матрица</v>
      </c>
      <c r="L43" s="21">
        <f>VLOOKUP(A:A,[2]TDSheet!$A:$B,2,0)</f>
        <v>83</v>
      </c>
      <c r="M43" s="21">
        <f t="shared" si="5"/>
        <v>-17</v>
      </c>
      <c r="N43" s="21"/>
      <c r="O43" s="21">
        <f>VLOOKUP(A:A,[1]TDSheet!$A:$O,15,0)</f>
        <v>0</v>
      </c>
      <c r="P43" s="21">
        <f>VLOOKUP(A:A,[1]TDSheet!$A:$R,18,0)</f>
        <v>120</v>
      </c>
      <c r="Q43" s="21">
        <f t="shared" si="10"/>
        <v>13.2</v>
      </c>
      <c r="R43" s="22">
        <f t="shared" si="6"/>
        <v>26.199999999999989</v>
      </c>
      <c r="S43" s="22"/>
      <c r="T43" s="21"/>
      <c r="U43" s="21">
        <f t="shared" si="7"/>
        <v>11</v>
      </c>
      <c r="V43" s="21">
        <f t="shared" si="8"/>
        <v>-7.575757575757576E-2</v>
      </c>
      <c r="W43" s="21">
        <f>VLOOKUP(A:A,[1]TDSheet!$A:$X,24,0)</f>
        <v>13.2</v>
      </c>
      <c r="X43" s="21">
        <f>VLOOKUP(A:A,[1]TDSheet!$A:$Y,25,0)</f>
        <v>15.8</v>
      </c>
      <c r="Y43" s="21">
        <f>VLOOKUP(A:A,[1]TDSheet!$A:$Z,26,0)</f>
        <v>7.6</v>
      </c>
      <c r="Z43" s="21">
        <f>VLOOKUP(A:A,[1]TDSheet!$A:$Q,17,0)</f>
        <v>19.2</v>
      </c>
      <c r="AA43" s="21"/>
      <c r="AB43" s="21">
        <f t="shared" si="9"/>
        <v>9.1699999999999946</v>
      </c>
    </row>
    <row r="44" spans="1:28" ht="11.1" customHeight="1" x14ac:dyDescent="0.2">
      <c r="A44" s="24" t="s">
        <v>48</v>
      </c>
      <c r="B44" s="9" t="s">
        <v>14</v>
      </c>
      <c r="C44" s="10">
        <v>8.9999999999999993E-3</v>
      </c>
      <c r="D44" s="10">
        <v>73.703999999999994</v>
      </c>
      <c r="E44" s="10">
        <v>-1.4279999999999999</v>
      </c>
      <c r="F44" s="10">
        <v>67.918999999999997</v>
      </c>
      <c r="G44" s="5" t="str">
        <f>VLOOKUP(A:A,[1]TDSheet!$A:$G,7,0)</f>
        <v>P003179</v>
      </c>
      <c r="H44" s="5">
        <f>VLOOKUP(A:A,[1]TDSheet!$A:$H,8,0)</f>
        <v>1</v>
      </c>
      <c r="I44" s="5" t="str">
        <f>VLOOKUP(A:A,[1]TDSheet!$A:$I,9,0)</f>
        <v>матрица</v>
      </c>
      <c r="L44" s="21">
        <f>VLOOKUP(A:A,[2]TDSheet!$A:$B,2,0)</f>
        <v>23</v>
      </c>
      <c r="M44" s="21">
        <f t="shared" si="5"/>
        <v>-24.428000000000001</v>
      </c>
      <c r="N44" s="21"/>
      <c r="O44" s="21">
        <f>VLOOKUP(A:A,[1]TDSheet!$A:$O,15,0)</f>
        <v>0</v>
      </c>
      <c r="P44" s="21">
        <f>VLOOKUP(A:A,[1]TDSheet!$A:$R,18,0)</f>
        <v>0</v>
      </c>
      <c r="Q44" s="21">
        <f t="shared" si="10"/>
        <v>-0.28559999999999997</v>
      </c>
      <c r="R44" s="22"/>
      <c r="S44" s="22"/>
      <c r="T44" s="21"/>
      <c r="U44" s="21">
        <f t="shared" si="7"/>
        <v>-237.81162464985997</v>
      </c>
      <c r="V44" s="21">
        <f t="shared" si="8"/>
        <v>-237.81162464985997</v>
      </c>
      <c r="W44" s="21">
        <f>VLOOKUP(A:A,[1]TDSheet!$A:$X,24,0)</f>
        <v>12.2912</v>
      </c>
      <c r="X44" s="21">
        <f>VLOOKUP(A:A,[1]TDSheet!$A:$Y,25,0)</f>
        <v>15.029199999999999</v>
      </c>
      <c r="Y44" s="21">
        <f>VLOOKUP(A:A,[1]TDSheet!$A:$Z,26,0)</f>
        <v>7.6513999999999998</v>
      </c>
      <c r="Z44" s="21">
        <f>VLOOKUP(A:A,[1]TDSheet!$A:$Q,17,0)</f>
        <v>-1.1644000000000001</v>
      </c>
      <c r="AA44" s="21"/>
      <c r="AB44" s="21">
        <f t="shared" si="9"/>
        <v>0</v>
      </c>
    </row>
    <row r="45" spans="1:28" ht="11.1" customHeight="1" x14ac:dyDescent="0.2">
      <c r="A45" s="9" t="s">
        <v>49</v>
      </c>
      <c r="B45" s="9" t="s">
        <v>18</v>
      </c>
      <c r="C45" s="10">
        <v>160</v>
      </c>
      <c r="D45" s="10"/>
      <c r="E45" s="10">
        <v>39</v>
      </c>
      <c r="F45" s="10">
        <v>121</v>
      </c>
      <c r="G45" s="5">
        <f>VLOOKUP(A:A,[1]TDSheet!$A:$G,7,0)</f>
        <v>0</v>
      </c>
      <c r="H45" s="5">
        <f>VLOOKUP(A:A,[1]TDSheet!$A:$H,8,0)</f>
        <v>0.375</v>
      </c>
      <c r="L45" s="21">
        <f>VLOOKUP(A:A,[2]TDSheet!$A:$B,2,0)</f>
        <v>39</v>
      </c>
      <c r="M45" s="21">
        <f t="shared" si="5"/>
        <v>0</v>
      </c>
      <c r="N45" s="21"/>
      <c r="O45" s="21">
        <f>VLOOKUP(A:A,[1]TDSheet!$A:$O,15,0)</f>
        <v>0</v>
      </c>
      <c r="P45" s="21">
        <f>VLOOKUP(A:A,[1]TDSheet!$A:$R,18,0)</f>
        <v>0</v>
      </c>
      <c r="Q45" s="21">
        <f t="shared" si="10"/>
        <v>7.8</v>
      </c>
      <c r="R45" s="22"/>
      <c r="S45" s="22"/>
      <c r="T45" s="21"/>
      <c r="U45" s="21">
        <f t="shared" si="7"/>
        <v>15.512820512820513</v>
      </c>
      <c r="V45" s="21">
        <f t="shared" si="8"/>
        <v>15.512820512820513</v>
      </c>
      <c r="W45" s="21">
        <f>VLOOKUP(A:A,[1]TDSheet!$A:$X,24,0)</f>
        <v>0</v>
      </c>
      <c r="X45" s="21">
        <f>VLOOKUP(A:A,[1]TDSheet!$A:$Y,25,0)</f>
        <v>0</v>
      </c>
      <c r="Y45" s="21">
        <f>VLOOKUP(A:A,[1]TDSheet!$A:$Z,26,0)</f>
        <v>0</v>
      </c>
      <c r="Z45" s="21">
        <f>VLOOKUP(A:A,[1]TDSheet!$A:$Q,17,0)</f>
        <v>3</v>
      </c>
      <c r="AA45" s="21"/>
      <c r="AB45" s="21">
        <f t="shared" si="9"/>
        <v>0</v>
      </c>
    </row>
    <row r="46" spans="1:28" ht="11.1" customHeight="1" x14ac:dyDescent="0.2">
      <c r="A46" s="9" t="s">
        <v>50</v>
      </c>
      <c r="B46" s="9" t="s">
        <v>18</v>
      </c>
      <c r="C46" s="10">
        <v>15</v>
      </c>
      <c r="D46" s="10">
        <v>204</v>
      </c>
      <c r="E46" s="10">
        <v>154</v>
      </c>
      <c r="F46" s="10">
        <v>49</v>
      </c>
      <c r="G46" s="5" t="str">
        <f>VLOOKUP(A:A,[1]TDSheet!$A:$G,7,0)</f>
        <v>P003475</v>
      </c>
      <c r="H46" s="5">
        <f>VLOOKUP(A:A,[1]TDSheet!$A:$H,8,0)</f>
        <v>0.4</v>
      </c>
      <c r="I46" s="5" t="str">
        <f>VLOOKUP(A:A,[1]TDSheet!$A:$I,9,0)</f>
        <v>матрица</v>
      </c>
      <c r="L46" s="21">
        <f>VLOOKUP(A:A,[2]TDSheet!$A:$B,2,0)</f>
        <v>224</v>
      </c>
      <c r="M46" s="21">
        <f t="shared" si="5"/>
        <v>-70</v>
      </c>
      <c r="N46" s="21"/>
      <c r="O46" s="21">
        <f>VLOOKUP(A:A,[1]TDSheet!$A:$O,15,0)</f>
        <v>0</v>
      </c>
      <c r="P46" s="21">
        <f>VLOOKUP(A:A,[1]TDSheet!$A:$R,18,0)</f>
        <v>0</v>
      </c>
      <c r="Q46" s="21">
        <f t="shared" si="10"/>
        <v>30.8</v>
      </c>
      <c r="R46" s="22">
        <f t="shared" si="6"/>
        <v>289.8</v>
      </c>
      <c r="S46" s="22"/>
      <c r="T46" s="21"/>
      <c r="U46" s="21">
        <f t="shared" si="7"/>
        <v>11</v>
      </c>
      <c r="V46" s="21">
        <f t="shared" si="8"/>
        <v>1.5909090909090908</v>
      </c>
      <c r="W46" s="21">
        <f>VLOOKUP(A:A,[1]TDSheet!$A:$X,24,0)</f>
        <v>14.4</v>
      </c>
      <c r="X46" s="21">
        <f>VLOOKUP(A:A,[1]TDSheet!$A:$Y,25,0)</f>
        <v>9</v>
      </c>
      <c r="Y46" s="21">
        <f>VLOOKUP(A:A,[1]TDSheet!$A:$Z,26,0)</f>
        <v>21</v>
      </c>
      <c r="Z46" s="21">
        <f>VLOOKUP(A:A,[1]TDSheet!$A:$Q,17,0)</f>
        <v>5.2</v>
      </c>
      <c r="AA46" s="21"/>
      <c r="AB46" s="21">
        <f t="shared" si="9"/>
        <v>115.92000000000002</v>
      </c>
    </row>
    <row r="47" spans="1:28" ht="11.1" customHeight="1" x14ac:dyDescent="0.2">
      <c r="A47" s="9" t="s">
        <v>51</v>
      </c>
      <c r="B47" s="9" t="s">
        <v>18</v>
      </c>
      <c r="C47" s="10">
        <v>157</v>
      </c>
      <c r="D47" s="10">
        <v>1</v>
      </c>
      <c r="E47" s="10">
        <v>132</v>
      </c>
      <c r="F47" s="10">
        <v>3</v>
      </c>
      <c r="G47" s="5" t="str">
        <f>VLOOKUP(A:A,[1]TDSheet!$A:$G,7,0)</f>
        <v>P003217</v>
      </c>
      <c r="H47" s="5">
        <f>VLOOKUP(A:A,[1]TDSheet!$A:$H,8,0)</f>
        <v>0.4</v>
      </c>
      <c r="I47" s="5" t="str">
        <f>VLOOKUP(A:A,[1]TDSheet!$A:$I,9,0)</f>
        <v>матрица</v>
      </c>
      <c r="L47" s="21">
        <f>VLOOKUP(A:A,[2]TDSheet!$A:$B,2,0)</f>
        <v>248</v>
      </c>
      <c r="M47" s="21">
        <f t="shared" si="5"/>
        <v>-116</v>
      </c>
      <c r="N47" s="21"/>
      <c r="O47" s="21">
        <f>VLOOKUP(A:A,[1]TDSheet!$A:$O,15,0)</f>
        <v>0</v>
      </c>
      <c r="P47" s="21">
        <f>VLOOKUP(A:A,[1]TDSheet!$A:$R,18,0)</f>
        <v>260</v>
      </c>
      <c r="Q47" s="21">
        <f t="shared" si="10"/>
        <v>26.4</v>
      </c>
      <c r="R47" s="22">
        <f t="shared" si="6"/>
        <v>27.399999999999977</v>
      </c>
      <c r="S47" s="27">
        <v>50</v>
      </c>
      <c r="T47" s="25"/>
      <c r="U47" s="21">
        <f t="shared" si="7"/>
        <v>11</v>
      </c>
      <c r="V47" s="21">
        <f t="shared" si="8"/>
        <v>0.11363636363636365</v>
      </c>
      <c r="W47" s="21">
        <f>VLOOKUP(A:A,[1]TDSheet!$A:$X,24,0)</f>
        <v>27</v>
      </c>
      <c r="X47" s="21">
        <f>VLOOKUP(A:A,[1]TDSheet!$A:$Y,25,0)</f>
        <v>40.4</v>
      </c>
      <c r="Y47" s="21">
        <f>VLOOKUP(A:A,[1]TDSheet!$A:$Z,26,0)</f>
        <v>22.2</v>
      </c>
      <c r="Z47" s="21">
        <f>VLOOKUP(A:A,[1]TDSheet!$A:$Q,17,0)</f>
        <v>51.8</v>
      </c>
      <c r="AA47" s="21"/>
      <c r="AB47" s="21">
        <f t="shared" si="9"/>
        <v>10.959999999999992</v>
      </c>
    </row>
    <row r="48" spans="1:28" ht="21.95" customHeight="1" x14ac:dyDescent="0.2">
      <c r="A48" s="9" t="s">
        <v>52</v>
      </c>
      <c r="B48" s="9" t="s">
        <v>14</v>
      </c>
      <c r="C48" s="10">
        <v>69.034999999999997</v>
      </c>
      <c r="D48" s="10">
        <v>45.042000000000002</v>
      </c>
      <c r="E48" s="10">
        <v>111.789</v>
      </c>
      <c r="F48" s="10">
        <v>-2.968</v>
      </c>
      <c r="G48" s="5" t="str">
        <f>VLOOKUP(A:A,[1]TDSheet!$A:$G,7,0)</f>
        <v>P003259</v>
      </c>
      <c r="H48" s="5">
        <f>VLOOKUP(A:A,[1]TDSheet!$A:$H,8,0)</f>
        <v>1</v>
      </c>
      <c r="I48" s="5" t="str">
        <f>VLOOKUP(A:A,[1]TDSheet!$A:$I,9,0)</f>
        <v>матрица</v>
      </c>
      <c r="L48" s="21">
        <f>VLOOKUP(A:A,[2]TDSheet!$A:$B,2,0)</f>
        <v>125.3</v>
      </c>
      <c r="M48" s="21">
        <f t="shared" si="5"/>
        <v>-13.510999999999996</v>
      </c>
      <c r="N48" s="21"/>
      <c r="O48" s="21">
        <f>VLOOKUP(A:A,[1]TDSheet!$A:$O,15,0)</f>
        <v>0</v>
      </c>
      <c r="P48" s="21">
        <f>VLOOKUP(A:A,[1]TDSheet!$A:$R,18,0)</f>
        <v>160</v>
      </c>
      <c r="Q48" s="21">
        <f t="shared" si="10"/>
        <v>22.357800000000001</v>
      </c>
      <c r="R48" s="22">
        <f t="shared" si="6"/>
        <v>88.90379999999999</v>
      </c>
      <c r="S48" s="22"/>
      <c r="T48" s="21"/>
      <c r="U48" s="21">
        <f t="shared" si="7"/>
        <v>11</v>
      </c>
      <c r="V48" s="21">
        <f t="shared" si="8"/>
        <v>-0.13275009169059568</v>
      </c>
      <c r="W48" s="21">
        <f>VLOOKUP(A:A,[1]TDSheet!$A:$X,24,0)</f>
        <v>19.128399999999999</v>
      </c>
      <c r="X48" s="21">
        <f>VLOOKUP(A:A,[1]TDSheet!$A:$Y,25,0)</f>
        <v>19.760200000000001</v>
      </c>
      <c r="Y48" s="21">
        <f>VLOOKUP(A:A,[1]TDSheet!$A:$Z,26,0)</f>
        <v>16.6722</v>
      </c>
      <c r="Z48" s="21">
        <f>VLOOKUP(A:A,[1]TDSheet!$A:$Q,17,0)</f>
        <v>28.244</v>
      </c>
      <c r="AA48" s="21"/>
      <c r="AB48" s="21">
        <f t="shared" si="9"/>
        <v>88.90379999999999</v>
      </c>
    </row>
    <row r="49" spans="1:28" ht="21.95" customHeight="1" x14ac:dyDescent="0.2">
      <c r="A49" s="9" t="s">
        <v>53</v>
      </c>
      <c r="B49" s="9" t="s">
        <v>18</v>
      </c>
      <c r="C49" s="10">
        <v>222</v>
      </c>
      <c r="D49" s="10">
        <v>115</v>
      </c>
      <c r="E49" s="10">
        <v>238</v>
      </c>
      <c r="F49" s="10">
        <v>99</v>
      </c>
      <c r="G49" s="5" t="str">
        <f>VLOOKUP(A:A,[1]TDSheet!$A:$G,7,0)</f>
        <v>P003260</v>
      </c>
      <c r="H49" s="5">
        <f>VLOOKUP(A:A,[1]TDSheet!$A:$H,8,0)</f>
        <v>0.35</v>
      </c>
      <c r="I49" s="5" t="str">
        <f>VLOOKUP(A:A,[1]TDSheet!$A:$I,9,0)</f>
        <v>матрица</v>
      </c>
      <c r="L49" s="21">
        <f>VLOOKUP(A:A,[2]TDSheet!$A:$B,2,0)</f>
        <v>292</v>
      </c>
      <c r="M49" s="21">
        <f t="shared" si="5"/>
        <v>-54</v>
      </c>
      <c r="N49" s="21"/>
      <c r="O49" s="21">
        <f>VLOOKUP(A:A,[1]TDSheet!$A:$O,15,0)</f>
        <v>0</v>
      </c>
      <c r="P49" s="21">
        <f>VLOOKUP(A:A,[1]TDSheet!$A:$R,18,0)</f>
        <v>380</v>
      </c>
      <c r="Q49" s="21">
        <f t="shared" si="10"/>
        <v>47.6</v>
      </c>
      <c r="R49" s="22">
        <f t="shared" si="6"/>
        <v>44.600000000000023</v>
      </c>
      <c r="S49" s="22"/>
      <c r="T49" s="21"/>
      <c r="U49" s="21">
        <f t="shared" si="7"/>
        <v>11</v>
      </c>
      <c r="V49" s="21">
        <f t="shared" si="8"/>
        <v>2.079831932773109</v>
      </c>
      <c r="W49" s="21">
        <f>VLOOKUP(A:A,[1]TDSheet!$A:$X,24,0)</f>
        <v>68.2</v>
      </c>
      <c r="X49" s="21">
        <f>VLOOKUP(A:A,[1]TDSheet!$A:$Y,25,0)</f>
        <v>61.2</v>
      </c>
      <c r="Y49" s="21">
        <f>VLOOKUP(A:A,[1]TDSheet!$A:$Z,26,0)</f>
        <v>51.8</v>
      </c>
      <c r="Z49" s="21">
        <f>VLOOKUP(A:A,[1]TDSheet!$A:$Q,17,0)</f>
        <v>64.400000000000006</v>
      </c>
      <c r="AA49" s="21"/>
      <c r="AB49" s="21">
        <f t="shared" si="9"/>
        <v>15.610000000000007</v>
      </c>
    </row>
    <row r="50" spans="1:28" ht="11.1" customHeight="1" x14ac:dyDescent="0.2">
      <c r="A50" s="9" t="s">
        <v>54</v>
      </c>
      <c r="B50" s="9" t="s">
        <v>18</v>
      </c>
      <c r="C50" s="10">
        <v>234</v>
      </c>
      <c r="D50" s="10">
        <v>283</v>
      </c>
      <c r="E50" s="10">
        <v>348</v>
      </c>
      <c r="F50" s="10">
        <v>166</v>
      </c>
      <c r="G50" s="5" t="str">
        <f>VLOOKUP(A:A,[1]TDSheet!$A:$G,7,0)</f>
        <v>P004178</v>
      </c>
      <c r="H50" s="5">
        <f>VLOOKUP(A:A,[1]TDSheet!$A:$H,8,0)</f>
        <v>0.4</v>
      </c>
      <c r="I50" s="5" t="str">
        <f>VLOOKUP(A:A,[1]TDSheet!$A:$I,9,0)</f>
        <v>матрица</v>
      </c>
      <c r="L50" s="21">
        <f>VLOOKUP(A:A,[2]TDSheet!$A:$B,2,0)</f>
        <v>348</v>
      </c>
      <c r="M50" s="21">
        <f t="shared" si="5"/>
        <v>0</v>
      </c>
      <c r="N50" s="21"/>
      <c r="O50" s="21">
        <f>VLOOKUP(A:A,[1]TDSheet!$A:$O,15,0)</f>
        <v>0</v>
      </c>
      <c r="P50" s="21">
        <f>VLOOKUP(A:A,[1]TDSheet!$A:$R,18,0)</f>
        <v>600</v>
      </c>
      <c r="Q50" s="21">
        <f t="shared" si="10"/>
        <v>69.599999999999994</v>
      </c>
      <c r="R50" s="22"/>
      <c r="S50" s="22"/>
      <c r="T50" s="21"/>
      <c r="U50" s="21">
        <f t="shared" si="7"/>
        <v>11.005747126436782</v>
      </c>
      <c r="V50" s="21">
        <f t="shared" si="8"/>
        <v>2.3850574712643682</v>
      </c>
      <c r="W50" s="21">
        <f>VLOOKUP(A:A,[1]TDSheet!$A:$X,24,0)</f>
        <v>58.8</v>
      </c>
      <c r="X50" s="21">
        <f>VLOOKUP(A:A,[1]TDSheet!$A:$Y,25,0)</f>
        <v>74.599999999999994</v>
      </c>
      <c r="Y50" s="21">
        <f>VLOOKUP(A:A,[1]TDSheet!$A:$Z,26,0)</f>
        <v>55.6</v>
      </c>
      <c r="Z50" s="21">
        <f>VLOOKUP(A:A,[1]TDSheet!$A:$Q,17,0)</f>
        <v>78</v>
      </c>
      <c r="AA50" s="21"/>
      <c r="AB50" s="21">
        <f t="shared" si="9"/>
        <v>0</v>
      </c>
    </row>
    <row r="51" spans="1:28" ht="11.1" customHeight="1" x14ac:dyDescent="0.2">
      <c r="A51" s="9" t="s">
        <v>55</v>
      </c>
      <c r="B51" s="9" t="s">
        <v>14</v>
      </c>
      <c r="C51" s="10">
        <v>76.623000000000005</v>
      </c>
      <c r="D51" s="10">
        <v>60.735999999999997</v>
      </c>
      <c r="E51" s="10">
        <v>99.227999999999994</v>
      </c>
      <c r="F51" s="10">
        <v>34.982999999999997</v>
      </c>
      <c r="G51" s="5" t="str">
        <f>VLOOKUP(A:A,[1]TDSheet!$A:$G,7,0)</f>
        <v>P003234</v>
      </c>
      <c r="H51" s="5">
        <f>VLOOKUP(A:A,[1]TDSheet!$A:$H,8,0)</f>
        <v>1</v>
      </c>
      <c r="I51" s="5" t="str">
        <f>VLOOKUP(A:A,[1]TDSheet!$A:$I,9,0)</f>
        <v>матрица</v>
      </c>
      <c r="L51" s="21">
        <f>VLOOKUP(A:A,[2]TDSheet!$A:$B,2,0)</f>
        <v>99.1</v>
      </c>
      <c r="M51" s="21">
        <f t="shared" si="5"/>
        <v>0.12800000000000011</v>
      </c>
      <c r="N51" s="21"/>
      <c r="O51" s="21">
        <f>VLOOKUP(A:A,[1]TDSheet!$A:$O,15,0)</f>
        <v>0</v>
      </c>
      <c r="P51" s="21">
        <f>VLOOKUP(A:A,[1]TDSheet!$A:$R,18,0)</f>
        <v>70</v>
      </c>
      <c r="Q51" s="21">
        <f t="shared" si="10"/>
        <v>19.845599999999997</v>
      </c>
      <c r="R51" s="22">
        <f t="shared" si="6"/>
        <v>113.31859999999998</v>
      </c>
      <c r="S51" s="22"/>
      <c r="T51" s="21"/>
      <c r="U51" s="21">
        <f t="shared" si="7"/>
        <v>11</v>
      </c>
      <c r="V51" s="21">
        <f t="shared" si="8"/>
        <v>1.7627584955859235</v>
      </c>
      <c r="W51" s="21">
        <f>VLOOKUP(A:A,[1]TDSheet!$A:$X,24,0)</f>
        <v>22.029</v>
      </c>
      <c r="X51" s="21">
        <f>VLOOKUP(A:A,[1]TDSheet!$A:$Y,25,0)</f>
        <v>15.5932</v>
      </c>
      <c r="Y51" s="21">
        <f>VLOOKUP(A:A,[1]TDSheet!$A:$Z,26,0)</f>
        <v>15.644</v>
      </c>
      <c r="Z51" s="21">
        <f>VLOOKUP(A:A,[1]TDSheet!$A:$Q,17,0)</f>
        <v>16.990199999999998</v>
      </c>
      <c r="AA51" s="21"/>
      <c r="AB51" s="21">
        <f t="shared" si="9"/>
        <v>113.31859999999998</v>
      </c>
    </row>
    <row r="52" spans="1:28" ht="11.1" customHeight="1" x14ac:dyDescent="0.2">
      <c r="A52" s="9" t="s">
        <v>56</v>
      </c>
      <c r="B52" s="9" t="s">
        <v>14</v>
      </c>
      <c r="C52" s="10">
        <v>99.971999999999994</v>
      </c>
      <c r="D52" s="10">
        <v>99.39</v>
      </c>
      <c r="E52" s="10">
        <v>139.84</v>
      </c>
      <c r="F52" s="10">
        <v>65.962999999999994</v>
      </c>
      <c r="G52" s="5" t="str">
        <f>VLOOKUP(A:A,[1]TDSheet!$A:$G,7,0)</f>
        <v>P003239</v>
      </c>
      <c r="H52" s="5">
        <f>VLOOKUP(A:A,[1]TDSheet!$A:$H,8,0)</f>
        <v>1</v>
      </c>
      <c r="I52" s="5" t="str">
        <f>VLOOKUP(A:A,[1]TDSheet!$A:$I,9,0)</f>
        <v>матрица</v>
      </c>
      <c r="L52" s="21">
        <f>VLOOKUP(A:A,[2]TDSheet!$A:$B,2,0)</f>
        <v>138.1</v>
      </c>
      <c r="M52" s="21">
        <f t="shared" si="5"/>
        <v>1.7400000000000091</v>
      </c>
      <c r="N52" s="21"/>
      <c r="O52" s="21">
        <f>VLOOKUP(A:A,[1]TDSheet!$A:$O,15,0)</f>
        <v>0</v>
      </c>
      <c r="P52" s="21">
        <f>VLOOKUP(A:A,[1]TDSheet!$A:$R,18,0)</f>
        <v>0</v>
      </c>
      <c r="Q52" s="21">
        <f t="shared" si="10"/>
        <v>27.968</v>
      </c>
      <c r="R52" s="22">
        <f t="shared" si="6"/>
        <v>241.68500000000003</v>
      </c>
      <c r="S52" s="22"/>
      <c r="T52" s="21"/>
      <c r="U52" s="21">
        <f t="shared" si="7"/>
        <v>11.000000000000002</v>
      </c>
      <c r="V52" s="21">
        <f t="shared" si="8"/>
        <v>2.3585168764302056</v>
      </c>
      <c r="W52" s="21">
        <f>VLOOKUP(A:A,[1]TDSheet!$A:$X,24,0)</f>
        <v>28.570999999999998</v>
      </c>
      <c r="X52" s="21">
        <f>VLOOKUP(A:A,[1]TDSheet!$A:$Y,25,0)</f>
        <v>29.1296</v>
      </c>
      <c r="Y52" s="21">
        <f>VLOOKUP(A:A,[1]TDSheet!$A:$Z,26,0)</f>
        <v>26.573</v>
      </c>
      <c r="Z52" s="21">
        <f>VLOOKUP(A:A,[1]TDSheet!$A:$Q,17,0)</f>
        <v>30.253800000000002</v>
      </c>
      <c r="AA52" s="21"/>
      <c r="AB52" s="21">
        <f t="shared" si="9"/>
        <v>241.68500000000003</v>
      </c>
    </row>
    <row r="53" spans="1:28" ht="11.1" customHeight="1" x14ac:dyDescent="0.2">
      <c r="A53" s="9" t="s">
        <v>57</v>
      </c>
      <c r="B53" s="9" t="s">
        <v>14</v>
      </c>
      <c r="C53" s="10">
        <v>49.92</v>
      </c>
      <c r="D53" s="10">
        <v>257.38900000000001</v>
      </c>
      <c r="E53" s="10">
        <v>138.33600000000001</v>
      </c>
      <c r="F53" s="10">
        <v>167.37100000000001</v>
      </c>
      <c r="G53" s="5" t="str">
        <f>VLOOKUP(A:A,[1]TDSheet!$A:$G,7,0)</f>
        <v>P004991</v>
      </c>
      <c r="H53" s="5">
        <f>VLOOKUP(A:A,[1]TDSheet!$A:$H,8,0)</f>
        <v>1</v>
      </c>
      <c r="I53" s="5" t="str">
        <f>VLOOKUP(A:A,[1]TDSheet!$A:$I,9,0)</f>
        <v>ВНИМАНИЕ!!! / матрица</v>
      </c>
      <c r="L53" s="21">
        <f>VLOOKUP(A:A,[2]TDSheet!$A:$B,2,0)</f>
        <v>131.1</v>
      </c>
      <c r="M53" s="21">
        <f t="shared" si="5"/>
        <v>7.2360000000000184</v>
      </c>
      <c r="N53" s="21"/>
      <c r="O53" s="21">
        <f>VLOOKUP(A:A,[1]TDSheet!$A:$O,15,0)</f>
        <v>0</v>
      </c>
      <c r="P53" s="21">
        <f>VLOOKUP(A:A,[1]TDSheet!$A:$R,18,0)</f>
        <v>150</v>
      </c>
      <c r="Q53" s="21">
        <f t="shared" si="10"/>
        <v>27.667200000000001</v>
      </c>
      <c r="R53" s="22"/>
      <c r="S53" s="22"/>
      <c r="T53" s="21"/>
      <c r="U53" s="21">
        <f t="shared" si="7"/>
        <v>11.471019835762201</v>
      </c>
      <c r="V53" s="21">
        <f t="shared" si="8"/>
        <v>6.0494376012028681</v>
      </c>
      <c r="W53" s="21">
        <f>VLOOKUP(A:A,[1]TDSheet!$A:$X,24,0)</f>
        <v>13.4558</v>
      </c>
      <c r="X53" s="21">
        <f>VLOOKUP(A:A,[1]TDSheet!$A:$Y,25,0)</f>
        <v>20.5946</v>
      </c>
      <c r="Y53" s="21">
        <f>VLOOKUP(A:A,[1]TDSheet!$A:$Z,26,0)</f>
        <v>29.741199999999999</v>
      </c>
      <c r="Z53" s="21">
        <f>VLOOKUP(A:A,[1]TDSheet!$A:$Q,17,0)</f>
        <v>18.636199999999999</v>
      </c>
      <c r="AA53" s="21"/>
      <c r="AB53" s="21">
        <f t="shared" si="9"/>
        <v>0</v>
      </c>
    </row>
    <row r="54" spans="1:28" ht="11.1" customHeight="1" x14ac:dyDescent="0.2">
      <c r="A54" s="9" t="s">
        <v>58</v>
      </c>
      <c r="B54" s="9" t="s">
        <v>18</v>
      </c>
      <c r="C54" s="10">
        <v>118</v>
      </c>
      <c r="D54" s="10">
        <v>120</v>
      </c>
      <c r="E54" s="10">
        <v>141</v>
      </c>
      <c r="F54" s="10">
        <v>97</v>
      </c>
      <c r="G54" s="5" t="str">
        <f>VLOOKUP(A:A,[1]TDSheet!$A:$G,7,0)</f>
        <v>P003227</v>
      </c>
      <c r="H54" s="5">
        <f>VLOOKUP(A:A,[1]TDSheet!$A:$H,8,0)</f>
        <v>0.45</v>
      </c>
      <c r="I54" s="5" t="str">
        <f>VLOOKUP(A:A,[1]TDSheet!$A:$I,9,0)</f>
        <v>матрица</v>
      </c>
      <c r="L54" s="21">
        <f>VLOOKUP(A:A,[2]TDSheet!$A:$B,2,0)</f>
        <v>141</v>
      </c>
      <c r="M54" s="21">
        <f t="shared" si="5"/>
        <v>0</v>
      </c>
      <c r="N54" s="21"/>
      <c r="O54" s="21">
        <f>VLOOKUP(A:A,[1]TDSheet!$A:$O,15,0)</f>
        <v>0</v>
      </c>
      <c r="P54" s="21">
        <f>VLOOKUP(A:A,[1]TDSheet!$A:$R,18,0)</f>
        <v>250</v>
      </c>
      <c r="Q54" s="21">
        <f t="shared" si="10"/>
        <v>28.2</v>
      </c>
      <c r="R54" s="22"/>
      <c r="S54" s="22"/>
      <c r="T54" s="21"/>
      <c r="U54" s="21">
        <f t="shared" si="7"/>
        <v>12.304964539007093</v>
      </c>
      <c r="V54" s="21">
        <f t="shared" si="8"/>
        <v>3.4397163120567376</v>
      </c>
      <c r="W54" s="21">
        <f>VLOOKUP(A:A,[1]TDSheet!$A:$X,24,0)</f>
        <v>24.6</v>
      </c>
      <c r="X54" s="21">
        <f>VLOOKUP(A:A,[1]TDSheet!$A:$Y,25,0)</f>
        <v>30.8</v>
      </c>
      <c r="Y54" s="21">
        <f>VLOOKUP(A:A,[1]TDSheet!$A:$Z,26,0)</f>
        <v>26.2</v>
      </c>
      <c r="Z54" s="21">
        <f>VLOOKUP(A:A,[1]TDSheet!$A:$Q,17,0)</f>
        <v>35.4</v>
      </c>
      <c r="AA54" s="21"/>
      <c r="AB54" s="21">
        <f t="shared" si="9"/>
        <v>0</v>
      </c>
    </row>
    <row r="55" spans="1:28" ht="11.1" customHeight="1" x14ac:dyDescent="0.2">
      <c r="A55" s="9" t="s">
        <v>59</v>
      </c>
      <c r="B55" s="9" t="s">
        <v>18</v>
      </c>
      <c r="C55" s="10">
        <v>151</v>
      </c>
      <c r="D55" s="10">
        <v>280</v>
      </c>
      <c r="E55" s="10">
        <v>272</v>
      </c>
      <c r="F55" s="10">
        <v>168</v>
      </c>
      <c r="G55" s="5" t="str">
        <f>VLOOKUP(A:A,[1]TDSheet!$A:$G,7,0)</f>
        <v>P003228</v>
      </c>
      <c r="H55" s="5">
        <f>VLOOKUP(A:A,[1]TDSheet!$A:$H,8,0)</f>
        <v>0.45</v>
      </c>
      <c r="I55" s="5" t="str">
        <f>VLOOKUP(A:A,[1]TDSheet!$A:$I,9,0)</f>
        <v>матрица</v>
      </c>
      <c r="L55" s="21">
        <f>VLOOKUP(A:A,[2]TDSheet!$A:$B,2,0)</f>
        <v>275</v>
      </c>
      <c r="M55" s="21">
        <f t="shared" si="5"/>
        <v>-3</v>
      </c>
      <c r="N55" s="21"/>
      <c r="O55" s="21">
        <f>VLOOKUP(A:A,[1]TDSheet!$A:$O,15,0)</f>
        <v>0</v>
      </c>
      <c r="P55" s="21">
        <f>VLOOKUP(A:A,[1]TDSheet!$A:$R,18,0)</f>
        <v>220</v>
      </c>
      <c r="Q55" s="21">
        <f t="shared" si="10"/>
        <v>54.4</v>
      </c>
      <c r="R55" s="22">
        <f t="shared" si="6"/>
        <v>210.39999999999998</v>
      </c>
      <c r="S55" s="22"/>
      <c r="T55" s="21"/>
      <c r="U55" s="21">
        <f t="shared" si="7"/>
        <v>11</v>
      </c>
      <c r="V55" s="21">
        <f t="shared" si="8"/>
        <v>3.0882352941176472</v>
      </c>
      <c r="W55" s="21">
        <f>VLOOKUP(A:A,[1]TDSheet!$A:$X,24,0)</f>
        <v>45.8</v>
      </c>
      <c r="X55" s="21">
        <f>VLOOKUP(A:A,[1]TDSheet!$A:$Y,25,0)</f>
        <v>50.6</v>
      </c>
      <c r="Y55" s="21">
        <f>VLOOKUP(A:A,[1]TDSheet!$A:$Z,26,0)</f>
        <v>52.2</v>
      </c>
      <c r="Z55" s="21">
        <f>VLOOKUP(A:A,[1]TDSheet!$A:$Q,17,0)</f>
        <v>53.4</v>
      </c>
      <c r="AA55" s="21"/>
      <c r="AB55" s="21">
        <f t="shared" si="9"/>
        <v>94.679999999999993</v>
      </c>
    </row>
    <row r="56" spans="1:28" ht="11.1" customHeight="1" x14ac:dyDescent="0.2">
      <c r="A56" s="9" t="s">
        <v>60</v>
      </c>
      <c r="B56" s="9" t="s">
        <v>18</v>
      </c>
      <c r="C56" s="10">
        <v>94</v>
      </c>
      <c r="D56" s="10">
        <v>27</v>
      </c>
      <c r="E56" s="10">
        <v>55</v>
      </c>
      <c r="F56" s="10">
        <v>64</v>
      </c>
      <c r="G56" s="5" t="str">
        <f>VLOOKUP(A:A,[1]TDSheet!$A:$G,7,0)</f>
        <v>P003961</v>
      </c>
      <c r="H56" s="5">
        <f>VLOOKUP(A:A,[1]TDSheet!$A:$H,8,0)</f>
        <v>0.4</v>
      </c>
      <c r="I56" s="5" t="str">
        <f>VLOOKUP(A:A,[1]TDSheet!$A:$I,9,0)</f>
        <v>матрица</v>
      </c>
      <c r="L56" s="21">
        <f>VLOOKUP(A:A,[2]TDSheet!$A:$B,2,0)</f>
        <v>64</v>
      </c>
      <c r="M56" s="21">
        <f t="shared" si="5"/>
        <v>-9</v>
      </c>
      <c r="N56" s="21"/>
      <c r="O56" s="21">
        <f>VLOOKUP(A:A,[1]TDSheet!$A:$O,15,0)</f>
        <v>0</v>
      </c>
      <c r="P56" s="21">
        <f>VLOOKUP(A:A,[1]TDSheet!$A:$R,18,0)</f>
        <v>0</v>
      </c>
      <c r="Q56" s="21">
        <f t="shared" si="10"/>
        <v>11</v>
      </c>
      <c r="R56" s="22">
        <f t="shared" si="6"/>
        <v>57</v>
      </c>
      <c r="S56" s="22"/>
      <c r="T56" s="21"/>
      <c r="U56" s="21">
        <f t="shared" si="7"/>
        <v>11</v>
      </c>
      <c r="V56" s="21">
        <f t="shared" si="8"/>
        <v>5.8181818181818183</v>
      </c>
      <c r="W56" s="21">
        <f>VLOOKUP(A:A,[1]TDSheet!$A:$X,24,0)</f>
        <v>10.6</v>
      </c>
      <c r="X56" s="21">
        <f>VLOOKUP(A:A,[1]TDSheet!$A:$Y,25,0)</f>
        <v>12.6</v>
      </c>
      <c r="Y56" s="21">
        <f>VLOOKUP(A:A,[1]TDSheet!$A:$Z,26,0)</f>
        <v>15.8</v>
      </c>
      <c r="Z56" s="21">
        <f>VLOOKUP(A:A,[1]TDSheet!$A:$Q,17,0)</f>
        <v>14.2</v>
      </c>
      <c r="AA56" s="21"/>
      <c r="AB56" s="21">
        <f t="shared" si="9"/>
        <v>22.8</v>
      </c>
    </row>
    <row r="57" spans="1:28" ht="11.1" customHeight="1" x14ac:dyDescent="0.2">
      <c r="A57" s="9" t="s">
        <v>61</v>
      </c>
      <c r="B57" s="9" t="s">
        <v>14</v>
      </c>
      <c r="C57" s="10">
        <v>18.802</v>
      </c>
      <c r="D57" s="10">
        <v>71.046999999999997</v>
      </c>
      <c r="E57" s="10">
        <v>52.375999999999998</v>
      </c>
      <c r="F57" s="10">
        <v>28.529</v>
      </c>
      <c r="G57" s="5" t="str">
        <f>VLOOKUP(A:A,[1]TDSheet!$A:$G,7,0)</f>
        <v>P003235</v>
      </c>
      <c r="H57" s="5">
        <f>VLOOKUP(A:A,[1]TDSheet!$A:$H,8,0)</f>
        <v>1</v>
      </c>
      <c r="I57" s="5">
        <f>VLOOKUP(A:A,[1]TDSheet!$A:$I,9,0)</f>
        <v>0</v>
      </c>
      <c r="L57" s="21">
        <f>VLOOKUP(A:A,[2]TDSheet!$A:$B,2,0)</f>
        <v>58.2</v>
      </c>
      <c r="M57" s="21">
        <f t="shared" si="5"/>
        <v>-5.8240000000000052</v>
      </c>
      <c r="N57" s="21"/>
      <c r="O57" s="21">
        <f>VLOOKUP(A:A,[1]TDSheet!$A:$O,15,0)</f>
        <v>0</v>
      </c>
      <c r="P57" s="21">
        <f>VLOOKUP(A:A,[1]TDSheet!$A:$R,18,0)</f>
        <v>0</v>
      </c>
      <c r="Q57" s="21">
        <f t="shared" si="10"/>
        <v>10.475199999999999</v>
      </c>
      <c r="R57" s="22">
        <f t="shared" si="6"/>
        <v>86.6982</v>
      </c>
      <c r="S57" s="22"/>
      <c r="T57" s="21"/>
      <c r="U57" s="21">
        <f t="shared" si="7"/>
        <v>11</v>
      </c>
      <c r="V57" s="21">
        <f t="shared" si="8"/>
        <v>2.7234802199480681</v>
      </c>
      <c r="W57" s="21">
        <f>VLOOKUP(A:A,[1]TDSheet!$A:$X,24,0)</f>
        <v>16.552399999999999</v>
      </c>
      <c r="X57" s="21">
        <f>VLOOKUP(A:A,[1]TDSheet!$A:$Y,25,0)</f>
        <v>14.782</v>
      </c>
      <c r="Y57" s="21">
        <f>VLOOKUP(A:A,[1]TDSheet!$A:$Z,26,0)</f>
        <v>13.0688</v>
      </c>
      <c r="Z57" s="21">
        <f>VLOOKUP(A:A,[1]TDSheet!$A:$Q,17,0)</f>
        <v>16.265599999999999</v>
      </c>
      <c r="AA57" s="21"/>
      <c r="AB57" s="21">
        <f t="shared" si="9"/>
        <v>86.6982</v>
      </c>
    </row>
    <row r="58" spans="1:28" ht="11.1" customHeight="1" x14ac:dyDescent="0.2">
      <c r="A58" s="9" t="s">
        <v>62</v>
      </c>
      <c r="B58" s="9" t="s">
        <v>18</v>
      </c>
      <c r="C58" s="10">
        <v>23</v>
      </c>
      <c r="D58" s="10">
        <v>101</v>
      </c>
      <c r="E58" s="10">
        <v>50</v>
      </c>
      <c r="F58" s="10">
        <v>73</v>
      </c>
      <c r="G58" s="5" t="str">
        <f>VLOOKUP(A:A,[1]TDSheet!$A:$G,7,0)</f>
        <v>P003253</v>
      </c>
      <c r="H58" s="5">
        <f>VLOOKUP(A:A,[1]TDSheet!$A:$H,8,0)</f>
        <v>0.1</v>
      </c>
      <c r="I58" s="5" t="str">
        <f>VLOOKUP(A:A,[1]TDSheet!$A:$I,9,0)</f>
        <v>матрица</v>
      </c>
      <c r="L58" s="21">
        <f>VLOOKUP(A:A,[2]TDSheet!$A:$B,2,0)</f>
        <v>49</v>
      </c>
      <c r="M58" s="21">
        <f t="shared" si="5"/>
        <v>1</v>
      </c>
      <c r="N58" s="21"/>
      <c r="O58" s="21">
        <f>VLOOKUP(A:A,[1]TDSheet!$A:$O,15,0)</f>
        <v>0</v>
      </c>
      <c r="P58" s="21">
        <f>VLOOKUP(A:A,[1]TDSheet!$A:$R,18,0)</f>
        <v>90</v>
      </c>
      <c r="Q58" s="21">
        <f t="shared" si="10"/>
        <v>10</v>
      </c>
      <c r="R58" s="22"/>
      <c r="S58" s="22"/>
      <c r="T58" s="21"/>
      <c r="U58" s="21">
        <f t="shared" si="7"/>
        <v>16.3</v>
      </c>
      <c r="V58" s="21">
        <f t="shared" si="8"/>
        <v>7.3</v>
      </c>
      <c r="W58" s="21">
        <f>VLOOKUP(A:A,[1]TDSheet!$A:$X,24,0)</f>
        <v>10.4</v>
      </c>
      <c r="X58" s="21">
        <f>VLOOKUP(A:A,[1]TDSheet!$A:$Y,25,0)</f>
        <v>12.6</v>
      </c>
      <c r="Y58" s="21">
        <f>VLOOKUP(A:A,[1]TDSheet!$A:$Z,26,0)</f>
        <v>11</v>
      </c>
      <c r="Z58" s="21">
        <f>VLOOKUP(A:A,[1]TDSheet!$A:$Q,17,0)</f>
        <v>17.2</v>
      </c>
      <c r="AA58" s="21"/>
      <c r="AB58" s="21">
        <f t="shared" si="9"/>
        <v>0</v>
      </c>
    </row>
    <row r="59" spans="1:28" ht="11.1" customHeight="1" x14ac:dyDescent="0.2">
      <c r="A59" s="9" t="s">
        <v>63</v>
      </c>
      <c r="B59" s="9" t="s">
        <v>14</v>
      </c>
      <c r="C59" s="10">
        <v>125.831</v>
      </c>
      <c r="D59" s="10">
        <v>133.80699999999999</v>
      </c>
      <c r="E59" s="10">
        <v>157.26300000000001</v>
      </c>
      <c r="F59" s="10">
        <v>90.159000000000006</v>
      </c>
      <c r="G59" s="5" t="str">
        <f>VLOOKUP(A:A,[1]TDSheet!$A:$G,7,0)</f>
        <v>P003357</v>
      </c>
      <c r="H59" s="5">
        <f>VLOOKUP(A:A,[1]TDSheet!$A:$H,8,0)</f>
        <v>1</v>
      </c>
      <c r="I59" s="5" t="str">
        <f>VLOOKUP(A:A,[1]TDSheet!$A:$I,9,0)</f>
        <v>матрица</v>
      </c>
      <c r="L59" s="21">
        <f>VLOOKUP(A:A,[2]TDSheet!$A:$B,2,0)</f>
        <v>159.80000000000001</v>
      </c>
      <c r="M59" s="21">
        <f t="shared" si="5"/>
        <v>-2.5370000000000061</v>
      </c>
      <c r="N59" s="21"/>
      <c r="O59" s="21">
        <f>VLOOKUP(A:A,[1]TDSheet!$A:$O,15,0)</f>
        <v>0</v>
      </c>
      <c r="P59" s="21">
        <f>VLOOKUP(A:A,[1]TDSheet!$A:$R,18,0)</f>
        <v>0</v>
      </c>
      <c r="Q59" s="21">
        <f t="shared" si="10"/>
        <v>31.4526</v>
      </c>
      <c r="R59" s="22">
        <f t="shared" si="6"/>
        <v>255.81960000000004</v>
      </c>
      <c r="S59" s="22"/>
      <c r="T59" s="21"/>
      <c r="U59" s="21">
        <f t="shared" si="7"/>
        <v>11</v>
      </c>
      <c r="V59" s="21">
        <f t="shared" si="8"/>
        <v>2.8665038820320103</v>
      </c>
      <c r="W59" s="21">
        <f>VLOOKUP(A:A,[1]TDSheet!$A:$X,24,0)</f>
        <v>25.026800000000001</v>
      </c>
      <c r="X59" s="21">
        <f>VLOOKUP(A:A,[1]TDSheet!$A:$Y,25,0)</f>
        <v>33.039400000000001</v>
      </c>
      <c r="Y59" s="21">
        <f>VLOOKUP(A:A,[1]TDSheet!$A:$Z,26,0)</f>
        <v>29.8872</v>
      </c>
      <c r="Z59" s="21">
        <f>VLOOKUP(A:A,[1]TDSheet!$A:$Q,17,0)</f>
        <v>29.278199999999998</v>
      </c>
      <c r="AA59" s="21"/>
      <c r="AB59" s="21">
        <f t="shared" si="9"/>
        <v>255.81960000000004</v>
      </c>
    </row>
    <row r="60" spans="1:28" ht="11.1" customHeight="1" x14ac:dyDescent="0.2">
      <c r="A60" s="9" t="s">
        <v>64</v>
      </c>
      <c r="B60" s="9" t="s">
        <v>14</v>
      </c>
      <c r="C60" s="10">
        <v>32.703000000000003</v>
      </c>
      <c r="D60" s="10">
        <v>3</v>
      </c>
      <c r="E60" s="10">
        <v>21.800999999999998</v>
      </c>
      <c r="F60" s="10">
        <v>12.259</v>
      </c>
      <c r="G60" s="5" t="str">
        <f>VLOOKUP(A:A,[1]TDSheet!$A:$G,7,0)</f>
        <v>P004607</v>
      </c>
      <c r="H60" s="5">
        <f>VLOOKUP(A:A,[1]TDSheet!$A:$H,8,0)</f>
        <v>1</v>
      </c>
      <c r="I60" s="5" t="str">
        <f>VLOOKUP(A:A,[1]TDSheet!$A:$I,9,0)</f>
        <v>матрица</v>
      </c>
      <c r="L60" s="21">
        <f>VLOOKUP(A:A,[2]TDSheet!$A:$B,2,0)</f>
        <v>22.6</v>
      </c>
      <c r="M60" s="21">
        <f t="shared" si="5"/>
        <v>-0.79900000000000304</v>
      </c>
      <c r="N60" s="21"/>
      <c r="O60" s="21">
        <f>VLOOKUP(A:A,[1]TDSheet!$A:$O,15,0)</f>
        <v>0</v>
      </c>
      <c r="P60" s="21">
        <f>VLOOKUP(A:A,[1]TDSheet!$A:$R,18,0)</f>
        <v>30</v>
      </c>
      <c r="Q60" s="21">
        <f t="shared" si="10"/>
        <v>4.3601999999999999</v>
      </c>
      <c r="R60" s="22">
        <f t="shared" si="6"/>
        <v>5.7031999999999954</v>
      </c>
      <c r="S60" s="22"/>
      <c r="T60" s="21"/>
      <c r="U60" s="21">
        <f t="shared" si="7"/>
        <v>11</v>
      </c>
      <c r="V60" s="21">
        <f t="shared" si="8"/>
        <v>2.811568276684556</v>
      </c>
      <c r="W60" s="21">
        <f>VLOOKUP(A:A,[1]TDSheet!$A:$X,24,0)</f>
        <v>8.9471999999999987</v>
      </c>
      <c r="X60" s="21">
        <f>VLOOKUP(A:A,[1]TDSheet!$A:$Y,25,0)</f>
        <v>4.6289999999999996</v>
      </c>
      <c r="Y60" s="21">
        <f>VLOOKUP(A:A,[1]TDSheet!$A:$Z,26,0)</f>
        <v>3.5051999999999999</v>
      </c>
      <c r="Z60" s="21">
        <f>VLOOKUP(A:A,[1]TDSheet!$A:$Q,17,0)</f>
        <v>9.3176000000000005</v>
      </c>
      <c r="AA60" s="21"/>
      <c r="AB60" s="21">
        <f t="shared" si="9"/>
        <v>5.7031999999999954</v>
      </c>
    </row>
    <row r="61" spans="1:28" ht="11.1" customHeight="1" x14ac:dyDescent="0.2">
      <c r="A61" s="9" t="s">
        <v>65</v>
      </c>
      <c r="B61" s="9" t="s">
        <v>18</v>
      </c>
      <c r="C61" s="10">
        <v>65</v>
      </c>
      <c r="D61" s="10">
        <v>1</v>
      </c>
      <c r="E61" s="10">
        <v>60</v>
      </c>
      <c r="F61" s="10">
        <v>5</v>
      </c>
      <c r="G61" s="5" t="str">
        <f>VLOOKUP(A:A,[1]TDSheet!$A:$G,7,0)</f>
        <v>P003252</v>
      </c>
      <c r="H61" s="5">
        <f>VLOOKUP(A:A,[1]TDSheet!$A:$H,8,0)</f>
        <v>0.1</v>
      </c>
      <c r="I61" s="5" t="str">
        <f>VLOOKUP(A:A,[1]TDSheet!$A:$I,9,0)</f>
        <v>матрица</v>
      </c>
      <c r="L61" s="21">
        <f>VLOOKUP(A:A,[2]TDSheet!$A:$B,2,0)</f>
        <v>61</v>
      </c>
      <c r="M61" s="21">
        <f t="shared" si="5"/>
        <v>-1</v>
      </c>
      <c r="N61" s="21"/>
      <c r="O61" s="21">
        <f>VLOOKUP(A:A,[1]TDSheet!$A:$O,15,0)</f>
        <v>0</v>
      </c>
      <c r="P61" s="21">
        <f>VLOOKUP(A:A,[1]TDSheet!$A:$R,18,0)</f>
        <v>60</v>
      </c>
      <c r="Q61" s="21">
        <f t="shared" si="10"/>
        <v>12</v>
      </c>
      <c r="R61" s="22">
        <f t="shared" si="6"/>
        <v>67</v>
      </c>
      <c r="S61" s="27">
        <v>150</v>
      </c>
      <c r="T61" s="25"/>
      <c r="U61" s="21">
        <f t="shared" si="7"/>
        <v>11</v>
      </c>
      <c r="V61" s="21">
        <f t="shared" si="8"/>
        <v>0.41666666666666669</v>
      </c>
      <c r="W61" s="21">
        <f>VLOOKUP(A:A,[1]TDSheet!$A:$X,24,0)</f>
        <v>9.8000000000000007</v>
      </c>
      <c r="X61" s="21">
        <f>VLOOKUP(A:A,[1]TDSheet!$A:$Y,25,0)</f>
        <v>14.8</v>
      </c>
      <c r="Y61" s="21">
        <f>VLOOKUP(A:A,[1]TDSheet!$A:$Z,26,0)</f>
        <v>8.8000000000000007</v>
      </c>
      <c r="Z61" s="21">
        <f>VLOOKUP(A:A,[1]TDSheet!$A:$Q,17,0)</f>
        <v>18.8</v>
      </c>
      <c r="AA61" s="21"/>
      <c r="AB61" s="21">
        <f t="shared" si="9"/>
        <v>6.7</v>
      </c>
    </row>
    <row r="62" spans="1:28" ht="11.1" customHeight="1" x14ac:dyDescent="0.2">
      <c r="A62" s="9" t="s">
        <v>66</v>
      </c>
      <c r="B62" s="9" t="s">
        <v>18</v>
      </c>
      <c r="C62" s="10">
        <v>8</v>
      </c>
      <c r="D62" s="10">
        <v>30</v>
      </c>
      <c r="E62" s="10">
        <v>11</v>
      </c>
      <c r="F62" s="10">
        <v>27</v>
      </c>
      <c r="G62" s="5" t="str">
        <f>VLOOKUP(A:A,[1]TDSheet!$A:$G,7,0)</f>
        <v>P003243</v>
      </c>
      <c r="H62" s="5">
        <f>VLOOKUP(A:A,[1]TDSheet!$A:$H,8,0)</f>
        <v>0.4</v>
      </c>
      <c r="I62" s="5" t="str">
        <f>VLOOKUP(A:A,[1]TDSheet!$A:$I,9,0)</f>
        <v>матрица</v>
      </c>
      <c r="L62" s="21">
        <f>VLOOKUP(A:A,[2]TDSheet!$A:$B,2,0)</f>
        <v>14</v>
      </c>
      <c r="M62" s="21">
        <f t="shared" si="5"/>
        <v>-3</v>
      </c>
      <c r="N62" s="21"/>
      <c r="O62" s="21">
        <f>VLOOKUP(A:A,[1]TDSheet!$A:$O,15,0)</f>
        <v>0</v>
      </c>
      <c r="P62" s="21">
        <f>VLOOKUP(A:A,[1]TDSheet!$A:$R,18,0)</f>
        <v>10</v>
      </c>
      <c r="Q62" s="21">
        <f t="shared" si="10"/>
        <v>2.2000000000000002</v>
      </c>
      <c r="R62" s="22"/>
      <c r="S62" s="22"/>
      <c r="T62" s="21"/>
      <c r="U62" s="21">
        <f t="shared" si="7"/>
        <v>16.818181818181817</v>
      </c>
      <c r="V62" s="21">
        <f t="shared" si="8"/>
        <v>12.272727272727272</v>
      </c>
      <c r="W62" s="21">
        <f>VLOOKUP(A:A,[1]TDSheet!$A:$X,24,0)</f>
        <v>3.6</v>
      </c>
      <c r="X62" s="21">
        <f>VLOOKUP(A:A,[1]TDSheet!$A:$Y,25,0)</f>
        <v>2.8</v>
      </c>
      <c r="Y62" s="21">
        <f>VLOOKUP(A:A,[1]TDSheet!$A:$Z,26,0)</f>
        <v>4.5999999999999996</v>
      </c>
      <c r="Z62" s="21">
        <f>VLOOKUP(A:A,[1]TDSheet!$A:$Q,17,0)</f>
        <v>3.2</v>
      </c>
      <c r="AA62" s="21"/>
      <c r="AB62" s="21">
        <f t="shared" si="9"/>
        <v>0</v>
      </c>
    </row>
    <row r="63" spans="1:28" ht="11.1" customHeight="1" x14ac:dyDescent="0.2">
      <c r="A63" s="9" t="s">
        <v>67</v>
      </c>
      <c r="B63" s="9" t="s">
        <v>14</v>
      </c>
      <c r="C63" s="10">
        <v>98.733000000000004</v>
      </c>
      <c r="D63" s="10"/>
      <c r="E63" s="10">
        <v>52.686</v>
      </c>
      <c r="F63" s="10">
        <v>47.524000000000001</v>
      </c>
      <c r="G63" s="5" t="str">
        <f>VLOOKUP(A:A,[1]TDSheet!$A:$G,7,0)</f>
        <v>P003263</v>
      </c>
      <c r="H63" s="5">
        <f>VLOOKUP(A:A,[1]TDSheet!$A:$H,8,0)</f>
        <v>1</v>
      </c>
      <c r="I63" s="5" t="str">
        <f>VLOOKUP(A:A,[1]TDSheet!$A:$I,9,0)</f>
        <v>матрица</v>
      </c>
      <c r="L63" s="21">
        <f>VLOOKUP(A:A,[2]TDSheet!$A:$B,2,0)</f>
        <v>48.3</v>
      </c>
      <c r="M63" s="21">
        <f t="shared" si="5"/>
        <v>4.3860000000000028</v>
      </c>
      <c r="N63" s="21"/>
      <c r="O63" s="21">
        <f>VLOOKUP(A:A,[1]TDSheet!$A:$O,15,0)</f>
        <v>0</v>
      </c>
      <c r="P63" s="21">
        <f>VLOOKUP(A:A,[1]TDSheet!$A:$R,18,0)</f>
        <v>0</v>
      </c>
      <c r="Q63" s="21">
        <f t="shared" si="10"/>
        <v>10.5372</v>
      </c>
      <c r="R63" s="22">
        <f t="shared" si="6"/>
        <v>68.385199999999998</v>
      </c>
      <c r="S63" s="22"/>
      <c r="T63" s="21"/>
      <c r="U63" s="21">
        <f t="shared" si="7"/>
        <v>11</v>
      </c>
      <c r="V63" s="21">
        <f t="shared" si="8"/>
        <v>4.510116539498159</v>
      </c>
      <c r="W63" s="21">
        <f>VLOOKUP(A:A,[1]TDSheet!$A:$X,24,0)</f>
        <v>12.450199999999999</v>
      </c>
      <c r="X63" s="21">
        <f>VLOOKUP(A:A,[1]TDSheet!$A:$Y,25,0)</f>
        <v>4.6276000000000002</v>
      </c>
      <c r="Y63" s="21">
        <f>VLOOKUP(A:A,[1]TDSheet!$A:$Z,26,0)</f>
        <v>6.4956000000000005</v>
      </c>
      <c r="Z63" s="21">
        <f>VLOOKUP(A:A,[1]TDSheet!$A:$Q,17,0)</f>
        <v>9.6209999999999987</v>
      </c>
      <c r="AA63" s="21"/>
      <c r="AB63" s="21">
        <f t="shared" si="9"/>
        <v>68.385199999999998</v>
      </c>
    </row>
    <row r="64" spans="1:28" ht="11.1" customHeight="1" x14ac:dyDescent="0.2">
      <c r="A64" s="9" t="s">
        <v>68</v>
      </c>
      <c r="B64" s="9" t="s">
        <v>14</v>
      </c>
      <c r="C64" s="10">
        <v>6.8639999999999999</v>
      </c>
      <c r="D64" s="10">
        <v>16.553999999999998</v>
      </c>
      <c r="E64" s="10">
        <v>7.6929999999999996</v>
      </c>
      <c r="F64" s="10">
        <v>9.7080000000000002</v>
      </c>
      <c r="G64" s="5" t="str">
        <f>VLOOKUP(A:A,[1]TDSheet!$A:$G,7,0)</f>
        <v>P003266</v>
      </c>
      <c r="H64" s="5">
        <f>VLOOKUP(A:A,[1]TDSheet!$A:$H,8,0)</f>
        <v>1</v>
      </c>
      <c r="I64" s="5" t="str">
        <f>VLOOKUP(A:A,[1]TDSheet!$A:$I,9,0)</f>
        <v>матрица</v>
      </c>
      <c r="L64" s="21">
        <f>VLOOKUP(A:A,[2]TDSheet!$A:$B,2,0)</f>
        <v>19.100000000000001</v>
      </c>
      <c r="M64" s="21">
        <f t="shared" si="5"/>
        <v>-11.407000000000002</v>
      </c>
      <c r="N64" s="21"/>
      <c r="O64" s="21">
        <f>VLOOKUP(A:A,[1]TDSheet!$A:$O,15,0)</f>
        <v>0</v>
      </c>
      <c r="P64" s="21">
        <f>VLOOKUP(A:A,[1]TDSheet!$A:$R,18,0)</f>
        <v>0</v>
      </c>
      <c r="Q64" s="21">
        <f t="shared" si="10"/>
        <v>1.5386</v>
      </c>
      <c r="R64" s="22">
        <f t="shared" si="6"/>
        <v>7.2165999999999979</v>
      </c>
      <c r="S64" s="22"/>
      <c r="T64" s="21"/>
      <c r="U64" s="21">
        <f t="shared" si="7"/>
        <v>10.999999999999998</v>
      </c>
      <c r="V64" s="21">
        <f t="shared" si="8"/>
        <v>6.3096321331080203</v>
      </c>
      <c r="W64" s="21">
        <f>VLOOKUP(A:A,[1]TDSheet!$A:$X,24,0)</f>
        <v>3.5328000000000004</v>
      </c>
      <c r="X64" s="21">
        <f>VLOOKUP(A:A,[1]TDSheet!$A:$Y,25,0)</f>
        <v>2.7397999999999998</v>
      </c>
      <c r="Y64" s="21">
        <f>VLOOKUP(A:A,[1]TDSheet!$A:$Z,26,0)</f>
        <v>2.2021999999999999</v>
      </c>
      <c r="Z64" s="21">
        <f>VLOOKUP(A:A,[1]TDSheet!$A:$Q,17,0)</f>
        <v>1.609</v>
      </c>
      <c r="AA64" s="21"/>
      <c r="AB64" s="21">
        <f t="shared" si="9"/>
        <v>7.2165999999999979</v>
      </c>
    </row>
    <row r="65" spans="1:28" ht="11.1" customHeight="1" x14ac:dyDescent="0.2">
      <c r="A65" s="9" t="s">
        <v>69</v>
      </c>
      <c r="B65" s="9" t="s">
        <v>18</v>
      </c>
      <c r="C65" s="10">
        <v>307</v>
      </c>
      <c r="D65" s="10">
        <v>4</v>
      </c>
      <c r="E65" s="10">
        <v>306</v>
      </c>
      <c r="F65" s="10">
        <v>2</v>
      </c>
      <c r="G65" s="5" t="str">
        <f>VLOOKUP(A:A,[1]TDSheet!$A:$G,7,0)</f>
        <v>P003262</v>
      </c>
      <c r="H65" s="5">
        <f>VLOOKUP(A:A,[1]TDSheet!$A:$H,8,0)</f>
        <v>0.4</v>
      </c>
      <c r="I65" s="5" t="str">
        <f>VLOOKUP(A:A,[1]TDSheet!$A:$I,9,0)</f>
        <v>матрица</v>
      </c>
      <c r="L65" s="21">
        <f>VLOOKUP(A:A,[2]TDSheet!$A:$B,2,0)</f>
        <v>432</v>
      </c>
      <c r="M65" s="21">
        <f t="shared" si="5"/>
        <v>-126</v>
      </c>
      <c r="N65" s="21"/>
      <c r="O65" s="21">
        <f>VLOOKUP(A:A,[1]TDSheet!$A:$O,15,0)</f>
        <v>0</v>
      </c>
      <c r="P65" s="21">
        <f>VLOOKUP(A:A,[1]TDSheet!$A:$R,18,0)</f>
        <v>690</v>
      </c>
      <c r="Q65" s="21">
        <f t="shared" si="10"/>
        <v>61.2</v>
      </c>
      <c r="R65" s="22"/>
      <c r="S65" s="27">
        <v>100</v>
      </c>
      <c r="T65" s="25"/>
      <c r="U65" s="21">
        <f t="shared" si="7"/>
        <v>11.307189542483659</v>
      </c>
      <c r="V65" s="21">
        <f t="shared" si="8"/>
        <v>3.2679738562091505E-2</v>
      </c>
      <c r="W65" s="21">
        <f>VLOOKUP(A:A,[1]TDSheet!$A:$X,24,0)</f>
        <v>61.2</v>
      </c>
      <c r="X65" s="21">
        <f>VLOOKUP(A:A,[1]TDSheet!$A:$Y,25,0)</f>
        <v>83</v>
      </c>
      <c r="Y65" s="21">
        <f>VLOOKUP(A:A,[1]TDSheet!$A:$Z,26,0)</f>
        <v>62.8</v>
      </c>
      <c r="Z65" s="21">
        <f>VLOOKUP(A:A,[1]TDSheet!$A:$Q,17,0)</f>
        <v>81</v>
      </c>
      <c r="AA65" s="21"/>
      <c r="AB65" s="21">
        <f t="shared" si="9"/>
        <v>0</v>
      </c>
    </row>
    <row r="66" spans="1:28" ht="11.1" customHeight="1" x14ac:dyDescent="0.2">
      <c r="A66" s="9" t="s">
        <v>70</v>
      </c>
      <c r="B66" s="9" t="s">
        <v>18</v>
      </c>
      <c r="C66" s="10">
        <v>324</v>
      </c>
      <c r="D66" s="10">
        <v>184</v>
      </c>
      <c r="E66" s="10">
        <v>391</v>
      </c>
      <c r="F66" s="10">
        <v>109</v>
      </c>
      <c r="G66" s="5" t="str">
        <f>VLOOKUP(A:A,[1]TDSheet!$A:$G,7,0)</f>
        <v>P003265</v>
      </c>
      <c r="H66" s="5">
        <f>VLOOKUP(A:A,[1]TDSheet!$A:$H,8,0)</f>
        <v>0.4</v>
      </c>
      <c r="L66" s="21">
        <f>VLOOKUP(A:A,[2]TDSheet!$A:$B,2,0)</f>
        <v>395</v>
      </c>
      <c r="M66" s="21">
        <f t="shared" si="5"/>
        <v>-4</v>
      </c>
      <c r="N66" s="21"/>
      <c r="O66" s="21">
        <f>VLOOKUP(A:A,[1]TDSheet!$A:$O,15,0)</f>
        <v>0</v>
      </c>
      <c r="P66" s="21">
        <f>VLOOKUP(A:A,[1]TDSheet!$A:$R,18,0)</f>
        <v>460</v>
      </c>
      <c r="Q66" s="21">
        <f t="shared" si="10"/>
        <v>78.2</v>
      </c>
      <c r="R66" s="22">
        <f t="shared" si="6"/>
        <v>291.20000000000005</v>
      </c>
      <c r="S66" s="22"/>
      <c r="T66" s="21"/>
      <c r="U66" s="21">
        <f t="shared" si="7"/>
        <v>11</v>
      </c>
      <c r="V66" s="21">
        <f t="shared" si="8"/>
        <v>1.3938618925831201</v>
      </c>
      <c r="W66" s="21">
        <f>VLOOKUP(A:A,[1]TDSheet!$A:$X,24,0)</f>
        <v>63</v>
      </c>
      <c r="X66" s="21">
        <f>VLOOKUP(A:A,[1]TDSheet!$A:$Y,25,0)</f>
        <v>71.8</v>
      </c>
      <c r="Y66" s="21">
        <f>VLOOKUP(A:A,[1]TDSheet!$A:$Z,26,0)</f>
        <v>48.2</v>
      </c>
      <c r="Z66" s="21">
        <f>VLOOKUP(A:A,[1]TDSheet!$A:$Q,17,0)</f>
        <v>63.2</v>
      </c>
      <c r="AA66" s="21"/>
      <c r="AB66" s="21">
        <f t="shared" si="9"/>
        <v>116.48000000000002</v>
      </c>
    </row>
    <row r="67" spans="1:28" ht="21.95" customHeight="1" x14ac:dyDescent="0.2">
      <c r="A67" s="9" t="s">
        <v>71</v>
      </c>
      <c r="B67" s="9" t="s">
        <v>14</v>
      </c>
      <c r="C67" s="10">
        <v>73.400999999999996</v>
      </c>
      <c r="D67" s="10">
        <v>116.997</v>
      </c>
      <c r="E67" s="10">
        <v>107.26</v>
      </c>
      <c r="F67" s="10">
        <v>82.555999999999997</v>
      </c>
      <c r="G67" s="5" t="str">
        <f>VLOOKUP(A:A,[1]TDSheet!$A:$G,7,0)</f>
        <v>P003387</v>
      </c>
      <c r="H67" s="5">
        <f>VLOOKUP(A:A,[1]TDSheet!$A:$H,8,0)</f>
        <v>1</v>
      </c>
      <c r="I67" s="5" t="str">
        <f>VLOOKUP(A:A,[1]TDSheet!$A:$I,9,0)</f>
        <v>матрица</v>
      </c>
      <c r="L67" s="21">
        <f>VLOOKUP(A:A,[2]TDSheet!$A:$B,2,0)</f>
        <v>105.107</v>
      </c>
      <c r="M67" s="21">
        <f t="shared" si="5"/>
        <v>2.1530000000000058</v>
      </c>
      <c r="N67" s="21"/>
      <c r="O67" s="21">
        <f>VLOOKUP(A:A,[1]TDSheet!$A:$O,15,0)</f>
        <v>0</v>
      </c>
      <c r="P67" s="21">
        <f>VLOOKUP(A:A,[1]TDSheet!$A:$R,18,0)</f>
        <v>90</v>
      </c>
      <c r="Q67" s="21">
        <f t="shared" si="10"/>
        <v>21.452000000000002</v>
      </c>
      <c r="R67" s="22">
        <f t="shared" si="6"/>
        <v>63.415999999999997</v>
      </c>
      <c r="S67" s="22"/>
      <c r="T67" s="21"/>
      <c r="U67" s="21">
        <f t="shared" si="7"/>
        <v>10.999999999999998</v>
      </c>
      <c r="V67" s="21">
        <f t="shared" si="8"/>
        <v>3.8484057430542604</v>
      </c>
      <c r="W67" s="21">
        <f>VLOOKUP(A:A,[1]TDSheet!$A:$X,24,0)</f>
        <v>25.005199999999999</v>
      </c>
      <c r="X67" s="21">
        <f>VLOOKUP(A:A,[1]TDSheet!$A:$Y,25,0)</f>
        <v>29.2378</v>
      </c>
      <c r="Y67" s="21">
        <f>VLOOKUP(A:A,[1]TDSheet!$A:$Z,26,0)</f>
        <v>27.107199999999999</v>
      </c>
      <c r="Z67" s="21">
        <f>VLOOKUP(A:A,[1]TDSheet!$A:$Q,17,0)</f>
        <v>36.428600000000003</v>
      </c>
      <c r="AA67" s="21"/>
      <c r="AB67" s="21">
        <f t="shared" si="9"/>
        <v>63.415999999999997</v>
      </c>
    </row>
    <row r="68" spans="1:28" ht="11.1" customHeight="1" x14ac:dyDescent="0.2">
      <c r="A68" s="9" t="s">
        <v>72</v>
      </c>
      <c r="B68" s="9" t="s">
        <v>14</v>
      </c>
      <c r="C68" s="10">
        <v>83.34</v>
      </c>
      <c r="D68" s="10">
        <v>169.40199999999999</v>
      </c>
      <c r="E68" s="10">
        <v>162.584</v>
      </c>
      <c r="F68" s="10">
        <v>79.367999999999995</v>
      </c>
      <c r="G68" s="5" t="str">
        <f>VLOOKUP(A:A,[1]TDSheet!$A:$G,7,0)</f>
        <v>P003401</v>
      </c>
      <c r="H68" s="5">
        <f>VLOOKUP(A:A,[1]TDSheet!$A:$H,8,0)</f>
        <v>1</v>
      </c>
      <c r="I68" s="5" t="str">
        <f>VLOOKUP(A:A,[1]TDSheet!$A:$I,9,0)</f>
        <v>матрица</v>
      </c>
      <c r="L68" s="21">
        <f>VLOOKUP(A:A,[2]TDSheet!$A:$B,2,0)</f>
        <v>166.1</v>
      </c>
      <c r="M68" s="21">
        <f t="shared" si="5"/>
        <v>-3.5159999999999911</v>
      </c>
      <c r="N68" s="21"/>
      <c r="O68" s="21">
        <f>VLOOKUP(A:A,[1]TDSheet!$A:$O,15,0)</f>
        <v>0</v>
      </c>
      <c r="P68" s="21">
        <f>VLOOKUP(A:A,[1]TDSheet!$A:$R,18,0)</f>
        <v>220</v>
      </c>
      <c r="Q68" s="21">
        <f t="shared" si="10"/>
        <v>32.516800000000003</v>
      </c>
      <c r="R68" s="22">
        <f t="shared" si="6"/>
        <v>58.316800000000057</v>
      </c>
      <c r="S68" s="22"/>
      <c r="T68" s="21"/>
      <c r="U68" s="21">
        <f t="shared" si="7"/>
        <v>11</v>
      </c>
      <c r="V68" s="21">
        <f t="shared" si="8"/>
        <v>2.4408305860355259</v>
      </c>
      <c r="W68" s="21">
        <f>VLOOKUP(A:A,[1]TDSheet!$A:$X,24,0)</f>
        <v>26.104000000000003</v>
      </c>
      <c r="X68" s="21">
        <f>VLOOKUP(A:A,[1]TDSheet!$A:$Y,25,0)</f>
        <v>26.245200000000001</v>
      </c>
      <c r="Y68" s="21">
        <f>VLOOKUP(A:A,[1]TDSheet!$A:$Z,26,0)</f>
        <v>27.139800000000001</v>
      </c>
      <c r="Z68" s="21">
        <f>VLOOKUP(A:A,[1]TDSheet!$A:$Q,17,0)</f>
        <v>25.183799999999998</v>
      </c>
      <c r="AA68" s="21"/>
      <c r="AB68" s="21">
        <f t="shared" si="9"/>
        <v>58.316800000000057</v>
      </c>
    </row>
    <row r="69" spans="1:28" ht="11.1" customHeight="1" x14ac:dyDescent="0.2">
      <c r="A69" s="9" t="s">
        <v>73</v>
      </c>
      <c r="B69" s="9" t="s">
        <v>14</v>
      </c>
      <c r="C69" s="10">
        <v>255.77099999999999</v>
      </c>
      <c r="D69" s="10">
        <v>279.62599999999998</v>
      </c>
      <c r="E69" s="10">
        <v>423.86700000000002</v>
      </c>
      <c r="F69" s="10">
        <v>73.316999999999993</v>
      </c>
      <c r="G69" s="5" t="str">
        <f>VLOOKUP(A:A,[1]TDSheet!$A:$G,7,0)</f>
        <v>P003383</v>
      </c>
      <c r="H69" s="5">
        <f>VLOOKUP(A:A,[1]TDSheet!$A:$H,8,0)</f>
        <v>1</v>
      </c>
      <c r="I69" s="5" t="str">
        <f>VLOOKUP(A:A,[1]TDSheet!$A:$I,9,0)</f>
        <v>матрица</v>
      </c>
      <c r="L69" s="21">
        <f>VLOOKUP(A:A,[2]TDSheet!$A:$B,2,0)</f>
        <v>453.21</v>
      </c>
      <c r="M69" s="21">
        <f t="shared" si="5"/>
        <v>-29.342999999999961</v>
      </c>
      <c r="N69" s="21"/>
      <c r="O69" s="21">
        <f>VLOOKUP(A:A,[1]TDSheet!$A:$O,15,0)</f>
        <v>0</v>
      </c>
      <c r="P69" s="21">
        <f>VLOOKUP(A:A,[1]TDSheet!$A:$R,18,0)</f>
        <v>650</v>
      </c>
      <c r="Q69" s="21">
        <f t="shared" si="10"/>
        <v>84.773400000000009</v>
      </c>
      <c r="R69" s="22">
        <f t="shared" si="6"/>
        <v>209.19040000000007</v>
      </c>
      <c r="S69" s="22"/>
      <c r="T69" s="21"/>
      <c r="U69" s="21">
        <f t="shared" si="7"/>
        <v>11</v>
      </c>
      <c r="V69" s="21">
        <f t="shared" si="8"/>
        <v>0.86485855232891429</v>
      </c>
      <c r="W69" s="21">
        <f>VLOOKUP(A:A,[1]TDSheet!$A:$X,24,0)</f>
        <v>65.369</v>
      </c>
      <c r="X69" s="21">
        <f>VLOOKUP(A:A,[1]TDSheet!$A:$Y,25,0)</f>
        <v>79.146000000000001</v>
      </c>
      <c r="Y69" s="21">
        <f>VLOOKUP(A:A,[1]TDSheet!$A:$Z,26,0)</f>
        <v>68.245000000000005</v>
      </c>
      <c r="Z69" s="21">
        <f>VLOOKUP(A:A,[1]TDSheet!$A:$Q,17,0)</f>
        <v>99.697599999999994</v>
      </c>
      <c r="AA69" s="21"/>
      <c r="AB69" s="21">
        <f t="shared" si="9"/>
        <v>209.19040000000007</v>
      </c>
    </row>
    <row r="70" spans="1:28" ht="11.1" customHeight="1" x14ac:dyDescent="0.2">
      <c r="A70" s="9" t="s">
        <v>74</v>
      </c>
      <c r="B70" s="9" t="s">
        <v>14</v>
      </c>
      <c r="C70" s="10">
        <v>36.805</v>
      </c>
      <c r="D70" s="10">
        <v>205.59100000000001</v>
      </c>
      <c r="E70" s="10">
        <v>178.39099999999999</v>
      </c>
      <c r="F70" s="10">
        <v>35.466999999999999</v>
      </c>
      <c r="G70" s="5" t="str">
        <f>VLOOKUP(A:A,[1]TDSheet!$A:$G,7,0)</f>
        <v>P003384</v>
      </c>
      <c r="H70" s="5">
        <f>VLOOKUP(A:A,[1]TDSheet!$A:$H,8,0)</f>
        <v>1</v>
      </c>
      <c r="I70" s="5" t="str">
        <f>VLOOKUP(A:A,[1]TDSheet!$A:$I,9,0)</f>
        <v>матрица</v>
      </c>
      <c r="L70" s="21">
        <f>VLOOKUP(A:A,[2]TDSheet!$A:$B,2,0)</f>
        <v>199.78200000000001</v>
      </c>
      <c r="M70" s="21">
        <f t="shared" si="5"/>
        <v>-21.39100000000002</v>
      </c>
      <c r="N70" s="21"/>
      <c r="O70" s="21">
        <f>VLOOKUP(A:A,[1]TDSheet!$A:$O,15,0)</f>
        <v>0</v>
      </c>
      <c r="P70" s="21">
        <f>VLOOKUP(A:A,[1]TDSheet!$A:$R,18,0)</f>
        <v>50</v>
      </c>
      <c r="Q70" s="21">
        <f t="shared" si="10"/>
        <v>35.678199999999997</v>
      </c>
      <c r="R70" s="22">
        <f t="shared" si="6"/>
        <v>306.9932</v>
      </c>
      <c r="S70" s="22"/>
      <c r="T70" s="21"/>
      <c r="U70" s="21">
        <f t="shared" si="7"/>
        <v>11</v>
      </c>
      <c r="V70" s="21">
        <f t="shared" si="8"/>
        <v>0.99408041885521137</v>
      </c>
      <c r="W70" s="21">
        <f>VLOOKUP(A:A,[1]TDSheet!$A:$X,24,0)</f>
        <v>37.672800000000002</v>
      </c>
      <c r="X70" s="21">
        <f>VLOOKUP(A:A,[1]TDSheet!$A:$Y,25,0)</f>
        <v>34.772599999999997</v>
      </c>
      <c r="Y70" s="21">
        <f>VLOOKUP(A:A,[1]TDSheet!$A:$Z,26,0)</f>
        <v>32.616799999999998</v>
      </c>
      <c r="Z70" s="21">
        <f>VLOOKUP(A:A,[1]TDSheet!$A:$Q,17,0)</f>
        <v>34.079599999999999</v>
      </c>
      <c r="AA70" s="21"/>
      <c r="AB70" s="21">
        <f t="shared" si="9"/>
        <v>306.9932</v>
      </c>
    </row>
    <row r="71" spans="1:28" ht="11.1" customHeight="1" x14ac:dyDescent="0.2">
      <c r="A71" s="9" t="s">
        <v>75</v>
      </c>
      <c r="B71" s="9" t="s">
        <v>14</v>
      </c>
      <c r="C71" s="10">
        <v>290.35199999999998</v>
      </c>
      <c r="D71" s="10">
        <v>462.726</v>
      </c>
      <c r="E71" s="10">
        <v>190.137</v>
      </c>
      <c r="F71" s="10">
        <v>543.81899999999996</v>
      </c>
      <c r="G71" s="5" t="str">
        <f>VLOOKUP(A:A,[1]TDSheet!$A:$G,7,0)</f>
        <v>P003883</v>
      </c>
      <c r="H71" s="5">
        <f>VLOOKUP(A:A,[1]TDSheet!$A:$H,8,0)</f>
        <v>1</v>
      </c>
      <c r="L71" s="21">
        <f>VLOOKUP(A:A,[2]TDSheet!$A:$B,2,0)</f>
        <v>205.934</v>
      </c>
      <c r="M71" s="21">
        <f t="shared" si="5"/>
        <v>-15.796999999999997</v>
      </c>
      <c r="N71" s="21"/>
      <c r="O71" s="21">
        <f>VLOOKUP(A:A,[1]TDSheet!$A:$O,15,0)</f>
        <v>0</v>
      </c>
      <c r="P71" s="21">
        <f>VLOOKUP(A:A,[1]TDSheet!$A:$R,18,0)</f>
        <v>180</v>
      </c>
      <c r="Q71" s="21">
        <f t="shared" si="10"/>
        <v>38.0274</v>
      </c>
      <c r="R71" s="22"/>
      <c r="S71" s="22"/>
      <c r="T71" s="21"/>
      <c r="U71" s="21">
        <f t="shared" si="7"/>
        <v>19.034143801574654</v>
      </c>
      <c r="V71" s="21">
        <f t="shared" si="8"/>
        <v>14.30071474778712</v>
      </c>
      <c r="W71" s="21">
        <f>VLOOKUP(A:A,[1]TDSheet!$A:$X,24,0)</f>
        <v>31.822600000000001</v>
      </c>
      <c r="X71" s="21">
        <f>VLOOKUP(A:A,[1]TDSheet!$A:$Y,25,0)</f>
        <v>59.592200000000005</v>
      </c>
      <c r="Y71" s="21">
        <f>VLOOKUP(A:A,[1]TDSheet!$A:$Z,26,0)</f>
        <v>49.133600000000001</v>
      </c>
      <c r="Z71" s="21">
        <f>VLOOKUP(A:A,[1]TDSheet!$A:$Q,17,0)</f>
        <v>37.032400000000003</v>
      </c>
      <c r="AA71" s="21" t="str">
        <f>VLOOKUP(A:A,[1]TDSheet!$A:$AA,27,0)</f>
        <v>Промо</v>
      </c>
      <c r="AB71" s="21">
        <f t="shared" si="9"/>
        <v>0</v>
      </c>
    </row>
    <row r="72" spans="1:28" ht="11.1" customHeight="1" x14ac:dyDescent="0.2">
      <c r="A72" s="9" t="s">
        <v>76</v>
      </c>
      <c r="B72" s="9" t="s">
        <v>18</v>
      </c>
      <c r="C72" s="10">
        <v>104</v>
      </c>
      <c r="D72" s="10">
        <v>88</v>
      </c>
      <c r="E72" s="10">
        <v>137</v>
      </c>
      <c r="F72" s="10">
        <v>55</v>
      </c>
      <c r="G72" s="5" t="str">
        <f>VLOOKUP(A:A,[1]TDSheet!$A:$G,7,0)</f>
        <v>P004689</v>
      </c>
      <c r="H72" s="5">
        <f>VLOOKUP(A:A,[1]TDSheet!$A:$H,8,0)</f>
        <v>0.6</v>
      </c>
      <c r="I72" s="5" t="str">
        <f>VLOOKUP(A:A,[1]TDSheet!$A:$I,9,0)</f>
        <v>матрица</v>
      </c>
      <c r="L72" s="21">
        <f>VLOOKUP(A:A,[2]TDSheet!$A:$B,2,0)</f>
        <v>132</v>
      </c>
      <c r="M72" s="21">
        <f t="shared" si="5"/>
        <v>5</v>
      </c>
      <c r="N72" s="21"/>
      <c r="O72" s="21">
        <f>VLOOKUP(A:A,[1]TDSheet!$A:$O,15,0)</f>
        <v>0</v>
      </c>
      <c r="P72" s="21">
        <f>VLOOKUP(A:A,[1]TDSheet!$A:$R,18,0)</f>
        <v>170</v>
      </c>
      <c r="Q72" s="21">
        <f t="shared" si="10"/>
        <v>27.4</v>
      </c>
      <c r="R72" s="22">
        <f t="shared" si="6"/>
        <v>76.399999999999977</v>
      </c>
      <c r="S72" s="22"/>
      <c r="T72" s="21"/>
      <c r="U72" s="21">
        <f t="shared" si="7"/>
        <v>11</v>
      </c>
      <c r="V72" s="21">
        <f t="shared" si="8"/>
        <v>2.007299270072993</v>
      </c>
      <c r="W72" s="21">
        <f>VLOOKUP(A:A,[1]TDSheet!$A:$X,24,0)</f>
        <v>10.6</v>
      </c>
      <c r="X72" s="21">
        <f>VLOOKUP(A:A,[1]TDSheet!$A:$Y,25,0)</f>
        <v>23.6</v>
      </c>
      <c r="Y72" s="21">
        <f>VLOOKUP(A:A,[1]TDSheet!$A:$Z,26,0)</f>
        <v>10.4</v>
      </c>
      <c r="Z72" s="21">
        <f>VLOOKUP(A:A,[1]TDSheet!$A:$Q,17,0)</f>
        <v>17.2</v>
      </c>
      <c r="AA72" s="21"/>
      <c r="AB72" s="21">
        <f t="shared" si="9"/>
        <v>45.839999999999982</v>
      </c>
    </row>
    <row r="73" spans="1:28" ht="11.1" customHeight="1" x14ac:dyDescent="0.2">
      <c r="A73" s="9" t="s">
        <v>77</v>
      </c>
      <c r="B73" s="9" t="s">
        <v>18</v>
      </c>
      <c r="C73" s="10">
        <v>151</v>
      </c>
      <c r="D73" s="10">
        <v>185</v>
      </c>
      <c r="E73" s="10">
        <v>154</v>
      </c>
      <c r="F73" s="10">
        <v>156</v>
      </c>
      <c r="G73" s="5" t="str">
        <f>VLOOKUP(A:A,[1]TDSheet!$A:$G,7,0)</f>
        <v>P004688</v>
      </c>
      <c r="H73" s="5">
        <f>VLOOKUP(A:A,[1]TDSheet!$A:$H,8,0)</f>
        <v>0.6</v>
      </c>
      <c r="I73" s="5" t="str">
        <f>VLOOKUP(A:A,[1]TDSheet!$A:$I,9,0)</f>
        <v>матрица</v>
      </c>
      <c r="L73" s="21">
        <f>VLOOKUP(A:A,[2]TDSheet!$A:$B,2,0)</f>
        <v>206</v>
      </c>
      <c r="M73" s="21">
        <f t="shared" si="5"/>
        <v>-52</v>
      </c>
      <c r="N73" s="21"/>
      <c r="O73" s="21">
        <f>VLOOKUP(A:A,[1]TDSheet!$A:$O,15,0)</f>
        <v>0</v>
      </c>
      <c r="P73" s="21">
        <f>VLOOKUP(A:A,[1]TDSheet!$A:$R,18,0)</f>
        <v>400</v>
      </c>
      <c r="Q73" s="21">
        <f t="shared" si="10"/>
        <v>30.8</v>
      </c>
      <c r="R73" s="22"/>
      <c r="S73" s="22"/>
      <c r="T73" s="21"/>
      <c r="U73" s="21">
        <f t="shared" si="7"/>
        <v>18.051948051948052</v>
      </c>
      <c r="V73" s="21">
        <f t="shared" si="8"/>
        <v>5.0649350649350646</v>
      </c>
      <c r="W73" s="21">
        <f>VLOOKUP(A:A,[1]TDSheet!$A:$X,24,0)</f>
        <v>30.8</v>
      </c>
      <c r="X73" s="21">
        <f>VLOOKUP(A:A,[1]TDSheet!$A:$Y,25,0)</f>
        <v>29</v>
      </c>
      <c r="Y73" s="21">
        <f>VLOOKUP(A:A,[1]TDSheet!$A:$Z,26,0)</f>
        <v>34.200000000000003</v>
      </c>
      <c r="Z73" s="21">
        <f>VLOOKUP(A:A,[1]TDSheet!$A:$Q,17,0)</f>
        <v>38.200000000000003</v>
      </c>
      <c r="AA73" s="21"/>
      <c r="AB73" s="21">
        <f t="shared" si="9"/>
        <v>0</v>
      </c>
    </row>
    <row r="74" spans="1:28" ht="11.1" customHeight="1" x14ac:dyDescent="0.2">
      <c r="A74" s="9" t="s">
        <v>78</v>
      </c>
      <c r="B74" s="9" t="s">
        <v>18</v>
      </c>
      <c r="C74" s="10">
        <v>68</v>
      </c>
      <c r="D74" s="10">
        <v>120</v>
      </c>
      <c r="E74" s="10">
        <v>74</v>
      </c>
      <c r="F74" s="10">
        <v>114</v>
      </c>
      <c r="G74" s="5" t="str">
        <f>VLOOKUP(A:A,[1]TDSheet!$A:$G,7,0)</f>
        <v>P003437</v>
      </c>
      <c r="H74" s="5">
        <f>VLOOKUP(A:A,[1]TDSheet!$A:$H,8,0)</f>
        <v>0.4</v>
      </c>
      <c r="I74" s="5" t="str">
        <f>VLOOKUP(A:A,[1]TDSheet!$A:$I,9,0)</f>
        <v>матрица</v>
      </c>
      <c r="L74" s="21">
        <f>VLOOKUP(A:A,[2]TDSheet!$A:$B,2,0)</f>
        <v>94</v>
      </c>
      <c r="M74" s="21">
        <f t="shared" si="5"/>
        <v>-20</v>
      </c>
      <c r="N74" s="21"/>
      <c r="O74" s="21">
        <f>VLOOKUP(A:A,[1]TDSheet!$A:$O,15,0)</f>
        <v>0</v>
      </c>
      <c r="P74" s="21">
        <f>VLOOKUP(A:A,[1]TDSheet!$A:$R,18,0)</f>
        <v>100</v>
      </c>
      <c r="Q74" s="21">
        <f t="shared" si="10"/>
        <v>14.8</v>
      </c>
      <c r="R74" s="22"/>
      <c r="S74" s="22"/>
      <c r="T74" s="21"/>
      <c r="U74" s="21">
        <f t="shared" si="7"/>
        <v>14.45945945945946</v>
      </c>
      <c r="V74" s="21">
        <f t="shared" si="8"/>
        <v>7.7027027027027026</v>
      </c>
      <c r="W74" s="21">
        <f>VLOOKUP(A:A,[1]TDSheet!$A:$X,24,0)</f>
        <v>24.4</v>
      </c>
      <c r="X74" s="21">
        <f>VLOOKUP(A:A,[1]TDSheet!$A:$Y,25,0)</f>
        <v>18.2</v>
      </c>
      <c r="Y74" s="21">
        <f>VLOOKUP(A:A,[1]TDSheet!$A:$Z,26,0)</f>
        <v>17.600000000000001</v>
      </c>
      <c r="Z74" s="21">
        <f>VLOOKUP(A:A,[1]TDSheet!$A:$Q,17,0)</f>
        <v>18.399999999999999</v>
      </c>
      <c r="AA74" s="21"/>
      <c r="AB74" s="21">
        <f t="shared" si="9"/>
        <v>0</v>
      </c>
    </row>
    <row r="75" spans="1:28" ht="11.1" customHeight="1" x14ac:dyDescent="0.2">
      <c r="A75" s="9" t="s">
        <v>79</v>
      </c>
      <c r="B75" s="9" t="s">
        <v>18</v>
      </c>
      <c r="C75" s="10">
        <v>41</v>
      </c>
      <c r="D75" s="10">
        <v>264</v>
      </c>
      <c r="E75" s="10">
        <v>117</v>
      </c>
      <c r="F75" s="10">
        <v>193</v>
      </c>
      <c r="G75" s="5" t="str">
        <f>VLOOKUP(A:A,[1]TDSheet!$A:$G,7,0)</f>
        <v>P003438</v>
      </c>
      <c r="H75" s="5">
        <f>VLOOKUP(A:A,[1]TDSheet!$A:$H,8,0)</f>
        <v>0.33</v>
      </c>
      <c r="I75" s="5" t="str">
        <f>VLOOKUP(A:A,[1]TDSheet!$A:$I,9,0)</f>
        <v>матрица</v>
      </c>
      <c r="L75" s="21">
        <f>VLOOKUP(A:A,[2]TDSheet!$A:$B,2,0)</f>
        <v>152</v>
      </c>
      <c r="M75" s="21">
        <f t="shared" si="5"/>
        <v>-35</v>
      </c>
      <c r="N75" s="21"/>
      <c r="O75" s="21">
        <f>VLOOKUP(A:A,[1]TDSheet!$A:$O,15,0)</f>
        <v>0</v>
      </c>
      <c r="P75" s="21">
        <f>VLOOKUP(A:A,[1]TDSheet!$A:$R,18,0)</f>
        <v>150</v>
      </c>
      <c r="Q75" s="21">
        <f t="shared" si="10"/>
        <v>23.4</v>
      </c>
      <c r="R75" s="22"/>
      <c r="S75" s="22"/>
      <c r="T75" s="21"/>
      <c r="U75" s="21">
        <f t="shared" si="7"/>
        <v>14.658119658119659</v>
      </c>
      <c r="V75" s="21">
        <f t="shared" si="8"/>
        <v>8.2478632478632488</v>
      </c>
      <c r="W75" s="21">
        <f>VLOOKUP(A:A,[1]TDSheet!$A:$X,24,0)</f>
        <v>22</v>
      </c>
      <c r="X75" s="21">
        <f>VLOOKUP(A:A,[1]TDSheet!$A:$Y,25,0)</f>
        <v>21.8</v>
      </c>
      <c r="Y75" s="21">
        <f>VLOOKUP(A:A,[1]TDSheet!$A:$Z,26,0)</f>
        <v>29</v>
      </c>
      <c r="Z75" s="21">
        <f>VLOOKUP(A:A,[1]TDSheet!$A:$Q,17,0)</f>
        <v>25.2</v>
      </c>
      <c r="AA75" s="21"/>
      <c r="AB75" s="21">
        <f t="shared" si="9"/>
        <v>0</v>
      </c>
    </row>
    <row r="76" spans="1:28" ht="21.95" customHeight="1" x14ac:dyDescent="0.2">
      <c r="A76" s="9" t="s">
        <v>80</v>
      </c>
      <c r="B76" s="9" t="s">
        <v>18</v>
      </c>
      <c r="C76" s="10">
        <v>59</v>
      </c>
      <c r="D76" s="10">
        <v>168</v>
      </c>
      <c r="E76" s="10">
        <v>99</v>
      </c>
      <c r="F76" s="10">
        <v>128</v>
      </c>
      <c r="G76" s="5" t="str">
        <f>VLOOKUP(A:A,[1]TDSheet!$A:$G,7,0)</f>
        <v>P003442</v>
      </c>
      <c r="H76" s="5">
        <f>VLOOKUP(A:A,[1]TDSheet!$A:$H,8,0)</f>
        <v>0.35</v>
      </c>
      <c r="I76" s="5" t="str">
        <f>VLOOKUP(A:A,[1]TDSheet!$A:$I,9,0)</f>
        <v>матрица</v>
      </c>
      <c r="L76" s="21">
        <f>VLOOKUP(A:A,[2]TDSheet!$A:$B,2,0)</f>
        <v>103</v>
      </c>
      <c r="M76" s="21">
        <f t="shared" ref="M76:M117" si="11">E76-L76</f>
        <v>-4</v>
      </c>
      <c r="N76" s="21"/>
      <c r="O76" s="21">
        <f>VLOOKUP(A:A,[1]TDSheet!$A:$O,15,0)</f>
        <v>0</v>
      </c>
      <c r="P76" s="21">
        <f>VLOOKUP(A:A,[1]TDSheet!$A:$R,18,0)</f>
        <v>160</v>
      </c>
      <c r="Q76" s="21">
        <f t="shared" ref="Q76:Q117" si="12">E76/5</f>
        <v>19.8</v>
      </c>
      <c r="R76" s="22"/>
      <c r="S76" s="22"/>
      <c r="T76" s="21"/>
      <c r="U76" s="21">
        <f t="shared" ref="U76:U117" si="13">(F76+O76+P76+R76)/Q76</f>
        <v>14.545454545454545</v>
      </c>
      <c r="V76" s="21">
        <f t="shared" ref="V76:V117" si="14">F76/Q76</f>
        <v>6.4646464646464645</v>
      </c>
      <c r="W76" s="21">
        <f>VLOOKUP(A:A,[1]TDSheet!$A:$X,24,0)</f>
        <v>26.4</v>
      </c>
      <c r="X76" s="21">
        <f>VLOOKUP(A:A,[1]TDSheet!$A:$Y,25,0)</f>
        <v>20.399999999999999</v>
      </c>
      <c r="Y76" s="21">
        <f>VLOOKUP(A:A,[1]TDSheet!$A:$Z,26,0)</f>
        <v>25.4</v>
      </c>
      <c r="Z76" s="21">
        <f>VLOOKUP(A:A,[1]TDSheet!$A:$Q,17,0)</f>
        <v>25.2</v>
      </c>
      <c r="AA76" s="21"/>
      <c r="AB76" s="21">
        <f t="shared" ref="AB76:AB117" si="15">R76*H76</f>
        <v>0</v>
      </c>
    </row>
    <row r="77" spans="1:28" ht="21.95" customHeight="1" x14ac:dyDescent="0.2">
      <c r="A77" s="9" t="s">
        <v>81</v>
      </c>
      <c r="B77" s="9" t="s">
        <v>18</v>
      </c>
      <c r="C77" s="10">
        <v>30</v>
      </c>
      <c r="D77" s="10">
        <v>104</v>
      </c>
      <c r="E77" s="10">
        <v>54</v>
      </c>
      <c r="F77" s="10">
        <v>74</v>
      </c>
      <c r="G77" s="5" t="str">
        <f>VLOOKUP(A:A,[1]TDSheet!$A:$G,7,0)</f>
        <v>Р004923</v>
      </c>
      <c r="H77" s="5">
        <f>VLOOKUP(A:A,[1]TDSheet!$A:$H,8,0)</f>
        <v>0.6</v>
      </c>
      <c r="I77" s="5" t="str">
        <f>VLOOKUP(A:A,[1]TDSheet!$A:$I,9,0)</f>
        <v>ВНИМАНИЕ / матрица</v>
      </c>
      <c r="L77" s="21">
        <f>VLOOKUP(A:A,[2]TDSheet!$A:$B,2,0)</f>
        <v>79</v>
      </c>
      <c r="M77" s="21">
        <f t="shared" si="11"/>
        <v>-25</v>
      </c>
      <c r="N77" s="21"/>
      <c r="O77" s="21">
        <f>VLOOKUP(A:A,[1]TDSheet!$A:$O,15,0)</f>
        <v>0</v>
      </c>
      <c r="P77" s="21">
        <f>VLOOKUP(A:A,[1]TDSheet!$A:$R,18,0)</f>
        <v>70</v>
      </c>
      <c r="Q77" s="21">
        <f t="shared" si="12"/>
        <v>10.8</v>
      </c>
      <c r="R77" s="22"/>
      <c r="S77" s="22"/>
      <c r="T77" s="21"/>
      <c r="U77" s="21">
        <f t="shared" si="13"/>
        <v>13.333333333333332</v>
      </c>
      <c r="V77" s="21">
        <f t="shared" si="14"/>
        <v>6.8518518518518512</v>
      </c>
      <c r="W77" s="21">
        <f>VLOOKUP(A:A,[1]TDSheet!$A:$X,24,0)</f>
        <v>7.4</v>
      </c>
      <c r="X77" s="21">
        <f>VLOOKUP(A:A,[1]TDSheet!$A:$Y,25,0)</f>
        <v>14</v>
      </c>
      <c r="Y77" s="21">
        <f>VLOOKUP(A:A,[1]TDSheet!$A:$Z,26,0)</f>
        <v>11.4</v>
      </c>
      <c r="Z77" s="21">
        <f>VLOOKUP(A:A,[1]TDSheet!$A:$Q,17,0)</f>
        <v>6.4</v>
      </c>
      <c r="AA77" s="21"/>
      <c r="AB77" s="21">
        <f t="shared" si="15"/>
        <v>0</v>
      </c>
    </row>
    <row r="78" spans="1:28" ht="11.1" customHeight="1" x14ac:dyDescent="0.2">
      <c r="A78" s="9" t="s">
        <v>82</v>
      </c>
      <c r="B78" s="9" t="s">
        <v>18</v>
      </c>
      <c r="C78" s="10">
        <v>-2</v>
      </c>
      <c r="D78" s="10">
        <v>54</v>
      </c>
      <c r="E78" s="10">
        <v>-1</v>
      </c>
      <c r="F78" s="10">
        <v>49</v>
      </c>
      <c r="G78" s="5" t="str">
        <f>VLOOKUP(A:A,[1]TDSheet!$A:$G,7,0)</f>
        <v>Р002644</v>
      </c>
      <c r="H78" s="5">
        <f>VLOOKUP(A:A,[1]TDSheet!$A:$H,8,0)</f>
        <v>0.33</v>
      </c>
      <c r="I78" s="5">
        <f>VLOOKUP(A:A,[1]TDSheet!$A:$I,9,0)</f>
        <v>0</v>
      </c>
      <c r="L78" s="21">
        <f>VLOOKUP(A:A,[2]TDSheet!$A:$B,2,0)</f>
        <v>3</v>
      </c>
      <c r="M78" s="21">
        <f t="shared" si="11"/>
        <v>-4</v>
      </c>
      <c r="N78" s="21"/>
      <c r="O78" s="21">
        <f>VLOOKUP(A:A,[1]TDSheet!$A:$O,15,0)</f>
        <v>0</v>
      </c>
      <c r="P78" s="21">
        <f>VLOOKUP(A:A,[1]TDSheet!$A:$R,18,0)</f>
        <v>0</v>
      </c>
      <c r="Q78" s="21">
        <f t="shared" si="12"/>
        <v>-0.2</v>
      </c>
      <c r="R78" s="22"/>
      <c r="S78" s="22"/>
      <c r="T78" s="21"/>
      <c r="U78" s="21">
        <f t="shared" si="13"/>
        <v>-245</v>
      </c>
      <c r="V78" s="21">
        <f t="shared" si="14"/>
        <v>-245</v>
      </c>
      <c r="W78" s="21">
        <f>VLOOKUP(A:A,[1]TDSheet!$A:$X,24,0)</f>
        <v>4.5999999999999996</v>
      </c>
      <c r="X78" s="21">
        <f>VLOOKUP(A:A,[1]TDSheet!$A:$Y,25,0)</f>
        <v>5.8</v>
      </c>
      <c r="Y78" s="21">
        <f>VLOOKUP(A:A,[1]TDSheet!$A:$Z,26,0)</f>
        <v>5.6</v>
      </c>
      <c r="Z78" s="21">
        <f>VLOOKUP(A:A,[1]TDSheet!$A:$Q,17,0)</f>
        <v>7</v>
      </c>
      <c r="AA78" s="21"/>
      <c r="AB78" s="21">
        <f t="shared" si="15"/>
        <v>0</v>
      </c>
    </row>
    <row r="79" spans="1:28" ht="11.1" customHeight="1" x14ac:dyDescent="0.2">
      <c r="A79" s="9" t="s">
        <v>83</v>
      </c>
      <c r="B79" s="9" t="s">
        <v>18</v>
      </c>
      <c r="C79" s="10">
        <v>35</v>
      </c>
      <c r="D79" s="10"/>
      <c r="E79" s="10">
        <v>34</v>
      </c>
      <c r="F79" s="10"/>
      <c r="G79" s="5" t="str">
        <f>VLOOKUP(A:A,[1]TDSheet!$A:$G,7,0)</f>
        <v>P004586</v>
      </c>
      <c r="H79" s="5">
        <f>VLOOKUP(A:A,[1]TDSheet!$A:$H,8,0)</f>
        <v>0.4</v>
      </c>
      <c r="I79" s="5" t="str">
        <f>VLOOKUP(A:A,[1]TDSheet!$A:$I,9,0)</f>
        <v>матрица</v>
      </c>
      <c r="L79" s="21">
        <f>VLOOKUP(A:A,[2]TDSheet!$A:$B,2,0)</f>
        <v>36</v>
      </c>
      <c r="M79" s="21">
        <f t="shared" si="11"/>
        <v>-2</v>
      </c>
      <c r="N79" s="21"/>
      <c r="O79" s="21">
        <f>VLOOKUP(A:A,[1]TDSheet!$A:$O,15,0)</f>
        <v>0</v>
      </c>
      <c r="P79" s="21">
        <f>VLOOKUP(A:A,[1]TDSheet!$A:$R,18,0)</f>
        <v>20</v>
      </c>
      <c r="Q79" s="21">
        <f t="shared" si="12"/>
        <v>6.8</v>
      </c>
      <c r="R79" s="22">
        <f t="shared" ref="R79:R111" si="16">11*Q79-F79-O79-P79</f>
        <v>54.8</v>
      </c>
      <c r="S79" s="22"/>
      <c r="T79" s="21"/>
      <c r="U79" s="21">
        <f t="shared" si="13"/>
        <v>11</v>
      </c>
      <c r="V79" s="21">
        <f t="shared" si="14"/>
        <v>0</v>
      </c>
      <c r="W79" s="21">
        <f>VLOOKUP(A:A,[1]TDSheet!$A:$X,24,0)</f>
        <v>6.2</v>
      </c>
      <c r="X79" s="21">
        <f>VLOOKUP(A:A,[1]TDSheet!$A:$Y,25,0)</f>
        <v>6.4</v>
      </c>
      <c r="Y79" s="21">
        <f>VLOOKUP(A:A,[1]TDSheet!$A:$Z,26,0)</f>
        <v>3.2</v>
      </c>
      <c r="Z79" s="21">
        <f>VLOOKUP(A:A,[1]TDSheet!$A:$Q,17,0)</f>
        <v>8.1999999999999993</v>
      </c>
      <c r="AA79" s="21"/>
      <c r="AB79" s="21">
        <f t="shared" si="15"/>
        <v>21.92</v>
      </c>
    </row>
    <row r="80" spans="1:28" ht="11.1" customHeight="1" x14ac:dyDescent="0.2">
      <c r="A80" s="9" t="s">
        <v>84</v>
      </c>
      <c r="B80" s="9" t="s">
        <v>18</v>
      </c>
      <c r="C80" s="10">
        <v>64</v>
      </c>
      <c r="D80" s="10"/>
      <c r="E80" s="10">
        <v>47</v>
      </c>
      <c r="F80" s="10">
        <v>19</v>
      </c>
      <c r="G80" s="5" t="str">
        <f>VLOOKUP(A:A,[1]TDSheet!$A:$G,7,0)</f>
        <v>P003364</v>
      </c>
      <c r="H80" s="5">
        <f>VLOOKUP(A:A,[1]TDSheet!$A:$H,8,0)</f>
        <v>0.35</v>
      </c>
      <c r="I80" s="5" t="str">
        <f>VLOOKUP(A:A,[1]TDSheet!$A:$I,9,0)</f>
        <v>матрица</v>
      </c>
      <c r="L80" s="21">
        <f>VLOOKUP(A:A,[2]TDSheet!$A:$B,2,0)</f>
        <v>44</v>
      </c>
      <c r="M80" s="21">
        <f t="shared" si="11"/>
        <v>3</v>
      </c>
      <c r="N80" s="21"/>
      <c r="O80" s="21">
        <f>VLOOKUP(A:A,[1]TDSheet!$A:$O,15,0)</f>
        <v>0</v>
      </c>
      <c r="P80" s="21">
        <f>VLOOKUP(A:A,[1]TDSheet!$A:$R,18,0)</f>
        <v>20</v>
      </c>
      <c r="Q80" s="21">
        <f t="shared" si="12"/>
        <v>9.4</v>
      </c>
      <c r="R80" s="22">
        <f t="shared" si="16"/>
        <v>64.400000000000006</v>
      </c>
      <c r="S80" s="22"/>
      <c r="T80" s="21"/>
      <c r="U80" s="21">
        <f t="shared" si="13"/>
        <v>11</v>
      </c>
      <c r="V80" s="21">
        <f t="shared" si="14"/>
        <v>2.021276595744681</v>
      </c>
      <c r="W80" s="21">
        <f>VLOOKUP(A:A,[1]TDSheet!$A:$X,24,0)</f>
        <v>3.6</v>
      </c>
      <c r="X80" s="21">
        <f>VLOOKUP(A:A,[1]TDSheet!$A:$Y,25,0)</f>
        <v>9.1999999999999993</v>
      </c>
      <c r="Y80" s="21">
        <f>VLOOKUP(A:A,[1]TDSheet!$A:$Z,26,0)</f>
        <v>2.6</v>
      </c>
      <c r="Z80" s="21">
        <f>VLOOKUP(A:A,[1]TDSheet!$A:$Q,17,0)</f>
        <v>8.6</v>
      </c>
      <c r="AA80" s="21"/>
      <c r="AB80" s="21">
        <f t="shared" si="15"/>
        <v>22.54</v>
      </c>
    </row>
    <row r="81" spans="1:28" ht="11.1" customHeight="1" x14ac:dyDescent="0.2">
      <c r="A81" s="24" t="s">
        <v>85</v>
      </c>
      <c r="B81" s="9" t="s">
        <v>18</v>
      </c>
      <c r="C81" s="10">
        <v>-4</v>
      </c>
      <c r="D81" s="10">
        <v>396</v>
      </c>
      <c r="E81" s="10">
        <v>102</v>
      </c>
      <c r="F81" s="10">
        <v>289</v>
      </c>
      <c r="G81" s="5" t="str">
        <f>VLOOKUP(A:A,[1]TDSheet!$A:$G,7,0)</f>
        <v>P003363</v>
      </c>
      <c r="H81" s="5">
        <f>VLOOKUP(A:A,[1]TDSheet!$A:$H,8,0)</f>
        <v>0.35</v>
      </c>
      <c r="I81" s="5" t="str">
        <f>VLOOKUP(A:A,[1]TDSheet!$A:$I,9,0)</f>
        <v>матрица</v>
      </c>
      <c r="L81" s="21">
        <f>VLOOKUP(A:A,[2]TDSheet!$A:$B,2,0)</f>
        <v>105</v>
      </c>
      <c r="M81" s="21">
        <f t="shared" si="11"/>
        <v>-3</v>
      </c>
      <c r="N81" s="21"/>
      <c r="O81" s="21">
        <f>VLOOKUP(A:A,[1]TDSheet!$A:$O,15,0)</f>
        <v>0</v>
      </c>
      <c r="P81" s="21">
        <f>VLOOKUP(A:A,[1]TDSheet!$A:$R,18,0)</f>
        <v>190</v>
      </c>
      <c r="Q81" s="21">
        <f t="shared" si="12"/>
        <v>20.399999999999999</v>
      </c>
      <c r="R81" s="22"/>
      <c r="S81" s="22"/>
      <c r="T81" s="21"/>
      <c r="U81" s="21">
        <f t="shared" si="13"/>
        <v>23.480392156862745</v>
      </c>
      <c r="V81" s="21">
        <f t="shared" si="14"/>
        <v>14.166666666666668</v>
      </c>
      <c r="W81" s="21">
        <f>VLOOKUP(A:A,[1]TDSheet!$A:$X,24,0)</f>
        <v>20.399999999999999</v>
      </c>
      <c r="X81" s="21">
        <f>VLOOKUP(A:A,[1]TDSheet!$A:$Y,25,0)</f>
        <v>22</v>
      </c>
      <c r="Y81" s="21">
        <f>VLOOKUP(A:A,[1]TDSheet!$A:$Z,26,0)</f>
        <v>29.4</v>
      </c>
      <c r="Z81" s="21">
        <f>VLOOKUP(A:A,[1]TDSheet!$A:$Q,17,0)</f>
        <v>17.600000000000001</v>
      </c>
      <c r="AA81" s="21"/>
      <c r="AB81" s="21">
        <f t="shared" si="15"/>
        <v>0</v>
      </c>
    </row>
    <row r="82" spans="1:28" ht="11.1" customHeight="1" x14ac:dyDescent="0.2">
      <c r="A82" s="9" t="s">
        <v>86</v>
      </c>
      <c r="B82" s="9" t="s">
        <v>14</v>
      </c>
      <c r="C82" s="10">
        <v>86.787000000000006</v>
      </c>
      <c r="D82" s="10">
        <v>200.364</v>
      </c>
      <c r="E82" s="10">
        <v>199.39599999999999</v>
      </c>
      <c r="F82" s="10">
        <v>88.634</v>
      </c>
      <c r="G82" s="5" t="str">
        <f>VLOOKUP(A:A,[1]TDSheet!$A:$G,7,0)</f>
        <v>P002989</v>
      </c>
      <c r="H82" s="5">
        <f>VLOOKUP(A:A,[1]TDSheet!$A:$H,8,0)</f>
        <v>1</v>
      </c>
      <c r="I82" s="5" t="str">
        <f>VLOOKUP(A:A,[1]TDSheet!$A:$I,9,0)</f>
        <v>матрица</v>
      </c>
      <c r="L82" s="21">
        <f>VLOOKUP(A:A,[2]TDSheet!$A:$B,2,0)</f>
        <v>185.7</v>
      </c>
      <c r="M82" s="21">
        <f t="shared" si="11"/>
        <v>13.695999999999998</v>
      </c>
      <c r="N82" s="21"/>
      <c r="O82" s="21">
        <f>VLOOKUP(A:A,[1]TDSheet!$A:$O,15,0)</f>
        <v>0</v>
      </c>
      <c r="P82" s="21">
        <f>VLOOKUP(A:A,[1]TDSheet!$A:$R,18,0)</f>
        <v>150</v>
      </c>
      <c r="Q82" s="21">
        <f t="shared" si="12"/>
        <v>39.879199999999997</v>
      </c>
      <c r="R82" s="22">
        <f t="shared" si="16"/>
        <v>200.03719999999998</v>
      </c>
      <c r="S82" s="22"/>
      <c r="T82" s="21"/>
      <c r="U82" s="21">
        <f t="shared" si="13"/>
        <v>11</v>
      </c>
      <c r="V82" s="21">
        <f t="shared" si="14"/>
        <v>2.2225621376557205</v>
      </c>
      <c r="W82" s="21">
        <f>VLOOKUP(A:A,[1]TDSheet!$A:$X,24,0)</f>
        <v>30.560000000000002</v>
      </c>
      <c r="X82" s="21">
        <f>VLOOKUP(A:A,[1]TDSheet!$A:$Y,25,0)</f>
        <v>34.906199999999998</v>
      </c>
      <c r="Y82" s="21">
        <f>VLOOKUP(A:A,[1]TDSheet!$A:$Z,26,0)</f>
        <v>35.253799999999998</v>
      </c>
      <c r="Z82" s="21">
        <f>VLOOKUP(A:A,[1]TDSheet!$A:$Q,17,0)</f>
        <v>42.633200000000002</v>
      </c>
      <c r="AA82" s="21"/>
      <c r="AB82" s="21">
        <f t="shared" si="15"/>
        <v>200.03719999999998</v>
      </c>
    </row>
    <row r="83" spans="1:28" ht="11.1" customHeight="1" x14ac:dyDescent="0.2">
      <c r="A83" s="9" t="s">
        <v>87</v>
      </c>
      <c r="B83" s="9" t="s">
        <v>14</v>
      </c>
      <c r="C83" s="10">
        <v>515.30100000000004</v>
      </c>
      <c r="D83" s="10">
        <v>2563.0720000000001</v>
      </c>
      <c r="E83" s="10">
        <v>1601.992</v>
      </c>
      <c r="F83" s="10">
        <v>1093.0630000000001</v>
      </c>
      <c r="G83" s="5" t="str">
        <f>VLOOKUP(A:A,[1]TDSheet!$A:$G,7,0)</f>
        <v>P004257</v>
      </c>
      <c r="H83" s="5">
        <f>VLOOKUP(A:A,[1]TDSheet!$A:$H,8,0)</f>
        <v>1</v>
      </c>
      <c r="I83" s="5" t="str">
        <f>VLOOKUP(A:A,[1]TDSheet!$A:$I,9,0)</f>
        <v>матрица</v>
      </c>
      <c r="L83" s="21">
        <f>VLOOKUP(A:A,[2]TDSheet!$A:$B,2,0)</f>
        <v>2040.905</v>
      </c>
      <c r="M83" s="21">
        <f t="shared" si="11"/>
        <v>-438.91300000000001</v>
      </c>
      <c r="N83" s="21"/>
      <c r="O83" s="21">
        <f>VLOOKUP(A:A,[1]TDSheet!$A:$O,15,0)</f>
        <v>500</v>
      </c>
      <c r="P83" s="21">
        <f>VLOOKUP(A:A,[1]TDSheet!$A:$R,18,0)</f>
        <v>900</v>
      </c>
      <c r="Q83" s="21">
        <f t="shared" si="12"/>
        <v>320.39839999999998</v>
      </c>
      <c r="R83" s="22">
        <f t="shared" si="16"/>
        <v>1031.3193999999999</v>
      </c>
      <c r="S83" s="22"/>
      <c r="T83" s="21"/>
      <c r="U83" s="21">
        <f t="shared" si="13"/>
        <v>11</v>
      </c>
      <c r="V83" s="21">
        <f t="shared" si="14"/>
        <v>3.4115744647913355</v>
      </c>
      <c r="W83" s="21">
        <f>VLOOKUP(A:A,[1]TDSheet!$A:$X,24,0)</f>
        <v>272.88400000000001</v>
      </c>
      <c r="X83" s="21">
        <f>VLOOKUP(A:A,[1]TDSheet!$A:$Y,25,0)</f>
        <v>285.44979999999998</v>
      </c>
      <c r="Y83" s="21">
        <f>VLOOKUP(A:A,[1]TDSheet!$A:$Z,26,0)</f>
        <v>314.61520000000002</v>
      </c>
      <c r="Z83" s="21">
        <f>VLOOKUP(A:A,[1]TDSheet!$A:$Q,17,0)</f>
        <v>251.56619999999998</v>
      </c>
      <c r="AA83" s="21"/>
      <c r="AB83" s="21">
        <f t="shared" si="15"/>
        <v>1031.3193999999999</v>
      </c>
    </row>
    <row r="84" spans="1:28" ht="11.1" customHeight="1" x14ac:dyDescent="0.2">
      <c r="A84" s="9" t="s">
        <v>88</v>
      </c>
      <c r="B84" s="9" t="s">
        <v>14</v>
      </c>
      <c r="C84" s="10">
        <v>74.16</v>
      </c>
      <c r="D84" s="10">
        <v>1872.575</v>
      </c>
      <c r="E84" s="10">
        <v>1025.425</v>
      </c>
      <c r="F84" s="10">
        <v>823.85400000000004</v>
      </c>
      <c r="G84" s="5" t="str">
        <f>VLOOKUP(A:A,[1]TDSheet!$A:$G,7,0)</f>
        <v>P004252</v>
      </c>
      <c r="H84" s="5">
        <f>VLOOKUP(A:A,[1]TDSheet!$A:$H,8,0)</f>
        <v>1</v>
      </c>
      <c r="I84" s="5" t="str">
        <f>VLOOKUP(A:A,[1]TDSheet!$A:$I,9,0)</f>
        <v>матрица</v>
      </c>
      <c r="L84" s="21">
        <f>VLOOKUP(A:A,[2]TDSheet!$A:$B,2,0)</f>
        <v>1242.3679999999999</v>
      </c>
      <c r="M84" s="21">
        <f t="shared" si="11"/>
        <v>-216.94299999999998</v>
      </c>
      <c r="N84" s="21"/>
      <c r="O84" s="21">
        <f>VLOOKUP(A:A,[1]TDSheet!$A:$O,15,0)</f>
        <v>500</v>
      </c>
      <c r="P84" s="21">
        <f>VLOOKUP(A:A,[1]TDSheet!$A:$R,18,0)</f>
        <v>0</v>
      </c>
      <c r="Q84" s="21">
        <f t="shared" si="12"/>
        <v>205.08499999999998</v>
      </c>
      <c r="R84" s="22">
        <f t="shared" si="16"/>
        <v>932.0809999999999</v>
      </c>
      <c r="S84" s="22"/>
      <c r="T84" s="21"/>
      <c r="U84" s="21">
        <f t="shared" si="13"/>
        <v>11</v>
      </c>
      <c r="V84" s="21">
        <f t="shared" si="14"/>
        <v>4.0171343589243493</v>
      </c>
      <c r="W84" s="21">
        <f>VLOOKUP(A:A,[1]TDSheet!$A:$X,24,0)</f>
        <v>212.28400000000002</v>
      </c>
      <c r="X84" s="21">
        <f>VLOOKUP(A:A,[1]TDSheet!$A:$Y,25,0)</f>
        <v>179.25659999999999</v>
      </c>
      <c r="Y84" s="21">
        <f>VLOOKUP(A:A,[1]TDSheet!$A:$Z,26,0)</f>
        <v>223.30839999999998</v>
      </c>
      <c r="Z84" s="21">
        <f>VLOOKUP(A:A,[1]TDSheet!$A:$Q,17,0)</f>
        <v>166.07300000000001</v>
      </c>
      <c r="AA84" s="21"/>
      <c r="AB84" s="21">
        <f t="shared" si="15"/>
        <v>932.0809999999999</v>
      </c>
    </row>
    <row r="85" spans="1:28" ht="11.1" customHeight="1" x14ac:dyDescent="0.2">
      <c r="A85" s="9" t="s">
        <v>89</v>
      </c>
      <c r="B85" s="9" t="s">
        <v>14</v>
      </c>
      <c r="C85" s="10">
        <v>1102.329</v>
      </c>
      <c r="D85" s="10">
        <v>2283.0140000000001</v>
      </c>
      <c r="E85" s="10">
        <v>2351.3150000000001</v>
      </c>
      <c r="F85" s="10">
        <v>634.32500000000005</v>
      </c>
      <c r="G85" s="5" t="str">
        <f>VLOOKUP(A:A,[1]TDSheet!$A:$G,7,0)</f>
        <v>P004256</v>
      </c>
      <c r="H85" s="5">
        <f>VLOOKUP(A:A,[1]TDSheet!$A:$H,8,0)</f>
        <v>1</v>
      </c>
      <c r="I85" s="5" t="str">
        <f>VLOOKUP(A:A,[1]TDSheet!$A:$I,9,0)</f>
        <v>матрица</v>
      </c>
      <c r="L85" s="21">
        <f>VLOOKUP(A:A,[2]TDSheet!$A:$B,2,0)</f>
        <v>2789.4050000000002</v>
      </c>
      <c r="M85" s="21">
        <f t="shared" si="11"/>
        <v>-438.09000000000015</v>
      </c>
      <c r="N85" s="21"/>
      <c r="O85" s="21">
        <f>VLOOKUP(A:A,[1]TDSheet!$A:$O,15,0)</f>
        <v>300</v>
      </c>
      <c r="P85" s="21">
        <f>VLOOKUP(A:A,[1]TDSheet!$A:$R,18,0)</f>
        <v>2400</v>
      </c>
      <c r="Q85" s="21">
        <f t="shared" si="12"/>
        <v>470.26300000000003</v>
      </c>
      <c r="R85" s="22">
        <f t="shared" si="16"/>
        <v>1838.5680000000002</v>
      </c>
      <c r="S85" s="22"/>
      <c r="T85" s="21"/>
      <c r="U85" s="21">
        <f t="shared" si="13"/>
        <v>11</v>
      </c>
      <c r="V85" s="21">
        <f t="shared" si="14"/>
        <v>1.3488728647586563</v>
      </c>
      <c r="W85" s="21">
        <f>VLOOKUP(A:A,[1]TDSheet!$A:$X,24,0)</f>
        <v>363.51339999999999</v>
      </c>
      <c r="X85" s="21">
        <f>VLOOKUP(A:A,[1]TDSheet!$A:$Y,25,0)</f>
        <v>416.96999999999997</v>
      </c>
      <c r="Y85" s="21">
        <f>VLOOKUP(A:A,[1]TDSheet!$A:$Z,26,0)</f>
        <v>381.81599999999997</v>
      </c>
      <c r="Z85" s="21">
        <f>VLOOKUP(A:A,[1]TDSheet!$A:$Q,17,0)</f>
        <v>437.09759999999994</v>
      </c>
      <c r="AA85" s="21"/>
      <c r="AB85" s="21">
        <f t="shared" si="15"/>
        <v>1838.5680000000002</v>
      </c>
    </row>
    <row r="86" spans="1:28" ht="11.1" customHeight="1" x14ac:dyDescent="0.2">
      <c r="A86" s="9" t="s">
        <v>90</v>
      </c>
      <c r="B86" s="9" t="s">
        <v>18</v>
      </c>
      <c r="C86" s="10">
        <v>34</v>
      </c>
      <c r="D86" s="10">
        <v>120</v>
      </c>
      <c r="E86" s="10">
        <v>105</v>
      </c>
      <c r="F86" s="10">
        <v>28</v>
      </c>
      <c r="G86" s="5" t="str">
        <f>VLOOKUP(A:A,[1]TDSheet!$A:$G,7,0)</f>
        <v>P003390</v>
      </c>
      <c r="H86" s="5">
        <f>VLOOKUP(A:A,[1]TDSheet!$A:$H,8,0)</f>
        <v>0.3</v>
      </c>
      <c r="I86" s="5" t="str">
        <f>VLOOKUP(A:A,[1]TDSheet!$A:$I,9,0)</f>
        <v>матрица</v>
      </c>
      <c r="L86" s="21">
        <f>VLOOKUP(A:A,[2]TDSheet!$A:$B,2,0)</f>
        <v>133</v>
      </c>
      <c r="M86" s="21">
        <f t="shared" si="11"/>
        <v>-28</v>
      </c>
      <c r="N86" s="21"/>
      <c r="O86" s="21">
        <f>VLOOKUP(A:A,[1]TDSheet!$A:$O,15,0)</f>
        <v>0</v>
      </c>
      <c r="P86" s="21">
        <f>VLOOKUP(A:A,[1]TDSheet!$A:$R,18,0)</f>
        <v>140</v>
      </c>
      <c r="Q86" s="21">
        <f t="shared" si="12"/>
        <v>21</v>
      </c>
      <c r="R86" s="22">
        <f t="shared" si="16"/>
        <v>63</v>
      </c>
      <c r="S86" s="22"/>
      <c r="T86" s="21"/>
      <c r="U86" s="21">
        <f t="shared" si="13"/>
        <v>11</v>
      </c>
      <c r="V86" s="21">
        <f t="shared" si="14"/>
        <v>1.3333333333333333</v>
      </c>
      <c r="W86" s="21">
        <f>VLOOKUP(A:A,[1]TDSheet!$A:$X,24,0)</f>
        <v>21.2</v>
      </c>
      <c r="X86" s="21">
        <f>VLOOKUP(A:A,[1]TDSheet!$A:$Y,25,0)</f>
        <v>21.2</v>
      </c>
      <c r="Y86" s="21">
        <f>VLOOKUP(A:A,[1]TDSheet!$A:$Z,26,0)</f>
        <v>18</v>
      </c>
      <c r="Z86" s="21">
        <f>VLOOKUP(A:A,[1]TDSheet!$A:$Q,17,0)</f>
        <v>16.8</v>
      </c>
      <c r="AA86" s="21"/>
      <c r="AB86" s="21">
        <f t="shared" si="15"/>
        <v>18.899999999999999</v>
      </c>
    </row>
    <row r="87" spans="1:28" ht="11.1" customHeight="1" x14ac:dyDescent="0.2">
      <c r="A87" s="9" t="s">
        <v>91</v>
      </c>
      <c r="B87" s="9" t="s">
        <v>18</v>
      </c>
      <c r="C87" s="10">
        <v>78</v>
      </c>
      <c r="D87" s="10"/>
      <c r="E87" s="10">
        <v>62</v>
      </c>
      <c r="F87" s="10">
        <v>16</v>
      </c>
      <c r="G87" s="5" t="str">
        <f>VLOOKUP(A:A,[1]TDSheet!$A:$G,7,0)</f>
        <v>P004978</v>
      </c>
      <c r="H87" s="5">
        <f>VLOOKUP(A:A,[1]TDSheet!$A:$H,8,0)</f>
        <v>7.0000000000000007E-2</v>
      </c>
      <c r="I87" s="5" t="str">
        <f>VLOOKUP(A:A,[1]TDSheet!$A:$I,9,0)</f>
        <v>матрица</v>
      </c>
      <c r="L87" s="21">
        <f>VLOOKUP(A:A,[2]TDSheet!$A:$B,2,0)</f>
        <v>62</v>
      </c>
      <c r="M87" s="21">
        <f t="shared" si="11"/>
        <v>0</v>
      </c>
      <c r="N87" s="21"/>
      <c r="O87" s="21">
        <f>VLOOKUP(A:A,[1]TDSheet!$A:$O,15,0)</f>
        <v>0</v>
      </c>
      <c r="P87" s="21">
        <f>VLOOKUP(A:A,[1]TDSheet!$A:$R,18,0)</f>
        <v>80</v>
      </c>
      <c r="Q87" s="21">
        <f t="shared" si="12"/>
        <v>12.4</v>
      </c>
      <c r="R87" s="22">
        <f t="shared" si="16"/>
        <v>40.400000000000006</v>
      </c>
      <c r="S87" s="22"/>
      <c r="T87" s="21"/>
      <c r="U87" s="21">
        <f t="shared" si="13"/>
        <v>11</v>
      </c>
      <c r="V87" s="21">
        <f t="shared" si="14"/>
        <v>1.2903225806451613</v>
      </c>
      <c r="W87" s="21">
        <f>VLOOKUP(A:A,[1]TDSheet!$A:$X,24,0)</f>
        <v>10</v>
      </c>
      <c r="X87" s="21">
        <f>VLOOKUP(A:A,[1]TDSheet!$A:$Y,25,0)</f>
        <v>12.8</v>
      </c>
      <c r="Y87" s="21">
        <f>VLOOKUP(A:A,[1]TDSheet!$A:$Z,26,0)</f>
        <v>6.6</v>
      </c>
      <c r="Z87" s="21">
        <f>VLOOKUP(A:A,[1]TDSheet!$A:$Q,17,0)</f>
        <v>15</v>
      </c>
      <c r="AA87" s="21"/>
      <c r="AB87" s="21">
        <f t="shared" si="15"/>
        <v>2.8280000000000007</v>
      </c>
    </row>
    <row r="88" spans="1:28" ht="11.1" customHeight="1" x14ac:dyDescent="0.2">
      <c r="A88" s="9" t="s">
        <v>92</v>
      </c>
      <c r="B88" s="9" t="s">
        <v>18</v>
      </c>
      <c r="C88" s="10">
        <v>26</v>
      </c>
      <c r="D88" s="10">
        <v>18</v>
      </c>
      <c r="E88" s="10">
        <v>35</v>
      </c>
      <c r="F88" s="10">
        <v>8</v>
      </c>
      <c r="G88" s="5" t="str">
        <f>VLOOKUP(A:A,[1]TDSheet!$A:$G,7,0)</f>
        <v>P004979</v>
      </c>
      <c r="H88" s="5">
        <f>VLOOKUP(A:A,[1]TDSheet!$A:$H,8,0)</f>
        <v>7.0000000000000007E-2</v>
      </c>
      <c r="I88" s="5" t="str">
        <f>VLOOKUP(A:A,[1]TDSheet!$A:$I,9,0)</f>
        <v>матрица</v>
      </c>
      <c r="L88" s="21">
        <f>VLOOKUP(A:A,[2]TDSheet!$A:$B,2,0)</f>
        <v>66</v>
      </c>
      <c r="M88" s="21">
        <f t="shared" si="11"/>
        <v>-31</v>
      </c>
      <c r="N88" s="21"/>
      <c r="O88" s="21">
        <f>VLOOKUP(A:A,[1]TDSheet!$A:$O,15,0)</f>
        <v>0</v>
      </c>
      <c r="P88" s="21">
        <f>VLOOKUP(A:A,[1]TDSheet!$A:$R,18,0)</f>
        <v>80</v>
      </c>
      <c r="Q88" s="21">
        <f t="shared" si="12"/>
        <v>7</v>
      </c>
      <c r="R88" s="22"/>
      <c r="S88" s="27">
        <v>20</v>
      </c>
      <c r="T88" s="25"/>
      <c r="U88" s="21">
        <f t="shared" si="13"/>
        <v>12.571428571428571</v>
      </c>
      <c r="V88" s="21">
        <f t="shared" si="14"/>
        <v>1.1428571428571428</v>
      </c>
      <c r="W88" s="21">
        <f>VLOOKUP(A:A,[1]TDSheet!$A:$X,24,0)</f>
        <v>16</v>
      </c>
      <c r="X88" s="21">
        <f>VLOOKUP(A:A,[1]TDSheet!$A:$Y,25,0)</f>
        <v>12.4</v>
      </c>
      <c r="Y88" s="21">
        <f>VLOOKUP(A:A,[1]TDSheet!$A:$Z,26,0)</f>
        <v>10.8</v>
      </c>
      <c r="Z88" s="21">
        <f>VLOOKUP(A:A,[1]TDSheet!$A:$Q,17,0)</f>
        <v>16.8</v>
      </c>
      <c r="AA88" s="21"/>
      <c r="AB88" s="21">
        <f t="shared" si="15"/>
        <v>0</v>
      </c>
    </row>
    <row r="89" spans="1:28" ht="11.1" customHeight="1" x14ac:dyDescent="0.2">
      <c r="A89" s="24" t="s">
        <v>93</v>
      </c>
      <c r="B89" s="9" t="s">
        <v>18</v>
      </c>
      <c r="C89" s="10">
        <v>14</v>
      </c>
      <c r="D89" s="10"/>
      <c r="E89" s="10">
        <v>13</v>
      </c>
      <c r="F89" s="10">
        <v>1</v>
      </c>
      <c r="G89" s="5" t="str">
        <f>VLOOKUP(A:A,[1]TDSheet!$A:$G,7,0)</f>
        <v>P004982</v>
      </c>
      <c r="H89" s="5">
        <f>VLOOKUP(A:A,[1]TDSheet!$A:$H,8,0)</f>
        <v>7.0000000000000007E-2</v>
      </c>
      <c r="I89" s="5" t="str">
        <f>VLOOKUP(A:A,[1]TDSheet!$A:$I,9,0)</f>
        <v>матрица</v>
      </c>
      <c r="L89" s="21">
        <f>VLOOKUP(A:A,[2]TDSheet!$A:$B,2,0)</f>
        <v>33</v>
      </c>
      <c r="M89" s="21">
        <f t="shared" si="11"/>
        <v>-20</v>
      </c>
      <c r="N89" s="21"/>
      <c r="O89" s="21">
        <f>VLOOKUP(A:A,[1]TDSheet!$A:$O,15,0)</f>
        <v>0</v>
      </c>
      <c r="P89" s="21">
        <f>VLOOKUP(A:A,[1]TDSheet!$A:$R,18,0)</f>
        <v>80</v>
      </c>
      <c r="Q89" s="21">
        <f t="shared" si="12"/>
        <v>2.6</v>
      </c>
      <c r="R89" s="22"/>
      <c r="S89" s="27">
        <v>20</v>
      </c>
      <c r="T89" s="25"/>
      <c r="U89" s="21">
        <f t="shared" si="13"/>
        <v>31.153846153846153</v>
      </c>
      <c r="V89" s="21">
        <f t="shared" si="14"/>
        <v>0.38461538461538458</v>
      </c>
      <c r="W89" s="21">
        <f>VLOOKUP(A:A,[1]TDSheet!$A:$X,24,0)</f>
        <v>7.4</v>
      </c>
      <c r="X89" s="21">
        <f>VLOOKUP(A:A,[1]TDSheet!$A:$Y,25,0)</f>
        <v>7.2</v>
      </c>
      <c r="Y89" s="21">
        <f>VLOOKUP(A:A,[1]TDSheet!$A:$Z,26,0)</f>
        <v>5.6</v>
      </c>
      <c r="Z89" s="21">
        <f>VLOOKUP(A:A,[1]TDSheet!$A:$Q,17,0)</f>
        <v>11</v>
      </c>
      <c r="AA89" s="21"/>
      <c r="AB89" s="21">
        <f t="shared" si="15"/>
        <v>0</v>
      </c>
    </row>
    <row r="90" spans="1:28" ht="11.1" customHeight="1" x14ac:dyDescent="0.2">
      <c r="A90" s="24" t="s">
        <v>94</v>
      </c>
      <c r="B90" s="9" t="s">
        <v>18</v>
      </c>
      <c r="C90" s="10">
        <v>78</v>
      </c>
      <c r="D90" s="10">
        <v>126</v>
      </c>
      <c r="E90" s="10">
        <v>46</v>
      </c>
      <c r="F90" s="10">
        <v>154</v>
      </c>
      <c r="G90" s="5" t="str">
        <f>VLOOKUP(A:A,[1]TDSheet!$A:$G,7,0)</f>
        <v>P005023</v>
      </c>
      <c r="H90" s="5">
        <f>VLOOKUP(A:A,[1]TDSheet!$A:$H,8,0)</f>
        <v>0.05</v>
      </c>
      <c r="I90" s="5" t="str">
        <f>VLOOKUP(A:A,[1]TDSheet!$A:$I,9,0)</f>
        <v>матрица</v>
      </c>
      <c r="L90" s="21">
        <f>VLOOKUP(A:A,[2]TDSheet!$A:$B,2,0)</f>
        <v>50</v>
      </c>
      <c r="M90" s="21">
        <f t="shared" si="11"/>
        <v>-4</v>
      </c>
      <c r="N90" s="21"/>
      <c r="O90" s="21">
        <f>VLOOKUP(A:A,[1]TDSheet!$A:$O,15,0)</f>
        <v>0</v>
      </c>
      <c r="P90" s="21">
        <f>VLOOKUP(A:A,[1]TDSheet!$A:$R,18,0)</f>
        <v>50</v>
      </c>
      <c r="Q90" s="21">
        <f t="shared" si="12"/>
        <v>9.1999999999999993</v>
      </c>
      <c r="R90" s="22"/>
      <c r="S90" s="27">
        <v>20</v>
      </c>
      <c r="T90" s="25"/>
      <c r="U90" s="21">
        <f t="shared" si="13"/>
        <v>22.173913043478262</v>
      </c>
      <c r="V90" s="21">
        <f t="shared" si="14"/>
        <v>16.739130434782609</v>
      </c>
      <c r="W90" s="21">
        <f>VLOOKUP(A:A,[1]TDSheet!$A:$X,24,0)</f>
        <v>8.1999999999999993</v>
      </c>
      <c r="X90" s="21">
        <f>VLOOKUP(A:A,[1]TDSheet!$A:$Y,25,0)</f>
        <v>10.199999999999999</v>
      </c>
      <c r="Y90" s="21">
        <f>VLOOKUP(A:A,[1]TDSheet!$A:$Z,26,0)</f>
        <v>10.4</v>
      </c>
      <c r="Z90" s="21">
        <f>VLOOKUP(A:A,[1]TDSheet!$A:$Q,17,0)</f>
        <v>9.6</v>
      </c>
      <c r="AA90" s="21"/>
      <c r="AB90" s="21">
        <f t="shared" si="15"/>
        <v>0</v>
      </c>
    </row>
    <row r="91" spans="1:28" ht="11.1" customHeight="1" x14ac:dyDescent="0.2">
      <c r="A91" s="9" t="s">
        <v>95</v>
      </c>
      <c r="B91" s="9" t="s">
        <v>18</v>
      </c>
      <c r="C91" s="10">
        <v>96</v>
      </c>
      <c r="D91" s="10">
        <v>2</v>
      </c>
      <c r="E91" s="10">
        <v>63</v>
      </c>
      <c r="F91" s="10">
        <v>31</v>
      </c>
      <c r="G91" s="5" t="str">
        <f>VLOOKUP(A:A,[1]TDSheet!$A:$G,7,0)</f>
        <v>P005022</v>
      </c>
      <c r="H91" s="5">
        <f>VLOOKUP(A:A,[1]TDSheet!$A:$H,8,0)</f>
        <v>5.5E-2</v>
      </c>
      <c r="I91" s="5" t="str">
        <f>VLOOKUP(A:A,[1]TDSheet!$A:$I,9,0)</f>
        <v>матрица</v>
      </c>
      <c r="L91" s="21">
        <f>VLOOKUP(A:A,[2]TDSheet!$A:$B,2,0)</f>
        <v>67</v>
      </c>
      <c r="M91" s="21">
        <f t="shared" si="11"/>
        <v>-4</v>
      </c>
      <c r="N91" s="21"/>
      <c r="O91" s="21">
        <f>VLOOKUP(A:A,[1]TDSheet!$A:$O,15,0)</f>
        <v>0</v>
      </c>
      <c r="P91" s="21">
        <f>VLOOKUP(A:A,[1]TDSheet!$A:$R,18,0)</f>
        <v>80</v>
      </c>
      <c r="Q91" s="21">
        <f t="shared" si="12"/>
        <v>12.6</v>
      </c>
      <c r="R91" s="22">
        <f t="shared" si="16"/>
        <v>27.599999999999994</v>
      </c>
      <c r="S91" s="22"/>
      <c r="T91" s="21"/>
      <c r="U91" s="21">
        <f t="shared" si="13"/>
        <v>11</v>
      </c>
      <c r="V91" s="21">
        <f t="shared" si="14"/>
        <v>2.4603174603174605</v>
      </c>
      <c r="W91" s="21">
        <f>VLOOKUP(A:A,[1]TDSheet!$A:$X,24,0)</f>
        <v>8.8000000000000007</v>
      </c>
      <c r="X91" s="21">
        <f>VLOOKUP(A:A,[1]TDSheet!$A:$Y,25,0)</f>
        <v>9.4</v>
      </c>
      <c r="Y91" s="21">
        <f>VLOOKUP(A:A,[1]TDSheet!$A:$Z,26,0)</f>
        <v>7.4</v>
      </c>
      <c r="Z91" s="21">
        <f>VLOOKUP(A:A,[1]TDSheet!$A:$Q,17,0)</f>
        <v>13.6</v>
      </c>
      <c r="AA91" s="21"/>
      <c r="AB91" s="21">
        <f t="shared" si="15"/>
        <v>1.5179999999999998</v>
      </c>
    </row>
    <row r="92" spans="1:28" ht="11.1" customHeight="1" x14ac:dyDescent="0.2">
      <c r="A92" s="9" t="s">
        <v>96</v>
      </c>
      <c r="B92" s="9" t="s">
        <v>18</v>
      </c>
      <c r="C92" s="10">
        <v>93</v>
      </c>
      <c r="D92" s="10">
        <v>38</v>
      </c>
      <c r="E92" s="10">
        <v>50</v>
      </c>
      <c r="F92" s="10">
        <v>77</v>
      </c>
      <c r="G92" s="5" t="str">
        <f>VLOOKUP(A:A,[1]TDSheet!$A:$G,7,0)</f>
        <v>P005021</v>
      </c>
      <c r="H92" s="5">
        <f>VLOOKUP(A:A,[1]TDSheet!$A:$H,8,0)</f>
        <v>5.5E-2</v>
      </c>
      <c r="I92" s="5" t="str">
        <f>VLOOKUP(A:A,[1]TDSheet!$A:$I,9,0)</f>
        <v>матрица</v>
      </c>
      <c r="L92" s="21">
        <f>VLOOKUP(A:A,[2]TDSheet!$A:$B,2,0)</f>
        <v>54</v>
      </c>
      <c r="M92" s="21">
        <f t="shared" si="11"/>
        <v>-4</v>
      </c>
      <c r="N92" s="21"/>
      <c r="O92" s="21">
        <f>VLOOKUP(A:A,[1]TDSheet!$A:$O,15,0)</f>
        <v>0</v>
      </c>
      <c r="P92" s="21">
        <f>VLOOKUP(A:A,[1]TDSheet!$A:$R,18,0)</f>
        <v>60</v>
      </c>
      <c r="Q92" s="21">
        <f t="shared" si="12"/>
        <v>10</v>
      </c>
      <c r="R92" s="22"/>
      <c r="S92" s="22"/>
      <c r="T92" s="21"/>
      <c r="U92" s="21">
        <f t="shared" si="13"/>
        <v>13.7</v>
      </c>
      <c r="V92" s="21">
        <f t="shared" si="14"/>
        <v>7.7</v>
      </c>
      <c r="W92" s="21">
        <f>VLOOKUP(A:A,[1]TDSheet!$A:$X,24,0)</f>
        <v>8.1999999999999993</v>
      </c>
      <c r="X92" s="21">
        <f>VLOOKUP(A:A,[1]TDSheet!$A:$Y,25,0)</f>
        <v>10.6</v>
      </c>
      <c r="Y92" s="21">
        <f>VLOOKUP(A:A,[1]TDSheet!$A:$Z,26,0)</f>
        <v>6.2</v>
      </c>
      <c r="Z92" s="21">
        <f>VLOOKUP(A:A,[1]TDSheet!$A:$Q,17,0)</f>
        <v>11.8</v>
      </c>
      <c r="AA92" s="21"/>
      <c r="AB92" s="21">
        <f t="shared" si="15"/>
        <v>0</v>
      </c>
    </row>
    <row r="93" spans="1:28" ht="11.1" customHeight="1" x14ac:dyDescent="0.2">
      <c r="A93" s="24" t="s">
        <v>97</v>
      </c>
      <c r="B93" s="9" t="s">
        <v>14</v>
      </c>
      <c r="C93" s="10">
        <v>766.71600000000001</v>
      </c>
      <c r="D93" s="10">
        <v>67.284999999999997</v>
      </c>
      <c r="E93" s="10">
        <v>34.823999999999998</v>
      </c>
      <c r="F93" s="10">
        <v>799.18299999999999</v>
      </c>
      <c r="G93" s="5" t="str">
        <f>VLOOKUP(A:A,[1]TDSheet!$A:$G,7,0)</f>
        <v>P005156</v>
      </c>
      <c r="H93" s="5">
        <f>VLOOKUP(A:A,[1]TDSheet!$A:$H,8,0)</f>
        <v>1</v>
      </c>
      <c r="L93" s="21">
        <f>VLOOKUP(A:A,[2]TDSheet!$A:$B,2,0)</f>
        <v>29.4</v>
      </c>
      <c r="M93" s="21">
        <f t="shared" si="11"/>
        <v>5.4239999999999995</v>
      </c>
      <c r="N93" s="21"/>
      <c r="O93" s="21">
        <f>VLOOKUP(A:A,[1]TDSheet!$A:$O,15,0)</f>
        <v>0</v>
      </c>
      <c r="P93" s="21">
        <f>VLOOKUP(A:A,[1]TDSheet!$A:$R,18,0)</f>
        <v>0</v>
      </c>
      <c r="Q93" s="21">
        <f t="shared" si="12"/>
        <v>6.9647999999999994</v>
      </c>
      <c r="R93" s="22"/>
      <c r="S93" s="22"/>
      <c r="T93" s="21"/>
      <c r="U93" s="21">
        <f t="shared" si="13"/>
        <v>114.74600849988515</v>
      </c>
      <c r="V93" s="21">
        <f t="shared" si="14"/>
        <v>114.74600849988515</v>
      </c>
      <c r="W93" s="21">
        <f>VLOOKUP(A:A,[1]TDSheet!$A:$X,24,0)</f>
        <v>1.6108</v>
      </c>
      <c r="X93" s="21">
        <f>VLOOKUP(A:A,[1]TDSheet!$A:$Y,25,0)</f>
        <v>3.8398000000000003</v>
      </c>
      <c r="Y93" s="21">
        <f>VLOOKUP(A:A,[1]TDSheet!$A:$Z,26,0)</f>
        <v>9.2504000000000008</v>
      </c>
      <c r="Z93" s="21">
        <f>VLOOKUP(A:A,[1]TDSheet!$A:$Q,17,0)</f>
        <v>9.8138000000000005</v>
      </c>
      <c r="AA93" s="21"/>
      <c r="AB93" s="21">
        <f t="shared" si="15"/>
        <v>0</v>
      </c>
    </row>
    <row r="94" spans="1:28" ht="21.95" customHeight="1" x14ac:dyDescent="0.2">
      <c r="A94" s="9" t="s">
        <v>98</v>
      </c>
      <c r="B94" s="9" t="s">
        <v>18</v>
      </c>
      <c r="C94" s="10">
        <v>2</v>
      </c>
      <c r="D94" s="10"/>
      <c r="E94" s="10">
        <v>-2</v>
      </c>
      <c r="F94" s="10">
        <v>2</v>
      </c>
      <c r="G94" s="5" t="str">
        <f>VLOOKUP(A:A,[1]TDSheet!$A:$G,7,0)</f>
        <v>Р004758</v>
      </c>
      <c r="H94" s="5">
        <f>VLOOKUP(A:A,[1]TDSheet!$A:$H,8,0)</f>
        <v>0.11</v>
      </c>
      <c r="L94" s="21">
        <f>VLOOKUP(A:A,[2]TDSheet!$A:$B,2,0)</f>
        <v>4</v>
      </c>
      <c r="M94" s="21">
        <f t="shared" si="11"/>
        <v>-6</v>
      </c>
      <c r="N94" s="21"/>
      <c r="O94" s="21">
        <f>VLOOKUP(A:A,[1]TDSheet!$A:$O,15,0)</f>
        <v>0</v>
      </c>
      <c r="P94" s="21">
        <f>VLOOKUP(A:A,[1]TDSheet!$A:$R,18,0)</f>
        <v>0</v>
      </c>
      <c r="Q94" s="21">
        <f t="shared" si="12"/>
        <v>-0.4</v>
      </c>
      <c r="R94" s="22"/>
      <c r="S94" s="22"/>
      <c r="T94" s="21"/>
      <c r="U94" s="21">
        <f t="shared" si="13"/>
        <v>-5</v>
      </c>
      <c r="V94" s="21">
        <f t="shared" si="14"/>
        <v>-5</v>
      </c>
      <c r="W94" s="21">
        <f>VLOOKUP(A:A,[1]TDSheet!$A:$X,24,0)</f>
        <v>0.6</v>
      </c>
      <c r="X94" s="21">
        <f>VLOOKUP(A:A,[1]TDSheet!$A:$Y,25,0)</f>
        <v>1.8</v>
      </c>
      <c r="Y94" s="21">
        <f>VLOOKUP(A:A,[1]TDSheet!$A:$Z,26,0)</f>
        <v>-1.4</v>
      </c>
      <c r="Z94" s="21">
        <f>VLOOKUP(A:A,[1]TDSheet!$A:$Q,17,0)</f>
        <v>-0.2</v>
      </c>
      <c r="AA94" s="21"/>
      <c r="AB94" s="21">
        <f t="shared" si="15"/>
        <v>0</v>
      </c>
    </row>
    <row r="95" spans="1:28" ht="21.95" customHeight="1" x14ac:dyDescent="0.2">
      <c r="A95" s="9" t="s">
        <v>99</v>
      </c>
      <c r="B95" s="9" t="s">
        <v>18</v>
      </c>
      <c r="C95" s="10">
        <v>37</v>
      </c>
      <c r="D95" s="10">
        <v>181</v>
      </c>
      <c r="E95" s="10">
        <v>87</v>
      </c>
      <c r="F95" s="10">
        <v>124</v>
      </c>
      <c r="G95" s="5" t="str">
        <f>VLOOKUP(A:A,[1]TDSheet!$A:$G,7,0)</f>
        <v>P005155</v>
      </c>
      <c r="H95" s="5">
        <f>VLOOKUP(A:A,[1]TDSheet!$A:$H,8,0)</f>
        <v>0.08</v>
      </c>
      <c r="L95" s="21">
        <f>VLOOKUP(A:A,[2]TDSheet!$A:$B,2,0)</f>
        <v>105</v>
      </c>
      <c r="M95" s="21">
        <f t="shared" si="11"/>
        <v>-18</v>
      </c>
      <c r="N95" s="21"/>
      <c r="O95" s="21">
        <f>VLOOKUP(A:A,[1]TDSheet!$A:$O,15,0)</f>
        <v>0</v>
      </c>
      <c r="P95" s="21">
        <f>VLOOKUP(A:A,[1]TDSheet!$A:$R,18,0)</f>
        <v>130</v>
      </c>
      <c r="Q95" s="21">
        <f t="shared" si="12"/>
        <v>17.399999999999999</v>
      </c>
      <c r="R95" s="22"/>
      <c r="S95" s="22"/>
      <c r="T95" s="21"/>
      <c r="U95" s="21">
        <f t="shared" si="13"/>
        <v>14.597701149425289</v>
      </c>
      <c r="V95" s="21">
        <f t="shared" si="14"/>
        <v>7.126436781609196</v>
      </c>
      <c r="W95" s="21">
        <f>VLOOKUP(A:A,[1]TDSheet!$A:$X,24,0)</f>
        <v>20</v>
      </c>
      <c r="X95" s="21">
        <f>VLOOKUP(A:A,[1]TDSheet!$A:$Y,25,0)</f>
        <v>18</v>
      </c>
      <c r="Y95" s="21">
        <f>VLOOKUP(A:A,[1]TDSheet!$A:$Z,26,0)</f>
        <v>20.8</v>
      </c>
      <c r="Z95" s="21">
        <f>VLOOKUP(A:A,[1]TDSheet!$A:$Q,17,0)</f>
        <v>17.8</v>
      </c>
      <c r="AA95" s="21"/>
      <c r="AB95" s="21">
        <f t="shared" si="15"/>
        <v>0</v>
      </c>
    </row>
    <row r="96" spans="1:28" ht="21.95" customHeight="1" x14ac:dyDescent="0.2">
      <c r="A96" s="9" t="s">
        <v>100</v>
      </c>
      <c r="B96" s="9" t="s">
        <v>18</v>
      </c>
      <c r="C96" s="10">
        <v>169</v>
      </c>
      <c r="D96" s="10">
        <v>4</v>
      </c>
      <c r="E96" s="10">
        <v>79</v>
      </c>
      <c r="F96" s="10">
        <v>88</v>
      </c>
      <c r="G96" s="5" t="str">
        <f>VLOOKUP(A:A,[1]TDSheet!$A:$G,7,0)</f>
        <v>Р003837</v>
      </c>
      <c r="H96" s="5">
        <f>VLOOKUP(A:A,[1]TDSheet!$A:$H,8,0)</f>
        <v>0.08</v>
      </c>
      <c r="L96" s="21">
        <f>VLOOKUP(A:A,[2]TDSheet!$A:$B,2,0)</f>
        <v>85</v>
      </c>
      <c r="M96" s="21">
        <f t="shared" si="11"/>
        <v>-6</v>
      </c>
      <c r="N96" s="21"/>
      <c r="O96" s="21">
        <f>VLOOKUP(A:A,[1]TDSheet!$A:$O,15,0)</f>
        <v>0</v>
      </c>
      <c r="P96" s="21">
        <f>VLOOKUP(A:A,[1]TDSheet!$A:$R,18,0)</f>
        <v>40</v>
      </c>
      <c r="Q96" s="21">
        <f t="shared" si="12"/>
        <v>15.8</v>
      </c>
      <c r="R96" s="22">
        <f t="shared" si="16"/>
        <v>45.800000000000011</v>
      </c>
      <c r="S96" s="22"/>
      <c r="T96" s="21"/>
      <c r="U96" s="21">
        <f t="shared" si="13"/>
        <v>11</v>
      </c>
      <c r="V96" s="21">
        <f t="shared" si="14"/>
        <v>5.5696202531645564</v>
      </c>
      <c r="W96" s="21">
        <f>VLOOKUP(A:A,[1]TDSheet!$A:$X,24,0)</f>
        <v>17.2</v>
      </c>
      <c r="X96" s="21">
        <f>VLOOKUP(A:A,[1]TDSheet!$A:$Y,25,0)</f>
        <v>11.4</v>
      </c>
      <c r="Y96" s="21">
        <f>VLOOKUP(A:A,[1]TDSheet!$A:$Z,26,0)</f>
        <v>11.6</v>
      </c>
      <c r="Z96" s="21">
        <f>VLOOKUP(A:A,[1]TDSheet!$A:$Q,17,0)</f>
        <v>19</v>
      </c>
      <c r="AA96" s="21"/>
      <c r="AB96" s="21">
        <f t="shared" si="15"/>
        <v>3.664000000000001</v>
      </c>
    </row>
    <row r="97" spans="1:28" ht="21.95" customHeight="1" x14ac:dyDescent="0.2">
      <c r="A97" s="24" t="s">
        <v>101</v>
      </c>
      <c r="B97" s="9" t="s">
        <v>18</v>
      </c>
      <c r="C97" s="10">
        <v>18</v>
      </c>
      <c r="D97" s="10"/>
      <c r="E97" s="10">
        <v>-1</v>
      </c>
      <c r="F97" s="10">
        <v>18</v>
      </c>
      <c r="G97" s="5" t="str">
        <f>VLOOKUP(A:A,[1]TDSheet!$A:$G,7,0)</f>
        <v>P002641</v>
      </c>
      <c r="H97" s="5">
        <f>VLOOKUP(A:A,[1]TDSheet!$A:$H,8,0)</f>
        <v>0.17</v>
      </c>
      <c r="L97" s="21">
        <f>VLOOKUP(A:A,[2]TDSheet!$A:$B,2,0)</f>
        <v>13</v>
      </c>
      <c r="M97" s="21">
        <f t="shared" si="11"/>
        <v>-14</v>
      </c>
      <c r="N97" s="21"/>
      <c r="O97" s="21">
        <f>VLOOKUP(A:A,[1]TDSheet!$A:$O,15,0)</f>
        <v>0</v>
      </c>
      <c r="P97" s="21">
        <f>VLOOKUP(A:A,[1]TDSheet!$A:$R,18,0)</f>
        <v>0</v>
      </c>
      <c r="Q97" s="21">
        <f t="shared" si="12"/>
        <v>-0.2</v>
      </c>
      <c r="R97" s="22"/>
      <c r="S97" s="22"/>
      <c r="T97" s="21"/>
      <c r="U97" s="21">
        <f t="shared" si="13"/>
        <v>-90</v>
      </c>
      <c r="V97" s="21">
        <f t="shared" si="14"/>
        <v>-90</v>
      </c>
      <c r="W97" s="21">
        <f>VLOOKUP(A:A,[1]TDSheet!$A:$X,24,0)</f>
        <v>0</v>
      </c>
      <c r="X97" s="21">
        <f>VLOOKUP(A:A,[1]TDSheet!$A:$Y,25,0)</f>
        <v>0.2</v>
      </c>
      <c r="Y97" s="21">
        <f>VLOOKUP(A:A,[1]TDSheet!$A:$Z,26,0)</f>
        <v>-1</v>
      </c>
      <c r="Z97" s="21">
        <f>VLOOKUP(A:A,[1]TDSheet!$A:$Q,17,0)</f>
        <v>-0.6</v>
      </c>
      <c r="AA97" s="21"/>
      <c r="AB97" s="21">
        <f t="shared" si="15"/>
        <v>0</v>
      </c>
    </row>
    <row r="98" spans="1:28" ht="21.95" customHeight="1" x14ac:dyDescent="0.2">
      <c r="A98" s="9" t="s">
        <v>102</v>
      </c>
      <c r="B98" s="9" t="s">
        <v>14</v>
      </c>
      <c r="C98" s="10">
        <v>330.483</v>
      </c>
      <c r="D98" s="10">
        <v>1.458</v>
      </c>
      <c r="E98" s="10">
        <v>153.38</v>
      </c>
      <c r="F98" s="10">
        <v>182.20099999999999</v>
      </c>
      <c r="G98" s="5" t="str">
        <f>VLOOKUP(A:A,[1]TDSheet!$A:$G,7,0)</f>
        <v>P005376</v>
      </c>
      <c r="H98" s="5">
        <f>VLOOKUP(A:A,[1]TDSheet!$A:$H,8,0)</f>
        <v>1</v>
      </c>
      <c r="L98" s="21">
        <f>VLOOKUP(A:A,[2]TDSheet!$A:$B,2,0)</f>
        <v>152.63999999999999</v>
      </c>
      <c r="M98" s="21">
        <f t="shared" si="11"/>
        <v>0.74000000000000909</v>
      </c>
      <c r="N98" s="21"/>
      <c r="O98" s="21">
        <f>VLOOKUP(A:A,[1]TDSheet!$A:$O,15,0)</f>
        <v>0</v>
      </c>
      <c r="P98" s="21">
        <f>VLOOKUP(A:A,[1]TDSheet!$A:$R,18,0)</f>
        <v>150</v>
      </c>
      <c r="Q98" s="21">
        <f t="shared" si="12"/>
        <v>30.675999999999998</v>
      </c>
      <c r="R98" s="22">
        <f t="shared" si="16"/>
        <v>5.2349999999999852</v>
      </c>
      <c r="S98" s="22"/>
      <c r="T98" s="21"/>
      <c r="U98" s="21">
        <f t="shared" si="13"/>
        <v>11.000000000000002</v>
      </c>
      <c r="V98" s="21">
        <f t="shared" si="14"/>
        <v>5.9395292736993088</v>
      </c>
      <c r="W98" s="21">
        <f>VLOOKUP(A:A,[1]TDSheet!$A:$X,24,0)</f>
        <v>25.351800000000001</v>
      </c>
      <c r="X98" s="21">
        <f>VLOOKUP(A:A,[1]TDSheet!$A:$Y,25,0)</f>
        <v>31.613</v>
      </c>
      <c r="Y98" s="21">
        <f>VLOOKUP(A:A,[1]TDSheet!$A:$Z,26,0)</f>
        <v>20.223400000000002</v>
      </c>
      <c r="Z98" s="21">
        <f>VLOOKUP(A:A,[1]TDSheet!$A:$Q,17,0)</f>
        <v>37.355000000000004</v>
      </c>
      <c r="AA98" s="21" t="str">
        <f>VLOOKUP(A:A,[1]TDSheet!$A:$AA,27,0)</f>
        <v>пРОМО</v>
      </c>
      <c r="AB98" s="21">
        <f t="shared" si="15"/>
        <v>5.2349999999999852</v>
      </c>
    </row>
    <row r="99" spans="1:28" ht="21.95" customHeight="1" x14ac:dyDescent="0.2">
      <c r="A99" s="24" t="s">
        <v>103</v>
      </c>
      <c r="B99" s="9" t="s">
        <v>14</v>
      </c>
      <c r="C99" s="10">
        <v>127.15</v>
      </c>
      <c r="D99" s="10">
        <v>216.19800000000001</v>
      </c>
      <c r="E99" s="10">
        <v>98.787000000000006</v>
      </c>
      <c r="F99" s="10">
        <v>246.03</v>
      </c>
      <c r="G99" s="5" t="str">
        <f>VLOOKUP(A:A,[1]TDSheet!$A:$G,7,0)</f>
        <v>P005377</v>
      </c>
      <c r="H99" s="5">
        <f>VLOOKUP(A:A,[1]TDSheet!$A:$H,8,0)</f>
        <v>1</v>
      </c>
      <c r="L99" s="21">
        <f>VLOOKUP(A:A,[2]TDSheet!$A:$B,2,0)</f>
        <v>97.8</v>
      </c>
      <c r="M99" s="21">
        <f t="shared" si="11"/>
        <v>0.98700000000000898</v>
      </c>
      <c r="N99" s="21"/>
      <c r="O99" s="21">
        <f>VLOOKUP(A:A,[1]TDSheet!$A:$O,15,0)</f>
        <v>0</v>
      </c>
      <c r="P99" s="21">
        <f>VLOOKUP(A:A,[1]TDSheet!$A:$R,18,0)</f>
        <v>200</v>
      </c>
      <c r="Q99" s="21">
        <f t="shared" si="12"/>
        <v>19.757400000000001</v>
      </c>
      <c r="R99" s="22"/>
      <c r="S99" s="22"/>
      <c r="T99" s="21"/>
      <c r="U99" s="21">
        <f t="shared" si="13"/>
        <v>22.575338860376363</v>
      </c>
      <c r="V99" s="21">
        <f t="shared" si="14"/>
        <v>12.45254942451942</v>
      </c>
      <c r="W99" s="21">
        <f>VLOOKUP(A:A,[1]TDSheet!$A:$X,24,0)</f>
        <v>0</v>
      </c>
      <c r="X99" s="21">
        <f>VLOOKUP(A:A,[1]TDSheet!$A:$Y,25,0)</f>
        <v>27.5456</v>
      </c>
      <c r="Y99" s="21">
        <f>VLOOKUP(A:A,[1]TDSheet!$A:$Z,26,0)</f>
        <v>21.107599999999998</v>
      </c>
      <c r="Z99" s="21">
        <f>VLOOKUP(A:A,[1]TDSheet!$A:$Q,17,0)</f>
        <v>22.7972</v>
      </c>
      <c r="AA99" s="21"/>
      <c r="AB99" s="21">
        <f t="shared" si="15"/>
        <v>0</v>
      </c>
    </row>
    <row r="100" spans="1:28" ht="21.95" customHeight="1" x14ac:dyDescent="0.2">
      <c r="A100" s="9" t="s">
        <v>104</v>
      </c>
      <c r="B100" s="9" t="s">
        <v>18</v>
      </c>
      <c r="C100" s="10">
        <v>346</v>
      </c>
      <c r="D100" s="10">
        <v>104</v>
      </c>
      <c r="E100" s="10">
        <v>264</v>
      </c>
      <c r="F100" s="10">
        <v>172</v>
      </c>
      <c r="G100" s="5" t="str">
        <f>VLOOKUP(A:A,[1]TDSheet!$A:$G,7,0)</f>
        <v>P005163</v>
      </c>
      <c r="H100" s="5">
        <f>VLOOKUP(A:A,[1]TDSheet!$A:$H,8,0)</f>
        <v>0.28000000000000003</v>
      </c>
      <c r="L100" s="21">
        <f>VLOOKUP(A:A,[2]TDSheet!$A:$B,2,0)</f>
        <v>277</v>
      </c>
      <c r="M100" s="21">
        <f t="shared" si="11"/>
        <v>-13</v>
      </c>
      <c r="N100" s="21"/>
      <c r="O100" s="21">
        <f>VLOOKUP(A:A,[1]TDSheet!$A:$O,15,0)</f>
        <v>0</v>
      </c>
      <c r="P100" s="21">
        <f>VLOOKUP(A:A,[1]TDSheet!$A:$R,18,0)</f>
        <v>300</v>
      </c>
      <c r="Q100" s="21">
        <f t="shared" si="12"/>
        <v>52.8</v>
      </c>
      <c r="R100" s="22">
        <f t="shared" si="16"/>
        <v>108.79999999999995</v>
      </c>
      <c r="S100" s="22"/>
      <c r="T100" s="21"/>
      <c r="U100" s="21">
        <f t="shared" si="13"/>
        <v>11</v>
      </c>
      <c r="V100" s="21">
        <f t="shared" si="14"/>
        <v>3.2575757575757578</v>
      </c>
      <c r="W100" s="21">
        <f>VLOOKUP(A:A,[1]TDSheet!$A:$X,24,0)</f>
        <v>12.2</v>
      </c>
      <c r="X100" s="21">
        <f>VLOOKUP(A:A,[1]TDSheet!$A:$Y,25,0)</f>
        <v>49</v>
      </c>
      <c r="Y100" s="21">
        <f>VLOOKUP(A:A,[1]TDSheet!$A:$Z,26,0)</f>
        <v>36.6</v>
      </c>
      <c r="Z100" s="21">
        <f>VLOOKUP(A:A,[1]TDSheet!$A:$Q,17,0)</f>
        <v>45.2</v>
      </c>
      <c r="AA100" s="21" t="str">
        <f>VLOOKUP(A:A,[1]TDSheet!$A:$AA,27,0)</f>
        <v>Новинка</v>
      </c>
      <c r="AB100" s="21">
        <f t="shared" si="15"/>
        <v>30.463999999999992</v>
      </c>
    </row>
    <row r="101" spans="1:28" ht="21.95" customHeight="1" x14ac:dyDescent="0.2">
      <c r="A101" s="9" t="s">
        <v>105</v>
      </c>
      <c r="B101" s="9" t="s">
        <v>18</v>
      </c>
      <c r="C101" s="10">
        <v>362</v>
      </c>
      <c r="D101" s="10">
        <v>90</v>
      </c>
      <c r="E101" s="10">
        <v>243</v>
      </c>
      <c r="F101" s="10">
        <v>203</v>
      </c>
      <c r="G101" s="5" t="str">
        <f>VLOOKUP(A:A,[1]TDSheet!$A:$G,7,0)</f>
        <v>P005166</v>
      </c>
      <c r="H101" s="5">
        <f>VLOOKUP(A:A,[1]TDSheet!$A:$H,8,0)</f>
        <v>0.28000000000000003</v>
      </c>
      <c r="L101" s="21">
        <f>VLOOKUP(A:A,[2]TDSheet!$A:$B,2,0)</f>
        <v>247</v>
      </c>
      <c r="M101" s="21">
        <f t="shared" si="11"/>
        <v>-4</v>
      </c>
      <c r="N101" s="21"/>
      <c r="O101" s="21">
        <f>VLOOKUP(A:A,[1]TDSheet!$A:$O,15,0)</f>
        <v>0</v>
      </c>
      <c r="P101" s="21">
        <f>VLOOKUP(A:A,[1]TDSheet!$A:$R,18,0)</f>
        <v>150</v>
      </c>
      <c r="Q101" s="21">
        <f t="shared" si="12"/>
        <v>48.6</v>
      </c>
      <c r="R101" s="22">
        <f t="shared" si="16"/>
        <v>181.60000000000002</v>
      </c>
      <c r="S101" s="22"/>
      <c r="T101" s="21"/>
      <c r="U101" s="21">
        <f t="shared" si="13"/>
        <v>11</v>
      </c>
      <c r="V101" s="21">
        <f t="shared" si="14"/>
        <v>4.1769547325102883</v>
      </c>
      <c r="W101" s="21">
        <f>VLOOKUP(A:A,[1]TDSheet!$A:$X,24,0)</f>
        <v>13</v>
      </c>
      <c r="X101" s="21">
        <f>VLOOKUP(A:A,[1]TDSheet!$A:$Y,25,0)</f>
        <v>34.200000000000003</v>
      </c>
      <c r="Y101" s="21">
        <f>VLOOKUP(A:A,[1]TDSheet!$A:$Z,26,0)</f>
        <v>37.799999999999997</v>
      </c>
      <c r="Z101" s="21">
        <f>VLOOKUP(A:A,[1]TDSheet!$A:$Q,17,0)</f>
        <v>32.200000000000003</v>
      </c>
      <c r="AA101" s="21" t="str">
        <f>VLOOKUP(A:A,[1]TDSheet!$A:$AA,27,0)</f>
        <v>Новинка</v>
      </c>
      <c r="AB101" s="21">
        <f t="shared" si="15"/>
        <v>50.848000000000013</v>
      </c>
    </row>
    <row r="102" spans="1:28" ht="21.95" customHeight="1" x14ac:dyDescent="0.2">
      <c r="A102" s="9" t="s">
        <v>106</v>
      </c>
      <c r="B102" s="9" t="s">
        <v>14</v>
      </c>
      <c r="C102" s="10">
        <v>67.41</v>
      </c>
      <c r="D102" s="10"/>
      <c r="E102" s="10">
        <v>71.992000000000004</v>
      </c>
      <c r="F102" s="10">
        <v>-6.4420000000000002</v>
      </c>
      <c r="G102" s="5" t="str">
        <f>VLOOKUP(A:A,[1]TDSheet!$A:$G,7,0)</f>
        <v>P005358</v>
      </c>
      <c r="H102" s="5">
        <f>VLOOKUP(A:A,[1]TDSheet!$A:$H,8,0)</f>
        <v>1</v>
      </c>
      <c r="L102" s="21">
        <f>VLOOKUP(A:A,[2]TDSheet!$A:$B,2,0)</f>
        <v>147.5</v>
      </c>
      <c r="M102" s="21">
        <f t="shared" si="11"/>
        <v>-75.507999999999996</v>
      </c>
      <c r="N102" s="21"/>
      <c r="O102" s="21">
        <f>VLOOKUP(A:A,[1]TDSheet!$A:$O,15,0)</f>
        <v>0</v>
      </c>
      <c r="P102" s="21">
        <f>VLOOKUP(A:A,[1]TDSheet!$A:$R,18,0)</f>
        <v>125</v>
      </c>
      <c r="Q102" s="21">
        <f t="shared" si="12"/>
        <v>14.398400000000001</v>
      </c>
      <c r="R102" s="22">
        <f t="shared" si="16"/>
        <v>39.824400000000026</v>
      </c>
      <c r="S102" s="22"/>
      <c r="T102" s="21"/>
      <c r="U102" s="21">
        <f t="shared" si="13"/>
        <v>11</v>
      </c>
      <c r="V102" s="21">
        <f t="shared" si="14"/>
        <v>-0.44741082342482497</v>
      </c>
      <c r="W102" s="21">
        <f>VLOOKUP(A:A,[1]TDSheet!$A:$X,24,0)</f>
        <v>17.016999999999999</v>
      </c>
      <c r="X102" s="21">
        <f>VLOOKUP(A:A,[1]TDSheet!$A:$Y,25,0)</f>
        <v>18.36</v>
      </c>
      <c r="Y102" s="21">
        <f>VLOOKUP(A:A,[1]TDSheet!$A:$Z,26,0)</f>
        <v>14.105</v>
      </c>
      <c r="Z102" s="21">
        <f>VLOOKUP(A:A,[1]TDSheet!$A:$Q,17,0)</f>
        <v>30.2822</v>
      </c>
      <c r="AA102" s="21"/>
      <c r="AB102" s="21">
        <f t="shared" si="15"/>
        <v>39.824400000000026</v>
      </c>
    </row>
    <row r="103" spans="1:28" ht="21.95" customHeight="1" x14ac:dyDescent="0.2">
      <c r="A103" s="9" t="s">
        <v>107</v>
      </c>
      <c r="B103" s="9" t="s">
        <v>14</v>
      </c>
      <c r="C103" s="10">
        <v>197.892</v>
      </c>
      <c r="D103" s="10"/>
      <c r="E103" s="10">
        <v>169.64599999999999</v>
      </c>
      <c r="F103" s="10">
        <v>30.396999999999998</v>
      </c>
      <c r="G103" s="5" t="str">
        <f>VLOOKUP(A:A,[1]TDSheet!$A:$G,7,0)</f>
        <v>P004675</v>
      </c>
      <c r="H103" s="5">
        <f>VLOOKUP(A:A,[1]TDSheet!$A:$H,8,0)</f>
        <v>1</v>
      </c>
      <c r="L103" s="21">
        <f>VLOOKUP(A:A,[2]TDSheet!$A:$B,2,0)</f>
        <v>167.8</v>
      </c>
      <c r="M103" s="21">
        <f t="shared" si="11"/>
        <v>1.8459999999999752</v>
      </c>
      <c r="N103" s="21"/>
      <c r="O103" s="21">
        <f>VLOOKUP(A:A,[1]TDSheet!$A:$O,15,0)</f>
        <v>0</v>
      </c>
      <c r="P103" s="21">
        <f>VLOOKUP(A:A,[1]TDSheet!$A:$R,18,0)</f>
        <v>100</v>
      </c>
      <c r="Q103" s="21">
        <f t="shared" si="12"/>
        <v>33.929199999999994</v>
      </c>
      <c r="R103" s="22">
        <f t="shared" si="16"/>
        <v>242.82419999999996</v>
      </c>
      <c r="S103" s="22"/>
      <c r="T103" s="21"/>
      <c r="U103" s="21">
        <f t="shared" si="13"/>
        <v>11</v>
      </c>
      <c r="V103" s="21">
        <f t="shared" si="14"/>
        <v>0.89589498131403045</v>
      </c>
      <c r="W103" s="21">
        <f>VLOOKUP(A:A,[1]TDSheet!$A:$X,24,0)</f>
        <v>14.873799999999999</v>
      </c>
      <c r="X103" s="21">
        <f>VLOOKUP(A:A,[1]TDSheet!$A:$Y,25,0)</f>
        <v>17.5974</v>
      </c>
      <c r="Y103" s="21">
        <f>VLOOKUP(A:A,[1]TDSheet!$A:$Z,26,0)</f>
        <v>24.006599999999999</v>
      </c>
      <c r="Z103" s="21">
        <f>VLOOKUP(A:A,[1]TDSheet!$A:$Q,17,0)</f>
        <v>33.010199999999998</v>
      </c>
      <c r="AA103" s="21" t="str">
        <f>VLOOKUP(A:A,[1]TDSheet!$A:$AA,27,0)</f>
        <v>Новинка</v>
      </c>
      <c r="AB103" s="21">
        <f t="shared" si="15"/>
        <v>242.82419999999996</v>
      </c>
    </row>
    <row r="104" spans="1:28" ht="11.1" customHeight="1" x14ac:dyDescent="0.2">
      <c r="A104" s="24" t="s">
        <v>108</v>
      </c>
      <c r="B104" s="9" t="s">
        <v>14</v>
      </c>
      <c r="C104" s="10">
        <v>2.8570000000000002</v>
      </c>
      <c r="D104" s="10">
        <v>183.23400000000001</v>
      </c>
      <c r="E104" s="10">
        <v>48.82</v>
      </c>
      <c r="F104" s="10">
        <v>137.922</v>
      </c>
      <c r="G104" s="5" t="str">
        <f>VLOOKUP(A:A,[1]TDSheet!$A:$G,7,0)</f>
        <v>P005360</v>
      </c>
      <c r="H104" s="5">
        <f>VLOOKUP(A:A,[1]TDSheet!$A:$H,8,0)</f>
        <v>1</v>
      </c>
      <c r="L104" s="21">
        <f>VLOOKUP(A:A,[2]TDSheet!$A:$B,2,0)</f>
        <v>58.4</v>
      </c>
      <c r="M104" s="21">
        <f t="shared" si="11"/>
        <v>-9.5799999999999983</v>
      </c>
      <c r="N104" s="21"/>
      <c r="O104" s="21">
        <f>VLOOKUP(A:A,[1]TDSheet!$A:$O,15,0)</f>
        <v>0</v>
      </c>
      <c r="P104" s="21">
        <f>VLOOKUP(A:A,[1]TDSheet!$A:$R,18,0)</f>
        <v>100</v>
      </c>
      <c r="Q104" s="21">
        <f t="shared" si="12"/>
        <v>9.7639999999999993</v>
      </c>
      <c r="R104" s="22"/>
      <c r="S104" s="22"/>
      <c r="T104" s="21"/>
      <c r="U104" s="21">
        <f t="shared" si="13"/>
        <v>24.367267513314218</v>
      </c>
      <c r="V104" s="21">
        <f t="shared" si="14"/>
        <v>14.125563293732078</v>
      </c>
      <c r="W104" s="21">
        <f>VLOOKUP(A:A,[1]TDSheet!$A:$X,24,0)</f>
        <v>16.150399999999998</v>
      </c>
      <c r="X104" s="21">
        <f>VLOOKUP(A:A,[1]TDSheet!$A:$Y,25,0)</f>
        <v>9.27</v>
      </c>
      <c r="Y104" s="21">
        <f>VLOOKUP(A:A,[1]TDSheet!$A:$Z,26,0)</f>
        <v>22.412600000000001</v>
      </c>
      <c r="Z104" s="21">
        <f>VLOOKUP(A:A,[1]TDSheet!$A:$Q,17,0)</f>
        <v>14.403</v>
      </c>
      <c r="AA104" s="21" t="str">
        <f>VLOOKUP(A:A,[1]TDSheet!$A:$AA,27,0)</f>
        <v>пРОМО</v>
      </c>
      <c r="AB104" s="21">
        <f t="shared" si="15"/>
        <v>0</v>
      </c>
    </row>
    <row r="105" spans="1:28" ht="11.1" customHeight="1" x14ac:dyDescent="0.2">
      <c r="A105" s="9" t="s">
        <v>109</v>
      </c>
      <c r="B105" s="9" t="s">
        <v>14</v>
      </c>
      <c r="C105" s="10">
        <v>165.798</v>
      </c>
      <c r="D105" s="10">
        <v>28.808</v>
      </c>
      <c r="E105" s="10">
        <v>128.37799999999999</v>
      </c>
      <c r="F105" s="10">
        <v>62.709000000000003</v>
      </c>
      <c r="G105" s="5" t="str">
        <f>VLOOKUP(A:A,[1]TDSheet!$A:$G,7,0)</f>
        <v>P005361</v>
      </c>
      <c r="H105" s="5">
        <f>VLOOKUP(A:A,[1]TDSheet!$A:$H,8,0)</f>
        <v>1</v>
      </c>
      <c r="L105" s="21">
        <f>VLOOKUP(A:A,[2]TDSheet!$A:$B,2,0)</f>
        <v>124</v>
      </c>
      <c r="M105" s="21">
        <f t="shared" si="11"/>
        <v>4.3779999999999859</v>
      </c>
      <c r="N105" s="21"/>
      <c r="O105" s="21">
        <f>VLOOKUP(A:A,[1]TDSheet!$A:$O,15,0)</f>
        <v>0</v>
      </c>
      <c r="P105" s="21">
        <f>VLOOKUP(A:A,[1]TDSheet!$A:$R,18,0)</f>
        <v>100</v>
      </c>
      <c r="Q105" s="21">
        <f t="shared" si="12"/>
        <v>25.675599999999996</v>
      </c>
      <c r="R105" s="22">
        <f t="shared" si="16"/>
        <v>119.72259999999994</v>
      </c>
      <c r="S105" s="22"/>
      <c r="T105" s="21"/>
      <c r="U105" s="21">
        <f t="shared" si="13"/>
        <v>11</v>
      </c>
      <c r="V105" s="21">
        <f t="shared" si="14"/>
        <v>2.4423577248438213</v>
      </c>
      <c r="W105" s="21">
        <f>VLOOKUP(A:A,[1]TDSheet!$A:$X,24,0)</f>
        <v>26.943599999999996</v>
      </c>
      <c r="X105" s="21">
        <f>VLOOKUP(A:A,[1]TDSheet!$A:$Y,25,0)</f>
        <v>25.497399999999999</v>
      </c>
      <c r="Y105" s="21">
        <f>VLOOKUP(A:A,[1]TDSheet!$A:$Z,26,0)</f>
        <v>33.244999999999997</v>
      </c>
      <c r="Z105" s="21">
        <f>VLOOKUP(A:A,[1]TDSheet!$A:$Q,17,0)</f>
        <v>39.076000000000001</v>
      </c>
      <c r="AA105" s="21" t="str">
        <f>VLOOKUP(A:A,[1]TDSheet!$A:$AA,27,0)</f>
        <v>пРОМО</v>
      </c>
      <c r="AB105" s="21">
        <f t="shared" si="15"/>
        <v>119.72259999999994</v>
      </c>
    </row>
    <row r="106" spans="1:28" ht="11.1" customHeight="1" x14ac:dyDescent="0.2">
      <c r="A106" s="9" t="s">
        <v>110</v>
      </c>
      <c r="B106" s="9" t="s">
        <v>14</v>
      </c>
      <c r="C106" s="10">
        <v>44.466000000000001</v>
      </c>
      <c r="D106" s="10"/>
      <c r="E106" s="10">
        <v>38.835999999999999</v>
      </c>
      <c r="F106" s="10">
        <v>4.4379999999999997</v>
      </c>
      <c r="G106" s="5" t="str">
        <f>VLOOKUP(A:A,[1]TDSheet!$A:$G,7,0)</f>
        <v>P005363</v>
      </c>
      <c r="H106" s="5">
        <f>VLOOKUP(A:A,[1]TDSheet!$A:$H,8,0)</f>
        <v>1</v>
      </c>
      <c r="L106" s="21">
        <f>VLOOKUP(A:A,[2]TDSheet!$A:$B,2,0)</f>
        <v>39.6</v>
      </c>
      <c r="M106" s="21">
        <f t="shared" si="11"/>
        <v>-0.7640000000000029</v>
      </c>
      <c r="N106" s="21"/>
      <c r="O106" s="21">
        <f>VLOOKUP(A:A,[1]TDSheet!$A:$O,15,0)</f>
        <v>0</v>
      </c>
      <c r="P106" s="21">
        <f>VLOOKUP(A:A,[1]TDSheet!$A:$R,18,0)</f>
        <v>60</v>
      </c>
      <c r="Q106" s="21">
        <f t="shared" si="12"/>
        <v>7.7671999999999999</v>
      </c>
      <c r="R106" s="22">
        <f t="shared" si="16"/>
        <v>21.001199999999997</v>
      </c>
      <c r="S106" s="22"/>
      <c r="T106" s="21"/>
      <c r="U106" s="21">
        <f t="shared" si="13"/>
        <v>11</v>
      </c>
      <c r="V106" s="21">
        <f t="shared" si="14"/>
        <v>0.57137707281903383</v>
      </c>
      <c r="W106" s="21">
        <f>VLOOKUP(A:A,[1]TDSheet!$A:$X,24,0)</f>
        <v>5.9408000000000003</v>
      </c>
      <c r="X106" s="21">
        <f>VLOOKUP(A:A,[1]TDSheet!$A:$Y,25,0)</f>
        <v>3.2612000000000001</v>
      </c>
      <c r="Y106" s="21">
        <f>VLOOKUP(A:A,[1]TDSheet!$A:$Z,26,0)</f>
        <v>5.8381999999999996</v>
      </c>
      <c r="Z106" s="21">
        <f>VLOOKUP(A:A,[1]TDSheet!$A:$Q,17,0)</f>
        <v>11.130800000000001</v>
      </c>
      <c r="AA106" s="21"/>
      <c r="AB106" s="21">
        <f t="shared" si="15"/>
        <v>21.001199999999997</v>
      </c>
    </row>
    <row r="107" spans="1:28" ht="21.95" customHeight="1" x14ac:dyDescent="0.2">
      <c r="A107" s="9" t="s">
        <v>111</v>
      </c>
      <c r="B107" s="9" t="s">
        <v>18</v>
      </c>
      <c r="C107" s="10">
        <v>142</v>
      </c>
      <c r="D107" s="10">
        <v>164</v>
      </c>
      <c r="E107" s="10">
        <v>215</v>
      </c>
      <c r="F107" s="10">
        <v>86</v>
      </c>
      <c r="G107" s="5" t="str">
        <f>VLOOKUP(A:A,[1]TDSheet!$A:$G,7,0)</f>
        <v>P003386</v>
      </c>
      <c r="H107" s="5">
        <f>VLOOKUP(A:A,[1]TDSheet!$A:$H,8,0)</f>
        <v>0.3</v>
      </c>
      <c r="L107" s="21">
        <f>VLOOKUP(A:A,[2]TDSheet!$A:$B,2,0)</f>
        <v>220</v>
      </c>
      <c r="M107" s="21">
        <f t="shared" si="11"/>
        <v>-5</v>
      </c>
      <c r="N107" s="21"/>
      <c r="O107" s="21">
        <f>VLOOKUP(A:A,[1]TDSheet!$A:$O,15,0)</f>
        <v>0</v>
      </c>
      <c r="P107" s="21">
        <f>VLOOKUP(A:A,[1]TDSheet!$A:$R,18,0)</f>
        <v>280</v>
      </c>
      <c r="Q107" s="21">
        <f t="shared" si="12"/>
        <v>43</v>
      </c>
      <c r="R107" s="22">
        <f t="shared" si="16"/>
        <v>107</v>
      </c>
      <c r="S107" s="22"/>
      <c r="T107" s="21"/>
      <c r="U107" s="21">
        <f t="shared" si="13"/>
        <v>11</v>
      </c>
      <c r="V107" s="21">
        <f t="shared" si="14"/>
        <v>2</v>
      </c>
      <c r="W107" s="21">
        <f>VLOOKUP(A:A,[1]TDSheet!$A:$X,24,0)</f>
        <v>39.6</v>
      </c>
      <c r="X107" s="21">
        <f>VLOOKUP(A:A,[1]TDSheet!$A:$Y,25,0)</f>
        <v>39.200000000000003</v>
      </c>
      <c r="Y107" s="21">
        <f>VLOOKUP(A:A,[1]TDSheet!$A:$Z,26,0)</f>
        <v>38.200000000000003</v>
      </c>
      <c r="Z107" s="21">
        <f>VLOOKUP(A:A,[1]TDSheet!$A:$Q,17,0)</f>
        <v>36.6</v>
      </c>
      <c r="AA107" s="21"/>
      <c r="AB107" s="21">
        <f t="shared" si="15"/>
        <v>32.1</v>
      </c>
    </row>
    <row r="108" spans="1:28" ht="11.1" customHeight="1" x14ac:dyDescent="0.2">
      <c r="A108" s="9" t="s">
        <v>112</v>
      </c>
      <c r="B108" s="9" t="s">
        <v>18</v>
      </c>
      <c r="C108" s="10">
        <v>23</v>
      </c>
      <c r="D108" s="10">
        <v>204</v>
      </c>
      <c r="E108" s="10">
        <v>126</v>
      </c>
      <c r="F108" s="10">
        <v>78</v>
      </c>
      <c r="G108" s="5" t="str">
        <f>VLOOKUP(A:A,[1]TDSheet!$A:$G,7,0)</f>
        <v>P003385</v>
      </c>
      <c r="H108" s="5">
        <f>VLOOKUP(A:A,[1]TDSheet!$A:$H,8,0)</f>
        <v>0.3</v>
      </c>
      <c r="L108" s="21">
        <f>VLOOKUP(A:A,[2]TDSheet!$A:$B,2,0)</f>
        <v>184</v>
      </c>
      <c r="M108" s="21">
        <f t="shared" si="11"/>
        <v>-58</v>
      </c>
      <c r="N108" s="21"/>
      <c r="O108" s="21">
        <f>VLOOKUP(A:A,[1]TDSheet!$A:$O,15,0)</f>
        <v>0</v>
      </c>
      <c r="P108" s="21">
        <f>VLOOKUP(A:A,[1]TDSheet!$A:$R,18,0)</f>
        <v>30</v>
      </c>
      <c r="Q108" s="21">
        <f t="shared" si="12"/>
        <v>25.2</v>
      </c>
      <c r="R108" s="22">
        <f t="shared" si="16"/>
        <v>169.2</v>
      </c>
      <c r="S108" s="22"/>
      <c r="T108" s="21"/>
      <c r="U108" s="21">
        <f t="shared" si="13"/>
        <v>11</v>
      </c>
      <c r="V108" s="21">
        <f t="shared" si="14"/>
        <v>3.0952380952380953</v>
      </c>
      <c r="W108" s="21">
        <f>VLOOKUP(A:A,[1]TDSheet!$A:$X,24,0)</f>
        <v>23.4</v>
      </c>
      <c r="X108" s="21">
        <f>VLOOKUP(A:A,[1]TDSheet!$A:$Y,25,0)</f>
        <v>17.399999999999999</v>
      </c>
      <c r="Y108" s="21">
        <f>VLOOKUP(A:A,[1]TDSheet!$A:$Z,26,0)</f>
        <v>19.8</v>
      </c>
      <c r="Z108" s="21">
        <f>VLOOKUP(A:A,[1]TDSheet!$A:$Q,17,0)</f>
        <v>3.8</v>
      </c>
      <c r="AA108" s="21"/>
      <c r="AB108" s="21">
        <f t="shared" si="15"/>
        <v>50.76</v>
      </c>
    </row>
    <row r="109" spans="1:28" ht="11.1" customHeight="1" x14ac:dyDescent="0.2">
      <c r="A109" s="9" t="s">
        <v>113</v>
      </c>
      <c r="B109" s="9" t="s">
        <v>14</v>
      </c>
      <c r="C109" s="10">
        <v>4.3769999999999998</v>
      </c>
      <c r="D109" s="10">
        <v>1.3720000000000001</v>
      </c>
      <c r="E109" s="10">
        <v>6.532</v>
      </c>
      <c r="F109" s="10">
        <v>-1.121</v>
      </c>
      <c r="G109" s="5" t="str">
        <f>VLOOKUP(A:A,[1]TDSheet!$A:$G,7,0)</f>
        <v>P004621</v>
      </c>
      <c r="H109" s="5">
        <f>VLOOKUP(A:A,[1]TDSheet!$A:$H,8,0)</f>
        <v>1</v>
      </c>
      <c r="L109" s="21">
        <f>VLOOKUP(A:A,[2]TDSheet!$A:$B,2,0)</f>
        <v>9.1999999999999993</v>
      </c>
      <c r="M109" s="21">
        <f t="shared" si="11"/>
        <v>-2.6679999999999993</v>
      </c>
      <c r="N109" s="21"/>
      <c r="O109" s="21">
        <f>VLOOKUP(A:A,[1]TDSheet!$A:$O,15,0)</f>
        <v>0</v>
      </c>
      <c r="P109" s="21">
        <f>VLOOKUP(A:A,[1]TDSheet!$A:$R,18,0)</f>
        <v>0</v>
      </c>
      <c r="Q109" s="21">
        <f t="shared" si="12"/>
        <v>1.3064</v>
      </c>
      <c r="R109" s="22">
        <f t="shared" si="16"/>
        <v>15.491400000000001</v>
      </c>
      <c r="S109" s="22"/>
      <c r="T109" s="21"/>
      <c r="U109" s="21">
        <f t="shared" si="13"/>
        <v>11</v>
      </c>
      <c r="V109" s="21">
        <f t="shared" si="14"/>
        <v>-0.85808328230251074</v>
      </c>
      <c r="W109" s="21">
        <f>VLOOKUP(A:A,[1]TDSheet!$A:$X,24,0)</f>
        <v>4.3450000000000006</v>
      </c>
      <c r="X109" s="21">
        <f>VLOOKUP(A:A,[1]TDSheet!$A:$Y,25,0)</f>
        <v>1.3715999999999999</v>
      </c>
      <c r="Y109" s="21">
        <f>VLOOKUP(A:A,[1]TDSheet!$A:$Z,26,0)</f>
        <v>2.7716000000000003</v>
      </c>
      <c r="Z109" s="21">
        <f>VLOOKUP(A:A,[1]TDSheet!$A:$Q,17,0)</f>
        <v>4.6696</v>
      </c>
      <c r="AA109" s="21"/>
      <c r="AB109" s="21">
        <f t="shared" si="15"/>
        <v>15.491400000000001</v>
      </c>
    </row>
    <row r="110" spans="1:28" ht="11.1" customHeight="1" x14ac:dyDescent="0.2">
      <c r="A110" s="24" t="s">
        <v>114</v>
      </c>
      <c r="B110" s="9" t="s">
        <v>18</v>
      </c>
      <c r="C110" s="11"/>
      <c r="D110" s="10">
        <v>92</v>
      </c>
      <c r="E110" s="10">
        <v>5</v>
      </c>
      <c r="F110" s="10">
        <v>84</v>
      </c>
      <c r="G110" s="5" t="str">
        <f>VLOOKUP(A:A,[1]TDSheet!$A:$G,7,0)</f>
        <v>P004890</v>
      </c>
      <c r="H110" s="5">
        <f>VLOOKUP(A:A,[1]TDSheet!$A:$H,8,0)</f>
        <v>0.3</v>
      </c>
      <c r="L110" s="21">
        <f>VLOOKUP(A:A,[2]TDSheet!$A:$B,2,0)</f>
        <v>24</v>
      </c>
      <c r="M110" s="21">
        <f t="shared" si="11"/>
        <v>-19</v>
      </c>
      <c r="N110" s="21"/>
      <c r="O110" s="21">
        <f>VLOOKUP(A:A,[1]TDSheet!$A:$O,15,0)</f>
        <v>0</v>
      </c>
      <c r="P110" s="21">
        <f>VLOOKUP(A:A,[1]TDSheet!$A:$R,18,0)</f>
        <v>120</v>
      </c>
      <c r="Q110" s="21">
        <f t="shared" si="12"/>
        <v>1</v>
      </c>
      <c r="R110" s="22"/>
      <c r="S110" s="22"/>
      <c r="T110" s="21"/>
      <c r="U110" s="21">
        <f t="shared" si="13"/>
        <v>204</v>
      </c>
      <c r="V110" s="21">
        <f t="shared" si="14"/>
        <v>84</v>
      </c>
      <c r="W110" s="21">
        <f>VLOOKUP(A:A,[1]TDSheet!$A:$X,24,0)</f>
        <v>16.600000000000001</v>
      </c>
      <c r="X110" s="21">
        <f>VLOOKUP(A:A,[1]TDSheet!$A:$Y,25,0)</f>
        <v>4.8</v>
      </c>
      <c r="Y110" s="21">
        <f>VLOOKUP(A:A,[1]TDSheet!$A:$Z,26,0)</f>
        <v>14.6</v>
      </c>
      <c r="Z110" s="21">
        <f>VLOOKUP(A:A,[1]TDSheet!$A:$Q,17,0)</f>
        <v>9.1999999999999993</v>
      </c>
      <c r="AA110" s="21"/>
      <c r="AB110" s="21">
        <f t="shared" si="15"/>
        <v>0</v>
      </c>
    </row>
    <row r="111" spans="1:28" ht="11.1" customHeight="1" x14ac:dyDescent="0.2">
      <c r="A111" s="9" t="s">
        <v>115</v>
      </c>
      <c r="B111" s="9" t="s">
        <v>18</v>
      </c>
      <c r="C111" s="10">
        <v>76</v>
      </c>
      <c r="D111" s="10"/>
      <c r="E111" s="10">
        <v>44</v>
      </c>
      <c r="F111" s="10">
        <v>27</v>
      </c>
      <c r="G111" s="5" t="str">
        <f>VLOOKUP(A:A,[1]TDSheet!$A:$G,7,0)</f>
        <v>P005060</v>
      </c>
      <c r="H111" s="5">
        <f>VLOOKUP(A:A,[1]TDSheet!$A:$H,8,0)</f>
        <v>0.12</v>
      </c>
      <c r="L111" s="21">
        <f>VLOOKUP(A:A,[2]TDSheet!$A:$B,2,0)</f>
        <v>49</v>
      </c>
      <c r="M111" s="21">
        <f t="shared" si="11"/>
        <v>-5</v>
      </c>
      <c r="N111" s="21"/>
      <c r="O111" s="21">
        <f>VLOOKUP(A:A,[1]TDSheet!$A:$O,15,0)</f>
        <v>0</v>
      </c>
      <c r="P111" s="21">
        <f>VLOOKUP(A:A,[1]TDSheet!$A:$R,18,0)</f>
        <v>40</v>
      </c>
      <c r="Q111" s="21">
        <f t="shared" si="12"/>
        <v>8.8000000000000007</v>
      </c>
      <c r="R111" s="22">
        <f t="shared" si="16"/>
        <v>29.800000000000011</v>
      </c>
      <c r="S111" s="22"/>
      <c r="T111" s="21"/>
      <c r="U111" s="21">
        <f t="shared" si="13"/>
        <v>11</v>
      </c>
      <c r="V111" s="21">
        <f t="shared" si="14"/>
        <v>3.0681818181818179</v>
      </c>
      <c r="W111" s="21">
        <f>VLOOKUP(A:A,[1]TDSheet!$A:$X,24,0)</f>
        <v>3.6</v>
      </c>
      <c r="X111" s="21">
        <f>VLOOKUP(A:A,[1]TDSheet!$A:$Y,25,0)</f>
        <v>9.4</v>
      </c>
      <c r="Y111" s="21">
        <f>VLOOKUP(A:A,[1]TDSheet!$A:$Z,26,0)</f>
        <v>0</v>
      </c>
      <c r="Z111" s="21">
        <f>VLOOKUP(A:A,[1]TDSheet!$A:$Q,17,0)</f>
        <v>9.1999999999999993</v>
      </c>
      <c r="AA111" s="21"/>
      <c r="AB111" s="21">
        <f t="shared" si="15"/>
        <v>3.5760000000000014</v>
      </c>
    </row>
    <row r="112" spans="1:28" ht="11.1" customHeight="1" x14ac:dyDescent="0.2">
      <c r="A112" s="9" t="s">
        <v>139</v>
      </c>
      <c r="B112" s="9" t="s">
        <v>14</v>
      </c>
      <c r="C112" s="10"/>
      <c r="D112" s="10"/>
      <c r="E112" s="10">
        <v>0</v>
      </c>
      <c r="F112" s="10"/>
      <c r="G112" s="5" t="str">
        <f>VLOOKUP(A:A,[1]TDSheet!$A:$G,7,0)</f>
        <v>P004256</v>
      </c>
      <c r="H112" s="5">
        <f>VLOOKUP(A:A,[1]TDSheet!$A:$H,8,0)</f>
        <v>1</v>
      </c>
      <c r="I112" s="5" t="str">
        <f>VLOOKUP(A:A,[1]TDSheet!$A:$I,9,0)</f>
        <v>не матрица</v>
      </c>
      <c r="J112" s="21"/>
      <c r="K112" s="21"/>
      <c r="L112" s="21">
        <v>0</v>
      </c>
      <c r="M112" s="21">
        <f t="shared" si="11"/>
        <v>0</v>
      </c>
      <c r="N112" s="21"/>
      <c r="O112" s="21">
        <f>VLOOKUP(A:A,[1]TDSheet!$A:$O,15,0)</f>
        <v>0</v>
      </c>
      <c r="P112" s="21">
        <f>VLOOKUP(A:A,[1]TDSheet!$A:$R,18,0)</f>
        <v>0</v>
      </c>
      <c r="Q112" s="21">
        <f t="shared" si="12"/>
        <v>0</v>
      </c>
      <c r="R112" s="22"/>
      <c r="S112" s="22"/>
      <c r="T112" s="21"/>
      <c r="U112" s="21" t="e">
        <f t="shared" si="13"/>
        <v>#DIV/0!</v>
      </c>
      <c r="V112" s="21" t="e">
        <f t="shared" si="14"/>
        <v>#DIV/0!</v>
      </c>
      <c r="W112" s="21">
        <f>VLOOKUP(A:A,[1]TDSheet!$A:$X,24,0)</f>
        <v>0</v>
      </c>
      <c r="X112" s="21">
        <f>VLOOKUP(A:A,[1]TDSheet!$A:$Y,25,0)</f>
        <v>0</v>
      </c>
      <c r="Y112" s="21">
        <f>VLOOKUP(A:A,[1]TDSheet!$A:$Z,26,0)</f>
        <v>0.98080000000000001</v>
      </c>
      <c r="Z112" s="21">
        <f>VLOOKUP(A:A,[1]TDSheet!$A:$Q,17,0)</f>
        <v>0</v>
      </c>
      <c r="AA112" s="21"/>
      <c r="AB112" s="21">
        <f t="shared" si="15"/>
        <v>0</v>
      </c>
    </row>
    <row r="113" spans="1:28" ht="11.1" customHeight="1" x14ac:dyDescent="0.2">
      <c r="A113" s="9" t="s">
        <v>140</v>
      </c>
      <c r="B113" s="9" t="s">
        <v>14</v>
      </c>
      <c r="C113" s="10"/>
      <c r="D113" s="10"/>
      <c r="E113" s="10">
        <v>-4.3</v>
      </c>
      <c r="F113" s="10" t="s">
        <v>148</v>
      </c>
      <c r="G113" s="26" t="s">
        <v>147</v>
      </c>
      <c r="H113" s="5">
        <f>VLOOKUP(A:A,[1]TDSheet!$A:$H,8,0)</f>
        <v>1</v>
      </c>
      <c r="J113" s="21"/>
      <c r="K113" s="21"/>
      <c r="L113" s="21">
        <f>VLOOKUP(A:A,[2]TDSheet!$A:$B,2,0)</f>
        <v>2.6</v>
      </c>
      <c r="M113" s="21">
        <f t="shared" si="11"/>
        <v>-6.9</v>
      </c>
      <c r="N113" s="21"/>
      <c r="O113" s="21">
        <f>VLOOKUP(A:A,[1]TDSheet!$A:$O,15,0)</f>
        <v>0</v>
      </c>
      <c r="P113" s="21">
        <f>VLOOKUP(A:A,[1]TDSheet!$A:$R,18,0)</f>
        <v>0</v>
      </c>
      <c r="Q113" s="21">
        <f t="shared" si="12"/>
        <v>-0.86</v>
      </c>
      <c r="R113" s="22"/>
      <c r="S113" s="27">
        <v>150</v>
      </c>
      <c r="T113" s="25" t="s">
        <v>149</v>
      </c>
      <c r="U113" s="21" t="e">
        <f t="shared" si="13"/>
        <v>#VALUE!</v>
      </c>
      <c r="V113" s="21" t="e">
        <f t="shared" si="14"/>
        <v>#VALUE!</v>
      </c>
      <c r="W113" s="21">
        <f>VLOOKUP(A:A,[1]TDSheet!$A:$X,24,0)</f>
        <v>20.687799999999999</v>
      </c>
      <c r="X113" s="21">
        <f>VLOOKUP(A:A,[1]TDSheet!$A:$Y,25,0)</f>
        <v>-0.28639999999999999</v>
      </c>
      <c r="Y113" s="21">
        <f>VLOOKUP(A:A,[1]TDSheet!$A:$Z,26,0)</f>
        <v>-0.71460000000000001</v>
      </c>
      <c r="Z113" s="21">
        <f>VLOOKUP(A:A,[1]TDSheet!$A:$Q,17,0)</f>
        <v>-0.71900000000000008</v>
      </c>
      <c r="AA113" s="21" t="str">
        <f>VLOOKUP(A:A,[1]TDSheet!$A:$AA,27,0)</f>
        <v>пРОМО</v>
      </c>
      <c r="AB113" s="21">
        <f t="shared" si="15"/>
        <v>0</v>
      </c>
    </row>
    <row r="114" spans="1:28" ht="11.45" customHeight="1" x14ac:dyDescent="0.2">
      <c r="A114" s="1" t="s">
        <v>141</v>
      </c>
      <c r="B114" s="1" t="s">
        <v>18</v>
      </c>
      <c r="E114" s="1">
        <v>0</v>
      </c>
      <c r="G114" s="5" t="str">
        <f>VLOOKUP(A:A,[1]TDSheet!$A:$G,7,0)</f>
        <v>P005169</v>
      </c>
      <c r="H114" s="5">
        <f>VLOOKUP(A:A,[1]TDSheet!$A:$H,8,0)</f>
        <v>0.28000000000000003</v>
      </c>
      <c r="L114" s="21">
        <v>0</v>
      </c>
      <c r="M114" s="21">
        <f t="shared" si="11"/>
        <v>0</v>
      </c>
      <c r="O114" s="21">
        <f>VLOOKUP(A:A,[1]TDSheet!$A:$O,15,0)</f>
        <v>0</v>
      </c>
      <c r="P114" s="21">
        <f>VLOOKUP(A:A,[1]TDSheet!$A:$R,18,0)</f>
        <v>0</v>
      </c>
      <c r="Q114" s="21">
        <f t="shared" si="12"/>
        <v>0</v>
      </c>
      <c r="R114" s="22"/>
      <c r="S114" s="22"/>
      <c r="T114" s="21"/>
      <c r="U114" s="21" t="e">
        <f t="shared" si="13"/>
        <v>#DIV/0!</v>
      </c>
      <c r="V114" s="21" t="e">
        <f t="shared" si="14"/>
        <v>#DIV/0!</v>
      </c>
      <c r="W114" s="21">
        <f>VLOOKUP(A:A,[1]TDSheet!$A:$X,24,0)</f>
        <v>0</v>
      </c>
      <c r="X114" s="21">
        <f>VLOOKUP(A:A,[1]TDSheet!$A:$Y,25,0)</f>
        <v>0</v>
      </c>
      <c r="Y114" s="21">
        <f>VLOOKUP(A:A,[1]TDSheet!$A:$Z,26,0)</f>
        <v>0</v>
      </c>
      <c r="Z114" s="21">
        <f>VLOOKUP(A:A,[1]TDSheet!$A:$Q,17,0)</f>
        <v>0</v>
      </c>
      <c r="AA114" s="21"/>
      <c r="AB114" s="21">
        <f t="shared" si="15"/>
        <v>0</v>
      </c>
    </row>
    <row r="115" spans="1:28" ht="11.45" customHeight="1" x14ac:dyDescent="0.2">
      <c r="A115" s="1" t="s">
        <v>142</v>
      </c>
      <c r="B115" s="1" t="s">
        <v>18</v>
      </c>
      <c r="E115" s="1">
        <v>0</v>
      </c>
      <c r="G115" s="5" t="str">
        <f>VLOOKUP(A:A,[1]TDSheet!$A:$G,7,0)</f>
        <v>P005114</v>
      </c>
      <c r="H115" s="5">
        <f>VLOOKUP(A:A,[1]TDSheet!$A:$H,8,0)</f>
        <v>0.09</v>
      </c>
      <c r="L115" s="21">
        <v>0</v>
      </c>
      <c r="M115" s="21">
        <f t="shared" si="11"/>
        <v>0</v>
      </c>
      <c r="O115" s="21">
        <f>VLOOKUP(A:A,[1]TDSheet!$A:$O,15,0)</f>
        <v>0</v>
      </c>
      <c r="P115" s="21">
        <f>VLOOKUP(A:A,[1]TDSheet!$A:$R,18,0)</f>
        <v>0</v>
      </c>
      <c r="Q115" s="21">
        <f t="shared" si="12"/>
        <v>0</v>
      </c>
      <c r="R115" s="22"/>
      <c r="S115" s="22"/>
      <c r="T115" s="21"/>
      <c r="U115" s="21" t="e">
        <f t="shared" si="13"/>
        <v>#DIV/0!</v>
      </c>
      <c r="V115" s="21" t="e">
        <f t="shared" si="14"/>
        <v>#DIV/0!</v>
      </c>
      <c r="W115" s="21">
        <f>VLOOKUP(A:A,[1]TDSheet!$A:$X,24,0)</f>
        <v>0</v>
      </c>
      <c r="X115" s="21">
        <f>VLOOKUP(A:A,[1]TDSheet!$A:$Y,25,0)</f>
        <v>0</v>
      </c>
      <c r="Y115" s="21">
        <f>VLOOKUP(A:A,[1]TDSheet!$A:$Z,26,0)</f>
        <v>0</v>
      </c>
      <c r="Z115" s="21">
        <f>VLOOKUP(A:A,[1]TDSheet!$A:$Q,17,0)</f>
        <v>0</v>
      </c>
      <c r="AA115" s="21"/>
      <c r="AB115" s="21">
        <f t="shared" si="15"/>
        <v>0</v>
      </c>
    </row>
    <row r="116" spans="1:28" ht="11.45" customHeight="1" x14ac:dyDescent="0.2">
      <c r="A116" s="1" t="s">
        <v>143</v>
      </c>
      <c r="B116" s="1" t="s">
        <v>18</v>
      </c>
      <c r="E116" s="1">
        <v>0</v>
      </c>
      <c r="G116" s="5" t="str">
        <f>VLOOKUP(A:A,[1]TDSheet!$A:$G,7,0)</f>
        <v>P004725</v>
      </c>
      <c r="H116" s="5">
        <f>VLOOKUP(A:A,[1]TDSheet!$A:$H,8,0)</f>
        <v>0.09</v>
      </c>
      <c r="L116" s="21">
        <v>0</v>
      </c>
      <c r="M116" s="21">
        <f t="shared" si="11"/>
        <v>0</v>
      </c>
      <c r="O116" s="21">
        <f>VLOOKUP(A:A,[1]TDSheet!$A:$O,15,0)</f>
        <v>0</v>
      </c>
      <c r="P116" s="21">
        <f>VLOOKUP(A:A,[1]TDSheet!$A:$R,18,0)</f>
        <v>0</v>
      </c>
      <c r="Q116" s="21">
        <f t="shared" si="12"/>
        <v>0</v>
      </c>
      <c r="R116" s="22"/>
      <c r="S116" s="22"/>
      <c r="T116" s="21"/>
      <c r="U116" s="21" t="e">
        <f t="shared" si="13"/>
        <v>#DIV/0!</v>
      </c>
      <c r="V116" s="21" t="e">
        <f t="shared" si="14"/>
        <v>#DIV/0!</v>
      </c>
      <c r="W116" s="21">
        <f>VLOOKUP(A:A,[1]TDSheet!$A:$X,24,0)</f>
        <v>0</v>
      </c>
      <c r="X116" s="21">
        <f>VLOOKUP(A:A,[1]TDSheet!$A:$Y,25,0)</f>
        <v>0</v>
      </c>
      <c r="Y116" s="21">
        <f>VLOOKUP(A:A,[1]TDSheet!$A:$Z,26,0)</f>
        <v>0</v>
      </c>
      <c r="Z116" s="21">
        <f>VLOOKUP(A:A,[1]TDSheet!$A:$Q,17,0)</f>
        <v>0</v>
      </c>
      <c r="AA116" s="21"/>
      <c r="AB116" s="21">
        <f t="shared" si="15"/>
        <v>0</v>
      </c>
    </row>
    <row r="117" spans="1:28" ht="11.45" customHeight="1" x14ac:dyDescent="0.2">
      <c r="A117" s="1" t="s">
        <v>144</v>
      </c>
      <c r="B117" s="1" t="s">
        <v>18</v>
      </c>
      <c r="E117" s="1">
        <v>0</v>
      </c>
      <c r="G117" s="5" t="str">
        <f>VLOOKUP(A:A,[1]TDSheet!$A:$G,7,0)</f>
        <v>P004728</v>
      </c>
      <c r="H117" s="5">
        <f>VLOOKUP(A:A,[1]TDSheet!$A:$H,8,0)</f>
        <v>0.09</v>
      </c>
      <c r="L117" s="21">
        <v>0</v>
      </c>
      <c r="M117" s="21">
        <f t="shared" si="11"/>
        <v>0</v>
      </c>
      <c r="O117" s="21">
        <f>VLOOKUP(A:A,[1]TDSheet!$A:$O,15,0)</f>
        <v>0</v>
      </c>
      <c r="P117" s="21">
        <f>VLOOKUP(A:A,[1]TDSheet!$A:$R,18,0)</f>
        <v>0</v>
      </c>
      <c r="Q117" s="21">
        <f t="shared" si="12"/>
        <v>0</v>
      </c>
      <c r="R117" s="22"/>
      <c r="S117" s="22"/>
      <c r="T117" s="21"/>
      <c r="U117" s="21" t="e">
        <f t="shared" si="13"/>
        <v>#DIV/0!</v>
      </c>
      <c r="V117" s="21" t="e">
        <f t="shared" si="14"/>
        <v>#DIV/0!</v>
      </c>
      <c r="W117" s="21">
        <f>VLOOKUP(A:A,[1]TDSheet!$A:$X,24,0)</f>
        <v>0</v>
      </c>
      <c r="X117" s="21">
        <f>VLOOKUP(A:A,[1]TDSheet!$A:$Y,25,0)</f>
        <v>0</v>
      </c>
      <c r="Y117" s="21">
        <f>VLOOKUP(A:A,[1]TDSheet!$A:$Z,26,0)</f>
        <v>0</v>
      </c>
      <c r="Z117" s="21">
        <f>VLOOKUP(A:A,[1]TDSheet!$A:$Q,17,0)</f>
        <v>0</v>
      </c>
      <c r="AA117" s="21"/>
      <c r="AB117" s="21">
        <f t="shared" si="15"/>
        <v>0</v>
      </c>
    </row>
  </sheetData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Uaer4</cp:lastModifiedBy>
  <dcterms:created xsi:type="dcterms:W3CDTF">2026-06-24T08:27:47Z</dcterms:created>
  <dcterms:modified xsi:type="dcterms:W3CDTF">2026-06-24T08:39:09Z</dcterms:modified>
</cp:coreProperties>
</file>