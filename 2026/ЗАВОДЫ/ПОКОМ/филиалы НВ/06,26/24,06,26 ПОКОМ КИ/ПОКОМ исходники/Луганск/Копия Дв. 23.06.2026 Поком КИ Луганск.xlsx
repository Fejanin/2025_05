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372F41E-3119-4400-858C-62E3F5FE4E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7" i="1" l="1"/>
  <c r="M27" i="1"/>
  <c r="M43" i="1"/>
  <c r="O12" i="1"/>
  <c r="O13" i="1"/>
  <c r="O14" i="1"/>
  <c r="O15" i="1"/>
  <c r="O16" i="1"/>
  <c r="O18" i="1"/>
  <c r="O19" i="1"/>
  <c r="O20" i="1"/>
  <c r="O21" i="1"/>
  <c r="O22" i="1"/>
  <c r="O23" i="1"/>
  <c r="O24" i="1"/>
  <c r="O25" i="1"/>
  <c r="O26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1" i="1"/>
  <c r="P12" i="1"/>
  <c r="P13" i="1"/>
  <c r="P14" i="1"/>
  <c r="P15" i="1"/>
  <c r="P16" i="1"/>
  <c r="P18" i="1"/>
  <c r="P19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1" i="1"/>
  <c r="Q12" i="1"/>
  <c r="Q13" i="1"/>
  <c r="Q14" i="1"/>
  <c r="Q15" i="1"/>
  <c r="Q16" i="1"/>
  <c r="Q18" i="1"/>
  <c r="Q19" i="1"/>
  <c r="Q20" i="1"/>
  <c r="Q21" i="1"/>
  <c r="Q22" i="1"/>
  <c r="Q23" i="1"/>
  <c r="Q24" i="1"/>
  <c r="Q25" i="1"/>
  <c r="Q26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1" i="1"/>
  <c r="R12" i="1"/>
  <c r="R13" i="1"/>
  <c r="R14" i="1"/>
  <c r="R15" i="1"/>
  <c r="R16" i="1"/>
  <c r="R18" i="1"/>
  <c r="R19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1" i="1"/>
  <c r="S12" i="1"/>
  <c r="S13" i="1"/>
  <c r="S14" i="1"/>
  <c r="S15" i="1"/>
  <c r="S16" i="1"/>
  <c r="S18" i="1"/>
  <c r="S19" i="1"/>
  <c r="S20" i="1"/>
  <c r="S21" i="1"/>
  <c r="S22" i="1"/>
  <c r="S23" i="1"/>
  <c r="S24" i="1"/>
  <c r="S25" i="1"/>
  <c r="S26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1" i="1"/>
  <c r="T12" i="1"/>
  <c r="T13" i="1"/>
  <c r="T14" i="1"/>
  <c r="T15" i="1"/>
  <c r="T16" i="1"/>
  <c r="T18" i="1"/>
  <c r="T19" i="1"/>
  <c r="T20" i="1"/>
  <c r="T21" i="1"/>
  <c r="T22" i="1"/>
  <c r="T23" i="1"/>
  <c r="T24" i="1"/>
  <c r="T25" i="1"/>
  <c r="T26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1" i="1"/>
  <c r="L12" i="1"/>
  <c r="M12" i="1" s="1"/>
  <c r="L13" i="1"/>
  <c r="M13" i="1" s="1"/>
  <c r="L14" i="1"/>
  <c r="M14" i="1" s="1"/>
  <c r="L15" i="1"/>
  <c r="M15" i="1" s="1"/>
  <c r="L16" i="1"/>
  <c r="M16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1" i="1"/>
  <c r="M11" i="1" s="1"/>
  <c r="AE12" i="1" l="1"/>
  <c r="AE13" i="1"/>
  <c r="AE15" i="1"/>
  <c r="AE20" i="1"/>
  <c r="AE21" i="1"/>
  <c r="AE23" i="1"/>
  <c r="AE26" i="1"/>
  <c r="AE29" i="1"/>
  <c r="AE30" i="1"/>
  <c r="AE34" i="1"/>
  <c r="AE39" i="1"/>
  <c r="AE41" i="1"/>
  <c r="AE51" i="1"/>
  <c r="AE53" i="1"/>
  <c r="AE56" i="1"/>
  <c r="AE60" i="1"/>
  <c r="AE65" i="1"/>
  <c r="AE71" i="1"/>
  <c r="AE72" i="1"/>
  <c r="AE75" i="1"/>
  <c r="AE81" i="1"/>
  <c r="AE82" i="1"/>
  <c r="AE83" i="1"/>
  <c r="AE84" i="1"/>
  <c r="AE86" i="1"/>
  <c r="AE87" i="1"/>
  <c r="AE88" i="1"/>
  <c r="AE89" i="1"/>
  <c r="AE90" i="1"/>
  <c r="AE91" i="1"/>
  <c r="AE111" i="1"/>
  <c r="AE113" i="1"/>
  <c r="AE115" i="1"/>
  <c r="AE117" i="1"/>
  <c r="AE118" i="1"/>
  <c r="AE119" i="1"/>
  <c r="AE120" i="1"/>
  <c r="AE121" i="1"/>
  <c r="AE122" i="1"/>
  <c r="AE123" i="1"/>
  <c r="AE11" i="1"/>
  <c r="AD12" i="1"/>
  <c r="AD13" i="1"/>
  <c r="AD14" i="1"/>
  <c r="AD15" i="1"/>
  <c r="AD16" i="1"/>
  <c r="AD18" i="1"/>
  <c r="AD19" i="1"/>
  <c r="AD20" i="1"/>
  <c r="AD21" i="1"/>
  <c r="AD22" i="1"/>
  <c r="AD23" i="1"/>
  <c r="AD24" i="1"/>
  <c r="AD25" i="1"/>
  <c r="AD26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1" i="1"/>
  <c r="AC12" i="1"/>
  <c r="AC13" i="1"/>
  <c r="AC14" i="1"/>
  <c r="AC15" i="1"/>
  <c r="AC16" i="1"/>
  <c r="AC18" i="1"/>
  <c r="AC19" i="1"/>
  <c r="AC20" i="1"/>
  <c r="AC21" i="1"/>
  <c r="AC22" i="1"/>
  <c r="AC23" i="1"/>
  <c r="AC24" i="1"/>
  <c r="AC25" i="1"/>
  <c r="AC26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1" i="1"/>
  <c r="AB12" i="1"/>
  <c r="AB13" i="1"/>
  <c r="AB14" i="1"/>
  <c r="AB15" i="1"/>
  <c r="AB16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1" i="1"/>
  <c r="AA12" i="1"/>
  <c r="AA13" i="1"/>
  <c r="AA14" i="1"/>
  <c r="AA15" i="1"/>
  <c r="AA16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1" i="1"/>
  <c r="J12" i="1"/>
  <c r="J13" i="1"/>
  <c r="J14" i="1"/>
  <c r="J15" i="1"/>
  <c r="J16" i="1"/>
  <c r="J18" i="1"/>
  <c r="J19" i="1"/>
  <c r="J20" i="1"/>
  <c r="J21" i="1"/>
  <c r="J22" i="1"/>
  <c r="J23" i="1"/>
  <c r="J24" i="1"/>
  <c r="J25" i="1"/>
  <c r="J26" i="1"/>
  <c r="J28" i="1"/>
  <c r="J29" i="1"/>
  <c r="J30" i="1"/>
  <c r="J32" i="1"/>
  <c r="J33" i="1"/>
  <c r="J34" i="1"/>
  <c r="J35" i="1"/>
  <c r="J37" i="1"/>
  <c r="J38" i="1"/>
  <c r="J39" i="1"/>
  <c r="J40" i="1"/>
  <c r="J41" i="1"/>
  <c r="J42" i="1"/>
  <c r="J44" i="1"/>
  <c r="J45" i="1"/>
  <c r="J46" i="1"/>
  <c r="J47" i="1"/>
  <c r="J48" i="1"/>
  <c r="J49" i="1"/>
  <c r="J50" i="1"/>
  <c r="J51" i="1"/>
  <c r="J52" i="1"/>
  <c r="J53" i="1"/>
  <c r="J54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70" i="1"/>
  <c r="J71" i="1"/>
  <c r="J73" i="1"/>
  <c r="J75" i="1"/>
  <c r="J76" i="1"/>
  <c r="J77" i="1"/>
  <c r="J81" i="1"/>
  <c r="J82" i="1"/>
  <c r="J84" i="1"/>
  <c r="J89" i="1"/>
  <c r="J90" i="1"/>
  <c r="J91" i="1"/>
  <c r="J92" i="1"/>
  <c r="J93" i="1"/>
  <c r="J94" i="1"/>
  <c r="J98" i="1"/>
  <c r="J101" i="1"/>
  <c r="J102" i="1"/>
  <c r="J103" i="1"/>
  <c r="J104" i="1"/>
  <c r="J105" i="1"/>
  <c r="J124" i="1"/>
  <c r="J125" i="1"/>
  <c r="J126" i="1"/>
  <c r="J127" i="1"/>
  <c r="J128" i="1"/>
  <c r="J11" i="1"/>
  <c r="I12" i="1"/>
  <c r="I13" i="1"/>
  <c r="I14" i="1"/>
  <c r="I15" i="1"/>
  <c r="I16" i="1"/>
  <c r="I18" i="1"/>
  <c r="I19" i="1"/>
  <c r="I20" i="1"/>
  <c r="I21" i="1"/>
  <c r="I22" i="1"/>
  <c r="I23" i="1"/>
  <c r="I24" i="1"/>
  <c r="I25" i="1"/>
  <c r="I26" i="1"/>
  <c r="I28" i="1"/>
  <c r="I29" i="1"/>
  <c r="I30" i="1"/>
  <c r="I32" i="1"/>
  <c r="I33" i="1"/>
  <c r="I34" i="1"/>
  <c r="I35" i="1"/>
  <c r="I37" i="1"/>
  <c r="I38" i="1"/>
  <c r="I39" i="1"/>
  <c r="I40" i="1"/>
  <c r="I41" i="1"/>
  <c r="I42" i="1"/>
  <c r="I44" i="1"/>
  <c r="I45" i="1"/>
  <c r="I46" i="1"/>
  <c r="I47" i="1"/>
  <c r="I48" i="1"/>
  <c r="I49" i="1"/>
  <c r="I50" i="1"/>
  <c r="I51" i="1"/>
  <c r="I52" i="1"/>
  <c r="I53" i="1"/>
  <c r="I54" i="1"/>
  <c r="I57" i="1"/>
  <c r="I58" i="1"/>
  <c r="I59" i="1"/>
  <c r="I60" i="1"/>
  <c r="I61" i="1"/>
  <c r="I62" i="1"/>
  <c r="I63" i="1"/>
  <c r="I64" i="1"/>
  <c r="I65" i="1"/>
  <c r="I66" i="1"/>
  <c r="I67" i="1"/>
  <c r="I68" i="1"/>
  <c r="I70" i="1"/>
  <c r="I71" i="1"/>
  <c r="I73" i="1"/>
  <c r="I75" i="1"/>
  <c r="I76" i="1"/>
  <c r="I77" i="1"/>
  <c r="I81" i="1"/>
  <c r="I82" i="1"/>
  <c r="I84" i="1"/>
  <c r="I89" i="1"/>
  <c r="I90" i="1"/>
  <c r="I91" i="1"/>
  <c r="I92" i="1"/>
  <c r="I93" i="1"/>
  <c r="I94" i="1"/>
  <c r="I98" i="1"/>
  <c r="I101" i="1"/>
  <c r="I102" i="1"/>
  <c r="I103" i="1"/>
  <c r="I104" i="1"/>
  <c r="I105" i="1"/>
  <c r="I124" i="1"/>
  <c r="I125" i="1"/>
  <c r="I126" i="1"/>
  <c r="I127" i="1"/>
  <c r="I128" i="1"/>
  <c r="I11" i="1"/>
  <c r="H12" i="1"/>
  <c r="H13" i="1"/>
  <c r="AF13" i="1" s="1"/>
  <c r="H14" i="1"/>
  <c r="AF14" i="1" s="1"/>
  <c r="H15" i="1"/>
  <c r="AF15" i="1" s="1"/>
  <c r="H16" i="1"/>
  <c r="AF16" i="1" s="1"/>
  <c r="H18" i="1"/>
  <c r="H19" i="1"/>
  <c r="H20" i="1"/>
  <c r="AF20" i="1" s="1"/>
  <c r="H21" i="1"/>
  <c r="AF21" i="1" s="1"/>
  <c r="H22" i="1"/>
  <c r="AF22" i="1" s="1"/>
  <c r="H23" i="1"/>
  <c r="H24" i="1"/>
  <c r="H25" i="1"/>
  <c r="H26" i="1"/>
  <c r="H28" i="1"/>
  <c r="AF28" i="1" s="1"/>
  <c r="H29" i="1"/>
  <c r="AF29" i="1" s="1"/>
  <c r="H30" i="1"/>
  <c r="H31" i="1"/>
  <c r="H32" i="1"/>
  <c r="H33" i="1"/>
  <c r="H34" i="1"/>
  <c r="AF34" i="1" s="1"/>
  <c r="H35" i="1"/>
  <c r="H36" i="1"/>
  <c r="AF36" i="1" s="1"/>
  <c r="H37" i="1"/>
  <c r="AF37" i="1" s="1"/>
  <c r="H38" i="1"/>
  <c r="AF38" i="1" s="1"/>
  <c r="H39" i="1"/>
  <c r="AF39" i="1" s="1"/>
  <c r="H40" i="1"/>
  <c r="H41" i="1"/>
  <c r="H42" i="1"/>
  <c r="AF42" i="1" s="1"/>
  <c r="H43" i="1"/>
  <c r="AF43" i="1" s="1"/>
  <c r="H44" i="1"/>
  <c r="H45" i="1"/>
  <c r="AF45" i="1" s="1"/>
  <c r="H46" i="1"/>
  <c r="H47" i="1"/>
  <c r="H48" i="1"/>
  <c r="AF48" i="1" s="1"/>
  <c r="H49" i="1"/>
  <c r="AF49" i="1" s="1"/>
  <c r="H50" i="1"/>
  <c r="H51" i="1"/>
  <c r="H52" i="1"/>
  <c r="H53" i="1"/>
  <c r="H54" i="1"/>
  <c r="H55" i="1"/>
  <c r="H56" i="1"/>
  <c r="H57" i="1"/>
  <c r="AF57" i="1" s="1"/>
  <c r="H58" i="1"/>
  <c r="AF58" i="1" s="1"/>
  <c r="H59" i="1"/>
  <c r="AF59" i="1" s="1"/>
  <c r="H60" i="1"/>
  <c r="H61" i="1"/>
  <c r="AF61" i="1" s="1"/>
  <c r="H62" i="1"/>
  <c r="H63" i="1"/>
  <c r="AF63" i="1" s="1"/>
  <c r="H64" i="1"/>
  <c r="AF64" i="1" s="1"/>
  <c r="H65" i="1"/>
  <c r="H66" i="1"/>
  <c r="H67" i="1"/>
  <c r="AF67" i="1" s="1"/>
  <c r="H68" i="1"/>
  <c r="AF68" i="1" s="1"/>
  <c r="H69" i="1"/>
  <c r="H70" i="1"/>
  <c r="H71" i="1"/>
  <c r="H72" i="1"/>
  <c r="H73" i="1"/>
  <c r="H74" i="1"/>
  <c r="H75" i="1"/>
  <c r="AF75" i="1" s="1"/>
  <c r="H76" i="1"/>
  <c r="H77" i="1"/>
  <c r="AF77" i="1" s="1"/>
  <c r="H78" i="1"/>
  <c r="H79" i="1"/>
  <c r="H80" i="1"/>
  <c r="H81" i="1"/>
  <c r="AF81" i="1" s="1"/>
  <c r="H82" i="1"/>
  <c r="AF82" i="1" s="1"/>
  <c r="H83" i="1"/>
  <c r="H84" i="1"/>
  <c r="H85" i="1"/>
  <c r="AF85" i="1" s="1"/>
  <c r="H86" i="1"/>
  <c r="AF86" i="1" s="1"/>
  <c r="H87" i="1"/>
  <c r="H88" i="1"/>
  <c r="AF88" i="1" s="1"/>
  <c r="H89" i="1"/>
  <c r="AF89" i="1" s="1"/>
  <c r="H90" i="1"/>
  <c r="AF90" i="1" s="1"/>
  <c r="H91" i="1"/>
  <c r="AF91" i="1" s="1"/>
  <c r="H92" i="1"/>
  <c r="AF92" i="1" s="1"/>
  <c r="H93" i="1"/>
  <c r="AF93" i="1" s="1"/>
  <c r="H94" i="1"/>
  <c r="AF94" i="1" s="1"/>
  <c r="H95" i="1"/>
  <c r="AF95" i="1" s="1"/>
  <c r="H97" i="1"/>
  <c r="AF97" i="1" s="1"/>
  <c r="H98" i="1"/>
  <c r="AF98" i="1" s="1"/>
  <c r="H99" i="1"/>
  <c r="AF99" i="1" s="1"/>
  <c r="H100" i="1"/>
  <c r="AF100" i="1" s="1"/>
  <c r="H101" i="1"/>
  <c r="AF101" i="1" s="1"/>
  <c r="H102" i="1"/>
  <c r="AF102" i="1" s="1"/>
  <c r="H103" i="1"/>
  <c r="H104" i="1"/>
  <c r="H105" i="1"/>
  <c r="AF105" i="1" s="1"/>
  <c r="H106" i="1"/>
  <c r="AF106" i="1" s="1"/>
  <c r="H107" i="1"/>
  <c r="AF107" i="1" s="1"/>
  <c r="H108" i="1"/>
  <c r="H109" i="1"/>
  <c r="AF109" i="1" s="1"/>
  <c r="H110" i="1"/>
  <c r="AF110" i="1" s="1"/>
  <c r="H111" i="1"/>
  <c r="AF111" i="1" s="1"/>
  <c r="H112" i="1"/>
  <c r="AF112" i="1" s="1"/>
  <c r="H113" i="1"/>
  <c r="AF113" i="1" s="1"/>
  <c r="H114" i="1"/>
  <c r="AF114" i="1" s="1"/>
  <c r="H115" i="1"/>
  <c r="AF115" i="1" s="1"/>
  <c r="H116" i="1"/>
  <c r="AF116" i="1" s="1"/>
  <c r="H117" i="1"/>
  <c r="AF117" i="1" s="1"/>
  <c r="H118" i="1"/>
  <c r="AF118" i="1" s="1"/>
  <c r="H119" i="1"/>
  <c r="AF119" i="1" s="1"/>
  <c r="H120" i="1"/>
  <c r="AF120" i="1" s="1"/>
  <c r="H121" i="1"/>
  <c r="AF121" i="1" s="1"/>
  <c r="H122" i="1"/>
  <c r="AF122" i="1" s="1"/>
  <c r="H123" i="1"/>
  <c r="AF123" i="1" s="1"/>
  <c r="H124" i="1"/>
  <c r="AF124" i="1" s="1"/>
  <c r="H125" i="1"/>
  <c r="AF125" i="1" s="1"/>
  <c r="H126" i="1"/>
  <c r="H127" i="1"/>
  <c r="H128" i="1"/>
  <c r="AF128" i="1" s="1"/>
  <c r="H129" i="1"/>
  <c r="H130" i="1"/>
  <c r="H11" i="1"/>
  <c r="AF11" i="1" s="1"/>
  <c r="G12" i="1"/>
  <c r="G13" i="1"/>
  <c r="G14" i="1"/>
  <c r="G15" i="1"/>
  <c r="G16" i="1"/>
  <c r="G18" i="1"/>
  <c r="G19" i="1"/>
  <c r="G20" i="1"/>
  <c r="G21" i="1"/>
  <c r="G22" i="1"/>
  <c r="G23" i="1"/>
  <c r="G24" i="1"/>
  <c r="G25" i="1"/>
  <c r="G26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V46" i="1" s="1"/>
  <c r="AF46" i="1" s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1" i="1"/>
  <c r="C10" i="1"/>
  <c r="D10" i="1"/>
  <c r="E10" i="1"/>
  <c r="F10" i="1"/>
  <c r="W10" i="1"/>
  <c r="T10" i="1"/>
  <c r="S10" i="1"/>
  <c r="R10" i="1"/>
  <c r="Q10" i="1"/>
  <c r="P10" i="1"/>
  <c r="O10" i="1"/>
  <c r="N10" i="1"/>
  <c r="M10" i="1"/>
  <c r="L10" i="1"/>
  <c r="Y100" i="1" l="1"/>
  <c r="Z100" i="1"/>
  <c r="V12" i="1"/>
  <c r="Z12" i="1"/>
  <c r="Z11" i="1"/>
  <c r="Y115" i="1"/>
  <c r="Z115" i="1"/>
  <c r="Y107" i="1"/>
  <c r="Z107" i="1"/>
  <c r="Z99" i="1"/>
  <c r="Y99" i="1"/>
  <c r="Y91" i="1"/>
  <c r="Z91" i="1"/>
  <c r="Z83" i="1"/>
  <c r="V83" i="1"/>
  <c r="Z75" i="1"/>
  <c r="Y75" i="1"/>
  <c r="Y67" i="1"/>
  <c r="Z67" i="1"/>
  <c r="Y59" i="1"/>
  <c r="Z59" i="1"/>
  <c r="V51" i="1"/>
  <c r="Z51" i="1"/>
  <c r="Y43" i="1"/>
  <c r="Z43" i="1"/>
  <c r="Z35" i="1"/>
  <c r="V35" i="1"/>
  <c r="V27" i="1"/>
  <c r="Z27" i="1"/>
  <c r="Z19" i="1"/>
  <c r="V19" i="1"/>
  <c r="V130" i="1"/>
  <c r="Z130" i="1"/>
  <c r="Y122" i="1"/>
  <c r="Z122" i="1"/>
  <c r="Y114" i="1"/>
  <c r="Z114" i="1"/>
  <c r="Z106" i="1"/>
  <c r="Y106" i="1"/>
  <c r="Y98" i="1"/>
  <c r="Z98" i="1"/>
  <c r="Y90" i="1"/>
  <c r="Z90" i="1"/>
  <c r="Y82" i="1"/>
  <c r="Z82" i="1"/>
  <c r="Z74" i="1"/>
  <c r="V74" i="1"/>
  <c r="V66" i="1"/>
  <c r="Z66" i="1"/>
  <c r="Y58" i="1"/>
  <c r="Z58" i="1"/>
  <c r="Z50" i="1"/>
  <c r="V50" i="1"/>
  <c r="Z42" i="1"/>
  <c r="Y42" i="1"/>
  <c r="Z34" i="1"/>
  <c r="Y34" i="1"/>
  <c r="V26" i="1"/>
  <c r="Z26" i="1"/>
  <c r="V18" i="1"/>
  <c r="Z18" i="1"/>
  <c r="V129" i="1"/>
  <c r="Z129" i="1"/>
  <c r="Y121" i="1"/>
  <c r="Z121" i="1"/>
  <c r="Z105" i="1"/>
  <c r="Y105" i="1"/>
  <c r="Z97" i="1"/>
  <c r="Y97" i="1"/>
  <c r="Y89" i="1"/>
  <c r="Z89" i="1"/>
  <c r="Y81" i="1"/>
  <c r="Z81" i="1"/>
  <c r="Z73" i="1"/>
  <c r="V73" i="1"/>
  <c r="V65" i="1"/>
  <c r="Z65" i="1"/>
  <c r="Y57" i="1"/>
  <c r="Z57" i="1"/>
  <c r="Z49" i="1"/>
  <c r="Y49" i="1"/>
  <c r="Z41" i="1"/>
  <c r="V41" i="1"/>
  <c r="Z33" i="1"/>
  <c r="V33" i="1"/>
  <c r="Z25" i="1"/>
  <c r="V25" i="1"/>
  <c r="V17" i="1"/>
  <c r="Z17" i="1"/>
  <c r="Z128" i="1"/>
  <c r="Y128" i="1"/>
  <c r="Y112" i="1"/>
  <c r="Z112" i="1"/>
  <c r="Z96" i="1"/>
  <c r="V96" i="1"/>
  <c r="V80" i="1"/>
  <c r="Z80" i="1"/>
  <c r="Z127" i="1"/>
  <c r="V127" i="1"/>
  <c r="Y119" i="1"/>
  <c r="Z119" i="1"/>
  <c r="Y111" i="1"/>
  <c r="Z111" i="1"/>
  <c r="Z103" i="1"/>
  <c r="V103" i="1"/>
  <c r="Z95" i="1"/>
  <c r="Y95" i="1"/>
  <c r="Z87" i="1"/>
  <c r="V87" i="1"/>
  <c r="V79" i="1"/>
  <c r="Z79" i="1"/>
  <c r="V71" i="1"/>
  <c r="Z71" i="1"/>
  <c r="Z63" i="1"/>
  <c r="Y63" i="1"/>
  <c r="V55" i="1"/>
  <c r="Z55" i="1"/>
  <c r="V47" i="1"/>
  <c r="Z47" i="1"/>
  <c r="Z39" i="1"/>
  <c r="Y39" i="1"/>
  <c r="Z31" i="1"/>
  <c r="V31" i="1"/>
  <c r="Z23" i="1"/>
  <c r="V23" i="1"/>
  <c r="Y15" i="1"/>
  <c r="Z15" i="1"/>
  <c r="V126" i="1"/>
  <c r="Z126" i="1"/>
  <c r="Y118" i="1"/>
  <c r="Z118" i="1"/>
  <c r="Y110" i="1"/>
  <c r="Z110" i="1"/>
  <c r="Y102" i="1"/>
  <c r="Z102" i="1"/>
  <c r="Y94" i="1"/>
  <c r="Z94" i="1"/>
  <c r="Y86" i="1"/>
  <c r="Z86" i="1"/>
  <c r="V78" i="1"/>
  <c r="Z78" i="1"/>
  <c r="V70" i="1"/>
  <c r="Z70" i="1"/>
  <c r="V62" i="1"/>
  <c r="Z62" i="1"/>
  <c r="V54" i="1"/>
  <c r="Z54" i="1"/>
  <c r="Y46" i="1"/>
  <c r="Z46" i="1"/>
  <c r="Y38" i="1"/>
  <c r="Z38" i="1"/>
  <c r="V30" i="1"/>
  <c r="Z30" i="1"/>
  <c r="Y22" i="1"/>
  <c r="Z22" i="1"/>
  <c r="Y14" i="1"/>
  <c r="Z14" i="1"/>
  <c r="Y124" i="1"/>
  <c r="Z124" i="1"/>
  <c r="Y116" i="1"/>
  <c r="Z116" i="1"/>
  <c r="V108" i="1"/>
  <c r="Z108" i="1"/>
  <c r="Y92" i="1"/>
  <c r="Z92" i="1"/>
  <c r="V84" i="1"/>
  <c r="Z84" i="1"/>
  <c r="V76" i="1"/>
  <c r="Z76" i="1"/>
  <c r="Y68" i="1"/>
  <c r="Z68" i="1"/>
  <c r="V60" i="1"/>
  <c r="Z60" i="1"/>
  <c r="V52" i="1"/>
  <c r="Z52" i="1"/>
  <c r="V44" i="1"/>
  <c r="Z44" i="1"/>
  <c r="Y36" i="1"/>
  <c r="Z36" i="1"/>
  <c r="Y28" i="1"/>
  <c r="Z28" i="1"/>
  <c r="Y20" i="1"/>
  <c r="Z20" i="1"/>
  <c r="Y123" i="1"/>
  <c r="Z123" i="1"/>
  <c r="Y113" i="1"/>
  <c r="Z113" i="1"/>
  <c r="Y120" i="1"/>
  <c r="Z120" i="1"/>
  <c r="V104" i="1"/>
  <c r="Z104" i="1"/>
  <c r="Z88" i="1"/>
  <c r="Y88" i="1"/>
  <c r="V72" i="1"/>
  <c r="Z72" i="1"/>
  <c r="Z64" i="1"/>
  <c r="Y64" i="1"/>
  <c r="V56" i="1"/>
  <c r="Z56" i="1"/>
  <c r="Z48" i="1"/>
  <c r="Y48" i="1"/>
  <c r="V40" i="1"/>
  <c r="Z40" i="1"/>
  <c r="Z32" i="1"/>
  <c r="V32" i="1"/>
  <c r="V24" i="1"/>
  <c r="Z24" i="1"/>
  <c r="Y16" i="1"/>
  <c r="Z16" i="1"/>
  <c r="Y125" i="1"/>
  <c r="Z125" i="1"/>
  <c r="Y117" i="1"/>
  <c r="Z117" i="1"/>
  <c r="Y109" i="1"/>
  <c r="Z109" i="1"/>
  <c r="Y101" i="1"/>
  <c r="Z101" i="1"/>
  <c r="Y93" i="1"/>
  <c r="Z93" i="1"/>
  <c r="Y85" i="1"/>
  <c r="Z85" i="1"/>
  <c r="Y77" i="1"/>
  <c r="Z77" i="1"/>
  <c r="V69" i="1"/>
  <c r="Z69" i="1"/>
  <c r="Y61" i="1"/>
  <c r="Z61" i="1"/>
  <c r="V53" i="1"/>
  <c r="Z53" i="1"/>
  <c r="Y45" i="1"/>
  <c r="Z45" i="1"/>
  <c r="Y37" i="1"/>
  <c r="Z37" i="1"/>
  <c r="Y29" i="1"/>
  <c r="Z29" i="1"/>
  <c r="Y21" i="1"/>
  <c r="Z21" i="1"/>
  <c r="Y13" i="1"/>
  <c r="Z13" i="1"/>
  <c r="U10" i="1"/>
  <c r="AC10" i="1"/>
  <c r="AD10" i="1"/>
  <c r="AA10" i="1"/>
  <c r="AB10" i="1"/>
  <c r="Y53" i="1" l="1"/>
  <c r="AF53" i="1"/>
  <c r="Y69" i="1"/>
  <c r="AF69" i="1"/>
  <c r="Y40" i="1"/>
  <c r="AF40" i="1"/>
  <c r="Y104" i="1"/>
  <c r="AF104" i="1"/>
  <c r="Y44" i="1"/>
  <c r="AF44" i="1"/>
  <c r="Y52" i="1"/>
  <c r="AF52" i="1"/>
  <c r="Y60" i="1"/>
  <c r="AF60" i="1"/>
  <c r="Y76" i="1"/>
  <c r="AF76" i="1"/>
  <c r="Y84" i="1"/>
  <c r="AF84" i="1"/>
  <c r="Y108" i="1"/>
  <c r="AF108" i="1"/>
  <c r="Y30" i="1"/>
  <c r="AF30" i="1"/>
  <c r="Y54" i="1"/>
  <c r="AF54" i="1"/>
  <c r="Y62" i="1"/>
  <c r="AF62" i="1"/>
  <c r="Y70" i="1"/>
  <c r="AF70" i="1"/>
  <c r="Y78" i="1"/>
  <c r="AF78" i="1"/>
  <c r="Y126" i="1"/>
  <c r="AF126" i="1"/>
  <c r="Y47" i="1"/>
  <c r="AF47" i="1"/>
  <c r="Y55" i="1"/>
  <c r="AF55" i="1"/>
  <c r="Y71" i="1"/>
  <c r="AF71" i="1"/>
  <c r="Y79" i="1"/>
  <c r="AF79" i="1"/>
  <c r="Y80" i="1"/>
  <c r="AF80" i="1"/>
  <c r="Y17" i="1"/>
  <c r="AF17" i="1"/>
  <c r="Y65" i="1"/>
  <c r="AF65" i="1"/>
  <c r="Y129" i="1"/>
  <c r="AF129" i="1"/>
  <c r="Y18" i="1"/>
  <c r="AF18" i="1"/>
  <c r="Y26" i="1"/>
  <c r="AF26" i="1"/>
  <c r="Y66" i="1"/>
  <c r="AF66" i="1"/>
  <c r="Y130" i="1"/>
  <c r="AF130" i="1"/>
  <c r="Y27" i="1"/>
  <c r="AF27" i="1"/>
  <c r="Y51" i="1"/>
  <c r="AF51" i="1"/>
  <c r="Y24" i="1"/>
  <c r="AF24" i="1"/>
  <c r="Y56" i="1"/>
  <c r="AF56" i="1"/>
  <c r="Y72" i="1"/>
  <c r="AF72" i="1"/>
  <c r="Y32" i="1"/>
  <c r="AF32" i="1"/>
  <c r="Y23" i="1"/>
  <c r="AF23" i="1"/>
  <c r="Y31" i="1"/>
  <c r="AF31" i="1"/>
  <c r="Y87" i="1"/>
  <c r="AF87" i="1"/>
  <c r="Y103" i="1"/>
  <c r="AF103" i="1"/>
  <c r="Y127" i="1"/>
  <c r="AF127" i="1"/>
  <c r="Y96" i="1"/>
  <c r="AF96" i="1"/>
  <c r="Y25" i="1"/>
  <c r="AF25" i="1"/>
  <c r="Y33" i="1"/>
  <c r="AF33" i="1"/>
  <c r="Y41" i="1"/>
  <c r="AF41" i="1"/>
  <c r="Y73" i="1"/>
  <c r="AF73" i="1"/>
  <c r="Y50" i="1"/>
  <c r="AF50" i="1"/>
  <c r="Y74" i="1"/>
  <c r="AF74" i="1"/>
  <c r="Y19" i="1"/>
  <c r="AF19" i="1"/>
  <c r="Y35" i="1"/>
  <c r="AF35" i="1"/>
  <c r="Y83" i="1"/>
  <c r="AF83" i="1"/>
  <c r="Y12" i="1"/>
  <c r="AF12" i="1"/>
  <c r="AF10" i="1" s="1"/>
  <c r="Y11" i="1"/>
  <c r="V10" i="1"/>
</calcChain>
</file>

<file path=xl/sharedStrings.xml><?xml version="1.0" encoding="utf-8"?>
<sst xmlns="http://schemas.openxmlformats.org/spreadsheetml/2006/main" count="316" uniqueCount="170">
  <si>
    <t>Ведомость по товарам на складах</t>
  </si>
  <si>
    <t>Параметры:</t>
  </si>
  <si>
    <t>Период: 16.06.2026 - 23.06.2026</t>
  </si>
  <si>
    <t>Количество товаров: В единицах хранения</t>
  </si>
  <si>
    <t>Отбор:</t>
  </si>
  <si>
    <t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</si>
  <si>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</si>
  <si>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</si>
  <si>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</si>
  <si>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</si>
  <si>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</si>
  <si>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</si>
  <si>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</si>
  <si>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</si>
  <si>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</si>
  <si>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</si>
  <si>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</si>
  <si>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</si>
  <si>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</si>
  <si>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</si>
  <si>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</si>
  <si>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</si>
  <si>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</si>
  <si>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</si>
  <si>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</si>
  <si>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</si>
  <si>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</si>
  <si>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</si>
  <si>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</si>
  <si>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</si>
  <si>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</si>
  <si>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</si>
  <si>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</si>
  <si>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</si>
  <si>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</si>
  <si>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</si>
  <si>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</si>
  <si>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</si>
  <si>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</si>
  <si>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</si>
  <si>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</si>
  <si>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</si>
  <si>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</si>
  <si>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</si>
  <si>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</si>
  <si>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</si>
  <si>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</si>
  <si>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282  Колбаса Балыкбургская рубленая, в/у 0,35 кг срез, БАВАРУШКА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</si>
  <si>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</si>
  <si>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</si>
  <si>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</si>
  <si>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</si>
  <si>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</si>
  <si>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</si>
  <si>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</si>
  <si>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</si>
  <si>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</si>
  <si>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</si>
  <si>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</si>
  <si>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</si>
  <si>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</si>
  <si>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</si>
  <si>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</si>
  <si>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</si>
  <si>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</si>
  <si>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</si>
  <si>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</si>
  <si>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</si>
  <si>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</si>
  <si>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</si>
  <si>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</si>
  <si>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</si>
  <si>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</si>
  <si>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</si>
  <si>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</si>
  <si>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</si>
  <si>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</si>
  <si>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</si>
  <si>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</si>
  <si>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</si>
  <si>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</si>
  <si>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</si>
  <si>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</si>
  <si>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</si>
  <si>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</si>
  <si>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</si>
  <si>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</si>
  <si>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</si>
  <si>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</si>
  <si>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</si>
  <si>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</si>
  <si>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</si>
  <si>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</si>
  <si>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</si>
  <si>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</si>
  <si>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</si>
  <si>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</si>
  <si>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</si>
  <si>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</si>
  <si>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</si>
  <si>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464  Колбаса Стародворская Традиционная со шпиком оболочке полиамид ТМ Стародворье.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</si>
  <si>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</si>
  <si>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</si>
  <si>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</si>
  <si>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</si>
  <si>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</si>
  <si>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</si>
  <si>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</si>
  <si>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</si>
  <si>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</si>
  <si>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</si>
  <si>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</si>
  <si>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</si>
  <si>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</si>
  <si>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</si>
  <si>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</si>
  <si>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</si>
  <si>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</si>
  <si>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</si>
  <si>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</si>
  <si>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</si>
  <si>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</si>
  <si>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</si>
  <si>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</si>
  <si>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</si>
  <si>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</si>
  <si>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</si>
  <si>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</si>
  <si>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</si>
  <si>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</si>
  <si>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</si>
  <si>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</si>
  <si>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</si>
  <si>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377  Колбаса Молочная Дугушка 0,6кг ТМ Стародворье  ПОКОМ</t>
  </si>
  <si>
    <t>А_301  Сосиски Сочинки по-баварски с сыром,  0.4кг, ТМ Стародворье  ПОКОМ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</si>
  <si>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</si>
  <si>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</si>
  <si>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</si>
  <si>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</si>
  <si>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</si>
  <si>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</si>
  <si>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</si>
  <si>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</si>
  <si>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</si>
  <si>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</si>
  <si>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</si>
  <si>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</si>
  <si>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</si>
  <si>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</si>
  <si>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</si>
  <si>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</si>
  <si>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</si>
  <si>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20,06,</t>
  </si>
  <si>
    <t>18,06,</t>
  </si>
  <si>
    <t>22,06,</t>
  </si>
  <si>
    <t>28,05,</t>
  </si>
  <si>
    <t>04,06,</t>
  </si>
  <si>
    <t>11,06,</t>
  </si>
  <si>
    <t>22,06-1</t>
  </si>
  <si>
    <t>23,06,</t>
  </si>
  <si>
    <t>27,06,</t>
  </si>
  <si>
    <t>17,4т</t>
  </si>
  <si>
    <t>10,2т</t>
  </si>
  <si>
    <t>20,06-,</t>
  </si>
  <si>
    <t>11,5т</t>
  </si>
  <si>
    <t>20,06-2</t>
  </si>
  <si>
    <t>9,4т</t>
  </si>
  <si>
    <t>20,06-1</t>
  </si>
  <si>
    <t>промо</t>
  </si>
  <si>
    <t>прмо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</si>
</sst>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0" fillId="0" borderId="0" xfId="0" applyAlignment="1"/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2" fontId="4" fillId="3" borderId="0" xfId="1" applyNumberFormat="1" applyFont="1" applyFill="1"/>
    <xf numFmtId="164" fontId="4" fillId="3" borderId="0" xfId="1" applyNumberFormat="1" applyFont="1" applyFill="1"/>
    <xf numFmtId="0" fontId="3" fillId="2" borderId="4" xfId="0" applyFont="1" applyFill="1" applyBorder="1" applyAlignment="1">
      <alignment horizontal="left" vertical="top"/>
    </xf>
    <xf numFmtId="164" fontId="5" fillId="3" borderId="0" xfId="1" applyNumberFormat="1" applyFont="1" applyFill="1"/>
    <xf numFmtId="164" fontId="4" fillId="4" borderId="0" xfId="1" applyNumberFormat="1" applyFont="1" applyFill="1"/>
    <xf numFmtId="0" fontId="6" fillId="2" borderId="4" xfId="0" applyFont="1" applyFill="1" applyBorder="1" applyAlignment="1">
      <alignment horizontal="left" vertical="top"/>
    </xf>
    <xf numFmtId="164" fontId="3" fillId="5" borderId="0" xfId="1" applyNumberFormat="1" applyFill="1"/>
    <xf numFmtId="0" fontId="3" fillId="2" borderId="4" xfId="0" applyFont="1" applyFill="1" applyBorder="1" applyAlignment="1">
      <alignment horizontal="center" vertical="top"/>
    </xf>
    <xf numFmtId="164" fontId="0" fillId="0" borderId="0" xfId="0" applyNumberFormat="1" applyAlignment="1"/>
    <xf numFmtId="164" fontId="0" fillId="0" borderId="6" xfId="0" applyNumberFormat="1" applyBorder="1" applyAlignment="1"/>
    <xf numFmtId="0" fontId="0" fillId="6" borderId="0" xfId="0" applyFill="1" applyAlignment="1"/>
    <xf numFmtId="0" fontId="0" fillId="6" borderId="0" xfId="0" applyFill="1" applyAlignment="1">
      <alignment horizontal="left"/>
    </xf>
    <xf numFmtId="0" fontId="7" fillId="0" borderId="0" xfId="0" applyFont="1" applyAlignment="1"/>
    <xf numFmtId="0" fontId="8" fillId="6" borderId="0" xfId="0" applyFont="1" applyFill="1" applyAlignment="1">
      <alignment horizontal="left"/>
    </xf>
    <xf numFmtId="0" fontId="0" fillId="6" borderId="4" xfId="0" applyFill="1" applyBorder="1" applyAlignment="1">
      <alignment horizontal="left" vertical="top"/>
    </xf>
    <xf numFmtId="164" fontId="0" fillId="6" borderId="6" xfId="0" applyNumberFormat="1" applyFill="1" applyBorder="1" applyAlignment="1"/>
    <xf numFmtId="164" fontId="0" fillId="6" borderId="0" xfId="0" applyNumberFormat="1" applyFill="1" applyAlignme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44;&#1074;.%2018.06.2026%20&#1055;&#1086;&#1082;&#1086;&#1084;%20&#1050;&#1048;%20&#1051;&#1091;&#1075;&#1072;&#1085;&#1089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79;&#1072;&#1103;&#1074;.%20&#1086;&#1090;&#1075;&#1088;&#1091;&#1078;.%2023.06.2026%20&#1055;&#1086;&#1082;&#1086;&#1084;%20&#1050;&#1048;%20&#1051;&#1091;&#1075;&#1072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11.06.2026 - 18.06.2026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"ПОКОМ Логистический Партн..."</v>
          </cell>
          <cell r="N6" t="str">
            <v>17,4т</v>
          </cell>
          <cell r="P6" t="str">
            <v>9,4т</v>
          </cell>
          <cell r="Q6" t="str">
            <v>11,5т</v>
          </cell>
          <cell r="R6" t="str">
            <v>10,2т</v>
          </cell>
        </row>
        <row r="7">
          <cell r="N7" t="str">
            <v>22,06-1</v>
          </cell>
          <cell r="P7" t="str">
            <v>20,06-1</v>
          </cell>
          <cell r="Q7" t="str">
            <v>20,06-2</v>
          </cell>
          <cell r="R7" t="str">
            <v>20,06-,</v>
          </cell>
          <cell r="S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P8" t="str">
            <v>без опта</v>
          </cell>
          <cell r="Q8" t="str">
            <v>Заказ в пути</v>
          </cell>
          <cell r="S8" t="str">
            <v>Заказ в пути</v>
          </cell>
          <cell r="T8" t="str">
            <v>Заказ в пути</v>
          </cell>
          <cell r="U8" t="str">
            <v>ср нов</v>
          </cell>
          <cell r="V8" t="str">
            <v>расчет</v>
          </cell>
          <cell r="W8" t="str">
            <v>заказ филиала</v>
          </cell>
          <cell r="X8" t="str">
            <v>Комментарии филиала</v>
          </cell>
          <cell r="Y8" t="str">
            <v>кон ост</v>
          </cell>
          <cell r="Z8" t="str">
            <v>факт</v>
          </cell>
          <cell r="AA8" t="str">
            <v>ср</v>
          </cell>
          <cell r="AB8" t="str">
            <v>ср</v>
          </cell>
          <cell r="AC8" t="str">
            <v>ср</v>
          </cell>
          <cell r="AD8" t="str">
            <v>ср</v>
          </cell>
          <cell r="AE8" t="str">
            <v>комментарии</v>
          </cell>
        </row>
        <row r="9">
          <cell r="C9" t="str">
            <v>Начальный остаток</v>
          </cell>
          <cell r="D9" t="str">
            <v>Приход</v>
          </cell>
          <cell r="E9" t="str">
            <v>Расход</v>
          </cell>
          <cell r="F9" t="str">
            <v>Конечный остаток</v>
          </cell>
          <cell r="S9" t="str">
            <v>13,06,</v>
          </cell>
          <cell r="T9" t="str">
            <v>20,06,</v>
          </cell>
          <cell r="U9" t="str">
            <v>18,06,</v>
          </cell>
          <cell r="V9" t="str">
            <v>22,06,</v>
          </cell>
          <cell r="AA9" t="str">
            <v>19,05,</v>
          </cell>
          <cell r="AB9" t="str">
            <v>28,05,</v>
          </cell>
          <cell r="AC9" t="str">
            <v>04,06,</v>
          </cell>
          <cell r="AD9" t="str">
            <v>11,06,</v>
          </cell>
        </row>
        <row r="10">
          <cell r="C10">
            <v>68425.654999999999</v>
          </cell>
          <cell r="D10">
            <v>15445.466000000006</v>
          </cell>
          <cell r="E10">
            <v>55741.617999999995</v>
          </cell>
          <cell r="F10">
            <v>27215.418000000001</v>
          </cell>
          <cell r="K10">
            <v>14550.252999999999</v>
          </cell>
          <cell r="L10">
            <v>57207.715000000004</v>
          </cell>
          <cell r="M10">
            <v>-1466.0969999999993</v>
          </cell>
          <cell r="N10">
            <v>20825</v>
          </cell>
          <cell r="O10">
            <v>0</v>
          </cell>
          <cell r="P10">
            <v>9420</v>
          </cell>
          <cell r="Q10">
            <v>11520</v>
          </cell>
          <cell r="R10">
            <v>10220</v>
          </cell>
          <cell r="S10">
            <v>12720</v>
          </cell>
          <cell r="T10">
            <v>29620</v>
          </cell>
          <cell r="U10">
            <v>11148.323599999998</v>
          </cell>
          <cell r="V10">
            <v>20705</v>
          </cell>
          <cell r="W10">
            <v>6490</v>
          </cell>
          <cell r="AA10">
            <v>10063.149200000003</v>
          </cell>
          <cell r="AB10">
            <v>9541.1492000000017</v>
          </cell>
          <cell r="AC10">
            <v>10279.900599999999</v>
          </cell>
          <cell r="AD10">
            <v>10398.844600000002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3187.93</v>
          </cell>
          <cell r="D11">
            <v>1227.944</v>
          </cell>
          <cell r="E11">
            <v>3220.9630000000002</v>
          </cell>
          <cell r="F11">
            <v>1176.8599999999999</v>
          </cell>
          <cell r="G11" t="str">
            <v>P003011</v>
          </cell>
          <cell r="H11">
            <v>1</v>
          </cell>
          <cell r="I11">
            <v>50</v>
          </cell>
          <cell r="J11" t="str">
            <v>матрица</v>
          </cell>
          <cell r="K11">
            <v>203.24</v>
          </cell>
          <cell r="L11">
            <v>3146.45</v>
          </cell>
          <cell r="M11">
            <v>74.513000000000375</v>
          </cell>
          <cell r="N11">
            <v>1400</v>
          </cell>
          <cell r="P11">
            <v>2000</v>
          </cell>
          <cell r="Q11">
            <v>2000</v>
          </cell>
          <cell r="R11">
            <v>400</v>
          </cell>
          <cell r="S11">
            <v>0</v>
          </cell>
          <cell r="T11">
            <v>0</v>
          </cell>
          <cell r="U11">
            <v>644.19260000000008</v>
          </cell>
          <cell r="V11">
            <v>1400</v>
          </cell>
          <cell r="X11">
            <v>0</v>
          </cell>
          <cell r="Y11">
            <v>10.830394512448605</v>
          </cell>
          <cell r="Z11">
            <v>1.8268759995069794</v>
          </cell>
          <cell r="AA11">
            <v>560.63319999999999</v>
          </cell>
          <cell r="AB11">
            <v>560.63319999999999</v>
          </cell>
          <cell r="AC11">
            <v>522.90699999999993</v>
          </cell>
          <cell r="AD11">
            <v>519.64480000000003</v>
          </cell>
          <cell r="AE11" t="str">
            <v>промо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1069.23</v>
          </cell>
          <cell r="D12">
            <v>516.90700000000004</v>
          </cell>
          <cell r="E12">
            <v>1016.752</v>
          </cell>
          <cell r="F12">
            <v>555.80100000000004</v>
          </cell>
          <cell r="G12" t="str">
            <v>P003986</v>
          </cell>
          <cell r="H12">
            <v>1</v>
          </cell>
          <cell r="I12">
            <v>45</v>
          </cell>
          <cell r="J12" t="str">
            <v>матрица</v>
          </cell>
          <cell r="K12">
            <v>109.483</v>
          </cell>
          <cell r="L12">
            <v>976.65</v>
          </cell>
          <cell r="M12">
            <v>40.101999999999975</v>
          </cell>
          <cell r="N12">
            <v>350</v>
          </cell>
          <cell r="P12">
            <v>300</v>
          </cell>
          <cell r="Q12">
            <v>300</v>
          </cell>
          <cell r="R12">
            <v>300</v>
          </cell>
          <cell r="S12">
            <v>0</v>
          </cell>
          <cell r="T12">
            <v>0</v>
          </cell>
          <cell r="U12">
            <v>203.35039999999998</v>
          </cell>
          <cell r="V12">
            <v>350</v>
          </cell>
          <cell r="W12">
            <v>400</v>
          </cell>
          <cell r="X12" t="str">
            <v>промо</v>
          </cell>
          <cell r="Y12">
            <v>8.8802431664752071</v>
          </cell>
          <cell r="Z12">
            <v>2.7332181298881149</v>
          </cell>
          <cell r="AA12">
            <v>186.2038</v>
          </cell>
          <cell r="AB12">
            <v>186.2038</v>
          </cell>
          <cell r="AC12">
            <v>185.8854</v>
          </cell>
          <cell r="AD12">
            <v>182.13740000000001</v>
          </cell>
          <cell r="AE12" t="str">
            <v>промо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1173.232</v>
          </cell>
          <cell r="D13">
            <v>1.3480000000000001</v>
          </cell>
          <cell r="E13">
            <v>1076.0360000000001</v>
          </cell>
          <cell r="F13">
            <v>81.72</v>
          </cell>
          <cell r="G13" t="str">
            <v>P003988</v>
          </cell>
          <cell r="H13">
            <v>1</v>
          </cell>
          <cell r="I13">
            <v>45</v>
          </cell>
          <cell r="J13" t="str">
            <v>матрица</v>
          </cell>
          <cell r="K13">
            <v>171.071</v>
          </cell>
          <cell r="L13">
            <v>1069.69</v>
          </cell>
          <cell r="M13">
            <v>6.3460000000000036</v>
          </cell>
          <cell r="N13">
            <v>650</v>
          </cell>
          <cell r="P13">
            <v>400</v>
          </cell>
          <cell r="Q13">
            <v>400</v>
          </cell>
          <cell r="R13">
            <v>300</v>
          </cell>
          <cell r="S13">
            <v>0</v>
          </cell>
          <cell r="T13">
            <v>0</v>
          </cell>
          <cell r="U13">
            <v>215.2072</v>
          </cell>
          <cell r="V13">
            <v>650</v>
          </cell>
          <cell r="X13">
            <v>0</v>
          </cell>
          <cell r="Y13">
            <v>8.5114252682995737</v>
          </cell>
          <cell r="Z13">
            <v>0.37972707232843511</v>
          </cell>
          <cell r="AA13">
            <v>217.57159999999999</v>
          </cell>
          <cell r="AB13">
            <v>217.57159999999999</v>
          </cell>
          <cell r="AC13">
            <v>203.77680000000001</v>
          </cell>
          <cell r="AD13">
            <v>199.28119999999998</v>
          </cell>
          <cell r="AE13" t="str">
            <v>промо</v>
          </cell>
        </row>
        <row r="14">
          <cell r="A14" t="str">
            <v xml:space="preserve"> 030  Сосиски Вязанка Молочные, Вязанка вискофан МГС, 0.45кг, ПОКОМ</v>
          </cell>
          <cell r="B14" t="str">
            <v>шт</v>
          </cell>
          <cell r="C14">
            <v>669</v>
          </cell>
          <cell r="D14">
            <v>14</v>
          </cell>
          <cell r="E14">
            <v>514</v>
          </cell>
          <cell r="F14">
            <v>156</v>
          </cell>
          <cell r="G14" t="str">
            <v>P003985</v>
          </cell>
          <cell r="H14">
            <v>0.45</v>
          </cell>
          <cell r="I14">
            <v>45</v>
          </cell>
          <cell r="J14" t="str">
            <v>матрица</v>
          </cell>
          <cell r="K14">
            <v>432</v>
          </cell>
          <cell r="L14">
            <v>545</v>
          </cell>
          <cell r="M14">
            <v>-31</v>
          </cell>
          <cell r="N14">
            <v>85</v>
          </cell>
          <cell r="P14">
            <v>0</v>
          </cell>
          <cell r="Q14">
            <v>0</v>
          </cell>
          <cell r="R14">
            <v>0</v>
          </cell>
          <cell r="S14">
            <v>90</v>
          </cell>
          <cell r="T14">
            <v>760</v>
          </cell>
          <cell r="U14">
            <v>102.8</v>
          </cell>
          <cell r="V14">
            <v>85</v>
          </cell>
          <cell r="X14">
            <v>0</v>
          </cell>
          <cell r="Y14">
            <v>10.61284046692607</v>
          </cell>
          <cell r="Z14">
            <v>1.5175097276264591</v>
          </cell>
          <cell r="AA14">
            <v>107</v>
          </cell>
          <cell r="AB14">
            <v>107</v>
          </cell>
          <cell r="AC14">
            <v>111</v>
          </cell>
          <cell r="AD14">
            <v>107.2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B15" t="str">
            <v>шт</v>
          </cell>
          <cell r="C15">
            <v>1117.53</v>
          </cell>
          <cell r="D15">
            <v>5</v>
          </cell>
          <cell r="E15">
            <v>1017</v>
          </cell>
          <cell r="F15">
            <v>88.53</v>
          </cell>
          <cell r="G15" t="str">
            <v>P003989</v>
          </cell>
          <cell r="H15">
            <v>0.45</v>
          </cell>
          <cell r="I15">
            <v>45</v>
          </cell>
          <cell r="J15" t="str">
            <v>матрица</v>
          </cell>
          <cell r="K15">
            <v>636</v>
          </cell>
          <cell r="L15">
            <v>1052</v>
          </cell>
          <cell r="M15">
            <v>-35</v>
          </cell>
          <cell r="N15">
            <v>350</v>
          </cell>
          <cell r="P15">
            <v>0</v>
          </cell>
          <cell r="Q15">
            <v>0</v>
          </cell>
          <cell r="R15">
            <v>0</v>
          </cell>
          <cell r="S15">
            <v>400</v>
          </cell>
          <cell r="T15">
            <v>1100</v>
          </cell>
          <cell r="U15">
            <v>203.4</v>
          </cell>
          <cell r="V15">
            <v>350</v>
          </cell>
          <cell r="W15">
            <v>700</v>
          </cell>
          <cell r="X15" t="str">
            <v>промо</v>
          </cell>
          <cell r="Y15">
            <v>9.53062930186824</v>
          </cell>
          <cell r="Z15">
            <v>0.43525073746312681</v>
          </cell>
          <cell r="AA15">
            <v>230.2</v>
          </cell>
          <cell r="AB15">
            <v>230.2</v>
          </cell>
          <cell r="AC15">
            <v>200.4</v>
          </cell>
          <cell r="AD15">
            <v>195</v>
          </cell>
          <cell r="AE15" t="str">
            <v>промо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B16" t="str">
            <v>шт</v>
          </cell>
          <cell r="C16">
            <v>201</v>
          </cell>
          <cell r="E16">
            <v>106</v>
          </cell>
          <cell r="F16">
            <v>94</v>
          </cell>
          <cell r="G16" t="str">
            <v>P002290</v>
          </cell>
          <cell r="H16">
            <v>0.17</v>
          </cell>
          <cell r="I16">
            <v>180</v>
          </cell>
          <cell r="J16" t="str">
            <v>матрица</v>
          </cell>
          <cell r="K16">
            <v>0</v>
          </cell>
          <cell r="L16">
            <v>104</v>
          </cell>
          <cell r="M16">
            <v>2</v>
          </cell>
          <cell r="N16">
            <v>30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80</v>
          </cell>
          <cell r="U16">
            <v>21.2</v>
          </cell>
          <cell r="V16">
            <v>30</v>
          </cell>
          <cell r="X16">
            <v>0</v>
          </cell>
          <cell r="Y16">
            <v>9.6226415094339632</v>
          </cell>
          <cell r="Z16">
            <v>4.433962264150944</v>
          </cell>
          <cell r="AA16">
            <v>13.4</v>
          </cell>
          <cell r="AB16">
            <v>13.4</v>
          </cell>
          <cell r="AC16">
            <v>12.8</v>
          </cell>
          <cell r="AD16">
            <v>10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B17" t="str">
            <v>шт</v>
          </cell>
          <cell r="C17">
            <v>104</v>
          </cell>
          <cell r="E17">
            <v>102</v>
          </cell>
          <cell r="F17">
            <v>-8</v>
          </cell>
          <cell r="G17" t="str">
            <v>P002461</v>
          </cell>
          <cell r="H17">
            <v>0.3</v>
          </cell>
          <cell r="I17">
            <v>40</v>
          </cell>
          <cell r="J17" t="str">
            <v>матрица</v>
          </cell>
          <cell r="K17">
            <v>0</v>
          </cell>
          <cell r="L17">
            <v>118</v>
          </cell>
          <cell r="M17">
            <v>-16</v>
          </cell>
          <cell r="N17">
            <v>60</v>
          </cell>
          <cell r="P17">
            <v>0</v>
          </cell>
          <cell r="Q17">
            <v>0</v>
          </cell>
          <cell r="R17">
            <v>0</v>
          </cell>
          <cell r="S17">
            <v>40</v>
          </cell>
          <cell r="T17">
            <v>70</v>
          </cell>
          <cell r="U17">
            <v>20.399999999999999</v>
          </cell>
          <cell r="V17">
            <v>60</v>
          </cell>
          <cell r="X17">
            <v>0</v>
          </cell>
          <cell r="Y17">
            <v>7.9411764705882355</v>
          </cell>
          <cell r="Z17">
            <v>-0.39215686274509809</v>
          </cell>
          <cell r="AA17">
            <v>6.4</v>
          </cell>
          <cell r="AB17">
            <v>6.4</v>
          </cell>
          <cell r="AC17">
            <v>11.6</v>
          </cell>
          <cell r="AD17">
            <v>12.8</v>
          </cell>
        </row>
        <row r="18">
          <cell r="A18" t="str">
            <v xml:space="preserve"> 083  Колбаса Швейцарская 0,17 кг., ШТ., сырокопченая   ПОКОМ</v>
          </cell>
          <cell r="B18" t="str">
            <v>шт</v>
          </cell>
          <cell r="C18">
            <v>363</v>
          </cell>
          <cell r="D18">
            <v>7</v>
          </cell>
          <cell r="E18">
            <v>252</v>
          </cell>
          <cell r="F18">
            <v>117</v>
          </cell>
          <cell r="G18" t="str">
            <v>P001909</v>
          </cell>
          <cell r="H18">
            <v>0.17</v>
          </cell>
          <cell r="I18">
            <v>180</v>
          </cell>
          <cell r="J18" t="str">
            <v>матрица</v>
          </cell>
          <cell r="K18">
            <v>60</v>
          </cell>
          <cell r="L18">
            <v>251</v>
          </cell>
          <cell r="M18">
            <v>1</v>
          </cell>
          <cell r="N18">
            <v>55</v>
          </cell>
          <cell r="P18">
            <v>0</v>
          </cell>
          <cell r="Q18">
            <v>0</v>
          </cell>
          <cell r="R18">
            <v>0</v>
          </cell>
          <cell r="S18">
            <v>80</v>
          </cell>
          <cell r="T18">
            <v>250</v>
          </cell>
          <cell r="U18">
            <v>50.4</v>
          </cell>
          <cell r="V18">
            <v>55</v>
          </cell>
          <cell r="X18">
            <v>0</v>
          </cell>
          <cell r="Y18">
            <v>9.9603174603174605</v>
          </cell>
          <cell r="Z18">
            <v>2.3214285714285716</v>
          </cell>
          <cell r="AA18">
            <v>40.200000000000003</v>
          </cell>
          <cell r="AB18">
            <v>40.200000000000003</v>
          </cell>
          <cell r="AC18">
            <v>52.4</v>
          </cell>
          <cell r="AD18">
            <v>45.6</v>
          </cell>
        </row>
        <row r="19">
          <cell r="A19" t="str">
            <v xml:space="preserve"> 200  Ветчина Дугушка ТМ Стародворье, вектор в/у    ПОКОМ</v>
          </cell>
          <cell r="B19" t="str">
            <v>кг</v>
          </cell>
          <cell r="C19">
            <v>1053.8030000000001</v>
          </cell>
          <cell r="D19">
            <v>710.34900000000005</v>
          </cell>
          <cell r="E19">
            <v>1187.6500000000001</v>
          </cell>
          <cell r="F19">
            <v>570.12599999999998</v>
          </cell>
          <cell r="G19" t="str">
            <v>P004460</v>
          </cell>
          <cell r="H19">
            <v>1</v>
          </cell>
          <cell r="I19">
            <v>55</v>
          </cell>
          <cell r="J19" t="str">
            <v>матрица</v>
          </cell>
          <cell r="K19">
            <v>104.03100000000001</v>
          </cell>
          <cell r="L19">
            <v>1158.81</v>
          </cell>
          <cell r="M19">
            <v>28.840000000000146</v>
          </cell>
          <cell r="N19">
            <v>350</v>
          </cell>
          <cell r="P19">
            <v>500</v>
          </cell>
          <cell r="Q19">
            <v>500</v>
          </cell>
          <cell r="R19">
            <v>500</v>
          </cell>
          <cell r="S19">
            <v>0</v>
          </cell>
          <cell r="T19">
            <v>150</v>
          </cell>
          <cell r="U19">
            <v>237.53000000000003</v>
          </cell>
          <cell r="V19">
            <v>350</v>
          </cell>
          <cell r="X19">
            <v>0</v>
          </cell>
          <cell r="Y19">
            <v>10.820216393718688</v>
          </cell>
          <cell r="Z19">
            <v>2.400227339704458</v>
          </cell>
          <cell r="AA19">
            <v>185.697</v>
          </cell>
          <cell r="AB19">
            <v>185.697</v>
          </cell>
          <cell r="AC19">
            <v>202.10759999999999</v>
          </cell>
          <cell r="AD19">
            <v>219.25100000000003</v>
          </cell>
          <cell r="AE19" t="str">
            <v>промо</v>
          </cell>
        </row>
        <row r="20">
          <cell r="A20" t="str">
            <v xml:space="preserve"> 201  Ветчина Нежная ТМ Особый рецепт, (2,5кг), ПОКОМ</v>
          </cell>
          <cell r="B20" t="str">
            <v>кг</v>
          </cell>
          <cell r="C20">
            <v>3292.529</v>
          </cell>
          <cell r="D20">
            <v>1736.6</v>
          </cell>
          <cell r="E20">
            <v>3477.75</v>
          </cell>
          <cell r="F20">
            <v>1528.423</v>
          </cell>
          <cell r="G20" t="str">
            <v>P002555</v>
          </cell>
          <cell r="H20">
            <v>1</v>
          </cell>
          <cell r="I20">
            <v>50</v>
          </cell>
          <cell r="J20" t="str">
            <v>матрица</v>
          </cell>
          <cell r="K20">
            <v>298.99099999999999</v>
          </cell>
          <cell r="L20">
            <v>3499.1</v>
          </cell>
          <cell r="M20">
            <v>-21.349999999999909</v>
          </cell>
          <cell r="N20">
            <v>1950</v>
          </cell>
          <cell r="P20">
            <v>1300</v>
          </cell>
          <cell r="Q20">
            <v>1300</v>
          </cell>
          <cell r="R20">
            <v>1300</v>
          </cell>
          <cell r="S20">
            <v>0</v>
          </cell>
          <cell r="T20">
            <v>0</v>
          </cell>
          <cell r="U20">
            <v>695.55</v>
          </cell>
          <cell r="V20">
            <v>1950</v>
          </cell>
          <cell r="X20">
            <v>0</v>
          </cell>
          <cell r="Y20">
            <v>10.608041118539285</v>
          </cell>
          <cell r="Z20">
            <v>2.1974308101502409</v>
          </cell>
          <cell r="AA20">
            <v>601.0258</v>
          </cell>
          <cell r="AB20">
            <v>601.0258</v>
          </cell>
          <cell r="AC20">
            <v>603.72360000000003</v>
          </cell>
          <cell r="AD20">
            <v>651.36379999999997</v>
          </cell>
          <cell r="AE20" t="str">
            <v>промо</v>
          </cell>
        </row>
        <row r="21">
          <cell r="A21" t="str">
            <v xml:space="preserve"> 215  Колбаса Докторская ГОСТ Дугушка, ВЕС, ТМ Стародворье ПОКОМ</v>
          </cell>
          <cell r="B21" t="str">
            <v>кг</v>
          </cell>
          <cell r="C21">
            <v>114.735</v>
          </cell>
          <cell r="E21">
            <v>100.17700000000001</v>
          </cell>
          <cell r="F21">
            <v>14.558</v>
          </cell>
          <cell r="G21" t="str">
            <v>P004028</v>
          </cell>
          <cell r="H21">
            <v>1</v>
          </cell>
          <cell r="I21">
            <v>60</v>
          </cell>
          <cell r="J21" t="str">
            <v>матрица</v>
          </cell>
          <cell r="K21">
            <v>101.19499999999999</v>
          </cell>
          <cell r="L21">
            <v>97.96</v>
          </cell>
          <cell r="M21">
            <v>2.217000000000013</v>
          </cell>
          <cell r="N21">
            <v>20</v>
          </cell>
          <cell r="P21">
            <v>0</v>
          </cell>
          <cell r="Q21">
            <v>0</v>
          </cell>
          <cell r="R21">
            <v>0</v>
          </cell>
          <cell r="S21">
            <v>20</v>
          </cell>
          <cell r="T21">
            <v>150</v>
          </cell>
          <cell r="U21">
            <v>20.035400000000003</v>
          </cell>
          <cell r="V21">
            <v>20</v>
          </cell>
          <cell r="X21">
            <v>0</v>
          </cell>
          <cell r="Y21">
            <v>10.20982860337203</v>
          </cell>
          <cell r="Z21">
            <v>0.72661389340866656</v>
          </cell>
          <cell r="AA21">
            <v>20.536799999999999</v>
          </cell>
          <cell r="AB21">
            <v>20.536799999999999</v>
          </cell>
          <cell r="AC21">
            <v>19.458199999999998</v>
          </cell>
          <cell r="AD21">
            <v>20.866599999999998</v>
          </cell>
        </row>
        <row r="22">
          <cell r="A22" t="str">
            <v xml:space="preserve"> 219  Колбаса Докторская Особая ТМ Особый рецепт, ВЕС  ПОКОМ</v>
          </cell>
          <cell r="B22" t="str">
            <v>кг</v>
          </cell>
          <cell r="C22">
            <v>2262.5410000000002</v>
          </cell>
          <cell r="D22">
            <v>14.884</v>
          </cell>
          <cell r="E22">
            <v>1184.6859999999999</v>
          </cell>
          <cell r="F22">
            <v>1077.23</v>
          </cell>
          <cell r="G22" t="str">
            <v>P005077</v>
          </cell>
          <cell r="H22">
            <v>1</v>
          </cell>
          <cell r="I22">
            <v>60</v>
          </cell>
          <cell r="J22" t="str">
            <v>матрица</v>
          </cell>
          <cell r="K22">
            <v>106.376</v>
          </cell>
          <cell r="L22">
            <v>1229.5999999999999</v>
          </cell>
          <cell r="M22">
            <v>-44.913999999999987</v>
          </cell>
          <cell r="N22">
            <v>375</v>
          </cell>
          <cell r="P22">
            <v>320</v>
          </cell>
          <cell r="Q22">
            <v>320</v>
          </cell>
          <cell r="R22">
            <v>320</v>
          </cell>
          <cell r="S22">
            <v>0</v>
          </cell>
          <cell r="T22">
            <v>0</v>
          </cell>
          <cell r="U22">
            <v>236.93719999999999</v>
          </cell>
          <cell r="V22">
            <v>375</v>
          </cell>
          <cell r="X22">
            <v>0</v>
          </cell>
          <cell r="Y22">
            <v>10.180883373315799</v>
          </cell>
          <cell r="Z22">
            <v>4.5464789826164909</v>
          </cell>
          <cell r="AA22">
            <v>330.86260000000004</v>
          </cell>
          <cell r="AB22">
            <v>330.86260000000004</v>
          </cell>
          <cell r="AC22">
            <v>271.11599999999999</v>
          </cell>
          <cell r="AD22">
            <v>215.0558</v>
          </cell>
          <cell r="AE22" t="str">
            <v>промо</v>
          </cell>
        </row>
        <row r="23">
          <cell r="A23" t="str">
            <v xml:space="preserve"> 225  Колбаса Дугушка со шпиком, ВЕС, ТМ Стародворье   ПОКОМ</v>
          </cell>
          <cell r="B23" t="str">
            <v>кг</v>
          </cell>
          <cell r="C23">
            <v>79.784000000000006</v>
          </cell>
          <cell r="E23">
            <v>68.552000000000007</v>
          </cell>
          <cell r="F23">
            <v>11.231999999999999</v>
          </cell>
          <cell r="G23" t="str">
            <v>P004406</v>
          </cell>
          <cell r="H23">
            <v>1</v>
          </cell>
          <cell r="I23">
            <v>60</v>
          </cell>
          <cell r="J23" t="str">
            <v>матрица</v>
          </cell>
          <cell r="K23">
            <v>31.861999999999998</v>
          </cell>
          <cell r="L23">
            <v>76.53</v>
          </cell>
          <cell r="M23">
            <v>-7.9779999999999944</v>
          </cell>
          <cell r="N23">
            <v>25</v>
          </cell>
          <cell r="P23">
            <v>0</v>
          </cell>
          <cell r="Q23">
            <v>0</v>
          </cell>
          <cell r="R23">
            <v>0</v>
          </cell>
          <cell r="S23">
            <v>60</v>
          </cell>
          <cell r="T23">
            <v>30</v>
          </cell>
          <cell r="U23">
            <v>13.710400000000002</v>
          </cell>
          <cell r="V23">
            <v>25</v>
          </cell>
          <cell r="X23">
            <v>0</v>
          </cell>
          <cell r="Y23">
            <v>9.2070253238417532</v>
          </cell>
          <cell r="Z23">
            <v>0.81923211576613364</v>
          </cell>
          <cell r="AA23">
            <v>14.6448</v>
          </cell>
          <cell r="AB23">
            <v>14.6448</v>
          </cell>
          <cell r="AC23">
            <v>13.726800000000001</v>
          </cell>
          <cell r="AD23">
            <v>15.188800000000001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25.372</v>
          </cell>
          <cell r="E24">
            <v>8.2620000000000005</v>
          </cell>
          <cell r="F24">
            <v>17.11</v>
          </cell>
          <cell r="G24" t="str">
            <v>P001900</v>
          </cell>
          <cell r="H24">
            <v>1</v>
          </cell>
          <cell r="I24">
            <v>180</v>
          </cell>
          <cell r="J24" t="str">
            <v>матрица</v>
          </cell>
          <cell r="K24">
            <v>0</v>
          </cell>
          <cell r="L24">
            <v>7.91</v>
          </cell>
          <cell r="M24">
            <v>0.35200000000000031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1.6524000000000001</v>
          </cell>
          <cell r="X24">
            <v>0</v>
          </cell>
          <cell r="Y24">
            <v>10.354635681433066</v>
          </cell>
          <cell r="Z24">
            <v>10.354635681433066</v>
          </cell>
          <cell r="AA24">
            <v>0.28339999999999999</v>
          </cell>
          <cell r="AB24">
            <v>0.28339999999999999</v>
          </cell>
          <cell r="AC24">
            <v>1.3564000000000001</v>
          </cell>
          <cell r="AD24">
            <v>0.63919999999999999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1749.472</v>
          </cell>
          <cell r="D25">
            <v>2836.2280000000001</v>
          </cell>
          <cell r="E25">
            <v>1492.88</v>
          </cell>
          <cell r="F25">
            <v>3079.6010000000001</v>
          </cell>
          <cell r="G25" t="str">
            <v>P004030</v>
          </cell>
          <cell r="H25">
            <v>1</v>
          </cell>
          <cell r="I25">
            <v>60</v>
          </cell>
          <cell r="J25" t="str">
            <v>матрица</v>
          </cell>
          <cell r="K25">
            <v>0</v>
          </cell>
          <cell r="L25">
            <v>1478.095</v>
          </cell>
          <cell r="M25">
            <v>14.785000000000082</v>
          </cell>
          <cell r="P25">
            <v>0</v>
          </cell>
          <cell r="Q25">
            <v>0</v>
          </cell>
          <cell r="R25">
            <v>0</v>
          </cell>
          <cell r="S25">
            <v>50</v>
          </cell>
          <cell r="T25">
            <v>0</v>
          </cell>
          <cell r="U25">
            <v>298.57600000000002</v>
          </cell>
          <cell r="W25">
            <v>0</v>
          </cell>
          <cell r="X25">
            <v>0</v>
          </cell>
          <cell r="Y25">
            <v>10.481756738652805</v>
          </cell>
          <cell r="Z25">
            <v>10.314295187824875</v>
          </cell>
          <cell r="AA25">
            <v>272.43639999999999</v>
          </cell>
          <cell r="AB25">
            <v>272.43639999999999</v>
          </cell>
          <cell r="AC25">
            <v>447.34460000000001</v>
          </cell>
          <cell r="AD25">
            <v>292.4074</v>
          </cell>
          <cell r="AE25" t="str">
            <v>промо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265.99099999999999</v>
          </cell>
          <cell r="D26">
            <v>0.91300000000000003</v>
          </cell>
          <cell r="E26">
            <v>237.12299999999999</v>
          </cell>
          <cell r="F26">
            <v>22.748999999999999</v>
          </cell>
          <cell r="G26" t="str">
            <v>P004465</v>
          </cell>
          <cell r="H26">
            <v>1</v>
          </cell>
          <cell r="I26">
            <v>60</v>
          </cell>
          <cell r="J26" t="str">
            <v>матрица</v>
          </cell>
          <cell r="K26">
            <v>84.4</v>
          </cell>
          <cell r="L26">
            <v>235.73</v>
          </cell>
          <cell r="M26">
            <v>1.3930000000000007</v>
          </cell>
          <cell r="N26">
            <v>50</v>
          </cell>
          <cell r="P26">
            <v>0</v>
          </cell>
          <cell r="Q26">
            <v>0</v>
          </cell>
          <cell r="R26">
            <v>0</v>
          </cell>
          <cell r="S26">
            <v>90</v>
          </cell>
          <cell r="T26">
            <v>320</v>
          </cell>
          <cell r="U26">
            <v>47.424599999999998</v>
          </cell>
          <cell r="V26">
            <v>50</v>
          </cell>
          <cell r="X26">
            <v>0</v>
          </cell>
          <cell r="Y26">
            <v>10.179295133749152</v>
          </cell>
          <cell r="Z26">
            <v>0.47968775698688021</v>
          </cell>
          <cell r="AA26">
            <v>24.884800000000002</v>
          </cell>
          <cell r="AB26">
            <v>24.884800000000002</v>
          </cell>
          <cell r="AC26">
            <v>40.244399999999999</v>
          </cell>
          <cell r="AD26">
            <v>33.419400000000003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516.96900000000005</v>
          </cell>
          <cell r="D27">
            <v>52.945</v>
          </cell>
          <cell r="E27">
            <v>443.709</v>
          </cell>
          <cell r="F27">
            <v>120.05500000000001</v>
          </cell>
          <cell r="G27" t="str">
            <v>P004466</v>
          </cell>
          <cell r="H27">
            <v>1</v>
          </cell>
          <cell r="I27">
            <v>60</v>
          </cell>
          <cell r="J27" t="str">
            <v>матрица</v>
          </cell>
          <cell r="K27">
            <v>458.11900000000003</v>
          </cell>
          <cell r="L27">
            <v>431.63</v>
          </cell>
          <cell r="M27">
            <v>12.079000000000008</v>
          </cell>
          <cell r="N27">
            <v>100</v>
          </cell>
          <cell r="P27">
            <v>0</v>
          </cell>
          <cell r="Q27">
            <v>0</v>
          </cell>
          <cell r="R27">
            <v>0</v>
          </cell>
          <cell r="S27">
            <v>140</v>
          </cell>
          <cell r="T27">
            <v>560</v>
          </cell>
          <cell r="U27">
            <v>88.741799999999998</v>
          </cell>
          <cell r="V27">
            <v>100</v>
          </cell>
          <cell r="W27">
            <v>200</v>
          </cell>
          <cell r="X27" t="str">
            <v>промо</v>
          </cell>
          <cell r="Y27">
            <v>10.367774825392319</v>
          </cell>
          <cell r="Z27">
            <v>1.3528573907673724</v>
          </cell>
          <cell r="AA27">
            <v>94.878799999999998</v>
          </cell>
          <cell r="AB27">
            <v>94.878799999999998</v>
          </cell>
          <cell r="AC27">
            <v>90.298000000000002</v>
          </cell>
          <cell r="AD27">
            <v>100.90599999999999</v>
          </cell>
          <cell r="AE27" t="str">
            <v>промо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755.12</v>
          </cell>
          <cell r="D28">
            <v>208.654</v>
          </cell>
          <cell r="E28">
            <v>620.94600000000003</v>
          </cell>
          <cell r="F28">
            <v>338.988</v>
          </cell>
          <cell r="G28" t="str">
            <v>P004470</v>
          </cell>
          <cell r="H28">
            <v>1</v>
          </cell>
          <cell r="I28">
            <v>60</v>
          </cell>
          <cell r="J28" t="str">
            <v>матрица</v>
          </cell>
          <cell r="K28">
            <v>321.36399999999998</v>
          </cell>
          <cell r="L28">
            <v>603.21500000000003</v>
          </cell>
          <cell r="M28">
            <v>17.730999999999995</v>
          </cell>
          <cell r="N28">
            <v>250</v>
          </cell>
          <cell r="P28">
            <v>0</v>
          </cell>
          <cell r="Q28">
            <v>0</v>
          </cell>
          <cell r="R28">
            <v>0</v>
          </cell>
          <cell r="S28">
            <v>80</v>
          </cell>
          <cell r="T28">
            <v>500</v>
          </cell>
          <cell r="U28">
            <v>124.1892</v>
          </cell>
          <cell r="V28">
            <v>250</v>
          </cell>
          <cell r="X28">
            <v>0</v>
          </cell>
          <cell r="Y28">
            <v>9.4129602252047686</v>
          </cell>
          <cell r="Z28">
            <v>2.7296093380100683</v>
          </cell>
          <cell r="AA28">
            <v>117.33160000000001</v>
          </cell>
          <cell r="AB28">
            <v>117.33160000000001</v>
          </cell>
          <cell r="AC28">
            <v>126.0162</v>
          </cell>
          <cell r="AD28">
            <v>123.4182</v>
          </cell>
          <cell r="AE28" t="str">
            <v>промо</v>
          </cell>
        </row>
        <row r="29">
          <cell r="A29" t="str">
            <v xml:space="preserve"> 244  Колбаса Сервелат Кремлевский, ВЕС. ПОКОМ</v>
          </cell>
          <cell r="B29" t="str">
            <v>кг</v>
          </cell>
          <cell r="C29">
            <v>120.843</v>
          </cell>
          <cell r="E29">
            <v>70.97</v>
          </cell>
          <cell r="F29">
            <v>49.872999999999998</v>
          </cell>
          <cell r="G29" t="str">
            <v>P003013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L29">
            <v>71.099999999999994</v>
          </cell>
          <cell r="M29">
            <v>-0.12999999999999545</v>
          </cell>
          <cell r="P29">
            <v>0</v>
          </cell>
          <cell r="Q29">
            <v>0</v>
          </cell>
          <cell r="R29">
            <v>0</v>
          </cell>
          <cell r="S29">
            <v>50</v>
          </cell>
          <cell r="T29">
            <v>60</v>
          </cell>
          <cell r="U29">
            <v>14.193999999999999</v>
          </cell>
          <cell r="X29">
            <v>0</v>
          </cell>
          <cell r="Y29">
            <v>11.263421163872058</v>
          </cell>
          <cell r="Z29">
            <v>3.513667746935325</v>
          </cell>
          <cell r="AA29">
            <v>2.7594000000000003</v>
          </cell>
          <cell r="AB29">
            <v>2.7594000000000003</v>
          </cell>
          <cell r="AC29">
            <v>15.875399999999999</v>
          </cell>
          <cell r="AD29">
            <v>12.7166</v>
          </cell>
        </row>
        <row r="30">
          <cell r="A30" t="str">
            <v xml:space="preserve"> 247  Сардельки Нежные, ВЕС.  ПОКОМ</v>
          </cell>
          <cell r="B30" t="str">
            <v>кг</v>
          </cell>
          <cell r="C30">
            <v>471.20600000000002</v>
          </cell>
          <cell r="E30">
            <v>261.69</v>
          </cell>
          <cell r="F30">
            <v>194.84</v>
          </cell>
          <cell r="G30" t="str">
            <v>P003997</v>
          </cell>
          <cell r="H30">
            <v>1</v>
          </cell>
          <cell r="I30">
            <v>30</v>
          </cell>
          <cell r="J30" t="str">
            <v>матрица</v>
          </cell>
          <cell r="K30">
            <v>0</v>
          </cell>
          <cell r="L30">
            <v>253.2</v>
          </cell>
          <cell r="M30">
            <v>8.4900000000000091</v>
          </cell>
          <cell r="N30">
            <v>130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130</v>
          </cell>
          <cell r="U30">
            <v>52.338000000000001</v>
          </cell>
          <cell r="V30">
            <v>130</v>
          </cell>
          <cell r="X30">
            <v>0</v>
          </cell>
          <cell r="Y30">
            <v>8.6904352478122977</v>
          </cell>
          <cell r="Z30">
            <v>3.7227253620696246</v>
          </cell>
          <cell r="AA30">
            <v>48.681799999999996</v>
          </cell>
          <cell r="AB30">
            <v>48.681799999999996</v>
          </cell>
          <cell r="AC30">
            <v>58.104600000000005</v>
          </cell>
          <cell r="AD30">
            <v>27.164800000000003</v>
          </cell>
        </row>
        <row r="31">
          <cell r="A31" t="str">
            <v xml:space="preserve"> 248  Сардельки Сочные ТМ Особый рецепт,   ПОКОМ</v>
          </cell>
          <cell r="B31" t="str">
            <v>кг</v>
          </cell>
          <cell r="C31">
            <v>289.34899999999999</v>
          </cell>
          <cell r="E31">
            <v>195.81800000000001</v>
          </cell>
          <cell r="F31">
            <v>89.804000000000002</v>
          </cell>
          <cell r="G31" t="str">
            <v>P005080</v>
          </cell>
          <cell r="H31">
            <v>1</v>
          </cell>
          <cell r="I31">
            <v>30</v>
          </cell>
          <cell r="J31" t="str">
            <v>матрица</v>
          </cell>
          <cell r="K31">
            <v>54.155999999999999</v>
          </cell>
          <cell r="L31">
            <v>179.1</v>
          </cell>
          <cell r="M31">
            <v>16.718000000000018</v>
          </cell>
          <cell r="N31">
            <v>60</v>
          </cell>
          <cell r="P31">
            <v>0</v>
          </cell>
          <cell r="Q31">
            <v>0</v>
          </cell>
          <cell r="R31">
            <v>0</v>
          </cell>
          <cell r="S31">
            <v>90</v>
          </cell>
          <cell r="T31">
            <v>140</v>
          </cell>
          <cell r="U31">
            <v>39.163600000000002</v>
          </cell>
          <cell r="V31">
            <v>60</v>
          </cell>
          <cell r="X31">
            <v>0</v>
          </cell>
          <cell r="Y31">
            <v>9.6978827278391151</v>
          </cell>
          <cell r="Z31">
            <v>2.2930476258566626</v>
          </cell>
          <cell r="AA31">
            <v>40.587400000000002</v>
          </cell>
          <cell r="AB31">
            <v>40.587400000000002</v>
          </cell>
          <cell r="AC31">
            <v>44.979199999999999</v>
          </cell>
          <cell r="AD31">
            <v>39.311599999999999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B32" t="str">
            <v>кг</v>
          </cell>
          <cell r="C32">
            <v>1250.5350000000001</v>
          </cell>
          <cell r="D32">
            <v>1315.672</v>
          </cell>
          <cell r="E32">
            <v>2027.3869999999999</v>
          </cell>
          <cell r="F32">
            <v>505.44200000000001</v>
          </cell>
          <cell r="G32" t="str">
            <v>P002536</v>
          </cell>
          <cell r="H32">
            <v>1</v>
          </cell>
          <cell r="I32">
            <v>30</v>
          </cell>
          <cell r="J32" t="str">
            <v>матрица</v>
          </cell>
          <cell r="K32">
            <v>206.88</v>
          </cell>
          <cell r="L32">
            <v>1982.04</v>
          </cell>
          <cell r="M32">
            <v>45.34699999999998</v>
          </cell>
          <cell r="N32">
            <v>750</v>
          </cell>
          <cell r="P32">
            <v>800</v>
          </cell>
          <cell r="Q32">
            <v>800</v>
          </cell>
          <cell r="R32">
            <v>800</v>
          </cell>
          <cell r="S32">
            <v>50</v>
          </cell>
          <cell r="T32">
            <v>200</v>
          </cell>
          <cell r="U32">
            <v>405.47739999999999</v>
          </cell>
          <cell r="V32">
            <v>750</v>
          </cell>
          <cell r="X32">
            <v>0</v>
          </cell>
          <cell r="Y32">
            <v>9.6317131361698589</v>
          </cell>
          <cell r="Z32">
            <v>1.2465355652374215</v>
          </cell>
          <cell r="AA32">
            <v>358.11080000000004</v>
          </cell>
          <cell r="AB32">
            <v>358.11080000000004</v>
          </cell>
          <cell r="AC32">
            <v>124.8952</v>
          </cell>
          <cell r="AD32">
            <v>435.78019999999998</v>
          </cell>
          <cell r="AE32" t="str">
            <v>промо</v>
          </cell>
        </row>
        <row r="33">
          <cell r="A33" t="str">
            <v xml:space="preserve"> 251  Сосиски Баварские, ВЕС.  ПОКОМ</v>
          </cell>
          <cell r="B33" t="str">
            <v>кг</v>
          </cell>
          <cell r="C33">
            <v>48.978999999999999</v>
          </cell>
          <cell r="E33">
            <v>31.835000000000001</v>
          </cell>
          <cell r="F33">
            <v>15.624000000000001</v>
          </cell>
          <cell r="G33" t="str">
            <v>P002202</v>
          </cell>
          <cell r="H33">
            <v>1</v>
          </cell>
          <cell r="I33">
            <v>45</v>
          </cell>
          <cell r="J33" t="str">
            <v>матрица</v>
          </cell>
          <cell r="K33">
            <v>0</v>
          </cell>
          <cell r="L33">
            <v>32.76</v>
          </cell>
          <cell r="M33">
            <v>-0.92499999999999716</v>
          </cell>
          <cell r="N33">
            <v>15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20</v>
          </cell>
          <cell r="U33">
            <v>6.367</v>
          </cell>
          <cell r="V33">
            <v>15</v>
          </cell>
          <cell r="X33">
            <v>0</v>
          </cell>
          <cell r="Y33">
            <v>7.9509973299827239</v>
          </cell>
          <cell r="Z33">
            <v>2.4539029370190044</v>
          </cell>
          <cell r="AA33">
            <v>4.6718000000000002</v>
          </cell>
          <cell r="AB33">
            <v>4.6718000000000002</v>
          </cell>
          <cell r="AC33">
            <v>5.8648000000000007</v>
          </cell>
          <cell r="AD33">
            <v>2.5865999999999998</v>
          </cell>
        </row>
        <row r="34">
          <cell r="A34" t="str">
            <v xml:space="preserve"> 253  Сосиски Ганноверские   ПОКОМ</v>
          </cell>
          <cell r="B34" t="str">
            <v>кг</v>
          </cell>
          <cell r="C34">
            <v>132.26499999999999</v>
          </cell>
          <cell r="E34">
            <v>114.855</v>
          </cell>
          <cell r="F34">
            <v>17.41</v>
          </cell>
          <cell r="G34" t="str">
            <v>P002209</v>
          </cell>
          <cell r="H34">
            <v>1</v>
          </cell>
          <cell r="I34">
            <v>0</v>
          </cell>
          <cell r="J34">
            <v>0</v>
          </cell>
          <cell r="K34">
            <v>0</v>
          </cell>
          <cell r="L34">
            <v>110.1</v>
          </cell>
          <cell r="M34">
            <v>4.7550000000000097</v>
          </cell>
          <cell r="N34">
            <v>10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220</v>
          </cell>
          <cell r="U34">
            <v>22.971</v>
          </cell>
          <cell r="V34">
            <v>10</v>
          </cell>
          <cell r="X34">
            <v>0</v>
          </cell>
          <cell r="Y34">
            <v>10.770536763745593</v>
          </cell>
          <cell r="Z34">
            <v>0.75791215010230295</v>
          </cell>
          <cell r="AA34">
            <v>3.5762</v>
          </cell>
          <cell r="AB34">
            <v>3.5762</v>
          </cell>
          <cell r="AC34">
            <v>17.3094</v>
          </cell>
          <cell r="AD34">
            <v>8.7968000000000011</v>
          </cell>
        </row>
        <row r="35">
          <cell r="A35" t="str">
            <v xml:space="preserve"> 255  Сосиски Молочные для завтрака ТМ Особый рецепт, п/а МГС, ВЕС, ТМ Стародворье  ПОКОМ</v>
          </cell>
          <cell r="B35" t="str">
            <v>кг</v>
          </cell>
          <cell r="C35">
            <v>3741.5819999999999</v>
          </cell>
          <cell r="D35">
            <v>719.42100000000005</v>
          </cell>
          <cell r="E35">
            <v>3133.4789999999998</v>
          </cell>
          <cell r="F35">
            <v>1312.0260000000001</v>
          </cell>
          <cell r="G35" t="str">
            <v>P004844</v>
          </cell>
          <cell r="H35">
            <v>1</v>
          </cell>
          <cell r="I35">
            <v>40</v>
          </cell>
          <cell r="J35" t="str">
            <v>матрица</v>
          </cell>
          <cell r="K35">
            <v>26.373999999999999</v>
          </cell>
          <cell r="L35">
            <v>2892.91</v>
          </cell>
          <cell r="M35">
            <v>240.56899999999996</v>
          </cell>
          <cell r="N35">
            <v>1400</v>
          </cell>
          <cell r="P35">
            <v>1200</v>
          </cell>
          <cell r="Q35">
            <v>1200</v>
          </cell>
          <cell r="R35">
            <v>1200</v>
          </cell>
          <cell r="S35">
            <v>0</v>
          </cell>
          <cell r="T35">
            <v>100</v>
          </cell>
          <cell r="U35">
            <v>626.69579999999996</v>
          </cell>
          <cell r="V35">
            <v>1400</v>
          </cell>
          <cell r="X35">
            <v>0</v>
          </cell>
          <cell r="Y35">
            <v>10.231480727970412</v>
          </cell>
          <cell r="Z35">
            <v>2.093561182315248</v>
          </cell>
          <cell r="AA35">
            <v>522</v>
          </cell>
          <cell r="AB35">
            <v>0</v>
          </cell>
          <cell r="AC35">
            <v>613.54840000000002</v>
          </cell>
          <cell r="AD35">
            <v>559.12</v>
          </cell>
        </row>
        <row r="36">
          <cell r="A36" t="str">
            <v xml:space="preserve"> 263  Шпикачки Стародворские, ВЕС.  ПОКОМ</v>
          </cell>
          <cell r="B36" t="str">
            <v>кг</v>
          </cell>
          <cell r="C36">
            <v>144.27600000000001</v>
          </cell>
          <cell r="D36">
            <v>101.422</v>
          </cell>
          <cell r="E36">
            <v>219.58799999999999</v>
          </cell>
          <cell r="F36">
            <v>8.8460000000000001</v>
          </cell>
          <cell r="G36" t="str">
            <v>P004913</v>
          </cell>
          <cell r="H36">
            <v>1</v>
          </cell>
          <cell r="I36">
            <v>30</v>
          </cell>
          <cell r="J36" t="str">
            <v>матрица</v>
          </cell>
          <cell r="K36">
            <v>232.29</v>
          </cell>
          <cell r="L36">
            <v>225.3</v>
          </cell>
          <cell r="M36">
            <v>-5.7120000000000175</v>
          </cell>
          <cell r="N36">
            <v>30</v>
          </cell>
          <cell r="P36">
            <v>0</v>
          </cell>
          <cell r="Q36">
            <v>0</v>
          </cell>
          <cell r="R36">
            <v>0</v>
          </cell>
          <cell r="S36">
            <v>60</v>
          </cell>
          <cell r="T36">
            <v>360</v>
          </cell>
          <cell r="U36">
            <v>43.9176</v>
          </cell>
          <cell r="V36">
            <v>30</v>
          </cell>
          <cell r="X36">
            <v>0</v>
          </cell>
          <cell r="Y36">
            <v>10.447884219538409</v>
          </cell>
          <cell r="Z36">
            <v>0.20142266426216368</v>
          </cell>
          <cell r="AA36">
            <v>43.793599999999998</v>
          </cell>
          <cell r="AB36">
            <v>43.793599999999998</v>
          </cell>
          <cell r="AC36">
            <v>39.325000000000003</v>
          </cell>
          <cell r="AD36">
            <v>47.580399999999997</v>
          </cell>
        </row>
        <row r="37">
          <cell r="A37" t="str">
            <v xml:space="preserve"> 273  Сосиски Сочинки с сочной грудинкой, МГС 0.4кг,   ПОКОМ</v>
          </cell>
          <cell r="B37" t="str">
            <v>шт</v>
          </cell>
          <cell r="C37">
            <v>4805</v>
          </cell>
          <cell r="D37">
            <v>32</v>
          </cell>
          <cell r="E37">
            <v>4333</v>
          </cell>
          <cell r="F37">
            <v>416</v>
          </cell>
          <cell r="G37" t="str">
            <v>P003957</v>
          </cell>
          <cell r="H37">
            <v>0.4</v>
          </cell>
          <cell r="I37">
            <v>45</v>
          </cell>
          <cell r="J37" t="str">
            <v>матрица</v>
          </cell>
          <cell r="K37">
            <v>2004</v>
          </cell>
          <cell r="L37">
            <v>4524</v>
          </cell>
          <cell r="M37">
            <v>-191</v>
          </cell>
          <cell r="N37">
            <v>1700</v>
          </cell>
          <cell r="P37">
            <v>0</v>
          </cell>
          <cell r="Q37">
            <v>0</v>
          </cell>
          <cell r="R37">
            <v>0</v>
          </cell>
          <cell r="S37">
            <v>2400</v>
          </cell>
          <cell r="T37">
            <v>3400</v>
          </cell>
          <cell r="U37">
            <v>866.6</v>
          </cell>
          <cell r="V37">
            <v>1700</v>
          </cell>
          <cell r="X37">
            <v>0</v>
          </cell>
          <cell r="Y37">
            <v>9.1345488114470346</v>
          </cell>
          <cell r="Z37">
            <v>0.48003692591737823</v>
          </cell>
          <cell r="AA37">
            <v>803.6</v>
          </cell>
          <cell r="AB37">
            <v>803.6</v>
          </cell>
          <cell r="AC37">
            <v>855.4</v>
          </cell>
          <cell r="AD37">
            <v>846.4</v>
          </cell>
          <cell r="AE37" t="str">
            <v>промо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B38" t="str">
            <v>шт</v>
          </cell>
          <cell r="C38">
            <v>467</v>
          </cell>
          <cell r="D38">
            <v>5</v>
          </cell>
          <cell r="E38">
            <v>434</v>
          </cell>
          <cell r="F38">
            <v>33</v>
          </cell>
          <cell r="G38" t="str">
            <v>P003103</v>
          </cell>
          <cell r="H38">
            <v>0.45</v>
          </cell>
          <cell r="I38">
            <v>50</v>
          </cell>
          <cell r="J38" t="str">
            <v>матрица</v>
          </cell>
          <cell r="K38">
            <v>180</v>
          </cell>
          <cell r="L38">
            <v>452</v>
          </cell>
          <cell r="M38">
            <v>-18</v>
          </cell>
          <cell r="N38">
            <v>130</v>
          </cell>
          <cell r="P38">
            <v>0</v>
          </cell>
          <cell r="Q38">
            <v>0</v>
          </cell>
          <cell r="R38">
            <v>0</v>
          </cell>
          <cell r="S38">
            <v>300</v>
          </cell>
          <cell r="T38">
            <v>380</v>
          </cell>
          <cell r="U38">
            <v>86.8</v>
          </cell>
          <cell r="V38">
            <v>130</v>
          </cell>
          <cell r="X38">
            <v>0</v>
          </cell>
          <cell r="Y38">
            <v>9.7119815668202776</v>
          </cell>
          <cell r="Z38">
            <v>0.38018433179723504</v>
          </cell>
          <cell r="AA38">
            <v>83.2</v>
          </cell>
          <cell r="AB38">
            <v>83.2</v>
          </cell>
          <cell r="AC38">
            <v>80.599999999999994</v>
          </cell>
          <cell r="AD38">
            <v>84.4</v>
          </cell>
        </row>
        <row r="39">
          <cell r="A39" t="str">
            <v xml:space="preserve"> 278  Сосиски Сочинки с сочным окороком, МГС 0.4кг,   ПОКОМ</v>
          </cell>
          <cell r="B39" t="str">
            <v>шт</v>
          </cell>
          <cell r="C39">
            <v>1230</v>
          </cell>
          <cell r="D39">
            <v>15</v>
          </cell>
          <cell r="E39">
            <v>1163</v>
          </cell>
          <cell r="F39">
            <v>50</v>
          </cell>
          <cell r="G39" t="str">
            <v>P003958</v>
          </cell>
          <cell r="H39">
            <v>0.4</v>
          </cell>
          <cell r="I39">
            <v>45</v>
          </cell>
          <cell r="J39" t="str">
            <v>матрица</v>
          </cell>
          <cell r="K39">
            <v>252</v>
          </cell>
          <cell r="L39">
            <v>1219</v>
          </cell>
          <cell r="M39">
            <v>-56</v>
          </cell>
          <cell r="N39">
            <v>400</v>
          </cell>
          <cell r="P39">
            <v>0</v>
          </cell>
          <cell r="Q39">
            <v>0</v>
          </cell>
          <cell r="R39">
            <v>0</v>
          </cell>
          <cell r="S39">
            <v>800</v>
          </cell>
          <cell r="T39">
            <v>950</v>
          </cell>
          <cell r="U39">
            <v>232.6</v>
          </cell>
          <cell r="V39">
            <v>400</v>
          </cell>
          <cell r="X39">
            <v>0</v>
          </cell>
          <cell r="Y39">
            <v>9.4582975064488402</v>
          </cell>
          <cell r="Z39">
            <v>0.21496130696474636</v>
          </cell>
          <cell r="AA39">
            <v>267.8</v>
          </cell>
          <cell r="AB39">
            <v>267.8</v>
          </cell>
          <cell r="AC39">
            <v>207.6</v>
          </cell>
          <cell r="AD39">
            <v>209</v>
          </cell>
          <cell r="AE39" t="str">
            <v>промо</v>
          </cell>
        </row>
        <row r="40">
          <cell r="A40" t="str">
            <v xml:space="preserve"> 281  Сосиски Молочные для завтрака ТМ Особый рецепт, 0,4кг  ПОКОМ</v>
          </cell>
          <cell r="B40" t="str">
            <v>шт</v>
          </cell>
          <cell r="C40">
            <v>1</v>
          </cell>
          <cell r="E40">
            <v>1</v>
          </cell>
          <cell r="G40" t="str">
            <v>P005198</v>
          </cell>
          <cell r="H40">
            <v>0.4</v>
          </cell>
          <cell r="I40">
            <v>40</v>
          </cell>
          <cell r="J40" t="str">
            <v>матрица</v>
          </cell>
          <cell r="K40">
            <v>0</v>
          </cell>
          <cell r="L40">
            <v>6</v>
          </cell>
          <cell r="M40">
            <v>-5</v>
          </cell>
          <cell r="P40">
            <v>0</v>
          </cell>
          <cell r="Q40">
            <v>0</v>
          </cell>
          <cell r="R40">
            <v>0</v>
          </cell>
          <cell r="S40">
            <v>20</v>
          </cell>
          <cell r="T40">
            <v>0</v>
          </cell>
          <cell r="U40">
            <v>0.2</v>
          </cell>
          <cell r="X40">
            <v>0</v>
          </cell>
          <cell r="Y40">
            <v>100</v>
          </cell>
          <cell r="Z40">
            <v>0</v>
          </cell>
          <cell r="AA40">
            <v>0.6</v>
          </cell>
          <cell r="AB40">
            <v>0.6</v>
          </cell>
          <cell r="AC40">
            <v>1.2</v>
          </cell>
          <cell r="AD40">
            <v>1.8</v>
          </cell>
        </row>
        <row r="41">
          <cell r="A41" t="str">
            <v xml:space="preserve"> 282  Колбаса Балыкбургская рубленая, в/у 0,35 кг срез, БАВАРУШКА ПОКОМ</v>
          </cell>
          <cell r="B41" t="str">
            <v>шт</v>
          </cell>
          <cell r="C41">
            <v>-1</v>
          </cell>
          <cell r="E41">
            <v>0</v>
          </cell>
          <cell r="F41">
            <v>-1</v>
          </cell>
          <cell r="G41" t="str">
            <v>P004400</v>
          </cell>
          <cell r="H41">
            <v>0.35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X41">
            <v>0</v>
          </cell>
          <cell r="Y41" t="e">
            <v>#DIV/0!</v>
          </cell>
          <cell r="Z41" t="e">
            <v>#DIV/0!</v>
          </cell>
          <cell r="AA41">
            <v>0</v>
          </cell>
          <cell r="AB41">
            <v>0</v>
          </cell>
          <cell r="AC41">
            <v>0</v>
          </cell>
          <cell r="AD41">
            <v>0.2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316.72800000000001</v>
          </cell>
          <cell r="D42">
            <v>204.14099999999999</v>
          </cell>
          <cell r="E42">
            <v>272.89299999999997</v>
          </cell>
          <cell r="F42">
            <v>243.22800000000001</v>
          </cell>
          <cell r="G42" t="str">
            <v>P003959</v>
          </cell>
          <cell r="H42">
            <v>1</v>
          </cell>
          <cell r="I42">
            <v>45</v>
          </cell>
          <cell r="J42" t="str">
            <v>матрица</v>
          </cell>
          <cell r="K42">
            <v>0</v>
          </cell>
          <cell r="L42">
            <v>261.91000000000003</v>
          </cell>
          <cell r="M42">
            <v>10.982999999999947</v>
          </cell>
          <cell r="N42">
            <v>90</v>
          </cell>
          <cell r="P42">
            <v>0</v>
          </cell>
          <cell r="Q42">
            <v>0</v>
          </cell>
          <cell r="R42">
            <v>0</v>
          </cell>
          <cell r="S42">
            <v>30</v>
          </cell>
          <cell r="T42">
            <v>160</v>
          </cell>
          <cell r="U42">
            <v>54.578599999999994</v>
          </cell>
          <cell r="V42">
            <v>90</v>
          </cell>
          <cell r="X42">
            <v>0</v>
          </cell>
          <cell r="Y42">
            <v>9.5866878226997425</v>
          </cell>
          <cell r="Z42">
            <v>4.4564719505447199</v>
          </cell>
          <cell r="AA42">
            <v>42.671800000000005</v>
          </cell>
          <cell r="AB42">
            <v>42.671800000000005</v>
          </cell>
          <cell r="AC42">
            <v>52.311999999999998</v>
          </cell>
          <cell r="AD42">
            <v>50.101999999999997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2905</v>
          </cell>
          <cell r="E43">
            <v>222</v>
          </cell>
          <cell r="F43">
            <v>2683</v>
          </cell>
          <cell r="G43" t="str">
            <v>P002648</v>
          </cell>
          <cell r="H43">
            <v>0.1</v>
          </cell>
          <cell r="I43">
            <v>730</v>
          </cell>
          <cell r="J43" t="str">
            <v>матрица</v>
          </cell>
          <cell r="K43">
            <v>0</v>
          </cell>
          <cell r="L43">
            <v>224</v>
          </cell>
          <cell r="M43">
            <v>-2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44.4</v>
          </cell>
          <cell r="X43">
            <v>0</v>
          </cell>
          <cell r="Y43">
            <v>60.427927927927932</v>
          </cell>
          <cell r="Z43">
            <v>60.427927927927932</v>
          </cell>
          <cell r="AA43">
            <v>42.2</v>
          </cell>
          <cell r="AB43">
            <v>42.2</v>
          </cell>
          <cell r="AC43">
            <v>49.2</v>
          </cell>
          <cell r="AD43">
            <v>57.4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C44">
            <v>275</v>
          </cell>
          <cell r="D44">
            <v>1</v>
          </cell>
          <cell r="E44">
            <v>238</v>
          </cell>
          <cell r="F44">
            <v>24</v>
          </cell>
          <cell r="G44" t="str">
            <v>P003256</v>
          </cell>
          <cell r="H44">
            <v>0.35</v>
          </cell>
          <cell r="I44">
            <v>40</v>
          </cell>
          <cell r="J44" t="str">
            <v>матрица</v>
          </cell>
          <cell r="K44">
            <v>120</v>
          </cell>
          <cell r="L44">
            <v>308</v>
          </cell>
          <cell r="M44">
            <v>-70</v>
          </cell>
          <cell r="N44">
            <v>20</v>
          </cell>
          <cell r="P44">
            <v>0</v>
          </cell>
          <cell r="Q44">
            <v>0</v>
          </cell>
          <cell r="R44">
            <v>0</v>
          </cell>
          <cell r="S44">
            <v>100</v>
          </cell>
          <cell r="T44">
            <v>360</v>
          </cell>
          <cell r="U44">
            <v>47.6</v>
          </cell>
          <cell r="V44">
            <v>20</v>
          </cell>
          <cell r="X44">
            <v>0</v>
          </cell>
          <cell r="Y44">
            <v>10.588235294117647</v>
          </cell>
          <cell r="Z44">
            <v>0.50420168067226889</v>
          </cell>
          <cell r="AA44">
            <v>52.2</v>
          </cell>
          <cell r="AB44">
            <v>52.2</v>
          </cell>
          <cell r="AC44">
            <v>46.8</v>
          </cell>
          <cell r="AD44">
            <v>45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75.02</v>
          </cell>
          <cell r="E45">
            <v>47.819000000000003</v>
          </cell>
          <cell r="F45">
            <v>19.945</v>
          </cell>
          <cell r="G45" t="str">
            <v>P003179</v>
          </cell>
          <cell r="H45">
            <v>1</v>
          </cell>
          <cell r="I45">
            <v>40</v>
          </cell>
          <cell r="J45" t="str">
            <v>матрица</v>
          </cell>
          <cell r="K45">
            <v>21.757000000000001</v>
          </cell>
          <cell r="L45">
            <v>59.1</v>
          </cell>
          <cell r="M45">
            <v>-11.280999999999999</v>
          </cell>
          <cell r="P45">
            <v>0</v>
          </cell>
          <cell r="Q45">
            <v>0</v>
          </cell>
          <cell r="R45">
            <v>0</v>
          </cell>
          <cell r="S45">
            <v>30</v>
          </cell>
          <cell r="T45">
            <v>50</v>
          </cell>
          <cell r="U45">
            <v>9.5638000000000005</v>
          </cell>
          <cell r="X45">
            <v>0</v>
          </cell>
          <cell r="Y45">
            <v>10.450344005520817</v>
          </cell>
          <cell r="Z45">
            <v>2.0854681193667788</v>
          </cell>
          <cell r="AA45">
            <v>13.516399999999999</v>
          </cell>
          <cell r="AB45">
            <v>13.516399999999999</v>
          </cell>
          <cell r="AC45">
            <v>10.239599999999999</v>
          </cell>
          <cell r="AD45">
            <v>10.995200000000001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256</v>
          </cell>
          <cell r="D46">
            <v>8</v>
          </cell>
          <cell r="E46">
            <v>243</v>
          </cell>
          <cell r="F46">
            <v>13</v>
          </cell>
          <cell r="G46" t="str">
            <v>P003475</v>
          </cell>
          <cell r="H46">
            <v>0.4</v>
          </cell>
          <cell r="I46">
            <v>40</v>
          </cell>
          <cell r="J46" t="str">
            <v>матрица</v>
          </cell>
          <cell r="K46">
            <v>0</v>
          </cell>
          <cell r="L46">
            <v>258</v>
          </cell>
          <cell r="M46">
            <v>-15</v>
          </cell>
          <cell r="N46">
            <v>115</v>
          </cell>
          <cell r="P46">
            <v>0</v>
          </cell>
          <cell r="Q46">
            <v>0</v>
          </cell>
          <cell r="R46">
            <v>0</v>
          </cell>
          <cell r="S46">
            <v>230</v>
          </cell>
          <cell r="T46">
            <v>80</v>
          </cell>
          <cell r="U46">
            <v>48.6</v>
          </cell>
          <cell r="V46">
            <v>115</v>
          </cell>
          <cell r="X46">
            <v>0</v>
          </cell>
          <cell r="Y46">
            <v>9.0123456790123448</v>
          </cell>
          <cell r="Z46">
            <v>0.26748971193415638</v>
          </cell>
          <cell r="AA46">
            <v>34.200000000000003</v>
          </cell>
          <cell r="AB46">
            <v>34.200000000000003</v>
          </cell>
          <cell r="AC46">
            <v>41</v>
          </cell>
          <cell r="AD46">
            <v>34.4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277</v>
          </cell>
          <cell r="D47">
            <v>1</v>
          </cell>
          <cell r="E47">
            <v>186</v>
          </cell>
          <cell r="F47">
            <v>92</v>
          </cell>
          <cell r="G47" t="str">
            <v>P003217</v>
          </cell>
          <cell r="H47">
            <v>0.4</v>
          </cell>
          <cell r="I47">
            <v>45</v>
          </cell>
          <cell r="J47" t="str">
            <v>матрица</v>
          </cell>
          <cell r="K47">
            <v>84</v>
          </cell>
          <cell r="L47">
            <v>186</v>
          </cell>
          <cell r="M47">
            <v>0</v>
          </cell>
          <cell r="N47">
            <v>45</v>
          </cell>
          <cell r="P47">
            <v>0</v>
          </cell>
          <cell r="Q47">
            <v>0</v>
          </cell>
          <cell r="R47">
            <v>0</v>
          </cell>
          <cell r="S47">
            <v>160</v>
          </cell>
          <cell r="T47">
            <v>70</v>
          </cell>
          <cell r="U47">
            <v>37.200000000000003</v>
          </cell>
          <cell r="V47">
            <v>45</v>
          </cell>
          <cell r="X47">
            <v>0</v>
          </cell>
          <cell r="Y47">
            <v>9.865591397849462</v>
          </cell>
          <cell r="Z47">
            <v>2.4731182795698925</v>
          </cell>
          <cell r="AA47">
            <v>32.6</v>
          </cell>
          <cell r="AB47">
            <v>32.6</v>
          </cell>
          <cell r="AC47">
            <v>45.6</v>
          </cell>
          <cell r="AD47">
            <v>42.8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194.07599999999999</v>
          </cell>
          <cell r="D48">
            <v>4.3230000000000004</v>
          </cell>
          <cell r="E48">
            <v>139.58000000000001</v>
          </cell>
          <cell r="F48">
            <v>54.994</v>
          </cell>
          <cell r="G48" t="str">
            <v>P003259</v>
          </cell>
          <cell r="H48">
            <v>1</v>
          </cell>
          <cell r="I48">
            <v>40</v>
          </cell>
          <cell r="J48" t="str">
            <v>матрица</v>
          </cell>
          <cell r="K48">
            <v>34.915999999999997</v>
          </cell>
          <cell r="L48">
            <v>146.44999999999999</v>
          </cell>
          <cell r="M48">
            <v>-6.8699999999999761</v>
          </cell>
          <cell r="N48">
            <v>25</v>
          </cell>
          <cell r="P48">
            <v>0</v>
          </cell>
          <cell r="Q48">
            <v>0</v>
          </cell>
          <cell r="R48">
            <v>0</v>
          </cell>
          <cell r="S48">
            <v>50</v>
          </cell>
          <cell r="T48">
            <v>160</v>
          </cell>
          <cell r="U48">
            <v>27.916000000000004</v>
          </cell>
          <cell r="V48">
            <v>25</v>
          </cell>
          <cell r="X48">
            <v>0</v>
          </cell>
          <cell r="Y48">
            <v>10.388092849978506</v>
          </cell>
          <cell r="Z48">
            <v>1.9699813726894968</v>
          </cell>
          <cell r="AA48">
            <v>31.677999999999997</v>
          </cell>
          <cell r="AB48">
            <v>31.677999999999997</v>
          </cell>
          <cell r="AC48">
            <v>26.6584</v>
          </cell>
          <cell r="AD48">
            <v>25.068000000000001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3119</v>
          </cell>
          <cell r="D49">
            <v>2</v>
          </cell>
          <cell r="E49">
            <v>1712</v>
          </cell>
          <cell r="F49">
            <v>1392</v>
          </cell>
          <cell r="G49" t="str">
            <v>P003260</v>
          </cell>
          <cell r="H49">
            <v>0.35</v>
          </cell>
          <cell r="I49">
            <v>40</v>
          </cell>
          <cell r="J49" t="str">
            <v>матрица</v>
          </cell>
          <cell r="K49">
            <v>96</v>
          </cell>
          <cell r="L49">
            <v>1738</v>
          </cell>
          <cell r="M49">
            <v>-26</v>
          </cell>
          <cell r="N49">
            <v>625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1200</v>
          </cell>
          <cell r="U49">
            <v>342.4</v>
          </cell>
          <cell r="V49">
            <v>625</v>
          </cell>
          <cell r="X49">
            <v>0</v>
          </cell>
          <cell r="Y49">
            <v>9.3954439252336464</v>
          </cell>
          <cell r="Z49">
            <v>4.0654205607476639</v>
          </cell>
          <cell r="AA49">
            <v>446.2</v>
          </cell>
          <cell r="AB49">
            <v>446.2</v>
          </cell>
          <cell r="AC49">
            <v>366.2</v>
          </cell>
          <cell r="AD49">
            <v>291.8</v>
          </cell>
          <cell r="AE49" t="str">
            <v>промо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561</v>
          </cell>
          <cell r="D50">
            <v>11</v>
          </cell>
          <cell r="E50">
            <v>542</v>
          </cell>
          <cell r="F50">
            <v>14</v>
          </cell>
          <cell r="G50" t="str">
            <v>P004178</v>
          </cell>
          <cell r="H50">
            <v>0.4</v>
          </cell>
          <cell r="I50">
            <v>40</v>
          </cell>
          <cell r="J50" t="str">
            <v>матрица</v>
          </cell>
          <cell r="K50">
            <v>324</v>
          </cell>
          <cell r="L50">
            <v>631</v>
          </cell>
          <cell r="M50">
            <v>-89</v>
          </cell>
          <cell r="N50">
            <v>75</v>
          </cell>
          <cell r="P50">
            <v>0</v>
          </cell>
          <cell r="Q50">
            <v>0</v>
          </cell>
          <cell r="R50">
            <v>0</v>
          </cell>
          <cell r="S50">
            <v>350</v>
          </cell>
          <cell r="T50">
            <v>720</v>
          </cell>
          <cell r="U50">
            <v>108.4</v>
          </cell>
          <cell r="V50">
            <v>75</v>
          </cell>
          <cell r="X50">
            <v>0</v>
          </cell>
          <cell r="Y50">
            <v>10.691881918819188</v>
          </cell>
          <cell r="Z50">
            <v>0.12915129151291513</v>
          </cell>
          <cell r="AA50">
            <v>113.2</v>
          </cell>
          <cell r="AB50">
            <v>113.2</v>
          </cell>
          <cell r="AC50">
            <v>102.4</v>
          </cell>
          <cell r="AD50">
            <v>112.4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465.13</v>
          </cell>
          <cell r="D51">
            <v>206.51300000000001</v>
          </cell>
          <cell r="E51">
            <v>451.97800000000001</v>
          </cell>
          <cell r="F51">
            <v>214.946</v>
          </cell>
          <cell r="G51" t="str">
            <v>P003234</v>
          </cell>
          <cell r="H51">
            <v>1</v>
          </cell>
          <cell r="I51">
            <v>50</v>
          </cell>
          <cell r="J51" t="str">
            <v>матрица</v>
          </cell>
          <cell r="K51">
            <v>161.63</v>
          </cell>
          <cell r="L51">
            <v>445.9</v>
          </cell>
          <cell r="M51">
            <v>6.0780000000000314</v>
          </cell>
          <cell r="N51">
            <v>140</v>
          </cell>
          <cell r="P51">
            <v>0</v>
          </cell>
          <cell r="Q51">
            <v>0</v>
          </cell>
          <cell r="R51">
            <v>0</v>
          </cell>
          <cell r="S51">
            <v>130</v>
          </cell>
          <cell r="T51">
            <v>400</v>
          </cell>
          <cell r="U51">
            <v>90.395600000000002</v>
          </cell>
          <cell r="V51">
            <v>140</v>
          </cell>
          <cell r="X51">
            <v>0</v>
          </cell>
          <cell r="Y51">
            <v>9.7897021536446474</v>
          </cell>
          <cell r="Z51">
            <v>2.377836974366009</v>
          </cell>
          <cell r="AA51">
            <v>93.462000000000003</v>
          </cell>
          <cell r="AB51">
            <v>93.462000000000003</v>
          </cell>
          <cell r="AC51">
            <v>82.031399999999991</v>
          </cell>
          <cell r="AD51">
            <v>87.028800000000004</v>
          </cell>
          <cell r="AE51" t="str">
            <v>промо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697.28499999999997</v>
          </cell>
          <cell r="D52">
            <v>5.4770000000000003</v>
          </cell>
          <cell r="E52">
            <v>603.72299999999996</v>
          </cell>
          <cell r="F52">
            <v>90.183000000000007</v>
          </cell>
          <cell r="G52" t="str">
            <v>P003239</v>
          </cell>
          <cell r="H52">
            <v>1</v>
          </cell>
          <cell r="I52">
            <v>50</v>
          </cell>
          <cell r="J52" t="str">
            <v>матрица</v>
          </cell>
          <cell r="K52">
            <v>303.62900000000002</v>
          </cell>
          <cell r="L52">
            <v>608.45000000000005</v>
          </cell>
          <cell r="M52">
            <v>-4.7270000000000891</v>
          </cell>
          <cell r="N52">
            <v>125</v>
          </cell>
          <cell r="P52">
            <v>0</v>
          </cell>
          <cell r="Q52">
            <v>0</v>
          </cell>
          <cell r="R52">
            <v>0</v>
          </cell>
          <cell r="S52">
            <v>220</v>
          </cell>
          <cell r="T52">
            <v>820</v>
          </cell>
          <cell r="U52">
            <v>120.74459999999999</v>
          </cell>
          <cell r="V52">
            <v>125</v>
          </cell>
          <cell r="X52">
            <v>0</v>
          </cell>
          <cell r="Y52">
            <v>10.395355154599047</v>
          </cell>
          <cell r="Z52">
            <v>0.74689054417340417</v>
          </cell>
          <cell r="AA52">
            <v>116.90860000000001</v>
          </cell>
          <cell r="AB52">
            <v>116.90860000000001</v>
          </cell>
          <cell r="AC52">
            <v>115.67</v>
          </cell>
          <cell r="AD52">
            <v>111.24639999999999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C53">
            <v>80.007000000000005</v>
          </cell>
          <cell r="E53">
            <v>26.873999999999999</v>
          </cell>
          <cell r="F53">
            <v>53.133000000000003</v>
          </cell>
          <cell r="G53" t="str">
            <v>P004991</v>
          </cell>
          <cell r="H53">
            <v>1</v>
          </cell>
          <cell r="I53">
            <v>0</v>
          </cell>
          <cell r="J53">
            <v>0</v>
          </cell>
          <cell r="K53">
            <v>0</v>
          </cell>
          <cell r="L53">
            <v>25.5</v>
          </cell>
          <cell r="M53">
            <v>1.3739999999999988</v>
          </cell>
          <cell r="N53">
            <v>10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5.3747999999999996</v>
          </cell>
          <cell r="X53">
            <v>0</v>
          </cell>
          <cell r="Y53">
            <v>9.8855771377539643</v>
          </cell>
          <cell r="Z53">
            <v>9.8855771377539643</v>
          </cell>
          <cell r="AA53">
            <v>4.7472000000000003</v>
          </cell>
          <cell r="AB53">
            <v>4.7472000000000003</v>
          </cell>
          <cell r="AC53">
            <v>8.1113999999999997</v>
          </cell>
          <cell r="AD53">
            <v>3.0819999999999999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390</v>
          </cell>
          <cell r="E54">
            <v>312</v>
          </cell>
          <cell r="F54">
            <v>78</v>
          </cell>
          <cell r="G54" t="str">
            <v>P003227</v>
          </cell>
          <cell r="H54">
            <v>0.45</v>
          </cell>
          <cell r="I54">
            <v>0</v>
          </cell>
          <cell r="J54" t="str">
            <v>матрица</v>
          </cell>
          <cell r="K54">
            <v>65.66</v>
          </cell>
          <cell r="L54">
            <v>326</v>
          </cell>
          <cell r="M54">
            <v>-14</v>
          </cell>
          <cell r="N54">
            <v>75</v>
          </cell>
          <cell r="P54">
            <v>0</v>
          </cell>
          <cell r="Q54">
            <v>0</v>
          </cell>
          <cell r="R54">
            <v>0</v>
          </cell>
          <cell r="S54">
            <v>60</v>
          </cell>
          <cell r="T54">
            <v>420</v>
          </cell>
          <cell r="U54">
            <v>62.4</v>
          </cell>
          <cell r="V54">
            <v>75</v>
          </cell>
          <cell r="X54">
            <v>0</v>
          </cell>
          <cell r="Y54">
            <v>10.14423076923077</v>
          </cell>
          <cell r="Z54">
            <v>1.25</v>
          </cell>
          <cell r="AA54">
            <v>76</v>
          </cell>
          <cell r="AB54">
            <v>76</v>
          </cell>
          <cell r="AC54">
            <v>60.6</v>
          </cell>
          <cell r="AD54">
            <v>53.8</v>
          </cell>
          <cell r="AE54" t="str">
            <v>промо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513</v>
          </cell>
          <cell r="D55">
            <v>5</v>
          </cell>
          <cell r="E55">
            <v>484</v>
          </cell>
          <cell r="F55">
            <v>29</v>
          </cell>
          <cell r="G55" t="str">
            <v>P003228</v>
          </cell>
          <cell r="H55">
            <v>0.45</v>
          </cell>
          <cell r="I55">
            <v>50</v>
          </cell>
          <cell r="J55" t="str">
            <v>матрица</v>
          </cell>
          <cell r="K55">
            <v>140</v>
          </cell>
          <cell r="L55">
            <v>503</v>
          </cell>
          <cell r="M55">
            <v>-19</v>
          </cell>
          <cell r="N55">
            <v>160</v>
          </cell>
          <cell r="P55">
            <v>0</v>
          </cell>
          <cell r="Q55">
            <v>0</v>
          </cell>
          <cell r="R55">
            <v>0</v>
          </cell>
          <cell r="S55">
            <v>260</v>
          </cell>
          <cell r="T55">
            <v>500</v>
          </cell>
          <cell r="U55">
            <v>96.8</v>
          </cell>
          <cell r="V55">
            <v>160</v>
          </cell>
          <cell r="X55">
            <v>0</v>
          </cell>
          <cell r="Y55">
            <v>9.8037190082644639</v>
          </cell>
          <cell r="Z55">
            <v>0.29958677685950413</v>
          </cell>
          <cell r="AA55">
            <v>94.2</v>
          </cell>
          <cell r="AB55">
            <v>94.2</v>
          </cell>
          <cell r="AC55">
            <v>86</v>
          </cell>
          <cell r="AD55">
            <v>83.8</v>
          </cell>
        </row>
        <row r="56">
          <cell r="A56" t="str">
            <v xml:space="preserve"> 328  Сардельки Сочинки Стародворье ТМ  0,4 кг ПОКОМ</v>
          </cell>
          <cell r="B56" t="str">
            <v>шт</v>
          </cell>
          <cell r="C56">
            <v>262</v>
          </cell>
          <cell r="E56">
            <v>138</v>
          </cell>
          <cell r="F56">
            <v>118</v>
          </cell>
          <cell r="G56" t="str">
            <v>P003960</v>
          </cell>
          <cell r="H56">
            <v>0.4</v>
          </cell>
          <cell r="I56">
            <v>40</v>
          </cell>
          <cell r="J56" t="str">
            <v>матрица</v>
          </cell>
          <cell r="K56">
            <v>0</v>
          </cell>
          <cell r="L56">
            <v>144</v>
          </cell>
          <cell r="M56">
            <v>-6</v>
          </cell>
          <cell r="N56">
            <v>45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100</v>
          </cell>
          <cell r="U56">
            <v>27.6</v>
          </cell>
          <cell r="V56">
            <v>45</v>
          </cell>
          <cell r="X56">
            <v>0</v>
          </cell>
          <cell r="Y56">
            <v>9.5289855072463769</v>
          </cell>
          <cell r="Z56">
            <v>4.2753623188405792</v>
          </cell>
          <cell r="AA56">
            <v>22</v>
          </cell>
          <cell r="AB56">
            <v>22</v>
          </cell>
          <cell r="AC56">
            <v>31.2</v>
          </cell>
          <cell r="AD56">
            <v>20.6</v>
          </cell>
        </row>
        <row r="57">
          <cell r="A57" t="str">
            <v xml:space="preserve"> 329  Сардельки Сочинки с сыром Стародворье ТМ, 0,4 кг. ПОКОМ</v>
          </cell>
          <cell r="B57" t="str">
            <v>шт</v>
          </cell>
          <cell r="C57">
            <v>63</v>
          </cell>
          <cell r="E57">
            <v>62</v>
          </cell>
          <cell r="F57">
            <v>-2</v>
          </cell>
          <cell r="G57" t="str">
            <v>P003961</v>
          </cell>
          <cell r="H57">
            <v>0.4</v>
          </cell>
          <cell r="I57">
            <v>40</v>
          </cell>
          <cell r="J57" t="str">
            <v>матрица</v>
          </cell>
          <cell r="K57">
            <v>30</v>
          </cell>
          <cell r="L57">
            <v>65</v>
          </cell>
          <cell r="M57">
            <v>-3</v>
          </cell>
          <cell r="P57">
            <v>0</v>
          </cell>
          <cell r="Q57">
            <v>0</v>
          </cell>
          <cell r="R57">
            <v>0</v>
          </cell>
          <cell r="S57">
            <v>20</v>
          </cell>
          <cell r="T57">
            <v>120</v>
          </cell>
          <cell r="U57">
            <v>12.4</v>
          </cell>
          <cell r="X57">
            <v>0</v>
          </cell>
          <cell r="Y57">
            <v>11.129032258064516</v>
          </cell>
          <cell r="Z57">
            <v>-0.16129032258064516</v>
          </cell>
          <cell r="AA57">
            <v>8.6</v>
          </cell>
          <cell r="AB57">
            <v>8.6</v>
          </cell>
          <cell r="AC57">
            <v>10.8</v>
          </cell>
          <cell r="AD57">
            <v>10.6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B58" t="str">
            <v>кг</v>
          </cell>
          <cell r="C58">
            <v>663.55899999999997</v>
          </cell>
          <cell r="D58">
            <v>311.47300000000001</v>
          </cell>
          <cell r="E58">
            <v>752.87099999999998</v>
          </cell>
          <cell r="F58">
            <v>215.36699999999999</v>
          </cell>
          <cell r="G58" t="str">
            <v>P003235</v>
          </cell>
          <cell r="H58">
            <v>1</v>
          </cell>
          <cell r="I58">
            <v>50</v>
          </cell>
          <cell r="J58" t="str">
            <v>матрица</v>
          </cell>
          <cell r="K58">
            <v>343.99799999999999</v>
          </cell>
          <cell r="L58">
            <v>748.5</v>
          </cell>
          <cell r="M58">
            <v>4.3709999999999809</v>
          </cell>
          <cell r="N58">
            <v>330</v>
          </cell>
          <cell r="P58">
            <v>0</v>
          </cell>
          <cell r="Q58">
            <v>0</v>
          </cell>
          <cell r="R58">
            <v>0</v>
          </cell>
          <cell r="S58">
            <v>300</v>
          </cell>
          <cell r="T58">
            <v>550</v>
          </cell>
          <cell r="U58">
            <v>150.57419999999999</v>
          </cell>
          <cell r="V58">
            <v>330</v>
          </cell>
          <cell r="X58">
            <v>0</v>
          </cell>
          <cell r="Y58">
            <v>9.266972695189482</v>
          </cell>
          <cell r="Z58">
            <v>1.4303047932514334</v>
          </cell>
          <cell r="AA58">
            <v>143.541</v>
          </cell>
          <cell r="AB58">
            <v>143.541</v>
          </cell>
          <cell r="AC58">
            <v>128.56300000000002</v>
          </cell>
          <cell r="AD58">
            <v>145.5796</v>
          </cell>
          <cell r="AE58" t="str">
            <v>промо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1621</v>
          </cell>
          <cell r="E59">
            <v>178</v>
          </cell>
          <cell r="F59">
            <v>1443</v>
          </cell>
          <cell r="G59" t="str">
            <v>P003253</v>
          </cell>
          <cell r="H59">
            <v>0.1</v>
          </cell>
          <cell r="I59">
            <v>730</v>
          </cell>
          <cell r="J59" t="str">
            <v>матрица</v>
          </cell>
          <cell r="K59">
            <v>0</v>
          </cell>
          <cell r="L59">
            <v>180</v>
          </cell>
          <cell r="M59">
            <v>-2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35.6</v>
          </cell>
          <cell r="X59">
            <v>0</v>
          </cell>
          <cell r="Y59">
            <v>40.533707865168537</v>
          </cell>
          <cell r="Z59">
            <v>40.533707865168537</v>
          </cell>
          <cell r="AA59">
            <v>29.6</v>
          </cell>
          <cell r="AB59">
            <v>29.6</v>
          </cell>
          <cell r="AC59">
            <v>34</v>
          </cell>
          <cell r="AD59">
            <v>31.6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815.87900000000002</v>
          </cell>
          <cell r="D60">
            <v>2.6890000000000001</v>
          </cell>
          <cell r="E60">
            <v>852.11699999999996</v>
          </cell>
          <cell r="F60">
            <v>-37.497999999999998</v>
          </cell>
          <cell r="G60" t="str">
            <v>P003357</v>
          </cell>
          <cell r="H60">
            <v>1</v>
          </cell>
          <cell r="I60">
            <v>50</v>
          </cell>
          <cell r="J60" t="str">
            <v>матрица</v>
          </cell>
          <cell r="K60">
            <v>298.59199999999998</v>
          </cell>
          <cell r="L60">
            <v>881.25</v>
          </cell>
          <cell r="M60">
            <v>-29.133000000000038</v>
          </cell>
          <cell r="N60">
            <v>110</v>
          </cell>
          <cell r="P60">
            <v>500</v>
          </cell>
          <cell r="Q60">
            <v>500</v>
          </cell>
          <cell r="R60">
            <v>400</v>
          </cell>
          <cell r="S60">
            <v>350</v>
          </cell>
          <cell r="T60">
            <v>0</v>
          </cell>
          <cell r="U60">
            <v>170.42339999999999</v>
          </cell>
          <cell r="V60">
            <v>110</v>
          </cell>
          <cell r="X60">
            <v>0</v>
          </cell>
          <cell r="Y60">
            <v>10.693965734752387</v>
          </cell>
          <cell r="Z60">
            <v>-0.22002847026875419</v>
          </cell>
          <cell r="AA60">
            <v>134.7492</v>
          </cell>
          <cell r="AB60">
            <v>134.7492</v>
          </cell>
          <cell r="AC60">
            <v>135.11700000000002</v>
          </cell>
          <cell r="AD60">
            <v>132.49619999999999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C61">
            <v>68.965000000000003</v>
          </cell>
          <cell r="E61">
            <v>68.725999999999999</v>
          </cell>
          <cell r="F61">
            <v>0.23899999999999999</v>
          </cell>
          <cell r="G61" t="str">
            <v>P004607</v>
          </cell>
          <cell r="H61">
            <v>1</v>
          </cell>
          <cell r="I61">
            <v>50</v>
          </cell>
          <cell r="J61" t="str">
            <v>матрица</v>
          </cell>
          <cell r="K61">
            <v>120.749</v>
          </cell>
          <cell r="L61">
            <v>84.55</v>
          </cell>
          <cell r="M61">
            <v>-15.823999999999998</v>
          </cell>
          <cell r="P61">
            <v>0</v>
          </cell>
          <cell r="Q61">
            <v>0</v>
          </cell>
          <cell r="R61">
            <v>0</v>
          </cell>
          <cell r="S61">
            <v>80</v>
          </cell>
          <cell r="T61">
            <v>130</v>
          </cell>
          <cell r="U61">
            <v>13.745200000000001</v>
          </cell>
          <cell r="X61">
            <v>0</v>
          </cell>
          <cell r="Y61">
            <v>15.295448592963362</v>
          </cell>
          <cell r="Z61">
            <v>1.7387888135494571E-2</v>
          </cell>
          <cell r="AA61">
            <v>20.233799999999999</v>
          </cell>
          <cell r="AB61">
            <v>20.233799999999999</v>
          </cell>
          <cell r="AC61">
            <v>17.0306</v>
          </cell>
          <cell r="AD61">
            <v>23.980600000000003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1202</v>
          </cell>
          <cell r="E62">
            <v>144</v>
          </cell>
          <cell r="F62">
            <v>1058</v>
          </cell>
          <cell r="G62" t="str">
            <v>P003252</v>
          </cell>
          <cell r="H62">
            <v>0.1</v>
          </cell>
          <cell r="I62">
            <v>730</v>
          </cell>
          <cell r="J62" t="str">
            <v>матрица</v>
          </cell>
          <cell r="K62">
            <v>0</v>
          </cell>
          <cell r="L62">
            <v>146</v>
          </cell>
          <cell r="M62">
            <v>-2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28.8</v>
          </cell>
          <cell r="X62">
            <v>0</v>
          </cell>
          <cell r="Y62">
            <v>36.736111111111107</v>
          </cell>
          <cell r="Z62">
            <v>36.736111111111107</v>
          </cell>
          <cell r="AA62">
            <v>27.2</v>
          </cell>
          <cell r="AB62">
            <v>27.2</v>
          </cell>
          <cell r="AC62">
            <v>29.8</v>
          </cell>
          <cell r="AD62">
            <v>29.8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C63">
            <v>365</v>
          </cell>
          <cell r="E63">
            <v>198</v>
          </cell>
          <cell r="F63">
            <v>167</v>
          </cell>
          <cell r="G63" t="str">
            <v>P003243</v>
          </cell>
          <cell r="H63">
            <v>0.4</v>
          </cell>
          <cell r="I63">
            <v>50</v>
          </cell>
          <cell r="J63" t="str">
            <v>матрица</v>
          </cell>
          <cell r="K63">
            <v>110</v>
          </cell>
          <cell r="L63">
            <v>199</v>
          </cell>
          <cell r="M63">
            <v>-1</v>
          </cell>
          <cell r="N63">
            <v>75</v>
          </cell>
          <cell r="P63">
            <v>0</v>
          </cell>
          <cell r="Q63">
            <v>0</v>
          </cell>
          <cell r="R63">
            <v>0</v>
          </cell>
          <cell r="S63">
            <v>90</v>
          </cell>
          <cell r="T63">
            <v>40</v>
          </cell>
          <cell r="U63">
            <v>39.6</v>
          </cell>
          <cell r="V63">
            <v>75</v>
          </cell>
          <cell r="X63">
            <v>0</v>
          </cell>
          <cell r="Y63">
            <v>9.3939393939393945</v>
          </cell>
          <cell r="Z63">
            <v>4.2171717171717171</v>
          </cell>
          <cell r="AA63">
            <v>54.8</v>
          </cell>
          <cell r="AB63">
            <v>54.8</v>
          </cell>
          <cell r="AC63">
            <v>57</v>
          </cell>
          <cell r="AD63">
            <v>51</v>
          </cell>
          <cell r="AE63" t="str">
            <v>промо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C64">
            <v>72.492000000000004</v>
          </cell>
          <cell r="D64">
            <v>1.2709999999999999</v>
          </cell>
          <cell r="E64">
            <v>31.855</v>
          </cell>
          <cell r="F64">
            <v>39.207000000000001</v>
          </cell>
          <cell r="G64" t="str">
            <v>P003263</v>
          </cell>
          <cell r="H64">
            <v>1</v>
          </cell>
          <cell r="I64">
            <v>40</v>
          </cell>
          <cell r="J64" t="str">
            <v>матрица</v>
          </cell>
          <cell r="K64">
            <v>0</v>
          </cell>
          <cell r="L64">
            <v>35.46</v>
          </cell>
          <cell r="M64">
            <v>-3.6050000000000004</v>
          </cell>
          <cell r="P64">
            <v>0</v>
          </cell>
          <cell r="Q64">
            <v>0</v>
          </cell>
          <cell r="R64">
            <v>0</v>
          </cell>
          <cell r="S64">
            <v>20</v>
          </cell>
          <cell r="T64">
            <v>10</v>
          </cell>
          <cell r="U64">
            <v>6.3710000000000004</v>
          </cell>
          <cell r="X64">
            <v>0</v>
          </cell>
          <cell r="Y64">
            <v>10.862815884476532</v>
          </cell>
          <cell r="Z64">
            <v>6.1539789671951022</v>
          </cell>
          <cell r="AA64">
            <v>10.106199999999999</v>
          </cell>
          <cell r="AB64">
            <v>10.106199999999999</v>
          </cell>
          <cell r="AC64">
            <v>9.9830000000000005</v>
          </cell>
          <cell r="AD64">
            <v>7.6786000000000003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C65">
            <v>38</v>
          </cell>
          <cell r="E65">
            <v>8.2569999999999997</v>
          </cell>
          <cell r="F65">
            <v>28.382999999999999</v>
          </cell>
          <cell r="G65" t="str">
            <v>P003266</v>
          </cell>
          <cell r="H65">
            <v>1</v>
          </cell>
          <cell r="I65">
            <v>40</v>
          </cell>
          <cell r="J65" t="str">
            <v>матрица</v>
          </cell>
          <cell r="K65">
            <v>0</v>
          </cell>
          <cell r="L65">
            <v>37.96</v>
          </cell>
          <cell r="M65">
            <v>-29.703000000000003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1.6514</v>
          </cell>
          <cell r="X65">
            <v>0</v>
          </cell>
          <cell r="Y65">
            <v>17.187235073271165</v>
          </cell>
          <cell r="Z65">
            <v>17.187235073271165</v>
          </cell>
          <cell r="AA65">
            <v>0.80199999999999994</v>
          </cell>
          <cell r="AB65">
            <v>0.80199999999999994</v>
          </cell>
          <cell r="AC65">
            <v>-4.4400000000000002E-2</v>
          </cell>
          <cell r="AD65">
            <v>0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887</v>
          </cell>
          <cell r="D66">
            <v>16</v>
          </cell>
          <cell r="E66">
            <v>868</v>
          </cell>
          <cell r="F66">
            <v>10</v>
          </cell>
          <cell r="G66" t="str">
            <v>P003262</v>
          </cell>
          <cell r="H66">
            <v>0.4</v>
          </cell>
          <cell r="I66">
            <v>40</v>
          </cell>
          <cell r="J66" t="str">
            <v>матрица</v>
          </cell>
          <cell r="K66">
            <v>0</v>
          </cell>
          <cell r="L66">
            <v>914</v>
          </cell>
          <cell r="M66">
            <v>-46</v>
          </cell>
          <cell r="N66">
            <v>215</v>
          </cell>
          <cell r="P66">
            <v>0</v>
          </cell>
          <cell r="Q66">
            <v>0</v>
          </cell>
          <cell r="R66">
            <v>0</v>
          </cell>
          <cell r="S66">
            <v>500</v>
          </cell>
          <cell r="T66">
            <v>1050</v>
          </cell>
          <cell r="U66">
            <v>173.6</v>
          </cell>
          <cell r="V66">
            <v>215</v>
          </cell>
          <cell r="X66">
            <v>0</v>
          </cell>
          <cell r="Y66">
            <v>10.224654377880185</v>
          </cell>
          <cell r="Z66">
            <v>5.7603686635944701E-2</v>
          </cell>
          <cell r="AA66">
            <v>160.80000000000001</v>
          </cell>
          <cell r="AB66">
            <v>160.80000000000001</v>
          </cell>
          <cell r="AC66">
            <v>155.80000000000001</v>
          </cell>
          <cell r="AD66">
            <v>160.4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C67">
            <v>528</v>
          </cell>
          <cell r="D67">
            <v>17</v>
          </cell>
          <cell r="E67">
            <v>494</v>
          </cell>
          <cell r="F67">
            <v>21</v>
          </cell>
          <cell r="G67" t="str">
            <v>P003265</v>
          </cell>
          <cell r="H67">
            <v>0.4</v>
          </cell>
          <cell r="I67">
            <v>0</v>
          </cell>
          <cell r="J67">
            <v>0</v>
          </cell>
          <cell r="K67">
            <v>264</v>
          </cell>
          <cell r="L67">
            <v>706</v>
          </cell>
          <cell r="M67">
            <v>-212</v>
          </cell>
          <cell r="N67">
            <v>25</v>
          </cell>
          <cell r="P67">
            <v>0</v>
          </cell>
          <cell r="Q67">
            <v>0</v>
          </cell>
          <cell r="R67">
            <v>0</v>
          </cell>
          <cell r="S67">
            <v>390</v>
          </cell>
          <cell r="T67">
            <v>750</v>
          </cell>
          <cell r="U67">
            <v>98.8</v>
          </cell>
          <cell r="V67">
            <v>25</v>
          </cell>
          <cell r="X67">
            <v>0</v>
          </cell>
          <cell r="Y67">
            <v>12.004048582995951</v>
          </cell>
          <cell r="Z67">
            <v>0.2125506072874494</v>
          </cell>
          <cell r="AA67">
            <v>102</v>
          </cell>
          <cell r="AB67">
            <v>102</v>
          </cell>
          <cell r="AC67">
            <v>101.8</v>
          </cell>
          <cell r="AD67">
            <v>106.6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337.32499999999999</v>
          </cell>
          <cell r="D68">
            <v>3.6240000000000001</v>
          </cell>
          <cell r="E68">
            <v>288.029</v>
          </cell>
          <cell r="F68">
            <v>42.988</v>
          </cell>
          <cell r="G68" t="str">
            <v>P003387</v>
          </cell>
          <cell r="H68">
            <v>1</v>
          </cell>
          <cell r="I68">
            <v>40</v>
          </cell>
          <cell r="J68" t="str">
            <v>матрица</v>
          </cell>
          <cell r="K68">
            <v>92.995999999999995</v>
          </cell>
          <cell r="L68">
            <v>287.45</v>
          </cell>
          <cell r="M68">
            <v>0.57900000000000773</v>
          </cell>
          <cell r="N68">
            <v>70</v>
          </cell>
          <cell r="P68">
            <v>0</v>
          </cell>
          <cell r="Q68">
            <v>0</v>
          </cell>
          <cell r="R68">
            <v>0</v>
          </cell>
          <cell r="S68">
            <v>160</v>
          </cell>
          <cell r="T68">
            <v>320</v>
          </cell>
          <cell r="U68">
            <v>57.605800000000002</v>
          </cell>
          <cell r="V68">
            <v>70</v>
          </cell>
          <cell r="X68">
            <v>0</v>
          </cell>
          <cell r="Y68">
            <v>10.293894017616282</v>
          </cell>
          <cell r="Z68">
            <v>0.74624430178905587</v>
          </cell>
          <cell r="AA68">
            <v>52.272000000000006</v>
          </cell>
          <cell r="AB68">
            <v>52.272000000000006</v>
          </cell>
          <cell r="AC68">
            <v>54.1158</v>
          </cell>
          <cell r="AD68">
            <v>53.382199999999997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332.56599999999997</v>
          </cell>
          <cell r="D69">
            <v>2.7360000000000002</v>
          </cell>
          <cell r="E69">
            <v>304.40600000000001</v>
          </cell>
          <cell r="F69">
            <v>9.3569999999999993</v>
          </cell>
          <cell r="G69" t="str">
            <v>P003401</v>
          </cell>
          <cell r="H69">
            <v>1</v>
          </cell>
          <cell r="I69">
            <v>40</v>
          </cell>
          <cell r="J69" t="str">
            <v>матрица</v>
          </cell>
          <cell r="K69">
            <v>81.650999999999996</v>
          </cell>
          <cell r="L69">
            <v>353.55</v>
          </cell>
          <cell r="M69">
            <v>-49.144000000000005</v>
          </cell>
          <cell r="N69">
            <v>15</v>
          </cell>
          <cell r="P69">
            <v>0</v>
          </cell>
          <cell r="Q69">
            <v>0</v>
          </cell>
          <cell r="R69">
            <v>0</v>
          </cell>
          <cell r="S69">
            <v>200</v>
          </cell>
          <cell r="T69">
            <v>450</v>
          </cell>
          <cell r="U69">
            <v>60.8812</v>
          </cell>
          <cell r="V69">
            <v>15</v>
          </cell>
          <cell r="X69">
            <v>0</v>
          </cell>
          <cell r="Y69">
            <v>11.076604928943581</v>
          </cell>
          <cell r="Z69">
            <v>0.15369276558280717</v>
          </cell>
          <cell r="AA69">
            <v>47.7986</v>
          </cell>
          <cell r="AB69">
            <v>47.7986</v>
          </cell>
          <cell r="AC69">
            <v>57.039200000000008</v>
          </cell>
          <cell r="AD69">
            <v>55.814999999999998</v>
          </cell>
          <cell r="AE69" t="str">
            <v>?????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913.29100000000005</v>
          </cell>
          <cell r="D70">
            <v>7.173</v>
          </cell>
          <cell r="E70">
            <v>699.39099999999996</v>
          </cell>
          <cell r="F70">
            <v>191.35300000000001</v>
          </cell>
          <cell r="G70" t="str">
            <v>P003383</v>
          </cell>
          <cell r="H70">
            <v>1</v>
          </cell>
          <cell r="I70">
            <v>0</v>
          </cell>
          <cell r="J70">
            <v>0</v>
          </cell>
          <cell r="K70">
            <v>237.77799999999999</v>
          </cell>
          <cell r="L70">
            <v>695.45</v>
          </cell>
          <cell r="M70">
            <v>3.9409999999999172</v>
          </cell>
          <cell r="N70">
            <v>175</v>
          </cell>
          <cell r="P70">
            <v>0</v>
          </cell>
          <cell r="Q70">
            <v>0</v>
          </cell>
          <cell r="R70">
            <v>0</v>
          </cell>
          <cell r="S70">
            <v>580</v>
          </cell>
          <cell r="T70">
            <v>550</v>
          </cell>
          <cell r="U70">
            <v>139.87819999999999</v>
          </cell>
          <cell r="V70">
            <v>175</v>
          </cell>
          <cell r="W70">
            <v>350</v>
          </cell>
          <cell r="X70" t="str">
            <v>промо</v>
          </cell>
          <cell r="Y70">
            <v>10.69754257632712</v>
          </cell>
          <cell r="Z70">
            <v>1.3679973005085855</v>
          </cell>
          <cell r="AA70">
            <v>156.79820000000001</v>
          </cell>
          <cell r="AB70">
            <v>156.79820000000001</v>
          </cell>
          <cell r="AC70">
            <v>160.44999999999999</v>
          </cell>
          <cell r="AD70">
            <v>156.87700000000001</v>
          </cell>
          <cell r="AE70" t="str">
            <v>промо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324.72000000000003</v>
          </cell>
          <cell r="D71">
            <v>3.6539999999999999</v>
          </cell>
          <cell r="E71">
            <v>215.81399999999999</v>
          </cell>
          <cell r="F71">
            <v>93.554000000000002</v>
          </cell>
          <cell r="G71" t="str">
            <v>P003384</v>
          </cell>
          <cell r="H71">
            <v>1</v>
          </cell>
          <cell r="I71">
            <v>40</v>
          </cell>
          <cell r="J71" t="str">
            <v>матрица</v>
          </cell>
          <cell r="K71">
            <v>54.369</v>
          </cell>
          <cell r="L71">
            <v>225.45</v>
          </cell>
          <cell r="M71">
            <v>-9.6359999999999957</v>
          </cell>
          <cell r="N71">
            <v>45</v>
          </cell>
          <cell r="P71">
            <v>0</v>
          </cell>
          <cell r="Q71">
            <v>0</v>
          </cell>
          <cell r="R71">
            <v>0</v>
          </cell>
          <cell r="S71">
            <v>100</v>
          </cell>
          <cell r="T71">
            <v>210</v>
          </cell>
          <cell r="U71">
            <v>43.162799999999997</v>
          </cell>
          <cell r="V71">
            <v>45</v>
          </cell>
          <cell r="X71">
            <v>0</v>
          </cell>
          <cell r="Y71">
            <v>10.39214323445189</v>
          </cell>
          <cell r="Z71">
            <v>2.167468282873215</v>
          </cell>
          <cell r="AA71">
            <v>49.616799999999998</v>
          </cell>
          <cell r="AB71">
            <v>49.616799999999998</v>
          </cell>
          <cell r="AC71">
            <v>48.677199999999999</v>
          </cell>
          <cell r="AD71">
            <v>43.538400000000003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34</v>
          </cell>
          <cell r="E72">
            <v>10</v>
          </cell>
          <cell r="F72">
            <v>24</v>
          </cell>
          <cell r="G72" t="str">
            <v>Р004929</v>
          </cell>
          <cell r="H72">
            <v>0.6</v>
          </cell>
          <cell r="I72">
            <v>0</v>
          </cell>
          <cell r="J72">
            <v>0</v>
          </cell>
          <cell r="K72">
            <v>0</v>
          </cell>
          <cell r="L72">
            <v>11</v>
          </cell>
          <cell r="M72">
            <v>-1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2</v>
          </cell>
          <cell r="X72">
            <v>0</v>
          </cell>
          <cell r="Y72">
            <v>12</v>
          </cell>
          <cell r="Z72">
            <v>12</v>
          </cell>
          <cell r="AA72">
            <v>1.4</v>
          </cell>
          <cell r="AB72">
            <v>1.4</v>
          </cell>
          <cell r="AC72">
            <v>2.2000000000000002</v>
          </cell>
          <cell r="AD72">
            <v>0.6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832.63499999999999</v>
          </cell>
          <cell r="D73">
            <v>2.5659999999999998</v>
          </cell>
          <cell r="E73">
            <v>524.49300000000005</v>
          </cell>
          <cell r="F73">
            <v>295.13900000000001</v>
          </cell>
          <cell r="G73" t="str">
            <v>P003883</v>
          </cell>
          <cell r="H73">
            <v>1</v>
          </cell>
          <cell r="I73">
            <v>30</v>
          </cell>
          <cell r="J73" t="str">
            <v>матрица</v>
          </cell>
          <cell r="K73">
            <v>258.94200000000001</v>
          </cell>
          <cell r="L73">
            <v>541.04999999999995</v>
          </cell>
          <cell r="M73">
            <v>-16.556999999999903</v>
          </cell>
          <cell r="N73">
            <v>200</v>
          </cell>
          <cell r="P73">
            <v>0</v>
          </cell>
          <cell r="Q73">
            <v>0</v>
          </cell>
          <cell r="R73">
            <v>0</v>
          </cell>
          <cell r="S73">
            <v>620</v>
          </cell>
          <cell r="T73">
            <v>300</v>
          </cell>
          <cell r="U73">
            <v>104.89860000000002</v>
          </cell>
          <cell r="V73">
            <v>200</v>
          </cell>
          <cell r="W73">
            <v>400</v>
          </cell>
          <cell r="X73" t="str">
            <v>промо</v>
          </cell>
          <cell r="Y73">
            <v>13.490542295130725</v>
          </cell>
          <cell r="Z73">
            <v>2.8135647186902397</v>
          </cell>
          <cell r="AA73">
            <v>2.9167999999999998</v>
          </cell>
          <cell r="AB73">
            <v>2.9167999999999998</v>
          </cell>
          <cell r="AC73">
            <v>118.0592</v>
          </cell>
          <cell r="AD73">
            <v>110.6538</v>
          </cell>
          <cell r="AE73" t="str">
            <v>промо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216</v>
          </cell>
          <cell r="E74">
            <v>118</v>
          </cell>
          <cell r="F74">
            <v>98</v>
          </cell>
          <cell r="G74" t="str">
            <v>P004689</v>
          </cell>
          <cell r="H74">
            <v>0.6</v>
          </cell>
          <cell r="I74">
            <v>60</v>
          </cell>
          <cell r="J74" t="str">
            <v>матрица</v>
          </cell>
          <cell r="K74">
            <v>24</v>
          </cell>
          <cell r="L74">
            <v>121</v>
          </cell>
          <cell r="M74">
            <v>-3</v>
          </cell>
          <cell r="N74">
            <v>55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60</v>
          </cell>
          <cell r="U74">
            <v>23.6</v>
          </cell>
          <cell r="V74">
            <v>55</v>
          </cell>
          <cell r="X74">
            <v>0</v>
          </cell>
          <cell r="Y74">
            <v>9.0254237288135588</v>
          </cell>
          <cell r="Z74">
            <v>4.1525423728813555</v>
          </cell>
          <cell r="AA74">
            <v>24.8</v>
          </cell>
          <cell r="AB74">
            <v>24.8</v>
          </cell>
          <cell r="AC74">
            <v>27.6</v>
          </cell>
          <cell r="AD74">
            <v>21.8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65</v>
          </cell>
          <cell r="E75">
            <v>24</v>
          </cell>
          <cell r="F75">
            <v>41</v>
          </cell>
          <cell r="G75" t="str">
            <v>P004688</v>
          </cell>
          <cell r="H75">
            <v>0.6</v>
          </cell>
          <cell r="I75">
            <v>60</v>
          </cell>
          <cell r="J75" t="str">
            <v>матрица</v>
          </cell>
          <cell r="K75">
            <v>0</v>
          </cell>
          <cell r="L75">
            <v>25</v>
          </cell>
          <cell r="M75">
            <v>-1</v>
          </cell>
          <cell r="P75">
            <v>0</v>
          </cell>
          <cell r="Q75">
            <v>0</v>
          </cell>
          <cell r="R75">
            <v>0</v>
          </cell>
          <cell r="S75">
            <v>20</v>
          </cell>
          <cell r="T75">
            <v>0</v>
          </cell>
          <cell r="U75">
            <v>4.8</v>
          </cell>
          <cell r="X75">
            <v>0</v>
          </cell>
          <cell r="Y75">
            <v>12.708333333333334</v>
          </cell>
          <cell r="Z75">
            <v>8.5416666666666679</v>
          </cell>
          <cell r="AA75">
            <v>4.5999999999999996</v>
          </cell>
          <cell r="AB75">
            <v>4.5999999999999996</v>
          </cell>
          <cell r="AC75">
            <v>6.8</v>
          </cell>
          <cell r="AD75">
            <v>5.2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174</v>
          </cell>
          <cell r="E76">
            <v>113</v>
          </cell>
          <cell r="F76">
            <v>61</v>
          </cell>
          <cell r="G76" t="str">
            <v>P003437</v>
          </cell>
          <cell r="H76">
            <v>0.4</v>
          </cell>
          <cell r="I76">
            <v>0</v>
          </cell>
          <cell r="J76">
            <v>0</v>
          </cell>
          <cell r="K76">
            <v>0</v>
          </cell>
          <cell r="L76">
            <v>116</v>
          </cell>
          <cell r="M76">
            <v>-3</v>
          </cell>
          <cell r="N76">
            <v>45</v>
          </cell>
          <cell r="P76">
            <v>0</v>
          </cell>
          <cell r="Q76">
            <v>0</v>
          </cell>
          <cell r="R76">
            <v>0</v>
          </cell>
          <cell r="S76">
            <v>20</v>
          </cell>
          <cell r="T76">
            <v>80</v>
          </cell>
          <cell r="U76">
            <v>22.6</v>
          </cell>
          <cell r="V76">
            <v>45</v>
          </cell>
          <cell r="X76">
            <v>0</v>
          </cell>
          <cell r="Y76">
            <v>9.1150442477876101</v>
          </cell>
          <cell r="Z76">
            <v>2.6991150442477876</v>
          </cell>
          <cell r="AA76">
            <v>18.2</v>
          </cell>
          <cell r="AB76">
            <v>18.2</v>
          </cell>
          <cell r="AC76">
            <v>23</v>
          </cell>
          <cell r="AD76">
            <v>17.2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211</v>
          </cell>
          <cell r="D77">
            <v>2</v>
          </cell>
          <cell r="E77">
            <v>126</v>
          </cell>
          <cell r="F77">
            <v>85</v>
          </cell>
          <cell r="G77" t="str">
            <v>P003438</v>
          </cell>
          <cell r="H77">
            <v>0.33</v>
          </cell>
          <cell r="I77">
            <v>0</v>
          </cell>
          <cell r="J77">
            <v>0</v>
          </cell>
          <cell r="K77">
            <v>32</v>
          </cell>
          <cell r="L77">
            <v>135</v>
          </cell>
          <cell r="M77">
            <v>-9</v>
          </cell>
          <cell r="N77">
            <v>10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170</v>
          </cell>
          <cell r="U77">
            <v>25.2</v>
          </cell>
          <cell r="V77">
            <v>10</v>
          </cell>
          <cell r="X77">
            <v>0</v>
          </cell>
          <cell r="Y77">
            <v>10.515873015873016</v>
          </cell>
          <cell r="Z77">
            <v>3.373015873015873</v>
          </cell>
          <cell r="AA77">
            <v>19.399999999999999</v>
          </cell>
          <cell r="AB77">
            <v>19.399999999999999</v>
          </cell>
          <cell r="AC77">
            <v>27.8</v>
          </cell>
          <cell r="AD77">
            <v>21.6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85</v>
          </cell>
          <cell r="E78">
            <v>54</v>
          </cell>
          <cell r="F78">
            <v>28</v>
          </cell>
          <cell r="G78" t="str">
            <v>P003442</v>
          </cell>
          <cell r="H78">
            <v>0.35</v>
          </cell>
          <cell r="I78">
            <v>0</v>
          </cell>
          <cell r="J78">
            <v>0</v>
          </cell>
          <cell r="K78">
            <v>16</v>
          </cell>
          <cell r="L78">
            <v>58</v>
          </cell>
          <cell r="M78">
            <v>-4</v>
          </cell>
          <cell r="N78">
            <v>25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40</v>
          </cell>
          <cell r="U78">
            <v>10.8</v>
          </cell>
          <cell r="V78">
            <v>25</v>
          </cell>
          <cell r="X78">
            <v>0</v>
          </cell>
          <cell r="Y78">
            <v>8.6111111111111107</v>
          </cell>
          <cell r="Z78">
            <v>2.5925925925925926</v>
          </cell>
          <cell r="AA78">
            <v>7.2</v>
          </cell>
          <cell r="AB78">
            <v>7.2</v>
          </cell>
          <cell r="AC78">
            <v>11.6</v>
          </cell>
          <cell r="AD78">
            <v>9</v>
          </cell>
        </row>
        <row r="79">
          <cell r="A79" t="str">
            <v xml:space="preserve"> 395  Колбаса Докторская ГОСТ ТМ Вязанка в оболочке полиамид 0,37 кг. ПОКОМ</v>
          </cell>
          <cell r="B79" t="str">
            <v>шт</v>
          </cell>
          <cell r="C79">
            <v>639</v>
          </cell>
          <cell r="D79">
            <v>5</v>
          </cell>
          <cell r="E79">
            <v>577</v>
          </cell>
          <cell r="F79">
            <v>62</v>
          </cell>
          <cell r="G79" t="str">
            <v>P003429</v>
          </cell>
          <cell r="H79">
            <v>0.37</v>
          </cell>
          <cell r="I79">
            <v>50</v>
          </cell>
          <cell r="J79" t="str">
            <v>матрица</v>
          </cell>
          <cell r="K79">
            <v>300</v>
          </cell>
          <cell r="L79">
            <v>589</v>
          </cell>
          <cell r="M79">
            <v>-12</v>
          </cell>
          <cell r="N79">
            <v>180</v>
          </cell>
          <cell r="P79">
            <v>0</v>
          </cell>
          <cell r="Q79">
            <v>0</v>
          </cell>
          <cell r="R79">
            <v>0</v>
          </cell>
          <cell r="S79">
            <v>250</v>
          </cell>
          <cell r="T79">
            <v>600</v>
          </cell>
          <cell r="U79">
            <v>115.4</v>
          </cell>
          <cell r="V79">
            <v>180</v>
          </cell>
          <cell r="X79">
            <v>0</v>
          </cell>
          <cell r="Y79">
            <v>9.4627383015597921</v>
          </cell>
          <cell r="Z79">
            <v>0.53726169844020799</v>
          </cell>
          <cell r="AA79">
            <v>118</v>
          </cell>
          <cell r="AB79">
            <v>118</v>
          </cell>
          <cell r="AC79">
            <v>105</v>
          </cell>
          <cell r="AD79">
            <v>108</v>
          </cell>
          <cell r="AE79" t="str">
            <v>промо</v>
          </cell>
        </row>
        <row r="80">
          <cell r="A80" t="str">
            <v xml:space="preserve"> 397  Ветчина Дугушка ТМ Стародворье ТС Дугушка в полиамидной оболочке 0,6 кг. ПОКОМ</v>
          </cell>
          <cell r="B80" t="str">
            <v>шт</v>
          </cell>
          <cell r="C80">
            <v>126</v>
          </cell>
          <cell r="E80">
            <v>127</v>
          </cell>
          <cell r="F80">
            <v>-1</v>
          </cell>
          <cell r="G80" t="str">
            <v>P004923</v>
          </cell>
          <cell r="H80">
            <v>0.6</v>
          </cell>
          <cell r="I80">
            <v>55</v>
          </cell>
          <cell r="J80" t="str">
            <v>матрица</v>
          </cell>
          <cell r="K80">
            <v>64</v>
          </cell>
          <cell r="L80">
            <v>145</v>
          </cell>
          <cell r="M80">
            <v>-18</v>
          </cell>
          <cell r="N80">
            <v>60</v>
          </cell>
          <cell r="P80">
            <v>0</v>
          </cell>
          <cell r="Q80">
            <v>0</v>
          </cell>
          <cell r="R80">
            <v>0</v>
          </cell>
          <cell r="S80">
            <v>80</v>
          </cell>
          <cell r="T80">
            <v>90</v>
          </cell>
          <cell r="U80">
            <v>25.4</v>
          </cell>
          <cell r="V80">
            <v>60</v>
          </cell>
          <cell r="X80">
            <v>0</v>
          </cell>
          <cell r="Y80">
            <v>9.015748031496063</v>
          </cell>
          <cell r="Z80">
            <v>-3.937007874015748E-2</v>
          </cell>
          <cell r="AA80">
            <v>24.6</v>
          </cell>
          <cell r="AB80">
            <v>24.6</v>
          </cell>
          <cell r="AC80">
            <v>21.8</v>
          </cell>
          <cell r="AD80">
            <v>23.2</v>
          </cell>
          <cell r="AE80" t="str">
            <v xml:space="preserve">промо 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67</v>
          </cell>
          <cell r="E81">
            <v>52</v>
          </cell>
          <cell r="F81">
            <v>12</v>
          </cell>
          <cell r="G81" t="str">
            <v>P002644</v>
          </cell>
          <cell r="H81">
            <v>0.33</v>
          </cell>
          <cell r="I81">
            <v>0</v>
          </cell>
          <cell r="J81">
            <v>0</v>
          </cell>
          <cell r="K81">
            <v>0</v>
          </cell>
          <cell r="L81">
            <v>55</v>
          </cell>
          <cell r="M81">
            <v>-3</v>
          </cell>
          <cell r="N81">
            <v>10</v>
          </cell>
          <cell r="P81">
            <v>0</v>
          </cell>
          <cell r="Q81">
            <v>0</v>
          </cell>
          <cell r="R81">
            <v>0</v>
          </cell>
          <cell r="S81">
            <v>20</v>
          </cell>
          <cell r="T81">
            <v>60</v>
          </cell>
          <cell r="U81">
            <v>10.4</v>
          </cell>
          <cell r="V81">
            <v>10</v>
          </cell>
          <cell r="X81">
            <v>0</v>
          </cell>
          <cell r="Y81">
            <v>9.8076923076923066</v>
          </cell>
          <cell r="Z81">
            <v>1.1538461538461537</v>
          </cell>
          <cell r="AA81">
            <v>11.8</v>
          </cell>
          <cell r="AB81">
            <v>11.8</v>
          </cell>
          <cell r="AC81">
            <v>10</v>
          </cell>
          <cell r="AD81">
            <v>8</v>
          </cell>
          <cell r="AE81" t="str">
            <v>потребность филиала</v>
          </cell>
        </row>
        <row r="82">
          <cell r="A82" t="str">
            <v xml:space="preserve"> 408  Ветчина Сливушка с индейкой ТМ Вязанка, 0,4кг  ПОКОМ</v>
          </cell>
          <cell r="B82" t="str">
            <v>шт</v>
          </cell>
          <cell r="C82">
            <v>345</v>
          </cell>
          <cell r="D82">
            <v>5</v>
          </cell>
          <cell r="E82">
            <v>210</v>
          </cell>
          <cell r="F82">
            <v>132</v>
          </cell>
          <cell r="G82" t="str">
            <v>P004586</v>
          </cell>
          <cell r="H82">
            <v>0.4</v>
          </cell>
          <cell r="I82">
            <v>50</v>
          </cell>
          <cell r="J82" t="str">
            <v>матрица</v>
          </cell>
          <cell r="K82">
            <v>120</v>
          </cell>
          <cell r="L82">
            <v>224</v>
          </cell>
          <cell r="M82">
            <v>-14</v>
          </cell>
          <cell r="N82">
            <v>60</v>
          </cell>
          <cell r="P82">
            <v>0</v>
          </cell>
          <cell r="Q82">
            <v>0</v>
          </cell>
          <cell r="R82">
            <v>0</v>
          </cell>
          <cell r="S82">
            <v>100</v>
          </cell>
          <cell r="T82">
            <v>130</v>
          </cell>
          <cell r="U82">
            <v>42</v>
          </cell>
          <cell r="V82">
            <v>60</v>
          </cell>
          <cell r="X82">
            <v>0</v>
          </cell>
          <cell r="Y82">
            <v>10.047619047619047</v>
          </cell>
          <cell r="Z82">
            <v>3.1428571428571428</v>
          </cell>
          <cell r="AA82">
            <v>57.8</v>
          </cell>
          <cell r="AB82">
            <v>57.8</v>
          </cell>
          <cell r="AC82">
            <v>51.4</v>
          </cell>
          <cell r="AD82">
            <v>50.4</v>
          </cell>
          <cell r="AE82" t="str">
            <v>промо</v>
          </cell>
        </row>
        <row r="83">
          <cell r="A83" t="str">
            <v xml:space="preserve"> 410  Сосиски Баварские с сыром ТМ Стародворье 0,35 кг. ПОКОМ</v>
          </cell>
          <cell r="B83" t="str">
            <v>шт</v>
          </cell>
          <cell r="C83">
            <v>194</v>
          </cell>
          <cell r="D83">
            <v>1</v>
          </cell>
          <cell r="E83">
            <v>121</v>
          </cell>
          <cell r="F83">
            <v>62</v>
          </cell>
          <cell r="G83" t="str">
            <v>P003364</v>
          </cell>
          <cell r="H83">
            <v>0.35</v>
          </cell>
          <cell r="I83">
            <v>0</v>
          </cell>
          <cell r="J83">
            <v>0</v>
          </cell>
          <cell r="K83">
            <v>60</v>
          </cell>
          <cell r="L83">
            <v>145</v>
          </cell>
          <cell r="M83">
            <v>-24</v>
          </cell>
          <cell r="N83">
            <v>40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130</v>
          </cell>
          <cell r="U83">
            <v>24.2</v>
          </cell>
          <cell r="V83">
            <v>40</v>
          </cell>
          <cell r="X83">
            <v>0</v>
          </cell>
          <cell r="Y83">
            <v>9.5867768595041323</v>
          </cell>
          <cell r="Z83">
            <v>2.5619834710743801</v>
          </cell>
          <cell r="AA83">
            <v>25</v>
          </cell>
          <cell r="AB83">
            <v>25</v>
          </cell>
          <cell r="AC83">
            <v>27.4</v>
          </cell>
          <cell r="AD83">
            <v>23.8</v>
          </cell>
        </row>
        <row r="84">
          <cell r="A84" t="str">
            <v xml:space="preserve"> 412  Сосиски Баварские ТМ Стародворье 0,35 кг ПОКОМ</v>
          </cell>
          <cell r="B84" t="str">
            <v>шт</v>
          </cell>
          <cell r="C84">
            <v>355</v>
          </cell>
          <cell r="E84">
            <v>347</v>
          </cell>
          <cell r="G84" t="str">
            <v>P003363</v>
          </cell>
          <cell r="H84">
            <v>0.35</v>
          </cell>
          <cell r="I84">
            <v>0</v>
          </cell>
          <cell r="J84">
            <v>0</v>
          </cell>
          <cell r="K84">
            <v>144</v>
          </cell>
          <cell r="L84">
            <v>363</v>
          </cell>
          <cell r="M84">
            <v>-16</v>
          </cell>
          <cell r="N84">
            <v>75</v>
          </cell>
          <cell r="P84">
            <v>0</v>
          </cell>
          <cell r="Q84">
            <v>0</v>
          </cell>
          <cell r="R84">
            <v>0</v>
          </cell>
          <cell r="S84">
            <v>40</v>
          </cell>
          <cell r="T84">
            <v>620</v>
          </cell>
          <cell r="U84">
            <v>69.400000000000006</v>
          </cell>
          <cell r="V84">
            <v>75</v>
          </cell>
          <cell r="W84">
            <v>150</v>
          </cell>
          <cell r="X84" t="str">
            <v>промо</v>
          </cell>
          <cell r="Y84">
            <v>10.590778097982708</v>
          </cell>
          <cell r="Z84">
            <v>0</v>
          </cell>
          <cell r="AA84">
            <v>39.200000000000003</v>
          </cell>
          <cell r="AB84">
            <v>39.200000000000003</v>
          </cell>
          <cell r="AC84">
            <v>45.8</v>
          </cell>
          <cell r="AD84">
            <v>48.8</v>
          </cell>
          <cell r="AE84" t="str">
            <v>промо50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B85" t="str">
            <v>шт</v>
          </cell>
          <cell r="C85">
            <v>176</v>
          </cell>
          <cell r="E85">
            <v>114</v>
          </cell>
          <cell r="F85">
            <v>62</v>
          </cell>
          <cell r="G85" t="str">
            <v>P003947</v>
          </cell>
          <cell r="H85">
            <v>0.4</v>
          </cell>
          <cell r="I85">
            <v>0</v>
          </cell>
          <cell r="J85">
            <v>0</v>
          </cell>
          <cell r="K85">
            <v>0</v>
          </cell>
          <cell r="L85">
            <v>118</v>
          </cell>
          <cell r="M85">
            <v>-4</v>
          </cell>
          <cell r="N85">
            <v>20</v>
          </cell>
          <cell r="P85">
            <v>0</v>
          </cell>
          <cell r="Q85">
            <v>0</v>
          </cell>
          <cell r="R85">
            <v>0</v>
          </cell>
          <cell r="S85">
            <v>40</v>
          </cell>
          <cell r="T85">
            <v>130</v>
          </cell>
          <cell r="U85">
            <v>22.8</v>
          </cell>
          <cell r="V85">
            <v>20</v>
          </cell>
          <cell r="W85">
            <v>40</v>
          </cell>
          <cell r="X85" t="str">
            <v>промо</v>
          </cell>
          <cell r="Y85">
            <v>11.052631578947368</v>
          </cell>
          <cell r="Z85">
            <v>2.7192982456140351</v>
          </cell>
          <cell r="AA85">
            <v>6</v>
          </cell>
          <cell r="AB85">
            <v>6</v>
          </cell>
          <cell r="AC85">
            <v>21.2</v>
          </cell>
          <cell r="AD85">
            <v>14.4</v>
          </cell>
        </row>
        <row r="86">
          <cell r="A86" t="str">
            <v xml:space="preserve"> 433 Колбаса Стародворская со шпиком  в оболочке полиамид. ТМ Стародворье ВЕС ПОКОМ</v>
          </cell>
          <cell r="B86" t="str">
            <v>кг</v>
          </cell>
          <cell r="C86">
            <v>158.45400000000001</v>
          </cell>
          <cell r="E86">
            <v>8.3840000000000003</v>
          </cell>
          <cell r="F86">
            <v>150.07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30</v>
          </cell>
          <cell r="L86">
            <v>7.8</v>
          </cell>
          <cell r="M86">
            <v>0.58400000000000052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1.6768000000000001</v>
          </cell>
          <cell r="X86">
            <v>0</v>
          </cell>
          <cell r="Y86">
            <v>89.497853053435108</v>
          </cell>
          <cell r="Z86">
            <v>89.497853053435108</v>
          </cell>
          <cell r="AA86">
            <v>0</v>
          </cell>
          <cell r="AB86">
            <v>0</v>
          </cell>
          <cell r="AC86">
            <v>2.4318</v>
          </cell>
          <cell r="AD86">
            <v>0.54480000000000006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B87" t="str">
            <v>шт</v>
          </cell>
          <cell r="C87">
            <v>22</v>
          </cell>
          <cell r="E87">
            <v>20</v>
          </cell>
          <cell r="F87">
            <v>2</v>
          </cell>
          <cell r="G87" t="str">
            <v>P004067</v>
          </cell>
          <cell r="H87">
            <v>0.4</v>
          </cell>
          <cell r="I87">
            <v>55</v>
          </cell>
          <cell r="J87" t="str">
            <v>матрица</v>
          </cell>
          <cell r="K87">
            <v>0</v>
          </cell>
          <cell r="L87">
            <v>25</v>
          </cell>
          <cell r="M87">
            <v>-5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40</v>
          </cell>
          <cell r="U87">
            <v>4</v>
          </cell>
          <cell r="X87">
            <v>0</v>
          </cell>
          <cell r="Y87">
            <v>10.5</v>
          </cell>
          <cell r="Z87">
            <v>0.5</v>
          </cell>
          <cell r="AA87">
            <v>4</v>
          </cell>
          <cell r="AB87">
            <v>4</v>
          </cell>
          <cell r="AC87">
            <v>3.2</v>
          </cell>
          <cell r="AD87">
            <v>5.2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B88" t="str">
            <v>кг</v>
          </cell>
          <cell r="C88">
            <v>364.63</v>
          </cell>
          <cell r="E88">
            <v>220.2</v>
          </cell>
          <cell r="F88">
            <v>144.43</v>
          </cell>
          <cell r="G88" t="str">
            <v>P004070</v>
          </cell>
          <cell r="H88">
            <v>1</v>
          </cell>
          <cell r="I88">
            <v>55</v>
          </cell>
          <cell r="J88" t="str">
            <v>матрица</v>
          </cell>
          <cell r="K88">
            <v>196.393</v>
          </cell>
          <cell r="L88">
            <v>207.9</v>
          </cell>
          <cell r="M88">
            <v>12.299999999999983</v>
          </cell>
          <cell r="P88">
            <v>0</v>
          </cell>
          <cell r="Q88">
            <v>0</v>
          </cell>
          <cell r="R88">
            <v>0</v>
          </cell>
          <cell r="S88">
            <v>30</v>
          </cell>
          <cell r="T88">
            <v>320</v>
          </cell>
          <cell r="U88">
            <v>44.04</v>
          </cell>
          <cell r="X88">
            <v>0</v>
          </cell>
          <cell r="Y88">
            <v>11.226839237057222</v>
          </cell>
          <cell r="Z88">
            <v>3.2795186194368759</v>
          </cell>
          <cell r="AA88">
            <v>70.816200000000009</v>
          </cell>
          <cell r="AB88">
            <v>70.816200000000009</v>
          </cell>
          <cell r="AC88">
            <v>55.588000000000001</v>
          </cell>
          <cell r="AD88">
            <v>53.181399999999996</v>
          </cell>
          <cell r="AE88" t="str">
            <v>промо</v>
          </cell>
        </row>
        <row r="89">
          <cell r="A89" t="str">
            <v xml:space="preserve"> 449  Колбаса Дугушка Стародворская ВЕС ТС Дугушка ПОКОМ</v>
          </cell>
          <cell r="B89" t="str">
            <v>кг</v>
          </cell>
          <cell r="C89">
            <v>800.15899999999999</v>
          </cell>
          <cell r="D89">
            <v>817.45299999999997</v>
          </cell>
          <cell r="E89">
            <v>950.97699999999998</v>
          </cell>
          <cell r="F89">
            <v>663.14700000000005</v>
          </cell>
          <cell r="G89" t="str">
            <v>P002989</v>
          </cell>
          <cell r="H89">
            <v>1</v>
          </cell>
          <cell r="I89">
            <v>60</v>
          </cell>
          <cell r="J89" t="str">
            <v>матрица</v>
          </cell>
          <cell r="K89">
            <v>201.5</v>
          </cell>
          <cell r="L89">
            <v>962.10500000000002</v>
          </cell>
          <cell r="M89">
            <v>-11.128000000000043</v>
          </cell>
          <cell r="N89">
            <v>325</v>
          </cell>
          <cell r="P89">
            <v>300</v>
          </cell>
          <cell r="Q89">
            <v>300</v>
          </cell>
          <cell r="R89">
            <v>300</v>
          </cell>
          <cell r="S89">
            <v>0</v>
          </cell>
          <cell r="T89">
            <v>200</v>
          </cell>
          <cell r="U89">
            <v>190.19540000000001</v>
          </cell>
          <cell r="V89">
            <v>325</v>
          </cell>
          <cell r="X89">
            <v>0</v>
          </cell>
          <cell r="Y89">
            <v>10.978956378545432</v>
          </cell>
          <cell r="Z89">
            <v>3.4866616122156477</v>
          </cell>
          <cell r="AA89">
            <v>191.50039999999998</v>
          </cell>
          <cell r="AB89">
            <v>191.50039999999998</v>
          </cell>
          <cell r="AC89">
            <v>183.27199999999999</v>
          </cell>
          <cell r="AD89">
            <v>178.114</v>
          </cell>
          <cell r="AE89" t="str">
            <v>промо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B90" t="str">
            <v>кг</v>
          </cell>
          <cell r="C90">
            <v>1708.413</v>
          </cell>
          <cell r="D90">
            <v>1109.75</v>
          </cell>
          <cell r="E90">
            <v>2082.9299999999998</v>
          </cell>
          <cell r="F90">
            <v>731.04499999999996</v>
          </cell>
          <cell r="G90" t="str">
            <v>P004257</v>
          </cell>
          <cell r="H90">
            <v>1</v>
          </cell>
          <cell r="I90">
            <v>60</v>
          </cell>
          <cell r="J90" t="str">
            <v>матрица</v>
          </cell>
          <cell r="K90">
            <v>404.29300000000001</v>
          </cell>
          <cell r="L90">
            <v>2074</v>
          </cell>
          <cell r="M90">
            <v>8.9299999999998363</v>
          </cell>
          <cell r="N90">
            <v>1300</v>
          </cell>
          <cell r="P90">
            <v>900</v>
          </cell>
          <cell r="Q90">
            <v>900</v>
          </cell>
          <cell r="R90">
            <v>900</v>
          </cell>
          <cell r="S90">
            <v>0</v>
          </cell>
          <cell r="T90">
            <v>200</v>
          </cell>
          <cell r="U90">
            <v>416.58599999999996</v>
          </cell>
          <cell r="V90">
            <v>1300</v>
          </cell>
          <cell r="W90">
            <v>1300</v>
          </cell>
          <cell r="X90" t="str">
            <v>промо</v>
          </cell>
          <cell r="Y90">
            <v>11.836799604403414</v>
          </cell>
          <cell r="Z90">
            <v>1.7548477385221779</v>
          </cell>
          <cell r="AA90">
            <v>309.94780000000003</v>
          </cell>
          <cell r="AB90">
            <v>309.94780000000003</v>
          </cell>
          <cell r="AC90">
            <v>324.1216</v>
          </cell>
          <cell r="AD90">
            <v>357.05779999999999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B91" t="str">
            <v>кг</v>
          </cell>
          <cell r="C91">
            <v>1995.1410000000001</v>
          </cell>
          <cell r="D91">
            <v>1248.9570000000001</v>
          </cell>
          <cell r="E91">
            <v>2485.3780000000002</v>
          </cell>
          <cell r="F91">
            <v>720.58399999999995</v>
          </cell>
          <cell r="G91" t="str">
            <v>P004252</v>
          </cell>
          <cell r="H91">
            <v>1</v>
          </cell>
          <cell r="I91">
            <v>60</v>
          </cell>
          <cell r="J91" t="str">
            <v>матрица</v>
          </cell>
          <cell r="K91">
            <v>402.80700000000002</v>
          </cell>
          <cell r="L91">
            <v>2537.6</v>
          </cell>
          <cell r="M91">
            <v>-52.221999999999753</v>
          </cell>
          <cell r="N91">
            <v>1550</v>
          </cell>
          <cell r="P91">
            <v>900</v>
          </cell>
          <cell r="Q91">
            <v>1500</v>
          </cell>
          <cell r="R91">
            <v>1400</v>
          </cell>
          <cell r="S91">
            <v>0</v>
          </cell>
          <cell r="T91">
            <v>0</v>
          </cell>
          <cell r="U91">
            <v>497.07560000000001</v>
          </cell>
          <cell r="V91">
            <v>1550</v>
          </cell>
          <cell r="W91">
            <v>1300</v>
          </cell>
          <cell r="X91" t="str">
            <v>промо</v>
          </cell>
          <cell r="Y91">
            <v>12.212597037553241</v>
          </cell>
          <cell r="Z91">
            <v>1.449646693581419</v>
          </cell>
          <cell r="AA91">
            <v>308.89019999999999</v>
          </cell>
          <cell r="AB91">
            <v>308.89019999999999</v>
          </cell>
          <cell r="AC91">
            <v>381.64859999999999</v>
          </cell>
          <cell r="AD91">
            <v>432.53879999999998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B92" t="str">
            <v>кг</v>
          </cell>
          <cell r="C92">
            <v>3040.973</v>
          </cell>
          <cell r="D92">
            <v>1046.423</v>
          </cell>
          <cell r="E92">
            <v>2985.8820000000001</v>
          </cell>
          <cell r="F92">
            <v>1063.7719999999999</v>
          </cell>
          <cell r="G92" t="str">
            <v>P004256</v>
          </cell>
          <cell r="H92">
            <v>1</v>
          </cell>
          <cell r="I92">
            <v>60</v>
          </cell>
          <cell r="J92" t="str">
            <v>матрица</v>
          </cell>
          <cell r="K92">
            <v>604.15499999999997</v>
          </cell>
          <cell r="L92">
            <v>3100.7</v>
          </cell>
          <cell r="M92">
            <v>-114.81799999999976</v>
          </cell>
          <cell r="N92">
            <v>2150</v>
          </cell>
          <cell r="P92">
            <v>0</v>
          </cell>
          <cell r="Q92">
            <v>1500</v>
          </cell>
          <cell r="R92">
            <v>2100</v>
          </cell>
          <cell r="S92">
            <v>50</v>
          </cell>
          <cell r="T92">
            <v>250</v>
          </cell>
          <cell r="U92">
            <v>597.17640000000006</v>
          </cell>
          <cell r="V92">
            <v>2050</v>
          </cell>
          <cell r="X92">
            <v>0</v>
          </cell>
          <cell r="Y92">
            <v>11.744891459207027</v>
          </cell>
          <cell r="Z92">
            <v>1.7813363019704058</v>
          </cell>
          <cell r="AA92">
            <v>542.36059999999998</v>
          </cell>
          <cell r="AB92">
            <v>542.36059999999998</v>
          </cell>
          <cell r="AC92">
            <v>488.06000000000006</v>
          </cell>
          <cell r="AD92">
            <v>524.64340000000004</v>
          </cell>
        </row>
        <row r="93">
          <cell r="A93" t="str">
            <v xml:space="preserve"> 460  Колбаса Стародворская Традиционная ВЕС ТМ Стародворье в оболочке полиамид. ПОКОМ</v>
          </cell>
          <cell r="B93" t="str">
            <v>кг</v>
          </cell>
          <cell r="C93">
            <v>46.594000000000001</v>
          </cell>
          <cell r="E93">
            <v>47.058</v>
          </cell>
          <cell r="F93">
            <v>-0.46400000000000002</v>
          </cell>
          <cell r="G93" t="str">
            <v>P004210</v>
          </cell>
          <cell r="H93">
            <v>1</v>
          </cell>
          <cell r="I93">
            <v>0</v>
          </cell>
          <cell r="J93">
            <v>0</v>
          </cell>
          <cell r="K93">
            <v>21.951000000000001</v>
          </cell>
          <cell r="L93">
            <v>76.2</v>
          </cell>
          <cell r="M93">
            <v>-29.142000000000003</v>
          </cell>
          <cell r="N93">
            <v>20</v>
          </cell>
          <cell r="P93">
            <v>0</v>
          </cell>
          <cell r="Q93">
            <v>0</v>
          </cell>
          <cell r="R93">
            <v>0</v>
          </cell>
          <cell r="S93">
            <v>30</v>
          </cell>
          <cell r="T93">
            <v>80</v>
          </cell>
          <cell r="U93">
            <v>9.4116</v>
          </cell>
          <cell r="V93">
            <v>20</v>
          </cell>
          <cell r="W93">
            <v>40</v>
          </cell>
          <cell r="X93" t="str">
            <v>промо</v>
          </cell>
          <cell r="Y93">
            <v>13.763440860215054</v>
          </cell>
          <cell r="Z93">
            <v>-4.9300862765098395E-2</v>
          </cell>
          <cell r="AA93">
            <v>0.80359999999999998</v>
          </cell>
          <cell r="AB93">
            <v>0.80359999999999998</v>
          </cell>
          <cell r="AC93">
            <v>7.2638000000000007</v>
          </cell>
          <cell r="AD93">
            <v>8.0733999999999995</v>
          </cell>
        </row>
        <row r="94">
          <cell r="A94" t="str">
            <v xml:space="preserve"> 469  Колбаса Филедворская по-стародворски ТМ Стародворье в оболочке полиамид.ВЕС  ПОКОМ </v>
          </cell>
          <cell r="B94" t="str">
            <v>кг</v>
          </cell>
          <cell r="C94">
            <v>59.106000000000002</v>
          </cell>
          <cell r="E94">
            <v>32.225999999999999</v>
          </cell>
          <cell r="F94">
            <v>24.228000000000002</v>
          </cell>
          <cell r="G94" t="str">
            <v>P004206</v>
          </cell>
          <cell r="H94">
            <v>1</v>
          </cell>
          <cell r="I94">
            <v>0</v>
          </cell>
          <cell r="J94">
            <v>0</v>
          </cell>
          <cell r="K94">
            <v>0</v>
          </cell>
          <cell r="L94">
            <v>33.299999999999997</v>
          </cell>
          <cell r="M94">
            <v>-1.0739999999999981</v>
          </cell>
          <cell r="N94">
            <v>10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30</v>
          </cell>
          <cell r="U94">
            <v>6.4451999999999998</v>
          </cell>
          <cell r="V94">
            <v>10</v>
          </cell>
          <cell r="X94">
            <v>0</v>
          </cell>
          <cell r="Y94">
            <v>9.9652454539812592</v>
          </cell>
          <cell r="Z94">
            <v>3.759076522062931</v>
          </cell>
          <cell r="AA94">
            <v>5.0119999999999996</v>
          </cell>
          <cell r="AB94">
            <v>5.0119999999999996</v>
          </cell>
          <cell r="AC94">
            <v>6.1978</v>
          </cell>
          <cell r="AD94">
            <v>3.7485999999999997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B95" t="str">
            <v>шт</v>
          </cell>
          <cell r="C95">
            <v>166</v>
          </cell>
          <cell r="D95">
            <v>2</v>
          </cell>
          <cell r="E95">
            <v>154</v>
          </cell>
          <cell r="F95">
            <v>-1</v>
          </cell>
          <cell r="G95" t="str">
            <v>P003390</v>
          </cell>
          <cell r="H95">
            <v>0.3</v>
          </cell>
          <cell r="I95">
            <v>40</v>
          </cell>
          <cell r="J95" t="str">
            <v>матрица</v>
          </cell>
          <cell r="K95">
            <v>84</v>
          </cell>
          <cell r="L95">
            <v>246</v>
          </cell>
          <cell r="M95">
            <v>-92</v>
          </cell>
          <cell r="P95">
            <v>0</v>
          </cell>
          <cell r="Q95">
            <v>0</v>
          </cell>
          <cell r="R95">
            <v>0</v>
          </cell>
          <cell r="S95">
            <v>130</v>
          </cell>
          <cell r="T95">
            <v>320</v>
          </cell>
          <cell r="U95">
            <v>30.8</v>
          </cell>
          <cell r="X95">
            <v>0</v>
          </cell>
          <cell r="Y95">
            <v>14.577922077922077</v>
          </cell>
          <cell r="Z95">
            <v>-3.2467532467532464E-2</v>
          </cell>
          <cell r="AA95">
            <v>36.6</v>
          </cell>
          <cell r="AB95">
            <v>36.6</v>
          </cell>
          <cell r="AC95">
            <v>33</v>
          </cell>
          <cell r="AD95">
            <v>34.200000000000003</v>
          </cell>
        </row>
        <row r="96">
          <cell r="A96" t="str">
            <v xml:space="preserve"> 517  Сосиски С сыром ТМ Ядрена копоть 0,3кг  ПОКОМ</v>
          </cell>
          <cell r="B96" t="str">
            <v>шт</v>
          </cell>
          <cell r="C96">
            <v>223</v>
          </cell>
          <cell r="E96">
            <v>183</v>
          </cell>
          <cell r="F96">
            <v>36</v>
          </cell>
          <cell r="G96" t="str">
            <v>P004642</v>
          </cell>
          <cell r="H96">
            <v>0.3</v>
          </cell>
          <cell r="I96">
            <v>0</v>
          </cell>
          <cell r="J96">
            <v>0</v>
          </cell>
          <cell r="K96">
            <v>0</v>
          </cell>
          <cell r="L96">
            <v>187</v>
          </cell>
          <cell r="M96">
            <v>-4</v>
          </cell>
          <cell r="N96">
            <v>50</v>
          </cell>
          <cell r="P96">
            <v>0</v>
          </cell>
          <cell r="Q96">
            <v>0</v>
          </cell>
          <cell r="R96">
            <v>0</v>
          </cell>
          <cell r="S96">
            <v>50</v>
          </cell>
          <cell r="T96">
            <v>250</v>
          </cell>
          <cell r="U96">
            <v>36.6</v>
          </cell>
          <cell r="V96">
            <v>50</v>
          </cell>
          <cell r="W96">
            <v>100</v>
          </cell>
          <cell r="X96" t="str">
            <v>промо</v>
          </cell>
          <cell r="Y96">
            <v>10.546448087431694</v>
          </cell>
          <cell r="Z96">
            <v>0.98360655737704916</v>
          </cell>
          <cell r="AA96">
            <v>17.600000000000001</v>
          </cell>
          <cell r="AB96">
            <v>17.600000000000001</v>
          </cell>
          <cell r="AC96">
            <v>27.8</v>
          </cell>
          <cell r="AD96">
            <v>18.399999999999999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B97" t="str">
            <v>шт</v>
          </cell>
          <cell r="C97">
            <v>47</v>
          </cell>
          <cell r="E97">
            <v>49</v>
          </cell>
          <cell r="F97">
            <v>-3</v>
          </cell>
          <cell r="G97" t="str">
            <v>P004981</v>
          </cell>
          <cell r="H97">
            <v>7.0000000000000007E-2</v>
          </cell>
          <cell r="I97">
            <v>0</v>
          </cell>
          <cell r="J97">
            <v>0</v>
          </cell>
          <cell r="K97">
            <v>0</v>
          </cell>
          <cell r="L97">
            <v>53</v>
          </cell>
          <cell r="M97">
            <v>-4</v>
          </cell>
          <cell r="N97">
            <v>40</v>
          </cell>
          <cell r="P97">
            <v>0</v>
          </cell>
          <cell r="Q97">
            <v>0</v>
          </cell>
          <cell r="R97">
            <v>0</v>
          </cell>
          <cell r="S97">
            <v>50</v>
          </cell>
          <cell r="T97">
            <v>100</v>
          </cell>
          <cell r="U97">
            <v>9.8000000000000007</v>
          </cell>
          <cell r="V97">
            <v>40</v>
          </cell>
          <cell r="W97">
            <v>80</v>
          </cell>
          <cell r="X97" t="str">
            <v>промо</v>
          </cell>
          <cell r="Y97">
            <v>19.081632653061224</v>
          </cell>
          <cell r="Z97">
            <v>-0.30612244897959179</v>
          </cell>
          <cell r="AA97">
            <v>9.1999999999999993</v>
          </cell>
          <cell r="AB97">
            <v>9.1999999999999993</v>
          </cell>
          <cell r="AC97">
            <v>10.8</v>
          </cell>
          <cell r="AD97">
            <v>13.8</v>
          </cell>
        </row>
        <row r="98">
          <cell r="A98" t="str">
            <v xml:space="preserve"> 524  Колбаса Сервелат Ореховый нарезка 0,07кг ТМ Стародворье  ПОКОМ</v>
          </cell>
          <cell r="B98" t="str">
            <v>шт</v>
          </cell>
          <cell r="C98">
            <v>234</v>
          </cell>
          <cell r="E98">
            <v>221</v>
          </cell>
          <cell r="F98">
            <v>12</v>
          </cell>
          <cell r="G98" t="str">
            <v>P004979</v>
          </cell>
          <cell r="H98">
            <v>7.0000000000000007E-2</v>
          </cell>
          <cell r="I98">
            <v>90</v>
          </cell>
          <cell r="J98" t="str">
            <v>матрица</v>
          </cell>
          <cell r="K98">
            <v>72</v>
          </cell>
          <cell r="L98">
            <v>230</v>
          </cell>
          <cell r="M98">
            <v>-9</v>
          </cell>
          <cell r="N98">
            <v>25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430</v>
          </cell>
          <cell r="U98">
            <v>44.2</v>
          </cell>
          <cell r="V98">
            <v>25</v>
          </cell>
          <cell r="X98">
            <v>0</v>
          </cell>
          <cell r="Y98">
            <v>10.565610859728507</v>
          </cell>
          <cell r="Z98">
            <v>0.27149321266968324</v>
          </cell>
          <cell r="AA98">
            <v>35</v>
          </cell>
          <cell r="AB98">
            <v>35</v>
          </cell>
          <cell r="AC98">
            <v>28.4</v>
          </cell>
          <cell r="AD98">
            <v>27</v>
          </cell>
        </row>
        <row r="99">
          <cell r="A99" t="str">
            <v xml:space="preserve"> 525  Колбаса Фуэт нарезка 0,07кг ТМ Стародворье  ПОКОМ</v>
          </cell>
          <cell r="B99" t="str">
            <v>шт</v>
          </cell>
          <cell r="C99">
            <v>145</v>
          </cell>
          <cell r="E99">
            <v>148</v>
          </cell>
          <cell r="F99">
            <v>-4</v>
          </cell>
          <cell r="G99" t="str">
            <v>P004982</v>
          </cell>
          <cell r="H99">
            <v>7.0000000000000007E-2</v>
          </cell>
          <cell r="I99">
            <v>90</v>
          </cell>
          <cell r="J99" t="str">
            <v>матрица</v>
          </cell>
          <cell r="K99">
            <v>90</v>
          </cell>
          <cell r="L99">
            <v>153</v>
          </cell>
          <cell r="M99">
            <v>-5</v>
          </cell>
          <cell r="N99">
            <v>25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280</v>
          </cell>
          <cell r="U99">
            <v>29.6</v>
          </cell>
          <cell r="V99">
            <v>25</v>
          </cell>
          <cell r="X99">
            <v>0</v>
          </cell>
          <cell r="Y99">
            <v>10.168918918918919</v>
          </cell>
          <cell r="Z99">
            <v>-0.13513513513513511</v>
          </cell>
          <cell r="AA99">
            <v>24.6</v>
          </cell>
          <cell r="AB99">
            <v>24.6</v>
          </cell>
          <cell r="AC99">
            <v>21.6</v>
          </cell>
          <cell r="AD99">
            <v>22</v>
          </cell>
        </row>
        <row r="100">
          <cell r="A100" t="str">
            <v xml:space="preserve"> 526  Корейка вяленая выдержанная нарезка 0,05кг ТМ Стародворье  ПОКОМ</v>
          </cell>
          <cell r="B100" t="str">
            <v>шт</v>
          </cell>
          <cell r="C100">
            <v>129</v>
          </cell>
          <cell r="D100">
            <v>1</v>
          </cell>
          <cell r="E100">
            <v>66</v>
          </cell>
          <cell r="F100">
            <v>57</v>
          </cell>
          <cell r="G100" t="str">
            <v>P005023</v>
          </cell>
          <cell r="H100">
            <v>0.05</v>
          </cell>
          <cell r="I100">
            <v>90</v>
          </cell>
          <cell r="J100" t="str">
            <v>выв08,05,</v>
          </cell>
          <cell r="K100">
            <v>90</v>
          </cell>
          <cell r="L100">
            <v>73</v>
          </cell>
          <cell r="M100">
            <v>-7</v>
          </cell>
          <cell r="N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100</v>
          </cell>
          <cell r="U100">
            <v>13.2</v>
          </cell>
          <cell r="X100">
            <v>0</v>
          </cell>
          <cell r="Y100">
            <v>11.893939393939394</v>
          </cell>
          <cell r="Z100">
            <v>4.3181818181818183</v>
          </cell>
          <cell r="AA100">
            <v>11.2</v>
          </cell>
          <cell r="AB100">
            <v>11.2</v>
          </cell>
          <cell r="AC100">
            <v>17.2</v>
          </cell>
          <cell r="AD100">
            <v>18.8</v>
          </cell>
        </row>
        <row r="101">
          <cell r="A101" t="str">
            <v xml:space="preserve"> 527  Окорок Прошутто выдержанный нарезка 0,055кг ТМ Стародворье  ПОКОМ</v>
          </cell>
          <cell r="B101" t="str">
            <v>шт</v>
          </cell>
          <cell r="C101">
            <v>96</v>
          </cell>
          <cell r="E101">
            <v>71</v>
          </cell>
          <cell r="F101">
            <v>22</v>
          </cell>
          <cell r="G101" t="str">
            <v>P005022</v>
          </cell>
          <cell r="H101">
            <v>5.5E-2</v>
          </cell>
          <cell r="I101">
            <v>90</v>
          </cell>
          <cell r="J101" t="str">
            <v>матрица</v>
          </cell>
          <cell r="K101">
            <v>72</v>
          </cell>
          <cell r="L101">
            <v>74</v>
          </cell>
          <cell r="M101">
            <v>-3</v>
          </cell>
          <cell r="N101">
            <v>10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120</v>
          </cell>
          <cell r="U101">
            <v>14.2</v>
          </cell>
          <cell r="V101">
            <v>10</v>
          </cell>
          <cell r="X101">
            <v>0</v>
          </cell>
          <cell r="Y101">
            <v>10.704225352112676</v>
          </cell>
          <cell r="Z101">
            <v>1.5492957746478875</v>
          </cell>
          <cell r="AA101">
            <v>11.8</v>
          </cell>
          <cell r="AB101">
            <v>11.8</v>
          </cell>
          <cell r="AC101">
            <v>11.2</v>
          </cell>
          <cell r="AD101">
            <v>14</v>
          </cell>
        </row>
        <row r="102">
          <cell r="A102" t="str">
            <v xml:space="preserve"> 530  Окорок Хамон выдержанный нарезка 0,055кг ТМ Стародворье  ПОКОМ</v>
          </cell>
          <cell r="B102" t="str">
            <v>шт</v>
          </cell>
          <cell r="C102">
            <v>78</v>
          </cell>
          <cell r="E102">
            <v>64</v>
          </cell>
          <cell r="F102">
            <v>14</v>
          </cell>
          <cell r="G102" t="str">
            <v>P005021</v>
          </cell>
          <cell r="H102">
            <v>5.5E-2</v>
          </cell>
          <cell r="I102">
            <v>90</v>
          </cell>
          <cell r="J102" t="str">
            <v>выв08,05,</v>
          </cell>
          <cell r="K102">
            <v>54</v>
          </cell>
          <cell r="L102">
            <v>64</v>
          </cell>
          <cell r="M102">
            <v>0</v>
          </cell>
          <cell r="N102">
            <v>10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120</v>
          </cell>
          <cell r="U102">
            <v>12.8</v>
          </cell>
          <cell r="X102">
            <v>0</v>
          </cell>
          <cell r="Y102">
            <v>10.46875</v>
          </cell>
          <cell r="Z102">
            <v>1.09375</v>
          </cell>
          <cell r="AA102">
            <v>7.6</v>
          </cell>
          <cell r="AB102">
            <v>7.6</v>
          </cell>
          <cell r="AC102">
            <v>9.8000000000000007</v>
          </cell>
          <cell r="AD102">
            <v>10.8</v>
          </cell>
        </row>
        <row r="103">
          <cell r="A103" t="str">
            <v xml:space="preserve"> 537  Колбаса Докторская ТМ Стародворье ТС Дугушка в оболочке полиамид 0,4 кг  ПОКОМ</v>
          </cell>
          <cell r="B103" t="str">
            <v>шт</v>
          </cell>
          <cell r="C103">
            <v>54</v>
          </cell>
          <cell r="E103">
            <v>8</v>
          </cell>
          <cell r="F103">
            <v>46</v>
          </cell>
          <cell r="G103" t="str">
            <v>P004917</v>
          </cell>
          <cell r="H103">
            <v>0.4</v>
          </cell>
          <cell r="I103">
            <v>0</v>
          </cell>
          <cell r="J103">
            <v>0</v>
          </cell>
          <cell r="K103">
            <v>0</v>
          </cell>
          <cell r="L103">
            <v>9</v>
          </cell>
          <cell r="M103">
            <v>-1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1.6</v>
          </cell>
          <cell r="X103">
            <v>0</v>
          </cell>
          <cell r="Y103">
            <v>28.75</v>
          </cell>
          <cell r="Z103">
            <v>28.75</v>
          </cell>
          <cell r="AA103">
            <v>-0.4</v>
          </cell>
          <cell r="AB103">
            <v>-0.4</v>
          </cell>
          <cell r="AC103">
            <v>0.6</v>
          </cell>
          <cell r="AD103">
            <v>0.4</v>
          </cell>
        </row>
        <row r="104">
          <cell r="A104" t="str">
            <v xml:space="preserve"> 544  Сосиски Мясные для гриля ТС Ядрена копоть 0,3 кг  ПОКОМ</v>
          </cell>
          <cell r="B104" t="str">
            <v>шт</v>
          </cell>
          <cell r="C104">
            <v>123</v>
          </cell>
          <cell r="E104">
            <v>123</v>
          </cell>
          <cell r="F104">
            <v>-4</v>
          </cell>
          <cell r="G104" t="str">
            <v>P005150</v>
          </cell>
          <cell r="H104">
            <v>0.3</v>
          </cell>
          <cell r="I104">
            <v>0</v>
          </cell>
          <cell r="J104">
            <v>0</v>
          </cell>
          <cell r="K104">
            <v>54</v>
          </cell>
          <cell r="L104">
            <v>219</v>
          </cell>
          <cell r="M104">
            <v>-96</v>
          </cell>
          <cell r="N104">
            <v>60</v>
          </cell>
          <cell r="P104">
            <v>0</v>
          </cell>
          <cell r="Q104">
            <v>0</v>
          </cell>
          <cell r="R104">
            <v>0</v>
          </cell>
          <cell r="S104">
            <v>130</v>
          </cell>
          <cell r="T104">
            <v>160</v>
          </cell>
          <cell r="U104">
            <v>24.6</v>
          </cell>
          <cell r="V104">
            <v>60</v>
          </cell>
          <cell r="W104">
            <v>120</v>
          </cell>
          <cell r="X104" t="str">
            <v>промо</v>
          </cell>
          <cell r="Y104">
            <v>14.065040650406504</v>
          </cell>
          <cell r="Z104">
            <v>-0.16260162601626016</v>
          </cell>
          <cell r="AA104">
            <v>18.399999999999999</v>
          </cell>
          <cell r="AB104">
            <v>18.399999999999999</v>
          </cell>
          <cell r="AC104">
            <v>21.8</v>
          </cell>
          <cell r="AD104">
            <v>25</v>
          </cell>
        </row>
        <row r="105">
          <cell r="A105" t="str">
            <v xml:space="preserve"> 547  Колбаса Мясная Классическая ТМ Вязанка в оболочке полиамид. ВЕС  ПОКОМ</v>
          </cell>
          <cell r="B105" t="str">
            <v>кг</v>
          </cell>
          <cell r="C105">
            <v>210.928</v>
          </cell>
          <cell r="E105">
            <v>114.322</v>
          </cell>
          <cell r="F105">
            <v>96.308000000000007</v>
          </cell>
          <cell r="G105" t="str">
            <v>P005156</v>
          </cell>
          <cell r="H105">
            <v>1</v>
          </cell>
          <cell r="I105">
            <v>0</v>
          </cell>
          <cell r="J105">
            <v>0</v>
          </cell>
          <cell r="K105">
            <v>0</v>
          </cell>
          <cell r="L105">
            <v>107.05</v>
          </cell>
          <cell r="M105">
            <v>7.2720000000000056</v>
          </cell>
          <cell r="N105">
            <v>45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70</v>
          </cell>
          <cell r="U105">
            <v>22.8644</v>
          </cell>
          <cell r="V105">
            <v>45</v>
          </cell>
          <cell r="X105">
            <v>0</v>
          </cell>
          <cell r="Y105">
            <v>9.2417907314427659</v>
          </cell>
          <cell r="Z105">
            <v>4.2121376462973013</v>
          </cell>
          <cell r="AA105">
            <v>30.543400000000002</v>
          </cell>
          <cell r="AB105">
            <v>30.543400000000002</v>
          </cell>
          <cell r="AC105">
            <v>15.1296</v>
          </cell>
          <cell r="AD105">
            <v>19.228400000000001</v>
          </cell>
        </row>
        <row r="106">
          <cell r="A106" t="str">
            <v xml:space="preserve"> 552  Ветчина Сливушка с индейкой ТМ Вязанка в модифицированной газовой среде 0,1 кг нарезка  ПОКОМ</v>
          </cell>
          <cell r="B106" t="str">
            <v>шт</v>
          </cell>
          <cell r="C106">
            <v>11</v>
          </cell>
          <cell r="E106">
            <v>9</v>
          </cell>
          <cell r="G106" t="str">
            <v>P002639</v>
          </cell>
          <cell r="H106">
            <v>0.1</v>
          </cell>
          <cell r="I106">
            <v>0</v>
          </cell>
          <cell r="J106">
            <v>0</v>
          </cell>
          <cell r="K106">
            <v>8</v>
          </cell>
          <cell r="L106">
            <v>11</v>
          </cell>
          <cell r="M106">
            <v>-2</v>
          </cell>
          <cell r="N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30</v>
          </cell>
          <cell r="U106">
            <v>1.8</v>
          </cell>
          <cell r="X106">
            <v>0</v>
          </cell>
          <cell r="Y106">
            <v>16.666666666666668</v>
          </cell>
          <cell r="Z106">
            <v>0</v>
          </cell>
          <cell r="AA106">
            <v>1.8</v>
          </cell>
          <cell r="AB106">
            <v>1.8</v>
          </cell>
          <cell r="AC106">
            <v>0</v>
          </cell>
          <cell r="AD106">
            <v>1.6</v>
          </cell>
        </row>
        <row r="107">
          <cell r="A107" t="str">
            <v xml:space="preserve"> 553  Ассорти колбас Мясорубская коллекция: Сервелат Делюкс, С балыком 0,08 кг нарезка  ПОКОМ</v>
          </cell>
          <cell r="B107" t="str">
            <v>шт</v>
          </cell>
          <cell r="C107">
            <v>264</v>
          </cell>
          <cell r="E107">
            <v>212</v>
          </cell>
          <cell r="F107">
            <v>42</v>
          </cell>
          <cell r="G107" t="str">
            <v>P005155</v>
          </cell>
          <cell r="H107">
            <v>0.08</v>
          </cell>
          <cell r="I107">
            <v>0</v>
          </cell>
          <cell r="J107">
            <v>0</v>
          </cell>
          <cell r="K107">
            <v>80</v>
          </cell>
          <cell r="L107">
            <v>222</v>
          </cell>
          <cell r="M107">
            <v>-10</v>
          </cell>
          <cell r="N107">
            <v>60</v>
          </cell>
          <cell r="P107">
            <v>0</v>
          </cell>
          <cell r="Q107">
            <v>0</v>
          </cell>
          <cell r="R107">
            <v>0</v>
          </cell>
          <cell r="S107">
            <v>60</v>
          </cell>
          <cell r="T107">
            <v>240</v>
          </cell>
          <cell r="U107">
            <v>42.4</v>
          </cell>
          <cell r="V107">
            <v>60</v>
          </cell>
          <cell r="X107">
            <v>0</v>
          </cell>
          <cell r="Y107">
            <v>9.4811320754716988</v>
          </cell>
          <cell r="Z107">
            <v>0.99056603773584906</v>
          </cell>
          <cell r="AA107">
            <v>36.6</v>
          </cell>
          <cell r="AB107">
            <v>36.6</v>
          </cell>
          <cell r="AC107">
            <v>40</v>
          </cell>
          <cell r="AD107">
            <v>36.4</v>
          </cell>
        </row>
        <row r="108">
          <cell r="A108" t="str">
            <v xml:space="preserve"> 554  Колбаса Сервелат Мясорубский ТМ Стародворье в упаковке скин 0,08 кг нарезка  ПОКОМ</v>
          </cell>
          <cell r="B108" t="str">
            <v>шт</v>
          </cell>
          <cell r="C108">
            <v>203</v>
          </cell>
          <cell r="E108">
            <v>172</v>
          </cell>
          <cell r="F108">
            <v>31</v>
          </cell>
          <cell r="G108" t="str">
            <v>P003837</v>
          </cell>
          <cell r="H108">
            <v>0.08</v>
          </cell>
          <cell r="I108">
            <v>0</v>
          </cell>
          <cell r="J108">
            <v>0</v>
          </cell>
          <cell r="K108">
            <v>0</v>
          </cell>
          <cell r="L108">
            <v>175</v>
          </cell>
          <cell r="M108">
            <v>-3</v>
          </cell>
          <cell r="N108">
            <v>50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250</v>
          </cell>
          <cell r="U108">
            <v>34.4</v>
          </cell>
          <cell r="V108">
            <v>50</v>
          </cell>
          <cell r="X108">
            <v>0</v>
          </cell>
          <cell r="Y108">
            <v>9.6220930232558146</v>
          </cell>
          <cell r="Z108">
            <v>0.90116279069767447</v>
          </cell>
          <cell r="AA108">
            <v>14</v>
          </cell>
          <cell r="AB108">
            <v>14</v>
          </cell>
          <cell r="AC108">
            <v>28.2</v>
          </cell>
          <cell r="AD108">
            <v>20</v>
          </cell>
          <cell r="AE108" t="str">
            <v>потребность филиала</v>
          </cell>
        </row>
        <row r="109">
          <cell r="A109" t="str">
            <v xml:space="preserve"> 555  Колбаса Молокуша ТМ Вязанка в модифицированной газовой среде 0,17 кг нарезка  ПОКОМ</v>
          </cell>
          <cell r="B109" t="str">
            <v>шт</v>
          </cell>
          <cell r="C109">
            <v>43</v>
          </cell>
          <cell r="D109">
            <v>2</v>
          </cell>
          <cell r="E109">
            <v>-2</v>
          </cell>
          <cell r="F109">
            <v>42</v>
          </cell>
          <cell r="G109" t="str">
            <v>P002641</v>
          </cell>
          <cell r="H109">
            <v>0.17</v>
          </cell>
          <cell r="I109">
            <v>0</v>
          </cell>
          <cell r="J109">
            <v>0</v>
          </cell>
          <cell r="K109">
            <v>0</v>
          </cell>
          <cell r="L109">
            <v>3</v>
          </cell>
          <cell r="M109">
            <v>-5</v>
          </cell>
          <cell r="N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-0.4</v>
          </cell>
          <cell r="X109">
            <v>0</v>
          </cell>
          <cell r="Y109">
            <v>-105</v>
          </cell>
          <cell r="Z109">
            <v>-105</v>
          </cell>
          <cell r="AA109">
            <v>3.4</v>
          </cell>
          <cell r="AB109">
            <v>3.4</v>
          </cell>
          <cell r="AC109">
            <v>0.8</v>
          </cell>
          <cell r="AD109">
            <v>2</v>
          </cell>
        </row>
        <row r="110">
          <cell r="A110" t="str">
            <v xml:space="preserve"> 556  Колбаса Сервелат Ореховый ТМ Вязанка в оболочке фиброуз в вакуумной упаковке, ВЕС  ПОКОМ</v>
          </cell>
          <cell r="B110" t="str">
            <v>кг</v>
          </cell>
          <cell r="C110">
            <v>514.62699999999995</v>
          </cell>
          <cell r="D110">
            <v>1.413</v>
          </cell>
          <cell r="E110">
            <v>355.19200000000001</v>
          </cell>
          <cell r="F110">
            <v>154.958</v>
          </cell>
          <cell r="G110" t="str">
            <v>P005376</v>
          </cell>
          <cell r="H110">
            <v>1</v>
          </cell>
          <cell r="I110">
            <v>0</v>
          </cell>
          <cell r="J110">
            <v>0</v>
          </cell>
          <cell r="K110">
            <v>150.11199999999999</v>
          </cell>
          <cell r="L110">
            <v>369.85</v>
          </cell>
          <cell r="M110">
            <v>-14.658000000000015</v>
          </cell>
          <cell r="N110">
            <v>100</v>
          </cell>
          <cell r="P110">
            <v>0</v>
          </cell>
          <cell r="Q110">
            <v>0</v>
          </cell>
          <cell r="R110">
            <v>0</v>
          </cell>
          <cell r="S110">
            <v>280</v>
          </cell>
          <cell r="T110">
            <v>260</v>
          </cell>
          <cell r="U110">
            <v>71.038399999999996</v>
          </cell>
          <cell r="V110">
            <v>100</v>
          </cell>
          <cell r="W110">
            <v>200</v>
          </cell>
          <cell r="X110" t="str">
            <v>промо</v>
          </cell>
          <cell r="Y110">
            <v>11.190539201333364</v>
          </cell>
          <cell r="Z110">
            <v>2.1813272821459946</v>
          </cell>
          <cell r="AA110">
            <v>44.884399999999999</v>
          </cell>
          <cell r="AB110">
            <v>44.884399999999999</v>
          </cell>
          <cell r="AC110">
            <v>61.707599999999999</v>
          </cell>
          <cell r="AD110">
            <v>80.659400000000005</v>
          </cell>
          <cell r="AE110" t="str">
            <v>промо июнь</v>
          </cell>
        </row>
        <row r="111">
          <cell r="A111" t="str">
            <v xml:space="preserve"> 557  Колбаса Сервелат Финский ТМ Вязанка в оболочке фиброуз в вакуумной упаковке, ВЕС  ПОКОМ</v>
          </cell>
          <cell r="B111" t="str">
            <v>кг</v>
          </cell>
          <cell r="C111">
            <v>183.108</v>
          </cell>
          <cell r="D111">
            <v>0.70899999999999996</v>
          </cell>
          <cell r="E111">
            <v>182.33600000000001</v>
          </cell>
          <cell r="F111">
            <v>1.4810000000000001</v>
          </cell>
          <cell r="G111" t="str">
            <v>P005377</v>
          </cell>
          <cell r="H111">
            <v>1</v>
          </cell>
          <cell r="I111">
            <v>0</v>
          </cell>
          <cell r="J111">
            <v>0</v>
          </cell>
          <cell r="K111">
            <v>182.114</v>
          </cell>
          <cell r="L111">
            <v>203.2</v>
          </cell>
          <cell r="M111">
            <v>-20.863999999999976</v>
          </cell>
          <cell r="N111">
            <v>100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370</v>
          </cell>
          <cell r="U111">
            <v>36.467200000000005</v>
          </cell>
          <cell r="V111">
            <v>100</v>
          </cell>
          <cell r="W111">
            <v>270</v>
          </cell>
          <cell r="X111" t="str">
            <v>промо</v>
          </cell>
          <cell r="Y111">
            <v>12.928905975780975</v>
          </cell>
          <cell r="Z111">
            <v>4.0611837486837485E-2</v>
          </cell>
          <cell r="AA111">
            <v>0</v>
          </cell>
          <cell r="AB111">
            <v>0</v>
          </cell>
          <cell r="AC111">
            <v>4.1673999999999998</v>
          </cell>
          <cell r="AD111">
            <v>30.479000000000003</v>
          </cell>
        </row>
        <row r="112">
          <cell r="A112" t="str">
            <v xml:space="preserve"> 558  Колбаса Балыковая НОВАЯ ВЕС Вязанка фиброуз в/у ПОКОМ</v>
          </cell>
          <cell r="B112" t="str">
            <v>кг</v>
          </cell>
          <cell r="C112">
            <v>326.86099999999999</v>
          </cell>
          <cell r="D112">
            <v>805.86699999999996</v>
          </cell>
          <cell r="E112">
            <v>431.12700000000001</v>
          </cell>
          <cell r="F112">
            <v>693.09299999999996</v>
          </cell>
          <cell r="G112" t="str">
            <v>P005375</v>
          </cell>
          <cell r="H112">
            <v>1</v>
          </cell>
          <cell r="I112">
            <v>0</v>
          </cell>
          <cell r="J112">
            <v>0</v>
          </cell>
          <cell r="K112">
            <v>102.35899999999999</v>
          </cell>
          <cell r="L112">
            <v>449.05</v>
          </cell>
          <cell r="M112">
            <v>-17.923000000000002</v>
          </cell>
          <cell r="N112">
            <v>100</v>
          </cell>
          <cell r="P112">
            <v>0</v>
          </cell>
          <cell r="Q112">
            <v>0</v>
          </cell>
          <cell r="R112">
            <v>0</v>
          </cell>
          <cell r="S112">
            <v>50</v>
          </cell>
          <cell r="T112">
            <v>300</v>
          </cell>
          <cell r="U112">
            <v>86.225400000000008</v>
          </cell>
          <cell r="V112">
            <v>100</v>
          </cell>
          <cell r="W112">
            <v>200</v>
          </cell>
          <cell r="X112" t="str">
            <v>промо</v>
          </cell>
          <cell r="Y112">
            <v>13.257033310370259</v>
          </cell>
          <cell r="Z112">
            <v>8.0381534907347483</v>
          </cell>
          <cell r="AA112">
            <v>44.640799999999999</v>
          </cell>
          <cell r="AB112">
            <v>44.640799999999999</v>
          </cell>
          <cell r="AC112">
            <v>71.201400000000007</v>
          </cell>
          <cell r="AD112">
            <v>98.287000000000006</v>
          </cell>
          <cell r="AE112" t="str">
            <v>промо</v>
          </cell>
        </row>
        <row r="113">
          <cell r="A113" t="str">
            <v xml:space="preserve"> 567 Колбаса Со шпиком Стародворская ТМ Стародворье в оболочке полиамид ВЕС  ПОКОМ</v>
          </cell>
          <cell r="B113" t="str">
            <v>кг</v>
          </cell>
          <cell r="C113">
            <v>77.097999999999999</v>
          </cell>
          <cell r="E113">
            <v>1.468</v>
          </cell>
          <cell r="F113">
            <v>75.63</v>
          </cell>
          <cell r="G113" t="str">
            <v>P005136</v>
          </cell>
          <cell r="H113">
            <v>1</v>
          </cell>
          <cell r="I113">
            <v>0</v>
          </cell>
          <cell r="J113">
            <v>0</v>
          </cell>
          <cell r="K113">
            <v>0</v>
          </cell>
          <cell r="L113">
            <v>1.3</v>
          </cell>
          <cell r="M113">
            <v>0.16799999999999993</v>
          </cell>
          <cell r="N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0.29359999999999997</v>
          </cell>
          <cell r="X113">
            <v>0</v>
          </cell>
          <cell r="Y113">
            <v>257.59536784741147</v>
          </cell>
          <cell r="Z113">
            <v>257.59536784741147</v>
          </cell>
          <cell r="AA113">
            <v>0.27599999999999997</v>
          </cell>
          <cell r="AB113">
            <v>0.27599999999999997</v>
          </cell>
          <cell r="AC113">
            <v>0.5514</v>
          </cell>
          <cell r="AD113">
            <v>1.629</v>
          </cell>
        </row>
        <row r="114">
          <cell r="A114" t="str">
            <v xml:space="preserve"> 569  Колбаса Балыковая ТМ Вязанка в оболочке фиброуз в вакуумной упаковке 0,28 кг срез.  ПОКОМ</v>
          </cell>
          <cell r="B114" t="str">
            <v>шт</v>
          </cell>
          <cell r="C114">
            <v>586</v>
          </cell>
          <cell r="D114">
            <v>2</v>
          </cell>
          <cell r="E114">
            <v>366</v>
          </cell>
          <cell r="F114">
            <v>210</v>
          </cell>
          <cell r="G114" t="str">
            <v>P005163</v>
          </cell>
          <cell r="H114">
            <v>0.28000000000000003</v>
          </cell>
          <cell r="I114">
            <v>0</v>
          </cell>
          <cell r="J114">
            <v>0</v>
          </cell>
          <cell r="K114">
            <v>174</v>
          </cell>
          <cell r="L114">
            <v>385</v>
          </cell>
          <cell r="M114">
            <v>-19</v>
          </cell>
          <cell r="N114">
            <v>60</v>
          </cell>
          <cell r="P114">
            <v>0</v>
          </cell>
          <cell r="Q114">
            <v>0</v>
          </cell>
          <cell r="R114">
            <v>0</v>
          </cell>
          <cell r="S114">
            <v>150</v>
          </cell>
          <cell r="T114">
            <v>330</v>
          </cell>
          <cell r="U114">
            <v>73.2</v>
          </cell>
          <cell r="V114">
            <v>60</v>
          </cell>
          <cell r="X114">
            <v>0</v>
          </cell>
          <cell r="Y114">
            <v>10.245901639344261</v>
          </cell>
          <cell r="Z114">
            <v>2.8688524590163933</v>
          </cell>
          <cell r="AA114">
            <v>49.6</v>
          </cell>
          <cell r="AB114">
            <v>49.6</v>
          </cell>
          <cell r="AC114">
            <v>91.8</v>
          </cell>
          <cell r="AD114">
            <v>83</v>
          </cell>
          <cell r="AE114" t="str">
            <v>новинка</v>
          </cell>
        </row>
        <row r="115">
          <cell r="A115" t="str">
            <v xml:space="preserve"> 571  Колбаса Сервелат Ореховый ТМ Вязанка в оболочке фиброуз в вак. упаковке 0,28 кг срез  ПОКОМ</v>
          </cell>
          <cell r="B115" t="str">
            <v>шт</v>
          </cell>
          <cell r="C115">
            <v>586</v>
          </cell>
          <cell r="D115">
            <v>1</v>
          </cell>
          <cell r="E115">
            <v>381</v>
          </cell>
          <cell r="F115">
            <v>201</v>
          </cell>
          <cell r="G115" t="str">
            <v>P005166</v>
          </cell>
          <cell r="H115">
            <v>0.28000000000000003</v>
          </cell>
          <cell r="I115">
            <v>0</v>
          </cell>
          <cell r="J115">
            <v>0</v>
          </cell>
          <cell r="K115">
            <v>180</v>
          </cell>
          <cell r="L115">
            <v>395</v>
          </cell>
          <cell r="M115">
            <v>-14</v>
          </cell>
          <cell r="N115">
            <v>45</v>
          </cell>
          <cell r="P115">
            <v>0</v>
          </cell>
          <cell r="Q115">
            <v>0</v>
          </cell>
          <cell r="R115">
            <v>0</v>
          </cell>
          <cell r="S115">
            <v>110</v>
          </cell>
          <cell r="T115">
            <v>440</v>
          </cell>
          <cell r="U115">
            <v>76.2</v>
          </cell>
          <cell r="V115">
            <v>45</v>
          </cell>
          <cell r="X115">
            <v>0</v>
          </cell>
          <cell r="Y115">
            <v>10.446194225721785</v>
          </cell>
          <cell r="Z115">
            <v>2.6377952755905509</v>
          </cell>
          <cell r="AA115">
            <v>25.2</v>
          </cell>
          <cell r="AB115">
            <v>25.2</v>
          </cell>
          <cell r="AC115">
            <v>90.8</v>
          </cell>
          <cell r="AD115">
            <v>80.2</v>
          </cell>
          <cell r="AE115" t="str">
            <v>новинка</v>
          </cell>
        </row>
        <row r="116">
          <cell r="A116" t="str">
            <v xml:space="preserve"> 579  Колбаса Ветчинно-рубленая ТМ Особый рецепт в оболочке полиамид.ВЕС  ПОКОМ</v>
          </cell>
          <cell r="B116" t="str">
            <v>кг</v>
          </cell>
          <cell r="C116">
            <v>535.21</v>
          </cell>
          <cell r="E116">
            <v>217.952</v>
          </cell>
          <cell r="F116">
            <v>315.928</v>
          </cell>
          <cell r="G116" t="str">
            <v>P005388</v>
          </cell>
          <cell r="H116">
            <v>1</v>
          </cell>
          <cell r="I116">
            <v>0</v>
          </cell>
          <cell r="J116">
            <v>0</v>
          </cell>
          <cell r="K116">
            <v>29.69</v>
          </cell>
          <cell r="L116">
            <v>217</v>
          </cell>
          <cell r="M116">
            <v>0.95199999999999818</v>
          </cell>
          <cell r="N116">
            <v>85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43.590400000000002</v>
          </cell>
          <cell r="V116">
            <v>85</v>
          </cell>
          <cell r="X116">
            <v>0</v>
          </cell>
          <cell r="Y116">
            <v>9.1976214946410213</v>
          </cell>
          <cell r="Z116">
            <v>7.2476508589047128</v>
          </cell>
          <cell r="AA116">
            <v>68.036000000000001</v>
          </cell>
          <cell r="AB116">
            <v>68.036000000000001</v>
          </cell>
          <cell r="AC116">
            <v>55.062599999999996</v>
          </cell>
          <cell r="AD116">
            <v>50.267399999999995</v>
          </cell>
          <cell r="AE116" t="str">
            <v>новинка</v>
          </cell>
        </row>
        <row r="117">
          <cell r="A117" t="str">
            <v xml:space="preserve"> 580  Ветчина Нежная с индейкой ТМ Особый рецепт в оболочке полиамид.ВЕС  ПОКОМ</v>
          </cell>
          <cell r="B117" t="str">
            <v>кг</v>
          </cell>
          <cell r="C117">
            <v>241.13300000000001</v>
          </cell>
          <cell r="D117">
            <v>2.5</v>
          </cell>
          <cell r="E117">
            <v>155.197</v>
          </cell>
          <cell r="F117">
            <v>85.936000000000007</v>
          </cell>
          <cell r="G117" t="str">
            <v>P004675</v>
          </cell>
          <cell r="H117">
            <v>1</v>
          </cell>
          <cell r="I117">
            <v>0</v>
          </cell>
          <cell r="J117">
            <v>0</v>
          </cell>
          <cell r="K117">
            <v>120.658</v>
          </cell>
          <cell r="L117">
            <v>162.5</v>
          </cell>
          <cell r="M117">
            <v>-7.3029999999999973</v>
          </cell>
          <cell r="N117">
            <v>20</v>
          </cell>
          <cell r="P117">
            <v>0</v>
          </cell>
          <cell r="Q117">
            <v>0</v>
          </cell>
          <cell r="R117">
            <v>0</v>
          </cell>
          <cell r="S117">
            <v>50</v>
          </cell>
          <cell r="T117">
            <v>170</v>
          </cell>
          <cell r="U117">
            <v>31.039400000000001</v>
          </cell>
          <cell r="V117">
            <v>20</v>
          </cell>
          <cell r="X117">
            <v>0</v>
          </cell>
          <cell r="Y117">
            <v>10.500718441722457</v>
          </cell>
          <cell r="Z117">
            <v>2.7686102179810179</v>
          </cell>
          <cell r="AA117">
            <v>26.484400000000001</v>
          </cell>
          <cell r="AB117">
            <v>26.484400000000001</v>
          </cell>
          <cell r="AC117">
            <v>20.194800000000001</v>
          </cell>
          <cell r="AD117">
            <v>37.197400000000002</v>
          </cell>
          <cell r="AE117" t="str">
            <v>зв</v>
          </cell>
        </row>
        <row r="118">
          <cell r="A118" t="str">
            <v xml:space="preserve"> 585  Колбаса Молочная ТМ Стародворье в оболочке вектор НД ВЕС.  ПОКОМ</v>
          </cell>
          <cell r="B118" t="str">
            <v>кг</v>
          </cell>
          <cell r="C118">
            <v>428.077</v>
          </cell>
          <cell r="E118">
            <v>312.95</v>
          </cell>
          <cell r="F118">
            <v>113.77200000000001</v>
          </cell>
          <cell r="G118" t="str">
            <v>P005360</v>
          </cell>
          <cell r="H118">
            <v>1</v>
          </cell>
          <cell r="I118">
            <v>0</v>
          </cell>
          <cell r="J118">
            <v>0</v>
          </cell>
          <cell r="K118">
            <v>124.527</v>
          </cell>
          <cell r="L118">
            <v>299</v>
          </cell>
          <cell r="M118">
            <v>13.949999999999989</v>
          </cell>
          <cell r="N118">
            <v>135</v>
          </cell>
          <cell r="P118">
            <v>0</v>
          </cell>
          <cell r="Q118">
            <v>0</v>
          </cell>
          <cell r="R118">
            <v>0</v>
          </cell>
          <cell r="S118">
            <v>140</v>
          </cell>
          <cell r="T118">
            <v>420</v>
          </cell>
          <cell r="U118">
            <v>62.589999999999996</v>
          </cell>
          <cell r="V118">
            <v>135</v>
          </cell>
          <cell r="W118">
            <v>270</v>
          </cell>
          <cell r="X118" t="str">
            <v>промо</v>
          </cell>
          <cell r="Y118">
            <v>12.921744687649785</v>
          </cell>
          <cell r="Z118">
            <v>1.8177344623741813</v>
          </cell>
          <cell r="AA118">
            <v>29.3202</v>
          </cell>
          <cell r="AB118">
            <v>29.3202</v>
          </cell>
          <cell r="AC118">
            <v>49.282799999999995</v>
          </cell>
          <cell r="AD118">
            <v>60.839800000000004</v>
          </cell>
          <cell r="AE118" t="str">
            <v>новинка промо июнь</v>
          </cell>
        </row>
        <row r="119">
          <cell r="A119" t="str">
            <v xml:space="preserve"> 586  Колбаса Мясная ТМ Стародворье в оболочке вектор НД ВЕС.  ПОКОМ</v>
          </cell>
          <cell r="B119" t="str">
            <v>кг</v>
          </cell>
          <cell r="C119">
            <v>496.90199999999999</v>
          </cell>
          <cell r="D119">
            <v>2.7290000000000001</v>
          </cell>
          <cell r="E119">
            <v>444.12099999999998</v>
          </cell>
          <cell r="F119">
            <v>52.75</v>
          </cell>
          <cell r="G119" t="str">
            <v>P005361</v>
          </cell>
          <cell r="H119">
            <v>1</v>
          </cell>
          <cell r="I119">
            <v>0</v>
          </cell>
          <cell r="J119">
            <v>0</v>
          </cell>
          <cell r="K119">
            <v>305.06900000000002</v>
          </cell>
          <cell r="L119">
            <v>417.65</v>
          </cell>
          <cell r="M119">
            <v>26.471000000000004</v>
          </cell>
          <cell r="N119">
            <v>185</v>
          </cell>
          <cell r="P119">
            <v>0</v>
          </cell>
          <cell r="Q119">
            <v>0</v>
          </cell>
          <cell r="R119">
            <v>0</v>
          </cell>
          <cell r="S119">
            <v>270</v>
          </cell>
          <cell r="T119">
            <v>560</v>
          </cell>
          <cell r="U119">
            <v>88.82419999999999</v>
          </cell>
          <cell r="V119">
            <v>185</v>
          </cell>
          <cell r="W119">
            <v>370</v>
          </cell>
          <cell r="X119" t="str">
            <v>промо</v>
          </cell>
          <cell r="Y119">
            <v>12.020935735981862</v>
          </cell>
          <cell r="Z119">
            <v>0.59386968866592671</v>
          </cell>
          <cell r="AA119">
            <v>72.069800000000001</v>
          </cell>
          <cell r="AB119">
            <v>72.069800000000001</v>
          </cell>
          <cell r="AC119">
            <v>75.265200000000007</v>
          </cell>
          <cell r="AD119">
            <v>81.487200000000001</v>
          </cell>
          <cell r="AE119" t="str">
            <v>новинка</v>
          </cell>
        </row>
        <row r="120">
          <cell r="A120" t="str">
            <v xml:space="preserve"> 588 Колбаса Со шпиком ТМ Стародворье в оболочке вектор ВЕС  ПОКОМ</v>
          </cell>
          <cell r="B120" t="str">
            <v>кг</v>
          </cell>
          <cell r="C120">
            <v>159.929</v>
          </cell>
          <cell r="E120">
            <v>135.018</v>
          </cell>
          <cell r="F120">
            <v>24.210999999999999</v>
          </cell>
          <cell r="G120" t="str">
            <v>P005363</v>
          </cell>
          <cell r="H120">
            <v>1</v>
          </cell>
          <cell r="I120">
            <v>0</v>
          </cell>
          <cell r="J120">
            <v>0</v>
          </cell>
          <cell r="K120">
            <v>116.28700000000001</v>
          </cell>
          <cell r="L120">
            <v>128.30000000000001</v>
          </cell>
          <cell r="M120">
            <v>6.7179999999999893</v>
          </cell>
          <cell r="N120">
            <v>10</v>
          </cell>
          <cell r="P120">
            <v>0</v>
          </cell>
          <cell r="Q120">
            <v>0</v>
          </cell>
          <cell r="R120">
            <v>0</v>
          </cell>
          <cell r="S120">
            <v>60</v>
          </cell>
          <cell r="T120">
            <v>200</v>
          </cell>
          <cell r="U120">
            <v>27.003599999999999</v>
          </cell>
          <cell r="V120">
            <v>10</v>
          </cell>
          <cell r="X120">
            <v>0</v>
          </cell>
          <cell r="Y120">
            <v>10.895251003569895</v>
          </cell>
          <cell r="Z120">
            <v>0.89658415914915046</v>
          </cell>
          <cell r="AA120">
            <v>37.625399999999999</v>
          </cell>
          <cell r="AB120">
            <v>37.625399999999999</v>
          </cell>
          <cell r="AC120">
            <v>24.422800000000002</v>
          </cell>
          <cell r="AD120">
            <v>30.352999999999998</v>
          </cell>
          <cell r="AE120" t="str">
            <v>новинка</v>
          </cell>
        </row>
        <row r="121">
          <cell r="A121" t="str">
            <v>495  Колбаса Сочинка по-европейски с сочной грудинкой 0,3кг ТМ Стародворье  ПОКОМ</v>
          </cell>
          <cell r="B121" t="str">
            <v>шт</v>
          </cell>
          <cell r="C121">
            <v>267</v>
          </cell>
          <cell r="D121">
            <v>4</v>
          </cell>
          <cell r="E121">
            <v>250</v>
          </cell>
          <cell r="F121">
            <v>4</v>
          </cell>
          <cell r="G121" t="str">
            <v>P003386</v>
          </cell>
          <cell r="H121">
            <v>0.3</v>
          </cell>
          <cell r="I121">
            <v>40</v>
          </cell>
          <cell r="J121" t="str">
            <v>матрица</v>
          </cell>
          <cell r="K121">
            <v>234</v>
          </cell>
          <cell r="L121">
            <v>383</v>
          </cell>
          <cell r="M121">
            <v>-133</v>
          </cell>
          <cell r="N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220</v>
          </cell>
          <cell r="T121">
            <v>640</v>
          </cell>
          <cell r="U121">
            <v>50</v>
          </cell>
          <cell r="X121">
            <v>0</v>
          </cell>
          <cell r="Y121">
            <v>17.28</v>
          </cell>
          <cell r="Z121">
            <v>0.08</v>
          </cell>
          <cell r="AA121">
            <v>55.4</v>
          </cell>
          <cell r="AB121">
            <v>55.4</v>
          </cell>
          <cell r="AC121">
            <v>55</v>
          </cell>
          <cell r="AD121">
            <v>65.2</v>
          </cell>
        </row>
        <row r="122">
          <cell r="A122" t="str">
            <v>496  Колбаса Сочинка по-фински с сочным окроком 0,3кг ТМ Стародворье  ПОКОМ</v>
          </cell>
          <cell r="B122" t="str">
            <v>шт</v>
          </cell>
          <cell r="C122">
            <v>163</v>
          </cell>
          <cell r="D122">
            <v>2</v>
          </cell>
          <cell r="E122">
            <v>137</v>
          </cell>
          <cell r="F122">
            <v>6</v>
          </cell>
          <cell r="G122" t="str">
            <v>P003385</v>
          </cell>
          <cell r="H122">
            <v>0.3</v>
          </cell>
          <cell r="I122">
            <v>40</v>
          </cell>
          <cell r="J122" t="str">
            <v>матрица</v>
          </cell>
          <cell r="K122">
            <v>192</v>
          </cell>
          <cell r="L122">
            <v>301</v>
          </cell>
          <cell r="M122">
            <v>-164</v>
          </cell>
          <cell r="N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180</v>
          </cell>
          <cell r="T122">
            <v>400</v>
          </cell>
          <cell r="U122">
            <v>27.4</v>
          </cell>
          <cell r="X122">
            <v>0</v>
          </cell>
          <cell r="Y122">
            <v>21.386861313868614</v>
          </cell>
          <cell r="Z122">
            <v>0.21897810218978103</v>
          </cell>
          <cell r="AA122">
            <v>43</v>
          </cell>
          <cell r="AB122">
            <v>43</v>
          </cell>
          <cell r="AC122">
            <v>39</v>
          </cell>
          <cell r="AD122">
            <v>49.2</v>
          </cell>
        </row>
        <row r="123">
          <cell r="A123" t="str">
            <v>503 Колбаса Филейская со шпиком ТМ Вязанка в оболочке полиамид.ПОКОМ</v>
          </cell>
          <cell r="B123" t="str">
            <v>кг</v>
          </cell>
          <cell r="C123">
            <v>372.36099999999999</v>
          </cell>
          <cell r="D123">
            <v>2.738</v>
          </cell>
          <cell r="E123">
            <v>226.96600000000001</v>
          </cell>
          <cell r="F123">
            <v>145.173</v>
          </cell>
          <cell r="G123" t="str">
            <v>P004621</v>
          </cell>
          <cell r="H123">
            <v>1</v>
          </cell>
          <cell r="I123">
            <v>50</v>
          </cell>
          <cell r="J123" t="str">
            <v>матрица</v>
          </cell>
          <cell r="K123">
            <v>65.838999999999999</v>
          </cell>
          <cell r="L123">
            <v>226.35</v>
          </cell>
          <cell r="M123">
            <v>0.61600000000001387</v>
          </cell>
          <cell r="N123">
            <v>20</v>
          </cell>
          <cell r="P123">
            <v>0</v>
          </cell>
          <cell r="Q123">
            <v>0</v>
          </cell>
          <cell r="R123">
            <v>0</v>
          </cell>
          <cell r="S123">
            <v>180</v>
          </cell>
          <cell r="T123">
            <v>140</v>
          </cell>
          <cell r="U123">
            <v>45.3932</v>
          </cell>
          <cell r="V123">
            <v>20</v>
          </cell>
          <cell r="X123">
            <v>0</v>
          </cell>
          <cell r="Y123">
            <v>10.68823083633672</v>
          </cell>
          <cell r="Z123">
            <v>3.1981221857018234</v>
          </cell>
          <cell r="AA123">
            <v>50.147800000000004</v>
          </cell>
          <cell r="AB123">
            <v>50.147800000000004</v>
          </cell>
          <cell r="AC123">
            <v>58.054999999999993</v>
          </cell>
          <cell r="AD123">
            <v>56.154399999999995</v>
          </cell>
        </row>
        <row r="124">
          <cell r="A124" t="str">
            <v>515  Колбаса Сервелат Мясорубский Делюкс 0,3кг ТМ Стародворье  ПОКОМ</v>
          </cell>
          <cell r="B124" t="str">
            <v>шт</v>
          </cell>
          <cell r="C124">
            <v>379</v>
          </cell>
          <cell r="E124">
            <v>272</v>
          </cell>
          <cell r="F124">
            <v>98</v>
          </cell>
          <cell r="G124" t="str">
            <v>P004890</v>
          </cell>
          <cell r="H124">
            <v>0.3</v>
          </cell>
          <cell r="I124">
            <v>40</v>
          </cell>
          <cell r="J124" t="str">
            <v>матрица</v>
          </cell>
          <cell r="K124">
            <v>30</v>
          </cell>
          <cell r="L124">
            <v>285</v>
          </cell>
          <cell r="M124">
            <v>-13</v>
          </cell>
          <cell r="N124">
            <v>90</v>
          </cell>
          <cell r="P124">
            <v>0</v>
          </cell>
          <cell r="Q124">
            <v>0</v>
          </cell>
          <cell r="R124">
            <v>0</v>
          </cell>
          <cell r="S124">
            <v>80</v>
          </cell>
          <cell r="T124">
            <v>240</v>
          </cell>
          <cell r="U124">
            <v>54.4</v>
          </cell>
          <cell r="V124">
            <v>90</v>
          </cell>
          <cell r="X124">
            <v>0</v>
          </cell>
          <cell r="Y124">
            <v>9.3382352941176467</v>
          </cell>
          <cell r="Z124">
            <v>1.8014705882352942</v>
          </cell>
          <cell r="AA124">
            <v>45.8</v>
          </cell>
          <cell r="AB124">
            <v>45.8</v>
          </cell>
          <cell r="AC124">
            <v>55.2</v>
          </cell>
          <cell r="AD124">
            <v>44</v>
          </cell>
        </row>
        <row r="125">
          <cell r="A125" t="str">
            <v>519  Грудинка 0,12 кг нарезка ТМ Стародворье  ПОКОМ</v>
          </cell>
          <cell r="B125" t="str">
            <v>шт</v>
          </cell>
          <cell r="C125">
            <v>46</v>
          </cell>
          <cell r="D125">
            <v>1</v>
          </cell>
          <cell r="E125">
            <v>32</v>
          </cell>
          <cell r="F125">
            <v>13</v>
          </cell>
          <cell r="G125" t="str">
            <v>P005060</v>
          </cell>
          <cell r="H125">
            <v>0.12</v>
          </cell>
          <cell r="I125">
            <v>45</v>
          </cell>
          <cell r="J125" t="str">
            <v>матрица</v>
          </cell>
          <cell r="K125">
            <v>0</v>
          </cell>
          <cell r="L125">
            <v>34</v>
          </cell>
          <cell r="M125">
            <v>-2</v>
          </cell>
          <cell r="N125">
            <v>30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6.4</v>
          </cell>
          <cell r="V125">
            <v>30</v>
          </cell>
          <cell r="X125">
            <v>0</v>
          </cell>
          <cell r="Y125">
            <v>6.71875</v>
          </cell>
          <cell r="Z125">
            <v>2.03125</v>
          </cell>
          <cell r="AA125">
            <v>0.2</v>
          </cell>
          <cell r="AB125">
            <v>0.2</v>
          </cell>
          <cell r="AC125">
            <v>5.4</v>
          </cell>
          <cell r="AD125">
            <v>2.6</v>
          </cell>
        </row>
        <row r="126">
          <cell r="A126" t="str">
            <v>А_ 377  Колбаса Молочная Дугушка 0,6кг ТМ Стародворье  ПОКОМ</v>
          </cell>
          <cell r="B126" t="str">
            <v>шт</v>
          </cell>
          <cell r="D126">
            <v>13</v>
          </cell>
          <cell r="E126">
            <v>0</v>
          </cell>
          <cell r="F126">
            <v>13</v>
          </cell>
          <cell r="H126">
            <v>0.6</v>
          </cell>
          <cell r="K126">
            <v>0</v>
          </cell>
          <cell r="L126">
            <v>0</v>
          </cell>
          <cell r="M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X126">
            <v>0</v>
          </cell>
          <cell r="Y126" t="e">
            <v>#DIV/0!</v>
          </cell>
          <cell r="Z126" t="e">
            <v>#DIV/0!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</row>
        <row r="127">
          <cell r="A127" t="str">
            <v>А_301  Сосиски Сочинки по-баварски с сыром,  0.4кг, ТМ Стародворье  ПОКОМ</v>
          </cell>
          <cell r="B127" t="str">
            <v>шт</v>
          </cell>
          <cell r="D127">
            <v>28</v>
          </cell>
          <cell r="E127">
            <v>0</v>
          </cell>
          <cell r="F127">
            <v>28</v>
          </cell>
          <cell r="H127">
            <v>0.4</v>
          </cell>
          <cell r="K127">
            <v>0</v>
          </cell>
          <cell r="L127">
            <v>0</v>
          </cell>
          <cell r="M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X127">
            <v>0</v>
          </cell>
          <cell r="Y127" t="e">
            <v>#DIV/0!</v>
          </cell>
          <cell r="Z127" t="e">
            <v>#DIV/0!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17.06.2026 - 23.06.2026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"ПОКОМ Логистический Партн..."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Луганск ПОКОМ</v>
          </cell>
          <cell r="B7">
            <v>56190.57</v>
          </cell>
        </row>
        <row r="8">
          <cell r="A8" t="str">
            <v>ПОКОМ Логистический Партнер</v>
          </cell>
          <cell r="B8">
            <v>56190.57</v>
          </cell>
        </row>
        <row r="9">
          <cell r="A9" t="str">
            <v>Вязанка Логистический Партнер(Кг)</v>
          </cell>
          <cell r="B9">
            <v>9560.4009999999998</v>
          </cell>
        </row>
        <row r="10">
          <cell r="A10" t="str">
            <v xml:space="preserve"> 005  Колбаса Докторская ГОСТ, Вязанка вектор,ВЕС. ПОКОМ</v>
          </cell>
          <cell r="B10">
            <v>2788.55</v>
          </cell>
        </row>
        <row r="11">
          <cell r="A11" t="str">
            <v xml:space="preserve"> 016  Сосиски Вязанка Молочные, Вязанка вискофан  ВЕС.ПОКОМ</v>
          </cell>
          <cell r="B11">
            <v>1144.6010000000001</v>
          </cell>
        </row>
        <row r="12">
          <cell r="A12" t="str">
            <v xml:space="preserve"> 017  Сосиски Вязанка Сливочные, Вязанка амицел ВЕС.ПОКОМ</v>
          </cell>
          <cell r="B12">
            <v>835.5</v>
          </cell>
        </row>
        <row r="13">
          <cell r="A13" t="str">
            <v xml:space="preserve"> 312  Ветчина Филейская ВЕС ТМ  Вязанка ТС Столичная  ПОКОМ</v>
          </cell>
          <cell r="B13">
            <v>529.04999999999995</v>
          </cell>
        </row>
        <row r="14">
          <cell r="A14" t="str">
            <v xml:space="preserve"> 315  Колбаса вареная Молокуша ТМ Вязанка ВЕС, ПОКОМ</v>
          </cell>
          <cell r="B14">
            <v>657.4</v>
          </cell>
        </row>
        <row r="15">
          <cell r="A15" t="str">
            <v xml:space="preserve"> 330  Колбаса вареная Филейская ТМ Вязанка ТС Классическая ВЕС  ПОКОМ</v>
          </cell>
          <cell r="B15">
            <v>798.05</v>
          </cell>
        </row>
        <row r="16">
          <cell r="A16" t="str">
            <v xml:space="preserve"> 335  Колбаса Сливушка ТМ Вязанка. ВЕС.  ПОКОМ </v>
          </cell>
          <cell r="B16">
            <v>877.8</v>
          </cell>
        </row>
        <row r="17">
          <cell r="A17" t="str">
            <v xml:space="preserve"> 336  Ветчина Сливушка с индейкой ТМ Вязанка. ВЕС  ПОКОМ</v>
          </cell>
          <cell r="B17">
            <v>110.3</v>
          </cell>
        </row>
        <row r="18">
          <cell r="A18" t="str">
            <v xml:space="preserve"> 364  Сардельки Филейские Вязанка ВЕС NDX ТМ Вязанка  ПОКОМ</v>
          </cell>
          <cell r="B18">
            <v>536.70000000000005</v>
          </cell>
        </row>
        <row r="19">
          <cell r="A19" t="str">
            <v xml:space="preserve"> 425 Сосиски Сливочные Вязанка Сливушки Весовые П/а мгс Вязанка  Поком</v>
          </cell>
          <cell r="B19">
            <v>33</v>
          </cell>
        </row>
        <row r="20">
          <cell r="A20" t="str">
            <v xml:space="preserve"> 547  Колбаса Мясная Классическая ТМ Вязанка в оболочке полиамид. ВЕС  ПОКОМ</v>
          </cell>
          <cell r="B20">
            <v>117.5</v>
          </cell>
        </row>
        <row r="21">
          <cell r="A21" t="str">
            <v xml:space="preserve"> 556  Колбаса Сервелат Ореховый ТМ Вязанка в оболочке фиброуз в вакуумной упаковке, ВЕС  ПОКОМ</v>
          </cell>
          <cell r="B21">
            <v>368.4</v>
          </cell>
        </row>
        <row r="22">
          <cell r="A22" t="str">
            <v xml:space="preserve"> 558  Колбаса Балыковая НОВАЯ ВЕС Вязанка фиброуз в/у ПОКОМ</v>
          </cell>
          <cell r="B22">
            <v>456.3</v>
          </cell>
        </row>
        <row r="23">
          <cell r="A23" t="str">
            <v>503 Колбаса Филейская со шпиком ТМ Вязанка в оболочке полиамид.ПОКОМ</v>
          </cell>
          <cell r="B23">
            <v>307.25</v>
          </cell>
        </row>
        <row r="24">
          <cell r="A24" t="str">
            <v xml:space="preserve"> 030  Сосиски Вязанка Молочные, Вязанка вискофан МГС, 0.45кг, ПОКОМ</v>
          </cell>
          <cell r="B24">
            <v>537</v>
          </cell>
        </row>
        <row r="25">
          <cell r="A25" t="str">
            <v xml:space="preserve"> 032  Сосиски Вязанка Сливочные, Вязанка амицел МГС, 0.45кг, ПОКОМ</v>
          </cell>
          <cell r="B25">
            <v>1051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>
            <v>469</v>
          </cell>
        </row>
        <row r="27">
          <cell r="A27" t="str">
            <v xml:space="preserve"> 319  Колбаса вареная Филейская ТМ Вязанка ТС Классическая, 0,45 кг. ПОКОМ</v>
          </cell>
          <cell r="B27">
            <v>343</v>
          </cell>
        </row>
        <row r="28">
          <cell r="A28" t="str">
            <v xml:space="preserve"> 322  Колбаса вареная Молокуша 0,45кг ТМ Вязанка  ПОКОМ</v>
          </cell>
          <cell r="B28">
            <v>485</v>
          </cell>
        </row>
        <row r="29">
          <cell r="A29" t="str">
            <v xml:space="preserve"> 339  Колбаса вареная Филейская ТМ Вязанка ТС Классическая, 0,40 кг.  ПОКОМ</v>
          </cell>
          <cell r="B29">
            <v>242</v>
          </cell>
        </row>
        <row r="30">
          <cell r="A30" t="str">
            <v xml:space="preserve"> 355  Колбаса Сервелат запеченный ТМ Стародворье ТС Дугушка. 0,6 кг. ПОКОМ</v>
          </cell>
          <cell r="B30">
            <v>10</v>
          </cell>
        </row>
        <row r="31">
          <cell r="A31" t="str">
            <v xml:space="preserve"> 387  Колбаса вареная Мусульманская Халяль ТМ Вязанка, 0,4 кг ПОКОМ</v>
          </cell>
          <cell r="B31">
            <v>122</v>
          </cell>
        </row>
        <row r="32">
          <cell r="A32" t="str">
            <v xml:space="preserve"> 388  Сосиски Восточные Халяль ТМ Вязанка 0,33 кг АК. ПОКОМ</v>
          </cell>
          <cell r="B32">
            <v>139</v>
          </cell>
        </row>
        <row r="33">
          <cell r="A33" t="str">
            <v xml:space="preserve"> 395  Колбаса Докторская ГОСТ ТМ Вязанка в оболочке полиамид 0,37 кг. ПОКОМ</v>
          </cell>
          <cell r="B33">
            <v>569</v>
          </cell>
        </row>
        <row r="34">
          <cell r="A34" t="str">
            <v xml:space="preserve"> 405  Сардельки Сливушки ТМ Вязанка в оболочке айпил 0,33 кг. ПОКОМ</v>
          </cell>
          <cell r="B34">
            <v>47</v>
          </cell>
        </row>
        <row r="35">
          <cell r="A35" t="str">
            <v xml:space="preserve"> 408  Ветчина Сливушка с индейкой ТМ Вязанка, 0,4кг  ПОКОМ</v>
          </cell>
          <cell r="B35">
            <v>226</v>
          </cell>
        </row>
        <row r="36">
          <cell r="A36" t="str">
            <v xml:space="preserve"> 552  Ветчина Сливушка с индейкой ТМ Вязанка в модифицированной газовой среде 0,1 кг нарезка  ПОКОМ</v>
          </cell>
          <cell r="B36">
            <v>4</v>
          </cell>
        </row>
        <row r="37">
          <cell r="A37" t="str">
            <v xml:space="preserve"> 555  Колбаса Молокуша ТМ Вязанка в модифицированной газовой среде 0,17 кг нарезка  ПОКОМ</v>
          </cell>
          <cell r="B37">
            <v>7</v>
          </cell>
        </row>
        <row r="38">
          <cell r="A38" t="str">
            <v xml:space="preserve"> 569  Колбаса Балыковая ТМ Вязанка в оболочке фиброуз в вакуумной упаковке 0,28 кг срез.  ПОКОМ</v>
          </cell>
          <cell r="B38">
            <v>337</v>
          </cell>
        </row>
        <row r="39">
          <cell r="A39" t="str">
            <v xml:space="preserve"> 571  Колбаса Сервелат Ореховый ТМ Вязанка в оболочке фиброуз в вак. упаковке 0,28 кг срез  ПОКОМ</v>
          </cell>
          <cell r="B39">
            <v>337</v>
          </cell>
        </row>
        <row r="40">
          <cell r="A40" t="str">
            <v xml:space="preserve"> 318  Сосиски Датские ТМ Зареченские, ВЕС  ПОКОМ</v>
          </cell>
          <cell r="B40">
            <v>44.6</v>
          </cell>
        </row>
        <row r="41">
          <cell r="A41" t="str">
            <v xml:space="preserve"> 200  Ветчина Дугушка ТМ Стародворье, вектор в/у    ПОКОМ</v>
          </cell>
          <cell r="B41">
            <v>1108.9549999999999</v>
          </cell>
        </row>
        <row r="42">
          <cell r="A42" t="str">
            <v xml:space="preserve"> 201  Ветчина Нежная ТМ Особый рецепт, (2,5кг), ПОКОМ</v>
          </cell>
          <cell r="B42">
            <v>3561.7</v>
          </cell>
        </row>
        <row r="43">
          <cell r="A43" t="str">
            <v xml:space="preserve"> 215  Колбаса Докторская ГОСТ Дугушка, ВЕС, ТМ Стародворье ПОКОМ</v>
          </cell>
          <cell r="B43">
            <v>91.56</v>
          </cell>
        </row>
        <row r="44">
          <cell r="A44" t="str">
            <v xml:space="preserve"> 219  Колбаса Докторская Особая ТМ Особый рецепт, ВЕС  ПОКОМ</v>
          </cell>
          <cell r="B44">
            <v>1218.5999999999999</v>
          </cell>
        </row>
        <row r="45">
          <cell r="A45" t="str">
            <v xml:space="preserve"> 225  Колбаса Дугушка со шпиком, ВЕС, ТМ Стародворье   ПОКОМ</v>
          </cell>
          <cell r="B45">
            <v>79.98</v>
          </cell>
        </row>
        <row r="46">
          <cell r="A46" t="str">
            <v xml:space="preserve"> 226  Колбаса Княжеская, с/к белков.обол в термоусад. пакете, ВЕС, ТМ Стародворье ПОКОМ</v>
          </cell>
          <cell r="B46">
            <v>14.02</v>
          </cell>
        </row>
        <row r="47">
          <cell r="A47" t="str">
            <v xml:space="preserve"> 229  Колбаса Молочная Дугушка, в/у, ВЕС, ТМ Стародворье   ПОКОМ</v>
          </cell>
          <cell r="B47">
            <v>1410.5229999999999</v>
          </cell>
        </row>
        <row r="48">
          <cell r="A48" t="str">
            <v xml:space="preserve"> 236  Колбаса Рубленая ЗАПЕЧ. Дугушка ТМ Стародворье, вектор, в/к    ПОКОМ</v>
          </cell>
          <cell r="B48">
            <v>170.89500000000001</v>
          </cell>
        </row>
        <row r="49">
          <cell r="A49" t="str">
            <v xml:space="preserve"> 239  Колбаса Салями запеч Дугушка, оболочка вектор, ВЕС, ТМ Стародворье  ПОКОМ</v>
          </cell>
          <cell r="B49">
            <v>492.06</v>
          </cell>
        </row>
        <row r="50">
          <cell r="A50" t="str">
            <v xml:space="preserve"> 242  Колбаса Сервелат ЗАПЕЧ.Дугушка ТМ Стародворье, вектор, в/к     ПОКОМ</v>
          </cell>
          <cell r="B50">
            <v>652.51499999999999</v>
          </cell>
        </row>
        <row r="51">
          <cell r="A51" t="str">
            <v xml:space="preserve"> 244  Колбаса Сервелат Кремлевский, ВЕС. ПОКОМ</v>
          </cell>
          <cell r="B51">
            <v>116.7</v>
          </cell>
        </row>
        <row r="52">
          <cell r="A52" t="str">
            <v xml:space="preserve"> 247  Сардельки Нежные, ВЕС.  ПОКОМ</v>
          </cell>
          <cell r="B52">
            <v>237.7</v>
          </cell>
        </row>
        <row r="53">
          <cell r="A53" t="str">
            <v xml:space="preserve"> 248  Сардельки Сочные ТМ Особый рецепт,   ПОКОМ</v>
          </cell>
          <cell r="B53">
            <v>191</v>
          </cell>
        </row>
        <row r="54">
          <cell r="A54" t="str">
            <v xml:space="preserve"> 250  Сардельки стародворские с говядиной в обол. NDX, ВЕС. ПОКОМ</v>
          </cell>
          <cell r="B54">
            <v>2027.35</v>
          </cell>
        </row>
        <row r="55">
          <cell r="A55" t="str">
            <v xml:space="preserve"> 251  Сосиски Баварские, ВЕС.  ПОКОМ</v>
          </cell>
          <cell r="B55">
            <v>28.96</v>
          </cell>
        </row>
        <row r="56">
          <cell r="A56" t="str">
            <v xml:space="preserve"> 253  Сосиски Ганноверские   ПОКОМ</v>
          </cell>
          <cell r="B56">
            <v>227.8</v>
          </cell>
        </row>
        <row r="57">
          <cell r="A57" t="str">
            <v xml:space="preserve"> 255  Сосиски Молочные для завтрака ТМ Особый рецепт, п/а МГС, ВЕС, ТМ Стародворье  ПОКОМ</v>
          </cell>
          <cell r="B57">
            <v>2874.16</v>
          </cell>
        </row>
        <row r="58">
          <cell r="A58" t="str">
            <v xml:space="preserve"> 263  Шпикачки Стародворские, ВЕС.  ПОКОМ</v>
          </cell>
          <cell r="B58">
            <v>242.4</v>
          </cell>
        </row>
        <row r="59">
          <cell r="A59" t="str">
            <v xml:space="preserve"> 283  Сосиски Сочинки, ВЕС, ТМ Стародворье ПОКОМ</v>
          </cell>
          <cell r="B59">
            <v>269.01</v>
          </cell>
        </row>
        <row r="60">
          <cell r="A60" t="str">
            <v xml:space="preserve"> 297  Колбаса Мясорубская с рубленой грудинкой ВЕС ТМ Стародворье  ПОКОМ</v>
          </cell>
          <cell r="B60">
            <v>66.900000000000006</v>
          </cell>
        </row>
        <row r="61">
          <cell r="A61" t="str">
            <v xml:space="preserve"> 305  Колбаса Сервелат Мясорубский с мелкорубленным окороком в/у  ТМ Стародворье ВЕС   ПОКОМ</v>
          </cell>
          <cell r="B61">
            <v>131.44999999999999</v>
          </cell>
        </row>
        <row r="62">
          <cell r="A62" t="str">
            <v xml:space="preserve"> 340  Сосиски Сочинки Молочные ТМ Стародворье, ВЕС ПОКОМ</v>
          </cell>
          <cell r="B62">
            <v>38.56</v>
          </cell>
        </row>
        <row r="63">
          <cell r="A63" t="str">
            <v xml:space="preserve"> 341 Сосиски Сочинки Сливочные ТМ Стародворье ВЕС ПОКОМ</v>
          </cell>
          <cell r="B63">
            <v>32.96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>
            <v>266.2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>
            <v>405.3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>
            <v>732.05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>
            <v>206.65</v>
          </cell>
        </row>
        <row r="68">
          <cell r="A68" t="str">
            <v xml:space="preserve"> 433 Колбаса Стародворская со шпиком  в оболочке полиамид. ТМ Стародворье ВЕС ПОКОМ</v>
          </cell>
          <cell r="B68">
            <v>5.2610000000000001</v>
          </cell>
        </row>
        <row r="69">
          <cell r="A69" t="str">
            <v xml:space="preserve"> 436  Колбаса Молочная стародворская с молоком, ВЕС, ТМ Стародворье  ПОКОМ</v>
          </cell>
          <cell r="B69">
            <v>194.054</v>
          </cell>
        </row>
        <row r="70">
          <cell r="A70" t="str">
            <v xml:space="preserve"> 449  Колбаса Дугушка Стародворская ВЕС ТС Дугушка ПОКОМ</v>
          </cell>
          <cell r="B70">
            <v>896.61500000000001</v>
          </cell>
        </row>
        <row r="71">
          <cell r="A71" t="str">
            <v xml:space="preserve"> 452  Колбаса Со шпиком ВЕС большой батон ТМ Особый рецепт  ПОКОМ</v>
          </cell>
          <cell r="B71">
            <v>1990.9</v>
          </cell>
        </row>
        <row r="72">
          <cell r="A72" t="str">
            <v xml:space="preserve"> 456  Колбаса Филейная ТМ Особый рецепт ВЕС большой батон  ПОКОМ</v>
          </cell>
          <cell r="B72">
            <v>2279.9</v>
          </cell>
        </row>
        <row r="73">
          <cell r="A73" t="str">
            <v xml:space="preserve"> 457  Колбаса Молочная ТМ Особый рецепт ВЕС большой батон  ПОКОМ</v>
          </cell>
          <cell r="B73">
            <v>2884.1</v>
          </cell>
        </row>
        <row r="74">
          <cell r="A74" t="str">
            <v xml:space="preserve"> 460  Колбаса Стародворская Традиционная ВЕС ТМ Стародворье в оболочке полиамид. ПОКОМ</v>
          </cell>
          <cell r="B74">
            <v>70.2</v>
          </cell>
        </row>
        <row r="75">
          <cell r="A75" t="str">
            <v xml:space="preserve"> 464  Колбаса Стародворская Традиционная со шпиком оболочке полиамид ТМ Стародворье.</v>
          </cell>
          <cell r="B75">
            <v>1.3</v>
          </cell>
        </row>
        <row r="76">
          <cell r="A76" t="str">
            <v xml:space="preserve"> 469  Колбаса Филедворская по-стародворски ТМ Стародворье в оболочке полиамид.ВЕС  ПОКОМ </v>
          </cell>
          <cell r="B76">
            <v>27.3</v>
          </cell>
        </row>
        <row r="77">
          <cell r="A77" t="str">
            <v xml:space="preserve"> 557  Колбаса Сервелат Финский ТМ Вязанка в оболочке фиброуз в вакуумной упаковке, ВЕС  ПОКОМ</v>
          </cell>
          <cell r="B77">
            <v>172.1</v>
          </cell>
        </row>
        <row r="78">
          <cell r="A78" t="str">
            <v xml:space="preserve"> 567 Колбаса Со шпиком Стародворская ТМ Стародворье в оболочке полиамид ВЕС  ПОКОМ</v>
          </cell>
          <cell r="B78">
            <v>3.9</v>
          </cell>
        </row>
        <row r="79">
          <cell r="A79" t="str">
            <v xml:space="preserve"> 579  Колбаса Ветчинно-рубленая ТМ Особый рецепт в оболочке полиамид.ВЕС  ПОКОМ</v>
          </cell>
          <cell r="B79">
            <v>195</v>
          </cell>
        </row>
        <row r="80">
          <cell r="A80" t="str">
            <v xml:space="preserve"> 580  Ветчина Нежная с индейкой ТМ Особый рецепт в оболочке полиамид.ВЕС  ПОКОМ</v>
          </cell>
          <cell r="B80">
            <v>107.5</v>
          </cell>
        </row>
        <row r="81">
          <cell r="A81" t="str">
            <v xml:space="preserve"> 585  Колбаса Молочная ТМ Стародворье в оболочке вектор НД ВЕС.  ПОКОМ</v>
          </cell>
          <cell r="B81">
            <v>284.77499999999998</v>
          </cell>
        </row>
        <row r="82">
          <cell r="A82" t="str">
            <v xml:space="preserve"> 586  Колбаса Мясная ТМ Стародворье в оболочке вектор НД ВЕС.  ПОКОМ</v>
          </cell>
          <cell r="B82">
            <v>382.55</v>
          </cell>
        </row>
        <row r="83">
          <cell r="A83" t="str">
            <v xml:space="preserve"> 588 Колбаса Со шпиком ТМ Стародворье в оболочке вектор ВЕС  ПОКОМ</v>
          </cell>
          <cell r="B83">
            <v>141.15600000000001</v>
          </cell>
        </row>
        <row r="84">
          <cell r="A84" t="str">
            <v xml:space="preserve"> 047  Кол Баварская, белков.обол. в термоусад. пакете 0.17 кг, ТМ Стародворье  ПОКОМ</v>
          </cell>
          <cell r="B84">
            <v>91</v>
          </cell>
        </row>
        <row r="85">
          <cell r="A85" t="str">
            <v xml:space="preserve"> 062  Колбаса Кракушка пряная с сальцем, 0.3кг в/у п/к, БАВАРУШКА ПОКОМ</v>
          </cell>
          <cell r="B85">
            <v>104</v>
          </cell>
        </row>
        <row r="86">
          <cell r="A86" t="str">
            <v xml:space="preserve"> 083  Колбаса Швейцарская 0,17 кг., ШТ., сырокопченая   ПОКОМ</v>
          </cell>
          <cell r="B86">
            <v>251</v>
          </cell>
        </row>
        <row r="87">
          <cell r="A87" t="str">
            <v xml:space="preserve"> 273  Сосиски Сочинки с сочной грудинкой, МГС 0.4кг,   ПОКОМ</v>
          </cell>
          <cell r="B87">
            <v>4376</v>
          </cell>
        </row>
        <row r="88">
          <cell r="A88" t="str">
            <v xml:space="preserve"> 278  Сосиски Сочинки с сочным окороком, МГС 0.4кг,   ПОКОМ</v>
          </cell>
          <cell r="B88">
            <v>1226</v>
          </cell>
        </row>
        <row r="89">
          <cell r="A89" t="str">
            <v xml:space="preserve"> 281  Сосиски Молочные для завтрака ТМ Особый рецепт, 0,4кг  ПОКОМ</v>
          </cell>
          <cell r="B89">
            <v>8</v>
          </cell>
        </row>
        <row r="90">
          <cell r="A90" t="str">
            <v xml:space="preserve"> 285  Паштет печеночный со слив.маслом ТМ Стародворье ламистер 0,1 кг  ПОКОМ</v>
          </cell>
          <cell r="B90">
            <v>259</v>
          </cell>
        </row>
        <row r="91">
          <cell r="A91" t="str">
            <v xml:space="preserve"> 296  Колбаса Мясорубская с рубленой грудинкой 0,35кг срез ТМ Стародворье  ПОКОМ</v>
          </cell>
          <cell r="B91">
            <v>343</v>
          </cell>
        </row>
        <row r="92">
          <cell r="A92" t="str">
            <v xml:space="preserve"> 301  Сосиски Сочинки по-баварски с сыром,  0.4кг, ТМ Стародворье  ПОКОМ</v>
          </cell>
          <cell r="B92">
            <v>210</v>
          </cell>
        </row>
        <row r="93">
          <cell r="A93" t="str">
            <v xml:space="preserve"> 302  Сосиски Сочинки по-баварски,  0.4кг, ТМ Стародворье  ПОКОМ</v>
          </cell>
          <cell r="B93">
            <v>165</v>
          </cell>
        </row>
        <row r="94">
          <cell r="A94" t="str">
            <v xml:space="preserve"> 307  Колбаса Сервелат Мясорубский с мелкорубленным окороком 0,35 кг срез ТМ Стародворье   Поком</v>
          </cell>
          <cell r="B94">
            <v>1813</v>
          </cell>
        </row>
        <row r="95">
          <cell r="A95" t="str">
            <v xml:space="preserve"> 309  Сосиски Сочинки с сыром 0,4 кг ТМ Стародворье  ПОКОМ</v>
          </cell>
          <cell r="B95">
            <v>660</v>
          </cell>
        </row>
        <row r="96">
          <cell r="A96" t="str">
            <v xml:space="preserve"> 328  Сардельки Сочинки Стародворье ТМ  0,4 кг ПОКОМ</v>
          </cell>
          <cell r="B96">
            <v>117</v>
          </cell>
        </row>
        <row r="97">
          <cell r="A97" t="str">
            <v xml:space="preserve"> 329  Сардельки Сочинки с сыром Стародворье ТМ, 0,4 кг. ПОКОМ</v>
          </cell>
          <cell r="B97">
            <v>46</v>
          </cell>
        </row>
        <row r="98">
          <cell r="A98" t="str">
            <v xml:space="preserve"> 334  Паштет Любительский ТМ Стародворье ламистер 0,1 кг  ПОКОМ</v>
          </cell>
          <cell r="B98">
            <v>155</v>
          </cell>
        </row>
        <row r="99">
          <cell r="A99" t="str">
            <v xml:space="preserve"> 338  Паштет печеночный с морковью ТМ Стародворье ламистер 0,1 кг.  ПОКОМ</v>
          </cell>
          <cell r="B99">
            <v>123</v>
          </cell>
        </row>
        <row r="100">
          <cell r="A100" t="str">
            <v xml:space="preserve"> 342 Сосиски Сочинки Молочные ТМ Стародворье 0,4 кг ПОКОМ</v>
          </cell>
          <cell r="B100">
            <v>857</v>
          </cell>
        </row>
        <row r="101">
          <cell r="A101" t="str">
            <v xml:space="preserve"> 343 Сосиски Сочинки Сливочные ТМ Стародворье  0,4 кг ПОКОМ</v>
          </cell>
          <cell r="B101">
            <v>698</v>
          </cell>
        </row>
        <row r="102">
          <cell r="A102" t="str">
            <v xml:space="preserve"> 376  Колбаса Докторская Дугушка 0,6кг ГОСТ ТМ Стародворье  ПОКОМ </v>
          </cell>
          <cell r="B102">
            <v>135</v>
          </cell>
        </row>
        <row r="103">
          <cell r="A103" t="str">
            <v xml:space="preserve"> 377  Колбаса Молочная Дугушка 0,6кг ТМ Стародворье  ПОКОМ</v>
          </cell>
          <cell r="B103">
            <v>18</v>
          </cell>
        </row>
        <row r="104">
          <cell r="A104" t="str">
            <v xml:space="preserve"> 380  Колбаса Филейбургская с филе сочного окорока 0,13кг с/в ТМ Баварушка  ПОКОМ</v>
          </cell>
          <cell r="B104">
            <v>1</v>
          </cell>
        </row>
        <row r="105">
          <cell r="A105" t="str">
            <v xml:space="preserve"> 394 Колбаса полукопченая Аль-Ислами халяль ТМ Вязанка оболочка фиброуз в в/у 0,35 кг  ПОКОМ</v>
          </cell>
          <cell r="B105">
            <v>76</v>
          </cell>
        </row>
        <row r="106">
          <cell r="A106" t="str">
            <v xml:space="preserve"> 397  Ветчина Дугушка ТМ Стародворье ТС Дугушка в полиамидной оболочке 0,6 кг. ПОКОМ</v>
          </cell>
          <cell r="B106">
            <v>165</v>
          </cell>
        </row>
        <row r="107">
          <cell r="A107" t="str">
            <v xml:space="preserve"> 410  Сосиски Баварские с сыром ТМ Стародворье 0,35 кг. ПОКОМ</v>
          </cell>
          <cell r="B107">
            <v>147</v>
          </cell>
        </row>
        <row r="108">
          <cell r="A108" t="str">
            <v xml:space="preserve"> 412  Сосиски Баварские ТМ Стародворье 0,35 кг ПОКОМ</v>
          </cell>
          <cell r="B108">
            <v>421</v>
          </cell>
        </row>
        <row r="109">
          <cell r="A109" t="str">
            <v xml:space="preserve"> 430  Колбаса Стародворская с окороком 0,4 кг. ТМ Стародворье в оболочке полиамид  ПОКОМ</v>
          </cell>
          <cell r="B109">
            <v>201</v>
          </cell>
        </row>
        <row r="110">
          <cell r="A110" t="str">
            <v xml:space="preserve"> 435  Колбаса Молочная Стародворская  с молоком в оболочке полиамид 0,4 кг.ТМ Стародворье ПОКОМ</v>
          </cell>
          <cell r="B110">
            <v>26</v>
          </cell>
        </row>
        <row r="111">
          <cell r="A111" t="str">
            <v xml:space="preserve"> 498  Колбаса Сочинка рубленая с сочным окороком 0,3кг ТМ Стародворье  ПОКОМ</v>
          </cell>
          <cell r="B111">
            <v>179</v>
          </cell>
        </row>
        <row r="112">
          <cell r="A112" t="str">
            <v xml:space="preserve"> 517  Сосиски С сыром ТМ Ядрена копоть 0,3кг  ПОКОМ</v>
          </cell>
          <cell r="B112">
            <v>260</v>
          </cell>
        </row>
        <row r="113">
          <cell r="A113" t="str">
            <v xml:space="preserve"> 520  Колбаса Мраморная ТМ Стародворье в вакуумной упаковке 0,07 кг нарезка  ПОКОМ</v>
          </cell>
          <cell r="B113">
            <v>14</v>
          </cell>
        </row>
        <row r="114">
          <cell r="A114" t="str">
            <v xml:space="preserve"> 524  Колбаса Сервелат Ореховый нарезка 0,07кг ТМ Стародворье  ПОКОМ</v>
          </cell>
          <cell r="B114">
            <v>173</v>
          </cell>
        </row>
        <row r="115">
          <cell r="A115" t="str">
            <v xml:space="preserve"> 525  Колбаса Фуэт нарезка 0,07кг ТМ Стародворье  ПОКОМ</v>
          </cell>
          <cell r="B115">
            <v>112</v>
          </cell>
        </row>
        <row r="116">
          <cell r="A116" t="str">
            <v xml:space="preserve"> 526  Корейка вяленая выдержанная нарезка 0,05кг ТМ Стародворье  ПОКОМ</v>
          </cell>
          <cell r="B116">
            <v>95</v>
          </cell>
        </row>
        <row r="117">
          <cell r="A117" t="str">
            <v xml:space="preserve"> 527  Окорок Прошутто выдержанный нарезка 0,055кг ТМ Стародворье  ПОКОМ</v>
          </cell>
          <cell r="B117">
            <v>86</v>
          </cell>
        </row>
        <row r="118">
          <cell r="A118" t="str">
            <v xml:space="preserve"> 530  Окорок Хамон выдержанный нарезка 0,055кг ТМ Стародворье  ПОКОМ</v>
          </cell>
          <cell r="B118">
            <v>60</v>
          </cell>
        </row>
        <row r="119">
          <cell r="A119" t="str">
            <v xml:space="preserve"> 537  Колбаса Докторская ТМ Стародворье ТС Дугушка в оболочке полиамид 0,4 кг  ПОКОМ</v>
          </cell>
          <cell r="B119">
            <v>9</v>
          </cell>
        </row>
        <row r="120">
          <cell r="A120" t="str">
            <v xml:space="preserve"> 544  Сосиски Мясные для гриля ТС Ядрена копоть 0,3 кг  ПОКОМ</v>
          </cell>
          <cell r="B120">
            <v>173</v>
          </cell>
        </row>
        <row r="121">
          <cell r="A121" t="str">
            <v xml:space="preserve"> 553  Ассорти колбас Мясорубская коллекция: Сервелат Делюкс, С балыком 0,08 кг нарезка  ПОКОМ</v>
          </cell>
          <cell r="B121">
            <v>203</v>
          </cell>
        </row>
        <row r="122">
          <cell r="A122" t="str">
            <v xml:space="preserve"> 554  Колбаса Сервелат Мясорубский ТМ Стародворье в упаковке скин 0,08 кг нарезка  ПОКОМ</v>
          </cell>
          <cell r="B122">
            <v>109</v>
          </cell>
        </row>
        <row r="123">
          <cell r="A123" t="str">
            <v>495  Колбаса Сочинка по-европейски с сочной грудинкой 0,3кг ТМ Стародворье  ПОКОМ</v>
          </cell>
          <cell r="B123">
            <v>299</v>
          </cell>
        </row>
        <row r="124">
          <cell r="A124" t="str">
            <v>496  Колбаса Сочинка по-фински с сочным окроком 0,3кг ТМ Стародворье  ПОКОМ</v>
          </cell>
          <cell r="B124">
            <v>258</v>
          </cell>
        </row>
        <row r="125">
          <cell r="A125" t="str">
            <v>515  Колбаса Сервелат Мясорубский Делюкс 0,3кг ТМ Стародворье  ПОКОМ</v>
          </cell>
          <cell r="B125">
            <v>350</v>
          </cell>
        </row>
        <row r="126">
          <cell r="A126" t="str">
            <v>519  Грудинка 0,12 кг нарезка ТМ Стародворье  ПОКОМ</v>
          </cell>
          <cell r="B126">
            <v>44</v>
          </cell>
        </row>
        <row r="127">
          <cell r="A127" t="str">
            <v>А_ 377  Колбаса Молочная Дугушка 0,6кг ТМ Стародворье  ПОКОМ</v>
          </cell>
          <cell r="B127">
            <v>2</v>
          </cell>
        </row>
        <row r="128">
          <cell r="A128" t="str">
            <v>А_301  Сосиски Сочинки по-баварски с сыром,  0.4кг, ТМ Стародворье  ПОКОМ</v>
          </cell>
          <cell r="B128">
            <v>5</v>
          </cell>
        </row>
        <row r="129">
          <cell r="B129">
            <v>56185.570000000014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30"/>
  <sheetViews>
    <sheetView tabSelected="1" topLeftCell="A5" workbookViewId="0">
      <pane xSplit="1" ySplit="6" topLeftCell="B11" activePane="bottomRight" state="frozen"/>
      <selection activeCell="A5" sqref="A5"/>
      <selection pane="topRight" activeCell="B5" sqref="B5"/>
      <selection pane="bottomLeft" activeCell="A11" sqref="A11"/>
      <selection pane="bottomRight" activeCell="W6" sqref="W6"/>
    </sheetView>
  </sheetViews>
  <sheetFormatPr defaultColWidth="21.6640625" defaultRowHeight="11.45" customHeight="1" outlineLevelRow="1" x14ac:dyDescent="0.2"/>
  <cols>
    <col min="1" max="1" width="55.5" style="1" customWidth="1"/>
    <col min="2" max="2" width="4.1640625" style="1" customWidth="1"/>
    <col min="3" max="3" width="9" style="1" customWidth="1"/>
    <col min="4" max="4" width="9.6640625" style="1" customWidth="1"/>
    <col min="5" max="5" width="10.33203125" style="1" customWidth="1"/>
    <col min="6" max="6" width="9.5" style="1" customWidth="1"/>
    <col min="7" max="7" width="9.6640625" style="5" customWidth="1"/>
    <col min="8" max="8" width="5.83203125" style="5" customWidth="1"/>
    <col min="9" max="9" width="2.83203125" style="5" customWidth="1"/>
    <col min="10" max="10" width="3.33203125" style="5" customWidth="1"/>
    <col min="11" max="11" width="9.33203125" style="5" bestFit="1" customWidth="1"/>
    <col min="12" max="12" width="8.5" style="5" customWidth="1"/>
    <col min="13" max="13" width="9.83203125" style="5" customWidth="1"/>
    <col min="14" max="14" width="2.5" style="5" customWidth="1"/>
    <col min="15" max="15" width="7.5" style="5" customWidth="1"/>
    <col min="16" max="16" width="9.33203125" style="5" customWidth="1"/>
    <col min="17" max="17" width="8.83203125" style="5" customWidth="1"/>
    <col min="18" max="18" width="8.5" style="5" customWidth="1"/>
    <col min="19" max="19" width="8.83203125" style="5" customWidth="1"/>
    <col min="20" max="20" width="10.83203125" style="5" customWidth="1"/>
    <col min="21" max="21" width="8.5" style="5" bestFit="1" customWidth="1"/>
    <col min="22" max="22" width="9.5" style="5" customWidth="1"/>
    <col min="23" max="23" width="11.33203125" style="5" customWidth="1"/>
    <col min="24" max="24" width="13" style="5" customWidth="1"/>
    <col min="25" max="25" width="9.5" style="5" bestFit="1" customWidth="1"/>
    <col min="26" max="26" width="6.5" style="5" bestFit="1" customWidth="1"/>
    <col min="27" max="27" width="7.83203125" style="5" bestFit="1" customWidth="1"/>
    <col min="28" max="29" width="9" style="5" customWidth="1"/>
    <col min="30" max="30" width="8.83203125" style="5" customWidth="1"/>
    <col min="31" max="31" width="9.1640625" style="5" customWidth="1"/>
    <col min="32" max="32" width="9.33203125" style="5" bestFit="1" customWidth="1"/>
    <col min="33" max="33" width="1.83203125" style="5" customWidth="1"/>
    <col min="34" max="51" width="7.83203125" style="5" customWidth="1"/>
    <col min="52" max="16384" width="21.6640625" style="5"/>
  </cols>
  <sheetData>
    <row r="1" spans="1:33" s="1" customFormat="1" ht="9.9499999999999993" customHeight="1" x14ac:dyDescent="0.2"/>
    <row r="2" spans="1:33" ht="24.95" customHeight="1" x14ac:dyDescent="0.2">
      <c r="A2" s="2" t="s">
        <v>0</v>
      </c>
    </row>
    <row r="3" spans="1:33" s="1" customFormat="1" ht="9.9499999999999993" customHeight="1" x14ac:dyDescent="0.2"/>
    <row r="4" spans="1:33" ht="12.95" customHeight="1" outlineLevel="1" x14ac:dyDescent="0.2">
      <c r="A4" s="3" t="s">
        <v>1</v>
      </c>
      <c r="B4" s="3" t="s">
        <v>2</v>
      </c>
      <c r="C4" s="3"/>
    </row>
    <row r="5" spans="1:33" ht="12.95" customHeight="1" outlineLevel="1" x14ac:dyDescent="0.2">
      <c r="B5" s="3" t="s">
        <v>3</v>
      </c>
      <c r="C5" s="3"/>
    </row>
    <row r="6" spans="1:33" ht="26.1" customHeight="1" outlineLevel="1" x14ac:dyDescent="0.2">
      <c r="A6" s="3" t="s">
        <v>4</v>
      </c>
      <c r="B6" s="3" t="s">
        <v>5</v>
      </c>
      <c r="C6" s="3"/>
      <c r="D6" s="3"/>
      <c r="E6" s="3"/>
      <c r="O6" s="25" t="s">
        <v>166</v>
      </c>
      <c r="P6" s="25" t="s">
        <v>164</v>
      </c>
      <c r="Q6" s="25" t="s">
        <v>162</v>
      </c>
      <c r="S6" s="23" t="s">
        <v>161</v>
      </c>
    </row>
    <row r="7" spans="1:33" s="1" customFormat="1" ht="9.9499999999999993" customHeight="1" x14ac:dyDescent="0.2">
      <c r="O7" s="26" t="s">
        <v>167</v>
      </c>
      <c r="P7" s="26" t="s">
        <v>165</v>
      </c>
      <c r="Q7" s="26" t="s">
        <v>163</v>
      </c>
      <c r="S7" s="24" t="s">
        <v>158</v>
      </c>
    </row>
    <row r="8" spans="1:33" ht="12.95" customHeight="1" x14ac:dyDescent="0.25">
      <c r="A8" s="6" t="s">
        <v>6</v>
      </c>
      <c r="B8" s="6" t="s">
        <v>7</v>
      </c>
      <c r="C8" s="4" t="s">
        <v>8</v>
      </c>
      <c r="D8" s="4"/>
      <c r="E8" s="4"/>
      <c r="F8" s="4"/>
      <c r="G8" s="12"/>
      <c r="H8" s="13" t="s">
        <v>135</v>
      </c>
      <c r="I8" s="14" t="s">
        <v>136</v>
      </c>
      <c r="J8" s="14" t="s">
        <v>137</v>
      </c>
      <c r="K8" s="14" t="s">
        <v>138</v>
      </c>
      <c r="L8" s="14" t="s">
        <v>139</v>
      </c>
      <c r="M8" s="14" t="s">
        <v>140</v>
      </c>
      <c r="N8" s="14"/>
      <c r="O8" s="14"/>
      <c r="P8" s="14" t="s">
        <v>141</v>
      </c>
      <c r="Q8" s="14" t="s">
        <v>142</v>
      </c>
      <c r="R8" s="15"/>
      <c r="S8" s="14" t="s">
        <v>142</v>
      </c>
      <c r="T8" s="14" t="s">
        <v>142</v>
      </c>
      <c r="U8" s="14" t="s">
        <v>143</v>
      </c>
      <c r="V8" s="16" t="s">
        <v>144</v>
      </c>
      <c r="W8" s="17" t="s">
        <v>145</v>
      </c>
      <c r="X8" s="17" t="s">
        <v>146</v>
      </c>
      <c r="Y8" s="14" t="s">
        <v>147</v>
      </c>
      <c r="Z8" s="14" t="s">
        <v>148</v>
      </c>
      <c r="AA8" s="14" t="s">
        <v>149</v>
      </c>
      <c r="AB8" s="14" t="s">
        <v>149</v>
      </c>
      <c r="AC8" s="14" t="s">
        <v>149</v>
      </c>
      <c r="AD8" s="14" t="s">
        <v>149</v>
      </c>
      <c r="AE8" s="14" t="s">
        <v>150</v>
      </c>
      <c r="AF8" s="14" t="s">
        <v>151</v>
      </c>
    </row>
    <row r="9" spans="1:33" ht="21" customHeight="1" x14ac:dyDescent="0.2">
      <c r="A9" s="7"/>
      <c r="B9" s="8"/>
      <c r="C9" s="4" t="s">
        <v>9</v>
      </c>
      <c r="D9" s="4" t="s">
        <v>10</v>
      </c>
      <c r="E9" s="4" t="s">
        <v>11</v>
      </c>
      <c r="F9" s="4" t="s">
        <v>12</v>
      </c>
      <c r="G9" s="15"/>
      <c r="H9" s="15"/>
      <c r="I9" s="15"/>
      <c r="J9" s="15"/>
      <c r="K9" s="15"/>
      <c r="L9" s="15"/>
      <c r="M9" s="15"/>
      <c r="N9" s="15"/>
      <c r="O9" s="15" t="s">
        <v>152</v>
      </c>
      <c r="P9" s="15" t="s">
        <v>152</v>
      </c>
      <c r="Q9" s="15" t="s">
        <v>152</v>
      </c>
      <c r="R9" s="15" t="s">
        <v>152</v>
      </c>
      <c r="S9" s="15" t="s">
        <v>154</v>
      </c>
      <c r="T9" s="15" t="s">
        <v>154</v>
      </c>
      <c r="U9" s="15" t="s">
        <v>159</v>
      </c>
      <c r="V9" s="18" t="s">
        <v>160</v>
      </c>
      <c r="W9" s="15"/>
      <c r="X9" s="15"/>
      <c r="Y9" s="15"/>
      <c r="Z9" s="15"/>
      <c r="AA9" s="15" t="s">
        <v>155</v>
      </c>
      <c r="AB9" s="15" t="s">
        <v>156</v>
      </c>
      <c r="AC9" s="15" t="s">
        <v>157</v>
      </c>
      <c r="AD9" s="15" t="s">
        <v>153</v>
      </c>
      <c r="AE9" s="15"/>
      <c r="AF9" s="15" t="s">
        <v>160</v>
      </c>
    </row>
    <row r="10" spans="1:33" ht="15.6" customHeight="1" x14ac:dyDescent="0.2">
      <c r="A10" s="7"/>
      <c r="B10" s="8"/>
      <c r="C10" s="19">
        <f t="shared" ref="C10" si="0">SUM(C11:C434)</f>
        <v>36603.534999999989</v>
      </c>
      <c r="D10" s="19">
        <f t="shared" ref="D10" si="1">SUM(D11:D434)</f>
        <v>69236.441999999981</v>
      </c>
      <c r="E10" s="19">
        <f t="shared" ref="E10" si="2">SUM(E11:E434)</f>
        <v>53552.788999999997</v>
      </c>
      <c r="F10" s="19">
        <f t="shared" ref="F10" si="3">SUM(F11:F434)</f>
        <v>33232.267</v>
      </c>
      <c r="G10" s="19"/>
      <c r="H10" s="15"/>
      <c r="I10" s="15"/>
      <c r="J10" s="15"/>
      <c r="K10" s="20"/>
      <c r="L10" s="19">
        <f t="shared" ref="L10:W10" si="4">SUM(L11:L434)</f>
        <v>56151.570000000014</v>
      </c>
      <c r="M10" s="19">
        <f t="shared" si="4"/>
        <v>-2598.7809999999995</v>
      </c>
      <c r="N10" s="19">
        <f t="shared" si="4"/>
        <v>0</v>
      </c>
      <c r="O10" s="19">
        <f t="shared" si="4"/>
        <v>9420</v>
      </c>
      <c r="P10" s="19">
        <f t="shared" si="4"/>
        <v>11520</v>
      </c>
      <c r="Q10" s="19">
        <f t="shared" si="4"/>
        <v>10220</v>
      </c>
      <c r="R10" s="19">
        <f t="shared" si="4"/>
        <v>29620</v>
      </c>
      <c r="S10" s="19">
        <f t="shared" si="4"/>
        <v>20825</v>
      </c>
      <c r="T10" s="19">
        <f t="shared" si="4"/>
        <v>20705</v>
      </c>
      <c r="U10" s="19">
        <f t="shared" si="4"/>
        <v>10710.557800000002</v>
      </c>
      <c r="V10" s="19">
        <f t="shared" si="4"/>
        <v>7551.8681999999999</v>
      </c>
      <c r="W10" s="19">
        <f t="shared" si="4"/>
        <v>6100</v>
      </c>
      <c r="X10" s="15"/>
      <c r="Y10" s="15"/>
      <c r="Z10" s="15"/>
      <c r="AA10" s="19">
        <f>SUM(AA11:AA434)</f>
        <v>9541.1492000000017</v>
      </c>
      <c r="AB10" s="19">
        <f>SUM(AB11:AB434)</f>
        <v>10279.900599999999</v>
      </c>
      <c r="AC10" s="19">
        <f>SUM(AC11:AC434)</f>
        <v>10398.844600000002</v>
      </c>
      <c r="AD10" s="19">
        <f>SUM(AD11:AD434)</f>
        <v>11148.323599999998</v>
      </c>
      <c r="AE10" s="15"/>
      <c r="AF10" s="19">
        <f>SUM(AF11:AF434)</f>
        <v>5777.5402000000031</v>
      </c>
    </row>
    <row r="11" spans="1:33" ht="11.1" customHeight="1" x14ac:dyDescent="0.2">
      <c r="A11" s="9" t="s">
        <v>13</v>
      </c>
      <c r="B11" s="9" t="s">
        <v>14</v>
      </c>
      <c r="C11" s="10">
        <v>1050.5619999999999</v>
      </c>
      <c r="D11" s="10">
        <v>3929.8820000000001</v>
      </c>
      <c r="E11" s="10">
        <v>2856.7640000000001</v>
      </c>
      <c r="F11" s="10">
        <v>831.55799999999999</v>
      </c>
      <c r="G11" s="5" t="str">
        <f>VLOOKUP(A:A,[1]TDSheet!$A:$G,7,0)</f>
        <v>P003011</v>
      </c>
      <c r="H11" s="5">
        <f>VLOOKUP(A:A,[1]TDSheet!$A:$H,8,0)</f>
        <v>1</v>
      </c>
      <c r="I11" s="5">
        <f>VLOOKUP(A:A,[1]TDSheet!$A:$I,9,0)</f>
        <v>50</v>
      </c>
      <c r="J11" s="5" t="str">
        <f>VLOOKUP(A:A,[1]TDSheet!$A:$J,10,0)</f>
        <v>матрица</v>
      </c>
      <c r="L11" s="21">
        <f>VLOOKUP(A:A,[2]TDSheet!$A:$B,2,0)</f>
        <v>2788.55</v>
      </c>
      <c r="M11" s="21">
        <f>E11-L11</f>
        <v>68.213999999999942</v>
      </c>
      <c r="N11" s="21"/>
      <c r="O11" s="21">
        <f>VLOOKUP(A:A,[1]TDSheet!$A:$P,16,0)</f>
        <v>2000</v>
      </c>
      <c r="P11" s="21">
        <f>VLOOKUP(A:A,[1]TDSheet!$A:$Q,17,0)</f>
        <v>2000</v>
      </c>
      <c r="Q11" s="21">
        <f>VLOOKUP(A:A,[1]TDSheet!$A:$R,18,0)</f>
        <v>400</v>
      </c>
      <c r="R11" s="21">
        <f>VLOOKUP(A:A,[1]TDSheet!$A:$T,20,0)</f>
        <v>0</v>
      </c>
      <c r="S11" s="21">
        <f>VLOOKUP(A:A,[1]TDSheet!$A:$N,14,0)</f>
        <v>1400</v>
      </c>
      <c r="T11" s="21">
        <f>VLOOKUP(A:A,[1]TDSheet!$A:$V,22,0)</f>
        <v>1400</v>
      </c>
      <c r="U11" s="21">
        <f>E11/5</f>
        <v>571.3528</v>
      </c>
      <c r="V11" s="22"/>
      <c r="W11" s="28">
        <v>450</v>
      </c>
      <c r="X11" s="29" t="s">
        <v>168</v>
      </c>
      <c r="Y11" s="21">
        <f>(F11+O11+P11+Q11+R11+S11+T11+V11)/U11</f>
        <v>14.057090470196348</v>
      </c>
      <c r="Z11" s="21">
        <f>F11/U11</f>
        <v>1.4554194886241916</v>
      </c>
      <c r="AA11" s="21">
        <f>VLOOKUP(A:A,[1]TDSheet!$A:$AB,28,0)</f>
        <v>560.63319999999999</v>
      </c>
      <c r="AB11" s="21">
        <f>VLOOKUP(A:A,[1]TDSheet!$A:$AC,29,0)</f>
        <v>522.90699999999993</v>
      </c>
      <c r="AC11" s="21">
        <f>VLOOKUP(A:A,[1]TDSheet!$A:$AD,30,0)</f>
        <v>519.64480000000003</v>
      </c>
      <c r="AD11" s="21">
        <f>VLOOKUP(A:A,[1]TDSheet!$A:$U,21,0)</f>
        <v>644.19260000000008</v>
      </c>
      <c r="AE11" s="21" t="str">
        <f>VLOOKUP(A:A,[1]TDSheet!$A:$AE,31,0)</f>
        <v>промо</v>
      </c>
      <c r="AF11" s="21">
        <f>V11*H11</f>
        <v>0</v>
      </c>
      <c r="AG11" s="21"/>
    </row>
    <row r="12" spans="1:33" ht="11.1" customHeight="1" x14ac:dyDescent="0.2">
      <c r="A12" s="9" t="s">
        <v>15</v>
      </c>
      <c r="B12" s="9" t="s">
        <v>14</v>
      </c>
      <c r="C12" s="10">
        <v>518.58299999999997</v>
      </c>
      <c r="D12" s="10">
        <v>1431.829</v>
      </c>
      <c r="E12" s="10">
        <v>1189.1790000000001</v>
      </c>
      <c r="F12" s="10">
        <v>299.471</v>
      </c>
      <c r="G12" s="5" t="str">
        <f>VLOOKUP(A:A,[1]TDSheet!$A:$G,7,0)</f>
        <v>P003986</v>
      </c>
      <c r="H12" s="5">
        <f>VLOOKUP(A:A,[1]TDSheet!$A:$H,8,0)</f>
        <v>1</v>
      </c>
      <c r="I12" s="5">
        <f>VLOOKUP(A:A,[1]TDSheet!$A:$I,9,0)</f>
        <v>45</v>
      </c>
      <c r="J12" s="5" t="str">
        <f>VLOOKUP(A:A,[1]TDSheet!$A:$J,10,0)</f>
        <v>матрица</v>
      </c>
      <c r="L12" s="21">
        <f>VLOOKUP(A:A,[2]TDSheet!$A:$B,2,0)</f>
        <v>1144.6010000000001</v>
      </c>
      <c r="M12" s="21">
        <f t="shared" ref="M12:M75" si="5">E12-L12</f>
        <v>44.577999999999975</v>
      </c>
      <c r="N12" s="21"/>
      <c r="O12" s="21">
        <f>VLOOKUP(A:A,[1]TDSheet!$A:$P,16,0)</f>
        <v>300</v>
      </c>
      <c r="P12" s="21">
        <f>VLOOKUP(A:A,[1]TDSheet!$A:$Q,17,0)</f>
        <v>300</v>
      </c>
      <c r="Q12" s="21">
        <f>VLOOKUP(A:A,[1]TDSheet!$A:$R,18,0)</f>
        <v>300</v>
      </c>
      <c r="R12" s="21">
        <f>VLOOKUP(A:A,[1]TDSheet!$A:$T,20,0)</f>
        <v>0</v>
      </c>
      <c r="S12" s="21">
        <f>VLOOKUP(A:A,[1]TDSheet!$A:$N,14,0)</f>
        <v>350</v>
      </c>
      <c r="T12" s="21">
        <f>VLOOKUP(A:A,[1]TDSheet!$A:$V,22,0)</f>
        <v>350</v>
      </c>
      <c r="U12" s="21">
        <f t="shared" ref="U12:U75" si="6">E12/5</f>
        <v>237.83580000000001</v>
      </c>
      <c r="V12" s="22">
        <f t="shared" ref="V12:V74" si="7">11*U12-F12-O12-P12-Q12-R12-S12-T12</f>
        <v>716.72280000000001</v>
      </c>
      <c r="W12" s="22"/>
      <c r="X12" s="21"/>
      <c r="Y12" s="21">
        <f t="shared" ref="Y12:Y75" si="8">(F12+O12+P12+Q12+R12+S12+T12+V12)/U12</f>
        <v>11</v>
      </c>
      <c r="Z12" s="21">
        <f t="shared" ref="Z12:Z75" si="9">F12/U12</f>
        <v>1.2591502204462071</v>
      </c>
      <c r="AA12" s="21">
        <f>VLOOKUP(A:A,[1]TDSheet!$A:$AB,28,0)</f>
        <v>186.2038</v>
      </c>
      <c r="AB12" s="21">
        <f>VLOOKUP(A:A,[1]TDSheet!$A:$AC,29,0)</f>
        <v>185.8854</v>
      </c>
      <c r="AC12" s="21">
        <f>VLOOKUP(A:A,[1]TDSheet!$A:$AD,30,0)</f>
        <v>182.13740000000001</v>
      </c>
      <c r="AD12" s="21">
        <f>VLOOKUP(A:A,[1]TDSheet!$A:$U,21,0)</f>
        <v>203.35039999999998</v>
      </c>
      <c r="AE12" s="21" t="str">
        <f>VLOOKUP(A:A,[1]TDSheet!$A:$AE,31,0)</f>
        <v>промо</v>
      </c>
      <c r="AF12" s="21">
        <f t="shared" ref="AF12:AF75" si="10">V12*H12</f>
        <v>716.72280000000001</v>
      </c>
      <c r="AG12" s="21"/>
    </row>
    <row r="13" spans="1:33" ht="11.1" customHeight="1" x14ac:dyDescent="0.2">
      <c r="A13" s="9" t="s">
        <v>16</v>
      </c>
      <c r="B13" s="9" t="s">
        <v>14</v>
      </c>
      <c r="C13" s="10">
        <v>540.51199999999994</v>
      </c>
      <c r="D13" s="10">
        <v>606.96199999999999</v>
      </c>
      <c r="E13" s="10">
        <v>725.654</v>
      </c>
      <c r="F13" s="10">
        <v>-1.2789999999999999</v>
      </c>
      <c r="G13" s="5" t="str">
        <f>VLOOKUP(A:A,[1]TDSheet!$A:$G,7,0)</f>
        <v>P003988</v>
      </c>
      <c r="H13" s="5">
        <f>VLOOKUP(A:A,[1]TDSheet!$A:$H,8,0)</f>
        <v>1</v>
      </c>
      <c r="I13" s="5">
        <f>VLOOKUP(A:A,[1]TDSheet!$A:$I,9,0)</f>
        <v>45</v>
      </c>
      <c r="J13" s="5" t="str">
        <f>VLOOKUP(A:A,[1]TDSheet!$A:$J,10,0)</f>
        <v>матрица</v>
      </c>
      <c r="L13" s="21">
        <f>VLOOKUP(A:A,[2]TDSheet!$A:$B,2,0)</f>
        <v>835.5</v>
      </c>
      <c r="M13" s="21">
        <f t="shared" si="5"/>
        <v>-109.846</v>
      </c>
      <c r="N13" s="21"/>
      <c r="O13" s="21">
        <f>VLOOKUP(A:A,[1]TDSheet!$A:$P,16,0)</f>
        <v>400</v>
      </c>
      <c r="P13" s="21">
        <f>VLOOKUP(A:A,[1]TDSheet!$A:$Q,17,0)</f>
        <v>400</v>
      </c>
      <c r="Q13" s="21">
        <f>VLOOKUP(A:A,[1]TDSheet!$A:$R,18,0)</f>
        <v>300</v>
      </c>
      <c r="R13" s="21">
        <f>VLOOKUP(A:A,[1]TDSheet!$A:$T,20,0)</f>
        <v>0</v>
      </c>
      <c r="S13" s="21">
        <f>VLOOKUP(A:A,[1]TDSheet!$A:$N,14,0)</f>
        <v>650</v>
      </c>
      <c r="T13" s="21">
        <f>VLOOKUP(A:A,[1]TDSheet!$A:$V,22,0)</f>
        <v>650</v>
      </c>
      <c r="U13" s="21">
        <f t="shared" si="6"/>
        <v>145.13079999999999</v>
      </c>
      <c r="V13" s="22"/>
      <c r="W13" s="28">
        <v>600</v>
      </c>
      <c r="X13" s="29" t="s">
        <v>168</v>
      </c>
      <c r="Y13" s="21">
        <f t="shared" si="8"/>
        <v>16.527994057774091</v>
      </c>
      <c r="Z13" s="21">
        <f t="shared" si="9"/>
        <v>-8.8127399559569716E-3</v>
      </c>
      <c r="AA13" s="21">
        <f>VLOOKUP(A:A,[1]TDSheet!$A:$AB,28,0)</f>
        <v>217.57159999999999</v>
      </c>
      <c r="AB13" s="21">
        <f>VLOOKUP(A:A,[1]TDSheet!$A:$AC,29,0)</f>
        <v>203.77680000000001</v>
      </c>
      <c r="AC13" s="21">
        <f>VLOOKUP(A:A,[1]TDSheet!$A:$AD,30,0)</f>
        <v>199.28119999999998</v>
      </c>
      <c r="AD13" s="21">
        <f>VLOOKUP(A:A,[1]TDSheet!$A:$U,21,0)</f>
        <v>215.2072</v>
      </c>
      <c r="AE13" s="21" t="str">
        <f>VLOOKUP(A:A,[1]TDSheet!$A:$AE,31,0)</f>
        <v>промо</v>
      </c>
      <c r="AF13" s="21">
        <f t="shared" si="10"/>
        <v>0</v>
      </c>
      <c r="AG13" s="21"/>
    </row>
    <row r="14" spans="1:33" ht="11.1" customHeight="1" x14ac:dyDescent="0.2">
      <c r="A14" s="9" t="s">
        <v>17</v>
      </c>
      <c r="B14" s="9" t="s">
        <v>18</v>
      </c>
      <c r="C14" s="10">
        <v>407</v>
      </c>
      <c r="D14" s="10">
        <v>820</v>
      </c>
      <c r="E14" s="10">
        <v>512</v>
      </c>
      <c r="F14" s="10">
        <v>419</v>
      </c>
      <c r="G14" s="5" t="str">
        <f>VLOOKUP(A:A,[1]TDSheet!$A:$G,7,0)</f>
        <v>P003985</v>
      </c>
      <c r="H14" s="5">
        <f>VLOOKUP(A:A,[1]TDSheet!$A:$H,8,0)</f>
        <v>0.45</v>
      </c>
      <c r="I14" s="5">
        <f>VLOOKUP(A:A,[1]TDSheet!$A:$I,9,0)</f>
        <v>45</v>
      </c>
      <c r="J14" s="5" t="str">
        <f>VLOOKUP(A:A,[1]TDSheet!$A:$J,10,0)</f>
        <v>матрица</v>
      </c>
      <c r="L14" s="21">
        <f>VLOOKUP(A:A,[2]TDSheet!$A:$B,2,0)</f>
        <v>537</v>
      </c>
      <c r="M14" s="21">
        <f t="shared" si="5"/>
        <v>-25</v>
      </c>
      <c r="N14" s="21"/>
      <c r="O14" s="21">
        <f>VLOOKUP(A:A,[1]TDSheet!$A:$P,16,0)</f>
        <v>0</v>
      </c>
      <c r="P14" s="21">
        <f>VLOOKUP(A:A,[1]TDSheet!$A:$Q,17,0)</f>
        <v>0</v>
      </c>
      <c r="Q14" s="21">
        <f>VLOOKUP(A:A,[1]TDSheet!$A:$R,18,0)</f>
        <v>0</v>
      </c>
      <c r="R14" s="21">
        <f>VLOOKUP(A:A,[1]TDSheet!$A:$T,20,0)</f>
        <v>760</v>
      </c>
      <c r="S14" s="21">
        <f>VLOOKUP(A:A,[1]TDSheet!$A:$N,14,0)</f>
        <v>85</v>
      </c>
      <c r="T14" s="21">
        <f>VLOOKUP(A:A,[1]TDSheet!$A:$V,22,0)</f>
        <v>85</v>
      </c>
      <c r="U14" s="21">
        <f t="shared" si="6"/>
        <v>102.4</v>
      </c>
      <c r="V14" s="22"/>
      <c r="W14" s="22"/>
      <c r="X14" s="21"/>
      <c r="Y14" s="21">
        <f t="shared" si="8"/>
        <v>13.173828125</v>
      </c>
      <c r="Z14" s="21">
        <f t="shared" si="9"/>
        <v>4.091796875</v>
      </c>
      <c r="AA14" s="21">
        <f>VLOOKUP(A:A,[1]TDSheet!$A:$AB,28,0)</f>
        <v>107</v>
      </c>
      <c r="AB14" s="21">
        <f>VLOOKUP(A:A,[1]TDSheet!$A:$AC,29,0)</f>
        <v>111</v>
      </c>
      <c r="AC14" s="21">
        <f>VLOOKUP(A:A,[1]TDSheet!$A:$AD,30,0)</f>
        <v>107.2</v>
      </c>
      <c r="AD14" s="21">
        <f>VLOOKUP(A:A,[1]TDSheet!$A:$U,21,0)</f>
        <v>102.8</v>
      </c>
      <c r="AE14" s="21"/>
      <c r="AF14" s="21">
        <f t="shared" si="10"/>
        <v>0</v>
      </c>
      <c r="AG14" s="21"/>
    </row>
    <row r="15" spans="1:33" ht="11.1" customHeight="1" x14ac:dyDescent="0.2">
      <c r="A15" s="9" t="s">
        <v>19</v>
      </c>
      <c r="B15" s="9" t="s">
        <v>18</v>
      </c>
      <c r="C15" s="10">
        <v>575.53</v>
      </c>
      <c r="D15" s="10">
        <v>1879.47</v>
      </c>
      <c r="E15" s="10">
        <v>1027</v>
      </c>
      <c r="F15" s="10">
        <v>592</v>
      </c>
      <c r="G15" s="5" t="str">
        <f>VLOOKUP(A:A,[1]TDSheet!$A:$G,7,0)</f>
        <v>P003989</v>
      </c>
      <c r="H15" s="5">
        <f>VLOOKUP(A:A,[1]TDSheet!$A:$H,8,0)</f>
        <v>0.45</v>
      </c>
      <c r="I15" s="5">
        <f>VLOOKUP(A:A,[1]TDSheet!$A:$I,9,0)</f>
        <v>45</v>
      </c>
      <c r="J15" s="5" t="str">
        <f>VLOOKUP(A:A,[1]TDSheet!$A:$J,10,0)</f>
        <v>матрица</v>
      </c>
      <c r="L15" s="21">
        <f>VLOOKUP(A:A,[2]TDSheet!$A:$B,2,0)</f>
        <v>1051</v>
      </c>
      <c r="M15" s="21">
        <f t="shared" si="5"/>
        <v>-24</v>
      </c>
      <c r="N15" s="21"/>
      <c r="O15" s="21">
        <f>VLOOKUP(A:A,[1]TDSheet!$A:$P,16,0)</f>
        <v>0</v>
      </c>
      <c r="P15" s="21">
        <f>VLOOKUP(A:A,[1]TDSheet!$A:$Q,17,0)</f>
        <v>0</v>
      </c>
      <c r="Q15" s="21">
        <f>VLOOKUP(A:A,[1]TDSheet!$A:$R,18,0)</f>
        <v>0</v>
      </c>
      <c r="R15" s="21">
        <f>VLOOKUP(A:A,[1]TDSheet!$A:$T,20,0)</f>
        <v>1100</v>
      </c>
      <c r="S15" s="21">
        <f>VLOOKUP(A:A,[1]TDSheet!$A:$N,14,0)</f>
        <v>350</v>
      </c>
      <c r="T15" s="21">
        <f>VLOOKUP(A:A,[1]TDSheet!$A:$V,22,0)</f>
        <v>350</v>
      </c>
      <c r="U15" s="21">
        <f t="shared" si="6"/>
        <v>205.4</v>
      </c>
      <c r="V15" s="22"/>
      <c r="W15" s="28">
        <v>400</v>
      </c>
      <c r="X15" s="29" t="s">
        <v>168</v>
      </c>
      <c r="Y15" s="21">
        <f t="shared" si="8"/>
        <v>11.645569620253164</v>
      </c>
      <c r="Z15" s="21">
        <f t="shared" si="9"/>
        <v>2.8821811100292112</v>
      </c>
      <c r="AA15" s="21">
        <f>VLOOKUP(A:A,[1]TDSheet!$A:$AB,28,0)</f>
        <v>230.2</v>
      </c>
      <c r="AB15" s="21">
        <f>VLOOKUP(A:A,[1]TDSheet!$A:$AC,29,0)</f>
        <v>200.4</v>
      </c>
      <c r="AC15" s="21">
        <f>VLOOKUP(A:A,[1]TDSheet!$A:$AD,30,0)</f>
        <v>195</v>
      </c>
      <c r="AD15" s="21">
        <f>VLOOKUP(A:A,[1]TDSheet!$A:$U,21,0)</f>
        <v>203.4</v>
      </c>
      <c r="AE15" s="21" t="str">
        <f>VLOOKUP(A:A,[1]TDSheet!$A:$AE,31,0)</f>
        <v>промо</v>
      </c>
      <c r="AF15" s="21">
        <f t="shared" si="10"/>
        <v>0</v>
      </c>
      <c r="AG15" s="21"/>
    </row>
    <row r="16" spans="1:33" ht="21.95" customHeight="1" x14ac:dyDescent="0.2">
      <c r="A16" s="9" t="s">
        <v>20</v>
      </c>
      <c r="B16" s="9" t="s">
        <v>18</v>
      </c>
      <c r="C16" s="10">
        <v>127</v>
      </c>
      <c r="D16" s="10">
        <v>6</v>
      </c>
      <c r="E16" s="10">
        <v>75</v>
      </c>
      <c r="F16" s="10">
        <v>51</v>
      </c>
      <c r="G16" s="5" t="str">
        <f>VLOOKUP(A:A,[1]TDSheet!$A:$G,7,0)</f>
        <v>P002290</v>
      </c>
      <c r="H16" s="5">
        <f>VLOOKUP(A:A,[1]TDSheet!$A:$H,8,0)</f>
        <v>0.17</v>
      </c>
      <c r="I16" s="5">
        <f>VLOOKUP(A:A,[1]TDSheet!$A:$I,9,0)</f>
        <v>180</v>
      </c>
      <c r="J16" s="5" t="str">
        <f>VLOOKUP(A:A,[1]TDSheet!$A:$J,10,0)</f>
        <v>матрица</v>
      </c>
      <c r="L16" s="21">
        <f>VLOOKUP(A:A,[2]TDSheet!$A:$B,2,0)</f>
        <v>91</v>
      </c>
      <c r="M16" s="21">
        <f t="shared" si="5"/>
        <v>-16</v>
      </c>
      <c r="N16" s="21"/>
      <c r="O16" s="21">
        <f>VLOOKUP(A:A,[1]TDSheet!$A:$P,16,0)</f>
        <v>0</v>
      </c>
      <c r="P16" s="21">
        <f>VLOOKUP(A:A,[1]TDSheet!$A:$Q,17,0)</f>
        <v>0</v>
      </c>
      <c r="Q16" s="21">
        <f>VLOOKUP(A:A,[1]TDSheet!$A:$R,18,0)</f>
        <v>0</v>
      </c>
      <c r="R16" s="21">
        <f>VLOOKUP(A:A,[1]TDSheet!$A:$T,20,0)</f>
        <v>80</v>
      </c>
      <c r="S16" s="21">
        <f>VLOOKUP(A:A,[1]TDSheet!$A:$N,14,0)</f>
        <v>30</v>
      </c>
      <c r="T16" s="21">
        <f>VLOOKUP(A:A,[1]TDSheet!$A:$V,22,0)</f>
        <v>30</v>
      </c>
      <c r="U16" s="21">
        <f t="shared" si="6"/>
        <v>15</v>
      </c>
      <c r="V16" s="22"/>
      <c r="W16" s="22"/>
      <c r="X16" s="21"/>
      <c r="Y16" s="21">
        <f t="shared" si="8"/>
        <v>12.733333333333333</v>
      </c>
      <c r="Z16" s="21">
        <f t="shared" si="9"/>
        <v>3.4</v>
      </c>
      <c r="AA16" s="21">
        <f>VLOOKUP(A:A,[1]TDSheet!$A:$AB,28,0)</f>
        <v>13.4</v>
      </c>
      <c r="AB16" s="21">
        <f>VLOOKUP(A:A,[1]TDSheet!$A:$AC,29,0)</f>
        <v>12.8</v>
      </c>
      <c r="AC16" s="21">
        <f>VLOOKUP(A:A,[1]TDSheet!$A:$AD,30,0)</f>
        <v>10</v>
      </c>
      <c r="AD16" s="21">
        <f>VLOOKUP(A:A,[1]TDSheet!$A:$U,21,0)</f>
        <v>21.2</v>
      </c>
      <c r="AE16" s="21"/>
      <c r="AF16" s="21">
        <f t="shared" si="10"/>
        <v>0</v>
      </c>
      <c r="AG16" s="21"/>
    </row>
    <row r="17" spans="1:33" ht="11.1" customHeight="1" x14ac:dyDescent="0.2">
      <c r="A17" s="9" t="s">
        <v>21</v>
      </c>
      <c r="B17" s="9" t="s">
        <v>18</v>
      </c>
      <c r="C17" s="10">
        <v>-47</v>
      </c>
      <c r="D17" s="10">
        <v>47</v>
      </c>
      <c r="E17" s="10">
        <v>0</v>
      </c>
      <c r="F17" s="10"/>
      <c r="H17" s="5">
        <v>0.4</v>
      </c>
      <c r="L17" s="21">
        <v>0</v>
      </c>
      <c r="M17" s="21">
        <f t="shared" si="5"/>
        <v>0</v>
      </c>
      <c r="N17" s="21"/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f t="shared" si="6"/>
        <v>0</v>
      </c>
      <c r="V17" s="22">
        <f t="shared" si="7"/>
        <v>0</v>
      </c>
      <c r="W17" s="22"/>
      <c r="X17" s="21"/>
      <c r="Y17" s="21" t="e">
        <f t="shared" si="8"/>
        <v>#DIV/0!</v>
      </c>
      <c r="Z17" s="21" t="e">
        <f t="shared" si="9"/>
        <v>#DIV/0!</v>
      </c>
      <c r="AA17" s="21">
        <v>0</v>
      </c>
      <c r="AB17" s="21">
        <v>0</v>
      </c>
      <c r="AC17" s="21">
        <v>0</v>
      </c>
      <c r="AD17" s="21">
        <v>0</v>
      </c>
      <c r="AE17" s="21"/>
      <c r="AF17" s="21">
        <f t="shared" si="10"/>
        <v>0</v>
      </c>
      <c r="AG17" s="21"/>
    </row>
    <row r="18" spans="1:33" ht="11.1" customHeight="1" x14ac:dyDescent="0.2">
      <c r="A18" s="9" t="s">
        <v>22</v>
      </c>
      <c r="B18" s="9" t="s">
        <v>18</v>
      </c>
      <c r="C18" s="10">
        <v>51</v>
      </c>
      <c r="D18" s="10">
        <v>52</v>
      </c>
      <c r="E18" s="10">
        <v>89</v>
      </c>
      <c r="F18" s="10">
        <v>-4</v>
      </c>
      <c r="G18" s="5" t="str">
        <f>VLOOKUP(A:A,[1]TDSheet!$A:$G,7,0)</f>
        <v>P002461</v>
      </c>
      <c r="H18" s="5">
        <f>VLOOKUP(A:A,[1]TDSheet!$A:$H,8,0)</f>
        <v>0.3</v>
      </c>
      <c r="I18" s="5">
        <f>VLOOKUP(A:A,[1]TDSheet!$A:$I,9,0)</f>
        <v>40</v>
      </c>
      <c r="J18" s="5" t="str">
        <f>VLOOKUP(A:A,[1]TDSheet!$A:$J,10,0)</f>
        <v>матрица</v>
      </c>
      <c r="L18" s="21">
        <f>VLOOKUP(A:A,[2]TDSheet!$A:$B,2,0)</f>
        <v>104</v>
      </c>
      <c r="M18" s="21">
        <f t="shared" si="5"/>
        <v>-15</v>
      </c>
      <c r="N18" s="21"/>
      <c r="O18" s="21">
        <f>VLOOKUP(A:A,[1]TDSheet!$A:$P,16,0)</f>
        <v>0</v>
      </c>
      <c r="P18" s="21">
        <f>VLOOKUP(A:A,[1]TDSheet!$A:$Q,17,0)</f>
        <v>0</v>
      </c>
      <c r="Q18" s="21">
        <f>VLOOKUP(A:A,[1]TDSheet!$A:$R,18,0)</f>
        <v>0</v>
      </c>
      <c r="R18" s="21">
        <f>VLOOKUP(A:A,[1]TDSheet!$A:$T,20,0)</f>
        <v>70</v>
      </c>
      <c r="S18" s="21">
        <f>VLOOKUP(A:A,[1]TDSheet!$A:$N,14,0)</f>
        <v>60</v>
      </c>
      <c r="T18" s="21">
        <f>VLOOKUP(A:A,[1]TDSheet!$A:$V,22,0)</f>
        <v>60</v>
      </c>
      <c r="U18" s="21">
        <f t="shared" si="6"/>
        <v>17.8</v>
      </c>
      <c r="V18" s="22">
        <f t="shared" si="7"/>
        <v>9.8000000000000114</v>
      </c>
      <c r="W18" s="22"/>
      <c r="X18" s="21"/>
      <c r="Y18" s="21">
        <f t="shared" si="8"/>
        <v>11</v>
      </c>
      <c r="Z18" s="21">
        <f t="shared" si="9"/>
        <v>-0.2247191011235955</v>
      </c>
      <c r="AA18" s="21">
        <f>VLOOKUP(A:A,[1]TDSheet!$A:$AB,28,0)</f>
        <v>6.4</v>
      </c>
      <c r="AB18" s="21">
        <f>VLOOKUP(A:A,[1]TDSheet!$A:$AC,29,0)</f>
        <v>11.6</v>
      </c>
      <c r="AC18" s="21">
        <f>VLOOKUP(A:A,[1]TDSheet!$A:$AD,30,0)</f>
        <v>12.8</v>
      </c>
      <c r="AD18" s="21">
        <f>VLOOKUP(A:A,[1]TDSheet!$A:$U,21,0)</f>
        <v>20.399999999999999</v>
      </c>
      <c r="AE18" s="21"/>
      <c r="AF18" s="21">
        <f t="shared" si="10"/>
        <v>2.9400000000000035</v>
      </c>
      <c r="AG18" s="21"/>
    </row>
    <row r="19" spans="1:33" ht="11.1" customHeight="1" x14ac:dyDescent="0.2">
      <c r="A19" s="9" t="s">
        <v>23</v>
      </c>
      <c r="B19" s="9" t="s">
        <v>18</v>
      </c>
      <c r="C19" s="10">
        <v>203</v>
      </c>
      <c r="D19" s="10">
        <v>208</v>
      </c>
      <c r="E19" s="10">
        <v>249</v>
      </c>
      <c r="F19" s="10">
        <v>95</v>
      </c>
      <c r="G19" s="5" t="str">
        <f>VLOOKUP(A:A,[1]TDSheet!$A:$G,7,0)</f>
        <v>P001909</v>
      </c>
      <c r="H19" s="5">
        <f>VLOOKUP(A:A,[1]TDSheet!$A:$H,8,0)</f>
        <v>0.17</v>
      </c>
      <c r="I19" s="5">
        <f>VLOOKUP(A:A,[1]TDSheet!$A:$I,9,0)</f>
        <v>180</v>
      </c>
      <c r="J19" s="5" t="str">
        <f>VLOOKUP(A:A,[1]TDSheet!$A:$J,10,0)</f>
        <v>матрица</v>
      </c>
      <c r="L19" s="21">
        <f>VLOOKUP(A:A,[2]TDSheet!$A:$B,2,0)</f>
        <v>251</v>
      </c>
      <c r="M19" s="21">
        <f t="shared" si="5"/>
        <v>-2</v>
      </c>
      <c r="N19" s="21"/>
      <c r="O19" s="21">
        <f>VLOOKUP(A:A,[1]TDSheet!$A:$P,16,0)</f>
        <v>0</v>
      </c>
      <c r="P19" s="21">
        <f>VLOOKUP(A:A,[1]TDSheet!$A:$Q,17,0)</f>
        <v>0</v>
      </c>
      <c r="Q19" s="21">
        <f>VLOOKUP(A:A,[1]TDSheet!$A:$R,18,0)</f>
        <v>0</v>
      </c>
      <c r="R19" s="21">
        <f>VLOOKUP(A:A,[1]TDSheet!$A:$T,20,0)</f>
        <v>250</v>
      </c>
      <c r="S19" s="21">
        <f>VLOOKUP(A:A,[1]TDSheet!$A:$N,14,0)</f>
        <v>55</v>
      </c>
      <c r="T19" s="21">
        <f>VLOOKUP(A:A,[1]TDSheet!$A:$V,22,0)</f>
        <v>55</v>
      </c>
      <c r="U19" s="21">
        <f t="shared" si="6"/>
        <v>49.8</v>
      </c>
      <c r="V19" s="22">
        <f t="shared" si="7"/>
        <v>92.799999999999955</v>
      </c>
      <c r="W19" s="22"/>
      <c r="X19" s="21"/>
      <c r="Y19" s="21">
        <f t="shared" si="8"/>
        <v>11</v>
      </c>
      <c r="Z19" s="21">
        <f t="shared" si="9"/>
        <v>1.9076305220883536</v>
      </c>
      <c r="AA19" s="21">
        <f>VLOOKUP(A:A,[1]TDSheet!$A:$AB,28,0)</f>
        <v>40.200000000000003</v>
      </c>
      <c r="AB19" s="21">
        <f>VLOOKUP(A:A,[1]TDSheet!$A:$AC,29,0)</f>
        <v>52.4</v>
      </c>
      <c r="AC19" s="21">
        <f>VLOOKUP(A:A,[1]TDSheet!$A:$AD,30,0)</f>
        <v>45.6</v>
      </c>
      <c r="AD19" s="21">
        <f>VLOOKUP(A:A,[1]TDSheet!$A:$U,21,0)</f>
        <v>50.4</v>
      </c>
      <c r="AE19" s="21"/>
      <c r="AF19" s="21">
        <f t="shared" si="10"/>
        <v>15.775999999999993</v>
      </c>
      <c r="AG19" s="21"/>
    </row>
    <row r="20" spans="1:33" ht="11.1" customHeight="1" x14ac:dyDescent="0.2">
      <c r="A20" s="9" t="s">
        <v>24</v>
      </c>
      <c r="B20" s="9" t="s">
        <v>14</v>
      </c>
      <c r="C20" s="10">
        <v>279.95699999999999</v>
      </c>
      <c r="D20" s="10">
        <v>1891.3630000000001</v>
      </c>
      <c r="E20" s="10">
        <v>1137.462</v>
      </c>
      <c r="F20" s="10">
        <v>542.24800000000005</v>
      </c>
      <c r="G20" s="5" t="str">
        <f>VLOOKUP(A:A,[1]TDSheet!$A:$G,7,0)</f>
        <v>P004460</v>
      </c>
      <c r="H20" s="5">
        <f>VLOOKUP(A:A,[1]TDSheet!$A:$H,8,0)</f>
        <v>1</v>
      </c>
      <c r="I20" s="5">
        <f>VLOOKUP(A:A,[1]TDSheet!$A:$I,9,0)</f>
        <v>55</v>
      </c>
      <c r="J20" s="5" t="str">
        <f>VLOOKUP(A:A,[1]TDSheet!$A:$J,10,0)</f>
        <v>матрица</v>
      </c>
      <c r="L20" s="21">
        <f>VLOOKUP(A:A,[2]TDSheet!$A:$B,2,0)</f>
        <v>1108.9549999999999</v>
      </c>
      <c r="M20" s="21">
        <f t="shared" si="5"/>
        <v>28.507000000000062</v>
      </c>
      <c r="N20" s="21"/>
      <c r="O20" s="21">
        <f>VLOOKUP(A:A,[1]TDSheet!$A:$P,16,0)</f>
        <v>500</v>
      </c>
      <c r="P20" s="21">
        <f>VLOOKUP(A:A,[1]TDSheet!$A:$Q,17,0)</f>
        <v>500</v>
      </c>
      <c r="Q20" s="21">
        <f>VLOOKUP(A:A,[1]TDSheet!$A:$R,18,0)</f>
        <v>500</v>
      </c>
      <c r="R20" s="21">
        <f>VLOOKUP(A:A,[1]TDSheet!$A:$T,20,0)</f>
        <v>150</v>
      </c>
      <c r="S20" s="21">
        <f>VLOOKUP(A:A,[1]TDSheet!$A:$N,14,0)</f>
        <v>350</v>
      </c>
      <c r="T20" s="21">
        <f>VLOOKUP(A:A,[1]TDSheet!$A:$V,22,0)</f>
        <v>350</v>
      </c>
      <c r="U20" s="21">
        <f t="shared" si="6"/>
        <v>227.4924</v>
      </c>
      <c r="V20" s="22"/>
      <c r="W20" s="22"/>
      <c r="X20" s="21"/>
      <c r="Y20" s="21">
        <f t="shared" si="8"/>
        <v>12.713602740135494</v>
      </c>
      <c r="Z20" s="21">
        <f t="shared" si="9"/>
        <v>2.3835873198401356</v>
      </c>
      <c r="AA20" s="21">
        <f>VLOOKUP(A:A,[1]TDSheet!$A:$AB,28,0)</f>
        <v>185.697</v>
      </c>
      <c r="AB20" s="21">
        <f>VLOOKUP(A:A,[1]TDSheet!$A:$AC,29,0)</f>
        <v>202.10759999999999</v>
      </c>
      <c r="AC20" s="21">
        <f>VLOOKUP(A:A,[1]TDSheet!$A:$AD,30,0)</f>
        <v>219.25100000000003</v>
      </c>
      <c r="AD20" s="21">
        <f>VLOOKUP(A:A,[1]TDSheet!$A:$U,21,0)</f>
        <v>237.53000000000003</v>
      </c>
      <c r="AE20" s="21" t="str">
        <f>VLOOKUP(A:A,[1]TDSheet!$A:$AE,31,0)</f>
        <v>промо</v>
      </c>
      <c r="AF20" s="21">
        <f t="shared" si="10"/>
        <v>0</v>
      </c>
      <c r="AG20" s="21"/>
    </row>
    <row r="21" spans="1:33" ht="11.1" customHeight="1" x14ac:dyDescent="0.2">
      <c r="A21" s="9" t="s">
        <v>25</v>
      </c>
      <c r="B21" s="9" t="s">
        <v>14</v>
      </c>
      <c r="C21" s="10">
        <v>1157.0350000000001</v>
      </c>
      <c r="D21" s="10">
        <v>5129.9390000000003</v>
      </c>
      <c r="E21" s="10">
        <v>3531.3130000000001</v>
      </c>
      <c r="F21" s="10">
        <v>1571.4</v>
      </c>
      <c r="G21" s="5" t="str">
        <f>VLOOKUP(A:A,[1]TDSheet!$A:$G,7,0)</f>
        <v>P002555</v>
      </c>
      <c r="H21" s="5">
        <f>VLOOKUP(A:A,[1]TDSheet!$A:$H,8,0)</f>
        <v>1</v>
      </c>
      <c r="I21" s="5">
        <f>VLOOKUP(A:A,[1]TDSheet!$A:$I,9,0)</f>
        <v>50</v>
      </c>
      <c r="J21" s="5" t="str">
        <f>VLOOKUP(A:A,[1]TDSheet!$A:$J,10,0)</f>
        <v>матрица</v>
      </c>
      <c r="L21" s="21">
        <f>VLOOKUP(A:A,[2]TDSheet!$A:$B,2,0)</f>
        <v>3561.7</v>
      </c>
      <c r="M21" s="21">
        <f t="shared" si="5"/>
        <v>-30.386999999999716</v>
      </c>
      <c r="N21" s="21"/>
      <c r="O21" s="21">
        <f>VLOOKUP(A:A,[1]TDSheet!$A:$P,16,0)</f>
        <v>1300</v>
      </c>
      <c r="P21" s="21">
        <f>VLOOKUP(A:A,[1]TDSheet!$A:$Q,17,0)</f>
        <v>1300</v>
      </c>
      <c r="Q21" s="21">
        <f>VLOOKUP(A:A,[1]TDSheet!$A:$R,18,0)</f>
        <v>1300</v>
      </c>
      <c r="R21" s="21">
        <f>VLOOKUP(A:A,[1]TDSheet!$A:$T,20,0)</f>
        <v>0</v>
      </c>
      <c r="S21" s="21">
        <f>VLOOKUP(A:A,[1]TDSheet!$A:$N,14,0)</f>
        <v>1950</v>
      </c>
      <c r="T21" s="21">
        <f>VLOOKUP(A:A,[1]TDSheet!$A:$V,22,0)</f>
        <v>1950</v>
      </c>
      <c r="U21" s="21">
        <f t="shared" si="6"/>
        <v>706.26260000000002</v>
      </c>
      <c r="V21" s="22"/>
      <c r="W21" s="22"/>
      <c r="X21" s="21"/>
      <c r="Y21" s="21">
        <f t="shared" si="8"/>
        <v>13.269002209659693</v>
      </c>
      <c r="Z21" s="21">
        <f t="shared" si="9"/>
        <v>2.2249514557333208</v>
      </c>
      <c r="AA21" s="21">
        <f>VLOOKUP(A:A,[1]TDSheet!$A:$AB,28,0)</f>
        <v>601.0258</v>
      </c>
      <c r="AB21" s="21">
        <f>VLOOKUP(A:A,[1]TDSheet!$A:$AC,29,0)</f>
        <v>603.72360000000003</v>
      </c>
      <c r="AC21" s="21">
        <f>VLOOKUP(A:A,[1]TDSheet!$A:$AD,30,0)</f>
        <v>651.36379999999997</v>
      </c>
      <c r="AD21" s="21">
        <f>VLOOKUP(A:A,[1]TDSheet!$A:$U,21,0)</f>
        <v>695.55</v>
      </c>
      <c r="AE21" s="21" t="str">
        <f>VLOOKUP(A:A,[1]TDSheet!$A:$AE,31,0)</f>
        <v>промо</v>
      </c>
      <c r="AF21" s="21">
        <f t="shared" si="10"/>
        <v>0</v>
      </c>
      <c r="AG21" s="21"/>
    </row>
    <row r="22" spans="1:33" ht="11.1" customHeight="1" x14ac:dyDescent="0.2">
      <c r="A22" s="9" t="s">
        <v>26</v>
      </c>
      <c r="B22" s="9" t="s">
        <v>14</v>
      </c>
      <c r="C22" s="10">
        <v>65.924000000000007</v>
      </c>
      <c r="D22" s="10">
        <v>133.53200000000001</v>
      </c>
      <c r="E22" s="10">
        <v>92.900999999999996</v>
      </c>
      <c r="F22" s="10">
        <v>89.399000000000001</v>
      </c>
      <c r="G22" s="5" t="str">
        <f>VLOOKUP(A:A,[1]TDSheet!$A:$G,7,0)</f>
        <v>P004028</v>
      </c>
      <c r="H22" s="5">
        <f>VLOOKUP(A:A,[1]TDSheet!$A:$H,8,0)</f>
        <v>1</v>
      </c>
      <c r="I22" s="5">
        <f>VLOOKUP(A:A,[1]TDSheet!$A:$I,9,0)</f>
        <v>60</v>
      </c>
      <c r="J22" s="5" t="str">
        <f>VLOOKUP(A:A,[1]TDSheet!$A:$J,10,0)</f>
        <v>матрица</v>
      </c>
      <c r="L22" s="21">
        <f>VLOOKUP(A:A,[2]TDSheet!$A:$B,2,0)</f>
        <v>91.56</v>
      </c>
      <c r="M22" s="21">
        <f t="shared" si="5"/>
        <v>1.340999999999994</v>
      </c>
      <c r="N22" s="21"/>
      <c r="O22" s="21">
        <f>VLOOKUP(A:A,[1]TDSheet!$A:$P,16,0)</f>
        <v>0</v>
      </c>
      <c r="P22" s="21">
        <f>VLOOKUP(A:A,[1]TDSheet!$A:$Q,17,0)</f>
        <v>0</v>
      </c>
      <c r="Q22" s="21">
        <f>VLOOKUP(A:A,[1]TDSheet!$A:$R,18,0)</f>
        <v>0</v>
      </c>
      <c r="R22" s="21">
        <f>VLOOKUP(A:A,[1]TDSheet!$A:$T,20,0)</f>
        <v>150</v>
      </c>
      <c r="S22" s="21">
        <f>VLOOKUP(A:A,[1]TDSheet!$A:$N,14,0)</f>
        <v>20</v>
      </c>
      <c r="T22" s="21">
        <f>VLOOKUP(A:A,[1]TDSheet!$A:$V,22,0)</f>
        <v>20</v>
      </c>
      <c r="U22" s="21">
        <f t="shared" si="6"/>
        <v>18.580199999999998</v>
      </c>
      <c r="V22" s="22"/>
      <c r="W22" s="22"/>
      <c r="X22" s="21"/>
      <c r="Y22" s="21">
        <f t="shared" si="8"/>
        <v>15.037459230794074</v>
      </c>
      <c r="Z22" s="21">
        <f t="shared" si="9"/>
        <v>4.8115197898838558</v>
      </c>
      <c r="AA22" s="21">
        <f>VLOOKUP(A:A,[1]TDSheet!$A:$AB,28,0)</f>
        <v>20.536799999999999</v>
      </c>
      <c r="AB22" s="21">
        <f>VLOOKUP(A:A,[1]TDSheet!$A:$AC,29,0)</f>
        <v>19.458199999999998</v>
      </c>
      <c r="AC22" s="21">
        <f>VLOOKUP(A:A,[1]TDSheet!$A:$AD,30,0)</f>
        <v>20.866599999999998</v>
      </c>
      <c r="AD22" s="21">
        <f>VLOOKUP(A:A,[1]TDSheet!$A:$U,21,0)</f>
        <v>20.035400000000003</v>
      </c>
      <c r="AE22" s="21"/>
      <c r="AF22" s="21">
        <f t="shared" si="10"/>
        <v>0</v>
      </c>
      <c r="AG22" s="21"/>
    </row>
    <row r="23" spans="1:33" ht="11.1" customHeight="1" x14ac:dyDescent="0.2">
      <c r="A23" s="9" t="s">
        <v>27</v>
      </c>
      <c r="B23" s="9" t="s">
        <v>14</v>
      </c>
      <c r="C23" s="10">
        <v>1562.7909999999999</v>
      </c>
      <c r="D23" s="10">
        <v>231.80500000000001</v>
      </c>
      <c r="E23" s="10">
        <v>1192.306</v>
      </c>
      <c r="F23" s="10">
        <v>477.15300000000002</v>
      </c>
      <c r="G23" s="5" t="str">
        <f>VLOOKUP(A:A,[1]TDSheet!$A:$G,7,0)</f>
        <v>P005077</v>
      </c>
      <c r="H23" s="5">
        <f>VLOOKUP(A:A,[1]TDSheet!$A:$H,8,0)</f>
        <v>1</v>
      </c>
      <c r="I23" s="5">
        <f>VLOOKUP(A:A,[1]TDSheet!$A:$I,9,0)</f>
        <v>60</v>
      </c>
      <c r="J23" s="5" t="str">
        <f>VLOOKUP(A:A,[1]TDSheet!$A:$J,10,0)</f>
        <v>матрица</v>
      </c>
      <c r="L23" s="21">
        <f>VLOOKUP(A:A,[2]TDSheet!$A:$B,2,0)</f>
        <v>1218.5999999999999</v>
      </c>
      <c r="M23" s="21">
        <f t="shared" si="5"/>
        <v>-26.293999999999869</v>
      </c>
      <c r="N23" s="21"/>
      <c r="O23" s="21">
        <f>VLOOKUP(A:A,[1]TDSheet!$A:$P,16,0)</f>
        <v>320</v>
      </c>
      <c r="P23" s="21">
        <f>VLOOKUP(A:A,[1]TDSheet!$A:$Q,17,0)</f>
        <v>320</v>
      </c>
      <c r="Q23" s="21">
        <f>VLOOKUP(A:A,[1]TDSheet!$A:$R,18,0)</f>
        <v>320</v>
      </c>
      <c r="R23" s="21">
        <f>VLOOKUP(A:A,[1]TDSheet!$A:$T,20,0)</f>
        <v>0</v>
      </c>
      <c r="S23" s="21">
        <f>VLOOKUP(A:A,[1]TDSheet!$A:$N,14,0)</f>
        <v>375</v>
      </c>
      <c r="T23" s="21">
        <f>VLOOKUP(A:A,[1]TDSheet!$A:$V,22,0)</f>
        <v>375</v>
      </c>
      <c r="U23" s="21">
        <f t="shared" si="6"/>
        <v>238.46120000000002</v>
      </c>
      <c r="V23" s="22">
        <f t="shared" si="7"/>
        <v>435.92020000000048</v>
      </c>
      <c r="W23" s="22"/>
      <c r="X23" s="21"/>
      <c r="Y23" s="21">
        <f t="shared" si="8"/>
        <v>11.000000000000002</v>
      </c>
      <c r="Z23" s="21">
        <f t="shared" si="9"/>
        <v>2.0009670336306282</v>
      </c>
      <c r="AA23" s="21">
        <f>VLOOKUP(A:A,[1]TDSheet!$A:$AB,28,0)</f>
        <v>330.86260000000004</v>
      </c>
      <c r="AB23" s="21">
        <f>VLOOKUP(A:A,[1]TDSheet!$A:$AC,29,0)</f>
        <v>271.11599999999999</v>
      </c>
      <c r="AC23" s="21">
        <f>VLOOKUP(A:A,[1]TDSheet!$A:$AD,30,0)</f>
        <v>215.0558</v>
      </c>
      <c r="AD23" s="21">
        <f>VLOOKUP(A:A,[1]TDSheet!$A:$U,21,0)</f>
        <v>236.93719999999999</v>
      </c>
      <c r="AE23" s="21" t="str">
        <f>VLOOKUP(A:A,[1]TDSheet!$A:$AE,31,0)</f>
        <v>промо</v>
      </c>
      <c r="AF23" s="21">
        <f t="shared" si="10"/>
        <v>435.92020000000048</v>
      </c>
      <c r="AG23" s="21"/>
    </row>
    <row r="24" spans="1:33" ht="11.1" customHeight="1" x14ac:dyDescent="0.2">
      <c r="A24" s="9" t="s">
        <v>28</v>
      </c>
      <c r="B24" s="9" t="s">
        <v>14</v>
      </c>
      <c r="C24" s="10">
        <v>48.899000000000001</v>
      </c>
      <c r="D24" s="10">
        <v>107.121</v>
      </c>
      <c r="E24" s="10">
        <v>84.414000000000001</v>
      </c>
      <c r="F24" s="10">
        <v>57.066000000000003</v>
      </c>
      <c r="G24" s="5" t="str">
        <f>VLOOKUP(A:A,[1]TDSheet!$A:$G,7,0)</f>
        <v>P004406</v>
      </c>
      <c r="H24" s="5">
        <f>VLOOKUP(A:A,[1]TDSheet!$A:$H,8,0)</f>
        <v>1</v>
      </c>
      <c r="I24" s="5">
        <f>VLOOKUP(A:A,[1]TDSheet!$A:$I,9,0)</f>
        <v>60</v>
      </c>
      <c r="J24" s="5" t="str">
        <f>VLOOKUP(A:A,[1]TDSheet!$A:$J,10,0)</f>
        <v>матрица</v>
      </c>
      <c r="L24" s="21">
        <f>VLOOKUP(A:A,[2]TDSheet!$A:$B,2,0)</f>
        <v>79.98</v>
      </c>
      <c r="M24" s="21">
        <f t="shared" si="5"/>
        <v>4.4339999999999975</v>
      </c>
      <c r="N24" s="21"/>
      <c r="O24" s="21">
        <f>VLOOKUP(A:A,[1]TDSheet!$A:$P,16,0)</f>
        <v>0</v>
      </c>
      <c r="P24" s="21">
        <f>VLOOKUP(A:A,[1]TDSheet!$A:$Q,17,0)</f>
        <v>0</v>
      </c>
      <c r="Q24" s="21">
        <f>VLOOKUP(A:A,[1]TDSheet!$A:$R,18,0)</f>
        <v>0</v>
      </c>
      <c r="R24" s="21">
        <f>VLOOKUP(A:A,[1]TDSheet!$A:$T,20,0)</f>
        <v>30</v>
      </c>
      <c r="S24" s="21">
        <f>VLOOKUP(A:A,[1]TDSheet!$A:$N,14,0)</f>
        <v>25</v>
      </c>
      <c r="T24" s="21">
        <f>VLOOKUP(A:A,[1]TDSheet!$A:$V,22,0)</f>
        <v>25</v>
      </c>
      <c r="U24" s="21">
        <f t="shared" si="6"/>
        <v>16.8828</v>
      </c>
      <c r="V24" s="22">
        <f t="shared" si="7"/>
        <v>48.644800000000004</v>
      </c>
      <c r="W24" s="22"/>
      <c r="X24" s="21"/>
      <c r="Y24" s="21">
        <f t="shared" si="8"/>
        <v>11</v>
      </c>
      <c r="Z24" s="21">
        <f t="shared" si="9"/>
        <v>3.3801265192977472</v>
      </c>
      <c r="AA24" s="21">
        <f>VLOOKUP(A:A,[1]TDSheet!$A:$AB,28,0)</f>
        <v>14.6448</v>
      </c>
      <c r="AB24" s="21">
        <f>VLOOKUP(A:A,[1]TDSheet!$A:$AC,29,0)</f>
        <v>13.726800000000001</v>
      </c>
      <c r="AC24" s="21">
        <f>VLOOKUP(A:A,[1]TDSheet!$A:$AD,30,0)</f>
        <v>15.188800000000001</v>
      </c>
      <c r="AD24" s="21">
        <f>VLOOKUP(A:A,[1]TDSheet!$A:$U,21,0)</f>
        <v>13.710400000000002</v>
      </c>
      <c r="AE24" s="21"/>
      <c r="AF24" s="21">
        <f t="shared" si="10"/>
        <v>48.644800000000004</v>
      </c>
      <c r="AG24" s="21"/>
    </row>
    <row r="25" spans="1:33" ht="21.95" customHeight="1" x14ac:dyDescent="0.2">
      <c r="A25" s="9" t="s">
        <v>29</v>
      </c>
      <c r="B25" s="9" t="s">
        <v>14</v>
      </c>
      <c r="C25" s="10">
        <v>22.911000000000001</v>
      </c>
      <c r="D25" s="10"/>
      <c r="E25" s="10">
        <v>14.654</v>
      </c>
      <c r="F25" s="10">
        <v>7.1520000000000001</v>
      </c>
      <c r="G25" s="5" t="str">
        <f>VLOOKUP(A:A,[1]TDSheet!$A:$G,7,0)</f>
        <v>P001900</v>
      </c>
      <c r="H25" s="5">
        <f>VLOOKUP(A:A,[1]TDSheet!$A:$H,8,0)</f>
        <v>1</v>
      </c>
      <c r="I25" s="5">
        <f>VLOOKUP(A:A,[1]TDSheet!$A:$I,9,0)</f>
        <v>180</v>
      </c>
      <c r="J25" s="5" t="str">
        <f>VLOOKUP(A:A,[1]TDSheet!$A:$J,10,0)</f>
        <v>матрица</v>
      </c>
      <c r="L25" s="21">
        <f>VLOOKUP(A:A,[2]TDSheet!$A:$B,2,0)</f>
        <v>14.02</v>
      </c>
      <c r="M25" s="21">
        <f t="shared" si="5"/>
        <v>0.63400000000000034</v>
      </c>
      <c r="N25" s="21"/>
      <c r="O25" s="21">
        <f>VLOOKUP(A:A,[1]TDSheet!$A:$P,16,0)</f>
        <v>0</v>
      </c>
      <c r="P25" s="21">
        <f>VLOOKUP(A:A,[1]TDSheet!$A:$Q,17,0)</f>
        <v>0</v>
      </c>
      <c r="Q25" s="21">
        <f>VLOOKUP(A:A,[1]TDSheet!$A:$R,18,0)</f>
        <v>0</v>
      </c>
      <c r="R25" s="21">
        <f>VLOOKUP(A:A,[1]TDSheet!$A:$T,20,0)</f>
        <v>0</v>
      </c>
      <c r="S25" s="21">
        <f>VLOOKUP(A:A,[1]TDSheet!$A:$N,14,0)</f>
        <v>0</v>
      </c>
      <c r="T25" s="21">
        <f>VLOOKUP(A:A,[1]TDSheet!$A:$V,22,0)</f>
        <v>0</v>
      </c>
      <c r="U25" s="21">
        <f t="shared" si="6"/>
        <v>2.9308000000000001</v>
      </c>
      <c r="V25" s="22">
        <f t="shared" si="7"/>
        <v>25.086799999999997</v>
      </c>
      <c r="W25" s="22"/>
      <c r="X25" s="21"/>
      <c r="Y25" s="21">
        <f t="shared" si="8"/>
        <v>10.999999999999998</v>
      </c>
      <c r="Z25" s="21">
        <f t="shared" si="9"/>
        <v>2.4402893407943225</v>
      </c>
      <c r="AA25" s="21">
        <f>VLOOKUP(A:A,[1]TDSheet!$A:$AB,28,0)</f>
        <v>0.28339999999999999</v>
      </c>
      <c r="AB25" s="21">
        <f>VLOOKUP(A:A,[1]TDSheet!$A:$AC,29,0)</f>
        <v>1.3564000000000001</v>
      </c>
      <c r="AC25" s="21">
        <f>VLOOKUP(A:A,[1]TDSheet!$A:$AD,30,0)</f>
        <v>0.63919999999999999</v>
      </c>
      <c r="AD25" s="21">
        <f>VLOOKUP(A:A,[1]TDSheet!$A:$U,21,0)</f>
        <v>1.6524000000000001</v>
      </c>
      <c r="AE25" s="21"/>
      <c r="AF25" s="21">
        <f t="shared" si="10"/>
        <v>25.086799999999997</v>
      </c>
      <c r="AG25" s="21"/>
    </row>
    <row r="26" spans="1:33" ht="11.1" customHeight="1" x14ac:dyDescent="0.2">
      <c r="A26" s="9" t="s">
        <v>30</v>
      </c>
      <c r="B26" s="9" t="s">
        <v>14</v>
      </c>
      <c r="C26" s="10">
        <v>3239.56</v>
      </c>
      <c r="D26" s="10">
        <v>741.64300000000003</v>
      </c>
      <c r="E26" s="10">
        <v>1437.329</v>
      </c>
      <c r="F26" s="10">
        <v>2256.8969999999999</v>
      </c>
      <c r="G26" s="5" t="str">
        <f>VLOOKUP(A:A,[1]TDSheet!$A:$G,7,0)</f>
        <v>P004030</v>
      </c>
      <c r="H26" s="5">
        <f>VLOOKUP(A:A,[1]TDSheet!$A:$H,8,0)</f>
        <v>1</v>
      </c>
      <c r="I26" s="5">
        <f>VLOOKUP(A:A,[1]TDSheet!$A:$I,9,0)</f>
        <v>60</v>
      </c>
      <c r="J26" s="5" t="str">
        <f>VLOOKUP(A:A,[1]TDSheet!$A:$J,10,0)</f>
        <v>матрица</v>
      </c>
      <c r="L26" s="21">
        <f>VLOOKUP(A:A,[2]TDSheet!$A:$B,2,0)</f>
        <v>1410.5229999999999</v>
      </c>
      <c r="M26" s="21">
        <f t="shared" si="5"/>
        <v>26.80600000000004</v>
      </c>
      <c r="N26" s="21"/>
      <c r="O26" s="21">
        <f>VLOOKUP(A:A,[1]TDSheet!$A:$P,16,0)</f>
        <v>0</v>
      </c>
      <c r="P26" s="21">
        <f>VLOOKUP(A:A,[1]TDSheet!$A:$Q,17,0)</f>
        <v>0</v>
      </c>
      <c r="Q26" s="21">
        <f>VLOOKUP(A:A,[1]TDSheet!$A:$R,18,0)</f>
        <v>0</v>
      </c>
      <c r="R26" s="21">
        <f>VLOOKUP(A:A,[1]TDSheet!$A:$T,20,0)</f>
        <v>0</v>
      </c>
      <c r="S26" s="21">
        <f>VLOOKUP(A:A,[1]TDSheet!$A:$N,14,0)</f>
        <v>0</v>
      </c>
      <c r="T26" s="21">
        <f>VLOOKUP(A:A,[1]TDSheet!$A:$V,22,0)</f>
        <v>0</v>
      </c>
      <c r="U26" s="21">
        <f t="shared" si="6"/>
        <v>287.4658</v>
      </c>
      <c r="V26" s="22">
        <f t="shared" si="7"/>
        <v>905.22679999999991</v>
      </c>
      <c r="W26" s="22"/>
      <c r="X26" s="21"/>
      <c r="Y26" s="21">
        <f t="shared" si="8"/>
        <v>11</v>
      </c>
      <c r="Z26" s="21">
        <f t="shared" si="9"/>
        <v>7.8510104506344751</v>
      </c>
      <c r="AA26" s="21">
        <f>VLOOKUP(A:A,[1]TDSheet!$A:$AB,28,0)</f>
        <v>272.43639999999999</v>
      </c>
      <c r="AB26" s="21">
        <f>VLOOKUP(A:A,[1]TDSheet!$A:$AC,29,0)</f>
        <v>447.34460000000001</v>
      </c>
      <c r="AC26" s="21">
        <f>VLOOKUP(A:A,[1]TDSheet!$A:$AD,30,0)</f>
        <v>292.4074</v>
      </c>
      <c r="AD26" s="21">
        <f>VLOOKUP(A:A,[1]TDSheet!$A:$U,21,0)</f>
        <v>298.57600000000002</v>
      </c>
      <c r="AE26" s="21" t="str">
        <f>VLOOKUP(A:A,[1]TDSheet!$A:$AE,31,0)</f>
        <v>промо</v>
      </c>
      <c r="AF26" s="21">
        <f t="shared" si="10"/>
        <v>905.22679999999991</v>
      </c>
      <c r="AG26" s="21"/>
    </row>
    <row r="27" spans="1:33" ht="11.1" customHeight="1" x14ac:dyDescent="0.2">
      <c r="A27" s="9" t="s">
        <v>31</v>
      </c>
      <c r="B27" s="9" t="s">
        <v>14</v>
      </c>
      <c r="C27" s="10">
        <v>-2.5150000000000001</v>
      </c>
      <c r="D27" s="10">
        <v>2.5150000000000001</v>
      </c>
      <c r="E27" s="10">
        <v>0</v>
      </c>
      <c r="F27" s="10"/>
      <c r="H27" s="5">
        <v>1</v>
      </c>
      <c r="L27" s="21">
        <v>0</v>
      </c>
      <c r="M27" s="21">
        <f t="shared" si="5"/>
        <v>0</v>
      </c>
      <c r="N27" s="21"/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f t="shared" si="6"/>
        <v>0</v>
      </c>
      <c r="V27" s="22">
        <f t="shared" si="7"/>
        <v>0</v>
      </c>
      <c r="W27" s="22"/>
      <c r="X27" s="21"/>
      <c r="Y27" s="21" t="e">
        <f t="shared" si="8"/>
        <v>#DIV/0!</v>
      </c>
      <c r="Z27" s="21" t="e">
        <f t="shared" si="9"/>
        <v>#DIV/0!</v>
      </c>
      <c r="AA27" s="21">
        <v>0</v>
      </c>
      <c r="AB27" s="21">
        <v>0</v>
      </c>
      <c r="AC27" s="21">
        <v>0</v>
      </c>
      <c r="AD27" s="21">
        <v>0</v>
      </c>
      <c r="AE27" s="21"/>
      <c r="AF27" s="21">
        <f t="shared" si="10"/>
        <v>0</v>
      </c>
      <c r="AG27" s="21"/>
    </row>
    <row r="28" spans="1:33" ht="11.1" customHeight="1" x14ac:dyDescent="0.2">
      <c r="A28" s="9" t="s">
        <v>32</v>
      </c>
      <c r="B28" s="9" t="s">
        <v>14</v>
      </c>
      <c r="C28" s="10">
        <v>90.046999999999997</v>
      </c>
      <c r="D28" s="10">
        <v>189.84299999999999</v>
      </c>
      <c r="E28" s="10">
        <v>177.56700000000001</v>
      </c>
      <c r="F28" s="10">
        <v>100.67100000000001</v>
      </c>
      <c r="G28" s="5" t="str">
        <f>VLOOKUP(A:A,[1]TDSheet!$A:$G,7,0)</f>
        <v>P004465</v>
      </c>
      <c r="H28" s="5">
        <f>VLOOKUP(A:A,[1]TDSheet!$A:$H,8,0)</f>
        <v>1</v>
      </c>
      <c r="I28" s="5">
        <f>VLOOKUP(A:A,[1]TDSheet!$A:$I,9,0)</f>
        <v>60</v>
      </c>
      <c r="J28" s="5" t="str">
        <f>VLOOKUP(A:A,[1]TDSheet!$A:$J,10,0)</f>
        <v>матрица</v>
      </c>
      <c r="L28" s="21">
        <f>VLOOKUP(A:A,[2]TDSheet!$A:$B,2,0)</f>
        <v>170.89500000000001</v>
      </c>
      <c r="M28" s="21">
        <f t="shared" si="5"/>
        <v>6.671999999999997</v>
      </c>
      <c r="N28" s="21"/>
      <c r="O28" s="21">
        <f>VLOOKUP(A:A,[1]TDSheet!$A:$P,16,0)</f>
        <v>0</v>
      </c>
      <c r="P28" s="21">
        <f>VLOOKUP(A:A,[1]TDSheet!$A:$Q,17,0)</f>
        <v>0</v>
      </c>
      <c r="Q28" s="21">
        <f>VLOOKUP(A:A,[1]TDSheet!$A:$R,18,0)</f>
        <v>0</v>
      </c>
      <c r="R28" s="21">
        <f>VLOOKUP(A:A,[1]TDSheet!$A:$T,20,0)</f>
        <v>320</v>
      </c>
      <c r="S28" s="21">
        <f>VLOOKUP(A:A,[1]TDSheet!$A:$N,14,0)</f>
        <v>50</v>
      </c>
      <c r="T28" s="21">
        <f>VLOOKUP(A:A,[1]TDSheet!$A:$V,22,0)</f>
        <v>50</v>
      </c>
      <c r="U28" s="21">
        <f t="shared" si="6"/>
        <v>35.513400000000004</v>
      </c>
      <c r="V28" s="22"/>
      <c r="W28" s="22"/>
      <c r="X28" s="21"/>
      <c r="Y28" s="21">
        <f t="shared" si="8"/>
        <v>14.661254625014783</v>
      </c>
      <c r="Z28" s="21">
        <f t="shared" si="9"/>
        <v>2.8347328050820253</v>
      </c>
      <c r="AA28" s="21">
        <f>VLOOKUP(A:A,[1]TDSheet!$A:$AB,28,0)</f>
        <v>24.884800000000002</v>
      </c>
      <c r="AB28" s="21">
        <f>VLOOKUP(A:A,[1]TDSheet!$A:$AC,29,0)</f>
        <v>40.244399999999999</v>
      </c>
      <c r="AC28" s="21">
        <f>VLOOKUP(A:A,[1]TDSheet!$A:$AD,30,0)</f>
        <v>33.419400000000003</v>
      </c>
      <c r="AD28" s="21">
        <f>VLOOKUP(A:A,[1]TDSheet!$A:$U,21,0)</f>
        <v>47.424599999999998</v>
      </c>
      <c r="AE28" s="21"/>
      <c r="AF28" s="21">
        <f t="shared" si="10"/>
        <v>0</v>
      </c>
      <c r="AG28" s="21"/>
    </row>
    <row r="29" spans="1:33" ht="21.95" customHeight="1" x14ac:dyDescent="0.2">
      <c r="A29" s="9" t="s">
        <v>33</v>
      </c>
      <c r="B29" s="9" t="s">
        <v>14</v>
      </c>
      <c r="C29" s="10">
        <v>309.35199999999998</v>
      </c>
      <c r="D29" s="10">
        <v>701.43</v>
      </c>
      <c r="E29" s="10">
        <v>510.916</v>
      </c>
      <c r="F29" s="10">
        <v>392.08300000000003</v>
      </c>
      <c r="G29" s="5" t="str">
        <f>VLOOKUP(A:A,[1]TDSheet!$A:$G,7,0)</f>
        <v>P004466</v>
      </c>
      <c r="H29" s="5">
        <f>VLOOKUP(A:A,[1]TDSheet!$A:$H,8,0)</f>
        <v>1</v>
      </c>
      <c r="I29" s="5">
        <f>VLOOKUP(A:A,[1]TDSheet!$A:$I,9,0)</f>
        <v>60</v>
      </c>
      <c r="J29" s="5" t="str">
        <f>VLOOKUP(A:A,[1]TDSheet!$A:$J,10,0)</f>
        <v>матрица</v>
      </c>
      <c r="L29" s="21">
        <f>VLOOKUP(A:A,[2]TDSheet!$A:$B,2,0)</f>
        <v>492.06</v>
      </c>
      <c r="M29" s="21">
        <f t="shared" si="5"/>
        <v>18.855999999999995</v>
      </c>
      <c r="N29" s="21"/>
      <c r="O29" s="21">
        <f>VLOOKUP(A:A,[1]TDSheet!$A:$P,16,0)</f>
        <v>0</v>
      </c>
      <c r="P29" s="21">
        <f>VLOOKUP(A:A,[1]TDSheet!$A:$Q,17,0)</f>
        <v>0</v>
      </c>
      <c r="Q29" s="21">
        <f>VLOOKUP(A:A,[1]TDSheet!$A:$R,18,0)</f>
        <v>0</v>
      </c>
      <c r="R29" s="21">
        <f>VLOOKUP(A:A,[1]TDSheet!$A:$T,20,0)</f>
        <v>560</v>
      </c>
      <c r="S29" s="21">
        <f>VLOOKUP(A:A,[1]TDSheet!$A:$N,14,0)</f>
        <v>100</v>
      </c>
      <c r="T29" s="21">
        <f>VLOOKUP(A:A,[1]TDSheet!$A:$V,22,0)</f>
        <v>100</v>
      </c>
      <c r="U29" s="21">
        <f t="shared" si="6"/>
        <v>102.1832</v>
      </c>
      <c r="V29" s="22"/>
      <c r="W29" s="28">
        <v>200</v>
      </c>
      <c r="X29" s="29" t="s">
        <v>169</v>
      </c>
      <c r="Y29" s="21">
        <f t="shared" si="8"/>
        <v>11.274681160895334</v>
      </c>
      <c r="Z29" s="21">
        <f t="shared" si="9"/>
        <v>3.8370593209059809</v>
      </c>
      <c r="AA29" s="21">
        <f>VLOOKUP(A:A,[1]TDSheet!$A:$AB,28,0)</f>
        <v>94.878799999999998</v>
      </c>
      <c r="AB29" s="21">
        <f>VLOOKUP(A:A,[1]TDSheet!$A:$AC,29,0)</f>
        <v>90.298000000000002</v>
      </c>
      <c r="AC29" s="21">
        <f>VLOOKUP(A:A,[1]TDSheet!$A:$AD,30,0)</f>
        <v>100.90599999999999</v>
      </c>
      <c r="AD29" s="21">
        <f>VLOOKUP(A:A,[1]TDSheet!$A:$U,21,0)</f>
        <v>88.741799999999998</v>
      </c>
      <c r="AE29" s="21" t="str">
        <f>VLOOKUP(A:A,[1]TDSheet!$A:$AE,31,0)</f>
        <v>промо</v>
      </c>
      <c r="AF29" s="21">
        <f t="shared" si="10"/>
        <v>0</v>
      </c>
      <c r="AG29" s="21"/>
    </row>
    <row r="30" spans="1:33" ht="11.1" customHeight="1" x14ac:dyDescent="0.2">
      <c r="A30" s="9" t="s">
        <v>34</v>
      </c>
      <c r="B30" s="9" t="s">
        <v>14</v>
      </c>
      <c r="C30" s="10">
        <v>400.76900000000001</v>
      </c>
      <c r="D30" s="10">
        <v>719.51599999999996</v>
      </c>
      <c r="E30" s="10">
        <v>672.53599999999994</v>
      </c>
      <c r="F30" s="10">
        <v>336.19099999999997</v>
      </c>
      <c r="G30" s="5" t="str">
        <f>VLOOKUP(A:A,[1]TDSheet!$A:$G,7,0)</f>
        <v>P004470</v>
      </c>
      <c r="H30" s="5">
        <f>VLOOKUP(A:A,[1]TDSheet!$A:$H,8,0)</f>
        <v>1</v>
      </c>
      <c r="I30" s="5">
        <f>VLOOKUP(A:A,[1]TDSheet!$A:$I,9,0)</f>
        <v>60</v>
      </c>
      <c r="J30" s="5" t="str">
        <f>VLOOKUP(A:A,[1]TDSheet!$A:$J,10,0)</f>
        <v>матрица</v>
      </c>
      <c r="L30" s="21">
        <f>VLOOKUP(A:A,[2]TDSheet!$A:$B,2,0)</f>
        <v>652.51499999999999</v>
      </c>
      <c r="M30" s="21">
        <f t="shared" si="5"/>
        <v>20.020999999999958</v>
      </c>
      <c r="N30" s="21"/>
      <c r="O30" s="21">
        <f>VLOOKUP(A:A,[1]TDSheet!$A:$P,16,0)</f>
        <v>0</v>
      </c>
      <c r="P30" s="21">
        <f>VLOOKUP(A:A,[1]TDSheet!$A:$Q,17,0)</f>
        <v>0</v>
      </c>
      <c r="Q30" s="21">
        <f>VLOOKUP(A:A,[1]TDSheet!$A:$R,18,0)</f>
        <v>0</v>
      </c>
      <c r="R30" s="21">
        <f>VLOOKUP(A:A,[1]TDSheet!$A:$T,20,0)</f>
        <v>500</v>
      </c>
      <c r="S30" s="21">
        <f>VLOOKUP(A:A,[1]TDSheet!$A:$N,14,0)</f>
        <v>250</v>
      </c>
      <c r="T30" s="21">
        <f>VLOOKUP(A:A,[1]TDSheet!$A:$V,22,0)</f>
        <v>250</v>
      </c>
      <c r="U30" s="21">
        <f t="shared" si="6"/>
        <v>134.50719999999998</v>
      </c>
      <c r="V30" s="22">
        <f t="shared" si="7"/>
        <v>143.38819999999987</v>
      </c>
      <c r="W30" s="28">
        <v>180</v>
      </c>
      <c r="X30" s="29" t="s">
        <v>168</v>
      </c>
      <c r="Y30" s="21">
        <f t="shared" si="8"/>
        <v>11</v>
      </c>
      <c r="Z30" s="21">
        <f t="shared" si="9"/>
        <v>2.4994275399383827</v>
      </c>
      <c r="AA30" s="21">
        <f>VLOOKUP(A:A,[1]TDSheet!$A:$AB,28,0)</f>
        <v>117.33160000000001</v>
      </c>
      <c r="AB30" s="21">
        <f>VLOOKUP(A:A,[1]TDSheet!$A:$AC,29,0)</f>
        <v>126.0162</v>
      </c>
      <c r="AC30" s="21">
        <f>VLOOKUP(A:A,[1]TDSheet!$A:$AD,30,0)</f>
        <v>123.4182</v>
      </c>
      <c r="AD30" s="21">
        <f>VLOOKUP(A:A,[1]TDSheet!$A:$U,21,0)</f>
        <v>124.1892</v>
      </c>
      <c r="AE30" s="21" t="str">
        <f>VLOOKUP(A:A,[1]TDSheet!$A:$AE,31,0)</f>
        <v>промо</v>
      </c>
      <c r="AF30" s="21">
        <f t="shared" si="10"/>
        <v>143.38819999999987</v>
      </c>
      <c r="AG30" s="21"/>
    </row>
    <row r="31" spans="1:33" ht="11.1" customHeight="1" x14ac:dyDescent="0.2">
      <c r="A31" s="9" t="s">
        <v>35</v>
      </c>
      <c r="B31" s="9" t="s">
        <v>14</v>
      </c>
      <c r="C31" s="10">
        <v>52.054000000000002</v>
      </c>
      <c r="D31" s="10">
        <v>70.179000000000002</v>
      </c>
      <c r="E31" s="10">
        <v>99.352000000000004</v>
      </c>
      <c r="F31" s="10">
        <v>2.6680000000000001</v>
      </c>
      <c r="G31" s="5" t="str">
        <f>VLOOKUP(A:A,[1]TDSheet!$A:$G,7,0)</f>
        <v>P003013</v>
      </c>
      <c r="H31" s="5">
        <f>VLOOKUP(A:A,[1]TDSheet!$A:$H,8,0)</f>
        <v>1</v>
      </c>
      <c r="L31" s="21">
        <f>VLOOKUP(A:A,[2]TDSheet!$A:$B,2,0)</f>
        <v>116.7</v>
      </c>
      <c r="M31" s="21">
        <f t="shared" si="5"/>
        <v>-17.347999999999999</v>
      </c>
      <c r="N31" s="21"/>
      <c r="O31" s="21">
        <f>VLOOKUP(A:A,[1]TDSheet!$A:$P,16,0)</f>
        <v>0</v>
      </c>
      <c r="P31" s="21">
        <f>VLOOKUP(A:A,[1]TDSheet!$A:$Q,17,0)</f>
        <v>0</v>
      </c>
      <c r="Q31" s="21">
        <f>VLOOKUP(A:A,[1]TDSheet!$A:$R,18,0)</f>
        <v>0</v>
      </c>
      <c r="R31" s="21">
        <f>VLOOKUP(A:A,[1]TDSheet!$A:$T,20,0)</f>
        <v>60</v>
      </c>
      <c r="S31" s="21">
        <f>VLOOKUP(A:A,[1]TDSheet!$A:$N,14,0)</f>
        <v>0</v>
      </c>
      <c r="T31" s="21">
        <f>VLOOKUP(A:A,[1]TDSheet!$A:$V,22,0)</f>
        <v>0</v>
      </c>
      <c r="U31" s="21">
        <f t="shared" si="6"/>
        <v>19.8704</v>
      </c>
      <c r="V31" s="22">
        <f t="shared" si="7"/>
        <v>155.90639999999999</v>
      </c>
      <c r="W31" s="22"/>
      <c r="X31" s="21"/>
      <c r="Y31" s="21">
        <f t="shared" si="8"/>
        <v>11</v>
      </c>
      <c r="Z31" s="21">
        <f t="shared" si="9"/>
        <v>0.13427007005394961</v>
      </c>
      <c r="AA31" s="21">
        <f>VLOOKUP(A:A,[1]TDSheet!$A:$AB,28,0)</f>
        <v>2.7594000000000003</v>
      </c>
      <c r="AB31" s="21">
        <f>VLOOKUP(A:A,[1]TDSheet!$A:$AC,29,0)</f>
        <v>15.875399999999999</v>
      </c>
      <c r="AC31" s="21">
        <f>VLOOKUP(A:A,[1]TDSheet!$A:$AD,30,0)</f>
        <v>12.7166</v>
      </c>
      <c r="AD31" s="21">
        <f>VLOOKUP(A:A,[1]TDSheet!$A:$U,21,0)</f>
        <v>14.193999999999999</v>
      </c>
      <c r="AE31" s="21"/>
      <c r="AF31" s="21">
        <f t="shared" si="10"/>
        <v>155.90639999999999</v>
      </c>
      <c r="AG31" s="21"/>
    </row>
    <row r="32" spans="1:33" ht="11.1" customHeight="1" x14ac:dyDescent="0.2">
      <c r="A32" s="9" t="s">
        <v>36</v>
      </c>
      <c r="B32" s="9" t="s">
        <v>14</v>
      </c>
      <c r="C32" s="10">
        <v>305.96699999999998</v>
      </c>
      <c r="D32" s="10">
        <v>50.801000000000002</v>
      </c>
      <c r="E32" s="10">
        <v>248.375</v>
      </c>
      <c r="F32" s="10">
        <v>45.707999999999998</v>
      </c>
      <c r="G32" s="5" t="str">
        <f>VLOOKUP(A:A,[1]TDSheet!$A:$G,7,0)</f>
        <v>P003997</v>
      </c>
      <c r="H32" s="5">
        <f>VLOOKUP(A:A,[1]TDSheet!$A:$H,8,0)</f>
        <v>1</v>
      </c>
      <c r="I32" s="5">
        <f>VLOOKUP(A:A,[1]TDSheet!$A:$I,9,0)</f>
        <v>30</v>
      </c>
      <c r="J32" s="5" t="str">
        <f>VLOOKUP(A:A,[1]TDSheet!$A:$J,10,0)</f>
        <v>матрица</v>
      </c>
      <c r="L32" s="21">
        <f>VLOOKUP(A:A,[2]TDSheet!$A:$B,2,0)</f>
        <v>237.7</v>
      </c>
      <c r="M32" s="21">
        <f t="shared" si="5"/>
        <v>10.675000000000011</v>
      </c>
      <c r="N32" s="21"/>
      <c r="O32" s="21">
        <f>VLOOKUP(A:A,[1]TDSheet!$A:$P,16,0)</f>
        <v>0</v>
      </c>
      <c r="P32" s="21">
        <f>VLOOKUP(A:A,[1]TDSheet!$A:$Q,17,0)</f>
        <v>0</v>
      </c>
      <c r="Q32" s="21">
        <f>VLOOKUP(A:A,[1]TDSheet!$A:$R,18,0)</f>
        <v>0</v>
      </c>
      <c r="R32" s="21">
        <f>VLOOKUP(A:A,[1]TDSheet!$A:$T,20,0)</f>
        <v>130</v>
      </c>
      <c r="S32" s="21">
        <f>VLOOKUP(A:A,[1]TDSheet!$A:$N,14,0)</f>
        <v>130</v>
      </c>
      <c r="T32" s="21">
        <f>VLOOKUP(A:A,[1]TDSheet!$A:$V,22,0)</f>
        <v>130</v>
      </c>
      <c r="U32" s="21">
        <f t="shared" si="6"/>
        <v>49.674999999999997</v>
      </c>
      <c r="V32" s="22">
        <f t="shared" si="7"/>
        <v>110.71699999999998</v>
      </c>
      <c r="W32" s="22"/>
      <c r="X32" s="21"/>
      <c r="Y32" s="21">
        <f t="shared" si="8"/>
        <v>11</v>
      </c>
      <c r="Z32" s="21">
        <f t="shared" si="9"/>
        <v>0.92014091595369907</v>
      </c>
      <c r="AA32" s="21">
        <f>VLOOKUP(A:A,[1]TDSheet!$A:$AB,28,0)</f>
        <v>48.681799999999996</v>
      </c>
      <c r="AB32" s="21">
        <f>VLOOKUP(A:A,[1]TDSheet!$A:$AC,29,0)</f>
        <v>58.104600000000005</v>
      </c>
      <c r="AC32" s="21">
        <f>VLOOKUP(A:A,[1]TDSheet!$A:$AD,30,0)</f>
        <v>27.164800000000003</v>
      </c>
      <c r="AD32" s="21">
        <f>VLOOKUP(A:A,[1]TDSheet!$A:$U,21,0)</f>
        <v>52.338000000000001</v>
      </c>
      <c r="AE32" s="21"/>
      <c r="AF32" s="21">
        <f t="shared" si="10"/>
        <v>110.71699999999998</v>
      </c>
      <c r="AG32" s="21"/>
    </row>
    <row r="33" spans="1:33" ht="11.1" customHeight="1" x14ac:dyDescent="0.2">
      <c r="A33" s="9" t="s">
        <v>37</v>
      </c>
      <c r="B33" s="9" t="s">
        <v>14</v>
      </c>
      <c r="C33" s="10">
        <v>173.214</v>
      </c>
      <c r="D33" s="10">
        <v>195.19900000000001</v>
      </c>
      <c r="E33" s="10">
        <v>205.559</v>
      </c>
      <c r="F33" s="10">
        <v>111.955</v>
      </c>
      <c r="G33" s="5" t="str">
        <f>VLOOKUP(A:A,[1]TDSheet!$A:$G,7,0)</f>
        <v>P005080</v>
      </c>
      <c r="H33" s="5">
        <f>VLOOKUP(A:A,[1]TDSheet!$A:$H,8,0)</f>
        <v>1</v>
      </c>
      <c r="I33" s="5">
        <f>VLOOKUP(A:A,[1]TDSheet!$A:$I,9,0)</f>
        <v>30</v>
      </c>
      <c r="J33" s="5" t="str">
        <f>VLOOKUP(A:A,[1]TDSheet!$A:$J,10,0)</f>
        <v>матрица</v>
      </c>
      <c r="L33" s="21">
        <f>VLOOKUP(A:A,[2]TDSheet!$A:$B,2,0)</f>
        <v>191</v>
      </c>
      <c r="M33" s="21">
        <f t="shared" si="5"/>
        <v>14.558999999999997</v>
      </c>
      <c r="N33" s="21"/>
      <c r="O33" s="21">
        <f>VLOOKUP(A:A,[1]TDSheet!$A:$P,16,0)</f>
        <v>0</v>
      </c>
      <c r="P33" s="21">
        <f>VLOOKUP(A:A,[1]TDSheet!$A:$Q,17,0)</f>
        <v>0</v>
      </c>
      <c r="Q33" s="21">
        <f>VLOOKUP(A:A,[1]TDSheet!$A:$R,18,0)</f>
        <v>0</v>
      </c>
      <c r="R33" s="21">
        <f>VLOOKUP(A:A,[1]TDSheet!$A:$T,20,0)</f>
        <v>140</v>
      </c>
      <c r="S33" s="21">
        <f>VLOOKUP(A:A,[1]TDSheet!$A:$N,14,0)</f>
        <v>60</v>
      </c>
      <c r="T33" s="21">
        <f>VLOOKUP(A:A,[1]TDSheet!$A:$V,22,0)</f>
        <v>60</v>
      </c>
      <c r="U33" s="21">
        <f t="shared" si="6"/>
        <v>41.111800000000002</v>
      </c>
      <c r="V33" s="22">
        <f t="shared" si="7"/>
        <v>80.274800000000027</v>
      </c>
      <c r="W33" s="22"/>
      <c r="X33" s="21"/>
      <c r="Y33" s="21">
        <f t="shared" si="8"/>
        <v>11</v>
      </c>
      <c r="Z33" s="21">
        <f t="shared" si="9"/>
        <v>2.7231840979961954</v>
      </c>
      <c r="AA33" s="21">
        <f>VLOOKUP(A:A,[1]TDSheet!$A:$AB,28,0)</f>
        <v>40.587400000000002</v>
      </c>
      <c r="AB33" s="21">
        <f>VLOOKUP(A:A,[1]TDSheet!$A:$AC,29,0)</f>
        <v>44.979199999999999</v>
      </c>
      <c r="AC33" s="21">
        <f>VLOOKUP(A:A,[1]TDSheet!$A:$AD,30,0)</f>
        <v>39.311599999999999</v>
      </c>
      <c r="AD33" s="21">
        <f>VLOOKUP(A:A,[1]TDSheet!$A:$U,21,0)</f>
        <v>39.163600000000002</v>
      </c>
      <c r="AE33" s="21"/>
      <c r="AF33" s="21">
        <f t="shared" si="10"/>
        <v>80.274800000000027</v>
      </c>
      <c r="AG33" s="21"/>
    </row>
    <row r="34" spans="1:33" ht="11.1" customHeight="1" x14ac:dyDescent="0.2">
      <c r="A34" s="9" t="s">
        <v>38</v>
      </c>
      <c r="B34" s="9" t="s">
        <v>14</v>
      </c>
      <c r="C34" s="10">
        <v>-0.49299999999999999</v>
      </c>
      <c r="D34" s="10">
        <v>3771.4369999999999</v>
      </c>
      <c r="E34" s="10">
        <v>2164.62</v>
      </c>
      <c r="F34" s="10">
        <v>1391.5740000000001</v>
      </c>
      <c r="G34" s="5" t="str">
        <f>VLOOKUP(A:A,[1]TDSheet!$A:$G,7,0)</f>
        <v>P002536</v>
      </c>
      <c r="H34" s="5">
        <f>VLOOKUP(A:A,[1]TDSheet!$A:$H,8,0)</f>
        <v>1</v>
      </c>
      <c r="I34" s="5">
        <f>VLOOKUP(A:A,[1]TDSheet!$A:$I,9,0)</f>
        <v>30</v>
      </c>
      <c r="J34" s="5" t="str">
        <f>VLOOKUP(A:A,[1]TDSheet!$A:$J,10,0)</f>
        <v>матрица</v>
      </c>
      <c r="L34" s="21">
        <f>VLOOKUP(A:A,[2]TDSheet!$A:$B,2,0)</f>
        <v>2027.35</v>
      </c>
      <c r="M34" s="21">
        <f t="shared" si="5"/>
        <v>137.26999999999998</v>
      </c>
      <c r="N34" s="21"/>
      <c r="O34" s="21">
        <f>VLOOKUP(A:A,[1]TDSheet!$A:$P,16,0)</f>
        <v>800</v>
      </c>
      <c r="P34" s="21">
        <f>VLOOKUP(A:A,[1]TDSheet!$A:$Q,17,0)</f>
        <v>800</v>
      </c>
      <c r="Q34" s="21">
        <f>VLOOKUP(A:A,[1]TDSheet!$A:$R,18,0)</f>
        <v>800</v>
      </c>
      <c r="R34" s="21">
        <f>VLOOKUP(A:A,[1]TDSheet!$A:$T,20,0)</f>
        <v>200</v>
      </c>
      <c r="S34" s="21">
        <f>VLOOKUP(A:A,[1]TDSheet!$A:$N,14,0)</f>
        <v>750</v>
      </c>
      <c r="T34" s="21">
        <f>VLOOKUP(A:A,[1]TDSheet!$A:$V,22,0)</f>
        <v>750</v>
      </c>
      <c r="U34" s="21">
        <f t="shared" si="6"/>
        <v>432.92399999999998</v>
      </c>
      <c r="V34" s="22"/>
      <c r="W34" s="22"/>
      <c r="X34" s="21"/>
      <c r="Y34" s="21">
        <f t="shared" si="8"/>
        <v>12.684845377017677</v>
      </c>
      <c r="Z34" s="21">
        <f t="shared" si="9"/>
        <v>3.2143609501898718</v>
      </c>
      <c r="AA34" s="21">
        <f>VLOOKUP(A:A,[1]TDSheet!$A:$AB,28,0)</f>
        <v>358.11080000000004</v>
      </c>
      <c r="AB34" s="21">
        <f>VLOOKUP(A:A,[1]TDSheet!$A:$AC,29,0)</f>
        <v>124.8952</v>
      </c>
      <c r="AC34" s="21">
        <f>VLOOKUP(A:A,[1]TDSheet!$A:$AD,30,0)</f>
        <v>435.78019999999998</v>
      </c>
      <c r="AD34" s="21">
        <f>VLOOKUP(A:A,[1]TDSheet!$A:$U,21,0)</f>
        <v>405.47739999999999</v>
      </c>
      <c r="AE34" s="21" t="str">
        <f>VLOOKUP(A:A,[1]TDSheet!$A:$AE,31,0)</f>
        <v>промо</v>
      </c>
      <c r="AF34" s="21">
        <f t="shared" si="10"/>
        <v>0</v>
      </c>
      <c r="AG34" s="21"/>
    </row>
    <row r="35" spans="1:33" ht="11.1" customHeight="1" x14ac:dyDescent="0.2">
      <c r="A35" s="9" t="s">
        <v>39</v>
      </c>
      <c r="B35" s="9" t="s">
        <v>14</v>
      </c>
      <c r="C35" s="10">
        <v>31.501000000000001</v>
      </c>
      <c r="D35" s="10">
        <v>2.972</v>
      </c>
      <c r="E35" s="10">
        <v>29.326000000000001</v>
      </c>
      <c r="F35" s="10">
        <v>1.5920000000000001</v>
      </c>
      <c r="G35" s="5" t="str">
        <f>VLOOKUP(A:A,[1]TDSheet!$A:$G,7,0)</f>
        <v>P002202</v>
      </c>
      <c r="H35" s="5">
        <f>VLOOKUP(A:A,[1]TDSheet!$A:$H,8,0)</f>
        <v>1</v>
      </c>
      <c r="I35" s="5">
        <f>VLOOKUP(A:A,[1]TDSheet!$A:$I,9,0)</f>
        <v>45</v>
      </c>
      <c r="J35" s="5" t="str">
        <f>VLOOKUP(A:A,[1]TDSheet!$A:$J,10,0)</f>
        <v>матрица</v>
      </c>
      <c r="L35" s="21">
        <f>VLOOKUP(A:A,[2]TDSheet!$A:$B,2,0)</f>
        <v>28.96</v>
      </c>
      <c r="M35" s="21">
        <f t="shared" si="5"/>
        <v>0.36599999999999966</v>
      </c>
      <c r="N35" s="21"/>
      <c r="O35" s="21">
        <f>VLOOKUP(A:A,[1]TDSheet!$A:$P,16,0)</f>
        <v>0</v>
      </c>
      <c r="P35" s="21">
        <f>VLOOKUP(A:A,[1]TDSheet!$A:$Q,17,0)</f>
        <v>0</v>
      </c>
      <c r="Q35" s="21">
        <f>VLOOKUP(A:A,[1]TDSheet!$A:$R,18,0)</f>
        <v>0</v>
      </c>
      <c r="R35" s="21">
        <f>VLOOKUP(A:A,[1]TDSheet!$A:$T,20,0)</f>
        <v>20</v>
      </c>
      <c r="S35" s="21">
        <f>VLOOKUP(A:A,[1]TDSheet!$A:$N,14,0)</f>
        <v>15</v>
      </c>
      <c r="T35" s="21">
        <f>VLOOKUP(A:A,[1]TDSheet!$A:$V,22,0)</f>
        <v>15</v>
      </c>
      <c r="U35" s="21">
        <f t="shared" si="6"/>
        <v>5.8651999999999997</v>
      </c>
      <c r="V35" s="22">
        <f t="shared" si="7"/>
        <v>12.925200000000004</v>
      </c>
      <c r="W35" s="22"/>
      <c r="X35" s="21"/>
      <c r="Y35" s="21">
        <f t="shared" si="8"/>
        <v>11.000000000000002</v>
      </c>
      <c r="Z35" s="21">
        <f t="shared" si="9"/>
        <v>0.2714314942371957</v>
      </c>
      <c r="AA35" s="21">
        <f>VLOOKUP(A:A,[1]TDSheet!$A:$AB,28,0)</f>
        <v>4.6718000000000002</v>
      </c>
      <c r="AB35" s="21">
        <f>VLOOKUP(A:A,[1]TDSheet!$A:$AC,29,0)</f>
        <v>5.8648000000000007</v>
      </c>
      <c r="AC35" s="21">
        <f>VLOOKUP(A:A,[1]TDSheet!$A:$AD,30,0)</f>
        <v>2.5865999999999998</v>
      </c>
      <c r="AD35" s="21">
        <f>VLOOKUP(A:A,[1]TDSheet!$A:$U,21,0)</f>
        <v>6.367</v>
      </c>
      <c r="AE35" s="21"/>
      <c r="AF35" s="21">
        <f t="shared" si="10"/>
        <v>12.925200000000004</v>
      </c>
      <c r="AG35" s="21"/>
    </row>
    <row r="36" spans="1:33" ht="11.1" customHeight="1" x14ac:dyDescent="0.2">
      <c r="A36" s="9" t="s">
        <v>40</v>
      </c>
      <c r="B36" s="9" t="s">
        <v>14</v>
      </c>
      <c r="C36" s="10">
        <v>23.995000000000001</v>
      </c>
      <c r="D36" s="10">
        <v>11.146000000000001</v>
      </c>
      <c r="E36" s="10">
        <v>25.181000000000001</v>
      </c>
      <c r="F36" s="10"/>
      <c r="G36" s="5" t="str">
        <f>VLOOKUP(A:A,[1]TDSheet!$A:$G,7,0)</f>
        <v>P002209</v>
      </c>
      <c r="H36" s="5">
        <f>VLOOKUP(A:A,[1]TDSheet!$A:$H,8,0)</f>
        <v>1</v>
      </c>
      <c r="L36" s="21">
        <f>VLOOKUP(A:A,[2]TDSheet!$A:$B,2,0)</f>
        <v>227.8</v>
      </c>
      <c r="M36" s="21">
        <f t="shared" si="5"/>
        <v>-202.619</v>
      </c>
      <c r="N36" s="21"/>
      <c r="O36" s="21">
        <f>VLOOKUP(A:A,[1]TDSheet!$A:$P,16,0)</f>
        <v>0</v>
      </c>
      <c r="P36" s="21">
        <f>VLOOKUP(A:A,[1]TDSheet!$A:$Q,17,0)</f>
        <v>0</v>
      </c>
      <c r="Q36" s="21">
        <f>VLOOKUP(A:A,[1]TDSheet!$A:$R,18,0)</f>
        <v>0</v>
      </c>
      <c r="R36" s="21">
        <f>VLOOKUP(A:A,[1]TDSheet!$A:$T,20,0)</f>
        <v>220</v>
      </c>
      <c r="S36" s="21">
        <f>VLOOKUP(A:A,[1]TDSheet!$A:$N,14,0)</f>
        <v>10</v>
      </c>
      <c r="T36" s="21">
        <f>VLOOKUP(A:A,[1]TDSheet!$A:$V,22,0)</f>
        <v>10</v>
      </c>
      <c r="U36" s="21">
        <f t="shared" si="6"/>
        <v>5.0362</v>
      </c>
      <c r="V36" s="22"/>
      <c r="W36" s="22"/>
      <c r="X36" s="21"/>
      <c r="Y36" s="21">
        <f t="shared" si="8"/>
        <v>47.65497795957269</v>
      </c>
      <c r="Z36" s="21">
        <f t="shared" si="9"/>
        <v>0</v>
      </c>
      <c r="AA36" s="21">
        <f>VLOOKUP(A:A,[1]TDSheet!$A:$AB,28,0)</f>
        <v>3.5762</v>
      </c>
      <c r="AB36" s="21">
        <f>VLOOKUP(A:A,[1]TDSheet!$A:$AC,29,0)</f>
        <v>17.3094</v>
      </c>
      <c r="AC36" s="21">
        <f>VLOOKUP(A:A,[1]TDSheet!$A:$AD,30,0)</f>
        <v>8.7968000000000011</v>
      </c>
      <c r="AD36" s="21">
        <f>VLOOKUP(A:A,[1]TDSheet!$A:$U,21,0)</f>
        <v>22.971</v>
      </c>
      <c r="AE36" s="21"/>
      <c r="AF36" s="21">
        <f t="shared" si="10"/>
        <v>0</v>
      </c>
      <c r="AG36" s="21"/>
    </row>
    <row r="37" spans="1:33" ht="21.95" customHeight="1" x14ac:dyDescent="0.2">
      <c r="A37" s="9" t="s">
        <v>41</v>
      </c>
      <c r="B37" s="9" t="s">
        <v>14</v>
      </c>
      <c r="C37" s="10">
        <v>1882.059</v>
      </c>
      <c r="D37" s="10">
        <v>3858.279</v>
      </c>
      <c r="E37" s="10">
        <v>3112.7539999999999</v>
      </c>
      <c r="F37" s="10">
        <v>1195.5940000000001</v>
      </c>
      <c r="G37" s="5" t="str">
        <f>VLOOKUP(A:A,[1]TDSheet!$A:$G,7,0)</f>
        <v>P004844</v>
      </c>
      <c r="H37" s="5">
        <f>VLOOKUP(A:A,[1]TDSheet!$A:$H,8,0)</f>
        <v>1</v>
      </c>
      <c r="I37" s="5">
        <f>VLOOKUP(A:A,[1]TDSheet!$A:$I,9,0)</f>
        <v>40</v>
      </c>
      <c r="J37" s="5" t="str">
        <f>VLOOKUP(A:A,[1]TDSheet!$A:$J,10,0)</f>
        <v>матрица</v>
      </c>
      <c r="L37" s="21">
        <f>VLOOKUP(A:A,[2]TDSheet!$A:$B,2,0)</f>
        <v>2874.16</v>
      </c>
      <c r="M37" s="21">
        <f t="shared" si="5"/>
        <v>238.59400000000005</v>
      </c>
      <c r="N37" s="21"/>
      <c r="O37" s="21">
        <f>VLOOKUP(A:A,[1]TDSheet!$A:$P,16,0)</f>
        <v>1200</v>
      </c>
      <c r="P37" s="21">
        <f>VLOOKUP(A:A,[1]TDSheet!$A:$Q,17,0)</f>
        <v>1200</v>
      </c>
      <c r="Q37" s="21">
        <f>VLOOKUP(A:A,[1]TDSheet!$A:$R,18,0)</f>
        <v>1200</v>
      </c>
      <c r="R37" s="21">
        <f>VLOOKUP(A:A,[1]TDSheet!$A:$T,20,0)</f>
        <v>100</v>
      </c>
      <c r="S37" s="21">
        <f>VLOOKUP(A:A,[1]TDSheet!$A:$N,14,0)</f>
        <v>1400</v>
      </c>
      <c r="T37" s="21">
        <f>VLOOKUP(A:A,[1]TDSheet!$A:$V,22,0)</f>
        <v>1400</v>
      </c>
      <c r="U37" s="21">
        <f t="shared" si="6"/>
        <v>622.55079999999998</v>
      </c>
      <c r="V37" s="22"/>
      <c r="W37" s="22"/>
      <c r="X37" s="21"/>
      <c r="Y37" s="21">
        <f t="shared" si="8"/>
        <v>12.361391231044921</v>
      </c>
      <c r="Z37" s="21">
        <f t="shared" si="9"/>
        <v>1.9204762085278826</v>
      </c>
      <c r="AA37" s="21">
        <f>VLOOKUP(A:A,[1]TDSheet!$A:$AB,28,0)</f>
        <v>0</v>
      </c>
      <c r="AB37" s="21">
        <f>VLOOKUP(A:A,[1]TDSheet!$A:$AC,29,0)</f>
        <v>613.54840000000002</v>
      </c>
      <c r="AC37" s="21">
        <f>VLOOKUP(A:A,[1]TDSheet!$A:$AD,30,0)</f>
        <v>559.12</v>
      </c>
      <c r="AD37" s="21">
        <f>VLOOKUP(A:A,[1]TDSheet!$A:$U,21,0)</f>
        <v>626.69579999999996</v>
      </c>
      <c r="AE37" s="21"/>
      <c r="AF37" s="21">
        <f t="shared" si="10"/>
        <v>0</v>
      </c>
      <c r="AG37" s="21"/>
    </row>
    <row r="38" spans="1:33" ht="11.1" customHeight="1" x14ac:dyDescent="0.2">
      <c r="A38" s="9" t="s">
        <v>42</v>
      </c>
      <c r="B38" s="9" t="s">
        <v>14</v>
      </c>
      <c r="C38" s="10">
        <v>6.8810000000000002</v>
      </c>
      <c r="D38" s="10">
        <v>481.584</v>
      </c>
      <c r="E38" s="10">
        <v>226.143</v>
      </c>
      <c r="F38" s="10">
        <v>169.19800000000001</v>
      </c>
      <c r="G38" s="5" t="str">
        <f>VLOOKUP(A:A,[1]TDSheet!$A:$G,7,0)</f>
        <v>P004913</v>
      </c>
      <c r="H38" s="5">
        <f>VLOOKUP(A:A,[1]TDSheet!$A:$H,8,0)</f>
        <v>1</v>
      </c>
      <c r="I38" s="5">
        <f>VLOOKUP(A:A,[1]TDSheet!$A:$I,9,0)</f>
        <v>30</v>
      </c>
      <c r="J38" s="5" t="str">
        <f>VLOOKUP(A:A,[1]TDSheet!$A:$J,10,0)</f>
        <v>матрица</v>
      </c>
      <c r="L38" s="21">
        <f>VLOOKUP(A:A,[2]TDSheet!$A:$B,2,0)</f>
        <v>242.4</v>
      </c>
      <c r="M38" s="21">
        <f t="shared" si="5"/>
        <v>-16.257000000000005</v>
      </c>
      <c r="N38" s="21"/>
      <c r="O38" s="21">
        <f>VLOOKUP(A:A,[1]TDSheet!$A:$P,16,0)</f>
        <v>0</v>
      </c>
      <c r="P38" s="21">
        <f>VLOOKUP(A:A,[1]TDSheet!$A:$Q,17,0)</f>
        <v>0</v>
      </c>
      <c r="Q38" s="21">
        <f>VLOOKUP(A:A,[1]TDSheet!$A:$R,18,0)</f>
        <v>0</v>
      </c>
      <c r="R38" s="21">
        <f>VLOOKUP(A:A,[1]TDSheet!$A:$T,20,0)</f>
        <v>360</v>
      </c>
      <c r="S38" s="21">
        <f>VLOOKUP(A:A,[1]TDSheet!$A:$N,14,0)</f>
        <v>30</v>
      </c>
      <c r="T38" s="21">
        <f>VLOOKUP(A:A,[1]TDSheet!$A:$V,22,0)</f>
        <v>30</v>
      </c>
      <c r="U38" s="21">
        <f t="shared" si="6"/>
        <v>45.2286</v>
      </c>
      <c r="V38" s="22"/>
      <c r="W38" s="22"/>
      <c r="X38" s="21"/>
      <c r="Y38" s="21">
        <f t="shared" si="8"/>
        <v>13.02711116417488</v>
      </c>
      <c r="Z38" s="21">
        <f t="shared" si="9"/>
        <v>3.7409515218246865</v>
      </c>
      <c r="AA38" s="21">
        <f>VLOOKUP(A:A,[1]TDSheet!$A:$AB,28,0)</f>
        <v>43.793599999999998</v>
      </c>
      <c r="AB38" s="21">
        <f>VLOOKUP(A:A,[1]TDSheet!$A:$AC,29,0)</f>
        <v>39.325000000000003</v>
      </c>
      <c r="AC38" s="21">
        <f>VLOOKUP(A:A,[1]TDSheet!$A:$AD,30,0)</f>
        <v>47.580399999999997</v>
      </c>
      <c r="AD38" s="21">
        <f>VLOOKUP(A:A,[1]TDSheet!$A:$U,21,0)</f>
        <v>43.9176</v>
      </c>
      <c r="AE38" s="21"/>
      <c r="AF38" s="21">
        <f t="shared" si="10"/>
        <v>0</v>
      </c>
      <c r="AG38" s="21"/>
    </row>
    <row r="39" spans="1:33" ht="11.1" customHeight="1" x14ac:dyDescent="0.2">
      <c r="A39" s="9" t="s">
        <v>43</v>
      </c>
      <c r="B39" s="9" t="s">
        <v>18</v>
      </c>
      <c r="C39" s="10">
        <v>2408</v>
      </c>
      <c r="D39" s="10">
        <v>5750</v>
      </c>
      <c r="E39" s="10">
        <v>4224</v>
      </c>
      <c r="F39" s="10">
        <v>2520</v>
      </c>
      <c r="G39" s="5" t="str">
        <f>VLOOKUP(A:A,[1]TDSheet!$A:$G,7,0)</f>
        <v>P003957</v>
      </c>
      <c r="H39" s="5">
        <f>VLOOKUP(A:A,[1]TDSheet!$A:$H,8,0)</f>
        <v>0.4</v>
      </c>
      <c r="I39" s="5">
        <f>VLOOKUP(A:A,[1]TDSheet!$A:$I,9,0)</f>
        <v>45</v>
      </c>
      <c r="J39" s="5" t="str">
        <f>VLOOKUP(A:A,[1]TDSheet!$A:$J,10,0)</f>
        <v>матрица</v>
      </c>
      <c r="L39" s="21">
        <f>VLOOKUP(A:A,[2]TDSheet!$A:$B,2,0)</f>
        <v>4376</v>
      </c>
      <c r="M39" s="21">
        <f t="shared" si="5"/>
        <v>-152</v>
      </c>
      <c r="N39" s="21"/>
      <c r="O39" s="21">
        <f>VLOOKUP(A:A,[1]TDSheet!$A:$P,16,0)</f>
        <v>0</v>
      </c>
      <c r="P39" s="21">
        <f>VLOOKUP(A:A,[1]TDSheet!$A:$Q,17,0)</f>
        <v>0</v>
      </c>
      <c r="Q39" s="21">
        <f>VLOOKUP(A:A,[1]TDSheet!$A:$R,18,0)</f>
        <v>0</v>
      </c>
      <c r="R39" s="21">
        <f>VLOOKUP(A:A,[1]TDSheet!$A:$T,20,0)</f>
        <v>3400</v>
      </c>
      <c r="S39" s="21">
        <f>VLOOKUP(A:A,[1]TDSheet!$A:$N,14,0)</f>
        <v>1700</v>
      </c>
      <c r="T39" s="21">
        <f>VLOOKUP(A:A,[1]TDSheet!$A:$V,22,0)</f>
        <v>1700</v>
      </c>
      <c r="U39" s="21">
        <f t="shared" si="6"/>
        <v>844.8</v>
      </c>
      <c r="V39" s="22"/>
      <c r="W39" s="28">
        <v>900</v>
      </c>
      <c r="X39" s="29" t="s">
        <v>168</v>
      </c>
      <c r="Y39" s="21">
        <f t="shared" si="8"/>
        <v>11.032196969696971</v>
      </c>
      <c r="Z39" s="21">
        <f t="shared" si="9"/>
        <v>2.9829545454545454</v>
      </c>
      <c r="AA39" s="21">
        <f>VLOOKUP(A:A,[1]TDSheet!$A:$AB,28,0)</f>
        <v>803.6</v>
      </c>
      <c r="AB39" s="21">
        <f>VLOOKUP(A:A,[1]TDSheet!$A:$AC,29,0)</f>
        <v>855.4</v>
      </c>
      <c r="AC39" s="21">
        <f>VLOOKUP(A:A,[1]TDSheet!$A:$AD,30,0)</f>
        <v>846.4</v>
      </c>
      <c r="AD39" s="21">
        <f>VLOOKUP(A:A,[1]TDSheet!$A:$U,21,0)</f>
        <v>866.6</v>
      </c>
      <c r="AE39" s="21" t="str">
        <f>VLOOKUP(A:A,[1]TDSheet!$A:$AE,31,0)</f>
        <v>промо</v>
      </c>
      <c r="AF39" s="21">
        <f t="shared" si="10"/>
        <v>0</v>
      </c>
      <c r="AG39" s="21"/>
    </row>
    <row r="40" spans="1:33" ht="11.1" customHeight="1" x14ac:dyDescent="0.2">
      <c r="A40" s="9" t="s">
        <v>44</v>
      </c>
      <c r="B40" s="9" t="s">
        <v>18</v>
      </c>
      <c r="C40" s="10">
        <v>247</v>
      </c>
      <c r="D40" s="10">
        <v>967</v>
      </c>
      <c r="E40" s="10">
        <v>461</v>
      </c>
      <c r="F40" s="10">
        <v>272</v>
      </c>
      <c r="G40" s="5" t="str">
        <f>VLOOKUP(A:A,[1]TDSheet!$A:$G,7,0)</f>
        <v>P003103</v>
      </c>
      <c r="H40" s="5">
        <f>VLOOKUP(A:A,[1]TDSheet!$A:$H,8,0)</f>
        <v>0.45</v>
      </c>
      <c r="I40" s="5">
        <f>VLOOKUP(A:A,[1]TDSheet!$A:$I,9,0)</f>
        <v>50</v>
      </c>
      <c r="J40" s="5" t="str">
        <f>VLOOKUP(A:A,[1]TDSheet!$A:$J,10,0)</f>
        <v>матрица</v>
      </c>
      <c r="L40" s="21">
        <f>VLOOKUP(A:A,[2]TDSheet!$A:$B,2,0)</f>
        <v>469</v>
      </c>
      <c r="M40" s="21">
        <f t="shared" si="5"/>
        <v>-8</v>
      </c>
      <c r="N40" s="21"/>
      <c r="O40" s="21">
        <f>VLOOKUP(A:A,[1]TDSheet!$A:$P,16,0)</f>
        <v>0</v>
      </c>
      <c r="P40" s="21">
        <f>VLOOKUP(A:A,[1]TDSheet!$A:$Q,17,0)</f>
        <v>0</v>
      </c>
      <c r="Q40" s="21">
        <f>VLOOKUP(A:A,[1]TDSheet!$A:$R,18,0)</f>
        <v>0</v>
      </c>
      <c r="R40" s="21">
        <f>VLOOKUP(A:A,[1]TDSheet!$A:$T,20,0)</f>
        <v>380</v>
      </c>
      <c r="S40" s="21">
        <f>VLOOKUP(A:A,[1]TDSheet!$A:$N,14,0)</f>
        <v>130</v>
      </c>
      <c r="T40" s="21">
        <f>VLOOKUP(A:A,[1]TDSheet!$A:$V,22,0)</f>
        <v>130</v>
      </c>
      <c r="U40" s="21">
        <f t="shared" si="6"/>
        <v>92.2</v>
      </c>
      <c r="V40" s="22">
        <f t="shared" si="7"/>
        <v>102.20000000000005</v>
      </c>
      <c r="W40" s="22"/>
      <c r="X40" s="21"/>
      <c r="Y40" s="21">
        <f t="shared" si="8"/>
        <v>11</v>
      </c>
      <c r="Z40" s="21">
        <f t="shared" si="9"/>
        <v>2.9501084598698482</v>
      </c>
      <c r="AA40" s="21">
        <f>VLOOKUP(A:A,[1]TDSheet!$A:$AB,28,0)</f>
        <v>83.2</v>
      </c>
      <c r="AB40" s="21">
        <f>VLOOKUP(A:A,[1]TDSheet!$A:$AC,29,0)</f>
        <v>80.599999999999994</v>
      </c>
      <c r="AC40" s="21">
        <f>VLOOKUP(A:A,[1]TDSheet!$A:$AD,30,0)</f>
        <v>84.4</v>
      </c>
      <c r="AD40" s="21">
        <f>VLOOKUP(A:A,[1]TDSheet!$A:$U,21,0)</f>
        <v>86.8</v>
      </c>
      <c r="AE40" s="21"/>
      <c r="AF40" s="21">
        <f t="shared" si="10"/>
        <v>45.990000000000023</v>
      </c>
      <c r="AG40" s="21"/>
    </row>
    <row r="41" spans="1:33" ht="11.1" customHeight="1" x14ac:dyDescent="0.2">
      <c r="A41" s="9" t="s">
        <v>45</v>
      </c>
      <c r="B41" s="9" t="s">
        <v>18</v>
      </c>
      <c r="C41" s="10">
        <v>562</v>
      </c>
      <c r="D41" s="10">
        <v>1821</v>
      </c>
      <c r="E41" s="10">
        <v>1149</v>
      </c>
      <c r="F41" s="10">
        <v>457</v>
      </c>
      <c r="G41" s="5" t="str">
        <f>VLOOKUP(A:A,[1]TDSheet!$A:$G,7,0)</f>
        <v>P003958</v>
      </c>
      <c r="H41" s="5">
        <f>VLOOKUP(A:A,[1]TDSheet!$A:$H,8,0)</f>
        <v>0.4</v>
      </c>
      <c r="I41" s="5">
        <f>VLOOKUP(A:A,[1]TDSheet!$A:$I,9,0)</f>
        <v>45</v>
      </c>
      <c r="J41" s="5" t="str">
        <f>VLOOKUP(A:A,[1]TDSheet!$A:$J,10,0)</f>
        <v>матрица</v>
      </c>
      <c r="L41" s="21">
        <f>VLOOKUP(A:A,[2]TDSheet!$A:$B,2,0)</f>
        <v>1226</v>
      </c>
      <c r="M41" s="21">
        <f t="shared" si="5"/>
        <v>-77</v>
      </c>
      <c r="N41" s="21"/>
      <c r="O41" s="21">
        <f>VLOOKUP(A:A,[1]TDSheet!$A:$P,16,0)</f>
        <v>0</v>
      </c>
      <c r="P41" s="21">
        <f>VLOOKUP(A:A,[1]TDSheet!$A:$Q,17,0)</f>
        <v>0</v>
      </c>
      <c r="Q41" s="21">
        <f>VLOOKUP(A:A,[1]TDSheet!$A:$R,18,0)</f>
        <v>0</v>
      </c>
      <c r="R41" s="21">
        <f>VLOOKUP(A:A,[1]TDSheet!$A:$T,20,0)</f>
        <v>950</v>
      </c>
      <c r="S41" s="21">
        <f>VLOOKUP(A:A,[1]TDSheet!$A:$N,14,0)</f>
        <v>400</v>
      </c>
      <c r="T41" s="21">
        <f>VLOOKUP(A:A,[1]TDSheet!$A:$V,22,0)</f>
        <v>400</v>
      </c>
      <c r="U41" s="21">
        <f t="shared" si="6"/>
        <v>229.8</v>
      </c>
      <c r="V41" s="22">
        <f t="shared" si="7"/>
        <v>320.80000000000018</v>
      </c>
      <c r="W41" s="22"/>
      <c r="X41" s="21"/>
      <c r="Y41" s="21">
        <f t="shared" si="8"/>
        <v>11</v>
      </c>
      <c r="Z41" s="21">
        <f t="shared" si="9"/>
        <v>1.9886858137510879</v>
      </c>
      <c r="AA41" s="21">
        <f>VLOOKUP(A:A,[1]TDSheet!$A:$AB,28,0)</f>
        <v>267.8</v>
      </c>
      <c r="AB41" s="21">
        <f>VLOOKUP(A:A,[1]TDSheet!$A:$AC,29,0)</f>
        <v>207.6</v>
      </c>
      <c r="AC41" s="21">
        <f>VLOOKUP(A:A,[1]TDSheet!$A:$AD,30,0)</f>
        <v>209</v>
      </c>
      <c r="AD41" s="21">
        <f>VLOOKUP(A:A,[1]TDSheet!$A:$U,21,0)</f>
        <v>232.6</v>
      </c>
      <c r="AE41" s="21" t="str">
        <f>VLOOKUP(A:A,[1]TDSheet!$A:$AE,31,0)</f>
        <v>промо</v>
      </c>
      <c r="AF41" s="21">
        <f t="shared" si="10"/>
        <v>128.32000000000008</v>
      </c>
      <c r="AG41" s="21"/>
    </row>
    <row r="42" spans="1:33" ht="11.1" customHeight="1" x14ac:dyDescent="0.2">
      <c r="A42" s="27" t="s">
        <v>46</v>
      </c>
      <c r="B42" s="9" t="s">
        <v>18</v>
      </c>
      <c r="C42" s="11"/>
      <c r="D42" s="10">
        <v>24</v>
      </c>
      <c r="E42" s="10">
        <v>3</v>
      </c>
      <c r="F42" s="10">
        <v>21</v>
      </c>
      <c r="G42" s="5" t="str">
        <f>VLOOKUP(A:A,[1]TDSheet!$A:$G,7,0)</f>
        <v>P005198</v>
      </c>
      <c r="H42" s="5">
        <f>VLOOKUP(A:A,[1]TDSheet!$A:$H,8,0)</f>
        <v>0.4</v>
      </c>
      <c r="I42" s="5">
        <f>VLOOKUP(A:A,[1]TDSheet!$A:$I,9,0)</f>
        <v>40</v>
      </c>
      <c r="J42" s="5" t="str">
        <f>VLOOKUP(A:A,[1]TDSheet!$A:$J,10,0)</f>
        <v>матрица</v>
      </c>
      <c r="L42" s="21">
        <f>VLOOKUP(A:A,[2]TDSheet!$A:$B,2,0)</f>
        <v>8</v>
      </c>
      <c r="M42" s="21">
        <f t="shared" si="5"/>
        <v>-5</v>
      </c>
      <c r="N42" s="21"/>
      <c r="O42" s="21">
        <f>VLOOKUP(A:A,[1]TDSheet!$A:$P,16,0)</f>
        <v>0</v>
      </c>
      <c r="P42" s="21">
        <f>VLOOKUP(A:A,[1]TDSheet!$A:$Q,17,0)</f>
        <v>0</v>
      </c>
      <c r="Q42" s="21">
        <f>VLOOKUP(A:A,[1]TDSheet!$A:$R,18,0)</f>
        <v>0</v>
      </c>
      <c r="R42" s="21">
        <f>VLOOKUP(A:A,[1]TDSheet!$A:$T,20,0)</f>
        <v>0</v>
      </c>
      <c r="S42" s="21">
        <f>VLOOKUP(A:A,[1]TDSheet!$A:$N,14,0)</f>
        <v>0</v>
      </c>
      <c r="T42" s="21">
        <f>VLOOKUP(A:A,[1]TDSheet!$A:$V,22,0)</f>
        <v>0</v>
      </c>
      <c r="U42" s="21">
        <f t="shared" si="6"/>
        <v>0.6</v>
      </c>
      <c r="V42" s="22"/>
      <c r="W42" s="22"/>
      <c r="X42" s="21"/>
      <c r="Y42" s="21">
        <f t="shared" si="8"/>
        <v>35</v>
      </c>
      <c r="Z42" s="21">
        <f t="shared" si="9"/>
        <v>35</v>
      </c>
      <c r="AA42" s="21">
        <f>VLOOKUP(A:A,[1]TDSheet!$A:$AB,28,0)</f>
        <v>0.6</v>
      </c>
      <c r="AB42" s="21">
        <f>VLOOKUP(A:A,[1]TDSheet!$A:$AC,29,0)</f>
        <v>1.2</v>
      </c>
      <c r="AC42" s="21">
        <f>VLOOKUP(A:A,[1]TDSheet!$A:$AD,30,0)</f>
        <v>1.8</v>
      </c>
      <c r="AD42" s="21">
        <f>VLOOKUP(A:A,[1]TDSheet!$A:$U,21,0)</f>
        <v>0.2</v>
      </c>
      <c r="AE42" s="21"/>
      <c r="AF42" s="21">
        <f t="shared" si="10"/>
        <v>0</v>
      </c>
      <c r="AG42" s="21"/>
    </row>
    <row r="43" spans="1:33" ht="11.1" customHeight="1" x14ac:dyDescent="0.2">
      <c r="A43" s="9" t="s">
        <v>47</v>
      </c>
      <c r="B43" s="9" t="s">
        <v>18</v>
      </c>
      <c r="C43" s="10">
        <v>-1</v>
      </c>
      <c r="D43" s="10">
        <v>1</v>
      </c>
      <c r="E43" s="10">
        <v>0</v>
      </c>
      <c r="F43" s="10"/>
      <c r="G43" s="5" t="str">
        <f>VLOOKUP(A:A,[1]TDSheet!$A:$G,7,0)</f>
        <v>P004400</v>
      </c>
      <c r="H43" s="5">
        <f>VLOOKUP(A:A,[1]TDSheet!$A:$H,8,0)</f>
        <v>0.35</v>
      </c>
      <c r="L43" s="21">
        <v>0</v>
      </c>
      <c r="M43" s="21">
        <f t="shared" si="5"/>
        <v>0</v>
      </c>
      <c r="N43" s="21"/>
      <c r="O43" s="21">
        <f>VLOOKUP(A:A,[1]TDSheet!$A:$P,16,0)</f>
        <v>0</v>
      </c>
      <c r="P43" s="21">
        <f>VLOOKUP(A:A,[1]TDSheet!$A:$Q,17,0)</f>
        <v>0</v>
      </c>
      <c r="Q43" s="21">
        <f>VLOOKUP(A:A,[1]TDSheet!$A:$R,18,0)</f>
        <v>0</v>
      </c>
      <c r="R43" s="21">
        <f>VLOOKUP(A:A,[1]TDSheet!$A:$T,20,0)</f>
        <v>0</v>
      </c>
      <c r="S43" s="21">
        <f>VLOOKUP(A:A,[1]TDSheet!$A:$N,14,0)</f>
        <v>0</v>
      </c>
      <c r="T43" s="21">
        <f>VLOOKUP(A:A,[1]TDSheet!$A:$V,22,0)</f>
        <v>0</v>
      </c>
      <c r="U43" s="21">
        <f t="shared" si="6"/>
        <v>0</v>
      </c>
      <c r="V43" s="22"/>
      <c r="W43" s="22"/>
      <c r="X43" s="21"/>
      <c r="Y43" s="21" t="e">
        <f t="shared" si="8"/>
        <v>#DIV/0!</v>
      </c>
      <c r="Z43" s="21" t="e">
        <f t="shared" si="9"/>
        <v>#DIV/0!</v>
      </c>
      <c r="AA43" s="21">
        <f>VLOOKUP(A:A,[1]TDSheet!$A:$AB,28,0)</f>
        <v>0</v>
      </c>
      <c r="AB43" s="21">
        <f>VLOOKUP(A:A,[1]TDSheet!$A:$AC,29,0)</f>
        <v>0</v>
      </c>
      <c r="AC43" s="21">
        <f>VLOOKUP(A:A,[1]TDSheet!$A:$AD,30,0)</f>
        <v>0.2</v>
      </c>
      <c r="AD43" s="21">
        <f>VLOOKUP(A:A,[1]TDSheet!$A:$U,21,0)</f>
        <v>0</v>
      </c>
      <c r="AE43" s="21"/>
      <c r="AF43" s="21">
        <f t="shared" si="10"/>
        <v>0</v>
      </c>
      <c r="AG43" s="21"/>
    </row>
    <row r="44" spans="1:33" ht="11.1" customHeight="1" x14ac:dyDescent="0.2">
      <c r="A44" s="9" t="s">
        <v>48</v>
      </c>
      <c r="B44" s="9" t="s">
        <v>14</v>
      </c>
      <c r="C44" s="10">
        <v>161.52199999999999</v>
      </c>
      <c r="D44" s="10">
        <v>285.34399999999999</v>
      </c>
      <c r="E44" s="10">
        <v>285.64699999999999</v>
      </c>
      <c r="F44" s="10">
        <v>109.896</v>
      </c>
      <c r="G44" s="5" t="str">
        <f>VLOOKUP(A:A,[1]TDSheet!$A:$G,7,0)</f>
        <v>P003959</v>
      </c>
      <c r="H44" s="5">
        <f>VLOOKUP(A:A,[1]TDSheet!$A:$H,8,0)</f>
        <v>1</v>
      </c>
      <c r="I44" s="5">
        <f>VLOOKUP(A:A,[1]TDSheet!$A:$I,9,0)</f>
        <v>45</v>
      </c>
      <c r="J44" s="5" t="str">
        <f>VLOOKUP(A:A,[1]TDSheet!$A:$J,10,0)</f>
        <v>матрица</v>
      </c>
      <c r="L44" s="21">
        <f>VLOOKUP(A:A,[2]TDSheet!$A:$B,2,0)</f>
        <v>269.01</v>
      </c>
      <c r="M44" s="21">
        <f t="shared" si="5"/>
        <v>16.637</v>
      </c>
      <c r="N44" s="21"/>
      <c r="O44" s="21">
        <f>VLOOKUP(A:A,[1]TDSheet!$A:$P,16,0)</f>
        <v>0</v>
      </c>
      <c r="P44" s="21">
        <f>VLOOKUP(A:A,[1]TDSheet!$A:$Q,17,0)</f>
        <v>0</v>
      </c>
      <c r="Q44" s="21">
        <f>VLOOKUP(A:A,[1]TDSheet!$A:$R,18,0)</f>
        <v>0</v>
      </c>
      <c r="R44" s="21">
        <f>VLOOKUP(A:A,[1]TDSheet!$A:$T,20,0)</f>
        <v>160</v>
      </c>
      <c r="S44" s="21">
        <f>VLOOKUP(A:A,[1]TDSheet!$A:$N,14,0)</f>
        <v>90</v>
      </c>
      <c r="T44" s="21">
        <f>VLOOKUP(A:A,[1]TDSheet!$A:$V,22,0)</f>
        <v>90</v>
      </c>
      <c r="U44" s="21">
        <f t="shared" si="6"/>
        <v>57.129399999999997</v>
      </c>
      <c r="V44" s="22">
        <f t="shared" si="7"/>
        <v>178.52740000000006</v>
      </c>
      <c r="W44" s="22"/>
      <c r="X44" s="21"/>
      <c r="Y44" s="21">
        <f t="shared" si="8"/>
        <v>11.000000000000004</v>
      </c>
      <c r="Z44" s="21">
        <f t="shared" si="9"/>
        <v>1.923633015575168</v>
      </c>
      <c r="AA44" s="21">
        <f>VLOOKUP(A:A,[1]TDSheet!$A:$AB,28,0)</f>
        <v>42.671800000000005</v>
      </c>
      <c r="AB44" s="21">
        <f>VLOOKUP(A:A,[1]TDSheet!$A:$AC,29,0)</f>
        <v>52.311999999999998</v>
      </c>
      <c r="AC44" s="21">
        <f>VLOOKUP(A:A,[1]TDSheet!$A:$AD,30,0)</f>
        <v>50.101999999999997</v>
      </c>
      <c r="AD44" s="21">
        <f>VLOOKUP(A:A,[1]TDSheet!$A:$U,21,0)</f>
        <v>54.578599999999994</v>
      </c>
      <c r="AE44" s="21"/>
      <c r="AF44" s="21">
        <f t="shared" si="10"/>
        <v>178.52740000000006</v>
      </c>
      <c r="AG44" s="21"/>
    </row>
    <row r="45" spans="1:33" ht="11.1" customHeight="1" x14ac:dyDescent="0.2">
      <c r="A45" s="27" t="s">
        <v>49</v>
      </c>
      <c r="B45" s="9" t="s">
        <v>18</v>
      </c>
      <c r="C45" s="10">
        <v>2764</v>
      </c>
      <c r="D45" s="10"/>
      <c r="E45" s="10">
        <v>255</v>
      </c>
      <c r="F45" s="10">
        <v>2457</v>
      </c>
      <c r="G45" s="5" t="str">
        <f>VLOOKUP(A:A,[1]TDSheet!$A:$G,7,0)</f>
        <v>P002648</v>
      </c>
      <c r="H45" s="5">
        <f>VLOOKUP(A:A,[1]TDSheet!$A:$H,8,0)</f>
        <v>0.1</v>
      </c>
      <c r="I45" s="5">
        <f>VLOOKUP(A:A,[1]TDSheet!$A:$I,9,0)</f>
        <v>730</v>
      </c>
      <c r="J45" s="5" t="str">
        <f>VLOOKUP(A:A,[1]TDSheet!$A:$J,10,0)</f>
        <v>матрица</v>
      </c>
      <c r="L45" s="21">
        <f>VLOOKUP(A:A,[2]TDSheet!$A:$B,2,0)</f>
        <v>259</v>
      </c>
      <c r="M45" s="21">
        <f t="shared" si="5"/>
        <v>-4</v>
      </c>
      <c r="N45" s="21"/>
      <c r="O45" s="21">
        <f>VLOOKUP(A:A,[1]TDSheet!$A:$P,16,0)</f>
        <v>0</v>
      </c>
      <c r="P45" s="21">
        <f>VLOOKUP(A:A,[1]TDSheet!$A:$Q,17,0)</f>
        <v>0</v>
      </c>
      <c r="Q45" s="21">
        <f>VLOOKUP(A:A,[1]TDSheet!$A:$R,18,0)</f>
        <v>0</v>
      </c>
      <c r="R45" s="21">
        <f>VLOOKUP(A:A,[1]TDSheet!$A:$T,20,0)</f>
        <v>0</v>
      </c>
      <c r="S45" s="21">
        <f>VLOOKUP(A:A,[1]TDSheet!$A:$N,14,0)</f>
        <v>0</v>
      </c>
      <c r="T45" s="21">
        <f>VLOOKUP(A:A,[1]TDSheet!$A:$V,22,0)</f>
        <v>0</v>
      </c>
      <c r="U45" s="21">
        <f t="shared" si="6"/>
        <v>51</v>
      </c>
      <c r="V45" s="22"/>
      <c r="W45" s="22"/>
      <c r="X45" s="21"/>
      <c r="Y45" s="21">
        <f t="shared" si="8"/>
        <v>48.176470588235297</v>
      </c>
      <c r="Z45" s="21">
        <f t="shared" si="9"/>
        <v>48.176470588235297</v>
      </c>
      <c r="AA45" s="21">
        <f>VLOOKUP(A:A,[1]TDSheet!$A:$AB,28,0)</f>
        <v>42.2</v>
      </c>
      <c r="AB45" s="21">
        <f>VLOOKUP(A:A,[1]TDSheet!$A:$AC,29,0)</f>
        <v>49.2</v>
      </c>
      <c r="AC45" s="21">
        <f>VLOOKUP(A:A,[1]TDSheet!$A:$AD,30,0)</f>
        <v>57.4</v>
      </c>
      <c r="AD45" s="21">
        <f>VLOOKUP(A:A,[1]TDSheet!$A:$U,21,0)</f>
        <v>44.4</v>
      </c>
      <c r="AE45" s="21"/>
      <c r="AF45" s="21">
        <f t="shared" si="10"/>
        <v>0</v>
      </c>
      <c r="AG45" s="21"/>
    </row>
    <row r="46" spans="1:33" ht="21.95" customHeight="1" x14ac:dyDescent="0.2">
      <c r="A46" s="9" t="s">
        <v>50</v>
      </c>
      <c r="B46" s="9" t="s">
        <v>18</v>
      </c>
      <c r="C46" s="10">
        <v>107</v>
      </c>
      <c r="D46" s="10">
        <v>349</v>
      </c>
      <c r="E46" s="10">
        <v>273</v>
      </c>
      <c r="F46" s="10">
        <v>45</v>
      </c>
      <c r="G46" s="5" t="str">
        <f>VLOOKUP(A:A,[1]TDSheet!$A:$G,7,0)</f>
        <v>P003256</v>
      </c>
      <c r="H46" s="5">
        <f>VLOOKUP(A:A,[1]TDSheet!$A:$H,8,0)</f>
        <v>0.35</v>
      </c>
      <c r="I46" s="5">
        <f>VLOOKUP(A:A,[1]TDSheet!$A:$I,9,0)</f>
        <v>40</v>
      </c>
      <c r="J46" s="5" t="str">
        <f>VLOOKUP(A:A,[1]TDSheet!$A:$J,10,0)</f>
        <v>матрица</v>
      </c>
      <c r="L46" s="21">
        <f>VLOOKUP(A:A,[2]TDSheet!$A:$B,2,0)</f>
        <v>343</v>
      </c>
      <c r="M46" s="21">
        <f t="shared" si="5"/>
        <v>-70</v>
      </c>
      <c r="N46" s="21"/>
      <c r="O46" s="21">
        <f>VLOOKUP(A:A,[1]TDSheet!$A:$P,16,0)</f>
        <v>0</v>
      </c>
      <c r="P46" s="21">
        <f>VLOOKUP(A:A,[1]TDSheet!$A:$Q,17,0)</f>
        <v>0</v>
      </c>
      <c r="Q46" s="21">
        <f>VLOOKUP(A:A,[1]TDSheet!$A:$R,18,0)</f>
        <v>0</v>
      </c>
      <c r="R46" s="21">
        <f>VLOOKUP(A:A,[1]TDSheet!$A:$T,20,0)</f>
        <v>360</v>
      </c>
      <c r="S46" s="21">
        <f>VLOOKUP(A:A,[1]TDSheet!$A:$N,14,0)</f>
        <v>20</v>
      </c>
      <c r="T46" s="21">
        <f>VLOOKUP(A:A,[1]TDSheet!$A:$V,22,0)</f>
        <v>20</v>
      </c>
      <c r="U46" s="21">
        <f t="shared" si="6"/>
        <v>54.6</v>
      </c>
      <c r="V46" s="22">
        <f t="shared" si="7"/>
        <v>155.60000000000002</v>
      </c>
      <c r="W46" s="22"/>
      <c r="X46" s="21"/>
      <c r="Y46" s="21">
        <f t="shared" si="8"/>
        <v>11</v>
      </c>
      <c r="Z46" s="21">
        <f t="shared" si="9"/>
        <v>0.82417582417582413</v>
      </c>
      <c r="AA46" s="21">
        <f>VLOOKUP(A:A,[1]TDSheet!$A:$AB,28,0)</f>
        <v>52.2</v>
      </c>
      <c r="AB46" s="21">
        <f>VLOOKUP(A:A,[1]TDSheet!$A:$AC,29,0)</f>
        <v>46.8</v>
      </c>
      <c r="AC46" s="21">
        <f>VLOOKUP(A:A,[1]TDSheet!$A:$AD,30,0)</f>
        <v>45</v>
      </c>
      <c r="AD46" s="21">
        <f>VLOOKUP(A:A,[1]TDSheet!$A:$U,21,0)</f>
        <v>47.6</v>
      </c>
      <c r="AE46" s="21"/>
      <c r="AF46" s="21">
        <f t="shared" si="10"/>
        <v>54.460000000000008</v>
      </c>
      <c r="AG46" s="21"/>
    </row>
    <row r="47" spans="1:33" ht="11.1" customHeight="1" x14ac:dyDescent="0.2">
      <c r="A47" s="9" t="s">
        <v>51</v>
      </c>
      <c r="B47" s="9" t="s">
        <v>14</v>
      </c>
      <c r="C47" s="10">
        <v>37.338000000000001</v>
      </c>
      <c r="D47" s="10">
        <v>70.349000000000004</v>
      </c>
      <c r="E47" s="10">
        <v>59.774000000000001</v>
      </c>
      <c r="F47" s="10">
        <v>31.593</v>
      </c>
      <c r="G47" s="5" t="str">
        <f>VLOOKUP(A:A,[1]TDSheet!$A:$G,7,0)</f>
        <v>P003179</v>
      </c>
      <c r="H47" s="5">
        <f>VLOOKUP(A:A,[1]TDSheet!$A:$H,8,0)</f>
        <v>1</v>
      </c>
      <c r="I47" s="5">
        <f>VLOOKUP(A:A,[1]TDSheet!$A:$I,9,0)</f>
        <v>40</v>
      </c>
      <c r="J47" s="5" t="str">
        <f>VLOOKUP(A:A,[1]TDSheet!$A:$J,10,0)</f>
        <v>матрица</v>
      </c>
      <c r="L47" s="21">
        <f>VLOOKUP(A:A,[2]TDSheet!$A:$B,2,0)</f>
        <v>66.900000000000006</v>
      </c>
      <c r="M47" s="21">
        <f t="shared" si="5"/>
        <v>-7.1260000000000048</v>
      </c>
      <c r="N47" s="21"/>
      <c r="O47" s="21">
        <f>VLOOKUP(A:A,[1]TDSheet!$A:$P,16,0)</f>
        <v>0</v>
      </c>
      <c r="P47" s="21">
        <f>VLOOKUP(A:A,[1]TDSheet!$A:$Q,17,0)</f>
        <v>0</v>
      </c>
      <c r="Q47" s="21">
        <f>VLOOKUP(A:A,[1]TDSheet!$A:$R,18,0)</f>
        <v>0</v>
      </c>
      <c r="R47" s="21">
        <f>VLOOKUP(A:A,[1]TDSheet!$A:$T,20,0)</f>
        <v>50</v>
      </c>
      <c r="S47" s="21">
        <f>VLOOKUP(A:A,[1]TDSheet!$A:$N,14,0)</f>
        <v>0</v>
      </c>
      <c r="T47" s="21">
        <f>VLOOKUP(A:A,[1]TDSheet!$A:$V,22,0)</f>
        <v>0</v>
      </c>
      <c r="U47" s="21">
        <f t="shared" si="6"/>
        <v>11.954800000000001</v>
      </c>
      <c r="V47" s="22">
        <f t="shared" si="7"/>
        <v>49.909800000000004</v>
      </c>
      <c r="W47" s="22"/>
      <c r="X47" s="21"/>
      <c r="Y47" s="21">
        <f t="shared" si="8"/>
        <v>11</v>
      </c>
      <c r="Z47" s="21">
        <f t="shared" si="9"/>
        <v>2.6427041857663864</v>
      </c>
      <c r="AA47" s="21">
        <f>VLOOKUP(A:A,[1]TDSheet!$A:$AB,28,0)</f>
        <v>13.516399999999999</v>
      </c>
      <c r="AB47" s="21">
        <f>VLOOKUP(A:A,[1]TDSheet!$A:$AC,29,0)</f>
        <v>10.239599999999999</v>
      </c>
      <c r="AC47" s="21">
        <f>VLOOKUP(A:A,[1]TDSheet!$A:$AD,30,0)</f>
        <v>10.995200000000001</v>
      </c>
      <c r="AD47" s="21">
        <f>VLOOKUP(A:A,[1]TDSheet!$A:$U,21,0)</f>
        <v>9.5638000000000005</v>
      </c>
      <c r="AE47" s="21"/>
      <c r="AF47" s="21">
        <f t="shared" si="10"/>
        <v>49.909800000000004</v>
      </c>
      <c r="AG47" s="21"/>
    </row>
    <row r="48" spans="1:33" ht="11.1" customHeight="1" x14ac:dyDescent="0.2">
      <c r="A48" s="9" t="s">
        <v>52</v>
      </c>
      <c r="B48" s="9" t="s">
        <v>18</v>
      </c>
      <c r="C48" s="10">
        <v>111</v>
      </c>
      <c r="D48" s="10">
        <v>384</v>
      </c>
      <c r="E48" s="10">
        <v>190</v>
      </c>
      <c r="F48" s="10">
        <v>175</v>
      </c>
      <c r="G48" s="5" t="str">
        <f>VLOOKUP(A:A,[1]TDSheet!$A:$G,7,0)</f>
        <v>P003475</v>
      </c>
      <c r="H48" s="5">
        <f>VLOOKUP(A:A,[1]TDSheet!$A:$H,8,0)</f>
        <v>0.4</v>
      </c>
      <c r="I48" s="5">
        <f>VLOOKUP(A:A,[1]TDSheet!$A:$I,9,0)</f>
        <v>40</v>
      </c>
      <c r="J48" s="5" t="str">
        <f>VLOOKUP(A:A,[1]TDSheet!$A:$J,10,0)</f>
        <v>матрица</v>
      </c>
      <c r="L48" s="21">
        <f>VLOOKUP(A:A,[2]TDSheet!$A:$B,2,0)</f>
        <v>210</v>
      </c>
      <c r="M48" s="21">
        <f t="shared" si="5"/>
        <v>-20</v>
      </c>
      <c r="N48" s="21"/>
      <c r="O48" s="21">
        <f>VLOOKUP(A:A,[1]TDSheet!$A:$P,16,0)</f>
        <v>0</v>
      </c>
      <c r="P48" s="21">
        <f>VLOOKUP(A:A,[1]TDSheet!$A:$Q,17,0)</f>
        <v>0</v>
      </c>
      <c r="Q48" s="21">
        <f>VLOOKUP(A:A,[1]TDSheet!$A:$R,18,0)</f>
        <v>0</v>
      </c>
      <c r="R48" s="21">
        <f>VLOOKUP(A:A,[1]TDSheet!$A:$T,20,0)</f>
        <v>80</v>
      </c>
      <c r="S48" s="21">
        <f>VLOOKUP(A:A,[1]TDSheet!$A:$N,14,0)</f>
        <v>115</v>
      </c>
      <c r="T48" s="21">
        <f>VLOOKUP(A:A,[1]TDSheet!$A:$V,22,0)</f>
        <v>115</v>
      </c>
      <c r="U48" s="21">
        <f t="shared" si="6"/>
        <v>38</v>
      </c>
      <c r="V48" s="22"/>
      <c r="W48" s="22"/>
      <c r="X48" s="21"/>
      <c r="Y48" s="21">
        <f t="shared" si="8"/>
        <v>12.763157894736842</v>
      </c>
      <c r="Z48" s="21">
        <f t="shared" si="9"/>
        <v>4.6052631578947372</v>
      </c>
      <c r="AA48" s="21">
        <f>VLOOKUP(A:A,[1]TDSheet!$A:$AB,28,0)</f>
        <v>34.200000000000003</v>
      </c>
      <c r="AB48" s="21">
        <f>VLOOKUP(A:A,[1]TDSheet!$A:$AC,29,0)</f>
        <v>41</v>
      </c>
      <c r="AC48" s="21">
        <f>VLOOKUP(A:A,[1]TDSheet!$A:$AD,30,0)</f>
        <v>34.4</v>
      </c>
      <c r="AD48" s="21">
        <f>VLOOKUP(A:A,[1]TDSheet!$A:$U,21,0)</f>
        <v>48.6</v>
      </c>
      <c r="AE48" s="21"/>
      <c r="AF48" s="21">
        <f t="shared" si="10"/>
        <v>0</v>
      </c>
      <c r="AG48" s="21"/>
    </row>
    <row r="49" spans="1:33" ht="11.1" customHeight="1" x14ac:dyDescent="0.2">
      <c r="A49" s="9" t="s">
        <v>53</v>
      </c>
      <c r="B49" s="9" t="s">
        <v>18</v>
      </c>
      <c r="C49" s="10">
        <v>186</v>
      </c>
      <c r="D49" s="10">
        <v>446</v>
      </c>
      <c r="E49" s="10">
        <v>164</v>
      </c>
      <c r="F49" s="10">
        <v>430</v>
      </c>
      <c r="G49" s="5" t="str">
        <f>VLOOKUP(A:A,[1]TDSheet!$A:$G,7,0)</f>
        <v>P003217</v>
      </c>
      <c r="H49" s="5">
        <f>VLOOKUP(A:A,[1]TDSheet!$A:$H,8,0)</f>
        <v>0.4</v>
      </c>
      <c r="I49" s="5">
        <f>VLOOKUP(A:A,[1]TDSheet!$A:$I,9,0)</f>
        <v>45</v>
      </c>
      <c r="J49" s="5" t="str">
        <f>VLOOKUP(A:A,[1]TDSheet!$A:$J,10,0)</f>
        <v>матрица</v>
      </c>
      <c r="L49" s="21">
        <f>VLOOKUP(A:A,[2]TDSheet!$A:$B,2,0)</f>
        <v>165</v>
      </c>
      <c r="M49" s="21">
        <f t="shared" si="5"/>
        <v>-1</v>
      </c>
      <c r="N49" s="21"/>
      <c r="O49" s="21">
        <f>VLOOKUP(A:A,[1]TDSheet!$A:$P,16,0)</f>
        <v>0</v>
      </c>
      <c r="P49" s="21">
        <f>VLOOKUP(A:A,[1]TDSheet!$A:$Q,17,0)</f>
        <v>0</v>
      </c>
      <c r="Q49" s="21">
        <f>VLOOKUP(A:A,[1]TDSheet!$A:$R,18,0)</f>
        <v>0</v>
      </c>
      <c r="R49" s="21">
        <f>VLOOKUP(A:A,[1]TDSheet!$A:$T,20,0)</f>
        <v>70</v>
      </c>
      <c r="S49" s="21">
        <f>VLOOKUP(A:A,[1]TDSheet!$A:$N,14,0)</f>
        <v>45</v>
      </c>
      <c r="T49" s="21">
        <f>VLOOKUP(A:A,[1]TDSheet!$A:$V,22,0)</f>
        <v>45</v>
      </c>
      <c r="U49" s="21">
        <f t="shared" si="6"/>
        <v>32.799999999999997</v>
      </c>
      <c r="V49" s="22"/>
      <c r="W49" s="22"/>
      <c r="X49" s="21"/>
      <c r="Y49" s="21">
        <f t="shared" si="8"/>
        <v>17.987804878048781</v>
      </c>
      <c r="Z49" s="21">
        <f t="shared" si="9"/>
        <v>13.109756097560977</v>
      </c>
      <c r="AA49" s="21">
        <f>VLOOKUP(A:A,[1]TDSheet!$A:$AB,28,0)</f>
        <v>32.6</v>
      </c>
      <c r="AB49" s="21">
        <f>VLOOKUP(A:A,[1]TDSheet!$A:$AC,29,0)</f>
        <v>45.6</v>
      </c>
      <c r="AC49" s="21">
        <f>VLOOKUP(A:A,[1]TDSheet!$A:$AD,30,0)</f>
        <v>42.8</v>
      </c>
      <c r="AD49" s="21">
        <f>VLOOKUP(A:A,[1]TDSheet!$A:$U,21,0)</f>
        <v>37.200000000000003</v>
      </c>
      <c r="AE49" s="21"/>
      <c r="AF49" s="21">
        <f t="shared" si="10"/>
        <v>0</v>
      </c>
      <c r="AG49" s="21"/>
    </row>
    <row r="50" spans="1:33" ht="21.95" customHeight="1" x14ac:dyDescent="0.2">
      <c r="A50" s="9" t="s">
        <v>54</v>
      </c>
      <c r="B50" s="9" t="s">
        <v>14</v>
      </c>
      <c r="C50" s="10">
        <v>88.53</v>
      </c>
      <c r="D50" s="10">
        <v>113.333</v>
      </c>
      <c r="E50" s="10">
        <v>122.539</v>
      </c>
      <c r="F50" s="10">
        <v>54.91</v>
      </c>
      <c r="G50" s="5" t="str">
        <f>VLOOKUP(A:A,[1]TDSheet!$A:$G,7,0)</f>
        <v>P003259</v>
      </c>
      <c r="H50" s="5">
        <f>VLOOKUP(A:A,[1]TDSheet!$A:$H,8,0)</f>
        <v>1</v>
      </c>
      <c r="I50" s="5">
        <f>VLOOKUP(A:A,[1]TDSheet!$A:$I,9,0)</f>
        <v>40</v>
      </c>
      <c r="J50" s="5" t="str">
        <f>VLOOKUP(A:A,[1]TDSheet!$A:$J,10,0)</f>
        <v>матрица</v>
      </c>
      <c r="L50" s="21">
        <f>VLOOKUP(A:A,[2]TDSheet!$A:$B,2,0)</f>
        <v>131.44999999999999</v>
      </c>
      <c r="M50" s="21">
        <f t="shared" si="5"/>
        <v>-8.9109999999999872</v>
      </c>
      <c r="N50" s="21"/>
      <c r="O50" s="21">
        <f>VLOOKUP(A:A,[1]TDSheet!$A:$P,16,0)</f>
        <v>0</v>
      </c>
      <c r="P50" s="21">
        <f>VLOOKUP(A:A,[1]TDSheet!$A:$Q,17,0)</f>
        <v>0</v>
      </c>
      <c r="Q50" s="21">
        <f>VLOOKUP(A:A,[1]TDSheet!$A:$R,18,0)</f>
        <v>0</v>
      </c>
      <c r="R50" s="21">
        <f>VLOOKUP(A:A,[1]TDSheet!$A:$T,20,0)</f>
        <v>160</v>
      </c>
      <c r="S50" s="21">
        <f>VLOOKUP(A:A,[1]TDSheet!$A:$N,14,0)</f>
        <v>25</v>
      </c>
      <c r="T50" s="21">
        <f>VLOOKUP(A:A,[1]TDSheet!$A:$V,22,0)</f>
        <v>25</v>
      </c>
      <c r="U50" s="21">
        <f t="shared" si="6"/>
        <v>24.5078</v>
      </c>
      <c r="V50" s="22">
        <f t="shared" si="7"/>
        <v>4.6758000000000095</v>
      </c>
      <c r="W50" s="22"/>
      <c r="X50" s="21"/>
      <c r="Y50" s="21">
        <f t="shared" si="8"/>
        <v>10.999999999999998</v>
      </c>
      <c r="Z50" s="21">
        <f t="shared" si="9"/>
        <v>2.2405111841944194</v>
      </c>
      <c r="AA50" s="21">
        <f>VLOOKUP(A:A,[1]TDSheet!$A:$AB,28,0)</f>
        <v>31.677999999999997</v>
      </c>
      <c r="AB50" s="21">
        <f>VLOOKUP(A:A,[1]TDSheet!$A:$AC,29,0)</f>
        <v>26.6584</v>
      </c>
      <c r="AC50" s="21">
        <f>VLOOKUP(A:A,[1]TDSheet!$A:$AD,30,0)</f>
        <v>25.068000000000001</v>
      </c>
      <c r="AD50" s="21">
        <f>VLOOKUP(A:A,[1]TDSheet!$A:$U,21,0)</f>
        <v>27.916000000000004</v>
      </c>
      <c r="AE50" s="21"/>
      <c r="AF50" s="21">
        <f t="shared" si="10"/>
        <v>4.6758000000000095</v>
      </c>
      <c r="AG50" s="21"/>
    </row>
    <row r="51" spans="1:33" ht="21.95" customHeight="1" x14ac:dyDescent="0.2">
      <c r="A51" s="9" t="s">
        <v>55</v>
      </c>
      <c r="B51" s="9" t="s">
        <v>18</v>
      </c>
      <c r="C51" s="10">
        <v>2066</v>
      </c>
      <c r="D51" s="10">
        <v>407</v>
      </c>
      <c r="E51" s="10">
        <v>1787</v>
      </c>
      <c r="F51" s="10">
        <v>367</v>
      </c>
      <c r="G51" s="5" t="str">
        <f>VLOOKUP(A:A,[1]TDSheet!$A:$G,7,0)</f>
        <v>P003260</v>
      </c>
      <c r="H51" s="5">
        <f>VLOOKUP(A:A,[1]TDSheet!$A:$H,8,0)</f>
        <v>0.35</v>
      </c>
      <c r="I51" s="5">
        <f>VLOOKUP(A:A,[1]TDSheet!$A:$I,9,0)</f>
        <v>40</v>
      </c>
      <c r="J51" s="5" t="str">
        <f>VLOOKUP(A:A,[1]TDSheet!$A:$J,10,0)</f>
        <v>матрица</v>
      </c>
      <c r="L51" s="21">
        <f>VLOOKUP(A:A,[2]TDSheet!$A:$B,2,0)</f>
        <v>1813</v>
      </c>
      <c r="M51" s="21">
        <f t="shared" si="5"/>
        <v>-26</v>
      </c>
      <c r="N51" s="21"/>
      <c r="O51" s="21">
        <f>VLOOKUP(A:A,[1]TDSheet!$A:$P,16,0)</f>
        <v>0</v>
      </c>
      <c r="P51" s="21">
        <f>VLOOKUP(A:A,[1]TDSheet!$A:$Q,17,0)</f>
        <v>0</v>
      </c>
      <c r="Q51" s="21">
        <f>VLOOKUP(A:A,[1]TDSheet!$A:$R,18,0)</f>
        <v>0</v>
      </c>
      <c r="R51" s="21">
        <f>VLOOKUP(A:A,[1]TDSheet!$A:$T,20,0)</f>
        <v>1200</v>
      </c>
      <c r="S51" s="21">
        <f>VLOOKUP(A:A,[1]TDSheet!$A:$N,14,0)</f>
        <v>625</v>
      </c>
      <c r="T51" s="21">
        <f>VLOOKUP(A:A,[1]TDSheet!$A:$V,22,0)</f>
        <v>625</v>
      </c>
      <c r="U51" s="21">
        <f t="shared" si="6"/>
        <v>357.4</v>
      </c>
      <c r="V51" s="22">
        <f t="shared" si="7"/>
        <v>1114.3999999999996</v>
      </c>
      <c r="W51" s="22"/>
      <c r="X51" s="21"/>
      <c r="Y51" s="21">
        <f t="shared" si="8"/>
        <v>11</v>
      </c>
      <c r="Z51" s="21">
        <f t="shared" si="9"/>
        <v>1.0268606603245665</v>
      </c>
      <c r="AA51" s="21">
        <f>VLOOKUP(A:A,[1]TDSheet!$A:$AB,28,0)</f>
        <v>446.2</v>
      </c>
      <c r="AB51" s="21">
        <f>VLOOKUP(A:A,[1]TDSheet!$A:$AC,29,0)</f>
        <v>366.2</v>
      </c>
      <c r="AC51" s="21">
        <f>VLOOKUP(A:A,[1]TDSheet!$A:$AD,30,0)</f>
        <v>291.8</v>
      </c>
      <c r="AD51" s="21">
        <f>VLOOKUP(A:A,[1]TDSheet!$A:$U,21,0)</f>
        <v>342.4</v>
      </c>
      <c r="AE51" s="21" t="str">
        <f>VLOOKUP(A:A,[1]TDSheet!$A:$AE,31,0)</f>
        <v>промо</v>
      </c>
      <c r="AF51" s="21">
        <f t="shared" si="10"/>
        <v>390.03999999999985</v>
      </c>
      <c r="AG51" s="21"/>
    </row>
    <row r="52" spans="1:33" ht="11.1" customHeight="1" x14ac:dyDescent="0.2">
      <c r="A52" s="9" t="s">
        <v>56</v>
      </c>
      <c r="B52" s="9" t="s">
        <v>18</v>
      </c>
      <c r="C52" s="10">
        <v>200</v>
      </c>
      <c r="D52" s="10">
        <v>902</v>
      </c>
      <c r="E52" s="10">
        <v>573</v>
      </c>
      <c r="F52" s="10">
        <v>294</v>
      </c>
      <c r="G52" s="5" t="str">
        <f>VLOOKUP(A:A,[1]TDSheet!$A:$G,7,0)</f>
        <v>P004178</v>
      </c>
      <c r="H52" s="5">
        <f>VLOOKUP(A:A,[1]TDSheet!$A:$H,8,0)</f>
        <v>0.4</v>
      </c>
      <c r="I52" s="5">
        <f>VLOOKUP(A:A,[1]TDSheet!$A:$I,9,0)</f>
        <v>40</v>
      </c>
      <c r="J52" s="5" t="str">
        <f>VLOOKUP(A:A,[1]TDSheet!$A:$J,10,0)</f>
        <v>матрица</v>
      </c>
      <c r="L52" s="21">
        <f>VLOOKUP(A:A,[2]TDSheet!$A:$B,2,0)</f>
        <v>660</v>
      </c>
      <c r="M52" s="21">
        <f t="shared" si="5"/>
        <v>-87</v>
      </c>
      <c r="N52" s="21"/>
      <c r="O52" s="21">
        <f>VLOOKUP(A:A,[1]TDSheet!$A:$P,16,0)</f>
        <v>0</v>
      </c>
      <c r="P52" s="21">
        <f>VLOOKUP(A:A,[1]TDSheet!$A:$Q,17,0)</f>
        <v>0</v>
      </c>
      <c r="Q52" s="21">
        <f>VLOOKUP(A:A,[1]TDSheet!$A:$R,18,0)</f>
        <v>0</v>
      </c>
      <c r="R52" s="21">
        <f>VLOOKUP(A:A,[1]TDSheet!$A:$T,20,0)</f>
        <v>720</v>
      </c>
      <c r="S52" s="21">
        <f>VLOOKUP(A:A,[1]TDSheet!$A:$N,14,0)</f>
        <v>75</v>
      </c>
      <c r="T52" s="21">
        <f>VLOOKUP(A:A,[1]TDSheet!$A:$V,22,0)</f>
        <v>75</v>
      </c>
      <c r="U52" s="21">
        <f t="shared" si="6"/>
        <v>114.6</v>
      </c>
      <c r="V52" s="22">
        <f t="shared" si="7"/>
        <v>96.599999999999909</v>
      </c>
      <c r="W52" s="22"/>
      <c r="X52" s="21"/>
      <c r="Y52" s="21">
        <f t="shared" si="8"/>
        <v>11</v>
      </c>
      <c r="Z52" s="21">
        <f t="shared" si="9"/>
        <v>2.5654450261780104</v>
      </c>
      <c r="AA52" s="21">
        <f>VLOOKUP(A:A,[1]TDSheet!$A:$AB,28,0)</f>
        <v>113.2</v>
      </c>
      <c r="AB52" s="21">
        <f>VLOOKUP(A:A,[1]TDSheet!$A:$AC,29,0)</f>
        <v>102.4</v>
      </c>
      <c r="AC52" s="21">
        <f>VLOOKUP(A:A,[1]TDSheet!$A:$AD,30,0)</f>
        <v>112.4</v>
      </c>
      <c r="AD52" s="21">
        <f>VLOOKUP(A:A,[1]TDSheet!$A:$U,21,0)</f>
        <v>108.4</v>
      </c>
      <c r="AE52" s="21"/>
      <c r="AF52" s="21">
        <f t="shared" si="10"/>
        <v>38.639999999999965</v>
      </c>
      <c r="AG52" s="21"/>
    </row>
    <row r="53" spans="1:33" ht="11.1" customHeight="1" x14ac:dyDescent="0.2">
      <c r="A53" s="9" t="s">
        <v>57</v>
      </c>
      <c r="B53" s="9" t="s">
        <v>14</v>
      </c>
      <c r="C53" s="10">
        <v>205.33500000000001</v>
      </c>
      <c r="D53" s="10">
        <v>623.31899999999996</v>
      </c>
      <c r="E53" s="10">
        <v>526.46199999999999</v>
      </c>
      <c r="F53" s="10">
        <v>181.15600000000001</v>
      </c>
      <c r="G53" s="5" t="str">
        <f>VLOOKUP(A:A,[1]TDSheet!$A:$G,7,0)</f>
        <v>P003234</v>
      </c>
      <c r="H53" s="5">
        <f>VLOOKUP(A:A,[1]TDSheet!$A:$H,8,0)</f>
        <v>1</v>
      </c>
      <c r="I53" s="5">
        <f>VLOOKUP(A:A,[1]TDSheet!$A:$I,9,0)</f>
        <v>50</v>
      </c>
      <c r="J53" s="5" t="str">
        <f>VLOOKUP(A:A,[1]TDSheet!$A:$J,10,0)</f>
        <v>матрица</v>
      </c>
      <c r="L53" s="21">
        <f>VLOOKUP(A:A,[2]TDSheet!$A:$B,2,0)</f>
        <v>529.04999999999995</v>
      </c>
      <c r="M53" s="21">
        <f t="shared" si="5"/>
        <v>-2.5879999999999654</v>
      </c>
      <c r="N53" s="21"/>
      <c r="O53" s="21">
        <f>VLOOKUP(A:A,[1]TDSheet!$A:$P,16,0)</f>
        <v>0</v>
      </c>
      <c r="P53" s="21">
        <f>VLOOKUP(A:A,[1]TDSheet!$A:$Q,17,0)</f>
        <v>0</v>
      </c>
      <c r="Q53" s="21">
        <f>VLOOKUP(A:A,[1]TDSheet!$A:$R,18,0)</f>
        <v>0</v>
      </c>
      <c r="R53" s="21">
        <f>VLOOKUP(A:A,[1]TDSheet!$A:$T,20,0)</f>
        <v>400</v>
      </c>
      <c r="S53" s="21">
        <f>VLOOKUP(A:A,[1]TDSheet!$A:$N,14,0)</f>
        <v>140</v>
      </c>
      <c r="T53" s="21">
        <f>VLOOKUP(A:A,[1]TDSheet!$A:$V,22,0)</f>
        <v>140</v>
      </c>
      <c r="U53" s="21">
        <f t="shared" si="6"/>
        <v>105.2924</v>
      </c>
      <c r="V53" s="22">
        <f t="shared" si="7"/>
        <v>297.06040000000007</v>
      </c>
      <c r="W53" s="22"/>
      <c r="X53" s="21"/>
      <c r="Y53" s="21">
        <f t="shared" si="8"/>
        <v>11</v>
      </c>
      <c r="Z53" s="21">
        <f t="shared" si="9"/>
        <v>1.7205040439765833</v>
      </c>
      <c r="AA53" s="21">
        <f>VLOOKUP(A:A,[1]TDSheet!$A:$AB,28,0)</f>
        <v>93.462000000000003</v>
      </c>
      <c r="AB53" s="21">
        <f>VLOOKUP(A:A,[1]TDSheet!$A:$AC,29,0)</f>
        <v>82.031399999999991</v>
      </c>
      <c r="AC53" s="21">
        <f>VLOOKUP(A:A,[1]TDSheet!$A:$AD,30,0)</f>
        <v>87.028800000000004</v>
      </c>
      <c r="AD53" s="21">
        <f>VLOOKUP(A:A,[1]TDSheet!$A:$U,21,0)</f>
        <v>90.395600000000002</v>
      </c>
      <c r="AE53" s="21" t="str">
        <f>VLOOKUP(A:A,[1]TDSheet!$A:$AE,31,0)</f>
        <v>промо</v>
      </c>
      <c r="AF53" s="21">
        <f t="shared" si="10"/>
        <v>297.06040000000007</v>
      </c>
      <c r="AG53" s="21"/>
    </row>
    <row r="54" spans="1:33" ht="11.1" customHeight="1" x14ac:dyDescent="0.2">
      <c r="A54" s="9" t="s">
        <v>58</v>
      </c>
      <c r="B54" s="9" t="s">
        <v>14</v>
      </c>
      <c r="C54" s="10">
        <v>304.25700000000001</v>
      </c>
      <c r="D54" s="10">
        <v>640.375</v>
      </c>
      <c r="E54" s="10">
        <v>629.47400000000005</v>
      </c>
      <c r="F54" s="10">
        <v>195.22300000000001</v>
      </c>
      <c r="G54" s="5" t="str">
        <f>VLOOKUP(A:A,[1]TDSheet!$A:$G,7,0)</f>
        <v>P003239</v>
      </c>
      <c r="H54" s="5">
        <f>VLOOKUP(A:A,[1]TDSheet!$A:$H,8,0)</f>
        <v>1</v>
      </c>
      <c r="I54" s="5">
        <f>VLOOKUP(A:A,[1]TDSheet!$A:$I,9,0)</f>
        <v>50</v>
      </c>
      <c r="J54" s="5" t="str">
        <f>VLOOKUP(A:A,[1]TDSheet!$A:$J,10,0)</f>
        <v>матрица</v>
      </c>
      <c r="L54" s="21">
        <f>VLOOKUP(A:A,[2]TDSheet!$A:$B,2,0)</f>
        <v>657.4</v>
      </c>
      <c r="M54" s="21">
        <f t="shared" si="5"/>
        <v>-27.925999999999931</v>
      </c>
      <c r="N54" s="21"/>
      <c r="O54" s="21">
        <f>VLOOKUP(A:A,[1]TDSheet!$A:$P,16,0)</f>
        <v>0</v>
      </c>
      <c r="P54" s="21">
        <f>VLOOKUP(A:A,[1]TDSheet!$A:$Q,17,0)</f>
        <v>0</v>
      </c>
      <c r="Q54" s="21">
        <f>VLOOKUP(A:A,[1]TDSheet!$A:$R,18,0)</f>
        <v>0</v>
      </c>
      <c r="R54" s="21">
        <f>VLOOKUP(A:A,[1]TDSheet!$A:$T,20,0)</f>
        <v>820</v>
      </c>
      <c r="S54" s="21">
        <f>VLOOKUP(A:A,[1]TDSheet!$A:$N,14,0)</f>
        <v>125</v>
      </c>
      <c r="T54" s="21">
        <f>VLOOKUP(A:A,[1]TDSheet!$A:$V,22,0)</f>
        <v>125</v>
      </c>
      <c r="U54" s="21">
        <f t="shared" si="6"/>
        <v>125.8948</v>
      </c>
      <c r="V54" s="22">
        <f t="shared" si="7"/>
        <v>119.61980000000017</v>
      </c>
      <c r="W54" s="22"/>
      <c r="X54" s="21"/>
      <c r="Y54" s="21">
        <f t="shared" si="8"/>
        <v>11</v>
      </c>
      <c r="Z54" s="21">
        <f t="shared" si="9"/>
        <v>1.5506835866135853</v>
      </c>
      <c r="AA54" s="21">
        <f>VLOOKUP(A:A,[1]TDSheet!$A:$AB,28,0)</f>
        <v>116.90860000000001</v>
      </c>
      <c r="AB54" s="21">
        <f>VLOOKUP(A:A,[1]TDSheet!$A:$AC,29,0)</f>
        <v>115.67</v>
      </c>
      <c r="AC54" s="21">
        <f>VLOOKUP(A:A,[1]TDSheet!$A:$AD,30,0)</f>
        <v>111.24639999999999</v>
      </c>
      <c r="AD54" s="21">
        <f>VLOOKUP(A:A,[1]TDSheet!$A:$U,21,0)</f>
        <v>120.74459999999999</v>
      </c>
      <c r="AE54" s="21"/>
      <c r="AF54" s="21">
        <f t="shared" si="10"/>
        <v>119.61980000000017</v>
      </c>
      <c r="AG54" s="21"/>
    </row>
    <row r="55" spans="1:33" ht="11.1" customHeight="1" x14ac:dyDescent="0.2">
      <c r="A55" s="9" t="s">
        <v>59</v>
      </c>
      <c r="B55" s="9" t="s">
        <v>14</v>
      </c>
      <c r="C55" s="10">
        <v>71.209999999999994</v>
      </c>
      <c r="D55" s="10">
        <v>73.751999999999995</v>
      </c>
      <c r="E55" s="10">
        <v>48.369</v>
      </c>
      <c r="F55" s="10">
        <v>-13.617000000000001</v>
      </c>
      <c r="G55" s="5" t="str">
        <f>VLOOKUP(A:A,[1]TDSheet!$A:$G,7,0)</f>
        <v>P004991</v>
      </c>
      <c r="H55" s="5">
        <f>VLOOKUP(A:A,[1]TDSheet!$A:$H,8,0)</f>
        <v>1</v>
      </c>
      <c r="L55" s="21">
        <f>VLOOKUP(A:A,[2]TDSheet!$A:$B,2,0)</f>
        <v>44.6</v>
      </c>
      <c r="M55" s="21">
        <f t="shared" si="5"/>
        <v>3.7689999999999984</v>
      </c>
      <c r="N55" s="21"/>
      <c r="O55" s="21">
        <f>VLOOKUP(A:A,[1]TDSheet!$A:$P,16,0)</f>
        <v>0</v>
      </c>
      <c r="P55" s="21">
        <f>VLOOKUP(A:A,[1]TDSheet!$A:$Q,17,0)</f>
        <v>0</v>
      </c>
      <c r="Q55" s="21">
        <f>VLOOKUP(A:A,[1]TDSheet!$A:$R,18,0)</f>
        <v>0</v>
      </c>
      <c r="R55" s="21">
        <f>VLOOKUP(A:A,[1]TDSheet!$A:$T,20,0)</f>
        <v>0</v>
      </c>
      <c r="S55" s="21">
        <f>VLOOKUP(A:A,[1]TDSheet!$A:$N,14,0)</f>
        <v>10</v>
      </c>
      <c r="T55" s="21">
        <f>VLOOKUP(A:A,[1]TDSheet!$A:$V,22,0)</f>
        <v>0</v>
      </c>
      <c r="U55" s="21">
        <f t="shared" si="6"/>
        <v>9.6738</v>
      </c>
      <c r="V55" s="22">
        <f t="shared" si="7"/>
        <v>110.0288</v>
      </c>
      <c r="W55" s="22"/>
      <c r="X55" s="21"/>
      <c r="Y55" s="21">
        <f t="shared" si="8"/>
        <v>11</v>
      </c>
      <c r="Z55" s="21">
        <f t="shared" si="9"/>
        <v>-1.4076164485517584</v>
      </c>
      <c r="AA55" s="21">
        <f>VLOOKUP(A:A,[1]TDSheet!$A:$AB,28,0)</f>
        <v>4.7472000000000003</v>
      </c>
      <c r="AB55" s="21">
        <f>VLOOKUP(A:A,[1]TDSheet!$A:$AC,29,0)</f>
        <v>8.1113999999999997</v>
      </c>
      <c r="AC55" s="21">
        <f>VLOOKUP(A:A,[1]TDSheet!$A:$AD,30,0)</f>
        <v>3.0819999999999999</v>
      </c>
      <c r="AD55" s="21">
        <f>VLOOKUP(A:A,[1]TDSheet!$A:$U,21,0)</f>
        <v>5.3747999999999996</v>
      </c>
      <c r="AE55" s="21"/>
      <c r="AF55" s="21">
        <f t="shared" si="10"/>
        <v>110.0288</v>
      </c>
      <c r="AG55" s="21"/>
    </row>
    <row r="56" spans="1:33" ht="11.1" customHeight="1" x14ac:dyDescent="0.2">
      <c r="A56" s="9" t="s">
        <v>60</v>
      </c>
      <c r="B56" s="9" t="s">
        <v>18</v>
      </c>
      <c r="C56" s="10">
        <v>216</v>
      </c>
      <c r="D56" s="10">
        <v>189.66</v>
      </c>
      <c r="E56" s="10">
        <v>332</v>
      </c>
      <c r="F56" s="10">
        <v>19</v>
      </c>
      <c r="G56" s="5" t="str">
        <f>VLOOKUP(A:A,[1]TDSheet!$A:$G,7,0)</f>
        <v>P003227</v>
      </c>
      <c r="H56" s="5">
        <f>VLOOKUP(A:A,[1]TDSheet!$A:$H,8,0)</f>
        <v>0.45</v>
      </c>
      <c r="J56" s="5" t="str">
        <f>VLOOKUP(A:A,[1]TDSheet!$A:$J,10,0)</f>
        <v>матрица</v>
      </c>
      <c r="L56" s="21">
        <f>VLOOKUP(A:A,[2]TDSheet!$A:$B,2,0)</f>
        <v>343</v>
      </c>
      <c r="M56" s="21">
        <f t="shared" si="5"/>
        <v>-11</v>
      </c>
      <c r="N56" s="21"/>
      <c r="O56" s="21">
        <f>VLOOKUP(A:A,[1]TDSheet!$A:$P,16,0)</f>
        <v>0</v>
      </c>
      <c r="P56" s="21">
        <f>VLOOKUP(A:A,[1]TDSheet!$A:$Q,17,0)</f>
        <v>0</v>
      </c>
      <c r="Q56" s="21">
        <f>VLOOKUP(A:A,[1]TDSheet!$A:$R,18,0)</f>
        <v>0</v>
      </c>
      <c r="R56" s="21">
        <f>VLOOKUP(A:A,[1]TDSheet!$A:$T,20,0)</f>
        <v>420</v>
      </c>
      <c r="S56" s="21">
        <f>VLOOKUP(A:A,[1]TDSheet!$A:$N,14,0)</f>
        <v>75</v>
      </c>
      <c r="T56" s="21">
        <f>VLOOKUP(A:A,[1]TDSheet!$A:$V,22,0)</f>
        <v>75</v>
      </c>
      <c r="U56" s="21">
        <f t="shared" si="6"/>
        <v>66.400000000000006</v>
      </c>
      <c r="V56" s="22">
        <f t="shared" si="7"/>
        <v>141.40000000000009</v>
      </c>
      <c r="W56" s="22"/>
      <c r="X56" s="21"/>
      <c r="Y56" s="21">
        <f t="shared" si="8"/>
        <v>11</v>
      </c>
      <c r="Z56" s="21">
        <f t="shared" si="9"/>
        <v>0.28614457831325296</v>
      </c>
      <c r="AA56" s="21">
        <f>VLOOKUP(A:A,[1]TDSheet!$A:$AB,28,0)</f>
        <v>76</v>
      </c>
      <c r="AB56" s="21">
        <f>VLOOKUP(A:A,[1]TDSheet!$A:$AC,29,0)</f>
        <v>60.6</v>
      </c>
      <c r="AC56" s="21">
        <f>VLOOKUP(A:A,[1]TDSheet!$A:$AD,30,0)</f>
        <v>53.8</v>
      </c>
      <c r="AD56" s="21">
        <f>VLOOKUP(A:A,[1]TDSheet!$A:$U,21,0)</f>
        <v>62.4</v>
      </c>
      <c r="AE56" s="21" t="str">
        <f>VLOOKUP(A:A,[1]TDSheet!$A:$AE,31,0)</f>
        <v>промо</v>
      </c>
      <c r="AF56" s="21">
        <f t="shared" si="10"/>
        <v>63.630000000000045</v>
      </c>
      <c r="AG56" s="21"/>
    </row>
    <row r="57" spans="1:33" ht="11.1" customHeight="1" x14ac:dyDescent="0.2">
      <c r="A57" s="9" t="s">
        <v>61</v>
      </c>
      <c r="B57" s="9" t="s">
        <v>18</v>
      </c>
      <c r="C57" s="10">
        <v>248</v>
      </c>
      <c r="D57" s="10">
        <v>733</v>
      </c>
      <c r="E57" s="10">
        <v>445</v>
      </c>
      <c r="F57" s="10">
        <v>207</v>
      </c>
      <c r="G57" s="5" t="str">
        <f>VLOOKUP(A:A,[1]TDSheet!$A:$G,7,0)</f>
        <v>P003228</v>
      </c>
      <c r="H57" s="5">
        <f>VLOOKUP(A:A,[1]TDSheet!$A:$H,8,0)</f>
        <v>0.45</v>
      </c>
      <c r="I57" s="5">
        <f>VLOOKUP(A:A,[1]TDSheet!$A:$I,9,0)</f>
        <v>50</v>
      </c>
      <c r="J57" s="5" t="str">
        <f>VLOOKUP(A:A,[1]TDSheet!$A:$J,10,0)</f>
        <v>матрица</v>
      </c>
      <c r="L57" s="21">
        <f>VLOOKUP(A:A,[2]TDSheet!$A:$B,2,0)</f>
        <v>485</v>
      </c>
      <c r="M57" s="21">
        <f t="shared" si="5"/>
        <v>-40</v>
      </c>
      <c r="N57" s="21"/>
      <c r="O57" s="21">
        <f>VLOOKUP(A:A,[1]TDSheet!$A:$P,16,0)</f>
        <v>0</v>
      </c>
      <c r="P57" s="21">
        <f>VLOOKUP(A:A,[1]TDSheet!$A:$Q,17,0)</f>
        <v>0</v>
      </c>
      <c r="Q57" s="21">
        <f>VLOOKUP(A:A,[1]TDSheet!$A:$R,18,0)</f>
        <v>0</v>
      </c>
      <c r="R57" s="21">
        <f>VLOOKUP(A:A,[1]TDSheet!$A:$T,20,0)</f>
        <v>500</v>
      </c>
      <c r="S57" s="21">
        <f>VLOOKUP(A:A,[1]TDSheet!$A:$N,14,0)</f>
        <v>160</v>
      </c>
      <c r="T57" s="21">
        <f>VLOOKUP(A:A,[1]TDSheet!$A:$V,22,0)</f>
        <v>160</v>
      </c>
      <c r="U57" s="21">
        <f t="shared" si="6"/>
        <v>89</v>
      </c>
      <c r="V57" s="22"/>
      <c r="W57" s="22"/>
      <c r="X57" s="21"/>
      <c r="Y57" s="21">
        <f t="shared" si="8"/>
        <v>11.539325842696629</v>
      </c>
      <c r="Z57" s="21">
        <f t="shared" si="9"/>
        <v>2.3258426966292136</v>
      </c>
      <c r="AA57" s="21">
        <f>VLOOKUP(A:A,[1]TDSheet!$A:$AB,28,0)</f>
        <v>94.2</v>
      </c>
      <c r="AB57" s="21">
        <f>VLOOKUP(A:A,[1]TDSheet!$A:$AC,29,0)</f>
        <v>86</v>
      </c>
      <c r="AC57" s="21">
        <f>VLOOKUP(A:A,[1]TDSheet!$A:$AD,30,0)</f>
        <v>83.8</v>
      </c>
      <c r="AD57" s="21">
        <f>VLOOKUP(A:A,[1]TDSheet!$A:$U,21,0)</f>
        <v>96.8</v>
      </c>
      <c r="AE57" s="21"/>
      <c r="AF57" s="21">
        <f t="shared" si="10"/>
        <v>0</v>
      </c>
      <c r="AG57" s="21"/>
    </row>
    <row r="58" spans="1:33" ht="11.1" customHeight="1" x14ac:dyDescent="0.2">
      <c r="A58" s="9" t="s">
        <v>62</v>
      </c>
      <c r="B58" s="9" t="s">
        <v>18</v>
      </c>
      <c r="C58" s="10">
        <v>192</v>
      </c>
      <c r="D58" s="10">
        <v>77</v>
      </c>
      <c r="E58" s="10">
        <v>110</v>
      </c>
      <c r="F58" s="10">
        <v>73</v>
      </c>
      <c r="G58" s="5" t="str">
        <f>VLOOKUP(A:A,[1]TDSheet!$A:$G,7,0)</f>
        <v>P003960</v>
      </c>
      <c r="H58" s="5">
        <f>VLOOKUP(A:A,[1]TDSheet!$A:$H,8,0)</f>
        <v>0.4</v>
      </c>
      <c r="I58" s="5">
        <f>VLOOKUP(A:A,[1]TDSheet!$A:$I,9,0)</f>
        <v>40</v>
      </c>
      <c r="J58" s="5" t="str">
        <f>VLOOKUP(A:A,[1]TDSheet!$A:$J,10,0)</f>
        <v>матрица</v>
      </c>
      <c r="L58" s="21">
        <f>VLOOKUP(A:A,[2]TDSheet!$A:$B,2,0)</f>
        <v>117</v>
      </c>
      <c r="M58" s="21">
        <f t="shared" si="5"/>
        <v>-7</v>
      </c>
      <c r="N58" s="21"/>
      <c r="O58" s="21">
        <f>VLOOKUP(A:A,[1]TDSheet!$A:$P,16,0)</f>
        <v>0</v>
      </c>
      <c r="P58" s="21">
        <f>VLOOKUP(A:A,[1]TDSheet!$A:$Q,17,0)</f>
        <v>0</v>
      </c>
      <c r="Q58" s="21">
        <f>VLOOKUP(A:A,[1]TDSheet!$A:$R,18,0)</f>
        <v>0</v>
      </c>
      <c r="R58" s="21">
        <f>VLOOKUP(A:A,[1]TDSheet!$A:$T,20,0)</f>
        <v>100</v>
      </c>
      <c r="S58" s="21">
        <f>VLOOKUP(A:A,[1]TDSheet!$A:$N,14,0)</f>
        <v>45</v>
      </c>
      <c r="T58" s="21">
        <f>VLOOKUP(A:A,[1]TDSheet!$A:$V,22,0)</f>
        <v>45</v>
      </c>
      <c r="U58" s="21">
        <f t="shared" si="6"/>
        <v>22</v>
      </c>
      <c r="V58" s="22"/>
      <c r="W58" s="22"/>
      <c r="X58" s="21"/>
      <c r="Y58" s="21">
        <f t="shared" si="8"/>
        <v>11.954545454545455</v>
      </c>
      <c r="Z58" s="21">
        <f t="shared" si="9"/>
        <v>3.3181818181818183</v>
      </c>
      <c r="AA58" s="21">
        <f>VLOOKUP(A:A,[1]TDSheet!$A:$AB,28,0)</f>
        <v>22</v>
      </c>
      <c r="AB58" s="21">
        <f>VLOOKUP(A:A,[1]TDSheet!$A:$AC,29,0)</f>
        <v>31.2</v>
      </c>
      <c r="AC58" s="21">
        <f>VLOOKUP(A:A,[1]TDSheet!$A:$AD,30,0)</f>
        <v>20.6</v>
      </c>
      <c r="AD58" s="21">
        <f>VLOOKUP(A:A,[1]TDSheet!$A:$U,21,0)</f>
        <v>27.6</v>
      </c>
      <c r="AE58" s="21"/>
      <c r="AF58" s="21">
        <f t="shared" si="10"/>
        <v>0</v>
      </c>
      <c r="AG58" s="21"/>
    </row>
    <row r="59" spans="1:33" ht="11.1" customHeight="1" x14ac:dyDescent="0.2">
      <c r="A59" s="9" t="s">
        <v>63</v>
      </c>
      <c r="B59" s="9" t="s">
        <v>18</v>
      </c>
      <c r="C59" s="10">
        <v>22</v>
      </c>
      <c r="D59" s="10">
        <v>66</v>
      </c>
      <c r="E59" s="10">
        <v>39</v>
      </c>
      <c r="F59" s="10">
        <v>24</v>
      </c>
      <c r="G59" s="5" t="str">
        <f>VLOOKUP(A:A,[1]TDSheet!$A:$G,7,0)</f>
        <v>P003961</v>
      </c>
      <c r="H59" s="5">
        <f>VLOOKUP(A:A,[1]TDSheet!$A:$H,8,0)</f>
        <v>0.4</v>
      </c>
      <c r="I59" s="5">
        <f>VLOOKUP(A:A,[1]TDSheet!$A:$I,9,0)</f>
        <v>40</v>
      </c>
      <c r="J59" s="5" t="str">
        <f>VLOOKUP(A:A,[1]TDSheet!$A:$J,10,0)</f>
        <v>матрица</v>
      </c>
      <c r="L59" s="21">
        <f>VLOOKUP(A:A,[2]TDSheet!$A:$B,2,0)</f>
        <v>46</v>
      </c>
      <c r="M59" s="21">
        <f t="shared" si="5"/>
        <v>-7</v>
      </c>
      <c r="N59" s="21"/>
      <c r="O59" s="21">
        <f>VLOOKUP(A:A,[1]TDSheet!$A:$P,16,0)</f>
        <v>0</v>
      </c>
      <c r="P59" s="21">
        <f>VLOOKUP(A:A,[1]TDSheet!$A:$Q,17,0)</f>
        <v>0</v>
      </c>
      <c r="Q59" s="21">
        <f>VLOOKUP(A:A,[1]TDSheet!$A:$R,18,0)</f>
        <v>0</v>
      </c>
      <c r="R59" s="21">
        <f>VLOOKUP(A:A,[1]TDSheet!$A:$T,20,0)</f>
        <v>120</v>
      </c>
      <c r="S59" s="21">
        <f>VLOOKUP(A:A,[1]TDSheet!$A:$N,14,0)</f>
        <v>0</v>
      </c>
      <c r="T59" s="21">
        <f>VLOOKUP(A:A,[1]TDSheet!$A:$V,22,0)</f>
        <v>0</v>
      </c>
      <c r="U59" s="21">
        <f t="shared" si="6"/>
        <v>7.8</v>
      </c>
      <c r="V59" s="22"/>
      <c r="W59" s="22"/>
      <c r="X59" s="21"/>
      <c r="Y59" s="21">
        <f t="shared" si="8"/>
        <v>18.461538461538463</v>
      </c>
      <c r="Z59" s="21">
        <f t="shared" si="9"/>
        <v>3.0769230769230771</v>
      </c>
      <c r="AA59" s="21">
        <f>VLOOKUP(A:A,[1]TDSheet!$A:$AB,28,0)</f>
        <v>8.6</v>
      </c>
      <c r="AB59" s="21">
        <f>VLOOKUP(A:A,[1]TDSheet!$A:$AC,29,0)</f>
        <v>10.8</v>
      </c>
      <c r="AC59" s="21">
        <f>VLOOKUP(A:A,[1]TDSheet!$A:$AD,30,0)</f>
        <v>10.6</v>
      </c>
      <c r="AD59" s="21">
        <f>VLOOKUP(A:A,[1]TDSheet!$A:$U,21,0)</f>
        <v>12.4</v>
      </c>
      <c r="AE59" s="21"/>
      <c r="AF59" s="21">
        <f t="shared" si="10"/>
        <v>0</v>
      </c>
      <c r="AG59" s="21"/>
    </row>
    <row r="60" spans="1:33" ht="11.1" customHeight="1" x14ac:dyDescent="0.2">
      <c r="A60" s="9" t="s">
        <v>64</v>
      </c>
      <c r="B60" s="9" t="s">
        <v>14</v>
      </c>
      <c r="C60" s="10">
        <v>213.1</v>
      </c>
      <c r="D60" s="10">
        <v>1231.7550000000001</v>
      </c>
      <c r="E60" s="10">
        <v>814.846</v>
      </c>
      <c r="F60" s="10">
        <v>329.83199999999999</v>
      </c>
      <c r="G60" s="5" t="str">
        <f>VLOOKUP(A:A,[1]TDSheet!$A:$G,7,0)</f>
        <v>P003235</v>
      </c>
      <c r="H60" s="5">
        <f>VLOOKUP(A:A,[1]TDSheet!$A:$H,8,0)</f>
        <v>1</v>
      </c>
      <c r="I60" s="5">
        <f>VLOOKUP(A:A,[1]TDSheet!$A:$I,9,0)</f>
        <v>50</v>
      </c>
      <c r="J60" s="5" t="str">
        <f>VLOOKUP(A:A,[1]TDSheet!$A:$J,10,0)</f>
        <v>матрица</v>
      </c>
      <c r="L60" s="21">
        <f>VLOOKUP(A:A,[2]TDSheet!$A:$B,2,0)</f>
        <v>798.05</v>
      </c>
      <c r="M60" s="21">
        <f t="shared" si="5"/>
        <v>16.796000000000049</v>
      </c>
      <c r="N60" s="21"/>
      <c r="O60" s="21">
        <f>VLOOKUP(A:A,[1]TDSheet!$A:$P,16,0)</f>
        <v>0</v>
      </c>
      <c r="P60" s="21">
        <f>VLOOKUP(A:A,[1]TDSheet!$A:$Q,17,0)</f>
        <v>0</v>
      </c>
      <c r="Q60" s="21">
        <f>VLOOKUP(A:A,[1]TDSheet!$A:$R,18,0)</f>
        <v>0</v>
      </c>
      <c r="R60" s="21">
        <f>VLOOKUP(A:A,[1]TDSheet!$A:$T,20,0)</f>
        <v>550</v>
      </c>
      <c r="S60" s="21">
        <f>VLOOKUP(A:A,[1]TDSheet!$A:$N,14,0)</f>
        <v>330</v>
      </c>
      <c r="T60" s="21">
        <f>VLOOKUP(A:A,[1]TDSheet!$A:$V,22,0)</f>
        <v>330</v>
      </c>
      <c r="U60" s="21">
        <f t="shared" si="6"/>
        <v>162.9692</v>
      </c>
      <c r="V60" s="22">
        <f t="shared" si="7"/>
        <v>252.82920000000013</v>
      </c>
      <c r="W60" s="28">
        <v>300</v>
      </c>
      <c r="X60" s="29" t="s">
        <v>168</v>
      </c>
      <c r="Y60" s="21">
        <f t="shared" si="8"/>
        <v>11</v>
      </c>
      <c r="Z60" s="21">
        <f t="shared" si="9"/>
        <v>2.0238916310566659</v>
      </c>
      <c r="AA60" s="21">
        <f>VLOOKUP(A:A,[1]TDSheet!$A:$AB,28,0)</f>
        <v>143.541</v>
      </c>
      <c r="AB60" s="21">
        <f>VLOOKUP(A:A,[1]TDSheet!$A:$AC,29,0)</f>
        <v>128.56300000000002</v>
      </c>
      <c r="AC60" s="21">
        <f>VLOOKUP(A:A,[1]TDSheet!$A:$AD,30,0)</f>
        <v>145.5796</v>
      </c>
      <c r="AD60" s="21">
        <f>VLOOKUP(A:A,[1]TDSheet!$A:$U,21,0)</f>
        <v>150.57419999999999</v>
      </c>
      <c r="AE60" s="21" t="str">
        <f>VLOOKUP(A:A,[1]TDSheet!$A:$AE,31,0)</f>
        <v>промо</v>
      </c>
      <c r="AF60" s="21">
        <f t="shared" si="10"/>
        <v>252.82920000000013</v>
      </c>
      <c r="AG60" s="21"/>
    </row>
    <row r="61" spans="1:33" ht="11.1" customHeight="1" x14ac:dyDescent="0.2">
      <c r="A61" s="9" t="s">
        <v>65</v>
      </c>
      <c r="B61" s="9" t="s">
        <v>18</v>
      </c>
      <c r="C61" s="10">
        <v>1509</v>
      </c>
      <c r="D61" s="10"/>
      <c r="E61" s="10">
        <v>155</v>
      </c>
      <c r="F61" s="10">
        <v>1343</v>
      </c>
      <c r="G61" s="5" t="str">
        <f>VLOOKUP(A:A,[1]TDSheet!$A:$G,7,0)</f>
        <v>P003253</v>
      </c>
      <c r="H61" s="5">
        <f>VLOOKUP(A:A,[1]TDSheet!$A:$H,8,0)</f>
        <v>0.1</v>
      </c>
      <c r="I61" s="5">
        <f>VLOOKUP(A:A,[1]TDSheet!$A:$I,9,0)</f>
        <v>730</v>
      </c>
      <c r="J61" s="5" t="str">
        <f>VLOOKUP(A:A,[1]TDSheet!$A:$J,10,0)</f>
        <v>матрица</v>
      </c>
      <c r="L61" s="21">
        <f>VLOOKUP(A:A,[2]TDSheet!$A:$B,2,0)</f>
        <v>155</v>
      </c>
      <c r="M61" s="21">
        <f t="shared" si="5"/>
        <v>0</v>
      </c>
      <c r="N61" s="21"/>
      <c r="O61" s="21">
        <f>VLOOKUP(A:A,[1]TDSheet!$A:$P,16,0)</f>
        <v>0</v>
      </c>
      <c r="P61" s="21">
        <f>VLOOKUP(A:A,[1]TDSheet!$A:$Q,17,0)</f>
        <v>0</v>
      </c>
      <c r="Q61" s="21">
        <f>VLOOKUP(A:A,[1]TDSheet!$A:$R,18,0)</f>
        <v>0</v>
      </c>
      <c r="R61" s="21">
        <f>VLOOKUP(A:A,[1]TDSheet!$A:$T,20,0)</f>
        <v>0</v>
      </c>
      <c r="S61" s="21">
        <f>VLOOKUP(A:A,[1]TDSheet!$A:$N,14,0)</f>
        <v>0</v>
      </c>
      <c r="T61" s="21">
        <f>VLOOKUP(A:A,[1]TDSheet!$A:$V,22,0)</f>
        <v>0</v>
      </c>
      <c r="U61" s="21">
        <f t="shared" si="6"/>
        <v>31</v>
      </c>
      <c r="V61" s="22"/>
      <c r="W61" s="22"/>
      <c r="X61" s="21"/>
      <c r="Y61" s="21">
        <f t="shared" si="8"/>
        <v>43.322580645161288</v>
      </c>
      <c r="Z61" s="21">
        <f t="shared" si="9"/>
        <v>43.322580645161288</v>
      </c>
      <c r="AA61" s="21">
        <f>VLOOKUP(A:A,[1]TDSheet!$A:$AB,28,0)</f>
        <v>29.6</v>
      </c>
      <c r="AB61" s="21">
        <f>VLOOKUP(A:A,[1]TDSheet!$A:$AC,29,0)</f>
        <v>34</v>
      </c>
      <c r="AC61" s="21">
        <f>VLOOKUP(A:A,[1]TDSheet!$A:$AD,30,0)</f>
        <v>31.6</v>
      </c>
      <c r="AD61" s="21">
        <f>VLOOKUP(A:A,[1]TDSheet!$A:$U,21,0)</f>
        <v>35.6</v>
      </c>
      <c r="AE61" s="21"/>
      <c r="AF61" s="21">
        <f t="shared" si="10"/>
        <v>0</v>
      </c>
      <c r="AG61" s="21"/>
    </row>
    <row r="62" spans="1:33" ht="11.1" customHeight="1" x14ac:dyDescent="0.2">
      <c r="A62" s="9" t="s">
        <v>66</v>
      </c>
      <c r="B62" s="9" t="s">
        <v>14</v>
      </c>
      <c r="C62" s="10">
        <v>162.38800000000001</v>
      </c>
      <c r="D62" s="10">
        <v>928.15499999999997</v>
      </c>
      <c r="E62" s="10">
        <v>846.00900000000001</v>
      </c>
      <c r="F62" s="10">
        <v>-12.382999999999999</v>
      </c>
      <c r="G62" s="5" t="str">
        <f>VLOOKUP(A:A,[1]TDSheet!$A:$G,7,0)</f>
        <v>P003357</v>
      </c>
      <c r="H62" s="5">
        <f>VLOOKUP(A:A,[1]TDSheet!$A:$H,8,0)</f>
        <v>1</v>
      </c>
      <c r="I62" s="5">
        <f>VLOOKUP(A:A,[1]TDSheet!$A:$I,9,0)</f>
        <v>50</v>
      </c>
      <c r="J62" s="5" t="str">
        <f>VLOOKUP(A:A,[1]TDSheet!$A:$J,10,0)</f>
        <v>матрица</v>
      </c>
      <c r="L62" s="21">
        <f>VLOOKUP(A:A,[2]TDSheet!$A:$B,2,0)</f>
        <v>877.8</v>
      </c>
      <c r="M62" s="21">
        <f t="shared" si="5"/>
        <v>-31.79099999999994</v>
      </c>
      <c r="N62" s="21"/>
      <c r="O62" s="21">
        <f>VLOOKUP(A:A,[1]TDSheet!$A:$P,16,0)</f>
        <v>500</v>
      </c>
      <c r="P62" s="21">
        <f>VLOOKUP(A:A,[1]TDSheet!$A:$Q,17,0)</f>
        <v>500</v>
      </c>
      <c r="Q62" s="21">
        <f>VLOOKUP(A:A,[1]TDSheet!$A:$R,18,0)</f>
        <v>400</v>
      </c>
      <c r="R62" s="21">
        <f>VLOOKUP(A:A,[1]TDSheet!$A:$T,20,0)</f>
        <v>0</v>
      </c>
      <c r="S62" s="21">
        <f>VLOOKUP(A:A,[1]TDSheet!$A:$N,14,0)</f>
        <v>110</v>
      </c>
      <c r="T62" s="21">
        <f>VLOOKUP(A:A,[1]TDSheet!$A:$V,22,0)</f>
        <v>110</v>
      </c>
      <c r="U62" s="21">
        <f t="shared" si="6"/>
        <v>169.20179999999999</v>
      </c>
      <c r="V62" s="22">
        <f t="shared" si="7"/>
        <v>253.60279999999989</v>
      </c>
      <c r="W62" s="22"/>
      <c r="X62" s="21"/>
      <c r="Y62" s="21">
        <f t="shared" si="8"/>
        <v>11</v>
      </c>
      <c r="Z62" s="21">
        <f t="shared" si="9"/>
        <v>-7.318480063450862E-2</v>
      </c>
      <c r="AA62" s="21">
        <f>VLOOKUP(A:A,[1]TDSheet!$A:$AB,28,0)</f>
        <v>134.7492</v>
      </c>
      <c r="AB62" s="21">
        <f>VLOOKUP(A:A,[1]TDSheet!$A:$AC,29,0)</f>
        <v>135.11700000000002</v>
      </c>
      <c r="AC62" s="21">
        <f>VLOOKUP(A:A,[1]TDSheet!$A:$AD,30,0)</f>
        <v>132.49619999999999</v>
      </c>
      <c r="AD62" s="21">
        <f>VLOOKUP(A:A,[1]TDSheet!$A:$U,21,0)</f>
        <v>170.42339999999999</v>
      </c>
      <c r="AE62" s="21"/>
      <c r="AF62" s="21">
        <f t="shared" si="10"/>
        <v>253.60279999999989</v>
      </c>
      <c r="AG62" s="21"/>
    </row>
    <row r="63" spans="1:33" ht="11.1" customHeight="1" x14ac:dyDescent="0.2">
      <c r="A63" s="9" t="s">
        <v>67</v>
      </c>
      <c r="B63" s="9" t="s">
        <v>14</v>
      </c>
      <c r="C63" s="10">
        <v>20.463000000000001</v>
      </c>
      <c r="D63" s="10">
        <v>217.52699999999999</v>
      </c>
      <c r="E63" s="10">
        <v>99.697000000000003</v>
      </c>
      <c r="F63" s="10">
        <v>128.60499999999999</v>
      </c>
      <c r="G63" s="5" t="str">
        <f>VLOOKUP(A:A,[1]TDSheet!$A:$G,7,0)</f>
        <v>P004607</v>
      </c>
      <c r="H63" s="5">
        <f>VLOOKUP(A:A,[1]TDSheet!$A:$H,8,0)</f>
        <v>1</v>
      </c>
      <c r="I63" s="5">
        <f>VLOOKUP(A:A,[1]TDSheet!$A:$I,9,0)</f>
        <v>50</v>
      </c>
      <c r="J63" s="5" t="str">
        <f>VLOOKUP(A:A,[1]TDSheet!$A:$J,10,0)</f>
        <v>матрица</v>
      </c>
      <c r="L63" s="21">
        <f>VLOOKUP(A:A,[2]TDSheet!$A:$B,2,0)</f>
        <v>110.3</v>
      </c>
      <c r="M63" s="21">
        <f t="shared" si="5"/>
        <v>-10.602999999999994</v>
      </c>
      <c r="N63" s="21"/>
      <c r="O63" s="21">
        <f>VLOOKUP(A:A,[1]TDSheet!$A:$P,16,0)</f>
        <v>0</v>
      </c>
      <c r="P63" s="21">
        <f>VLOOKUP(A:A,[1]TDSheet!$A:$Q,17,0)</f>
        <v>0</v>
      </c>
      <c r="Q63" s="21">
        <f>VLOOKUP(A:A,[1]TDSheet!$A:$R,18,0)</f>
        <v>0</v>
      </c>
      <c r="R63" s="21">
        <f>VLOOKUP(A:A,[1]TDSheet!$A:$T,20,0)</f>
        <v>130</v>
      </c>
      <c r="S63" s="21">
        <f>VLOOKUP(A:A,[1]TDSheet!$A:$N,14,0)</f>
        <v>0</v>
      </c>
      <c r="T63" s="21">
        <f>VLOOKUP(A:A,[1]TDSheet!$A:$V,22,0)</f>
        <v>0</v>
      </c>
      <c r="U63" s="21">
        <f t="shared" si="6"/>
        <v>19.939399999999999</v>
      </c>
      <c r="V63" s="22"/>
      <c r="W63" s="22"/>
      <c r="X63" s="21"/>
      <c r="Y63" s="21">
        <f t="shared" si="8"/>
        <v>12.969547729620752</v>
      </c>
      <c r="Z63" s="21">
        <f t="shared" si="9"/>
        <v>6.4497928724033819</v>
      </c>
      <c r="AA63" s="21">
        <f>VLOOKUP(A:A,[1]TDSheet!$A:$AB,28,0)</f>
        <v>20.233799999999999</v>
      </c>
      <c r="AB63" s="21">
        <f>VLOOKUP(A:A,[1]TDSheet!$A:$AC,29,0)</f>
        <v>17.0306</v>
      </c>
      <c r="AC63" s="21">
        <f>VLOOKUP(A:A,[1]TDSheet!$A:$AD,30,0)</f>
        <v>23.980600000000003</v>
      </c>
      <c r="AD63" s="21">
        <f>VLOOKUP(A:A,[1]TDSheet!$A:$U,21,0)</f>
        <v>13.745200000000001</v>
      </c>
      <c r="AE63" s="21"/>
      <c r="AF63" s="21">
        <f t="shared" si="10"/>
        <v>0</v>
      </c>
      <c r="AG63" s="21"/>
    </row>
    <row r="64" spans="1:33" ht="11.1" customHeight="1" x14ac:dyDescent="0.2">
      <c r="A64" s="27" t="s">
        <v>68</v>
      </c>
      <c r="B64" s="9" t="s">
        <v>18</v>
      </c>
      <c r="C64" s="10">
        <v>1106</v>
      </c>
      <c r="D64" s="10"/>
      <c r="E64" s="10">
        <v>123</v>
      </c>
      <c r="F64" s="10">
        <v>974</v>
      </c>
      <c r="G64" s="5" t="str">
        <f>VLOOKUP(A:A,[1]TDSheet!$A:$G,7,0)</f>
        <v>P003252</v>
      </c>
      <c r="H64" s="5">
        <f>VLOOKUP(A:A,[1]TDSheet!$A:$H,8,0)</f>
        <v>0.1</v>
      </c>
      <c r="I64" s="5">
        <f>VLOOKUP(A:A,[1]TDSheet!$A:$I,9,0)</f>
        <v>730</v>
      </c>
      <c r="J64" s="5" t="str">
        <f>VLOOKUP(A:A,[1]TDSheet!$A:$J,10,0)</f>
        <v>матрица</v>
      </c>
      <c r="L64" s="21">
        <f>VLOOKUP(A:A,[2]TDSheet!$A:$B,2,0)</f>
        <v>123</v>
      </c>
      <c r="M64" s="21">
        <f t="shared" si="5"/>
        <v>0</v>
      </c>
      <c r="N64" s="21"/>
      <c r="O64" s="21">
        <f>VLOOKUP(A:A,[1]TDSheet!$A:$P,16,0)</f>
        <v>0</v>
      </c>
      <c r="P64" s="21">
        <f>VLOOKUP(A:A,[1]TDSheet!$A:$Q,17,0)</f>
        <v>0</v>
      </c>
      <c r="Q64" s="21">
        <f>VLOOKUP(A:A,[1]TDSheet!$A:$R,18,0)</f>
        <v>0</v>
      </c>
      <c r="R64" s="21">
        <f>VLOOKUP(A:A,[1]TDSheet!$A:$T,20,0)</f>
        <v>0</v>
      </c>
      <c r="S64" s="21">
        <f>VLOOKUP(A:A,[1]TDSheet!$A:$N,14,0)</f>
        <v>0</v>
      </c>
      <c r="T64" s="21">
        <f>VLOOKUP(A:A,[1]TDSheet!$A:$V,22,0)</f>
        <v>0</v>
      </c>
      <c r="U64" s="21">
        <f t="shared" si="6"/>
        <v>24.6</v>
      </c>
      <c r="V64" s="22"/>
      <c r="W64" s="22"/>
      <c r="X64" s="21"/>
      <c r="Y64" s="21">
        <f t="shared" si="8"/>
        <v>39.59349593495935</v>
      </c>
      <c r="Z64" s="21">
        <f t="shared" si="9"/>
        <v>39.59349593495935</v>
      </c>
      <c r="AA64" s="21">
        <f>VLOOKUP(A:A,[1]TDSheet!$A:$AB,28,0)</f>
        <v>27.2</v>
      </c>
      <c r="AB64" s="21">
        <f>VLOOKUP(A:A,[1]TDSheet!$A:$AC,29,0)</f>
        <v>29.8</v>
      </c>
      <c r="AC64" s="21">
        <f>VLOOKUP(A:A,[1]TDSheet!$A:$AD,30,0)</f>
        <v>29.8</v>
      </c>
      <c r="AD64" s="21">
        <f>VLOOKUP(A:A,[1]TDSheet!$A:$U,21,0)</f>
        <v>28.8</v>
      </c>
      <c r="AE64" s="21"/>
      <c r="AF64" s="21">
        <f t="shared" si="10"/>
        <v>0</v>
      </c>
      <c r="AG64" s="21"/>
    </row>
    <row r="65" spans="1:33" ht="11.1" customHeight="1" x14ac:dyDescent="0.2">
      <c r="A65" s="9" t="s">
        <v>69</v>
      </c>
      <c r="B65" s="9" t="s">
        <v>18</v>
      </c>
      <c r="C65" s="10">
        <v>297</v>
      </c>
      <c r="D65" s="10">
        <v>494</v>
      </c>
      <c r="E65" s="10">
        <v>234</v>
      </c>
      <c r="F65" s="10">
        <v>273</v>
      </c>
      <c r="G65" s="5" t="str">
        <f>VLOOKUP(A:A,[1]TDSheet!$A:$G,7,0)</f>
        <v>P003243</v>
      </c>
      <c r="H65" s="5">
        <f>VLOOKUP(A:A,[1]TDSheet!$A:$H,8,0)</f>
        <v>0.4</v>
      </c>
      <c r="I65" s="5">
        <f>VLOOKUP(A:A,[1]TDSheet!$A:$I,9,0)</f>
        <v>50</v>
      </c>
      <c r="J65" s="5" t="str">
        <f>VLOOKUP(A:A,[1]TDSheet!$A:$J,10,0)</f>
        <v>матрица</v>
      </c>
      <c r="L65" s="21">
        <f>VLOOKUP(A:A,[2]TDSheet!$A:$B,2,0)</f>
        <v>242</v>
      </c>
      <c r="M65" s="21">
        <f t="shared" si="5"/>
        <v>-8</v>
      </c>
      <c r="N65" s="21"/>
      <c r="O65" s="21">
        <f>VLOOKUP(A:A,[1]TDSheet!$A:$P,16,0)</f>
        <v>0</v>
      </c>
      <c r="P65" s="21">
        <f>VLOOKUP(A:A,[1]TDSheet!$A:$Q,17,0)</f>
        <v>0</v>
      </c>
      <c r="Q65" s="21">
        <f>VLOOKUP(A:A,[1]TDSheet!$A:$R,18,0)</f>
        <v>0</v>
      </c>
      <c r="R65" s="21">
        <f>VLOOKUP(A:A,[1]TDSheet!$A:$T,20,0)</f>
        <v>40</v>
      </c>
      <c r="S65" s="21">
        <f>VLOOKUP(A:A,[1]TDSheet!$A:$N,14,0)</f>
        <v>75</v>
      </c>
      <c r="T65" s="21">
        <f>VLOOKUP(A:A,[1]TDSheet!$A:$V,22,0)</f>
        <v>75</v>
      </c>
      <c r="U65" s="21">
        <f t="shared" si="6"/>
        <v>46.8</v>
      </c>
      <c r="V65" s="22">
        <f t="shared" si="7"/>
        <v>51.799999999999955</v>
      </c>
      <c r="W65" s="22"/>
      <c r="X65" s="21"/>
      <c r="Y65" s="21">
        <f t="shared" si="8"/>
        <v>11</v>
      </c>
      <c r="Z65" s="21">
        <f t="shared" si="9"/>
        <v>5.8333333333333339</v>
      </c>
      <c r="AA65" s="21">
        <f>VLOOKUP(A:A,[1]TDSheet!$A:$AB,28,0)</f>
        <v>54.8</v>
      </c>
      <c r="AB65" s="21">
        <f>VLOOKUP(A:A,[1]TDSheet!$A:$AC,29,0)</f>
        <v>57</v>
      </c>
      <c r="AC65" s="21">
        <f>VLOOKUP(A:A,[1]TDSheet!$A:$AD,30,0)</f>
        <v>51</v>
      </c>
      <c r="AD65" s="21">
        <f>VLOOKUP(A:A,[1]TDSheet!$A:$U,21,0)</f>
        <v>39.6</v>
      </c>
      <c r="AE65" s="21" t="str">
        <f>VLOOKUP(A:A,[1]TDSheet!$A:$AE,31,0)</f>
        <v>промо</v>
      </c>
      <c r="AF65" s="21">
        <f t="shared" si="10"/>
        <v>20.719999999999985</v>
      </c>
      <c r="AG65" s="21"/>
    </row>
    <row r="66" spans="1:33" ht="11.1" customHeight="1" x14ac:dyDescent="0.2">
      <c r="A66" s="9" t="s">
        <v>70</v>
      </c>
      <c r="B66" s="9" t="s">
        <v>14</v>
      </c>
      <c r="C66" s="10">
        <v>51.256</v>
      </c>
      <c r="D66" s="10">
        <v>31.951000000000001</v>
      </c>
      <c r="E66" s="10">
        <v>36.896999999999998</v>
      </c>
      <c r="F66" s="10">
        <v>34.265999999999998</v>
      </c>
      <c r="G66" s="5" t="str">
        <f>VLOOKUP(A:A,[1]TDSheet!$A:$G,7,0)</f>
        <v>P003263</v>
      </c>
      <c r="H66" s="5">
        <f>VLOOKUP(A:A,[1]TDSheet!$A:$H,8,0)</f>
        <v>1</v>
      </c>
      <c r="I66" s="5">
        <f>VLOOKUP(A:A,[1]TDSheet!$A:$I,9,0)</f>
        <v>40</v>
      </c>
      <c r="J66" s="5" t="str">
        <f>VLOOKUP(A:A,[1]TDSheet!$A:$J,10,0)</f>
        <v>матрица</v>
      </c>
      <c r="L66" s="21">
        <f>VLOOKUP(A:A,[2]TDSheet!$A:$B,2,0)</f>
        <v>38.56</v>
      </c>
      <c r="M66" s="21">
        <f t="shared" si="5"/>
        <v>-1.6630000000000038</v>
      </c>
      <c r="N66" s="21"/>
      <c r="O66" s="21">
        <f>VLOOKUP(A:A,[1]TDSheet!$A:$P,16,0)</f>
        <v>0</v>
      </c>
      <c r="P66" s="21">
        <f>VLOOKUP(A:A,[1]TDSheet!$A:$Q,17,0)</f>
        <v>0</v>
      </c>
      <c r="Q66" s="21">
        <f>VLOOKUP(A:A,[1]TDSheet!$A:$R,18,0)</f>
        <v>0</v>
      </c>
      <c r="R66" s="21">
        <f>VLOOKUP(A:A,[1]TDSheet!$A:$T,20,0)</f>
        <v>10</v>
      </c>
      <c r="S66" s="21">
        <f>VLOOKUP(A:A,[1]TDSheet!$A:$N,14,0)</f>
        <v>0</v>
      </c>
      <c r="T66" s="21">
        <f>VLOOKUP(A:A,[1]TDSheet!$A:$V,22,0)</f>
        <v>0</v>
      </c>
      <c r="U66" s="21">
        <f t="shared" si="6"/>
        <v>7.3793999999999995</v>
      </c>
      <c r="V66" s="22">
        <f t="shared" si="7"/>
        <v>36.907400000000003</v>
      </c>
      <c r="W66" s="22"/>
      <c r="X66" s="21"/>
      <c r="Y66" s="21">
        <f t="shared" si="8"/>
        <v>11</v>
      </c>
      <c r="Z66" s="21">
        <f t="shared" si="9"/>
        <v>4.6434669485324012</v>
      </c>
      <c r="AA66" s="21">
        <f>VLOOKUP(A:A,[1]TDSheet!$A:$AB,28,0)</f>
        <v>10.106199999999999</v>
      </c>
      <c r="AB66" s="21">
        <f>VLOOKUP(A:A,[1]TDSheet!$A:$AC,29,0)</f>
        <v>9.9830000000000005</v>
      </c>
      <c r="AC66" s="21">
        <f>VLOOKUP(A:A,[1]TDSheet!$A:$AD,30,0)</f>
        <v>7.6786000000000003</v>
      </c>
      <c r="AD66" s="21">
        <f>VLOOKUP(A:A,[1]TDSheet!$A:$U,21,0)</f>
        <v>6.3710000000000004</v>
      </c>
      <c r="AE66" s="21"/>
      <c r="AF66" s="21">
        <f t="shared" si="10"/>
        <v>36.907400000000003</v>
      </c>
      <c r="AG66" s="21"/>
    </row>
    <row r="67" spans="1:33" ht="11.1" customHeight="1" x14ac:dyDescent="0.2">
      <c r="A67" s="27" t="s">
        <v>71</v>
      </c>
      <c r="B67" s="9" t="s">
        <v>14</v>
      </c>
      <c r="C67" s="10">
        <v>28.382999999999999</v>
      </c>
      <c r="D67" s="10">
        <v>1.36</v>
      </c>
      <c r="E67" s="10">
        <v>0</v>
      </c>
      <c r="F67" s="10">
        <v>29</v>
      </c>
      <c r="G67" s="5" t="str">
        <f>VLOOKUP(A:A,[1]TDSheet!$A:$G,7,0)</f>
        <v>P003266</v>
      </c>
      <c r="H67" s="5">
        <f>VLOOKUP(A:A,[1]TDSheet!$A:$H,8,0)</f>
        <v>1</v>
      </c>
      <c r="I67" s="5">
        <f>VLOOKUP(A:A,[1]TDSheet!$A:$I,9,0)</f>
        <v>40</v>
      </c>
      <c r="J67" s="5" t="str">
        <f>VLOOKUP(A:A,[1]TDSheet!$A:$J,10,0)</f>
        <v>матрица</v>
      </c>
      <c r="L67" s="21">
        <f>VLOOKUP(A:A,[2]TDSheet!$A:$B,2,0)</f>
        <v>32.96</v>
      </c>
      <c r="M67" s="21">
        <f t="shared" si="5"/>
        <v>-32.96</v>
      </c>
      <c r="N67" s="21"/>
      <c r="O67" s="21">
        <f>VLOOKUP(A:A,[1]TDSheet!$A:$P,16,0)</f>
        <v>0</v>
      </c>
      <c r="P67" s="21">
        <f>VLOOKUP(A:A,[1]TDSheet!$A:$Q,17,0)</f>
        <v>0</v>
      </c>
      <c r="Q67" s="21">
        <f>VLOOKUP(A:A,[1]TDSheet!$A:$R,18,0)</f>
        <v>0</v>
      </c>
      <c r="R67" s="21">
        <f>VLOOKUP(A:A,[1]TDSheet!$A:$T,20,0)</f>
        <v>0</v>
      </c>
      <c r="S67" s="21">
        <f>VLOOKUP(A:A,[1]TDSheet!$A:$N,14,0)</f>
        <v>0</v>
      </c>
      <c r="T67" s="21">
        <f>VLOOKUP(A:A,[1]TDSheet!$A:$V,22,0)</f>
        <v>0</v>
      </c>
      <c r="U67" s="21">
        <f t="shared" si="6"/>
        <v>0</v>
      </c>
      <c r="V67" s="22"/>
      <c r="W67" s="22"/>
      <c r="X67" s="21"/>
      <c r="Y67" s="21" t="e">
        <f t="shared" si="8"/>
        <v>#DIV/0!</v>
      </c>
      <c r="Z67" s="21" t="e">
        <f t="shared" si="9"/>
        <v>#DIV/0!</v>
      </c>
      <c r="AA67" s="21">
        <f>VLOOKUP(A:A,[1]TDSheet!$A:$AB,28,0)</f>
        <v>0.80199999999999994</v>
      </c>
      <c r="AB67" s="21">
        <f>VLOOKUP(A:A,[1]TDSheet!$A:$AC,29,0)</f>
        <v>-4.4400000000000002E-2</v>
      </c>
      <c r="AC67" s="21">
        <f>VLOOKUP(A:A,[1]TDSheet!$A:$AD,30,0)</f>
        <v>0</v>
      </c>
      <c r="AD67" s="21">
        <f>VLOOKUP(A:A,[1]TDSheet!$A:$U,21,0)</f>
        <v>1.6514</v>
      </c>
      <c r="AE67" s="21"/>
      <c r="AF67" s="21">
        <f t="shared" si="10"/>
        <v>0</v>
      </c>
      <c r="AG67" s="21"/>
    </row>
    <row r="68" spans="1:33" ht="11.1" customHeight="1" x14ac:dyDescent="0.2">
      <c r="A68" s="27" t="s">
        <v>72</v>
      </c>
      <c r="B68" s="9" t="s">
        <v>18</v>
      </c>
      <c r="C68" s="10">
        <v>305</v>
      </c>
      <c r="D68" s="10">
        <v>112</v>
      </c>
      <c r="E68" s="10">
        <v>296</v>
      </c>
      <c r="F68" s="10">
        <v>-4</v>
      </c>
      <c r="G68" s="5" t="str">
        <f>VLOOKUP(A:A,[1]TDSheet!$A:$G,7,0)</f>
        <v>P003262</v>
      </c>
      <c r="H68" s="5">
        <f>VLOOKUP(A:A,[1]TDSheet!$A:$H,8,0)</f>
        <v>0.4</v>
      </c>
      <c r="I68" s="5">
        <f>VLOOKUP(A:A,[1]TDSheet!$A:$I,9,0)</f>
        <v>40</v>
      </c>
      <c r="J68" s="5" t="str">
        <f>VLOOKUP(A:A,[1]TDSheet!$A:$J,10,0)</f>
        <v>матрица</v>
      </c>
      <c r="L68" s="21">
        <f>VLOOKUP(A:A,[2]TDSheet!$A:$B,2,0)</f>
        <v>857</v>
      </c>
      <c r="M68" s="21">
        <f t="shared" si="5"/>
        <v>-561</v>
      </c>
      <c r="N68" s="21"/>
      <c r="O68" s="21">
        <f>VLOOKUP(A:A,[1]TDSheet!$A:$P,16,0)</f>
        <v>0</v>
      </c>
      <c r="P68" s="21">
        <f>VLOOKUP(A:A,[1]TDSheet!$A:$Q,17,0)</f>
        <v>0</v>
      </c>
      <c r="Q68" s="21">
        <f>VLOOKUP(A:A,[1]TDSheet!$A:$R,18,0)</f>
        <v>0</v>
      </c>
      <c r="R68" s="21">
        <f>VLOOKUP(A:A,[1]TDSheet!$A:$T,20,0)</f>
        <v>1050</v>
      </c>
      <c r="S68" s="21">
        <f>VLOOKUP(A:A,[1]TDSheet!$A:$N,14,0)</f>
        <v>215</v>
      </c>
      <c r="T68" s="21">
        <f>VLOOKUP(A:A,[1]TDSheet!$A:$V,22,0)</f>
        <v>215</v>
      </c>
      <c r="U68" s="21">
        <f t="shared" si="6"/>
        <v>59.2</v>
      </c>
      <c r="V68" s="22"/>
      <c r="W68" s="22"/>
      <c r="X68" s="21"/>
      <c r="Y68" s="21">
        <f t="shared" si="8"/>
        <v>24.932432432432432</v>
      </c>
      <c r="Z68" s="21">
        <f t="shared" si="9"/>
        <v>-6.7567567567567557E-2</v>
      </c>
      <c r="AA68" s="21">
        <f>VLOOKUP(A:A,[1]TDSheet!$A:$AB,28,0)</f>
        <v>160.80000000000001</v>
      </c>
      <c r="AB68" s="21">
        <f>VLOOKUP(A:A,[1]TDSheet!$A:$AC,29,0)</f>
        <v>155.80000000000001</v>
      </c>
      <c r="AC68" s="21">
        <f>VLOOKUP(A:A,[1]TDSheet!$A:$AD,30,0)</f>
        <v>160.4</v>
      </c>
      <c r="AD68" s="21">
        <f>VLOOKUP(A:A,[1]TDSheet!$A:$U,21,0)</f>
        <v>173.6</v>
      </c>
      <c r="AE68" s="21"/>
      <c r="AF68" s="21">
        <f t="shared" si="10"/>
        <v>0</v>
      </c>
      <c r="AG68" s="21"/>
    </row>
    <row r="69" spans="1:33" ht="11.1" customHeight="1" x14ac:dyDescent="0.2">
      <c r="A69" s="9" t="s">
        <v>73</v>
      </c>
      <c r="B69" s="9" t="s">
        <v>18</v>
      </c>
      <c r="C69" s="10">
        <v>143</v>
      </c>
      <c r="D69" s="10">
        <v>741</v>
      </c>
      <c r="E69" s="10">
        <v>556</v>
      </c>
      <c r="F69" s="10">
        <v>226</v>
      </c>
      <c r="G69" s="5" t="str">
        <f>VLOOKUP(A:A,[1]TDSheet!$A:$G,7,0)</f>
        <v>P003265</v>
      </c>
      <c r="H69" s="5">
        <f>VLOOKUP(A:A,[1]TDSheet!$A:$H,8,0)</f>
        <v>0.4</v>
      </c>
      <c r="L69" s="21">
        <f>VLOOKUP(A:A,[2]TDSheet!$A:$B,2,0)</f>
        <v>698</v>
      </c>
      <c r="M69" s="21">
        <f t="shared" si="5"/>
        <v>-142</v>
      </c>
      <c r="N69" s="21"/>
      <c r="O69" s="21">
        <f>VLOOKUP(A:A,[1]TDSheet!$A:$P,16,0)</f>
        <v>0</v>
      </c>
      <c r="P69" s="21">
        <f>VLOOKUP(A:A,[1]TDSheet!$A:$Q,17,0)</f>
        <v>0</v>
      </c>
      <c r="Q69" s="21">
        <f>VLOOKUP(A:A,[1]TDSheet!$A:$R,18,0)</f>
        <v>0</v>
      </c>
      <c r="R69" s="21">
        <f>VLOOKUP(A:A,[1]TDSheet!$A:$T,20,0)</f>
        <v>750</v>
      </c>
      <c r="S69" s="21">
        <f>VLOOKUP(A:A,[1]TDSheet!$A:$N,14,0)</f>
        <v>25</v>
      </c>
      <c r="T69" s="21">
        <f>VLOOKUP(A:A,[1]TDSheet!$A:$V,22,0)</f>
        <v>25</v>
      </c>
      <c r="U69" s="21">
        <f t="shared" si="6"/>
        <v>111.2</v>
      </c>
      <c r="V69" s="22">
        <f t="shared" si="7"/>
        <v>197.20000000000005</v>
      </c>
      <c r="W69" s="22"/>
      <c r="X69" s="21"/>
      <c r="Y69" s="21">
        <f t="shared" si="8"/>
        <v>11</v>
      </c>
      <c r="Z69" s="21">
        <f t="shared" si="9"/>
        <v>2.0323741007194243</v>
      </c>
      <c r="AA69" s="21">
        <f>VLOOKUP(A:A,[1]TDSheet!$A:$AB,28,0)</f>
        <v>102</v>
      </c>
      <c r="AB69" s="21">
        <f>VLOOKUP(A:A,[1]TDSheet!$A:$AC,29,0)</f>
        <v>101.8</v>
      </c>
      <c r="AC69" s="21">
        <f>VLOOKUP(A:A,[1]TDSheet!$A:$AD,30,0)</f>
        <v>106.6</v>
      </c>
      <c r="AD69" s="21">
        <f>VLOOKUP(A:A,[1]TDSheet!$A:$U,21,0)</f>
        <v>98.8</v>
      </c>
      <c r="AE69" s="21"/>
      <c r="AF69" s="21">
        <f t="shared" si="10"/>
        <v>78.880000000000024</v>
      </c>
      <c r="AG69" s="21"/>
    </row>
    <row r="70" spans="1:33" ht="21.95" customHeight="1" x14ac:dyDescent="0.2">
      <c r="A70" s="9" t="s">
        <v>74</v>
      </c>
      <c r="B70" s="9" t="s">
        <v>14</v>
      </c>
      <c r="C70" s="10">
        <v>143.524</v>
      </c>
      <c r="D70" s="10">
        <v>289.49400000000003</v>
      </c>
      <c r="E70" s="10">
        <v>271.60399999999998</v>
      </c>
      <c r="F70" s="10">
        <v>126.79300000000001</v>
      </c>
      <c r="G70" s="5" t="str">
        <f>VLOOKUP(A:A,[1]TDSheet!$A:$G,7,0)</f>
        <v>P003387</v>
      </c>
      <c r="H70" s="5">
        <f>VLOOKUP(A:A,[1]TDSheet!$A:$H,8,0)</f>
        <v>1</v>
      </c>
      <c r="I70" s="5">
        <f>VLOOKUP(A:A,[1]TDSheet!$A:$I,9,0)</f>
        <v>40</v>
      </c>
      <c r="J70" s="5" t="str">
        <f>VLOOKUP(A:A,[1]TDSheet!$A:$J,10,0)</f>
        <v>матрица</v>
      </c>
      <c r="L70" s="21">
        <f>VLOOKUP(A:A,[2]TDSheet!$A:$B,2,0)</f>
        <v>266.2</v>
      </c>
      <c r="M70" s="21">
        <f t="shared" si="5"/>
        <v>5.4039999999999964</v>
      </c>
      <c r="N70" s="21"/>
      <c r="O70" s="21">
        <f>VLOOKUP(A:A,[1]TDSheet!$A:$P,16,0)</f>
        <v>0</v>
      </c>
      <c r="P70" s="21">
        <f>VLOOKUP(A:A,[1]TDSheet!$A:$Q,17,0)</f>
        <v>0</v>
      </c>
      <c r="Q70" s="21">
        <f>VLOOKUP(A:A,[1]TDSheet!$A:$R,18,0)</f>
        <v>0</v>
      </c>
      <c r="R70" s="21">
        <f>VLOOKUP(A:A,[1]TDSheet!$A:$T,20,0)</f>
        <v>320</v>
      </c>
      <c r="S70" s="21">
        <f>VLOOKUP(A:A,[1]TDSheet!$A:$N,14,0)</f>
        <v>70</v>
      </c>
      <c r="T70" s="21">
        <f>VLOOKUP(A:A,[1]TDSheet!$A:$V,22,0)</f>
        <v>70</v>
      </c>
      <c r="U70" s="21">
        <f t="shared" si="6"/>
        <v>54.320799999999998</v>
      </c>
      <c r="V70" s="22">
        <f t="shared" si="7"/>
        <v>10.735799999999927</v>
      </c>
      <c r="W70" s="22"/>
      <c r="X70" s="21"/>
      <c r="Y70" s="21">
        <f t="shared" si="8"/>
        <v>10.999999999999998</v>
      </c>
      <c r="Z70" s="21">
        <f t="shared" si="9"/>
        <v>2.3341519270702937</v>
      </c>
      <c r="AA70" s="21">
        <f>VLOOKUP(A:A,[1]TDSheet!$A:$AB,28,0)</f>
        <v>52.272000000000006</v>
      </c>
      <c r="AB70" s="21">
        <f>VLOOKUP(A:A,[1]TDSheet!$A:$AC,29,0)</f>
        <v>54.1158</v>
      </c>
      <c r="AC70" s="21">
        <f>VLOOKUP(A:A,[1]TDSheet!$A:$AD,30,0)</f>
        <v>53.382199999999997</v>
      </c>
      <c r="AD70" s="21">
        <f>VLOOKUP(A:A,[1]TDSheet!$A:$U,21,0)</f>
        <v>57.605800000000002</v>
      </c>
      <c r="AE70" s="21"/>
      <c r="AF70" s="21">
        <f t="shared" si="10"/>
        <v>10.735799999999927</v>
      </c>
      <c r="AG70" s="21"/>
    </row>
    <row r="71" spans="1:33" ht="11.1" customHeight="1" x14ac:dyDescent="0.2">
      <c r="A71" s="9" t="s">
        <v>75</v>
      </c>
      <c r="B71" s="9" t="s">
        <v>14</v>
      </c>
      <c r="C71" s="10">
        <v>76.238</v>
      </c>
      <c r="D71" s="10">
        <v>338.45800000000003</v>
      </c>
      <c r="E71" s="10">
        <v>319.49900000000002</v>
      </c>
      <c r="F71" s="10">
        <v>60.151000000000003</v>
      </c>
      <c r="G71" s="5" t="str">
        <f>VLOOKUP(A:A,[1]TDSheet!$A:$G,7,0)</f>
        <v>P003401</v>
      </c>
      <c r="H71" s="5">
        <f>VLOOKUP(A:A,[1]TDSheet!$A:$H,8,0)</f>
        <v>1</v>
      </c>
      <c r="I71" s="5">
        <f>VLOOKUP(A:A,[1]TDSheet!$A:$I,9,0)</f>
        <v>40</v>
      </c>
      <c r="J71" s="5" t="str">
        <f>VLOOKUP(A:A,[1]TDSheet!$A:$J,10,0)</f>
        <v>матрица</v>
      </c>
      <c r="L71" s="21">
        <f>VLOOKUP(A:A,[2]TDSheet!$A:$B,2,0)</f>
        <v>405.3</v>
      </c>
      <c r="M71" s="21">
        <f t="shared" si="5"/>
        <v>-85.800999999999988</v>
      </c>
      <c r="N71" s="21"/>
      <c r="O71" s="21">
        <f>VLOOKUP(A:A,[1]TDSheet!$A:$P,16,0)</f>
        <v>0</v>
      </c>
      <c r="P71" s="21">
        <f>VLOOKUP(A:A,[1]TDSheet!$A:$Q,17,0)</f>
        <v>0</v>
      </c>
      <c r="Q71" s="21">
        <f>VLOOKUP(A:A,[1]TDSheet!$A:$R,18,0)</f>
        <v>0</v>
      </c>
      <c r="R71" s="21">
        <f>VLOOKUP(A:A,[1]TDSheet!$A:$T,20,0)</f>
        <v>450</v>
      </c>
      <c r="S71" s="21">
        <f>VLOOKUP(A:A,[1]TDSheet!$A:$N,14,0)</f>
        <v>15</v>
      </c>
      <c r="T71" s="21">
        <f>VLOOKUP(A:A,[1]TDSheet!$A:$V,22,0)</f>
        <v>15</v>
      </c>
      <c r="U71" s="21">
        <f t="shared" si="6"/>
        <v>63.899800000000006</v>
      </c>
      <c r="V71" s="22">
        <f t="shared" si="7"/>
        <v>162.74680000000012</v>
      </c>
      <c r="W71" s="22"/>
      <c r="X71" s="21"/>
      <c r="Y71" s="21">
        <f t="shared" si="8"/>
        <v>11.000000000000002</v>
      </c>
      <c r="Z71" s="21">
        <f t="shared" si="9"/>
        <v>0.94133314971251858</v>
      </c>
      <c r="AA71" s="21">
        <f>VLOOKUP(A:A,[1]TDSheet!$A:$AB,28,0)</f>
        <v>47.7986</v>
      </c>
      <c r="AB71" s="21">
        <f>VLOOKUP(A:A,[1]TDSheet!$A:$AC,29,0)</f>
        <v>57.039200000000008</v>
      </c>
      <c r="AC71" s="21">
        <f>VLOOKUP(A:A,[1]TDSheet!$A:$AD,30,0)</f>
        <v>55.814999999999998</v>
      </c>
      <c r="AD71" s="21">
        <f>VLOOKUP(A:A,[1]TDSheet!$A:$U,21,0)</f>
        <v>60.8812</v>
      </c>
      <c r="AE71" s="21" t="str">
        <f>VLOOKUP(A:A,[1]TDSheet!$A:$AE,31,0)</f>
        <v>?????</v>
      </c>
      <c r="AF71" s="21">
        <f t="shared" si="10"/>
        <v>162.74680000000012</v>
      </c>
      <c r="AG71" s="21"/>
    </row>
    <row r="72" spans="1:33" ht="11.1" customHeight="1" x14ac:dyDescent="0.2">
      <c r="A72" s="9" t="s">
        <v>76</v>
      </c>
      <c r="B72" s="9" t="s">
        <v>14</v>
      </c>
      <c r="C72" s="10">
        <v>444.89100000000002</v>
      </c>
      <c r="D72" s="10">
        <v>1061.7670000000001</v>
      </c>
      <c r="E72" s="10">
        <v>733.36900000000003</v>
      </c>
      <c r="F72" s="10">
        <v>503.404</v>
      </c>
      <c r="G72" s="5" t="str">
        <f>VLOOKUP(A:A,[1]TDSheet!$A:$G,7,0)</f>
        <v>P003383</v>
      </c>
      <c r="H72" s="5">
        <f>VLOOKUP(A:A,[1]TDSheet!$A:$H,8,0)</f>
        <v>1</v>
      </c>
      <c r="L72" s="21">
        <f>VLOOKUP(A:A,[2]TDSheet!$A:$B,2,0)</f>
        <v>732.05</v>
      </c>
      <c r="M72" s="21">
        <f t="shared" si="5"/>
        <v>1.3190000000000737</v>
      </c>
      <c r="N72" s="21"/>
      <c r="O72" s="21">
        <f>VLOOKUP(A:A,[1]TDSheet!$A:$P,16,0)</f>
        <v>0</v>
      </c>
      <c r="P72" s="21">
        <f>VLOOKUP(A:A,[1]TDSheet!$A:$Q,17,0)</f>
        <v>0</v>
      </c>
      <c r="Q72" s="21">
        <f>VLOOKUP(A:A,[1]TDSheet!$A:$R,18,0)</f>
        <v>0</v>
      </c>
      <c r="R72" s="21">
        <f>VLOOKUP(A:A,[1]TDSheet!$A:$T,20,0)</f>
        <v>550</v>
      </c>
      <c r="S72" s="21">
        <f>VLOOKUP(A:A,[1]TDSheet!$A:$N,14,0)</f>
        <v>175</v>
      </c>
      <c r="T72" s="21">
        <f>VLOOKUP(A:A,[1]TDSheet!$A:$V,22,0)</f>
        <v>175</v>
      </c>
      <c r="U72" s="21">
        <f t="shared" si="6"/>
        <v>146.6738</v>
      </c>
      <c r="V72" s="22">
        <f t="shared" si="7"/>
        <v>210.00780000000009</v>
      </c>
      <c r="W72" s="28">
        <v>230</v>
      </c>
      <c r="X72" s="29" t="s">
        <v>168</v>
      </c>
      <c r="Y72" s="21">
        <f t="shared" si="8"/>
        <v>11</v>
      </c>
      <c r="Z72" s="21">
        <f t="shared" si="9"/>
        <v>3.4321330735277873</v>
      </c>
      <c r="AA72" s="21">
        <f>VLOOKUP(A:A,[1]TDSheet!$A:$AB,28,0)</f>
        <v>156.79820000000001</v>
      </c>
      <c r="AB72" s="21">
        <f>VLOOKUP(A:A,[1]TDSheet!$A:$AC,29,0)</f>
        <v>160.44999999999999</v>
      </c>
      <c r="AC72" s="21">
        <f>VLOOKUP(A:A,[1]TDSheet!$A:$AD,30,0)</f>
        <v>156.87700000000001</v>
      </c>
      <c r="AD72" s="21">
        <f>VLOOKUP(A:A,[1]TDSheet!$A:$U,21,0)</f>
        <v>139.87819999999999</v>
      </c>
      <c r="AE72" s="21" t="str">
        <f>VLOOKUP(A:A,[1]TDSheet!$A:$AE,31,0)</f>
        <v>промо</v>
      </c>
      <c r="AF72" s="21">
        <f t="shared" si="10"/>
        <v>210.00780000000009</v>
      </c>
      <c r="AG72" s="21"/>
    </row>
    <row r="73" spans="1:33" ht="11.1" customHeight="1" x14ac:dyDescent="0.2">
      <c r="A73" s="9" t="s">
        <v>77</v>
      </c>
      <c r="B73" s="9" t="s">
        <v>14</v>
      </c>
      <c r="C73" s="10">
        <v>167.62799999999999</v>
      </c>
      <c r="D73" s="10">
        <v>220.3</v>
      </c>
      <c r="E73" s="10">
        <v>203.65700000000001</v>
      </c>
      <c r="F73" s="10">
        <v>119.017</v>
      </c>
      <c r="G73" s="5" t="str">
        <f>VLOOKUP(A:A,[1]TDSheet!$A:$G,7,0)</f>
        <v>P003384</v>
      </c>
      <c r="H73" s="5">
        <f>VLOOKUP(A:A,[1]TDSheet!$A:$H,8,0)</f>
        <v>1</v>
      </c>
      <c r="I73" s="5">
        <f>VLOOKUP(A:A,[1]TDSheet!$A:$I,9,0)</f>
        <v>40</v>
      </c>
      <c r="J73" s="5" t="str">
        <f>VLOOKUP(A:A,[1]TDSheet!$A:$J,10,0)</f>
        <v>матрица</v>
      </c>
      <c r="L73" s="21">
        <f>VLOOKUP(A:A,[2]TDSheet!$A:$B,2,0)</f>
        <v>206.65</v>
      </c>
      <c r="M73" s="21">
        <f t="shared" si="5"/>
        <v>-2.992999999999995</v>
      </c>
      <c r="N73" s="21"/>
      <c r="O73" s="21">
        <f>VLOOKUP(A:A,[1]TDSheet!$A:$P,16,0)</f>
        <v>0</v>
      </c>
      <c r="P73" s="21">
        <f>VLOOKUP(A:A,[1]TDSheet!$A:$Q,17,0)</f>
        <v>0</v>
      </c>
      <c r="Q73" s="21">
        <f>VLOOKUP(A:A,[1]TDSheet!$A:$R,18,0)</f>
        <v>0</v>
      </c>
      <c r="R73" s="21">
        <f>VLOOKUP(A:A,[1]TDSheet!$A:$T,20,0)</f>
        <v>210</v>
      </c>
      <c r="S73" s="21">
        <f>VLOOKUP(A:A,[1]TDSheet!$A:$N,14,0)</f>
        <v>45</v>
      </c>
      <c r="T73" s="21">
        <f>VLOOKUP(A:A,[1]TDSheet!$A:$V,22,0)</f>
        <v>45</v>
      </c>
      <c r="U73" s="21">
        <f t="shared" si="6"/>
        <v>40.731400000000001</v>
      </c>
      <c r="V73" s="22">
        <f t="shared" si="7"/>
        <v>29.028400000000033</v>
      </c>
      <c r="W73" s="22"/>
      <c r="X73" s="21"/>
      <c r="Y73" s="21">
        <f t="shared" si="8"/>
        <v>11</v>
      </c>
      <c r="Z73" s="21">
        <f t="shared" si="9"/>
        <v>2.9219962976966172</v>
      </c>
      <c r="AA73" s="21">
        <f>VLOOKUP(A:A,[1]TDSheet!$A:$AB,28,0)</f>
        <v>49.616799999999998</v>
      </c>
      <c r="AB73" s="21">
        <f>VLOOKUP(A:A,[1]TDSheet!$A:$AC,29,0)</f>
        <v>48.677199999999999</v>
      </c>
      <c r="AC73" s="21">
        <f>VLOOKUP(A:A,[1]TDSheet!$A:$AD,30,0)</f>
        <v>43.538400000000003</v>
      </c>
      <c r="AD73" s="21">
        <f>VLOOKUP(A:A,[1]TDSheet!$A:$U,21,0)</f>
        <v>43.162799999999997</v>
      </c>
      <c r="AE73" s="21"/>
      <c r="AF73" s="21">
        <f t="shared" si="10"/>
        <v>29.028400000000033</v>
      </c>
      <c r="AG73" s="21"/>
    </row>
    <row r="74" spans="1:33" ht="11.1" customHeight="1" x14ac:dyDescent="0.2">
      <c r="A74" s="9" t="s">
        <v>78</v>
      </c>
      <c r="B74" s="9" t="s">
        <v>18</v>
      </c>
      <c r="C74" s="10">
        <v>31</v>
      </c>
      <c r="D74" s="10"/>
      <c r="E74" s="10">
        <v>10</v>
      </c>
      <c r="F74" s="10">
        <v>19</v>
      </c>
      <c r="G74" s="5" t="str">
        <f>VLOOKUP(A:A,[1]TDSheet!$A:$G,7,0)</f>
        <v>Р004929</v>
      </c>
      <c r="H74" s="5">
        <f>VLOOKUP(A:A,[1]TDSheet!$A:$H,8,0)</f>
        <v>0.6</v>
      </c>
      <c r="L74" s="21">
        <f>VLOOKUP(A:A,[2]TDSheet!$A:$B,2,0)</f>
        <v>10</v>
      </c>
      <c r="M74" s="21">
        <f t="shared" si="5"/>
        <v>0</v>
      </c>
      <c r="N74" s="21"/>
      <c r="O74" s="21">
        <f>VLOOKUP(A:A,[1]TDSheet!$A:$P,16,0)</f>
        <v>0</v>
      </c>
      <c r="P74" s="21">
        <f>VLOOKUP(A:A,[1]TDSheet!$A:$Q,17,0)</f>
        <v>0</v>
      </c>
      <c r="Q74" s="21">
        <f>VLOOKUP(A:A,[1]TDSheet!$A:$R,18,0)</f>
        <v>0</v>
      </c>
      <c r="R74" s="21">
        <f>VLOOKUP(A:A,[1]TDSheet!$A:$T,20,0)</f>
        <v>0</v>
      </c>
      <c r="S74" s="21">
        <f>VLOOKUP(A:A,[1]TDSheet!$A:$N,14,0)</f>
        <v>0</v>
      </c>
      <c r="T74" s="21">
        <f>VLOOKUP(A:A,[1]TDSheet!$A:$V,22,0)</f>
        <v>0</v>
      </c>
      <c r="U74" s="21">
        <f t="shared" si="6"/>
        <v>2</v>
      </c>
      <c r="V74" s="22">
        <f t="shared" si="7"/>
        <v>3</v>
      </c>
      <c r="W74" s="22"/>
      <c r="X74" s="21"/>
      <c r="Y74" s="21">
        <f t="shared" si="8"/>
        <v>11</v>
      </c>
      <c r="Z74" s="21">
        <f t="shared" si="9"/>
        <v>9.5</v>
      </c>
      <c r="AA74" s="21">
        <f>VLOOKUP(A:A,[1]TDSheet!$A:$AB,28,0)</f>
        <v>1.4</v>
      </c>
      <c r="AB74" s="21">
        <f>VLOOKUP(A:A,[1]TDSheet!$A:$AC,29,0)</f>
        <v>2.2000000000000002</v>
      </c>
      <c r="AC74" s="21">
        <f>VLOOKUP(A:A,[1]TDSheet!$A:$AD,30,0)</f>
        <v>0.6</v>
      </c>
      <c r="AD74" s="21">
        <f>VLOOKUP(A:A,[1]TDSheet!$A:$U,21,0)</f>
        <v>2</v>
      </c>
      <c r="AE74" s="21"/>
      <c r="AF74" s="21">
        <f t="shared" si="10"/>
        <v>1.7999999999999998</v>
      </c>
      <c r="AG74" s="21"/>
    </row>
    <row r="75" spans="1:33" ht="11.1" customHeight="1" x14ac:dyDescent="0.2">
      <c r="A75" s="9" t="s">
        <v>79</v>
      </c>
      <c r="B75" s="9" t="s">
        <v>14</v>
      </c>
      <c r="C75" s="10">
        <v>534.66</v>
      </c>
      <c r="D75" s="10">
        <v>981.18700000000001</v>
      </c>
      <c r="E75" s="10">
        <v>513.71500000000003</v>
      </c>
      <c r="F75" s="10">
        <v>895.154</v>
      </c>
      <c r="G75" s="5" t="str">
        <f>VLOOKUP(A:A,[1]TDSheet!$A:$G,7,0)</f>
        <v>P003883</v>
      </c>
      <c r="H75" s="5">
        <f>VLOOKUP(A:A,[1]TDSheet!$A:$H,8,0)</f>
        <v>1</v>
      </c>
      <c r="I75" s="5">
        <f>VLOOKUP(A:A,[1]TDSheet!$A:$I,9,0)</f>
        <v>30</v>
      </c>
      <c r="J75" s="5" t="str">
        <f>VLOOKUP(A:A,[1]TDSheet!$A:$J,10,0)</f>
        <v>матрица</v>
      </c>
      <c r="L75" s="21">
        <f>VLOOKUP(A:A,[2]TDSheet!$A:$B,2,0)</f>
        <v>536.70000000000005</v>
      </c>
      <c r="M75" s="21">
        <f t="shared" si="5"/>
        <v>-22.985000000000014</v>
      </c>
      <c r="N75" s="21"/>
      <c r="O75" s="21">
        <f>VLOOKUP(A:A,[1]TDSheet!$A:$P,16,0)</f>
        <v>0</v>
      </c>
      <c r="P75" s="21">
        <f>VLOOKUP(A:A,[1]TDSheet!$A:$Q,17,0)</f>
        <v>0</v>
      </c>
      <c r="Q75" s="21">
        <f>VLOOKUP(A:A,[1]TDSheet!$A:$R,18,0)</f>
        <v>0</v>
      </c>
      <c r="R75" s="21">
        <f>VLOOKUP(A:A,[1]TDSheet!$A:$T,20,0)</f>
        <v>300</v>
      </c>
      <c r="S75" s="21">
        <f>VLOOKUP(A:A,[1]TDSheet!$A:$N,14,0)</f>
        <v>200</v>
      </c>
      <c r="T75" s="21">
        <f>VLOOKUP(A:A,[1]TDSheet!$A:$V,22,0)</f>
        <v>200</v>
      </c>
      <c r="U75" s="21">
        <f t="shared" si="6"/>
        <v>102.74300000000001</v>
      </c>
      <c r="V75" s="22"/>
      <c r="W75" s="28">
        <v>180</v>
      </c>
      <c r="X75" s="29" t="s">
        <v>168</v>
      </c>
      <c r="Y75" s="21">
        <f t="shared" si="8"/>
        <v>15.525670848622289</v>
      </c>
      <c r="Z75" s="21">
        <f t="shared" si="9"/>
        <v>8.7125546265925653</v>
      </c>
      <c r="AA75" s="21">
        <f>VLOOKUP(A:A,[1]TDSheet!$A:$AB,28,0)</f>
        <v>2.9167999999999998</v>
      </c>
      <c r="AB75" s="21">
        <f>VLOOKUP(A:A,[1]TDSheet!$A:$AC,29,0)</f>
        <v>118.0592</v>
      </c>
      <c r="AC75" s="21">
        <f>VLOOKUP(A:A,[1]TDSheet!$A:$AD,30,0)</f>
        <v>110.6538</v>
      </c>
      <c r="AD75" s="21">
        <f>VLOOKUP(A:A,[1]TDSheet!$A:$U,21,0)</f>
        <v>104.89860000000002</v>
      </c>
      <c r="AE75" s="21" t="str">
        <f>VLOOKUP(A:A,[1]TDSheet!$A:$AE,31,0)</f>
        <v>промо</v>
      </c>
      <c r="AF75" s="21">
        <f t="shared" si="10"/>
        <v>0</v>
      </c>
      <c r="AG75" s="21"/>
    </row>
    <row r="76" spans="1:33" ht="11.1" customHeight="1" x14ac:dyDescent="0.2">
      <c r="A76" s="9" t="s">
        <v>80</v>
      </c>
      <c r="B76" s="9" t="s">
        <v>18</v>
      </c>
      <c r="C76" s="10">
        <v>196</v>
      </c>
      <c r="D76" s="10">
        <v>322</v>
      </c>
      <c r="E76" s="10">
        <v>133</v>
      </c>
      <c r="F76" s="10">
        <v>85</v>
      </c>
      <c r="G76" s="5" t="str">
        <f>VLOOKUP(A:A,[1]TDSheet!$A:$G,7,0)</f>
        <v>P004689</v>
      </c>
      <c r="H76" s="5">
        <f>VLOOKUP(A:A,[1]TDSheet!$A:$H,8,0)</f>
        <v>0.6</v>
      </c>
      <c r="I76" s="5">
        <f>VLOOKUP(A:A,[1]TDSheet!$A:$I,9,0)</f>
        <v>60</v>
      </c>
      <c r="J76" s="5" t="str">
        <f>VLOOKUP(A:A,[1]TDSheet!$A:$J,10,0)</f>
        <v>матрица</v>
      </c>
      <c r="L76" s="21">
        <f>VLOOKUP(A:A,[2]TDSheet!$A:$B,2,0)</f>
        <v>135</v>
      </c>
      <c r="M76" s="21">
        <f t="shared" ref="M76:M130" si="11">E76-L76</f>
        <v>-2</v>
      </c>
      <c r="N76" s="21"/>
      <c r="O76" s="21">
        <f>VLOOKUP(A:A,[1]TDSheet!$A:$P,16,0)</f>
        <v>0</v>
      </c>
      <c r="P76" s="21">
        <f>VLOOKUP(A:A,[1]TDSheet!$A:$Q,17,0)</f>
        <v>0</v>
      </c>
      <c r="Q76" s="21">
        <f>VLOOKUP(A:A,[1]TDSheet!$A:$R,18,0)</f>
        <v>0</v>
      </c>
      <c r="R76" s="21">
        <f>VLOOKUP(A:A,[1]TDSheet!$A:$T,20,0)</f>
        <v>60</v>
      </c>
      <c r="S76" s="21">
        <f>VLOOKUP(A:A,[1]TDSheet!$A:$N,14,0)</f>
        <v>55</v>
      </c>
      <c r="T76" s="21">
        <f>VLOOKUP(A:A,[1]TDSheet!$A:$V,22,0)</f>
        <v>55</v>
      </c>
      <c r="U76" s="21">
        <f t="shared" ref="U76:U130" si="12">E76/5</f>
        <v>26.6</v>
      </c>
      <c r="V76" s="22">
        <f t="shared" ref="V76:V130" si="13">11*U76-F76-O76-P76-Q76-R76-S76-T76</f>
        <v>37.600000000000023</v>
      </c>
      <c r="W76" s="22"/>
      <c r="X76" s="21"/>
      <c r="Y76" s="21">
        <f t="shared" ref="Y76:Y130" si="14">(F76+O76+P76+Q76+R76+S76+T76+V76)/U76</f>
        <v>11</v>
      </c>
      <c r="Z76" s="21">
        <f t="shared" ref="Z76:Z130" si="15">F76/U76</f>
        <v>3.1954887218045109</v>
      </c>
      <c r="AA76" s="21">
        <f>VLOOKUP(A:A,[1]TDSheet!$A:$AB,28,0)</f>
        <v>24.8</v>
      </c>
      <c r="AB76" s="21">
        <f>VLOOKUP(A:A,[1]TDSheet!$A:$AC,29,0)</f>
        <v>27.6</v>
      </c>
      <c r="AC76" s="21">
        <f>VLOOKUP(A:A,[1]TDSheet!$A:$AD,30,0)</f>
        <v>21.8</v>
      </c>
      <c r="AD76" s="21">
        <f>VLOOKUP(A:A,[1]TDSheet!$A:$U,21,0)</f>
        <v>23.6</v>
      </c>
      <c r="AE76" s="21"/>
      <c r="AF76" s="21">
        <f t="shared" ref="AF76:AF130" si="16">V76*H76</f>
        <v>22.560000000000013</v>
      </c>
      <c r="AG76" s="21"/>
    </row>
    <row r="77" spans="1:33" ht="11.1" customHeight="1" x14ac:dyDescent="0.2">
      <c r="A77" s="9" t="s">
        <v>81</v>
      </c>
      <c r="B77" s="9" t="s">
        <v>18</v>
      </c>
      <c r="C77" s="10">
        <v>50</v>
      </c>
      <c r="D77" s="10">
        <v>32</v>
      </c>
      <c r="E77" s="10">
        <v>18</v>
      </c>
      <c r="F77" s="10">
        <v>59</v>
      </c>
      <c r="G77" s="5" t="str">
        <f>VLOOKUP(A:A,[1]TDSheet!$A:$G,7,0)</f>
        <v>P004688</v>
      </c>
      <c r="H77" s="5">
        <f>VLOOKUP(A:A,[1]TDSheet!$A:$H,8,0)</f>
        <v>0.6</v>
      </c>
      <c r="I77" s="5">
        <f>VLOOKUP(A:A,[1]TDSheet!$A:$I,9,0)</f>
        <v>60</v>
      </c>
      <c r="J77" s="5" t="str">
        <f>VLOOKUP(A:A,[1]TDSheet!$A:$J,10,0)</f>
        <v>матрица</v>
      </c>
      <c r="L77" s="21">
        <f>VLOOKUP(A:A,[2]TDSheet!$A:$B,2,0)</f>
        <v>18</v>
      </c>
      <c r="M77" s="21">
        <f t="shared" si="11"/>
        <v>0</v>
      </c>
      <c r="N77" s="21"/>
      <c r="O77" s="21">
        <f>VLOOKUP(A:A,[1]TDSheet!$A:$P,16,0)</f>
        <v>0</v>
      </c>
      <c r="P77" s="21">
        <f>VLOOKUP(A:A,[1]TDSheet!$A:$Q,17,0)</f>
        <v>0</v>
      </c>
      <c r="Q77" s="21">
        <f>VLOOKUP(A:A,[1]TDSheet!$A:$R,18,0)</f>
        <v>0</v>
      </c>
      <c r="R77" s="21">
        <f>VLOOKUP(A:A,[1]TDSheet!$A:$T,20,0)</f>
        <v>0</v>
      </c>
      <c r="S77" s="21">
        <f>VLOOKUP(A:A,[1]TDSheet!$A:$N,14,0)</f>
        <v>0</v>
      </c>
      <c r="T77" s="21">
        <f>VLOOKUP(A:A,[1]TDSheet!$A:$V,22,0)</f>
        <v>0</v>
      </c>
      <c r="U77" s="21">
        <f t="shared" si="12"/>
        <v>3.6</v>
      </c>
      <c r="V77" s="22"/>
      <c r="W77" s="22"/>
      <c r="X77" s="21"/>
      <c r="Y77" s="21">
        <f t="shared" si="14"/>
        <v>16.388888888888889</v>
      </c>
      <c r="Z77" s="21">
        <f t="shared" si="15"/>
        <v>16.388888888888889</v>
      </c>
      <c r="AA77" s="21">
        <f>VLOOKUP(A:A,[1]TDSheet!$A:$AB,28,0)</f>
        <v>4.5999999999999996</v>
      </c>
      <c r="AB77" s="21">
        <f>VLOOKUP(A:A,[1]TDSheet!$A:$AC,29,0)</f>
        <v>6.8</v>
      </c>
      <c r="AC77" s="21">
        <f>VLOOKUP(A:A,[1]TDSheet!$A:$AD,30,0)</f>
        <v>5.2</v>
      </c>
      <c r="AD77" s="21">
        <f>VLOOKUP(A:A,[1]TDSheet!$A:$U,21,0)</f>
        <v>4.8</v>
      </c>
      <c r="AE77" s="21"/>
      <c r="AF77" s="21">
        <f t="shared" si="16"/>
        <v>0</v>
      </c>
      <c r="AG77" s="21"/>
    </row>
    <row r="78" spans="1:33" ht="11.1" customHeight="1" x14ac:dyDescent="0.2">
      <c r="A78" s="9" t="s">
        <v>82</v>
      </c>
      <c r="B78" s="9" t="s">
        <v>18</v>
      </c>
      <c r="C78" s="10">
        <v>118</v>
      </c>
      <c r="D78" s="10">
        <v>35</v>
      </c>
      <c r="E78" s="10">
        <v>122</v>
      </c>
      <c r="F78" s="10">
        <v>24</v>
      </c>
      <c r="G78" s="5" t="str">
        <f>VLOOKUP(A:A,[1]TDSheet!$A:$G,7,0)</f>
        <v>P003437</v>
      </c>
      <c r="H78" s="5">
        <f>VLOOKUP(A:A,[1]TDSheet!$A:$H,8,0)</f>
        <v>0.4</v>
      </c>
      <c r="L78" s="21">
        <f>VLOOKUP(A:A,[2]TDSheet!$A:$B,2,0)</f>
        <v>122</v>
      </c>
      <c r="M78" s="21">
        <f t="shared" si="11"/>
        <v>0</v>
      </c>
      <c r="N78" s="21"/>
      <c r="O78" s="21">
        <f>VLOOKUP(A:A,[1]TDSheet!$A:$P,16,0)</f>
        <v>0</v>
      </c>
      <c r="P78" s="21">
        <f>VLOOKUP(A:A,[1]TDSheet!$A:$Q,17,0)</f>
        <v>0</v>
      </c>
      <c r="Q78" s="21">
        <f>VLOOKUP(A:A,[1]TDSheet!$A:$R,18,0)</f>
        <v>0</v>
      </c>
      <c r="R78" s="21">
        <f>VLOOKUP(A:A,[1]TDSheet!$A:$T,20,0)</f>
        <v>80</v>
      </c>
      <c r="S78" s="21">
        <f>VLOOKUP(A:A,[1]TDSheet!$A:$N,14,0)</f>
        <v>45</v>
      </c>
      <c r="T78" s="21">
        <f>VLOOKUP(A:A,[1]TDSheet!$A:$V,22,0)</f>
        <v>45</v>
      </c>
      <c r="U78" s="21">
        <f t="shared" si="12"/>
        <v>24.4</v>
      </c>
      <c r="V78" s="22">
        <f t="shared" si="13"/>
        <v>74.399999999999977</v>
      </c>
      <c r="W78" s="28">
        <v>100</v>
      </c>
      <c r="X78" s="29"/>
      <c r="Y78" s="21">
        <f t="shared" si="14"/>
        <v>11</v>
      </c>
      <c r="Z78" s="21">
        <f t="shared" si="15"/>
        <v>0.98360655737704927</v>
      </c>
      <c r="AA78" s="21">
        <f>VLOOKUP(A:A,[1]TDSheet!$A:$AB,28,0)</f>
        <v>18.2</v>
      </c>
      <c r="AB78" s="21">
        <f>VLOOKUP(A:A,[1]TDSheet!$A:$AC,29,0)</f>
        <v>23</v>
      </c>
      <c r="AC78" s="21">
        <f>VLOOKUP(A:A,[1]TDSheet!$A:$AD,30,0)</f>
        <v>17.2</v>
      </c>
      <c r="AD78" s="21">
        <f>VLOOKUP(A:A,[1]TDSheet!$A:$U,21,0)</f>
        <v>22.6</v>
      </c>
      <c r="AE78" s="21"/>
      <c r="AF78" s="21">
        <f t="shared" si="16"/>
        <v>29.759999999999991</v>
      </c>
      <c r="AG78" s="21"/>
    </row>
    <row r="79" spans="1:33" ht="11.1" customHeight="1" x14ac:dyDescent="0.2">
      <c r="A79" s="9" t="s">
        <v>83</v>
      </c>
      <c r="B79" s="9" t="s">
        <v>18</v>
      </c>
      <c r="C79" s="10">
        <v>140</v>
      </c>
      <c r="D79" s="10">
        <v>45</v>
      </c>
      <c r="E79" s="10">
        <v>139</v>
      </c>
      <c r="F79" s="10">
        <v>28</v>
      </c>
      <c r="G79" s="5" t="str">
        <f>VLOOKUP(A:A,[1]TDSheet!$A:$G,7,0)</f>
        <v>P003438</v>
      </c>
      <c r="H79" s="5">
        <f>VLOOKUP(A:A,[1]TDSheet!$A:$H,8,0)</f>
        <v>0.33</v>
      </c>
      <c r="L79" s="21">
        <f>VLOOKUP(A:A,[2]TDSheet!$A:$B,2,0)</f>
        <v>139</v>
      </c>
      <c r="M79" s="21">
        <f t="shared" si="11"/>
        <v>0</v>
      </c>
      <c r="N79" s="21"/>
      <c r="O79" s="21">
        <f>VLOOKUP(A:A,[1]TDSheet!$A:$P,16,0)</f>
        <v>0</v>
      </c>
      <c r="P79" s="21">
        <f>VLOOKUP(A:A,[1]TDSheet!$A:$Q,17,0)</f>
        <v>0</v>
      </c>
      <c r="Q79" s="21">
        <f>VLOOKUP(A:A,[1]TDSheet!$A:$R,18,0)</f>
        <v>0</v>
      </c>
      <c r="R79" s="21">
        <f>VLOOKUP(A:A,[1]TDSheet!$A:$T,20,0)</f>
        <v>170</v>
      </c>
      <c r="S79" s="21">
        <f>VLOOKUP(A:A,[1]TDSheet!$A:$N,14,0)</f>
        <v>10</v>
      </c>
      <c r="T79" s="21">
        <f>VLOOKUP(A:A,[1]TDSheet!$A:$V,22,0)</f>
        <v>10</v>
      </c>
      <c r="U79" s="21">
        <f t="shared" si="12"/>
        <v>27.8</v>
      </c>
      <c r="V79" s="22">
        <f t="shared" si="13"/>
        <v>87.800000000000011</v>
      </c>
      <c r="W79" s="28">
        <v>100</v>
      </c>
      <c r="X79" s="29"/>
      <c r="Y79" s="21">
        <f t="shared" si="14"/>
        <v>11</v>
      </c>
      <c r="Z79" s="21">
        <f t="shared" si="15"/>
        <v>1.0071942446043165</v>
      </c>
      <c r="AA79" s="21">
        <f>VLOOKUP(A:A,[1]TDSheet!$A:$AB,28,0)</f>
        <v>19.399999999999999</v>
      </c>
      <c r="AB79" s="21">
        <f>VLOOKUP(A:A,[1]TDSheet!$A:$AC,29,0)</f>
        <v>27.8</v>
      </c>
      <c r="AC79" s="21">
        <f>VLOOKUP(A:A,[1]TDSheet!$A:$AD,30,0)</f>
        <v>21.6</v>
      </c>
      <c r="AD79" s="21">
        <f>VLOOKUP(A:A,[1]TDSheet!$A:$U,21,0)</f>
        <v>25.2</v>
      </c>
      <c r="AE79" s="21"/>
      <c r="AF79" s="21">
        <f t="shared" si="16"/>
        <v>28.974000000000004</v>
      </c>
      <c r="AG79" s="21"/>
    </row>
    <row r="80" spans="1:33" ht="21.95" customHeight="1" x14ac:dyDescent="0.2">
      <c r="A80" s="9" t="s">
        <v>84</v>
      </c>
      <c r="B80" s="9" t="s">
        <v>18</v>
      </c>
      <c r="C80" s="10">
        <v>70</v>
      </c>
      <c r="D80" s="10">
        <v>28</v>
      </c>
      <c r="E80" s="10">
        <v>73</v>
      </c>
      <c r="F80" s="10">
        <v>13</v>
      </c>
      <c r="G80" s="5" t="str">
        <f>VLOOKUP(A:A,[1]TDSheet!$A:$G,7,0)</f>
        <v>P003442</v>
      </c>
      <c r="H80" s="5">
        <f>VLOOKUP(A:A,[1]TDSheet!$A:$H,8,0)</f>
        <v>0.35</v>
      </c>
      <c r="L80" s="21">
        <f>VLOOKUP(A:A,[2]TDSheet!$A:$B,2,0)</f>
        <v>76</v>
      </c>
      <c r="M80" s="21">
        <f t="shared" si="11"/>
        <v>-3</v>
      </c>
      <c r="N80" s="21"/>
      <c r="O80" s="21">
        <f>VLOOKUP(A:A,[1]TDSheet!$A:$P,16,0)</f>
        <v>0</v>
      </c>
      <c r="P80" s="21">
        <f>VLOOKUP(A:A,[1]TDSheet!$A:$Q,17,0)</f>
        <v>0</v>
      </c>
      <c r="Q80" s="21">
        <f>VLOOKUP(A:A,[1]TDSheet!$A:$R,18,0)</f>
        <v>0</v>
      </c>
      <c r="R80" s="21">
        <f>VLOOKUP(A:A,[1]TDSheet!$A:$T,20,0)</f>
        <v>40</v>
      </c>
      <c r="S80" s="21">
        <f>VLOOKUP(A:A,[1]TDSheet!$A:$N,14,0)</f>
        <v>25</v>
      </c>
      <c r="T80" s="21">
        <f>VLOOKUP(A:A,[1]TDSheet!$A:$V,22,0)</f>
        <v>25</v>
      </c>
      <c r="U80" s="21">
        <f t="shared" si="12"/>
        <v>14.6</v>
      </c>
      <c r="V80" s="22">
        <f t="shared" si="13"/>
        <v>57.599999999999994</v>
      </c>
      <c r="W80" s="28">
        <v>60</v>
      </c>
      <c r="X80" s="29"/>
      <c r="Y80" s="21">
        <f t="shared" si="14"/>
        <v>11</v>
      </c>
      <c r="Z80" s="21">
        <f t="shared" si="15"/>
        <v>0.8904109589041096</v>
      </c>
      <c r="AA80" s="21">
        <f>VLOOKUP(A:A,[1]TDSheet!$A:$AB,28,0)</f>
        <v>7.2</v>
      </c>
      <c r="AB80" s="21">
        <f>VLOOKUP(A:A,[1]TDSheet!$A:$AC,29,0)</f>
        <v>11.6</v>
      </c>
      <c r="AC80" s="21">
        <f>VLOOKUP(A:A,[1]TDSheet!$A:$AD,30,0)</f>
        <v>9</v>
      </c>
      <c r="AD80" s="21">
        <f>VLOOKUP(A:A,[1]TDSheet!$A:$U,21,0)</f>
        <v>10.8</v>
      </c>
      <c r="AE80" s="21"/>
      <c r="AF80" s="21">
        <f t="shared" si="16"/>
        <v>20.159999999999997</v>
      </c>
      <c r="AG80" s="21"/>
    </row>
    <row r="81" spans="1:33" ht="11.1" customHeight="1" x14ac:dyDescent="0.2">
      <c r="A81" s="9" t="s">
        <v>85</v>
      </c>
      <c r="B81" s="9" t="s">
        <v>18</v>
      </c>
      <c r="C81" s="10">
        <v>358</v>
      </c>
      <c r="D81" s="10">
        <v>1074</v>
      </c>
      <c r="E81" s="10">
        <v>564</v>
      </c>
      <c r="F81" s="10">
        <v>346</v>
      </c>
      <c r="G81" s="5" t="str">
        <f>VLOOKUP(A:A,[1]TDSheet!$A:$G,7,0)</f>
        <v>P003429</v>
      </c>
      <c r="H81" s="5">
        <f>VLOOKUP(A:A,[1]TDSheet!$A:$H,8,0)</f>
        <v>0.37</v>
      </c>
      <c r="I81" s="5">
        <f>VLOOKUP(A:A,[1]TDSheet!$A:$I,9,0)</f>
        <v>50</v>
      </c>
      <c r="J81" s="5" t="str">
        <f>VLOOKUP(A:A,[1]TDSheet!$A:$J,10,0)</f>
        <v>матрица</v>
      </c>
      <c r="L81" s="21">
        <f>VLOOKUP(A:A,[2]TDSheet!$A:$B,2,0)</f>
        <v>569</v>
      </c>
      <c r="M81" s="21">
        <f t="shared" si="11"/>
        <v>-5</v>
      </c>
      <c r="N81" s="21"/>
      <c r="O81" s="21">
        <f>VLOOKUP(A:A,[1]TDSheet!$A:$P,16,0)</f>
        <v>0</v>
      </c>
      <c r="P81" s="21">
        <f>VLOOKUP(A:A,[1]TDSheet!$A:$Q,17,0)</f>
        <v>0</v>
      </c>
      <c r="Q81" s="21">
        <f>VLOOKUP(A:A,[1]TDSheet!$A:$R,18,0)</f>
        <v>0</v>
      </c>
      <c r="R81" s="21">
        <f>VLOOKUP(A:A,[1]TDSheet!$A:$T,20,0)</f>
        <v>600</v>
      </c>
      <c r="S81" s="21">
        <f>VLOOKUP(A:A,[1]TDSheet!$A:$N,14,0)</f>
        <v>180</v>
      </c>
      <c r="T81" s="21">
        <f>VLOOKUP(A:A,[1]TDSheet!$A:$V,22,0)</f>
        <v>180</v>
      </c>
      <c r="U81" s="21">
        <f t="shared" si="12"/>
        <v>112.8</v>
      </c>
      <c r="V81" s="22"/>
      <c r="W81" s="22"/>
      <c r="X81" s="21"/>
      <c r="Y81" s="21">
        <f t="shared" si="14"/>
        <v>11.578014184397164</v>
      </c>
      <c r="Z81" s="21">
        <f t="shared" si="15"/>
        <v>3.0673758865248226</v>
      </c>
      <c r="AA81" s="21">
        <f>VLOOKUP(A:A,[1]TDSheet!$A:$AB,28,0)</f>
        <v>118</v>
      </c>
      <c r="AB81" s="21">
        <f>VLOOKUP(A:A,[1]TDSheet!$A:$AC,29,0)</f>
        <v>105</v>
      </c>
      <c r="AC81" s="21">
        <f>VLOOKUP(A:A,[1]TDSheet!$A:$AD,30,0)</f>
        <v>108</v>
      </c>
      <c r="AD81" s="21">
        <f>VLOOKUP(A:A,[1]TDSheet!$A:$U,21,0)</f>
        <v>115.4</v>
      </c>
      <c r="AE81" s="21" t="str">
        <f>VLOOKUP(A:A,[1]TDSheet!$A:$AE,31,0)</f>
        <v>промо</v>
      </c>
      <c r="AF81" s="21">
        <f t="shared" si="16"/>
        <v>0</v>
      </c>
      <c r="AG81" s="21"/>
    </row>
    <row r="82" spans="1:33" ht="21.95" customHeight="1" x14ac:dyDescent="0.2">
      <c r="A82" s="9" t="s">
        <v>86</v>
      </c>
      <c r="B82" s="9" t="s">
        <v>18</v>
      </c>
      <c r="C82" s="10">
        <v>72</v>
      </c>
      <c r="D82" s="10">
        <v>273</v>
      </c>
      <c r="E82" s="10">
        <v>127</v>
      </c>
      <c r="F82" s="10">
        <v>89</v>
      </c>
      <c r="G82" s="5" t="str">
        <f>VLOOKUP(A:A,[1]TDSheet!$A:$G,7,0)</f>
        <v>P004923</v>
      </c>
      <c r="H82" s="5">
        <f>VLOOKUP(A:A,[1]TDSheet!$A:$H,8,0)</f>
        <v>0.6</v>
      </c>
      <c r="I82" s="5">
        <f>VLOOKUP(A:A,[1]TDSheet!$A:$I,9,0)</f>
        <v>55</v>
      </c>
      <c r="J82" s="5" t="str">
        <f>VLOOKUP(A:A,[1]TDSheet!$A:$J,10,0)</f>
        <v>матрица</v>
      </c>
      <c r="L82" s="21">
        <f>VLOOKUP(A:A,[2]TDSheet!$A:$B,2,0)</f>
        <v>165</v>
      </c>
      <c r="M82" s="21">
        <f t="shared" si="11"/>
        <v>-38</v>
      </c>
      <c r="N82" s="21"/>
      <c r="O82" s="21">
        <f>VLOOKUP(A:A,[1]TDSheet!$A:$P,16,0)</f>
        <v>0</v>
      </c>
      <c r="P82" s="21">
        <f>VLOOKUP(A:A,[1]TDSheet!$A:$Q,17,0)</f>
        <v>0</v>
      </c>
      <c r="Q82" s="21">
        <f>VLOOKUP(A:A,[1]TDSheet!$A:$R,18,0)</f>
        <v>0</v>
      </c>
      <c r="R82" s="21">
        <f>VLOOKUP(A:A,[1]TDSheet!$A:$T,20,0)</f>
        <v>90</v>
      </c>
      <c r="S82" s="21">
        <f>VLOOKUP(A:A,[1]TDSheet!$A:$N,14,0)</f>
        <v>60</v>
      </c>
      <c r="T82" s="21">
        <f>VLOOKUP(A:A,[1]TDSheet!$A:$V,22,0)</f>
        <v>60</v>
      </c>
      <c r="U82" s="21">
        <f t="shared" si="12"/>
        <v>25.4</v>
      </c>
      <c r="V82" s="22"/>
      <c r="W82" s="22"/>
      <c r="X82" s="21"/>
      <c r="Y82" s="21">
        <f t="shared" si="14"/>
        <v>11.771653543307087</v>
      </c>
      <c r="Z82" s="21">
        <f t="shared" si="15"/>
        <v>3.5039370078740157</v>
      </c>
      <c r="AA82" s="21">
        <f>VLOOKUP(A:A,[1]TDSheet!$A:$AB,28,0)</f>
        <v>24.6</v>
      </c>
      <c r="AB82" s="21">
        <f>VLOOKUP(A:A,[1]TDSheet!$A:$AC,29,0)</f>
        <v>21.8</v>
      </c>
      <c r="AC82" s="21">
        <f>VLOOKUP(A:A,[1]TDSheet!$A:$AD,30,0)</f>
        <v>23.2</v>
      </c>
      <c r="AD82" s="21">
        <f>VLOOKUP(A:A,[1]TDSheet!$A:$U,21,0)</f>
        <v>25.4</v>
      </c>
      <c r="AE82" s="21" t="str">
        <f>VLOOKUP(A:A,[1]TDSheet!$A:$AE,31,0)</f>
        <v xml:space="preserve">промо </v>
      </c>
      <c r="AF82" s="21">
        <f t="shared" si="16"/>
        <v>0</v>
      </c>
      <c r="AG82" s="21"/>
    </row>
    <row r="83" spans="1:33" ht="11.1" customHeight="1" x14ac:dyDescent="0.2">
      <c r="A83" s="9" t="s">
        <v>87</v>
      </c>
      <c r="B83" s="9" t="s">
        <v>18</v>
      </c>
      <c r="C83" s="10">
        <v>35</v>
      </c>
      <c r="D83" s="10">
        <v>30</v>
      </c>
      <c r="E83" s="10">
        <v>46</v>
      </c>
      <c r="F83" s="10">
        <v>18</v>
      </c>
      <c r="G83" s="5" t="str">
        <f>VLOOKUP(A:A,[1]TDSheet!$A:$G,7,0)</f>
        <v>P002644</v>
      </c>
      <c r="H83" s="5">
        <f>VLOOKUP(A:A,[1]TDSheet!$A:$H,8,0)</f>
        <v>0.33</v>
      </c>
      <c r="L83" s="21">
        <f>VLOOKUP(A:A,[2]TDSheet!$A:$B,2,0)</f>
        <v>47</v>
      </c>
      <c r="M83" s="21">
        <f t="shared" si="11"/>
        <v>-1</v>
      </c>
      <c r="N83" s="21"/>
      <c r="O83" s="21">
        <f>VLOOKUP(A:A,[1]TDSheet!$A:$P,16,0)</f>
        <v>0</v>
      </c>
      <c r="P83" s="21">
        <f>VLOOKUP(A:A,[1]TDSheet!$A:$Q,17,0)</f>
        <v>0</v>
      </c>
      <c r="Q83" s="21">
        <f>VLOOKUP(A:A,[1]TDSheet!$A:$R,18,0)</f>
        <v>0</v>
      </c>
      <c r="R83" s="21">
        <f>VLOOKUP(A:A,[1]TDSheet!$A:$T,20,0)</f>
        <v>60</v>
      </c>
      <c r="S83" s="21">
        <f>VLOOKUP(A:A,[1]TDSheet!$A:$N,14,0)</f>
        <v>10</v>
      </c>
      <c r="T83" s="21">
        <f>VLOOKUP(A:A,[1]TDSheet!$A:$V,22,0)</f>
        <v>10</v>
      </c>
      <c r="U83" s="21">
        <f t="shared" si="12"/>
        <v>9.1999999999999993</v>
      </c>
      <c r="V83" s="22">
        <f t="shared" si="13"/>
        <v>3.1999999999999886</v>
      </c>
      <c r="W83" s="22"/>
      <c r="X83" s="21"/>
      <c r="Y83" s="21">
        <f t="shared" si="14"/>
        <v>11</v>
      </c>
      <c r="Z83" s="21">
        <f t="shared" si="15"/>
        <v>1.956521739130435</v>
      </c>
      <c r="AA83" s="21">
        <f>VLOOKUP(A:A,[1]TDSheet!$A:$AB,28,0)</f>
        <v>11.8</v>
      </c>
      <c r="AB83" s="21">
        <f>VLOOKUP(A:A,[1]TDSheet!$A:$AC,29,0)</f>
        <v>10</v>
      </c>
      <c r="AC83" s="21">
        <f>VLOOKUP(A:A,[1]TDSheet!$A:$AD,30,0)</f>
        <v>8</v>
      </c>
      <c r="AD83" s="21">
        <f>VLOOKUP(A:A,[1]TDSheet!$A:$U,21,0)</f>
        <v>10.4</v>
      </c>
      <c r="AE83" s="21" t="str">
        <f>VLOOKUP(A:A,[1]TDSheet!$A:$AE,31,0)</f>
        <v>потребность филиала</v>
      </c>
      <c r="AF83" s="21">
        <f t="shared" si="16"/>
        <v>1.0559999999999963</v>
      </c>
      <c r="AG83" s="21"/>
    </row>
    <row r="84" spans="1:33" ht="11.1" customHeight="1" x14ac:dyDescent="0.2">
      <c r="A84" s="9" t="s">
        <v>88</v>
      </c>
      <c r="B84" s="9" t="s">
        <v>18</v>
      </c>
      <c r="C84" s="10">
        <v>232</v>
      </c>
      <c r="D84" s="10">
        <v>451</v>
      </c>
      <c r="E84" s="10">
        <v>219</v>
      </c>
      <c r="F84" s="10">
        <v>228</v>
      </c>
      <c r="G84" s="5" t="str">
        <f>VLOOKUP(A:A,[1]TDSheet!$A:$G,7,0)</f>
        <v>P004586</v>
      </c>
      <c r="H84" s="5">
        <f>VLOOKUP(A:A,[1]TDSheet!$A:$H,8,0)</f>
        <v>0.4</v>
      </c>
      <c r="I84" s="5">
        <f>VLOOKUP(A:A,[1]TDSheet!$A:$I,9,0)</f>
        <v>50</v>
      </c>
      <c r="J84" s="5" t="str">
        <f>VLOOKUP(A:A,[1]TDSheet!$A:$J,10,0)</f>
        <v>матрица</v>
      </c>
      <c r="L84" s="21">
        <f>VLOOKUP(A:A,[2]TDSheet!$A:$B,2,0)</f>
        <v>226</v>
      </c>
      <c r="M84" s="21">
        <f t="shared" si="11"/>
        <v>-7</v>
      </c>
      <c r="N84" s="21"/>
      <c r="O84" s="21">
        <f>VLOOKUP(A:A,[1]TDSheet!$A:$P,16,0)</f>
        <v>0</v>
      </c>
      <c r="P84" s="21">
        <f>VLOOKUP(A:A,[1]TDSheet!$A:$Q,17,0)</f>
        <v>0</v>
      </c>
      <c r="Q84" s="21">
        <f>VLOOKUP(A:A,[1]TDSheet!$A:$R,18,0)</f>
        <v>0</v>
      </c>
      <c r="R84" s="21">
        <f>VLOOKUP(A:A,[1]TDSheet!$A:$T,20,0)</f>
        <v>130</v>
      </c>
      <c r="S84" s="21">
        <f>VLOOKUP(A:A,[1]TDSheet!$A:$N,14,0)</f>
        <v>60</v>
      </c>
      <c r="T84" s="21">
        <f>VLOOKUP(A:A,[1]TDSheet!$A:$V,22,0)</f>
        <v>60</v>
      </c>
      <c r="U84" s="21">
        <f t="shared" si="12"/>
        <v>43.8</v>
      </c>
      <c r="V84" s="22">
        <f t="shared" si="13"/>
        <v>3.7999999999999545</v>
      </c>
      <c r="W84" s="22"/>
      <c r="X84" s="21"/>
      <c r="Y84" s="21">
        <f t="shared" si="14"/>
        <v>11</v>
      </c>
      <c r="Z84" s="21">
        <f t="shared" si="15"/>
        <v>5.2054794520547949</v>
      </c>
      <c r="AA84" s="21">
        <f>VLOOKUP(A:A,[1]TDSheet!$A:$AB,28,0)</f>
        <v>57.8</v>
      </c>
      <c r="AB84" s="21">
        <f>VLOOKUP(A:A,[1]TDSheet!$A:$AC,29,0)</f>
        <v>51.4</v>
      </c>
      <c r="AC84" s="21">
        <f>VLOOKUP(A:A,[1]TDSheet!$A:$AD,30,0)</f>
        <v>50.4</v>
      </c>
      <c r="AD84" s="21">
        <f>VLOOKUP(A:A,[1]TDSheet!$A:$U,21,0)</f>
        <v>42</v>
      </c>
      <c r="AE84" s="21" t="str">
        <f>VLOOKUP(A:A,[1]TDSheet!$A:$AE,31,0)</f>
        <v>промо</v>
      </c>
      <c r="AF84" s="21">
        <f t="shared" si="16"/>
        <v>1.5199999999999818</v>
      </c>
      <c r="AG84" s="21"/>
    </row>
    <row r="85" spans="1:33" ht="11.1" customHeight="1" x14ac:dyDescent="0.2">
      <c r="A85" s="9" t="s">
        <v>89</v>
      </c>
      <c r="B85" s="9" t="s">
        <v>18</v>
      </c>
      <c r="C85" s="10">
        <v>155</v>
      </c>
      <c r="D85" s="10">
        <v>213</v>
      </c>
      <c r="E85" s="10">
        <v>120</v>
      </c>
      <c r="F85" s="10">
        <v>74</v>
      </c>
      <c r="G85" s="5" t="str">
        <f>VLOOKUP(A:A,[1]TDSheet!$A:$G,7,0)</f>
        <v>P003364</v>
      </c>
      <c r="H85" s="5">
        <f>VLOOKUP(A:A,[1]TDSheet!$A:$H,8,0)</f>
        <v>0.35</v>
      </c>
      <c r="L85" s="21">
        <f>VLOOKUP(A:A,[2]TDSheet!$A:$B,2,0)</f>
        <v>147</v>
      </c>
      <c r="M85" s="21">
        <f t="shared" si="11"/>
        <v>-27</v>
      </c>
      <c r="N85" s="21"/>
      <c r="O85" s="21">
        <f>VLOOKUP(A:A,[1]TDSheet!$A:$P,16,0)</f>
        <v>0</v>
      </c>
      <c r="P85" s="21">
        <f>VLOOKUP(A:A,[1]TDSheet!$A:$Q,17,0)</f>
        <v>0</v>
      </c>
      <c r="Q85" s="21">
        <f>VLOOKUP(A:A,[1]TDSheet!$A:$R,18,0)</f>
        <v>0</v>
      </c>
      <c r="R85" s="21">
        <f>VLOOKUP(A:A,[1]TDSheet!$A:$T,20,0)</f>
        <v>130</v>
      </c>
      <c r="S85" s="21">
        <f>VLOOKUP(A:A,[1]TDSheet!$A:$N,14,0)</f>
        <v>40</v>
      </c>
      <c r="T85" s="21">
        <f>VLOOKUP(A:A,[1]TDSheet!$A:$V,22,0)</f>
        <v>40</v>
      </c>
      <c r="U85" s="21">
        <f t="shared" si="12"/>
        <v>24</v>
      </c>
      <c r="V85" s="22"/>
      <c r="W85" s="22"/>
      <c r="X85" s="21"/>
      <c r="Y85" s="21">
        <f t="shared" si="14"/>
        <v>11.833333333333334</v>
      </c>
      <c r="Z85" s="21">
        <f t="shared" si="15"/>
        <v>3.0833333333333335</v>
      </c>
      <c r="AA85" s="21">
        <f>VLOOKUP(A:A,[1]TDSheet!$A:$AB,28,0)</f>
        <v>25</v>
      </c>
      <c r="AB85" s="21">
        <f>VLOOKUP(A:A,[1]TDSheet!$A:$AC,29,0)</f>
        <v>27.4</v>
      </c>
      <c r="AC85" s="21">
        <f>VLOOKUP(A:A,[1]TDSheet!$A:$AD,30,0)</f>
        <v>23.8</v>
      </c>
      <c r="AD85" s="21">
        <f>VLOOKUP(A:A,[1]TDSheet!$A:$U,21,0)</f>
        <v>24.2</v>
      </c>
      <c r="AE85" s="21"/>
      <c r="AF85" s="21">
        <f t="shared" si="16"/>
        <v>0</v>
      </c>
      <c r="AG85" s="21"/>
    </row>
    <row r="86" spans="1:33" ht="11.1" customHeight="1" x14ac:dyDescent="0.2">
      <c r="A86" s="9" t="s">
        <v>90</v>
      </c>
      <c r="B86" s="9" t="s">
        <v>18</v>
      </c>
      <c r="C86" s="10">
        <v>85</v>
      </c>
      <c r="D86" s="10">
        <v>334</v>
      </c>
      <c r="E86" s="10">
        <v>273</v>
      </c>
      <c r="F86" s="10">
        <v>-3</v>
      </c>
      <c r="G86" s="5" t="str">
        <f>VLOOKUP(A:A,[1]TDSheet!$A:$G,7,0)</f>
        <v>P003363</v>
      </c>
      <c r="H86" s="5">
        <f>VLOOKUP(A:A,[1]TDSheet!$A:$H,8,0)</f>
        <v>0.35</v>
      </c>
      <c r="L86" s="21">
        <f>VLOOKUP(A:A,[2]TDSheet!$A:$B,2,0)</f>
        <v>421</v>
      </c>
      <c r="M86" s="21">
        <f t="shared" si="11"/>
        <v>-148</v>
      </c>
      <c r="N86" s="21"/>
      <c r="O86" s="21">
        <f>VLOOKUP(A:A,[1]TDSheet!$A:$P,16,0)</f>
        <v>0</v>
      </c>
      <c r="P86" s="21">
        <f>VLOOKUP(A:A,[1]TDSheet!$A:$Q,17,0)</f>
        <v>0</v>
      </c>
      <c r="Q86" s="21">
        <f>VLOOKUP(A:A,[1]TDSheet!$A:$R,18,0)</f>
        <v>0</v>
      </c>
      <c r="R86" s="21">
        <f>VLOOKUP(A:A,[1]TDSheet!$A:$T,20,0)</f>
        <v>620</v>
      </c>
      <c r="S86" s="21">
        <f>VLOOKUP(A:A,[1]TDSheet!$A:$N,14,0)</f>
        <v>75</v>
      </c>
      <c r="T86" s="21">
        <f>VLOOKUP(A:A,[1]TDSheet!$A:$V,22,0)</f>
        <v>75</v>
      </c>
      <c r="U86" s="21">
        <f t="shared" si="12"/>
        <v>54.6</v>
      </c>
      <c r="V86" s="22"/>
      <c r="W86" s="22"/>
      <c r="X86" s="21"/>
      <c r="Y86" s="21">
        <f t="shared" si="14"/>
        <v>14.047619047619047</v>
      </c>
      <c r="Z86" s="21">
        <f t="shared" si="15"/>
        <v>-5.4945054945054944E-2</v>
      </c>
      <c r="AA86" s="21">
        <f>VLOOKUP(A:A,[1]TDSheet!$A:$AB,28,0)</f>
        <v>39.200000000000003</v>
      </c>
      <c r="AB86" s="21">
        <f>VLOOKUP(A:A,[1]TDSheet!$A:$AC,29,0)</f>
        <v>45.8</v>
      </c>
      <c r="AC86" s="21">
        <f>VLOOKUP(A:A,[1]TDSheet!$A:$AD,30,0)</f>
        <v>48.8</v>
      </c>
      <c r="AD86" s="21">
        <f>VLOOKUP(A:A,[1]TDSheet!$A:$U,21,0)</f>
        <v>69.400000000000006</v>
      </c>
      <c r="AE86" s="21" t="str">
        <f>VLOOKUP(A:A,[1]TDSheet!$A:$AE,31,0)</f>
        <v>промо50</v>
      </c>
      <c r="AF86" s="21">
        <f t="shared" si="16"/>
        <v>0</v>
      </c>
      <c r="AG86" s="21"/>
    </row>
    <row r="87" spans="1:33" ht="21.95" customHeight="1" x14ac:dyDescent="0.2">
      <c r="A87" s="9" t="s">
        <v>91</v>
      </c>
      <c r="B87" s="9" t="s">
        <v>18</v>
      </c>
      <c r="C87" s="10">
        <v>70</v>
      </c>
      <c r="D87" s="10">
        <v>160</v>
      </c>
      <c r="E87" s="10">
        <v>112</v>
      </c>
      <c r="F87" s="10">
        <v>-2</v>
      </c>
      <c r="G87" s="5" t="str">
        <f>VLOOKUP(A:A,[1]TDSheet!$A:$G,7,0)</f>
        <v>P003947</v>
      </c>
      <c r="H87" s="5">
        <f>VLOOKUP(A:A,[1]TDSheet!$A:$H,8,0)</f>
        <v>0.4</v>
      </c>
      <c r="L87" s="21">
        <f>VLOOKUP(A:A,[2]TDSheet!$A:$B,2,0)</f>
        <v>201</v>
      </c>
      <c r="M87" s="21">
        <f t="shared" si="11"/>
        <v>-89</v>
      </c>
      <c r="N87" s="21"/>
      <c r="O87" s="21">
        <f>VLOOKUP(A:A,[1]TDSheet!$A:$P,16,0)</f>
        <v>0</v>
      </c>
      <c r="P87" s="21">
        <f>VLOOKUP(A:A,[1]TDSheet!$A:$Q,17,0)</f>
        <v>0</v>
      </c>
      <c r="Q87" s="21">
        <f>VLOOKUP(A:A,[1]TDSheet!$A:$R,18,0)</f>
        <v>0</v>
      </c>
      <c r="R87" s="21">
        <f>VLOOKUP(A:A,[1]TDSheet!$A:$T,20,0)</f>
        <v>130</v>
      </c>
      <c r="S87" s="21">
        <f>VLOOKUP(A:A,[1]TDSheet!$A:$N,14,0)</f>
        <v>20</v>
      </c>
      <c r="T87" s="21">
        <f>VLOOKUP(A:A,[1]TDSheet!$A:$V,22,0)</f>
        <v>20</v>
      </c>
      <c r="U87" s="21">
        <f t="shared" si="12"/>
        <v>22.4</v>
      </c>
      <c r="V87" s="22">
        <f t="shared" si="13"/>
        <v>78.399999999999977</v>
      </c>
      <c r="W87" s="22"/>
      <c r="X87" s="21"/>
      <c r="Y87" s="21">
        <f t="shared" si="14"/>
        <v>11</v>
      </c>
      <c r="Z87" s="21">
        <f t="shared" si="15"/>
        <v>-8.9285714285714288E-2</v>
      </c>
      <c r="AA87" s="21">
        <f>VLOOKUP(A:A,[1]TDSheet!$A:$AB,28,0)</f>
        <v>6</v>
      </c>
      <c r="AB87" s="21">
        <f>VLOOKUP(A:A,[1]TDSheet!$A:$AC,29,0)</f>
        <v>21.2</v>
      </c>
      <c r="AC87" s="21">
        <f>VLOOKUP(A:A,[1]TDSheet!$A:$AD,30,0)</f>
        <v>14.4</v>
      </c>
      <c r="AD87" s="21">
        <f>VLOOKUP(A:A,[1]TDSheet!$A:$U,21,0)</f>
        <v>22.8</v>
      </c>
      <c r="AE87" s="21">
        <f>VLOOKUP(A:A,[1]TDSheet!$A:$AE,31,0)</f>
        <v>0</v>
      </c>
      <c r="AF87" s="21">
        <f t="shared" si="16"/>
        <v>31.359999999999992</v>
      </c>
      <c r="AG87" s="21"/>
    </row>
    <row r="88" spans="1:33" ht="21.95" customHeight="1" x14ac:dyDescent="0.2">
      <c r="A88" s="27" t="s">
        <v>92</v>
      </c>
      <c r="B88" s="9" t="s">
        <v>14</v>
      </c>
      <c r="C88" s="10">
        <v>154.35400000000001</v>
      </c>
      <c r="D88" s="10">
        <v>40.822000000000003</v>
      </c>
      <c r="E88" s="10">
        <v>5.6449999999999996</v>
      </c>
      <c r="F88" s="10">
        <v>175</v>
      </c>
      <c r="G88" s="5">
        <f>VLOOKUP(A:A,[1]TDSheet!$A:$G,7,0)</f>
        <v>0</v>
      </c>
      <c r="H88" s="5">
        <f>VLOOKUP(A:A,[1]TDSheet!$A:$H,8,0)</f>
        <v>0</v>
      </c>
      <c r="L88" s="21">
        <f>VLOOKUP(A:A,[2]TDSheet!$A:$B,2,0)</f>
        <v>5.2610000000000001</v>
      </c>
      <c r="M88" s="21">
        <f t="shared" si="11"/>
        <v>0.38399999999999945</v>
      </c>
      <c r="N88" s="21"/>
      <c r="O88" s="21">
        <f>VLOOKUP(A:A,[1]TDSheet!$A:$P,16,0)</f>
        <v>0</v>
      </c>
      <c r="P88" s="21">
        <f>VLOOKUP(A:A,[1]TDSheet!$A:$Q,17,0)</f>
        <v>0</v>
      </c>
      <c r="Q88" s="21">
        <f>VLOOKUP(A:A,[1]TDSheet!$A:$R,18,0)</f>
        <v>0</v>
      </c>
      <c r="R88" s="21">
        <f>VLOOKUP(A:A,[1]TDSheet!$A:$T,20,0)</f>
        <v>0</v>
      </c>
      <c r="S88" s="21">
        <f>VLOOKUP(A:A,[1]TDSheet!$A:$N,14,0)</f>
        <v>0</v>
      </c>
      <c r="T88" s="21">
        <f>VLOOKUP(A:A,[1]TDSheet!$A:$V,22,0)</f>
        <v>0</v>
      </c>
      <c r="U88" s="21">
        <f t="shared" si="12"/>
        <v>1.129</v>
      </c>
      <c r="V88" s="22"/>
      <c r="W88" s="22"/>
      <c r="X88" s="21"/>
      <c r="Y88" s="21">
        <f t="shared" si="14"/>
        <v>155.00442869796279</v>
      </c>
      <c r="Z88" s="21">
        <f t="shared" si="15"/>
        <v>155.00442869796279</v>
      </c>
      <c r="AA88" s="21">
        <f>VLOOKUP(A:A,[1]TDSheet!$A:$AB,28,0)</f>
        <v>0</v>
      </c>
      <c r="AB88" s="21">
        <f>VLOOKUP(A:A,[1]TDSheet!$A:$AC,29,0)</f>
        <v>2.4318</v>
      </c>
      <c r="AC88" s="21">
        <f>VLOOKUP(A:A,[1]TDSheet!$A:$AD,30,0)</f>
        <v>0.54480000000000006</v>
      </c>
      <c r="AD88" s="21">
        <f>VLOOKUP(A:A,[1]TDSheet!$A:$U,21,0)</f>
        <v>1.6768000000000001</v>
      </c>
      <c r="AE88" s="21">
        <f>VLOOKUP(A:A,[1]TDSheet!$A:$AE,31,0)</f>
        <v>0</v>
      </c>
      <c r="AF88" s="21">
        <f t="shared" si="16"/>
        <v>0</v>
      </c>
      <c r="AG88" s="21"/>
    </row>
    <row r="89" spans="1:33" ht="21.95" customHeight="1" x14ac:dyDescent="0.2">
      <c r="A89" s="9" t="s">
        <v>93</v>
      </c>
      <c r="B89" s="9" t="s">
        <v>18</v>
      </c>
      <c r="C89" s="10">
        <v>14</v>
      </c>
      <c r="D89" s="10">
        <v>2</v>
      </c>
      <c r="E89" s="10">
        <v>12</v>
      </c>
      <c r="F89" s="10"/>
      <c r="G89" s="5" t="str">
        <f>VLOOKUP(A:A,[1]TDSheet!$A:$G,7,0)</f>
        <v>P004067</v>
      </c>
      <c r="H89" s="5">
        <f>VLOOKUP(A:A,[1]TDSheet!$A:$H,8,0)</f>
        <v>0.4</v>
      </c>
      <c r="I89" s="5">
        <f>VLOOKUP(A:A,[1]TDSheet!$A:$I,9,0)</f>
        <v>55</v>
      </c>
      <c r="J89" s="5" t="str">
        <f>VLOOKUP(A:A,[1]TDSheet!$A:$J,10,0)</f>
        <v>матрица</v>
      </c>
      <c r="L89" s="21">
        <f>VLOOKUP(A:A,[2]TDSheet!$A:$B,2,0)</f>
        <v>26</v>
      </c>
      <c r="M89" s="21">
        <f t="shared" si="11"/>
        <v>-14</v>
      </c>
      <c r="N89" s="21"/>
      <c r="O89" s="21">
        <f>VLOOKUP(A:A,[1]TDSheet!$A:$P,16,0)</f>
        <v>0</v>
      </c>
      <c r="P89" s="21">
        <f>VLOOKUP(A:A,[1]TDSheet!$A:$Q,17,0)</f>
        <v>0</v>
      </c>
      <c r="Q89" s="21">
        <f>VLOOKUP(A:A,[1]TDSheet!$A:$R,18,0)</f>
        <v>0</v>
      </c>
      <c r="R89" s="21">
        <f>VLOOKUP(A:A,[1]TDSheet!$A:$T,20,0)</f>
        <v>40</v>
      </c>
      <c r="S89" s="21">
        <f>VLOOKUP(A:A,[1]TDSheet!$A:$N,14,0)</f>
        <v>0</v>
      </c>
      <c r="T89" s="21">
        <f>VLOOKUP(A:A,[1]TDSheet!$A:$V,22,0)</f>
        <v>0</v>
      </c>
      <c r="U89" s="21">
        <f t="shared" si="12"/>
        <v>2.4</v>
      </c>
      <c r="V89" s="22"/>
      <c r="W89" s="22"/>
      <c r="X89" s="21"/>
      <c r="Y89" s="21">
        <f t="shared" si="14"/>
        <v>16.666666666666668</v>
      </c>
      <c r="Z89" s="21">
        <f t="shared" si="15"/>
        <v>0</v>
      </c>
      <c r="AA89" s="21">
        <f>VLOOKUP(A:A,[1]TDSheet!$A:$AB,28,0)</f>
        <v>4</v>
      </c>
      <c r="AB89" s="21">
        <f>VLOOKUP(A:A,[1]TDSheet!$A:$AC,29,0)</f>
        <v>3.2</v>
      </c>
      <c r="AC89" s="21">
        <f>VLOOKUP(A:A,[1]TDSheet!$A:$AD,30,0)</f>
        <v>5.2</v>
      </c>
      <c r="AD89" s="21">
        <f>VLOOKUP(A:A,[1]TDSheet!$A:$U,21,0)</f>
        <v>4</v>
      </c>
      <c r="AE89" s="21">
        <f>VLOOKUP(A:A,[1]TDSheet!$A:$AE,31,0)</f>
        <v>0</v>
      </c>
      <c r="AF89" s="21">
        <f t="shared" si="16"/>
        <v>0</v>
      </c>
      <c r="AG89" s="21"/>
    </row>
    <row r="90" spans="1:33" ht="11.1" customHeight="1" x14ac:dyDescent="0.2">
      <c r="A90" s="9" t="s">
        <v>94</v>
      </c>
      <c r="B90" s="9" t="s">
        <v>14</v>
      </c>
      <c r="C90" s="10">
        <v>266.03100000000001</v>
      </c>
      <c r="D90" s="10">
        <v>662.71299999999997</v>
      </c>
      <c r="E90" s="10">
        <v>205.399</v>
      </c>
      <c r="F90" s="10">
        <v>287.00400000000002</v>
      </c>
      <c r="G90" s="5" t="str">
        <f>VLOOKUP(A:A,[1]TDSheet!$A:$G,7,0)</f>
        <v>P004070</v>
      </c>
      <c r="H90" s="5">
        <f>VLOOKUP(A:A,[1]TDSheet!$A:$H,8,0)</f>
        <v>1</v>
      </c>
      <c r="I90" s="5">
        <f>VLOOKUP(A:A,[1]TDSheet!$A:$I,9,0)</f>
        <v>55</v>
      </c>
      <c r="J90" s="5" t="str">
        <f>VLOOKUP(A:A,[1]TDSheet!$A:$J,10,0)</f>
        <v>матрица</v>
      </c>
      <c r="L90" s="21">
        <f>VLOOKUP(A:A,[2]TDSheet!$A:$B,2,0)</f>
        <v>194.054</v>
      </c>
      <c r="M90" s="21">
        <f t="shared" si="11"/>
        <v>11.344999999999999</v>
      </c>
      <c r="N90" s="21"/>
      <c r="O90" s="21">
        <f>VLOOKUP(A:A,[1]TDSheet!$A:$P,16,0)</f>
        <v>0</v>
      </c>
      <c r="P90" s="21">
        <f>VLOOKUP(A:A,[1]TDSheet!$A:$Q,17,0)</f>
        <v>0</v>
      </c>
      <c r="Q90" s="21">
        <f>VLOOKUP(A:A,[1]TDSheet!$A:$R,18,0)</f>
        <v>0</v>
      </c>
      <c r="R90" s="21">
        <f>VLOOKUP(A:A,[1]TDSheet!$A:$T,20,0)</f>
        <v>320</v>
      </c>
      <c r="S90" s="21">
        <f>VLOOKUP(A:A,[1]TDSheet!$A:$N,14,0)</f>
        <v>0</v>
      </c>
      <c r="T90" s="21">
        <f>VLOOKUP(A:A,[1]TDSheet!$A:$V,22,0)</f>
        <v>0</v>
      </c>
      <c r="U90" s="21">
        <f t="shared" si="12"/>
        <v>41.079799999999999</v>
      </c>
      <c r="V90" s="22"/>
      <c r="W90" s="22"/>
      <c r="X90" s="21"/>
      <c r="Y90" s="21">
        <f t="shared" si="14"/>
        <v>14.776216047789912</v>
      </c>
      <c r="Z90" s="21">
        <f t="shared" si="15"/>
        <v>6.9864994474169793</v>
      </c>
      <c r="AA90" s="21">
        <f>VLOOKUP(A:A,[1]TDSheet!$A:$AB,28,0)</f>
        <v>70.816200000000009</v>
      </c>
      <c r="AB90" s="21">
        <f>VLOOKUP(A:A,[1]TDSheet!$A:$AC,29,0)</f>
        <v>55.588000000000001</v>
      </c>
      <c r="AC90" s="21">
        <f>VLOOKUP(A:A,[1]TDSheet!$A:$AD,30,0)</f>
        <v>53.181399999999996</v>
      </c>
      <c r="AD90" s="21">
        <f>VLOOKUP(A:A,[1]TDSheet!$A:$U,21,0)</f>
        <v>44.04</v>
      </c>
      <c r="AE90" s="21" t="str">
        <f>VLOOKUP(A:A,[1]TDSheet!$A:$AE,31,0)</f>
        <v>промо</v>
      </c>
      <c r="AF90" s="21">
        <f t="shared" si="16"/>
        <v>0</v>
      </c>
      <c r="AG90" s="21"/>
    </row>
    <row r="91" spans="1:33" ht="11.1" customHeight="1" x14ac:dyDescent="0.2">
      <c r="A91" s="9" t="s">
        <v>95</v>
      </c>
      <c r="B91" s="9" t="s">
        <v>14</v>
      </c>
      <c r="C91" s="10">
        <v>518.69200000000001</v>
      </c>
      <c r="D91" s="10">
        <v>1189.9359999999999</v>
      </c>
      <c r="E91" s="10">
        <v>901.00800000000004</v>
      </c>
      <c r="F91" s="10">
        <v>537.38800000000003</v>
      </c>
      <c r="G91" s="5" t="str">
        <f>VLOOKUP(A:A,[1]TDSheet!$A:$G,7,0)</f>
        <v>P002989</v>
      </c>
      <c r="H91" s="5">
        <f>VLOOKUP(A:A,[1]TDSheet!$A:$H,8,0)</f>
        <v>1</v>
      </c>
      <c r="I91" s="5">
        <f>VLOOKUP(A:A,[1]TDSheet!$A:$I,9,0)</f>
        <v>60</v>
      </c>
      <c r="J91" s="5" t="str">
        <f>VLOOKUP(A:A,[1]TDSheet!$A:$J,10,0)</f>
        <v>матрица</v>
      </c>
      <c r="L91" s="21">
        <f>VLOOKUP(A:A,[2]TDSheet!$A:$B,2,0)</f>
        <v>896.61500000000001</v>
      </c>
      <c r="M91" s="21">
        <f t="shared" si="11"/>
        <v>4.3930000000000291</v>
      </c>
      <c r="N91" s="21"/>
      <c r="O91" s="21">
        <f>VLOOKUP(A:A,[1]TDSheet!$A:$P,16,0)</f>
        <v>300</v>
      </c>
      <c r="P91" s="21">
        <f>VLOOKUP(A:A,[1]TDSheet!$A:$Q,17,0)</f>
        <v>300</v>
      </c>
      <c r="Q91" s="21">
        <f>VLOOKUP(A:A,[1]TDSheet!$A:$R,18,0)</f>
        <v>300</v>
      </c>
      <c r="R91" s="21">
        <f>VLOOKUP(A:A,[1]TDSheet!$A:$T,20,0)</f>
        <v>200</v>
      </c>
      <c r="S91" s="21">
        <f>VLOOKUP(A:A,[1]TDSheet!$A:$N,14,0)</f>
        <v>325</v>
      </c>
      <c r="T91" s="21">
        <f>VLOOKUP(A:A,[1]TDSheet!$A:$V,22,0)</f>
        <v>325</v>
      </c>
      <c r="U91" s="21">
        <f t="shared" si="12"/>
        <v>180.20160000000001</v>
      </c>
      <c r="V91" s="22"/>
      <c r="W91" s="22"/>
      <c r="X91" s="21"/>
      <c r="Y91" s="21">
        <f t="shared" si="14"/>
        <v>12.693494397386038</v>
      </c>
      <c r="Z91" s="21">
        <f t="shared" si="15"/>
        <v>2.982148882140891</v>
      </c>
      <c r="AA91" s="21">
        <f>VLOOKUP(A:A,[1]TDSheet!$A:$AB,28,0)</f>
        <v>191.50039999999998</v>
      </c>
      <c r="AB91" s="21">
        <f>VLOOKUP(A:A,[1]TDSheet!$A:$AC,29,0)</f>
        <v>183.27199999999999</v>
      </c>
      <c r="AC91" s="21">
        <f>VLOOKUP(A:A,[1]TDSheet!$A:$AD,30,0)</f>
        <v>178.114</v>
      </c>
      <c r="AD91" s="21">
        <f>VLOOKUP(A:A,[1]TDSheet!$A:$U,21,0)</f>
        <v>190.19540000000001</v>
      </c>
      <c r="AE91" s="21" t="str">
        <f>VLOOKUP(A:A,[1]TDSheet!$A:$AE,31,0)</f>
        <v>промо</v>
      </c>
      <c r="AF91" s="21">
        <f t="shared" si="16"/>
        <v>0</v>
      </c>
      <c r="AG91" s="21"/>
    </row>
    <row r="92" spans="1:33" ht="11.1" customHeight="1" x14ac:dyDescent="0.2">
      <c r="A92" s="9" t="s">
        <v>96</v>
      </c>
      <c r="B92" s="9" t="s">
        <v>14</v>
      </c>
      <c r="C92" s="10">
        <v>374.07299999999998</v>
      </c>
      <c r="D92" s="10">
        <v>2816.3580000000002</v>
      </c>
      <c r="E92" s="10">
        <v>1962.41</v>
      </c>
      <c r="F92" s="10">
        <v>648.37599999999998</v>
      </c>
      <c r="G92" s="5" t="str">
        <f>VLOOKUP(A:A,[1]TDSheet!$A:$G,7,0)</f>
        <v>P004257</v>
      </c>
      <c r="H92" s="5">
        <f>VLOOKUP(A:A,[1]TDSheet!$A:$H,8,0)</f>
        <v>1</v>
      </c>
      <c r="I92" s="5">
        <f>VLOOKUP(A:A,[1]TDSheet!$A:$I,9,0)</f>
        <v>60</v>
      </c>
      <c r="J92" s="5" t="str">
        <f>VLOOKUP(A:A,[1]TDSheet!$A:$J,10,0)</f>
        <v>матрица</v>
      </c>
      <c r="L92" s="21">
        <f>VLOOKUP(A:A,[2]TDSheet!$A:$B,2,0)</f>
        <v>1990.9</v>
      </c>
      <c r="M92" s="21">
        <f t="shared" si="11"/>
        <v>-28.490000000000009</v>
      </c>
      <c r="N92" s="21"/>
      <c r="O92" s="21">
        <f>VLOOKUP(A:A,[1]TDSheet!$A:$P,16,0)</f>
        <v>900</v>
      </c>
      <c r="P92" s="21">
        <f>VLOOKUP(A:A,[1]TDSheet!$A:$Q,17,0)</f>
        <v>900</v>
      </c>
      <c r="Q92" s="21">
        <f>VLOOKUP(A:A,[1]TDSheet!$A:$R,18,0)</f>
        <v>900</v>
      </c>
      <c r="R92" s="21">
        <f>VLOOKUP(A:A,[1]TDSheet!$A:$T,20,0)</f>
        <v>200</v>
      </c>
      <c r="S92" s="21">
        <f>VLOOKUP(A:A,[1]TDSheet!$A:$N,14,0)</f>
        <v>1300</v>
      </c>
      <c r="T92" s="21">
        <f>VLOOKUP(A:A,[1]TDSheet!$A:$V,22,0)</f>
        <v>1300</v>
      </c>
      <c r="U92" s="21">
        <f t="shared" si="12"/>
        <v>392.48200000000003</v>
      </c>
      <c r="V92" s="22"/>
      <c r="W92" s="28">
        <v>600</v>
      </c>
      <c r="X92" s="29" t="s">
        <v>168</v>
      </c>
      <c r="Y92" s="21">
        <f t="shared" si="14"/>
        <v>15.665370641201379</v>
      </c>
      <c r="Z92" s="21">
        <f t="shared" si="15"/>
        <v>1.6519891358075018</v>
      </c>
      <c r="AA92" s="21">
        <f>VLOOKUP(A:A,[1]TDSheet!$A:$AB,28,0)</f>
        <v>309.94780000000003</v>
      </c>
      <c r="AB92" s="21">
        <f>VLOOKUP(A:A,[1]TDSheet!$A:$AC,29,0)</f>
        <v>324.1216</v>
      </c>
      <c r="AC92" s="21">
        <f>VLOOKUP(A:A,[1]TDSheet!$A:$AD,30,0)</f>
        <v>357.05779999999999</v>
      </c>
      <c r="AD92" s="21">
        <f>VLOOKUP(A:A,[1]TDSheet!$A:$U,21,0)</f>
        <v>416.58599999999996</v>
      </c>
      <c r="AE92" s="21"/>
      <c r="AF92" s="21">
        <f t="shared" si="16"/>
        <v>0</v>
      </c>
      <c r="AG92" s="21"/>
    </row>
    <row r="93" spans="1:33" ht="11.1" customHeight="1" x14ac:dyDescent="0.2">
      <c r="A93" s="9" t="s">
        <v>97</v>
      </c>
      <c r="B93" s="9" t="s">
        <v>14</v>
      </c>
      <c r="C93" s="10">
        <v>304.41399999999999</v>
      </c>
      <c r="D93" s="10">
        <v>3019.018</v>
      </c>
      <c r="E93" s="10">
        <v>2246.4479999999999</v>
      </c>
      <c r="F93" s="10">
        <v>684.77800000000002</v>
      </c>
      <c r="G93" s="5" t="str">
        <f>VLOOKUP(A:A,[1]TDSheet!$A:$G,7,0)</f>
        <v>P004252</v>
      </c>
      <c r="H93" s="5">
        <f>VLOOKUP(A:A,[1]TDSheet!$A:$H,8,0)</f>
        <v>1</v>
      </c>
      <c r="I93" s="5">
        <f>VLOOKUP(A:A,[1]TDSheet!$A:$I,9,0)</f>
        <v>60</v>
      </c>
      <c r="J93" s="5" t="str">
        <f>VLOOKUP(A:A,[1]TDSheet!$A:$J,10,0)</f>
        <v>матрица</v>
      </c>
      <c r="L93" s="21">
        <f>VLOOKUP(A:A,[2]TDSheet!$A:$B,2,0)</f>
        <v>2279.9</v>
      </c>
      <c r="M93" s="21">
        <f t="shared" si="11"/>
        <v>-33.452000000000226</v>
      </c>
      <c r="N93" s="21"/>
      <c r="O93" s="21">
        <f>VLOOKUP(A:A,[1]TDSheet!$A:$P,16,0)</f>
        <v>900</v>
      </c>
      <c r="P93" s="21">
        <f>VLOOKUP(A:A,[1]TDSheet!$A:$Q,17,0)</f>
        <v>1500</v>
      </c>
      <c r="Q93" s="21">
        <f>VLOOKUP(A:A,[1]TDSheet!$A:$R,18,0)</f>
        <v>1400</v>
      </c>
      <c r="R93" s="21">
        <f>VLOOKUP(A:A,[1]TDSheet!$A:$T,20,0)</f>
        <v>0</v>
      </c>
      <c r="S93" s="21">
        <f>VLOOKUP(A:A,[1]TDSheet!$A:$N,14,0)</f>
        <v>1550</v>
      </c>
      <c r="T93" s="21">
        <f>VLOOKUP(A:A,[1]TDSheet!$A:$V,22,0)</f>
        <v>1550</v>
      </c>
      <c r="U93" s="21">
        <f t="shared" si="12"/>
        <v>449.28959999999995</v>
      </c>
      <c r="V93" s="22"/>
      <c r="W93" s="28">
        <v>800</v>
      </c>
      <c r="X93" s="29" t="s">
        <v>168</v>
      </c>
      <c r="Y93" s="21">
        <f t="shared" si="14"/>
        <v>16.881712819526651</v>
      </c>
      <c r="Z93" s="21">
        <f t="shared" si="15"/>
        <v>1.5241349899930916</v>
      </c>
      <c r="AA93" s="21">
        <f>VLOOKUP(A:A,[1]TDSheet!$A:$AB,28,0)</f>
        <v>308.89019999999999</v>
      </c>
      <c r="AB93" s="21">
        <f>VLOOKUP(A:A,[1]TDSheet!$A:$AC,29,0)</f>
        <v>381.64859999999999</v>
      </c>
      <c r="AC93" s="21">
        <f>VLOOKUP(A:A,[1]TDSheet!$A:$AD,30,0)</f>
        <v>432.53879999999998</v>
      </c>
      <c r="AD93" s="21">
        <f>VLOOKUP(A:A,[1]TDSheet!$A:$U,21,0)</f>
        <v>497.07560000000001</v>
      </c>
      <c r="AE93" s="21"/>
      <c r="AF93" s="21">
        <f t="shared" si="16"/>
        <v>0</v>
      </c>
      <c r="AG93" s="21"/>
    </row>
    <row r="94" spans="1:33" ht="11.1" customHeight="1" x14ac:dyDescent="0.2">
      <c r="A94" s="9" t="s">
        <v>98</v>
      </c>
      <c r="B94" s="9" t="s">
        <v>14</v>
      </c>
      <c r="C94" s="10">
        <v>1216.95</v>
      </c>
      <c r="D94" s="10">
        <v>3329.6509999999998</v>
      </c>
      <c r="E94" s="10">
        <v>2727.413</v>
      </c>
      <c r="F94" s="10">
        <v>1144.3920000000001</v>
      </c>
      <c r="G94" s="5" t="str">
        <f>VLOOKUP(A:A,[1]TDSheet!$A:$G,7,0)</f>
        <v>P004256</v>
      </c>
      <c r="H94" s="5">
        <f>VLOOKUP(A:A,[1]TDSheet!$A:$H,8,0)</f>
        <v>1</v>
      </c>
      <c r="I94" s="5">
        <f>VLOOKUP(A:A,[1]TDSheet!$A:$I,9,0)</f>
        <v>60</v>
      </c>
      <c r="J94" s="5" t="str">
        <f>VLOOKUP(A:A,[1]TDSheet!$A:$J,10,0)</f>
        <v>матрица</v>
      </c>
      <c r="L94" s="21">
        <f>VLOOKUP(A:A,[2]TDSheet!$A:$B,2,0)</f>
        <v>2884.1</v>
      </c>
      <c r="M94" s="21">
        <f t="shared" si="11"/>
        <v>-156.6869999999999</v>
      </c>
      <c r="N94" s="21"/>
      <c r="O94" s="21">
        <f>VLOOKUP(A:A,[1]TDSheet!$A:$P,16,0)</f>
        <v>0</v>
      </c>
      <c r="P94" s="21">
        <f>VLOOKUP(A:A,[1]TDSheet!$A:$Q,17,0)</f>
        <v>1500</v>
      </c>
      <c r="Q94" s="21">
        <f>VLOOKUP(A:A,[1]TDSheet!$A:$R,18,0)</f>
        <v>2100</v>
      </c>
      <c r="R94" s="21">
        <f>VLOOKUP(A:A,[1]TDSheet!$A:$T,20,0)</f>
        <v>250</v>
      </c>
      <c r="S94" s="21">
        <f>VLOOKUP(A:A,[1]TDSheet!$A:$N,14,0)</f>
        <v>2150</v>
      </c>
      <c r="T94" s="21">
        <f>VLOOKUP(A:A,[1]TDSheet!$A:$V,22,0)</f>
        <v>2050</v>
      </c>
      <c r="U94" s="21">
        <f t="shared" si="12"/>
        <v>545.48260000000005</v>
      </c>
      <c r="V94" s="22"/>
      <c r="W94" s="22"/>
      <c r="X94" s="21"/>
      <c r="Y94" s="21">
        <f t="shared" si="14"/>
        <v>16.85551839783707</v>
      </c>
      <c r="Z94" s="21">
        <f t="shared" si="15"/>
        <v>2.097944095742009</v>
      </c>
      <c r="AA94" s="21">
        <f>VLOOKUP(A:A,[1]TDSheet!$A:$AB,28,0)</f>
        <v>542.36059999999998</v>
      </c>
      <c r="AB94" s="21">
        <f>VLOOKUP(A:A,[1]TDSheet!$A:$AC,29,0)</f>
        <v>488.06000000000006</v>
      </c>
      <c r="AC94" s="21">
        <f>VLOOKUP(A:A,[1]TDSheet!$A:$AD,30,0)</f>
        <v>524.64340000000004</v>
      </c>
      <c r="AD94" s="21">
        <f>VLOOKUP(A:A,[1]TDSheet!$A:$U,21,0)</f>
        <v>597.17640000000006</v>
      </c>
      <c r="AE94" s="21"/>
      <c r="AF94" s="21">
        <f t="shared" si="16"/>
        <v>0</v>
      </c>
      <c r="AG94" s="21"/>
    </row>
    <row r="95" spans="1:33" ht="21.95" customHeight="1" x14ac:dyDescent="0.2">
      <c r="A95" s="9" t="s">
        <v>99</v>
      </c>
      <c r="B95" s="9" t="s">
        <v>14</v>
      </c>
      <c r="C95" s="10">
        <v>-0.46400000000000002</v>
      </c>
      <c r="D95" s="10">
        <v>59.597999999999999</v>
      </c>
      <c r="E95" s="10">
        <v>44.043999999999997</v>
      </c>
      <c r="F95" s="10">
        <v>9.891</v>
      </c>
      <c r="G95" s="5" t="str">
        <f>VLOOKUP(A:A,[1]TDSheet!$A:$G,7,0)</f>
        <v>P004210</v>
      </c>
      <c r="H95" s="5">
        <f>VLOOKUP(A:A,[1]TDSheet!$A:$H,8,0)</f>
        <v>1</v>
      </c>
      <c r="L95" s="21">
        <f>VLOOKUP(A:A,[2]TDSheet!$A:$B,2,0)</f>
        <v>70.2</v>
      </c>
      <c r="M95" s="21">
        <f t="shared" si="11"/>
        <v>-26.156000000000006</v>
      </c>
      <c r="N95" s="21"/>
      <c r="O95" s="21">
        <f>VLOOKUP(A:A,[1]TDSheet!$A:$P,16,0)</f>
        <v>0</v>
      </c>
      <c r="P95" s="21">
        <f>VLOOKUP(A:A,[1]TDSheet!$A:$Q,17,0)</f>
        <v>0</v>
      </c>
      <c r="Q95" s="21">
        <f>VLOOKUP(A:A,[1]TDSheet!$A:$R,18,0)</f>
        <v>0</v>
      </c>
      <c r="R95" s="21">
        <f>VLOOKUP(A:A,[1]TDSheet!$A:$T,20,0)</f>
        <v>80</v>
      </c>
      <c r="S95" s="21">
        <f>VLOOKUP(A:A,[1]TDSheet!$A:$N,14,0)</f>
        <v>20</v>
      </c>
      <c r="T95" s="21">
        <f>VLOOKUP(A:A,[1]TDSheet!$A:$V,22,0)</f>
        <v>20</v>
      </c>
      <c r="U95" s="21">
        <f t="shared" si="12"/>
        <v>8.8087999999999997</v>
      </c>
      <c r="V95" s="22"/>
      <c r="W95" s="22"/>
      <c r="X95" s="21"/>
      <c r="Y95" s="21">
        <f t="shared" si="14"/>
        <v>14.745595313777134</v>
      </c>
      <c r="Z95" s="21">
        <f t="shared" si="15"/>
        <v>1.1228544183089637</v>
      </c>
      <c r="AA95" s="21">
        <f>VLOOKUP(A:A,[1]TDSheet!$A:$AB,28,0)</f>
        <v>0.80359999999999998</v>
      </c>
      <c r="AB95" s="21">
        <f>VLOOKUP(A:A,[1]TDSheet!$A:$AC,29,0)</f>
        <v>7.2638000000000007</v>
      </c>
      <c r="AC95" s="21">
        <f>VLOOKUP(A:A,[1]TDSheet!$A:$AD,30,0)</f>
        <v>8.0733999999999995</v>
      </c>
      <c r="AD95" s="21">
        <f>VLOOKUP(A:A,[1]TDSheet!$A:$U,21,0)</f>
        <v>9.4116</v>
      </c>
      <c r="AE95" s="21"/>
      <c r="AF95" s="21">
        <f t="shared" si="16"/>
        <v>0</v>
      </c>
      <c r="AG95" s="21"/>
    </row>
    <row r="96" spans="1:33" ht="21.95" customHeight="1" x14ac:dyDescent="0.2">
      <c r="A96" s="9" t="s">
        <v>100</v>
      </c>
      <c r="B96" s="9" t="s">
        <v>14</v>
      </c>
      <c r="C96" s="11"/>
      <c r="D96" s="10">
        <v>1.3540000000000001</v>
      </c>
      <c r="E96" s="10">
        <v>1.3540000000000001</v>
      </c>
      <c r="F96" s="10"/>
      <c r="H96" s="5">
        <v>1</v>
      </c>
      <c r="L96" s="21">
        <f>VLOOKUP(A:A,[2]TDSheet!$A:$B,2,0)</f>
        <v>1.3</v>
      </c>
      <c r="M96" s="21">
        <f t="shared" si="11"/>
        <v>5.4000000000000048E-2</v>
      </c>
      <c r="N96" s="21"/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f t="shared" si="12"/>
        <v>0.27080000000000004</v>
      </c>
      <c r="V96" s="22">
        <f t="shared" si="13"/>
        <v>2.9788000000000006</v>
      </c>
      <c r="W96" s="28">
        <v>30</v>
      </c>
      <c r="X96" s="29" t="s">
        <v>168</v>
      </c>
      <c r="Y96" s="21">
        <f t="shared" si="14"/>
        <v>11</v>
      </c>
      <c r="Z96" s="21">
        <f t="shared" si="15"/>
        <v>0</v>
      </c>
      <c r="AA96" s="21">
        <v>0</v>
      </c>
      <c r="AB96" s="21">
        <v>0</v>
      </c>
      <c r="AC96" s="21">
        <v>0</v>
      </c>
      <c r="AD96" s="21">
        <v>0</v>
      </c>
      <c r="AE96" s="21"/>
      <c r="AF96" s="21">
        <f t="shared" si="16"/>
        <v>2.9788000000000006</v>
      </c>
      <c r="AG96" s="21"/>
    </row>
    <row r="97" spans="1:33" ht="21.95" customHeight="1" x14ac:dyDescent="0.2">
      <c r="A97" s="9" t="s">
        <v>101</v>
      </c>
      <c r="B97" s="9" t="s">
        <v>14</v>
      </c>
      <c r="C97" s="10">
        <v>36.325000000000003</v>
      </c>
      <c r="D97" s="10">
        <v>0.17299999999999999</v>
      </c>
      <c r="E97" s="10">
        <v>25.869</v>
      </c>
      <c r="F97" s="10">
        <v>8.2650000000000006</v>
      </c>
      <c r="G97" s="5" t="str">
        <f>VLOOKUP(A:A,[1]TDSheet!$A:$G,7,0)</f>
        <v>P004206</v>
      </c>
      <c r="H97" s="5">
        <f>VLOOKUP(A:A,[1]TDSheet!$A:$H,8,0)</f>
        <v>1</v>
      </c>
      <c r="L97" s="21">
        <f>VLOOKUP(A:A,[2]TDSheet!$A:$B,2,0)</f>
        <v>27.3</v>
      </c>
      <c r="M97" s="21">
        <f t="shared" si="11"/>
        <v>-1.4310000000000009</v>
      </c>
      <c r="N97" s="21"/>
      <c r="O97" s="21">
        <f>VLOOKUP(A:A,[1]TDSheet!$A:$P,16,0)</f>
        <v>0</v>
      </c>
      <c r="P97" s="21">
        <f>VLOOKUP(A:A,[1]TDSheet!$A:$Q,17,0)</f>
        <v>0</v>
      </c>
      <c r="Q97" s="21">
        <f>VLOOKUP(A:A,[1]TDSheet!$A:$R,18,0)</f>
        <v>0</v>
      </c>
      <c r="R97" s="21">
        <f>VLOOKUP(A:A,[1]TDSheet!$A:$T,20,0)</f>
        <v>30</v>
      </c>
      <c r="S97" s="21">
        <f>VLOOKUP(A:A,[1]TDSheet!$A:$N,14,0)</f>
        <v>10</v>
      </c>
      <c r="T97" s="21">
        <f>VLOOKUP(A:A,[1]TDSheet!$A:$V,22,0)</f>
        <v>10</v>
      </c>
      <c r="U97" s="21">
        <f t="shared" si="12"/>
        <v>5.1738</v>
      </c>
      <c r="V97" s="22"/>
      <c r="W97" s="22"/>
      <c r="X97" s="21"/>
      <c r="Y97" s="21">
        <f t="shared" si="14"/>
        <v>11.261548571649465</v>
      </c>
      <c r="Z97" s="21">
        <f t="shared" si="15"/>
        <v>1.5974718775368202</v>
      </c>
      <c r="AA97" s="21">
        <f>VLOOKUP(A:A,[1]TDSheet!$A:$AB,28,0)</f>
        <v>5.0119999999999996</v>
      </c>
      <c r="AB97" s="21">
        <f>VLOOKUP(A:A,[1]TDSheet!$A:$AC,29,0)</f>
        <v>6.1978</v>
      </c>
      <c r="AC97" s="21">
        <f>VLOOKUP(A:A,[1]TDSheet!$A:$AD,30,0)</f>
        <v>3.7485999999999997</v>
      </c>
      <c r="AD97" s="21">
        <f>VLOOKUP(A:A,[1]TDSheet!$A:$U,21,0)</f>
        <v>6.4451999999999998</v>
      </c>
      <c r="AE97" s="21"/>
      <c r="AF97" s="21">
        <f t="shared" si="16"/>
        <v>0</v>
      </c>
      <c r="AG97" s="21"/>
    </row>
    <row r="98" spans="1:33" ht="11.1" customHeight="1" x14ac:dyDescent="0.2">
      <c r="A98" s="27" t="s">
        <v>102</v>
      </c>
      <c r="B98" s="9" t="s">
        <v>18</v>
      </c>
      <c r="C98" s="10">
        <v>20</v>
      </c>
      <c r="D98" s="10">
        <v>266</v>
      </c>
      <c r="E98" s="10">
        <v>100</v>
      </c>
      <c r="F98" s="10">
        <v>125</v>
      </c>
      <c r="G98" s="5" t="str">
        <f>VLOOKUP(A:A,[1]TDSheet!$A:$G,7,0)</f>
        <v>P003390</v>
      </c>
      <c r="H98" s="5">
        <f>VLOOKUP(A:A,[1]TDSheet!$A:$H,8,0)</f>
        <v>0.3</v>
      </c>
      <c r="I98" s="5">
        <f>VLOOKUP(A:A,[1]TDSheet!$A:$I,9,0)</f>
        <v>40</v>
      </c>
      <c r="J98" s="5" t="str">
        <f>VLOOKUP(A:A,[1]TDSheet!$A:$J,10,0)</f>
        <v>матрица</v>
      </c>
      <c r="L98" s="21">
        <f>VLOOKUP(A:A,[2]TDSheet!$A:$B,2,0)</f>
        <v>179</v>
      </c>
      <c r="M98" s="21">
        <f t="shared" si="11"/>
        <v>-79</v>
      </c>
      <c r="N98" s="21"/>
      <c r="O98" s="21">
        <f>VLOOKUP(A:A,[1]TDSheet!$A:$P,16,0)</f>
        <v>0</v>
      </c>
      <c r="P98" s="21">
        <f>VLOOKUP(A:A,[1]TDSheet!$A:$Q,17,0)</f>
        <v>0</v>
      </c>
      <c r="Q98" s="21">
        <f>VLOOKUP(A:A,[1]TDSheet!$A:$R,18,0)</f>
        <v>0</v>
      </c>
      <c r="R98" s="21">
        <f>VLOOKUP(A:A,[1]TDSheet!$A:$T,20,0)</f>
        <v>320</v>
      </c>
      <c r="S98" s="21">
        <f>VLOOKUP(A:A,[1]TDSheet!$A:$N,14,0)</f>
        <v>0</v>
      </c>
      <c r="T98" s="21">
        <f>VLOOKUP(A:A,[1]TDSheet!$A:$V,22,0)</f>
        <v>0</v>
      </c>
      <c r="U98" s="21">
        <f t="shared" si="12"/>
        <v>20</v>
      </c>
      <c r="V98" s="22"/>
      <c r="W98" s="22"/>
      <c r="X98" s="21"/>
      <c r="Y98" s="21">
        <f t="shared" si="14"/>
        <v>22.25</v>
      </c>
      <c r="Z98" s="21">
        <f t="shared" si="15"/>
        <v>6.25</v>
      </c>
      <c r="AA98" s="21">
        <f>VLOOKUP(A:A,[1]TDSheet!$A:$AB,28,0)</f>
        <v>36.6</v>
      </c>
      <c r="AB98" s="21">
        <f>VLOOKUP(A:A,[1]TDSheet!$A:$AC,29,0)</f>
        <v>33</v>
      </c>
      <c r="AC98" s="21">
        <f>VLOOKUP(A:A,[1]TDSheet!$A:$AD,30,0)</f>
        <v>34.200000000000003</v>
      </c>
      <c r="AD98" s="21">
        <f>VLOOKUP(A:A,[1]TDSheet!$A:$U,21,0)</f>
        <v>30.8</v>
      </c>
      <c r="AE98" s="21"/>
      <c r="AF98" s="21">
        <f t="shared" si="16"/>
        <v>0</v>
      </c>
      <c r="AG98" s="21"/>
    </row>
    <row r="99" spans="1:33" ht="11.1" customHeight="1" x14ac:dyDescent="0.2">
      <c r="A99" s="9" t="s">
        <v>103</v>
      </c>
      <c r="B99" s="9" t="s">
        <v>18</v>
      </c>
      <c r="C99" s="10">
        <v>70</v>
      </c>
      <c r="D99" s="10">
        <v>100</v>
      </c>
      <c r="E99" s="10">
        <v>109</v>
      </c>
      <c r="F99" s="10">
        <v>-2</v>
      </c>
      <c r="G99" s="5" t="str">
        <f>VLOOKUP(A:A,[1]TDSheet!$A:$G,7,0)</f>
        <v>P004642</v>
      </c>
      <c r="H99" s="5">
        <f>VLOOKUP(A:A,[1]TDSheet!$A:$H,8,0)</f>
        <v>0.3</v>
      </c>
      <c r="L99" s="21">
        <f>VLOOKUP(A:A,[2]TDSheet!$A:$B,2,0)</f>
        <v>260</v>
      </c>
      <c r="M99" s="21">
        <f t="shared" si="11"/>
        <v>-151</v>
      </c>
      <c r="N99" s="21"/>
      <c r="O99" s="21">
        <f>VLOOKUP(A:A,[1]TDSheet!$A:$P,16,0)</f>
        <v>0</v>
      </c>
      <c r="P99" s="21">
        <f>VLOOKUP(A:A,[1]TDSheet!$A:$Q,17,0)</f>
        <v>0</v>
      </c>
      <c r="Q99" s="21">
        <f>VLOOKUP(A:A,[1]TDSheet!$A:$R,18,0)</f>
        <v>0</v>
      </c>
      <c r="R99" s="21">
        <f>VLOOKUP(A:A,[1]TDSheet!$A:$T,20,0)</f>
        <v>250</v>
      </c>
      <c r="S99" s="21">
        <f>VLOOKUP(A:A,[1]TDSheet!$A:$N,14,0)</f>
        <v>50</v>
      </c>
      <c r="T99" s="21">
        <f>VLOOKUP(A:A,[1]TDSheet!$A:$V,22,0)</f>
        <v>50</v>
      </c>
      <c r="U99" s="21">
        <f t="shared" si="12"/>
        <v>21.8</v>
      </c>
      <c r="V99" s="22"/>
      <c r="W99" s="28">
        <v>50</v>
      </c>
      <c r="X99" s="29" t="s">
        <v>168</v>
      </c>
      <c r="Y99" s="21">
        <f t="shared" si="14"/>
        <v>15.963302752293577</v>
      </c>
      <c r="Z99" s="21">
        <f t="shared" si="15"/>
        <v>-9.1743119266055037E-2</v>
      </c>
      <c r="AA99" s="21">
        <f>VLOOKUP(A:A,[1]TDSheet!$A:$AB,28,0)</f>
        <v>17.600000000000001</v>
      </c>
      <c r="AB99" s="21">
        <f>VLOOKUP(A:A,[1]TDSheet!$A:$AC,29,0)</f>
        <v>27.8</v>
      </c>
      <c r="AC99" s="21">
        <f>VLOOKUP(A:A,[1]TDSheet!$A:$AD,30,0)</f>
        <v>18.399999999999999</v>
      </c>
      <c r="AD99" s="21">
        <f>VLOOKUP(A:A,[1]TDSheet!$A:$U,21,0)</f>
        <v>36.6</v>
      </c>
      <c r="AE99" s="21"/>
      <c r="AF99" s="21">
        <f t="shared" si="16"/>
        <v>0</v>
      </c>
      <c r="AG99" s="21"/>
    </row>
    <row r="100" spans="1:33" ht="21.95" customHeight="1" x14ac:dyDescent="0.2">
      <c r="A100" s="27" t="s">
        <v>104</v>
      </c>
      <c r="B100" s="9" t="s">
        <v>18</v>
      </c>
      <c r="C100" s="10">
        <v>8</v>
      </c>
      <c r="D100" s="10">
        <v>10</v>
      </c>
      <c r="E100" s="10">
        <v>8</v>
      </c>
      <c r="F100" s="10"/>
      <c r="G100" s="5" t="str">
        <f>VLOOKUP(A:A,[1]TDSheet!$A:$G,7,0)</f>
        <v>P004981</v>
      </c>
      <c r="H100" s="5">
        <f>VLOOKUP(A:A,[1]TDSheet!$A:$H,8,0)</f>
        <v>7.0000000000000007E-2</v>
      </c>
      <c r="L100" s="21">
        <f>VLOOKUP(A:A,[2]TDSheet!$A:$B,2,0)</f>
        <v>14</v>
      </c>
      <c r="M100" s="21">
        <f t="shared" si="11"/>
        <v>-6</v>
      </c>
      <c r="N100" s="21"/>
      <c r="O100" s="21">
        <f>VLOOKUP(A:A,[1]TDSheet!$A:$P,16,0)</f>
        <v>0</v>
      </c>
      <c r="P100" s="21">
        <f>VLOOKUP(A:A,[1]TDSheet!$A:$Q,17,0)</f>
        <v>0</v>
      </c>
      <c r="Q100" s="21">
        <f>VLOOKUP(A:A,[1]TDSheet!$A:$R,18,0)</f>
        <v>0</v>
      </c>
      <c r="R100" s="21">
        <f>VLOOKUP(A:A,[1]TDSheet!$A:$T,20,0)</f>
        <v>100</v>
      </c>
      <c r="S100" s="21">
        <f>VLOOKUP(A:A,[1]TDSheet!$A:$N,14,0)</f>
        <v>40</v>
      </c>
      <c r="T100" s="21">
        <f>VLOOKUP(A:A,[1]TDSheet!$A:$V,22,0)</f>
        <v>40</v>
      </c>
      <c r="U100" s="21">
        <f t="shared" si="12"/>
        <v>1.6</v>
      </c>
      <c r="V100" s="22"/>
      <c r="W100" s="28">
        <v>40</v>
      </c>
      <c r="X100" s="29" t="s">
        <v>168</v>
      </c>
      <c r="Y100" s="21">
        <f t="shared" si="14"/>
        <v>112.5</v>
      </c>
      <c r="Z100" s="21">
        <f t="shared" si="15"/>
        <v>0</v>
      </c>
      <c r="AA100" s="21">
        <f>VLOOKUP(A:A,[1]TDSheet!$A:$AB,28,0)</f>
        <v>9.1999999999999993</v>
      </c>
      <c r="AB100" s="21">
        <f>VLOOKUP(A:A,[1]TDSheet!$A:$AC,29,0)</f>
        <v>10.8</v>
      </c>
      <c r="AC100" s="21">
        <f>VLOOKUP(A:A,[1]TDSheet!$A:$AD,30,0)</f>
        <v>13.8</v>
      </c>
      <c r="AD100" s="21">
        <f>VLOOKUP(A:A,[1]TDSheet!$A:$U,21,0)</f>
        <v>9.8000000000000007</v>
      </c>
      <c r="AE100" s="21"/>
      <c r="AF100" s="21">
        <f t="shared" si="16"/>
        <v>0</v>
      </c>
      <c r="AG100" s="21"/>
    </row>
    <row r="101" spans="1:33" ht="11.1" customHeight="1" x14ac:dyDescent="0.2">
      <c r="A101" s="9" t="s">
        <v>105</v>
      </c>
      <c r="B101" s="9" t="s">
        <v>18</v>
      </c>
      <c r="C101" s="10">
        <v>76</v>
      </c>
      <c r="D101" s="10">
        <v>107</v>
      </c>
      <c r="E101" s="10">
        <v>132</v>
      </c>
      <c r="F101" s="10">
        <v>6</v>
      </c>
      <c r="G101" s="5" t="str">
        <f>VLOOKUP(A:A,[1]TDSheet!$A:$G,7,0)</f>
        <v>P004979</v>
      </c>
      <c r="H101" s="5">
        <f>VLOOKUP(A:A,[1]TDSheet!$A:$H,8,0)</f>
        <v>7.0000000000000007E-2</v>
      </c>
      <c r="I101" s="5">
        <f>VLOOKUP(A:A,[1]TDSheet!$A:$I,9,0)</f>
        <v>90</v>
      </c>
      <c r="J101" s="5" t="str">
        <f>VLOOKUP(A:A,[1]TDSheet!$A:$J,10,0)</f>
        <v>матрица</v>
      </c>
      <c r="L101" s="21">
        <f>VLOOKUP(A:A,[2]TDSheet!$A:$B,2,0)</f>
        <v>173</v>
      </c>
      <c r="M101" s="21">
        <f t="shared" si="11"/>
        <v>-41</v>
      </c>
      <c r="N101" s="21"/>
      <c r="O101" s="21">
        <f>VLOOKUP(A:A,[1]TDSheet!$A:$P,16,0)</f>
        <v>0</v>
      </c>
      <c r="P101" s="21">
        <f>VLOOKUP(A:A,[1]TDSheet!$A:$Q,17,0)</f>
        <v>0</v>
      </c>
      <c r="Q101" s="21">
        <f>VLOOKUP(A:A,[1]TDSheet!$A:$R,18,0)</f>
        <v>0</v>
      </c>
      <c r="R101" s="21">
        <f>VLOOKUP(A:A,[1]TDSheet!$A:$T,20,0)</f>
        <v>430</v>
      </c>
      <c r="S101" s="21">
        <f>VLOOKUP(A:A,[1]TDSheet!$A:$N,14,0)</f>
        <v>25</v>
      </c>
      <c r="T101" s="21">
        <f>VLOOKUP(A:A,[1]TDSheet!$A:$V,22,0)</f>
        <v>25</v>
      </c>
      <c r="U101" s="21">
        <f t="shared" si="12"/>
        <v>26.4</v>
      </c>
      <c r="V101" s="22"/>
      <c r="W101" s="22"/>
      <c r="X101" s="21"/>
      <c r="Y101" s="21">
        <f t="shared" si="14"/>
        <v>18.40909090909091</v>
      </c>
      <c r="Z101" s="21">
        <f t="shared" si="15"/>
        <v>0.22727272727272729</v>
      </c>
      <c r="AA101" s="21">
        <f>VLOOKUP(A:A,[1]TDSheet!$A:$AB,28,0)</f>
        <v>35</v>
      </c>
      <c r="AB101" s="21">
        <f>VLOOKUP(A:A,[1]TDSheet!$A:$AC,29,0)</f>
        <v>28.4</v>
      </c>
      <c r="AC101" s="21">
        <f>VLOOKUP(A:A,[1]TDSheet!$A:$AD,30,0)</f>
        <v>27</v>
      </c>
      <c r="AD101" s="21">
        <f>VLOOKUP(A:A,[1]TDSheet!$A:$U,21,0)</f>
        <v>44.2</v>
      </c>
      <c r="AE101" s="21"/>
      <c r="AF101" s="21">
        <f t="shared" si="16"/>
        <v>0</v>
      </c>
      <c r="AG101" s="21"/>
    </row>
    <row r="102" spans="1:33" ht="11.1" customHeight="1" x14ac:dyDescent="0.2">
      <c r="A102" s="9" t="s">
        <v>106</v>
      </c>
      <c r="B102" s="9" t="s">
        <v>18</v>
      </c>
      <c r="C102" s="10">
        <v>53</v>
      </c>
      <c r="D102" s="10">
        <v>104</v>
      </c>
      <c r="E102" s="10">
        <v>107</v>
      </c>
      <c r="F102" s="10">
        <v>35</v>
      </c>
      <c r="G102" s="5" t="str">
        <f>VLOOKUP(A:A,[1]TDSheet!$A:$G,7,0)</f>
        <v>P004982</v>
      </c>
      <c r="H102" s="5">
        <f>VLOOKUP(A:A,[1]TDSheet!$A:$H,8,0)</f>
        <v>7.0000000000000007E-2</v>
      </c>
      <c r="I102" s="5">
        <f>VLOOKUP(A:A,[1]TDSheet!$A:$I,9,0)</f>
        <v>90</v>
      </c>
      <c r="J102" s="5" t="str">
        <f>VLOOKUP(A:A,[1]TDSheet!$A:$J,10,0)</f>
        <v>матрица</v>
      </c>
      <c r="L102" s="21">
        <f>VLOOKUP(A:A,[2]TDSheet!$A:$B,2,0)</f>
        <v>112</v>
      </c>
      <c r="M102" s="21">
        <f t="shared" si="11"/>
        <v>-5</v>
      </c>
      <c r="N102" s="21"/>
      <c r="O102" s="21">
        <f>VLOOKUP(A:A,[1]TDSheet!$A:$P,16,0)</f>
        <v>0</v>
      </c>
      <c r="P102" s="21">
        <f>VLOOKUP(A:A,[1]TDSheet!$A:$Q,17,0)</f>
        <v>0</v>
      </c>
      <c r="Q102" s="21">
        <f>VLOOKUP(A:A,[1]TDSheet!$A:$R,18,0)</f>
        <v>0</v>
      </c>
      <c r="R102" s="21">
        <f>VLOOKUP(A:A,[1]TDSheet!$A:$T,20,0)</f>
        <v>280</v>
      </c>
      <c r="S102" s="21">
        <f>VLOOKUP(A:A,[1]TDSheet!$A:$N,14,0)</f>
        <v>25</v>
      </c>
      <c r="T102" s="21">
        <f>VLOOKUP(A:A,[1]TDSheet!$A:$V,22,0)</f>
        <v>25</v>
      </c>
      <c r="U102" s="21">
        <f t="shared" si="12"/>
        <v>21.4</v>
      </c>
      <c r="V102" s="22"/>
      <c r="W102" s="22"/>
      <c r="X102" s="21"/>
      <c r="Y102" s="21">
        <f t="shared" si="14"/>
        <v>17.056074766355142</v>
      </c>
      <c r="Z102" s="21">
        <f t="shared" si="15"/>
        <v>1.6355140186915889</v>
      </c>
      <c r="AA102" s="21">
        <f>VLOOKUP(A:A,[1]TDSheet!$A:$AB,28,0)</f>
        <v>24.6</v>
      </c>
      <c r="AB102" s="21">
        <f>VLOOKUP(A:A,[1]TDSheet!$A:$AC,29,0)</f>
        <v>21.6</v>
      </c>
      <c r="AC102" s="21">
        <f>VLOOKUP(A:A,[1]TDSheet!$A:$AD,30,0)</f>
        <v>22</v>
      </c>
      <c r="AD102" s="21">
        <f>VLOOKUP(A:A,[1]TDSheet!$A:$U,21,0)</f>
        <v>29.6</v>
      </c>
      <c r="AE102" s="21"/>
      <c r="AF102" s="21">
        <f t="shared" si="16"/>
        <v>0</v>
      </c>
      <c r="AG102" s="21"/>
    </row>
    <row r="103" spans="1:33" ht="11.1" customHeight="1" x14ac:dyDescent="0.2">
      <c r="A103" s="9" t="s">
        <v>107</v>
      </c>
      <c r="B103" s="9" t="s">
        <v>18</v>
      </c>
      <c r="C103" s="10">
        <v>97</v>
      </c>
      <c r="D103" s="10">
        <v>99</v>
      </c>
      <c r="E103" s="10">
        <v>90</v>
      </c>
      <c r="F103" s="10">
        <v>92</v>
      </c>
      <c r="G103" s="5" t="str">
        <f>VLOOKUP(A:A,[1]TDSheet!$A:$G,7,0)</f>
        <v>P005023</v>
      </c>
      <c r="H103" s="5">
        <f>VLOOKUP(A:A,[1]TDSheet!$A:$H,8,0)</f>
        <v>0.05</v>
      </c>
      <c r="I103" s="5">
        <f>VLOOKUP(A:A,[1]TDSheet!$A:$I,9,0)</f>
        <v>90</v>
      </c>
      <c r="J103" s="5" t="str">
        <f>VLOOKUP(A:A,[1]TDSheet!$A:$J,10,0)</f>
        <v>выв08,05,</v>
      </c>
      <c r="L103" s="21">
        <f>VLOOKUP(A:A,[2]TDSheet!$A:$B,2,0)</f>
        <v>95</v>
      </c>
      <c r="M103" s="21">
        <f t="shared" si="11"/>
        <v>-5</v>
      </c>
      <c r="N103" s="21"/>
      <c r="O103" s="21">
        <f>VLOOKUP(A:A,[1]TDSheet!$A:$P,16,0)</f>
        <v>0</v>
      </c>
      <c r="P103" s="21">
        <f>VLOOKUP(A:A,[1]TDSheet!$A:$Q,17,0)</f>
        <v>0</v>
      </c>
      <c r="Q103" s="21">
        <f>VLOOKUP(A:A,[1]TDSheet!$A:$R,18,0)</f>
        <v>0</v>
      </c>
      <c r="R103" s="21">
        <f>VLOOKUP(A:A,[1]TDSheet!$A:$T,20,0)</f>
        <v>100</v>
      </c>
      <c r="S103" s="21">
        <f>VLOOKUP(A:A,[1]TDSheet!$A:$N,14,0)</f>
        <v>0</v>
      </c>
      <c r="T103" s="21">
        <f>VLOOKUP(A:A,[1]TDSheet!$A:$V,22,0)</f>
        <v>0</v>
      </c>
      <c r="U103" s="21">
        <f t="shared" si="12"/>
        <v>18</v>
      </c>
      <c r="V103" s="22">
        <f t="shared" si="13"/>
        <v>6</v>
      </c>
      <c r="W103" s="22"/>
      <c r="X103" s="21"/>
      <c r="Y103" s="21">
        <f t="shared" si="14"/>
        <v>11</v>
      </c>
      <c r="Z103" s="21">
        <f t="shared" si="15"/>
        <v>5.1111111111111107</v>
      </c>
      <c r="AA103" s="21">
        <f>VLOOKUP(A:A,[1]TDSheet!$A:$AB,28,0)</f>
        <v>11.2</v>
      </c>
      <c r="AB103" s="21">
        <f>VLOOKUP(A:A,[1]TDSheet!$A:$AC,29,0)</f>
        <v>17.2</v>
      </c>
      <c r="AC103" s="21">
        <f>VLOOKUP(A:A,[1]TDSheet!$A:$AD,30,0)</f>
        <v>18.8</v>
      </c>
      <c r="AD103" s="21">
        <f>VLOOKUP(A:A,[1]TDSheet!$A:$U,21,0)</f>
        <v>13.2</v>
      </c>
      <c r="AE103" s="21"/>
      <c r="AF103" s="21">
        <f t="shared" si="16"/>
        <v>0.30000000000000004</v>
      </c>
      <c r="AG103" s="21"/>
    </row>
    <row r="104" spans="1:33" ht="11.1" customHeight="1" x14ac:dyDescent="0.2">
      <c r="A104" s="9" t="s">
        <v>108</v>
      </c>
      <c r="B104" s="9" t="s">
        <v>18</v>
      </c>
      <c r="C104" s="10">
        <v>58</v>
      </c>
      <c r="D104" s="10">
        <v>80</v>
      </c>
      <c r="E104" s="10">
        <v>86</v>
      </c>
      <c r="F104" s="10">
        <v>44</v>
      </c>
      <c r="G104" s="5" t="str">
        <f>VLOOKUP(A:A,[1]TDSheet!$A:$G,7,0)</f>
        <v>P005022</v>
      </c>
      <c r="H104" s="5">
        <f>VLOOKUP(A:A,[1]TDSheet!$A:$H,8,0)</f>
        <v>5.5E-2</v>
      </c>
      <c r="I104" s="5">
        <f>VLOOKUP(A:A,[1]TDSheet!$A:$I,9,0)</f>
        <v>90</v>
      </c>
      <c r="J104" s="5" t="str">
        <f>VLOOKUP(A:A,[1]TDSheet!$A:$J,10,0)</f>
        <v>матрица</v>
      </c>
      <c r="L104" s="21">
        <f>VLOOKUP(A:A,[2]TDSheet!$A:$B,2,0)</f>
        <v>86</v>
      </c>
      <c r="M104" s="21">
        <f t="shared" si="11"/>
        <v>0</v>
      </c>
      <c r="N104" s="21"/>
      <c r="O104" s="21">
        <f>VLOOKUP(A:A,[1]TDSheet!$A:$P,16,0)</f>
        <v>0</v>
      </c>
      <c r="P104" s="21">
        <f>VLOOKUP(A:A,[1]TDSheet!$A:$Q,17,0)</f>
        <v>0</v>
      </c>
      <c r="Q104" s="21">
        <f>VLOOKUP(A:A,[1]TDSheet!$A:$R,18,0)</f>
        <v>0</v>
      </c>
      <c r="R104" s="21">
        <f>VLOOKUP(A:A,[1]TDSheet!$A:$T,20,0)</f>
        <v>120</v>
      </c>
      <c r="S104" s="21">
        <f>VLOOKUP(A:A,[1]TDSheet!$A:$N,14,0)</f>
        <v>10</v>
      </c>
      <c r="T104" s="21">
        <f>VLOOKUP(A:A,[1]TDSheet!$A:$V,22,0)</f>
        <v>10</v>
      </c>
      <c r="U104" s="21">
        <f t="shared" si="12"/>
        <v>17.2</v>
      </c>
      <c r="V104" s="22">
        <f t="shared" si="13"/>
        <v>5.1999999999999886</v>
      </c>
      <c r="W104" s="22"/>
      <c r="X104" s="21"/>
      <c r="Y104" s="21">
        <f t="shared" si="14"/>
        <v>11</v>
      </c>
      <c r="Z104" s="21">
        <f t="shared" si="15"/>
        <v>2.558139534883721</v>
      </c>
      <c r="AA104" s="21">
        <f>VLOOKUP(A:A,[1]TDSheet!$A:$AB,28,0)</f>
        <v>11.8</v>
      </c>
      <c r="AB104" s="21">
        <f>VLOOKUP(A:A,[1]TDSheet!$A:$AC,29,0)</f>
        <v>11.2</v>
      </c>
      <c r="AC104" s="21">
        <f>VLOOKUP(A:A,[1]TDSheet!$A:$AD,30,0)</f>
        <v>14</v>
      </c>
      <c r="AD104" s="21">
        <f>VLOOKUP(A:A,[1]TDSheet!$A:$U,21,0)</f>
        <v>14.2</v>
      </c>
      <c r="AE104" s="21"/>
      <c r="AF104" s="21">
        <f t="shared" si="16"/>
        <v>0.28599999999999937</v>
      </c>
      <c r="AG104" s="21"/>
    </row>
    <row r="105" spans="1:33" ht="11.1" customHeight="1" x14ac:dyDescent="0.2">
      <c r="A105" s="9" t="s">
        <v>109</v>
      </c>
      <c r="B105" s="9" t="s">
        <v>18</v>
      </c>
      <c r="C105" s="10">
        <v>38</v>
      </c>
      <c r="D105" s="10">
        <v>55</v>
      </c>
      <c r="E105" s="10">
        <v>51</v>
      </c>
      <c r="F105" s="10">
        <v>36</v>
      </c>
      <c r="G105" s="5" t="str">
        <f>VLOOKUP(A:A,[1]TDSheet!$A:$G,7,0)</f>
        <v>P005021</v>
      </c>
      <c r="H105" s="5">
        <f>VLOOKUP(A:A,[1]TDSheet!$A:$H,8,0)</f>
        <v>5.5E-2</v>
      </c>
      <c r="I105" s="5">
        <f>VLOOKUP(A:A,[1]TDSheet!$A:$I,9,0)</f>
        <v>90</v>
      </c>
      <c r="J105" s="5" t="str">
        <f>VLOOKUP(A:A,[1]TDSheet!$A:$J,10,0)</f>
        <v>выв08,05,</v>
      </c>
      <c r="L105" s="21">
        <f>VLOOKUP(A:A,[2]TDSheet!$A:$B,2,0)</f>
        <v>60</v>
      </c>
      <c r="M105" s="21">
        <f t="shared" si="11"/>
        <v>-9</v>
      </c>
      <c r="N105" s="21"/>
      <c r="O105" s="21">
        <f>VLOOKUP(A:A,[1]TDSheet!$A:$P,16,0)</f>
        <v>0</v>
      </c>
      <c r="P105" s="21">
        <f>VLOOKUP(A:A,[1]TDSheet!$A:$Q,17,0)</f>
        <v>0</v>
      </c>
      <c r="Q105" s="21">
        <f>VLOOKUP(A:A,[1]TDSheet!$A:$R,18,0)</f>
        <v>0</v>
      </c>
      <c r="R105" s="21">
        <f>VLOOKUP(A:A,[1]TDSheet!$A:$T,20,0)</f>
        <v>120</v>
      </c>
      <c r="S105" s="21">
        <f>VLOOKUP(A:A,[1]TDSheet!$A:$N,14,0)</f>
        <v>10</v>
      </c>
      <c r="T105" s="21">
        <f>VLOOKUP(A:A,[1]TDSheet!$A:$V,22,0)</f>
        <v>0</v>
      </c>
      <c r="U105" s="21">
        <f t="shared" si="12"/>
        <v>10.199999999999999</v>
      </c>
      <c r="V105" s="22"/>
      <c r="W105" s="22"/>
      <c r="X105" s="21"/>
      <c r="Y105" s="21">
        <f t="shared" si="14"/>
        <v>16.274509803921571</v>
      </c>
      <c r="Z105" s="21">
        <f t="shared" si="15"/>
        <v>3.5294117647058827</v>
      </c>
      <c r="AA105" s="21">
        <f>VLOOKUP(A:A,[1]TDSheet!$A:$AB,28,0)</f>
        <v>7.6</v>
      </c>
      <c r="AB105" s="21">
        <f>VLOOKUP(A:A,[1]TDSheet!$A:$AC,29,0)</f>
        <v>9.8000000000000007</v>
      </c>
      <c r="AC105" s="21">
        <f>VLOOKUP(A:A,[1]TDSheet!$A:$AD,30,0)</f>
        <v>10.8</v>
      </c>
      <c r="AD105" s="21">
        <f>VLOOKUP(A:A,[1]TDSheet!$A:$U,21,0)</f>
        <v>12.8</v>
      </c>
      <c r="AE105" s="21"/>
      <c r="AF105" s="21">
        <f t="shared" si="16"/>
        <v>0</v>
      </c>
      <c r="AG105" s="21"/>
    </row>
    <row r="106" spans="1:33" ht="21.95" customHeight="1" x14ac:dyDescent="0.2">
      <c r="A106" s="27" t="s">
        <v>110</v>
      </c>
      <c r="B106" s="9" t="s">
        <v>18</v>
      </c>
      <c r="C106" s="10">
        <v>52</v>
      </c>
      <c r="D106" s="10">
        <v>7</v>
      </c>
      <c r="E106" s="10">
        <v>4</v>
      </c>
      <c r="F106" s="10">
        <v>50</v>
      </c>
      <c r="G106" s="5" t="str">
        <f>VLOOKUP(A:A,[1]TDSheet!$A:$G,7,0)</f>
        <v>P004917</v>
      </c>
      <c r="H106" s="5">
        <f>VLOOKUP(A:A,[1]TDSheet!$A:$H,8,0)</f>
        <v>0.4</v>
      </c>
      <c r="L106" s="21">
        <f>VLOOKUP(A:A,[2]TDSheet!$A:$B,2,0)</f>
        <v>9</v>
      </c>
      <c r="M106" s="21">
        <f t="shared" si="11"/>
        <v>-5</v>
      </c>
      <c r="N106" s="21"/>
      <c r="O106" s="21">
        <f>VLOOKUP(A:A,[1]TDSheet!$A:$P,16,0)</f>
        <v>0</v>
      </c>
      <c r="P106" s="21">
        <f>VLOOKUP(A:A,[1]TDSheet!$A:$Q,17,0)</f>
        <v>0</v>
      </c>
      <c r="Q106" s="21">
        <f>VLOOKUP(A:A,[1]TDSheet!$A:$R,18,0)</f>
        <v>0</v>
      </c>
      <c r="R106" s="21">
        <f>VLOOKUP(A:A,[1]TDSheet!$A:$T,20,0)</f>
        <v>0</v>
      </c>
      <c r="S106" s="21">
        <f>VLOOKUP(A:A,[1]TDSheet!$A:$N,14,0)</f>
        <v>0</v>
      </c>
      <c r="T106" s="21">
        <f>VLOOKUP(A:A,[1]TDSheet!$A:$V,22,0)</f>
        <v>0</v>
      </c>
      <c r="U106" s="21">
        <f t="shared" si="12"/>
        <v>0.8</v>
      </c>
      <c r="V106" s="22"/>
      <c r="W106" s="22"/>
      <c r="X106" s="21"/>
      <c r="Y106" s="21">
        <f t="shared" si="14"/>
        <v>62.5</v>
      </c>
      <c r="Z106" s="21">
        <f t="shared" si="15"/>
        <v>62.5</v>
      </c>
      <c r="AA106" s="21">
        <f>VLOOKUP(A:A,[1]TDSheet!$A:$AB,28,0)</f>
        <v>-0.4</v>
      </c>
      <c r="AB106" s="21">
        <f>VLOOKUP(A:A,[1]TDSheet!$A:$AC,29,0)</f>
        <v>0.6</v>
      </c>
      <c r="AC106" s="21">
        <f>VLOOKUP(A:A,[1]TDSheet!$A:$AD,30,0)</f>
        <v>0.4</v>
      </c>
      <c r="AD106" s="21">
        <f>VLOOKUP(A:A,[1]TDSheet!$A:$U,21,0)</f>
        <v>1.6</v>
      </c>
      <c r="AE106" s="21"/>
      <c r="AF106" s="21">
        <f t="shared" si="16"/>
        <v>0</v>
      </c>
      <c r="AG106" s="21"/>
    </row>
    <row r="107" spans="1:33" ht="11.1" customHeight="1" x14ac:dyDescent="0.2">
      <c r="A107" s="9" t="s">
        <v>111</v>
      </c>
      <c r="B107" s="9" t="s">
        <v>18</v>
      </c>
      <c r="C107" s="10">
        <v>6</v>
      </c>
      <c r="D107" s="10">
        <v>236</v>
      </c>
      <c r="E107" s="10">
        <v>140</v>
      </c>
      <c r="F107" s="10">
        <v>46</v>
      </c>
      <c r="G107" s="5" t="str">
        <f>VLOOKUP(A:A,[1]TDSheet!$A:$G,7,0)</f>
        <v>P005150</v>
      </c>
      <c r="H107" s="5">
        <f>VLOOKUP(A:A,[1]TDSheet!$A:$H,8,0)</f>
        <v>0.3</v>
      </c>
      <c r="L107" s="21">
        <f>VLOOKUP(A:A,[2]TDSheet!$A:$B,2,0)</f>
        <v>173</v>
      </c>
      <c r="M107" s="21">
        <f t="shared" si="11"/>
        <v>-33</v>
      </c>
      <c r="N107" s="21"/>
      <c r="O107" s="21">
        <f>VLOOKUP(A:A,[1]TDSheet!$A:$P,16,0)</f>
        <v>0</v>
      </c>
      <c r="P107" s="21">
        <f>VLOOKUP(A:A,[1]TDSheet!$A:$Q,17,0)</f>
        <v>0</v>
      </c>
      <c r="Q107" s="21">
        <f>VLOOKUP(A:A,[1]TDSheet!$A:$R,18,0)</f>
        <v>0</v>
      </c>
      <c r="R107" s="21">
        <f>VLOOKUP(A:A,[1]TDSheet!$A:$T,20,0)</f>
        <v>160</v>
      </c>
      <c r="S107" s="21">
        <f>VLOOKUP(A:A,[1]TDSheet!$A:$N,14,0)</f>
        <v>60</v>
      </c>
      <c r="T107" s="21">
        <f>VLOOKUP(A:A,[1]TDSheet!$A:$V,22,0)</f>
        <v>60</v>
      </c>
      <c r="U107" s="21">
        <f t="shared" si="12"/>
        <v>28</v>
      </c>
      <c r="V107" s="22"/>
      <c r="W107" s="28">
        <v>40</v>
      </c>
      <c r="X107" s="29" t="s">
        <v>168</v>
      </c>
      <c r="Y107" s="21">
        <f t="shared" si="14"/>
        <v>11.642857142857142</v>
      </c>
      <c r="Z107" s="21">
        <f t="shared" si="15"/>
        <v>1.6428571428571428</v>
      </c>
      <c r="AA107" s="21">
        <f>VLOOKUP(A:A,[1]TDSheet!$A:$AB,28,0)</f>
        <v>18.399999999999999</v>
      </c>
      <c r="AB107" s="21">
        <f>VLOOKUP(A:A,[1]TDSheet!$A:$AC,29,0)</f>
        <v>21.8</v>
      </c>
      <c r="AC107" s="21">
        <f>VLOOKUP(A:A,[1]TDSheet!$A:$AD,30,0)</f>
        <v>25</v>
      </c>
      <c r="AD107" s="21">
        <f>VLOOKUP(A:A,[1]TDSheet!$A:$U,21,0)</f>
        <v>24.6</v>
      </c>
      <c r="AE107" s="21"/>
      <c r="AF107" s="21">
        <f t="shared" si="16"/>
        <v>0</v>
      </c>
      <c r="AG107" s="21"/>
    </row>
    <row r="108" spans="1:33" ht="11.1" customHeight="1" x14ac:dyDescent="0.2">
      <c r="A108" s="9" t="s">
        <v>112</v>
      </c>
      <c r="B108" s="9" t="s">
        <v>14</v>
      </c>
      <c r="C108" s="10">
        <v>138.495</v>
      </c>
      <c r="D108" s="10">
        <v>3.3820000000000001</v>
      </c>
      <c r="E108" s="10">
        <v>123.848</v>
      </c>
      <c r="F108" s="10">
        <v>16.37</v>
      </c>
      <c r="G108" s="5" t="str">
        <f>VLOOKUP(A:A,[1]TDSheet!$A:$G,7,0)</f>
        <v>P005156</v>
      </c>
      <c r="H108" s="5">
        <f>VLOOKUP(A:A,[1]TDSheet!$A:$H,8,0)</f>
        <v>1</v>
      </c>
      <c r="L108" s="21">
        <f>VLOOKUP(A:A,[2]TDSheet!$A:$B,2,0)</f>
        <v>117.5</v>
      </c>
      <c r="M108" s="21">
        <f t="shared" si="11"/>
        <v>6.347999999999999</v>
      </c>
      <c r="N108" s="21"/>
      <c r="O108" s="21">
        <f>VLOOKUP(A:A,[1]TDSheet!$A:$P,16,0)</f>
        <v>0</v>
      </c>
      <c r="P108" s="21">
        <f>VLOOKUP(A:A,[1]TDSheet!$A:$Q,17,0)</f>
        <v>0</v>
      </c>
      <c r="Q108" s="21">
        <f>VLOOKUP(A:A,[1]TDSheet!$A:$R,18,0)</f>
        <v>0</v>
      </c>
      <c r="R108" s="21">
        <f>VLOOKUP(A:A,[1]TDSheet!$A:$T,20,0)</f>
        <v>70</v>
      </c>
      <c r="S108" s="21">
        <f>VLOOKUP(A:A,[1]TDSheet!$A:$N,14,0)</f>
        <v>45</v>
      </c>
      <c r="T108" s="21">
        <f>VLOOKUP(A:A,[1]TDSheet!$A:$V,22,0)</f>
        <v>45</v>
      </c>
      <c r="U108" s="21">
        <f t="shared" si="12"/>
        <v>24.769600000000001</v>
      </c>
      <c r="V108" s="22">
        <f t="shared" si="13"/>
        <v>96.09559999999999</v>
      </c>
      <c r="W108" s="22"/>
      <c r="X108" s="21"/>
      <c r="Y108" s="21">
        <f t="shared" si="14"/>
        <v>11</v>
      </c>
      <c r="Z108" s="21">
        <f t="shared" si="15"/>
        <v>0.66089076933014668</v>
      </c>
      <c r="AA108" s="21">
        <f>VLOOKUP(A:A,[1]TDSheet!$A:$AB,28,0)</f>
        <v>30.543400000000002</v>
      </c>
      <c r="AB108" s="21">
        <f>VLOOKUP(A:A,[1]TDSheet!$A:$AC,29,0)</f>
        <v>15.1296</v>
      </c>
      <c r="AC108" s="21">
        <f>VLOOKUP(A:A,[1]TDSheet!$A:$AD,30,0)</f>
        <v>19.228400000000001</v>
      </c>
      <c r="AD108" s="21">
        <f>VLOOKUP(A:A,[1]TDSheet!$A:$U,21,0)</f>
        <v>22.8644</v>
      </c>
      <c r="AE108" s="21"/>
      <c r="AF108" s="21">
        <f t="shared" si="16"/>
        <v>96.09559999999999</v>
      </c>
      <c r="AG108" s="21"/>
    </row>
    <row r="109" spans="1:33" ht="21.95" customHeight="1" x14ac:dyDescent="0.2">
      <c r="A109" s="27" t="s">
        <v>113</v>
      </c>
      <c r="B109" s="9" t="s">
        <v>18</v>
      </c>
      <c r="C109" s="10">
        <v>1</v>
      </c>
      <c r="D109" s="10">
        <v>11</v>
      </c>
      <c r="E109" s="10">
        <v>4</v>
      </c>
      <c r="F109" s="10">
        <v>8</v>
      </c>
      <c r="G109" s="5" t="str">
        <f>VLOOKUP(A:A,[1]TDSheet!$A:$G,7,0)</f>
        <v>P002639</v>
      </c>
      <c r="H109" s="5">
        <f>VLOOKUP(A:A,[1]TDSheet!$A:$H,8,0)</f>
        <v>0.1</v>
      </c>
      <c r="L109" s="21">
        <f>VLOOKUP(A:A,[2]TDSheet!$A:$B,2,0)</f>
        <v>4</v>
      </c>
      <c r="M109" s="21">
        <f t="shared" si="11"/>
        <v>0</v>
      </c>
      <c r="N109" s="21"/>
      <c r="O109" s="21">
        <f>VLOOKUP(A:A,[1]TDSheet!$A:$P,16,0)</f>
        <v>0</v>
      </c>
      <c r="P109" s="21">
        <f>VLOOKUP(A:A,[1]TDSheet!$A:$Q,17,0)</f>
        <v>0</v>
      </c>
      <c r="Q109" s="21">
        <f>VLOOKUP(A:A,[1]TDSheet!$A:$R,18,0)</f>
        <v>0</v>
      </c>
      <c r="R109" s="21">
        <f>VLOOKUP(A:A,[1]TDSheet!$A:$T,20,0)</f>
        <v>30</v>
      </c>
      <c r="S109" s="21">
        <f>VLOOKUP(A:A,[1]TDSheet!$A:$N,14,0)</f>
        <v>0</v>
      </c>
      <c r="T109" s="21">
        <f>VLOOKUP(A:A,[1]TDSheet!$A:$V,22,0)</f>
        <v>0</v>
      </c>
      <c r="U109" s="21">
        <f t="shared" si="12"/>
        <v>0.8</v>
      </c>
      <c r="V109" s="22"/>
      <c r="W109" s="22"/>
      <c r="X109" s="21"/>
      <c r="Y109" s="21">
        <f t="shared" si="14"/>
        <v>47.5</v>
      </c>
      <c r="Z109" s="21">
        <f t="shared" si="15"/>
        <v>10</v>
      </c>
      <c r="AA109" s="21">
        <f>VLOOKUP(A:A,[1]TDSheet!$A:$AB,28,0)</f>
        <v>1.8</v>
      </c>
      <c r="AB109" s="21">
        <f>VLOOKUP(A:A,[1]TDSheet!$A:$AC,29,0)</f>
        <v>0</v>
      </c>
      <c r="AC109" s="21">
        <f>VLOOKUP(A:A,[1]TDSheet!$A:$AD,30,0)</f>
        <v>1.6</v>
      </c>
      <c r="AD109" s="21">
        <f>VLOOKUP(A:A,[1]TDSheet!$A:$U,21,0)</f>
        <v>1.8</v>
      </c>
      <c r="AE109" s="21"/>
      <c r="AF109" s="21">
        <f t="shared" si="16"/>
        <v>0</v>
      </c>
      <c r="AG109" s="21"/>
    </row>
    <row r="110" spans="1:33" ht="21.95" customHeight="1" x14ac:dyDescent="0.2">
      <c r="A110" s="9" t="s">
        <v>114</v>
      </c>
      <c r="B110" s="9" t="s">
        <v>18</v>
      </c>
      <c r="C110" s="10">
        <v>135</v>
      </c>
      <c r="D110" s="10">
        <v>174</v>
      </c>
      <c r="E110" s="10">
        <v>197</v>
      </c>
      <c r="F110" s="10">
        <v>79</v>
      </c>
      <c r="G110" s="5" t="str">
        <f>VLOOKUP(A:A,[1]TDSheet!$A:$G,7,0)</f>
        <v>P005155</v>
      </c>
      <c r="H110" s="5">
        <f>VLOOKUP(A:A,[1]TDSheet!$A:$H,8,0)</f>
        <v>0.08</v>
      </c>
      <c r="L110" s="21">
        <f>VLOOKUP(A:A,[2]TDSheet!$A:$B,2,0)</f>
        <v>203</v>
      </c>
      <c r="M110" s="21">
        <f t="shared" si="11"/>
        <v>-6</v>
      </c>
      <c r="N110" s="21"/>
      <c r="O110" s="21">
        <f>VLOOKUP(A:A,[1]TDSheet!$A:$P,16,0)</f>
        <v>0</v>
      </c>
      <c r="P110" s="21">
        <f>VLOOKUP(A:A,[1]TDSheet!$A:$Q,17,0)</f>
        <v>0</v>
      </c>
      <c r="Q110" s="21">
        <f>VLOOKUP(A:A,[1]TDSheet!$A:$R,18,0)</f>
        <v>0</v>
      </c>
      <c r="R110" s="21">
        <f>VLOOKUP(A:A,[1]TDSheet!$A:$T,20,0)</f>
        <v>240</v>
      </c>
      <c r="S110" s="21">
        <f>VLOOKUP(A:A,[1]TDSheet!$A:$N,14,0)</f>
        <v>60</v>
      </c>
      <c r="T110" s="21">
        <f>VLOOKUP(A:A,[1]TDSheet!$A:$V,22,0)</f>
        <v>60</v>
      </c>
      <c r="U110" s="21">
        <f t="shared" si="12"/>
        <v>39.4</v>
      </c>
      <c r="V110" s="22"/>
      <c r="W110" s="22"/>
      <c r="X110" s="21"/>
      <c r="Y110" s="21">
        <f t="shared" si="14"/>
        <v>11.142131979695431</v>
      </c>
      <c r="Z110" s="21">
        <f t="shared" si="15"/>
        <v>2.0050761421319798</v>
      </c>
      <c r="AA110" s="21">
        <f>VLOOKUP(A:A,[1]TDSheet!$A:$AB,28,0)</f>
        <v>36.6</v>
      </c>
      <c r="AB110" s="21">
        <f>VLOOKUP(A:A,[1]TDSheet!$A:$AC,29,0)</f>
        <v>40</v>
      </c>
      <c r="AC110" s="21">
        <f>VLOOKUP(A:A,[1]TDSheet!$A:$AD,30,0)</f>
        <v>36.4</v>
      </c>
      <c r="AD110" s="21">
        <f>VLOOKUP(A:A,[1]TDSheet!$A:$U,21,0)</f>
        <v>42.4</v>
      </c>
      <c r="AE110" s="21"/>
      <c r="AF110" s="21">
        <f t="shared" si="16"/>
        <v>0</v>
      </c>
      <c r="AG110" s="21"/>
    </row>
    <row r="111" spans="1:33" ht="21.95" customHeight="1" x14ac:dyDescent="0.2">
      <c r="A111" s="9" t="s">
        <v>115</v>
      </c>
      <c r="B111" s="9" t="s">
        <v>18</v>
      </c>
      <c r="C111" s="10">
        <v>96</v>
      </c>
      <c r="D111" s="10">
        <v>25</v>
      </c>
      <c r="E111" s="10">
        <v>104</v>
      </c>
      <c r="F111" s="10">
        <v>2</v>
      </c>
      <c r="G111" s="5" t="str">
        <f>VLOOKUP(A:A,[1]TDSheet!$A:$G,7,0)</f>
        <v>P003837</v>
      </c>
      <c r="H111" s="5">
        <f>VLOOKUP(A:A,[1]TDSheet!$A:$H,8,0)</f>
        <v>0.08</v>
      </c>
      <c r="L111" s="21">
        <f>VLOOKUP(A:A,[2]TDSheet!$A:$B,2,0)</f>
        <v>109</v>
      </c>
      <c r="M111" s="21">
        <f t="shared" si="11"/>
        <v>-5</v>
      </c>
      <c r="N111" s="21"/>
      <c r="O111" s="21">
        <f>VLOOKUP(A:A,[1]TDSheet!$A:$P,16,0)</f>
        <v>0</v>
      </c>
      <c r="P111" s="21">
        <f>VLOOKUP(A:A,[1]TDSheet!$A:$Q,17,0)</f>
        <v>0</v>
      </c>
      <c r="Q111" s="21">
        <f>VLOOKUP(A:A,[1]TDSheet!$A:$R,18,0)</f>
        <v>0</v>
      </c>
      <c r="R111" s="21">
        <f>VLOOKUP(A:A,[1]TDSheet!$A:$T,20,0)</f>
        <v>250</v>
      </c>
      <c r="S111" s="21">
        <f>VLOOKUP(A:A,[1]TDSheet!$A:$N,14,0)</f>
        <v>50</v>
      </c>
      <c r="T111" s="21">
        <f>VLOOKUP(A:A,[1]TDSheet!$A:$V,22,0)</f>
        <v>50</v>
      </c>
      <c r="U111" s="21">
        <f t="shared" si="12"/>
        <v>20.8</v>
      </c>
      <c r="V111" s="22"/>
      <c r="W111" s="22"/>
      <c r="X111" s="21"/>
      <c r="Y111" s="21">
        <f t="shared" si="14"/>
        <v>16.923076923076923</v>
      </c>
      <c r="Z111" s="21">
        <f t="shared" si="15"/>
        <v>9.6153846153846145E-2</v>
      </c>
      <c r="AA111" s="21">
        <f>VLOOKUP(A:A,[1]TDSheet!$A:$AB,28,0)</f>
        <v>14</v>
      </c>
      <c r="AB111" s="21">
        <f>VLOOKUP(A:A,[1]TDSheet!$A:$AC,29,0)</f>
        <v>28.2</v>
      </c>
      <c r="AC111" s="21">
        <f>VLOOKUP(A:A,[1]TDSheet!$A:$AD,30,0)</f>
        <v>20</v>
      </c>
      <c r="AD111" s="21">
        <f>VLOOKUP(A:A,[1]TDSheet!$A:$U,21,0)</f>
        <v>34.4</v>
      </c>
      <c r="AE111" s="21" t="str">
        <f>VLOOKUP(A:A,[1]TDSheet!$A:$AE,31,0)</f>
        <v>потребность филиала</v>
      </c>
      <c r="AF111" s="21">
        <f t="shared" si="16"/>
        <v>0</v>
      </c>
      <c r="AG111" s="21"/>
    </row>
    <row r="112" spans="1:33" ht="21.95" customHeight="1" x14ac:dyDescent="0.2">
      <c r="A112" s="27" t="s">
        <v>116</v>
      </c>
      <c r="B112" s="9" t="s">
        <v>18</v>
      </c>
      <c r="C112" s="10">
        <v>42</v>
      </c>
      <c r="D112" s="10">
        <v>1</v>
      </c>
      <c r="E112" s="10">
        <v>7</v>
      </c>
      <c r="F112" s="10">
        <v>36</v>
      </c>
      <c r="G112" s="5" t="str">
        <f>VLOOKUP(A:A,[1]TDSheet!$A:$G,7,0)</f>
        <v>P002641</v>
      </c>
      <c r="H112" s="5">
        <f>VLOOKUP(A:A,[1]TDSheet!$A:$H,8,0)</f>
        <v>0.17</v>
      </c>
      <c r="L112" s="21">
        <f>VLOOKUP(A:A,[2]TDSheet!$A:$B,2,0)</f>
        <v>7</v>
      </c>
      <c r="M112" s="21">
        <f t="shared" si="11"/>
        <v>0</v>
      </c>
      <c r="N112" s="21"/>
      <c r="O112" s="21">
        <f>VLOOKUP(A:A,[1]TDSheet!$A:$P,16,0)</f>
        <v>0</v>
      </c>
      <c r="P112" s="21">
        <f>VLOOKUP(A:A,[1]TDSheet!$A:$Q,17,0)</f>
        <v>0</v>
      </c>
      <c r="Q112" s="21">
        <f>VLOOKUP(A:A,[1]TDSheet!$A:$R,18,0)</f>
        <v>0</v>
      </c>
      <c r="R112" s="21">
        <f>VLOOKUP(A:A,[1]TDSheet!$A:$T,20,0)</f>
        <v>0</v>
      </c>
      <c r="S112" s="21">
        <f>VLOOKUP(A:A,[1]TDSheet!$A:$N,14,0)</f>
        <v>0</v>
      </c>
      <c r="T112" s="21">
        <f>VLOOKUP(A:A,[1]TDSheet!$A:$V,22,0)</f>
        <v>0</v>
      </c>
      <c r="U112" s="21">
        <f t="shared" si="12"/>
        <v>1.4</v>
      </c>
      <c r="V112" s="22"/>
      <c r="W112" s="22"/>
      <c r="X112" s="21"/>
      <c r="Y112" s="21">
        <f t="shared" si="14"/>
        <v>25.714285714285715</v>
      </c>
      <c r="Z112" s="21">
        <f t="shared" si="15"/>
        <v>25.714285714285715</v>
      </c>
      <c r="AA112" s="21">
        <f>VLOOKUP(A:A,[1]TDSheet!$A:$AB,28,0)</f>
        <v>3.4</v>
      </c>
      <c r="AB112" s="21">
        <f>VLOOKUP(A:A,[1]TDSheet!$A:$AC,29,0)</f>
        <v>0.8</v>
      </c>
      <c r="AC112" s="21">
        <f>VLOOKUP(A:A,[1]TDSheet!$A:$AD,30,0)</f>
        <v>2</v>
      </c>
      <c r="AD112" s="21">
        <f>VLOOKUP(A:A,[1]TDSheet!$A:$U,21,0)</f>
        <v>-0.4</v>
      </c>
      <c r="AE112" s="21"/>
      <c r="AF112" s="21">
        <f t="shared" si="16"/>
        <v>0</v>
      </c>
      <c r="AG112" s="21"/>
    </row>
    <row r="113" spans="1:33" ht="21.95" customHeight="1" x14ac:dyDescent="0.2">
      <c r="A113" s="9" t="s">
        <v>117</v>
      </c>
      <c r="B113" s="9" t="s">
        <v>14</v>
      </c>
      <c r="C113" s="10">
        <v>284.79899999999998</v>
      </c>
      <c r="D113" s="10">
        <v>470.19400000000002</v>
      </c>
      <c r="E113" s="10">
        <v>351.06299999999999</v>
      </c>
      <c r="F113" s="10">
        <v>363.40899999999999</v>
      </c>
      <c r="G113" s="5" t="str">
        <f>VLOOKUP(A:A,[1]TDSheet!$A:$G,7,0)</f>
        <v>P005376</v>
      </c>
      <c r="H113" s="5">
        <f>VLOOKUP(A:A,[1]TDSheet!$A:$H,8,0)</f>
        <v>1</v>
      </c>
      <c r="L113" s="21">
        <f>VLOOKUP(A:A,[2]TDSheet!$A:$B,2,0)</f>
        <v>368.4</v>
      </c>
      <c r="M113" s="21">
        <f t="shared" si="11"/>
        <v>-17.336999999999989</v>
      </c>
      <c r="N113" s="21"/>
      <c r="O113" s="21">
        <f>VLOOKUP(A:A,[1]TDSheet!$A:$P,16,0)</f>
        <v>0</v>
      </c>
      <c r="P113" s="21">
        <f>VLOOKUP(A:A,[1]TDSheet!$A:$Q,17,0)</f>
        <v>0</v>
      </c>
      <c r="Q113" s="21">
        <f>VLOOKUP(A:A,[1]TDSheet!$A:$R,18,0)</f>
        <v>0</v>
      </c>
      <c r="R113" s="21">
        <f>VLOOKUP(A:A,[1]TDSheet!$A:$T,20,0)</f>
        <v>260</v>
      </c>
      <c r="S113" s="21">
        <f>VLOOKUP(A:A,[1]TDSheet!$A:$N,14,0)</f>
        <v>100</v>
      </c>
      <c r="T113" s="21">
        <f>VLOOKUP(A:A,[1]TDSheet!$A:$V,22,0)</f>
        <v>100</v>
      </c>
      <c r="U113" s="21">
        <f t="shared" si="12"/>
        <v>70.212599999999995</v>
      </c>
      <c r="V113" s="22"/>
      <c r="W113" s="28">
        <v>160</v>
      </c>
      <c r="X113" s="29" t="s">
        <v>168</v>
      </c>
      <c r="Y113" s="21">
        <f t="shared" si="14"/>
        <v>11.727368022263811</v>
      </c>
      <c r="Z113" s="21">
        <f t="shared" si="15"/>
        <v>5.1758373853126081</v>
      </c>
      <c r="AA113" s="21">
        <f>VLOOKUP(A:A,[1]TDSheet!$A:$AB,28,0)</f>
        <v>44.884399999999999</v>
      </c>
      <c r="AB113" s="21">
        <f>VLOOKUP(A:A,[1]TDSheet!$A:$AC,29,0)</f>
        <v>61.707599999999999</v>
      </c>
      <c r="AC113" s="21">
        <f>VLOOKUP(A:A,[1]TDSheet!$A:$AD,30,0)</f>
        <v>80.659400000000005</v>
      </c>
      <c r="AD113" s="21">
        <f>VLOOKUP(A:A,[1]TDSheet!$A:$U,21,0)</f>
        <v>71.038399999999996</v>
      </c>
      <c r="AE113" s="21" t="str">
        <f>VLOOKUP(A:A,[1]TDSheet!$A:$AE,31,0)</f>
        <v>промо июнь</v>
      </c>
      <c r="AF113" s="21">
        <f t="shared" si="16"/>
        <v>0</v>
      </c>
      <c r="AG113" s="21"/>
    </row>
    <row r="114" spans="1:33" ht="21.95" customHeight="1" x14ac:dyDescent="0.2">
      <c r="A114" s="27" t="s">
        <v>118</v>
      </c>
      <c r="B114" s="9" t="s">
        <v>14</v>
      </c>
      <c r="C114" s="10">
        <v>72.391999999999996</v>
      </c>
      <c r="D114" s="10">
        <v>207.976</v>
      </c>
      <c r="E114" s="10">
        <v>148.124</v>
      </c>
      <c r="F114" s="10">
        <v>99.087000000000003</v>
      </c>
      <c r="G114" s="5" t="str">
        <f>VLOOKUP(A:A,[1]TDSheet!$A:$G,7,0)</f>
        <v>P005377</v>
      </c>
      <c r="H114" s="5">
        <f>VLOOKUP(A:A,[1]TDSheet!$A:$H,8,0)</f>
        <v>1</v>
      </c>
      <c r="L114" s="21">
        <f>VLOOKUP(A:A,[2]TDSheet!$A:$B,2,0)</f>
        <v>172.1</v>
      </c>
      <c r="M114" s="21">
        <f t="shared" si="11"/>
        <v>-23.975999999999999</v>
      </c>
      <c r="N114" s="21"/>
      <c r="O114" s="21">
        <f>VLOOKUP(A:A,[1]TDSheet!$A:$P,16,0)</f>
        <v>0</v>
      </c>
      <c r="P114" s="21">
        <f>VLOOKUP(A:A,[1]TDSheet!$A:$Q,17,0)</f>
        <v>0</v>
      </c>
      <c r="Q114" s="21">
        <f>VLOOKUP(A:A,[1]TDSheet!$A:$R,18,0)</f>
        <v>0</v>
      </c>
      <c r="R114" s="21">
        <f>VLOOKUP(A:A,[1]TDSheet!$A:$T,20,0)</f>
        <v>370</v>
      </c>
      <c r="S114" s="21">
        <f>VLOOKUP(A:A,[1]TDSheet!$A:$N,14,0)</f>
        <v>100</v>
      </c>
      <c r="T114" s="21">
        <f>VLOOKUP(A:A,[1]TDSheet!$A:$V,22,0)</f>
        <v>100</v>
      </c>
      <c r="U114" s="21">
        <f t="shared" si="12"/>
        <v>29.6248</v>
      </c>
      <c r="V114" s="22"/>
      <c r="W114" s="28">
        <v>180</v>
      </c>
      <c r="X114" s="29" t="s">
        <v>168</v>
      </c>
      <c r="Y114" s="21">
        <f t="shared" si="14"/>
        <v>22.585367664929382</v>
      </c>
      <c r="Z114" s="21">
        <f t="shared" si="15"/>
        <v>3.3447314412249196</v>
      </c>
      <c r="AA114" s="21">
        <f>VLOOKUP(A:A,[1]TDSheet!$A:$AB,28,0)</f>
        <v>0</v>
      </c>
      <c r="AB114" s="21">
        <f>VLOOKUP(A:A,[1]TDSheet!$A:$AC,29,0)</f>
        <v>4.1673999999999998</v>
      </c>
      <c r="AC114" s="21">
        <f>VLOOKUP(A:A,[1]TDSheet!$A:$AD,30,0)</f>
        <v>30.479000000000003</v>
      </c>
      <c r="AD114" s="21">
        <f>VLOOKUP(A:A,[1]TDSheet!$A:$U,21,0)</f>
        <v>36.467200000000005</v>
      </c>
      <c r="AE114" s="21"/>
      <c r="AF114" s="21">
        <f t="shared" si="16"/>
        <v>0</v>
      </c>
      <c r="AG114" s="21"/>
    </row>
    <row r="115" spans="1:33" ht="11.1" customHeight="1" x14ac:dyDescent="0.2">
      <c r="A115" s="9" t="s">
        <v>119</v>
      </c>
      <c r="B115" s="9" t="s">
        <v>14</v>
      </c>
      <c r="C115" s="10">
        <v>34.302999999999997</v>
      </c>
      <c r="D115" s="10">
        <v>1413.2149999999999</v>
      </c>
      <c r="E115" s="10">
        <v>438.95</v>
      </c>
      <c r="F115" s="10">
        <v>760.09699999999998</v>
      </c>
      <c r="G115" s="5" t="str">
        <f>VLOOKUP(A:A,[1]TDSheet!$A:$G,7,0)</f>
        <v>P005375</v>
      </c>
      <c r="H115" s="5">
        <f>VLOOKUP(A:A,[1]TDSheet!$A:$H,8,0)</f>
        <v>1</v>
      </c>
      <c r="L115" s="21">
        <f>VLOOKUP(A:A,[2]TDSheet!$A:$B,2,0)</f>
        <v>456.3</v>
      </c>
      <c r="M115" s="21">
        <f t="shared" si="11"/>
        <v>-17.350000000000023</v>
      </c>
      <c r="N115" s="21"/>
      <c r="O115" s="21">
        <f>VLOOKUP(A:A,[1]TDSheet!$A:$P,16,0)</f>
        <v>0</v>
      </c>
      <c r="P115" s="21">
        <f>VLOOKUP(A:A,[1]TDSheet!$A:$Q,17,0)</f>
        <v>0</v>
      </c>
      <c r="Q115" s="21">
        <f>VLOOKUP(A:A,[1]TDSheet!$A:$R,18,0)</f>
        <v>0</v>
      </c>
      <c r="R115" s="21">
        <f>VLOOKUP(A:A,[1]TDSheet!$A:$T,20,0)</f>
        <v>300</v>
      </c>
      <c r="S115" s="21">
        <f>VLOOKUP(A:A,[1]TDSheet!$A:$N,14,0)</f>
        <v>100</v>
      </c>
      <c r="T115" s="21">
        <f>VLOOKUP(A:A,[1]TDSheet!$A:$V,22,0)</f>
        <v>100</v>
      </c>
      <c r="U115" s="21">
        <f t="shared" si="12"/>
        <v>87.789999999999992</v>
      </c>
      <c r="V115" s="22"/>
      <c r="W115" s="28">
        <v>150</v>
      </c>
      <c r="X115" s="29" t="s">
        <v>168</v>
      </c>
      <c r="Y115" s="21">
        <f t="shared" si="14"/>
        <v>14.353536849299466</v>
      </c>
      <c r="Z115" s="21">
        <f t="shared" si="15"/>
        <v>8.6581273493564197</v>
      </c>
      <c r="AA115" s="21">
        <f>VLOOKUP(A:A,[1]TDSheet!$A:$AB,28,0)</f>
        <v>44.640799999999999</v>
      </c>
      <c r="AB115" s="21">
        <f>VLOOKUP(A:A,[1]TDSheet!$A:$AC,29,0)</f>
        <v>71.201400000000007</v>
      </c>
      <c r="AC115" s="21">
        <f>VLOOKUP(A:A,[1]TDSheet!$A:$AD,30,0)</f>
        <v>98.287000000000006</v>
      </c>
      <c r="AD115" s="21">
        <f>VLOOKUP(A:A,[1]TDSheet!$A:$U,21,0)</f>
        <v>86.225400000000008</v>
      </c>
      <c r="AE115" s="21" t="str">
        <f>VLOOKUP(A:A,[1]TDSheet!$A:$AE,31,0)</f>
        <v>промо</v>
      </c>
      <c r="AF115" s="21">
        <f t="shared" si="16"/>
        <v>0</v>
      </c>
      <c r="AG115" s="21"/>
    </row>
    <row r="116" spans="1:33" ht="21.95" customHeight="1" x14ac:dyDescent="0.2">
      <c r="A116" s="27" t="s">
        <v>120</v>
      </c>
      <c r="B116" s="9" t="s">
        <v>14</v>
      </c>
      <c r="C116" s="10">
        <v>77.097999999999999</v>
      </c>
      <c r="D116" s="10">
        <v>0.19900000000000001</v>
      </c>
      <c r="E116" s="10">
        <v>4.1559999999999997</v>
      </c>
      <c r="F116" s="10">
        <v>70.694000000000003</v>
      </c>
      <c r="G116" s="5" t="str">
        <f>VLOOKUP(A:A,[1]TDSheet!$A:$G,7,0)</f>
        <v>P005136</v>
      </c>
      <c r="H116" s="5">
        <f>VLOOKUP(A:A,[1]TDSheet!$A:$H,8,0)</f>
        <v>1</v>
      </c>
      <c r="L116" s="21">
        <f>VLOOKUP(A:A,[2]TDSheet!$A:$B,2,0)</f>
        <v>3.9</v>
      </c>
      <c r="M116" s="21">
        <f t="shared" si="11"/>
        <v>0.25599999999999978</v>
      </c>
      <c r="N116" s="21"/>
      <c r="O116" s="21">
        <f>VLOOKUP(A:A,[1]TDSheet!$A:$P,16,0)</f>
        <v>0</v>
      </c>
      <c r="P116" s="21">
        <f>VLOOKUP(A:A,[1]TDSheet!$A:$Q,17,0)</f>
        <v>0</v>
      </c>
      <c r="Q116" s="21">
        <f>VLOOKUP(A:A,[1]TDSheet!$A:$R,18,0)</f>
        <v>0</v>
      </c>
      <c r="R116" s="21">
        <f>VLOOKUP(A:A,[1]TDSheet!$A:$T,20,0)</f>
        <v>0</v>
      </c>
      <c r="S116" s="21">
        <f>VLOOKUP(A:A,[1]TDSheet!$A:$N,14,0)</f>
        <v>0</v>
      </c>
      <c r="T116" s="21">
        <f>VLOOKUP(A:A,[1]TDSheet!$A:$V,22,0)</f>
        <v>0</v>
      </c>
      <c r="U116" s="21">
        <f t="shared" si="12"/>
        <v>0.83119999999999994</v>
      </c>
      <c r="V116" s="22"/>
      <c r="W116" s="22"/>
      <c r="X116" s="21"/>
      <c r="Y116" s="21">
        <f t="shared" si="14"/>
        <v>85.050529355149195</v>
      </c>
      <c r="Z116" s="21">
        <f t="shared" si="15"/>
        <v>85.050529355149195</v>
      </c>
      <c r="AA116" s="21">
        <f>VLOOKUP(A:A,[1]TDSheet!$A:$AB,28,0)</f>
        <v>0.27599999999999997</v>
      </c>
      <c r="AB116" s="21">
        <f>VLOOKUP(A:A,[1]TDSheet!$A:$AC,29,0)</f>
        <v>0.5514</v>
      </c>
      <c r="AC116" s="21">
        <f>VLOOKUP(A:A,[1]TDSheet!$A:$AD,30,0)</f>
        <v>1.629</v>
      </c>
      <c r="AD116" s="21">
        <f>VLOOKUP(A:A,[1]TDSheet!$A:$U,21,0)</f>
        <v>0.29359999999999997</v>
      </c>
      <c r="AE116" s="21"/>
      <c r="AF116" s="21">
        <f t="shared" si="16"/>
        <v>0</v>
      </c>
      <c r="AG116" s="21"/>
    </row>
    <row r="117" spans="1:33" ht="21.95" customHeight="1" x14ac:dyDescent="0.2">
      <c r="A117" s="9" t="s">
        <v>121</v>
      </c>
      <c r="B117" s="9" t="s">
        <v>18</v>
      </c>
      <c r="C117" s="10">
        <v>377</v>
      </c>
      <c r="D117" s="10">
        <v>404</v>
      </c>
      <c r="E117" s="10">
        <v>324</v>
      </c>
      <c r="F117" s="10">
        <v>446</v>
      </c>
      <c r="G117" s="5" t="str">
        <f>VLOOKUP(A:A,[1]TDSheet!$A:$G,7,0)</f>
        <v>P005163</v>
      </c>
      <c r="H117" s="5">
        <f>VLOOKUP(A:A,[1]TDSheet!$A:$H,8,0)</f>
        <v>0.28000000000000003</v>
      </c>
      <c r="L117" s="21">
        <f>VLOOKUP(A:A,[2]TDSheet!$A:$B,2,0)</f>
        <v>337</v>
      </c>
      <c r="M117" s="21">
        <f t="shared" si="11"/>
        <v>-13</v>
      </c>
      <c r="N117" s="21"/>
      <c r="O117" s="21">
        <f>VLOOKUP(A:A,[1]TDSheet!$A:$P,16,0)</f>
        <v>0</v>
      </c>
      <c r="P117" s="21">
        <f>VLOOKUP(A:A,[1]TDSheet!$A:$Q,17,0)</f>
        <v>0</v>
      </c>
      <c r="Q117" s="21">
        <f>VLOOKUP(A:A,[1]TDSheet!$A:$R,18,0)</f>
        <v>0</v>
      </c>
      <c r="R117" s="21">
        <f>VLOOKUP(A:A,[1]TDSheet!$A:$T,20,0)</f>
        <v>330</v>
      </c>
      <c r="S117" s="21">
        <f>VLOOKUP(A:A,[1]TDSheet!$A:$N,14,0)</f>
        <v>60</v>
      </c>
      <c r="T117" s="21">
        <f>VLOOKUP(A:A,[1]TDSheet!$A:$V,22,0)</f>
        <v>60</v>
      </c>
      <c r="U117" s="21">
        <f t="shared" si="12"/>
        <v>64.8</v>
      </c>
      <c r="V117" s="22"/>
      <c r="W117" s="22"/>
      <c r="X117" s="21"/>
      <c r="Y117" s="21">
        <f t="shared" si="14"/>
        <v>13.827160493827162</v>
      </c>
      <c r="Z117" s="21">
        <f t="shared" si="15"/>
        <v>6.882716049382716</v>
      </c>
      <c r="AA117" s="21">
        <f>VLOOKUP(A:A,[1]TDSheet!$A:$AB,28,0)</f>
        <v>49.6</v>
      </c>
      <c r="AB117" s="21">
        <f>VLOOKUP(A:A,[1]TDSheet!$A:$AC,29,0)</f>
        <v>91.8</v>
      </c>
      <c r="AC117" s="21">
        <f>VLOOKUP(A:A,[1]TDSheet!$A:$AD,30,0)</f>
        <v>83</v>
      </c>
      <c r="AD117" s="21">
        <f>VLOOKUP(A:A,[1]TDSheet!$A:$U,21,0)</f>
        <v>73.2</v>
      </c>
      <c r="AE117" s="21" t="str">
        <f>VLOOKUP(A:A,[1]TDSheet!$A:$AE,31,0)</f>
        <v>новинка</v>
      </c>
      <c r="AF117" s="21">
        <f t="shared" si="16"/>
        <v>0</v>
      </c>
      <c r="AG117" s="21"/>
    </row>
    <row r="118" spans="1:33" ht="21.95" customHeight="1" x14ac:dyDescent="0.2">
      <c r="A118" s="9" t="s">
        <v>122</v>
      </c>
      <c r="B118" s="9" t="s">
        <v>18</v>
      </c>
      <c r="C118" s="10">
        <v>355</v>
      </c>
      <c r="D118" s="10">
        <v>368</v>
      </c>
      <c r="E118" s="10">
        <v>325</v>
      </c>
      <c r="F118" s="10">
        <v>390</v>
      </c>
      <c r="G118" s="5" t="str">
        <f>VLOOKUP(A:A,[1]TDSheet!$A:$G,7,0)</f>
        <v>P005166</v>
      </c>
      <c r="H118" s="5">
        <f>VLOOKUP(A:A,[1]TDSheet!$A:$H,8,0)</f>
        <v>0.28000000000000003</v>
      </c>
      <c r="L118" s="21">
        <f>VLOOKUP(A:A,[2]TDSheet!$A:$B,2,0)</f>
        <v>337</v>
      </c>
      <c r="M118" s="21">
        <f t="shared" si="11"/>
        <v>-12</v>
      </c>
      <c r="N118" s="21"/>
      <c r="O118" s="21">
        <f>VLOOKUP(A:A,[1]TDSheet!$A:$P,16,0)</f>
        <v>0</v>
      </c>
      <c r="P118" s="21">
        <f>VLOOKUP(A:A,[1]TDSheet!$A:$Q,17,0)</f>
        <v>0</v>
      </c>
      <c r="Q118" s="21">
        <f>VLOOKUP(A:A,[1]TDSheet!$A:$R,18,0)</f>
        <v>0</v>
      </c>
      <c r="R118" s="21">
        <f>VLOOKUP(A:A,[1]TDSheet!$A:$T,20,0)</f>
        <v>440</v>
      </c>
      <c r="S118" s="21">
        <f>VLOOKUP(A:A,[1]TDSheet!$A:$N,14,0)</f>
        <v>45</v>
      </c>
      <c r="T118" s="21">
        <f>VLOOKUP(A:A,[1]TDSheet!$A:$V,22,0)</f>
        <v>45</v>
      </c>
      <c r="U118" s="21">
        <f t="shared" si="12"/>
        <v>65</v>
      </c>
      <c r="V118" s="22"/>
      <c r="W118" s="22"/>
      <c r="X118" s="21"/>
      <c r="Y118" s="21">
        <f t="shared" si="14"/>
        <v>14.153846153846153</v>
      </c>
      <c r="Z118" s="21">
        <f t="shared" si="15"/>
        <v>6</v>
      </c>
      <c r="AA118" s="21">
        <f>VLOOKUP(A:A,[1]TDSheet!$A:$AB,28,0)</f>
        <v>25.2</v>
      </c>
      <c r="AB118" s="21">
        <f>VLOOKUP(A:A,[1]TDSheet!$A:$AC,29,0)</f>
        <v>90.8</v>
      </c>
      <c r="AC118" s="21">
        <f>VLOOKUP(A:A,[1]TDSheet!$A:$AD,30,0)</f>
        <v>80.2</v>
      </c>
      <c r="AD118" s="21">
        <f>VLOOKUP(A:A,[1]TDSheet!$A:$U,21,0)</f>
        <v>76.2</v>
      </c>
      <c r="AE118" s="21" t="str">
        <f>VLOOKUP(A:A,[1]TDSheet!$A:$AE,31,0)</f>
        <v>новинка</v>
      </c>
      <c r="AF118" s="21">
        <f t="shared" si="16"/>
        <v>0</v>
      </c>
      <c r="AG118" s="21"/>
    </row>
    <row r="119" spans="1:33" ht="21.95" customHeight="1" x14ac:dyDescent="0.2">
      <c r="A119" s="9" t="s">
        <v>123</v>
      </c>
      <c r="B119" s="9" t="s">
        <v>14</v>
      </c>
      <c r="C119" s="10">
        <v>445.57900000000001</v>
      </c>
      <c r="D119" s="10">
        <v>113.33199999999999</v>
      </c>
      <c r="E119" s="10">
        <v>183.27</v>
      </c>
      <c r="F119" s="10">
        <v>372.01900000000001</v>
      </c>
      <c r="G119" s="5" t="str">
        <f>VLOOKUP(A:A,[1]TDSheet!$A:$G,7,0)</f>
        <v>P005388</v>
      </c>
      <c r="H119" s="5">
        <f>VLOOKUP(A:A,[1]TDSheet!$A:$H,8,0)</f>
        <v>1</v>
      </c>
      <c r="L119" s="21">
        <f>VLOOKUP(A:A,[2]TDSheet!$A:$B,2,0)</f>
        <v>195</v>
      </c>
      <c r="M119" s="21">
        <f t="shared" si="11"/>
        <v>-11.72999999999999</v>
      </c>
      <c r="N119" s="21"/>
      <c r="O119" s="21">
        <f>VLOOKUP(A:A,[1]TDSheet!$A:$P,16,0)</f>
        <v>0</v>
      </c>
      <c r="P119" s="21">
        <f>VLOOKUP(A:A,[1]TDSheet!$A:$Q,17,0)</f>
        <v>0</v>
      </c>
      <c r="Q119" s="21">
        <f>VLOOKUP(A:A,[1]TDSheet!$A:$R,18,0)</f>
        <v>0</v>
      </c>
      <c r="R119" s="21">
        <f>VLOOKUP(A:A,[1]TDSheet!$A:$T,20,0)</f>
        <v>0</v>
      </c>
      <c r="S119" s="21">
        <f>VLOOKUP(A:A,[1]TDSheet!$A:$N,14,0)</f>
        <v>85</v>
      </c>
      <c r="T119" s="21">
        <f>VLOOKUP(A:A,[1]TDSheet!$A:$V,22,0)</f>
        <v>85</v>
      </c>
      <c r="U119" s="21">
        <f t="shared" si="12"/>
        <v>36.654000000000003</v>
      </c>
      <c r="V119" s="22"/>
      <c r="W119" s="22"/>
      <c r="X119" s="21"/>
      <c r="Y119" s="21">
        <f t="shared" si="14"/>
        <v>14.787444753642166</v>
      </c>
      <c r="Z119" s="21">
        <f t="shared" si="15"/>
        <v>10.149478910896491</v>
      </c>
      <c r="AA119" s="21">
        <f>VLOOKUP(A:A,[1]TDSheet!$A:$AB,28,0)</f>
        <v>68.036000000000001</v>
      </c>
      <c r="AB119" s="21">
        <f>VLOOKUP(A:A,[1]TDSheet!$A:$AC,29,0)</f>
        <v>55.062599999999996</v>
      </c>
      <c r="AC119" s="21">
        <f>VLOOKUP(A:A,[1]TDSheet!$A:$AD,30,0)</f>
        <v>50.267399999999995</v>
      </c>
      <c r="AD119" s="21">
        <f>VLOOKUP(A:A,[1]TDSheet!$A:$U,21,0)</f>
        <v>43.590400000000002</v>
      </c>
      <c r="AE119" s="21" t="str">
        <f>VLOOKUP(A:A,[1]TDSheet!$A:$AE,31,0)</f>
        <v>новинка</v>
      </c>
      <c r="AF119" s="21">
        <f t="shared" si="16"/>
        <v>0</v>
      </c>
      <c r="AG119" s="21"/>
    </row>
    <row r="120" spans="1:33" ht="21.95" customHeight="1" x14ac:dyDescent="0.2">
      <c r="A120" s="27" t="s">
        <v>124</v>
      </c>
      <c r="B120" s="9" t="s">
        <v>14</v>
      </c>
      <c r="C120" s="10">
        <v>141.16800000000001</v>
      </c>
      <c r="D120" s="10">
        <v>265.36599999999999</v>
      </c>
      <c r="E120" s="10">
        <v>97.995999999999995</v>
      </c>
      <c r="F120" s="10">
        <v>308.53800000000001</v>
      </c>
      <c r="G120" s="5" t="str">
        <f>VLOOKUP(A:A,[1]TDSheet!$A:$G,7,0)</f>
        <v>P004675</v>
      </c>
      <c r="H120" s="5">
        <f>VLOOKUP(A:A,[1]TDSheet!$A:$H,8,0)</f>
        <v>1</v>
      </c>
      <c r="L120" s="21">
        <f>VLOOKUP(A:A,[2]TDSheet!$A:$B,2,0)</f>
        <v>107.5</v>
      </c>
      <c r="M120" s="21">
        <f t="shared" si="11"/>
        <v>-9.5040000000000049</v>
      </c>
      <c r="N120" s="21"/>
      <c r="O120" s="21">
        <f>VLOOKUP(A:A,[1]TDSheet!$A:$P,16,0)</f>
        <v>0</v>
      </c>
      <c r="P120" s="21">
        <f>VLOOKUP(A:A,[1]TDSheet!$A:$Q,17,0)</f>
        <v>0</v>
      </c>
      <c r="Q120" s="21">
        <f>VLOOKUP(A:A,[1]TDSheet!$A:$R,18,0)</f>
        <v>0</v>
      </c>
      <c r="R120" s="21">
        <f>VLOOKUP(A:A,[1]TDSheet!$A:$T,20,0)</f>
        <v>170</v>
      </c>
      <c r="S120" s="21">
        <f>VLOOKUP(A:A,[1]TDSheet!$A:$N,14,0)</f>
        <v>20</v>
      </c>
      <c r="T120" s="21">
        <f>VLOOKUP(A:A,[1]TDSheet!$A:$V,22,0)</f>
        <v>20</v>
      </c>
      <c r="U120" s="21">
        <f t="shared" si="12"/>
        <v>19.5992</v>
      </c>
      <c r="V120" s="22"/>
      <c r="W120" s="22"/>
      <c r="X120" s="21"/>
      <c r="Y120" s="21">
        <f t="shared" si="14"/>
        <v>26.457100289807748</v>
      </c>
      <c r="Z120" s="21">
        <f t="shared" si="15"/>
        <v>15.742377239887343</v>
      </c>
      <c r="AA120" s="21">
        <f>VLOOKUP(A:A,[1]TDSheet!$A:$AB,28,0)</f>
        <v>26.484400000000001</v>
      </c>
      <c r="AB120" s="21">
        <f>VLOOKUP(A:A,[1]TDSheet!$A:$AC,29,0)</f>
        <v>20.194800000000001</v>
      </c>
      <c r="AC120" s="21">
        <f>VLOOKUP(A:A,[1]TDSheet!$A:$AD,30,0)</f>
        <v>37.197400000000002</v>
      </c>
      <c r="AD120" s="21">
        <f>VLOOKUP(A:A,[1]TDSheet!$A:$U,21,0)</f>
        <v>31.039400000000001</v>
      </c>
      <c r="AE120" s="21" t="str">
        <f>VLOOKUP(A:A,[1]TDSheet!$A:$AE,31,0)</f>
        <v>зв</v>
      </c>
      <c r="AF120" s="21">
        <f t="shared" si="16"/>
        <v>0</v>
      </c>
      <c r="AG120" s="21"/>
    </row>
    <row r="121" spans="1:33" ht="11.1" customHeight="1" x14ac:dyDescent="0.2">
      <c r="A121" s="9" t="s">
        <v>125</v>
      </c>
      <c r="B121" s="9" t="s">
        <v>14</v>
      </c>
      <c r="C121" s="10">
        <v>210.91399999999999</v>
      </c>
      <c r="D121" s="10">
        <v>339.01799999999997</v>
      </c>
      <c r="E121" s="10">
        <v>295.20299999999997</v>
      </c>
      <c r="F121" s="10">
        <v>176.12899999999999</v>
      </c>
      <c r="G121" s="5" t="str">
        <f>VLOOKUP(A:A,[1]TDSheet!$A:$G,7,0)</f>
        <v>P005360</v>
      </c>
      <c r="H121" s="5">
        <f>VLOOKUP(A:A,[1]TDSheet!$A:$H,8,0)</f>
        <v>1</v>
      </c>
      <c r="L121" s="21">
        <f>VLOOKUP(A:A,[2]TDSheet!$A:$B,2,0)</f>
        <v>284.77499999999998</v>
      </c>
      <c r="M121" s="21">
        <f t="shared" si="11"/>
        <v>10.427999999999997</v>
      </c>
      <c r="N121" s="21"/>
      <c r="O121" s="21">
        <f>VLOOKUP(A:A,[1]TDSheet!$A:$P,16,0)</f>
        <v>0</v>
      </c>
      <c r="P121" s="21">
        <f>VLOOKUP(A:A,[1]TDSheet!$A:$Q,17,0)</f>
        <v>0</v>
      </c>
      <c r="Q121" s="21">
        <f>VLOOKUP(A:A,[1]TDSheet!$A:$R,18,0)</f>
        <v>0</v>
      </c>
      <c r="R121" s="21">
        <f>VLOOKUP(A:A,[1]TDSheet!$A:$T,20,0)</f>
        <v>420</v>
      </c>
      <c r="S121" s="21">
        <f>VLOOKUP(A:A,[1]TDSheet!$A:$N,14,0)</f>
        <v>135</v>
      </c>
      <c r="T121" s="21">
        <f>VLOOKUP(A:A,[1]TDSheet!$A:$V,22,0)</f>
        <v>135</v>
      </c>
      <c r="U121" s="21">
        <f t="shared" si="12"/>
        <v>59.040599999999998</v>
      </c>
      <c r="V121" s="22"/>
      <c r="W121" s="28">
        <v>170</v>
      </c>
      <c r="X121" s="29" t="s">
        <v>168</v>
      </c>
      <c r="Y121" s="21">
        <f t="shared" si="14"/>
        <v>14.670057553615649</v>
      </c>
      <c r="Z121" s="21">
        <f t="shared" si="15"/>
        <v>2.9831844527325262</v>
      </c>
      <c r="AA121" s="21">
        <f>VLOOKUP(A:A,[1]TDSheet!$A:$AB,28,0)</f>
        <v>29.3202</v>
      </c>
      <c r="AB121" s="21">
        <f>VLOOKUP(A:A,[1]TDSheet!$A:$AC,29,0)</f>
        <v>49.282799999999995</v>
      </c>
      <c r="AC121" s="21">
        <f>VLOOKUP(A:A,[1]TDSheet!$A:$AD,30,0)</f>
        <v>60.839800000000004</v>
      </c>
      <c r="AD121" s="21">
        <f>VLOOKUP(A:A,[1]TDSheet!$A:$U,21,0)</f>
        <v>62.589999999999996</v>
      </c>
      <c r="AE121" s="21" t="str">
        <f>VLOOKUP(A:A,[1]TDSheet!$A:$AE,31,0)</f>
        <v>новинка промо июнь</v>
      </c>
      <c r="AF121" s="21">
        <f t="shared" si="16"/>
        <v>0</v>
      </c>
      <c r="AG121" s="21"/>
    </row>
    <row r="122" spans="1:33" ht="11.1" customHeight="1" x14ac:dyDescent="0.2">
      <c r="A122" s="9" t="s">
        <v>126</v>
      </c>
      <c r="B122" s="9" t="s">
        <v>14</v>
      </c>
      <c r="C122" s="10">
        <v>196.41499999999999</v>
      </c>
      <c r="D122" s="10">
        <v>709.13900000000001</v>
      </c>
      <c r="E122" s="10">
        <v>400.31400000000002</v>
      </c>
      <c r="F122" s="10">
        <v>377.51</v>
      </c>
      <c r="G122" s="5" t="str">
        <f>VLOOKUP(A:A,[1]TDSheet!$A:$G,7,0)</f>
        <v>P005361</v>
      </c>
      <c r="H122" s="5">
        <f>VLOOKUP(A:A,[1]TDSheet!$A:$H,8,0)</f>
        <v>1</v>
      </c>
      <c r="L122" s="21">
        <f>VLOOKUP(A:A,[2]TDSheet!$A:$B,2,0)</f>
        <v>382.55</v>
      </c>
      <c r="M122" s="21">
        <f t="shared" si="11"/>
        <v>17.76400000000001</v>
      </c>
      <c r="N122" s="21"/>
      <c r="O122" s="21">
        <f>VLOOKUP(A:A,[1]TDSheet!$A:$P,16,0)</f>
        <v>0</v>
      </c>
      <c r="P122" s="21">
        <f>VLOOKUP(A:A,[1]TDSheet!$A:$Q,17,0)</f>
        <v>0</v>
      </c>
      <c r="Q122" s="21">
        <f>VLOOKUP(A:A,[1]TDSheet!$A:$R,18,0)</f>
        <v>0</v>
      </c>
      <c r="R122" s="21">
        <f>VLOOKUP(A:A,[1]TDSheet!$A:$T,20,0)</f>
        <v>560</v>
      </c>
      <c r="S122" s="21">
        <f>VLOOKUP(A:A,[1]TDSheet!$A:$N,14,0)</f>
        <v>185</v>
      </c>
      <c r="T122" s="21">
        <f>VLOOKUP(A:A,[1]TDSheet!$A:$V,22,0)</f>
        <v>185</v>
      </c>
      <c r="U122" s="21">
        <f t="shared" si="12"/>
        <v>80.06280000000001</v>
      </c>
      <c r="V122" s="22"/>
      <c r="W122" s="28">
        <v>180</v>
      </c>
      <c r="X122" s="29" t="s">
        <v>168</v>
      </c>
      <c r="Y122" s="21">
        <f t="shared" si="14"/>
        <v>16.331055121729442</v>
      </c>
      <c r="Z122" s="21">
        <f t="shared" si="15"/>
        <v>4.7151735887328439</v>
      </c>
      <c r="AA122" s="21">
        <f>VLOOKUP(A:A,[1]TDSheet!$A:$AB,28,0)</f>
        <v>72.069800000000001</v>
      </c>
      <c r="AB122" s="21">
        <f>VLOOKUP(A:A,[1]TDSheet!$A:$AC,29,0)</f>
        <v>75.265200000000007</v>
      </c>
      <c r="AC122" s="21">
        <f>VLOOKUP(A:A,[1]TDSheet!$A:$AD,30,0)</f>
        <v>81.487200000000001</v>
      </c>
      <c r="AD122" s="21">
        <f>VLOOKUP(A:A,[1]TDSheet!$A:$U,21,0)</f>
        <v>88.82419999999999</v>
      </c>
      <c r="AE122" s="21" t="str">
        <f>VLOOKUP(A:A,[1]TDSheet!$A:$AE,31,0)</f>
        <v>новинка</v>
      </c>
      <c r="AF122" s="21">
        <f t="shared" si="16"/>
        <v>0</v>
      </c>
      <c r="AG122" s="21"/>
    </row>
    <row r="123" spans="1:33" ht="11.1" customHeight="1" x14ac:dyDescent="0.2">
      <c r="A123" s="9" t="s">
        <v>127</v>
      </c>
      <c r="B123" s="9" t="s">
        <v>14</v>
      </c>
      <c r="C123" s="10">
        <v>79.853999999999999</v>
      </c>
      <c r="D123" s="10">
        <v>199.30600000000001</v>
      </c>
      <c r="E123" s="10">
        <v>144.54400000000001</v>
      </c>
      <c r="F123" s="10">
        <v>127.212</v>
      </c>
      <c r="G123" s="5" t="str">
        <f>VLOOKUP(A:A,[1]TDSheet!$A:$G,7,0)</f>
        <v>P005363</v>
      </c>
      <c r="H123" s="5">
        <f>VLOOKUP(A:A,[1]TDSheet!$A:$H,8,0)</f>
        <v>1</v>
      </c>
      <c r="L123" s="21">
        <f>VLOOKUP(A:A,[2]TDSheet!$A:$B,2,0)</f>
        <v>141.15600000000001</v>
      </c>
      <c r="M123" s="21">
        <f t="shared" si="11"/>
        <v>3.3880000000000052</v>
      </c>
      <c r="N123" s="21"/>
      <c r="O123" s="21">
        <f>VLOOKUP(A:A,[1]TDSheet!$A:$P,16,0)</f>
        <v>0</v>
      </c>
      <c r="P123" s="21">
        <f>VLOOKUP(A:A,[1]TDSheet!$A:$Q,17,0)</f>
        <v>0</v>
      </c>
      <c r="Q123" s="21">
        <f>VLOOKUP(A:A,[1]TDSheet!$A:$R,18,0)</f>
        <v>0</v>
      </c>
      <c r="R123" s="21">
        <f>VLOOKUP(A:A,[1]TDSheet!$A:$T,20,0)</f>
        <v>200</v>
      </c>
      <c r="S123" s="21">
        <f>VLOOKUP(A:A,[1]TDSheet!$A:$N,14,0)</f>
        <v>10</v>
      </c>
      <c r="T123" s="21">
        <f>VLOOKUP(A:A,[1]TDSheet!$A:$V,22,0)</f>
        <v>10</v>
      </c>
      <c r="U123" s="21">
        <f t="shared" si="12"/>
        <v>28.908800000000003</v>
      </c>
      <c r="V123" s="22"/>
      <c r="W123" s="22"/>
      <c r="X123" s="21"/>
      <c r="Y123" s="21">
        <f t="shared" si="14"/>
        <v>12.010598848793446</v>
      </c>
      <c r="Z123" s="21">
        <f t="shared" si="15"/>
        <v>4.4004593756918302</v>
      </c>
      <c r="AA123" s="21">
        <f>VLOOKUP(A:A,[1]TDSheet!$A:$AB,28,0)</f>
        <v>37.625399999999999</v>
      </c>
      <c r="AB123" s="21">
        <f>VLOOKUP(A:A,[1]TDSheet!$A:$AC,29,0)</f>
        <v>24.422800000000002</v>
      </c>
      <c r="AC123" s="21">
        <f>VLOOKUP(A:A,[1]TDSheet!$A:$AD,30,0)</f>
        <v>30.352999999999998</v>
      </c>
      <c r="AD123" s="21">
        <f>VLOOKUP(A:A,[1]TDSheet!$A:$U,21,0)</f>
        <v>27.003599999999999</v>
      </c>
      <c r="AE123" s="21" t="str">
        <f>VLOOKUP(A:A,[1]TDSheet!$A:$AE,31,0)</f>
        <v>новинка</v>
      </c>
      <c r="AF123" s="21">
        <f t="shared" si="16"/>
        <v>0</v>
      </c>
      <c r="AG123" s="21"/>
    </row>
    <row r="124" spans="1:33" ht="21.95" customHeight="1" x14ac:dyDescent="0.2">
      <c r="A124" s="27" t="s">
        <v>128</v>
      </c>
      <c r="B124" s="9" t="s">
        <v>18</v>
      </c>
      <c r="C124" s="10">
        <v>4</v>
      </c>
      <c r="D124" s="10">
        <v>521</v>
      </c>
      <c r="E124" s="10">
        <v>183</v>
      </c>
      <c r="F124" s="10">
        <v>264</v>
      </c>
      <c r="G124" s="5" t="str">
        <f>VLOOKUP(A:A,[1]TDSheet!$A:$G,7,0)</f>
        <v>P003386</v>
      </c>
      <c r="H124" s="5">
        <f>VLOOKUP(A:A,[1]TDSheet!$A:$H,8,0)</f>
        <v>0.3</v>
      </c>
      <c r="I124" s="5">
        <f>VLOOKUP(A:A,[1]TDSheet!$A:$I,9,0)</f>
        <v>40</v>
      </c>
      <c r="J124" s="5" t="str">
        <f>VLOOKUP(A:A,[1]TDSheet!$A:$J,10,0)</f>
        <v>матрица</v>
      </c>
      <c r="L124" s="21">
        <f>VLOOKUP(A:A,[2]TDSheet!$A:$B,2,0)</f>
        <v>299</v>
      </c>
      <c r="M124" s="21">
        <f t="shared" si="11"/>
        <v>-116</v>
      </c>
      <c r="N124" s="21"/>
      <c r="O124" s="21">
        <f>VLOOKUP(A:A,[1]TDSheet!$A:$P,16,0)</f>
        <v>0</v>
      </c>
      <c r="P124" s="21">
        <f>VLOOKUP(A:A,[1]TDSheet!$A:$Q,17,0)</f>
        <v>0</v>
      </c>
      <c r="Q124" s="21">
        <f>VLOOKUP(A:A,[1]TDSheet!$A:$R,18,0)</f>
        <v>0</v>
      </c>
      <c r="R124" s="21">
        <f>VLOOKUP(A:A,[1]TDSheet!$A:$T,20,0)</f>
        <v>640</v>
      </c>
      <c r="S124" s="21">
        <f>VLOOKUP(A:A,[1]TDSheet!$A:$N,14,0)</f>
        <v>0</v>
      </c>
      <c r="T124" s="21">
        <f>VLOOKUP(A:A,[1]TDSheet!$A:$V,22,0)</f>
        <v>0</v>
      </c>
      <c r="U124" s="21">
        <f t="shared" si="12"/>
        <v>36.6</v>
      </c>
      <c r="V124" s="22"/>
      <c r="W124" s="22"/>
      <c r="X124" s="21"/>
      <c r="Y124" s="21">
        <f t="shared" si="14"/>
        <v>24.699453551912569</v>
      </c>
      <c r="Z124" s="21">
        <f t="shared" si="15"/>
        <v>7.2131147540983607</v>
      </c>
      <c r="AA124" s="21">
        <f>VLOOKUP(A:A,[1]TDSheet!$A:$AB,28,0)</f>
        <v>55.4</v>
      </c>
      <c r="AB124" s="21">
        <f>VLOOKUP(A:A,[1]TDSheet!$A:$AC,29,0)</f>
        <v>55</v>
      </c>
      <c r="AC124" s="21">
        <f>VLOOKUP(A:A,[1]TDSheet!$A:$AD,30,0)</f>
        <v>65.2</v>
      </c>
      <c r="AD124" s="21">
        <f>VLOOKUP(A:A,[1]TDSheet!$A:$U,21,0)</f>
        <v>50</v>
      </c>
      <c r="AE124" s="21"/>
      <c r="AF124" s="21">
        <f t="shared" si="16"/>
        <v>0</v>
      </c>
      <c r="AG124" s="21"/>
    </row>
    <row r="125" spans="1:33" ht="11.1" customHeight="1" x14ac:dyDescent="0.2">
      <c r="A125" s="27" t="s">
        <v>129</v>
      </c>
      <c r="B125" s="9" t="s">
        <v>18</v>
      </c>
      <c r="C125" s="10">
        <v>6</v>
      </c>
      <c r="D125" s="10">
        <v>415</v>
      </c>
      <c r="E125" s="10">
        <v>136</v>
      </c>
      <c r="F125" s="10">
        <v>222</v>
      </c>
      <c r="G125" s="5" t="str">
        <f>VLOOKUP(A:A,[1]TDSheet!$A:$G,7,0)</f>
        <v>P003385</v>
      </c>
      <c r="H125" s="5">
        <f>VLOOKUP(A:A,[1]TDSheet!$A:$H,8,0)</f>
        <v>0.3</v>
      </c>
      <c r="I125" s="5">
        <f>VLOOKUP(A:A,[1]TDSheet!$A:$I,9,0)</f>
        <v>40</v>
      </c>
      <c r="J125" s="5" t="str">
        <f>VLOOKUP(A:A,[1]TDSheet!$A:$J,10,0)</f>
        <v>матрица</v>
      </c>
      <c r="L125" s="21">
        <f>VLOOKUP(A:A,[2]TDSheet!$A:$B,2,0)</f>
        <v>258</v>
      </c>
      <c r="M125" s="21">
        <f t="shared" si="11"/>
        <v>-122</v>
      </c>
      <c r="N125" s="21"/>
      <c r="O125" s="21">
        <f>VLOOKUP(A:A,[1]TDSheet!$A:$P,16,0)</f>
        <v>0</v>
      </c>
      <c r="P125" s="21">
        <f>VLOOKUP(A:A,[1]TDSheet!$A:$Q,17,0)</f>
        <v>0</v>
      </c>
      <c r="Q125" s="21">
        <f>VLOOKUP(A:A,[1]TDSheet!$A:$R,18,0)</f>
        <v>0</v>
      </c>
      <c r="R125" s="21">
        <f>VLOOKUP(A:A,[1]TDSheet!$A:$T,20,0)</f>
        <v>400</v>
      </c>
      <c r="S125" s="21">
        <f>VLOOKUP(A:A,[1]TDSheet!$A:$N,14,0)</f>
        <v>0</v>
      </c>
      <c r="T125" s="21">
        <f>VLOOKUP(A:A,[1]TDSheet!$A:$V,22,0)</f>
        <v>0</v>
      </c>
      <c r="U125" s="21">
        <f t="shared" si="12"/>
        <v>27.2</v>
      </c>
      <c r="V125" s="22"/>
      <c r="W125" s="22"/>
      <c r="X125" s="21"/>
      <c r="Y125" s="21">
        <f t="shared" si="14"/>
        <v>22.867647058823529</v>
      </c>
      <c r="Z125" s="21">
        <f t="shared" si="15"/>
        <v>8.1617647058823533</v>
      </c>
      <c r="AA125" s="21">
        <f>VLOOKUP(A:A,[1]TDSheet!$A:$AB,28,0)</f>
        <v>43</v>
      </c>
      <c r="AB125" s="21">
        <f>VLOOKUP(A:A,[1]TDSheet!$A:$AC,29,0)</f>
        <v>39</v>
      </c>
      <c r="AC125" s="21">
        <f>VLOOKUP(A:A,[1]TDSheet!$A:$AD,30,0)</f>
        <v>49.2</v>
      </c>
      <c r="AD125" s="21">
        <f>VLOOKUP(A:A,[1]TDSheet!$A:$U,21,0)</f>
        <v>27.4</v>
      </c>
      <c r="AE125" s="21"/>
      <c r="AF125" s="21">
        <f t="shared" si="16"/>
        <v>0</v>
      </c>
      <c r="AG125" s="21"/>
    </row>
    <row r="126" spans="1:33" ht="11.1" customHeight="1" x14ac:dyDescent="0.2">
      <c r="A126" s="9" t="s">
        <v>130</v>
      </c>
      <c r="B126" s="9" t="s">
        <v>14</v>
      </c>
      <c r="C126" s="10">
        <v>220.32499999999999</v>
      </c>
      <c r="D126" s="10">
        <v>315.15899999999999</v>
      </c>
      <c r="E126" s="10">
        <v>302.86799999999999</v>
      </c>
      <c r="F126" s="10">
        <v>185.809</v>
      </c>
      <c r="G126" s="5" t="str">
        <f>VLOOKUP(A:A,[1]TDSheet!$A:$G,7,0)</f>
        <v>P004621</v>
      </c>
      <c r="H126" s="5">
        <f>VLOOKUP(A:A,[1]TDSheet!$A:$H,8,0)</f>
        <v>1</v>
      </c>
      <c r="I126" s="5">
        <f>VLOOKUP(A:A,[1]TDSheet!$A:$I,9,0)</f>
        <v>50</v>
      </c>
      <c r="J126" s="5" t="str">
        <f>VLOOKUP(A:A,[1]TDSheet!$A:$J,10,0)</f>
        <v>матрица</v>
      </c>
      <c r="L126" s="21">
        <f>VLOOKUP(A:A,[2]TDSheet!$A:$B,2,0)</f>
        <v>307.25</v>
      </c>
      <c r="M126" s="21">
        <f t="shared" si="11"/>
        <v>-4.382000000000005</v>
      </c>
      <c r="N126" s="21"/>
      <c r="O126" s="21">
        <f>VLOOKUP(A:A,[1]TDSheet!$A:$P,16,0)</f>
        <v>0</v>
      </c>
      <c r="P126" s="21">
        <f>VLOOKUP(A:A,[1]TDSheet!$A:$Q,17,0)</f>
        <v>0</v>
      </c>
      <c r="Q126" s="21">
        <f>VLOOKUP(A:A,[1]TDSheet!$A:$R,18,0)</f>
        <v>0</v>
      </c>
      <c r="R126" s="21">
        <f>VLOOKUP(A:A,[1]TDSheet!$A:$T,20,0)</f>
        <v>140</v>
      </c>
      <c r="S126" s="21">
        <f>VLOOKUP(A:A,[1]TDSheet!$A:$N,14,0)</f>
        <v>20</v>
      </c>
      <c r="T126" s="21">
        <f>VLOOKUP(A:A,[1]TDSheet!$A:$V,22,0)</f>
        <v>20</v>
      </c>
      <c r="U126" s="21">
        <f t="shared" si="12"/>
        <v>60.573599999999999</v>
      </c>
      <c r="V126" s="22">
        <f t="shared" si="13"/>
        <v>300.50060000000008</v>
      </c>
      <c r="W126" s="22"/>
      <c r="X126" s="21"/>
      <c r="Y126" s="21">
        <f t="shared" si="14"/>
        <v>11.000000000000002</v>
      </c>
      <c r="Z126" s="21">
        <f t="shared" si="15"/>
        <v>3.0674914484197737</v>
      </c>
      <c r="AA126" s="21">
        <f>VLOOKUP(A:A,[1]TDSheet!$A:$AB,28,0)</f>
        <v>50.147800000000004</v>
      </c>
      <c r="AB126" s="21">
        <f>VLOOKUP(A:A,[1]TDSheet!$A:$AC,29,0)</f>
        <v>58.054999999999993</v>
      </c>
      <c r="AC126" s="21">
        <f>VLOOKUP(A:A,[1]TDSheet!$A:$AD,30,0)</f>
        <v>56.154399999999995</v>
      </c>
      <c r="AD126" s="21">
        <f>VLOOKUP(A:A,[1]TDSheet!$A:$U,21,0)</f>
        <v>45.3932</v>
      </c>
      <c r="AE126" s="21"/>
      <c r="AF126" s="21">
        <f t="shared" si="16"/>
        <v>300.50060000000008</v>
      </c>
      <c r="AG126" s="21"/>
    </row>
    <row r="127" spans="1:33" ht="11.1" customHeight="1" x14ac:dyDescent="0.2">
      <c r="A127" s="9" t="s">
        <v>131</v>
      </c>
      <c r="B127" s="9" t="s">
        <v>18</v>
      </c>
      <c r="C127" s="10">
        <v>203</v>
      </c>
      <c r="D127" s="10">
        <v>211</v>
      </c>
      <c r="E127" s="10">
        <v>278</v>
      </c>
      <c r="F127" s="10">
        <v>37</v>
      </c>
      <c r="G127" s="5" t="str">
        <f>VLOOKUP(A:A,[1]TDSheet!$A:$G,7,0)</f>
        <v>P004890</v>
      </c>
      <c r="H127" s="5">
        <f>VLOOKUP(A:A,[1]TDSheet!$A:$H,8,0)</f>
        <v>0.3</v>
      </c>
      <c r="I127" s="5">
        <f>VLOOKUP(A:A,[1]TDSheet!$A:$I,9,0)</f>
        <v>40</v>
      </c>
      <c r="J127" s="5" t="str">
        <f>VLOOKUP(A:A,[1]TDSheet!$A:$J,10,0)</f>
        <v>матрица</v>
      </c>
      <c r="L127" s="21">
        <f>VLOOKUP(A:A,[2]TDSheet!$A:$B,2,0)</f>
        <v>350</v>
      </c>
      <c r="M127" s="21">
        <f t="shared" si="11"/>
        <v>-72</v>
      </c>
      <c r="N127" s="21"/>
      <c r="O127" s="21">
        <f>VLOOKUP(A:A,[1]TDSheet!$A:$P,16,0)</f>
        <v>0</v>
      </c>
      <c r="P127" s="21">
        <f>VLOOKUP(A:A,[1]TDSheet!$A:$Q,17,0)</f>
        <v>0</v>
      </c>
      <c r="Q127" s="21">
        <f>VLOOKUP(A:A,[1]TDSheet!$A:$R,18,0)</f>
        <v>0</v>
      </c>
      <c r="R127" s="21">
        <f>VLOOKUP(A:A,[1]TDSheet!$A:$T,20,0)</f>
        <v>240</v>
      </c>
      <c r="S127" s="21">
        <f>VLOOKUP(A:A,[1]TDSheet!$A:$N,14,0)</f>
        <v>90</v>
      </c>
      <c r="T127" s="21">
        <f>VLOOKUP(A:A,[1]TDSheet!$A:$V,22,0)</f>
        <v>90</v>
      </c>
      <c r="U127" s="21">
        <f t="shared" si="12"/>
        <v>55.6</v>
      </c>
      <c r="V127" s="22">
        <f t="shared" si="13"/>
        <v>154.60000000000002</v>
      </c>
      <c r="W127" s="22"/>
      <c r="X127" s="21"/>
      <c r="Y127" s="21">
        <f t="shared" si="14"/>
        <v>11</v>
      </c>
      <c r="Z127" s="21">
        <f t="shared" si="15"/>
        <v>0.66546762589928055</v>
      </c>
      <c r="AA127" s="21">
        <f>VLOOKUP(A:A,[1]TDSheet!$A:$AB,28,0)</f>
        <v>45.8</v>
      </c>
      <c r="AB127" s="21">
        <f>VLOOKUP(A:A,[1]TDSheet!$A:$AC,29,0)</f>
        <v>55.2</v>
      </c>
      <c r="AC127" s="21">
        <f>VLOOKUP(A:A,[1]TDSheet!$A:$AD,30,0)</f>
        <v>44</v>
      </c>
      <c r="AD127" s="21">
        <f>VLOOKUP(A:A,[1]TDSheet!$A:$U,21,0)</f>
        <v>54.4</v>
      </c>
      <c r="AE127" s="21"/>
      <c r="AF127" s="21">
        <f t="shared" si="16"/>
        <v>46.38</v>
      </c>
      <c r="AG127" s="21"/>
    </row>
    <row r="128" spans="1:33" ht="11.1" customHeight="1" x14ac:dyDescent="0.2">
      <c r="A128" s="9" t="s">
        <v>132</v>
      </c>
      <c r="B128" s="9" t="s">
        <v>18</v>
      </c>
      <c r="C128" s="10">
        <v>34</v>
      </c>
      <c r="D128" s="10">
        <v>3</v>
      </c>
      <c r="E128" s="10">
        <v>20</v>
      </c>
      <c r="F128" s="10">
        <v>10</v>
      </c>
      <c r="G128" s="5" t="str">
        <f>VLOOKUP(A:A,[1]TDSheet!$A:$G,7,0)</f>
        <v>P005060</v>
      </c>
      <c r="H128" s="5">
        <f>VLOOKUP(A:A,[1]TDSheet!$A:$H,8,0)</f>
        <v>0.12</v>
      </c>
      <c r="I128" s="5">
        <f>VLOOKUP(A:A,[1]TDSheet!$A:$I,9,0)</f>
        <v>45</v>
      </c>
      <c r="J128" s="5" t="str">
        <f>VLOOKUP(A:A,[1]TDSheet!$A:$J,10,0)</f>
        <v>матрица</v>
      </c>
      <c r="L128" s="21">
        <f>VLOOKUP(A:A,[2]TDSheet!$A:$B,2,0)</f>
        <v>44</v>
      </c>
      <c r="M128" s="21">
        <f t="shared" si="11"/>
        <v>-24</v>
      </c>
      <c r="N128" s="21"/>
      <c r="O128" s="21">
        <f>VLOOKUP(A:A,[1]TDSheet!$A:$P,16,0)</f>
        <v>0</v>
      </c>
      <c r="P128" s="21">
        <f>VLOOKUP(A:A,[1]TDSheet!$A:$Q,17,0)</f>
        <v>0</v>
      </c>
      <c r="Q128" s="21">
        <f>VLOOKUP(A:A,[1]TDSheet!$A:$R,18,0)</f>
        <v>0</v>
      </c>
      <c r="R128" s="21">
        <f>VLOOKUP(A:A,[1]TDSheet!$A:$T,20,0)</f>
        <v>0</v>
      </c>
      <c r="S128" s="21">
        <f>VLOOKUP(A:A,[1]TDSheet!$A:$N,14,0)</f>
        <v>30</v>
      </c>
      <c r="T128" s="21">
        <f>VLOOKUP(A:A,[1]TDSheet!$A:$V,22,0)</f>
        <v>30</v>
      </c>
      <c r="U128" s="21">
        <f t="shared" si="12"/>
        <v>4</v>
      </c>
      <c r="V128" s="22"/>
      <c r="W128" s="22"/>
      <c r="X128" s="21"/>
      <c r="Y128" s="21">
        <f t="shared" si="14"/>
        <v>17.5</v>
      </c>
      <c r="Z128" s="21">
        <f t="shared" si="15"/>
        <v>2.5</v>
      </c>
      <c r="AA128" s="21">
        <f>VLOOKUP(A:A,[1]TDSheet!$A:$AB,28,0)</f>
        <v>0.2</v>
      </c>
      <c r="AB128" s="21">
        <f>VLOOKUP(A:A,[1]TDSheet!$A:$AC,29,0)</f>
        <v>5.4</v>
      </c>
      <c r="AC128" s="21">
        <f>VLOOKUP(A:A,[1]TDSheet!$A:$AD,30,0)</f>
        <v>2.6</v>
      </c>
      <c r="AD128" s="21">
        <f>VLOOKUP(A:A,[1]TDSheet!$A:$U,21,0)</f>
        <v>6.4</v>
      </c>
      <c r="AE128" s="21"/>
      <c r="AF128" s="21">
        <f t="shared" si="16"/>
        <v>0</v>
      </c>
      <c r="AG128" s="21"/>
    </row>
    <row r="129" spans="1:33" ht="11.1" customHeight="1" x14ac:dyDescent="0.2">
      <c r="A129" s="9" t="s">
        <v>133</v>
      </c>
      <c r="B129" s="9" t="s">
        <v>18</v>
      </c>
      <c r="C129" s="11"/>
      <c r="D129" s="10">
        <v>13</v>
      </c>
      <c r="E129" s="10">
        <v>2</v>
      </c>
      <c r="F129" s="10"/>
      <c r="H129" s="5">
        <f>VLOOKUP(A:A,[1]TDSheet!$A:$H,8,0)</f>
        <v>0.6</v>
      </c>
      <c r="L129" s="21">
        <f>VLOOKUP(A:A,[2]TDSheet!$A:$B,2,0)</f>
        <v>2</v>
      </c>
      <c r="M129" s="21">
        <f t="shared" si="11"/>
        <v>0</v>
      </c>
      <c r="N129" s="21"/>
      <c r="O129" s="21">
        <f>VLOOKUP(A:A,[1]TDSheet!$A:$P,16,0)</f>
        <v>0</v>
      </c>
      <c r="P129" s="21">
        <f>VLOOKUP(A:A,[1]TDSheet!$A:$Q,17,0)</f>
        <v>0</v>
      </c>
      <c r="Q129" s="21">
        <f>VLOOKUP(A:A,[1]TDSheet!$A:$R,18,0)</f>
        <v>0</v>
      </c>
      <c r="R129" s="21">
        <f>VLOOKUP(A:A,[1]TDSheet!$A:$T,20,0)</f>
        <v>0</v>
      </c>
      <c r="S129" s="21">
        <f>VLOOKUP(A:A,[1]TDSheet!$A:$N,14,0)</f>
        <v>0</v>
      </c>
      <c r="T129" s="21">
        <f>VLOOKUP(A:A,[1]TDSheet!$A:$V,22,0)</f>
        <v>0</v>
      </c>
      <c r="U129" s="21">
        <f t="shared" si="12"/>
        <v>0.4</v>
      </c>
      <c r="V129" s="22">
        <f t="shared" si="13"/>
        <v>4.4000000000000004</v>
      </c>
      <c r="W129" s="22"/>
      <c r="X129" s="21"/>
      <c r="Y129" s="21">
        <f t="shared" si="14"/>
        <v>11</v>
      </c>
      <c r="Z129" s="21">
        <f t="shared" si="15"/>
        <v>0</v>
      </c>
      <c r="AA129" s="21">
        <f>VLOOKUP(A:A,[1]TDSheet!$A:$AB,28,0)</f>
        <v>0</v>
      </c>
      <c r="AB129" s="21">
        <f>VLOOKUP(A:A,[1]TDSheet!$A:$AC,29,0)</f>
        <v>0</v>
      </c>
      <c r="AC129" s="21">
        <f>VLOOKUP(A:A,[1]TDSheet!$A:$AD,30,0)</f>
        <v>0</v>
      </c>
      <c r="AD129" s="21">
        <f>VLOOKUP(A:A,[1]TDSheet!$A:$U,21,0)</f>
        <v>0</v>
      </c>
      <c r="AE129" s="21"/>
      <c r="AF129" s="21">
        <f t="shared" si="16"/>
        <v>2.64</v>
      </c>
      <c r="AG129" s="21"/>
    </row>
    <row r="130" spans="1:33" ht="11.1" customHeight="1" x14ac:dyDescent="0.2">
      <c r="A130" s="9" t="s">
        <v>134</v>
      </c>
      <c r="B130" s="9" t="s">
        <v>18</v>
      </c>
      <c r="C130" s="11"/>
      <c r="D130" s="10">
        <v>28</v>
      </c>
      <c r="E130" s="10">
        <v>1</v>
      </c>
      <c r="F130" s="10">
        <v>-1</v>
      </c>
      <c r="H130" s="5">
        <f>VLOOKUP(A:A,[1]TDSheet!$A:$H,8,0)</f>
        <v>0.4</v>
      </c>
      <c r="L130" s="21">
        <f>VLOOKUP(A:A,[2]TDSheet!$A:$B,2,0)</f>
        <v>5</v>
      </c>
      <c r="M130" s="21">
        <f t="shared" si="11"/>
        <v>-4</v>
      </c>
      <c r="N130" s="21"/>
      <c r="O130" s="21">
        <f>VLOOKUP(A:A,[1]TDSheet!$A:$P,16,0)</f>
        <v>0</v>
      </c>
      <c r="P130" s="21">
        <f>VLOOKUP(A:A,[1]TDSheet!$A:$Q,17,0)</f>
        <v>0</v>
      </c>
      <c r="Q130" s="21">
        <f>VLOOKUP(A:A,[1]TDSheet!$A:$R,18,0)</f>
        <v>0</v>
      </c>
      <c r="R130" s="21">
        <f>VLOOKUP(A:A,[1]TDSheet!$A:$T,20,0)</f>
        <v>0</v>
      </c>
      <c r="S130" s="21">
        <f>VLOOKUP(A:A,[1]TDSheet!$A:$N,14,0)</f>
        <v>0</v>
      </c>
      <c r="T130" s="21">
        <f>VLOOKUP(A:A,[1]TDSheet!$A:$V,22,0)</f>
        <v>0</v>
      </c>
      <c r="U130" s="21">
        <f t="shared" si="12"/>
        <v>0.2</v>
      </c>
      <c r="V130" s="22">
        <f t="shared" si="13"/>
        <v>3.2</v>
      </c>
      <c r="W130" s="22"/>
      <c r="X130" s="21"/>
      <c r="Y130" s="21">
        <f t="shared" si="14"/>
        <v>11</v>
      </c>
      <c r="Z130" s="21">
        <f t="shared" si="15"/>
        <v>-5</v>
      </c>
      <c r="AA130" s="21">
        <f>VLOOKUP(A:A,[1]TDSheet!$A:$AB,28,0)</f>
        <v>0</v>
      </c>
      <c r="AB130" s="21">
        <f>VLOOKUP(A:A,[1]TDSheet!$A:$AC,29,0)</f>
        <v>0</v>
      </c>
      <c r="AC130" s="21">
        <f>VLOOKUP(A:A,[1]TDSheet!$A:$AD,30,0)</f>
        <v>0</v>
      </c>
      <c r="AD130" s="21">
        <f>VLOOKUP(A:A,[1]TDSheet!$A:$U,21,0)</f>
        <v>0</v>
      </c>
      <c r="AE130" s="21"/>
      <c r="AF130" s="21">
        <f t="shared" si="16"/>
        <v>1.2800000000000002</v>
      </c>
      <c r="AG130" s="21"/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Uaer4</cp:lastModifiedBy>
  <dcterms:created xsi:type="dcterms:W3CDTF">2026-06-24T03:35:30Z</dcterms:created>
  <dcterms:modified xsi:type="dcterms:W3CDTF">2026-06-24T08:31:24Z</dcterms:modified>
</cp:coreProperties>
</file>