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s\Desktop\Заказы\Новая папка\"/>
    </mc:Choice>
  </mc:AlternateContent>
  <bookViews>
    <workbookView xWindow="0" yWindow="0" windowWidth="19200" windowHeight="7050"/>
  </bookViews>
  <sheets>
    <sheet name="TDSheet" sheetId="1" r:id="rId1"/>
  </sheets>
  <externalReferences>
    <externalReference r:id="rId2"/>
    <externalReference r:id="rId3"/>
  </externalReferences>
  <calcPr calcId="162913" refMode="R1C1"/>
</workbook>
</file>

<file path=xl/calcChain.xml><?xml version="1.0" encoding="utf-8"?>
<calcChain xmlns="http://schemas.openxmlformats.org/spreadsheetml/2006/main">
  <c r="V18" i="1" l="1"/>
  <c r="V19" i="1"/>
  <c r="S20" i="1"/>
  <c r="S21" i="1"/>
  <c r="S22" i="1"/>
  <c r="S25" i="1"/>
  <c r="S26" i="1"/>
  <c r="V26" i="1" s="1"/>
  <c r="S27" i="1"/>
  <c r="V27" i="1" s="1"/>
  <c r="S32" i="1"/>
  <c r="V34" i="1"/>
  <c r="V35" i="1"/>
  <c r="S36" i="1"/>
  <c r="V42" i="1"/>
  <c r="V43" i="1"/>
  <c r="S49" i="1"/>
  <c r="V50" i="1"/>
  <c r="V51" i="1"/>
  <c r="S58" i="1"/>
  <c r="V58" i="1" s="1"/>
  <c r="S59" i="1"/>
  <c r="V59" i="1" s="1"/>
  <c r="S61" i="1"/>
  <c r="S63" i="1"/>
  <c r="S64" i="1"/>
  <c r="S65" i="1"/>
  <c r="V66" i="1"/>
  <c r="V67" i="1"/>
  <c r="S69" i="1"/>
  <c r="S72" i="1"/>
  <c r="S73" i="1"/>
  <c r="S74" i="1"/>
  <c r="V74" i="1" s="1"/>
  <c r="S75" i="1"/>
  <c r="V75" i="1" s="1"/>
  <c r="S77" i="1"/>
  <c r="S82" i="1"/>
  <c r="V82" i="1" s="1"/>
  <c r="V83" i="1"/>
  <c r="S85" i="1"/>
  <c r="S86" i="1"/>
  <c r="S89" i="1"/>
  <c r="S90" i="1"/>
  <c r="V90" i="1" s="1"/>
  <c r="S91" i="1"/>
  <c r="V91" i="1" s="1"/>
  <c r="S92" i="1"/>
  <c r="S93" i="1"/>
  <c r="S97" i="1"/>
  <c r="V98" i="1"/>
  <c r="V99" i="1"/>
  <c r="S102" i="1"/>
  <c r="S103" i="1"/>
  <c r="V106" i="1"/>
  <c r="S107" i="1"/>
  <c r="V107" i="1" s="1"/>
  <c r="S109" i="1"/>
  <c r="V114" i="1"/>
  <c r="V115" i="1"/>
  <c r="S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" i="1"/>
  <c r="V12" i="1"/>
  <c r="V13" i="1"/>
  <c r="V14" i="1"/>
  <c r="V15" i="1"/>
  <c r="V16" i="1"/>
  <c r="V17" i="1"/>
  <c r="V20" i="1"/>
  <c r="V21" i="1"/>
  <c r="V22" i="1"/>
  <c r="V23" i="1"/>
  <c r="V24" i="1"/>
  <c r="V25" i="1"/>
  <c r="V28" i="1"/>
  <c r="V29" i="1"/>
  <c r="V30" i="1"/>
  <c r="V31" i="1"/>
  <c r="V32" i="1"/>
  <c r="V33" i="1"/>
  <c r="V36" i="1"/>
  <c r="V37" i="1"/>
  <c r="V38" i="1"/>
  <c r="V39" i="1"/>
  <c r="V40" i="1"/>
  <c r="V41" i="1"/>
  <c r="V44" i="1"/>
  <c r="V45" i="1"/>
  <c r="V46" i="1"/>
  <c r="V47" i="1"/>
  <c r="V48" i="1"/>
  <c r="V49" i="1"/>
  <c r="V52" i="1"/>
  <c r="V53" i="1"/>
  <c r="V54" i="1"/>
  <c r="V55" i="1"/>
  <c r="V56" i="1"/>
  <c r="V57" i="1"/>
  <c r="V60" i="1"/>
  <c r="V61" i="1"/>
  <c r="V62" i="1"/>
  <c r="V63" i="1"/>
  <c r="V64" i="1"/>
  <c r="V65" i="1"/>
  <c r="V68" i="1"/>
  <c r="V69" i="1"/>
  <c r="V70" i="1"/>
  <c r="V71" i="1"/>
  <c r="V72" i="1"/>
  <c r="V73" i="1"/>
  <c r="V76" i="1"/>
  <c r="V77" i="1"/>
  <c r="V78" i="1"/>
  <c r="V79" i="1"/>
  <c r="V80" i="1"/>
  <c r="V81" i="1"/>
  <c r="V84" i="1"/>
  <c r="V85" i="1"/>
  <c r="V86" i="1"/>
  <c r="V87" i="1"/>
  <c r="V88" i="1"/>
  <c r="V89" i="1"/>
  <c r="V92" i="1"/>
  <c r="V93" i="1"/>
  <c r="V94" i="1"/>
  <c r="V95" i="1"/>
  <c r="V96" i="1"/>
  <c r="V97" i="1"/>
  <c r="V100" i="1"/>
  <c r="V101" i="1"/>
  <c r="V102" i="1"/>
  <c r="V103" i="1"/>
  <c r="V104" i="1"/>
  <c r="V105" i="1"/>
  <c r="V108" i="1"/>
  <c r="V109" i="1"/>
  <c r="V110" i="1"/>
  <c r="V111" i="1"/>
  <c r="V112" i="1"/>
  <c r="V113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" i="1"/>
  <c r="V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" i="1"/>
  <c r="AC12" i="1"/>
  <c r="AC13" i="1"/>
  <c r="AC14" i="1"/>
  <c r="AC15" i="1"/>
  <c r="AC16" i="1"/>
  <c r="AC17" i="1"/>
  <c r="AC18" i="1"/>
  <c r="AC20" i="1"/>
  <c r="AC21" i="1"/>
  <c r="AC22" i="1"/>
  <c r="AC23" i="1"/>
  <c r="AC24" i="1"/>
  <c r="AC25" i="1"/>
  <c r="AC28" i="1"/>
  <c r="AC29" i="1"/>
  <c r="AC30" i="1"/>
  <c r="AC31" i="1"/>
  <c r="AC32" i="1"/>
  <c r="AC33" i="1"/>
  <c r="AC36" i="1"/>
  <c r="AC37" i="1"/>
  <c r="AC38" i="1"/>
  <c r="AC39" i="1"/>
  <c r="AC40" i="1"/>
  <c r="AC41" i="1"/>
  <c r="AC44" i="1"/>
  <c r="AC45" i="1"/>
  <c r="AC46" i="1"/>
  <c r="AC47" i="1"/>
  <c r="AC48" i="1"/>
  <c r="AC49" i="1"/>
  <c r="AC52" i="1"/>
  <c r="AC53" i="1"/>
  <c r="AC54" i="1"/>
  <c r="AC55" i="1"/>
  <c r="AC56" i="1"/>
  <c r="AC57" i="1"/>
  <c r="AC60" i="1"/>
  <c r="AC61" i="1"/>
  <c r="AC62" i="1"/>
  <c r="AC63" i="1"/>
  <c r="AC64" i="1"/>
  <c r="AC65" i="1"/>
  <c r="AC68" i="1"/>
  <c r="AC69" i="1"/>
  <c r="AC70" i="1"/>
  <c r="AC71" i="1"/>
  <c r="AC72" i="1"/>
  <c r="AC73" i="1"/>
  <c r="AC76" i="1"/>
  <c r="AC77" i="1"/>
  <c r="AC78" i="1"/>
  <c r="AC79" i="1"/>
  <c r="AC80" i="1"/>
  <c r="AC81" i="1"/>
  <c r="AC84" i="1"/>
  <c r="AC85" i="1"/>
  <c r="AC86" i="1"/>
  <c r="AC87" i="1"/>
  <c r="AC88" i="1"/>
  <c r="AC89" i="1"/>
  <c r="AC92" i="1"/>
  <c r="AC93" i="1"/>
  <c r="AC94" i="1"/>
  <c r="AC95" i="1"/>
  <c r="AC96" i="1"/>
  <c r="AC97" i="1"/>
  <c r="AC100" i="1"/>
  <c r="AC101" i="1"/>
  <c r="AC102" i="1"/>
  <c r="AC103" i="1"/>
  <c r="AC104" i="1"/>
  <c r="AC105" i="1"/>
  <c r="AC108" i="1"/>
  <c r="AC109" i="1"/>
  <c r="AC110" i="1"/>
  <c r="AC111" i="1"/>
  <c r="AC112" i="1"/>
  <c r="AC113" i="1"/>
  <c r="AC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" i="1"/>
  <c r="AC115" i="1" l="1"/>
  <c r="AC107" i="1"/>
  <c r="AC99" i="1"/>
  <c r="AC91" i="1"/>
  <c r="AC83" i="1"/>
  <c r="AC75" i="1"/>
  <c r="AC67" i="1"/>
  <c r="AC59" i="1"/>
  <c r="AC51" i="1"/>
  <c r="AC43" i="1"/>
  <c r="AC35" i="1"/>
  <c r="AC27" i="1"/>
  <c r="AC19" i="1"/>
  <c r="AC114" i="1"/>
  <c r="AC106" i="1"/>
  <c r="AC98" i="1"/>
  <c r="AC90" i="1"/>
  <c r="AC82" i="1"/>
  <c r="AC74" i="1"/>
  <c r="AC66" i="1"/>
  <c r="AC58" i="1"/>
  <c r="AC50" i="1"/>
  <c r="AC42" i="1"/>
  <c r="AC34" i="1"/>
  <c r="AC10" i="1" s="1"/>
  <c r="AC26" i="1"/>
  <c r="D10" i="1"/>
  <c r="E10" i="1"/>
  <c r="F10" i="1"/>
  <c r="C10" i="1"/>
  <c r="AA10" i="1"/>
  <c r="Z10" i="1"/>
  <c r="Y10" i="1"/>
  <c r="X10" i="1"/>
  <c r="T10" i="1"/>
  <c r="S10" i="1"/>
  <c r="R10" i="1"/>
  <c r="Q10" i="1"/>
  <c r="P10" i="1"/>
  <c r="O10" i="1"/>
  <c r="N10" i="1"/>
  <c r="M10" i="1"/>
  <c r="L10" i="1"/>
</calcChain>
</file>

<file path=xl/sharedStrings.xml><?xml version="1.0" encoding="utf-8"?>
<sst xmlns="http://schemas.openxmlformats.org/spreadsheetml/2006/main" count="261" uniqueCount="143">
  <si>
    <t>Ведомость по товарам на складах</t>
  </si>
  <si>
    <t>Период: 16.06.2026 - 23.06.2026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</si>
  <si>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</si>
  <si>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</si>
  <si>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</si>
  <si>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</si>
  <si>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</si>
  <si>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</si>
  <si>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</si>
  <si>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</si>
  <si>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</si>
  <si>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</si>
  <si>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</si>
  <si>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</si>
  <si>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</si>
  <si>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</si>
  <si>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</si>
  <si>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</si>
  <si>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</si>
  <si>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</si>
  <si>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</si>
  <si>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</si>
  <si>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</si>
  <si>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</si>
  <si>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</si>
  <si>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</si>
  <si>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</si>
  <si>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</si>
  <si>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</si>
  <si>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</si>
  <si>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</si>
  <si>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</si>
  <si>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</si>
  <si>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</si>
  <si>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</si>
  <si>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</si>
  <si>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</si>
  <si>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</si>
  <si>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</si>
  <si>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</si>
  <si>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</si>
  <si>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</si>
  <si>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</si>
  <si>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</si>
  <si>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</si>
  <si>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</si>
  <si>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</si>
  <si>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</si>
  <si>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</si>
  <si>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</si>
  <si>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</si>
  <si>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</si>
  <si>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</si>
  <si>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</si>
  <si>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</si>
  <si>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</si>
  <si>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</si>
  <si>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</si>
  <si>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</si>
  <si>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</si>
  <si>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</si>
  <si>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</si>
  <si>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</si>
  <si>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</si>
  <si>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</si>
  <si>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</si>
  <si>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</si>
  <si>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</si>
  <si>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</si>
  <si>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</si>
  <si>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</si>
  <si>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</si>
  <si>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</si>
  <si>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</si>
  <si>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</si>
  <si>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</si>
  <si>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</si>
  <si>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</si>
  <si>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</si>
  <si>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</si>
  <si>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</si>
  <si>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</si>
  <si>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</si>
  <si>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</si>
  <si>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</si>
  <si>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</si>
  <si>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</si>
  <si>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</si>
  <si>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</si>
  <si>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</si>
  <si>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</si>
  <si>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</si>
  <si>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</si>
  <si>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</si>
  <si>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</si>
  <si>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</si>
  <si>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</si>
  <si>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</si>
  <si>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</si>
  <si>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</si>
  <si>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</si>
  <si>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</si>
  <si>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</si>
  <si>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</si>
  <si>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</si>
  <si>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</si>
  <si>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</si>
  <si>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</si>
  <si>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</si>
  <si>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</si>
  <si>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</si>
  <si>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</si>
  <si>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</si>
  <si>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</si>
  <si>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</si>
  <si>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</si>
  <si>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</si>
  <si>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</si>
  <si>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</si>
  <si>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</si>
  <si>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</si>
  <si>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</si>
  <si>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</si>
  <si>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</si>
  <si>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</si>
  <si>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</si>
  <si>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</si>
  <si>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</si>
  <si>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</si>
  <si>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</si>
  <si>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</si>
  <si>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</si>
  <si>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</si>
  <si>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20,06,</t>
  </si>
  <si>
    <t>21,06,</t>
  </si>
  <si>
    <t>23,06,</t>
  </si>
  <si>
    <t>27,06,</t>
  </si>
  <si>
    <t>26,05,</t>
  </si>
  <si>
    <t>02,06,</t>
  </si>
  <si>
    <t>09,06,</t>
  </si>
  <si>
    <t>16,06,</t>
  </si>
  <si>
    <t>Промо</t>
  </si>
  <si>
    <t>Промо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</si>
</sst>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0_ ;[Red]\-0.00\ "/>
  </numFmts>
  <fonts count="8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0" fillId="0" borderId="0" xfId="0" applyAlignment="1"/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" fontId="0" fillId="0" borderId="0" xfId="0" applyNumberFormat="1" applyAlignment="1"/>
    <xf numFmtId="1" fontId="0" fillId="0" borderId="0" xfId="0" applyNumberFormat="1" applyAlignment="1">
      <alignment horizontal="left"/>
    </xf>
    <xf numFmtId="0" fontId="2" fillId="2" borderId="0" xfId="0" applyFont="1" applyFill="1" applyBorder="1" applyAlignment="1">
      <alignment horizontal="lef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0" fontId="6" fillId="2" borderId="2" xfId="0" applyFont="1" applyFill="1" applyBorder="1" applyAlignment="1">
      <alignment horizontal="left" vertical="top"/>
    </xf>
    <xf numFmtId="164" fontId="2" fillId="5" borderId="0" xfId="1" applyNumberFormat="1" applyFill="1"/>
    <xf numFmtId="164" fontId="0" fillId="0" borderId="0" xfId="0" applyNumberFormat="1" applyAlignment="1"/>
    <xf numFmtId="165" fontId="0" fillId="0" borderId="0" xfId="0" applyNumberFormat="1" applyAlignment="1"/>
    <xf numFmtId="0" fontId="3" fillId="0" borderId="2" xfId="0" applyFont="1" applyBorder="1" applyAlignment="1">
      <alignment horizontal="left" vertical="top"/>
    </xf>
    <xf numFmtId="164" fontId="7" fillId="0" borderId="4" xfId="0" applyNumberFormat="1" applyFont="1" applyBorder="1" applyAlignment="1"/>
    <xf numFmtId="0" fontId="0" fillId="6" borderId="2" xfId="0" applyFill="1" applyBorder="1" applyAlignment="1">
      <alignment horizontal="left" vertical="top"/>
    </xf>
    <xf numFmtId="1" fontId="0" fillId="6" borderId="0" xfId="0" applyNumberFormat="1" applyFill="1" applyAlignment="1"/>
    <xf numFmtId="165" fontId="0" fillId="6" borderId="0" xfId="0" applyNumberFormat="1" applyFill="1" applyAlignment="1"/>
    <xf numFmtId="164" fontId="0" fillId="0" borderId="2" xfId="0" applyNumberFormat="1" applyBorder="1" applyAlignment="1">
      <alignment horizontal="right" vertical="top"/>
    </xf>
    <xf numFmtId="164" fontId="0" fillId="6" borderId="2" xfId="0" applyNumberFormat="1" applyFill="1" applyBorder="1" applyAlignment="1">
      <alignment horizontal="right" vertical="top"/>
    </xf>
    <xf numFmtId="164" fontId="0" fillId="6" borderId="0" xfId="0" applyNumberFormat="1" applyFill="1" applyAlignment="1"/>
    <xf numFmtId="164" fontId="0" fillId="0" borderId="3" xfId="0" applyNumberFormat="1" applyBorder="1" applyAlignment="1">
      <alignment horizontal="right" vertical="top"/>
    </xf>
    <xf numFmtId="164" fontId="0" fillId="0" borderId="0" xfId="0" applyNumberFormat="1" applyAlignment="1">
      <alignment horizontal="left"/>
    </xf>
    <xf numFmtId="164" fontId="7" fillId="6" borderId="4" xfId="0" applyNumberFormat="1" applyFont="1" applyFill="1" applyBorder="1" applyAlignment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PC4/Desktop/&#1044;&#1074;,%20&#1055;&#1086;&#1082;&#1086;&#1084;%20&#1050;&#1048;%20&#1086;&#1090;%2018,06,26,%20&#1052;&#1077;&#1083;&#1080;&#1090;&#1086;&#1087;&#1086;&#1083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PC4/Desktop/&#1047;&#1072;&#1082;&#1072;&#1079;&#1072;&#1085;&#1086;%20%20&#8212;%20&#1082;&#1086;&#1087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11.06.2026 - 18.06.2026</v>
          </cell>
        </row>
        <row r="6">
          <cell r="A6" t="str">
            <v>Склад В списке "АСП1 Мелитополь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Заказ в пути</v>
          </cell>
          <cell r="P8" t="str">
            <v>Заказ в пути</v>
          </cell>
          <cell r="Q8" t="str">
            <v>Заказ в пути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  <cell r="V8" t="str">
            <v>кон ост</v>
          </cell>
          <cell r="W8" t="str">
            <v>факт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комментарии</v>
          </cell>
        </row>
        <row r="9">
          <cell r="O9" t="str">
            <v>14,06,</v>
          </cell>
          <cell r="P9" t="str">
            <v>20,06,</v>
          </cell>
          <cell r="Q9" t="str">
            <v>20,06,</v>
          </cell>
          <cell r="R9" t="str">
            <v>18,06,</v>
          </cell>
          <cell r="S9" t="str">
            <v>21,06,</v>
          </cell>
          <cell r="X9" t="str">
            <v>26,05,</v>
          </cell>
          <cell r="Y9" t="str">
            <v>02,06,</v>
          </cell>
          <cell r="Z9" t="str">
            <v>09,06,</v>
          </cell>
          <cell r="AA9" t="str">
            <v>16,06,</v>
          </cell>
        </row>
        <row r="10">
          <cell r="C10">
            <v>24348.145999999997</v>
          </cell>
          <cell r="D10">
            <v>19507.306999999997</v>
          </cell>
          <cell r="E10">
            <v>25733.049000000006</v>
          </cell>
          <cell r="F10">
            <v>13394.900000000001</v>
          </cell>
          <cell r="L10">
            <v>22160.183000000001</v>
          </cell>
          <cell r="M10">
            <v>3572.8660000000004</v>
          </cell>
          <cell r="N10">
            <v>0</v>
          </cell>
          <cell r="O10">
            <v>6045</v>
          </cell>
          <cell r="P10">
            <v>4000</v>
          </cell>
          <cell r="Q10">
            <v>22805</v>
          </cell>
          <cell r="R10">
            <v>5146.6098000000029</v>
          </cell>
          <cell r="S10">
            <v>20511.8</v>
          </cell>
          <cell r="T10">
            <v>10302</v>
          </cell>
          <cell r="X10">
            <v>4573.9570000000022</v>
          </cell>
          <cell r="Y10">
            <v>4514.7129999999979</v>
          </cell>
          <cell r="Z10">
            <v>3857.490400000001</v>
          </cell>
          <cell r="AA10">
            <v>4884.1427999999996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350.64</v>
          </cell>
          <cell r="D11">
            <v>310.58100000000002</v>
          </cell>
          <cell r="E11">
            <v>320.18299999999999</v>
          </cell>
          <cell r="F11">
            <v>264.54700000000003</v>
          </cell>
          <cell r="G11" t="str">
            <v>P003011</v>
          </cell>
          <cell r="H11">
            <v>1</v>
          </cell>
          <cell r="I11">
            <v>50</v>
          </cell>
          <cell r="J11" t="str">
            <v>матрица</v>
          </cell>
          <cell r="L11">
            <v>306.10000000000002</v>
          </cell>
          <cell r="M11">
            <v>14.08299999999997</v>
          </cell>
          <cell r="O11">
            <v>45</v>
          </cell>
          <cell r="P11">
            <v>0</v>
          </cell>
          <cell r="Q11">
            <v>170</v>
          </cell>
          <cell r="R11">
            <v>64.036599999999993</v>
          </cell>
          <cell r="S11">
            <v>500</v>
          </cell>
          <cell r="T11">
            <v>500</v>
          </cell>
          <cell r="U11" t="str">
            <v>Промо</v>
          </cell>
          <cell r="V11">
            <v>15.296674089505066</v>
          </cell>
          <cell r="W11">
            <v>4.131184353947587</v>
          </cell>
          <cell r="X11">
            <v>59.230600000000003</v>
          </cell>
          <cell r="Y11">
            <v>58.592600000000004</v>
          </cell>
          <cell r="Z11">
            <v>56.728200000000001</v>
          </cell>
          <cell r="AA11">
            <v>56.725999999999999</v>
          </cell>
          <cell r="AB11" t="str">
            <v>ТМА ПРОДОЛЖЕНИЕ Апрель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492.57</v>
          </cell>
          <cell r="D12">
            <v>278.34699999999998</v>
          </cell>
          <cell r="E12">
            <v>595.83199999999999</v>
          </cell>
          <cell r="F12">
            <v>27.507000000000001</v>
          </cell>
          <cell r="G12" t="str">
            <v>P003986</v>
          </cell>
          <cell r="H12">
            <v>1</v>
          </cell>
          <cell r="I12">
            <v>45</v>
          </cell>
          <cell r="J12" t="str">
            <v>матрица</v>
          </cell>
          <cell r="L12">
            <v>753.75</v>
          </cell>
          <cell r="M12">
            <v>-157.91800000000001</v>
          </cell>
          <cell r="O12">
            <v>170</v>
          </cell>
          <cell r="P12">
            <v>600</v>
          </cell>
          <cell r="Q12">
            <v>500</v>
          </cell>
          <cell r="R12">
            <v>119.1664</v>
          </cell>
          <cell r="S12">
            <v>1000</v>
          </cell>
          <cell r="T12">
            <v>1000</v>
          </cell>
          <cell r="U12" t="str">
            <v>Промо</v>
          </cell>
          <cell r="V12">
            <v>19.279822164637014</v>
          </cell>
          <cell r="W12">
            <v>0.23082848856724716</v>
          </cell>
          <cell r="X12">
            <v>110.9192</v>
          </cell>
          <cell r="Y12">
            <v>103.55160000000001</v>
          </cell>
          <cell r="Z12">
            <v>53.919399999999996</v>
          </cell>
          <cell r="AA12">
            <v>120.83459999999999</v>
          </cell>
          <cell r="AB12" t="str">
            <v>ТМА ПРОДОЛЖЕНИЕ Апрель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672.50400000000002</v>
          </cell>
          <cell r="D13">
            <v>20.707999999999998</v>
          </cell>
          <cell r="E13">
            <v>587.76099999999997</v>
          </cell>
          <cell r="F13">
            <v>-32.56</v>
          </cell>
          <cell r="G13" t="str">
            <v>P003988</v>
          </cell>
          <cell r="H13">
            <v>1</v>
          </cell>
          <cell r="I13">
            <v>45</v>
          </cell>
          <cell r="J13" t="str">
            <v>матрица</v>
          </cell>
          <cell r="L13">
            <v>692.7</v>
          </cell>
          <cell r="M13">
            <v>-104.93900000000008</v>
          </cell>
          <cell r="O13">
            <v>0</v>
          </cell>
          <cell r="P13">
            <v>700</v>
          </cell>
          <cell r="Q13">
            <v>600</v>
          </cell>
          <cell r="R13">
            <v>117.5522</v>
          </cell>
          <cell r="S13">
            <v>1000</v>
          </cell>
          <cell r="T13">
            <v>1000</v>
          </cell>
          <cell r="U13" t="str">
            <v>Промо</v>
          </cell>
          <cell r="V13">
            <v>19.288792553435837</v>
          </cell>
          <cell r="W13">
            <v>-0.27698333166031774</v>
          </cell>
          <cell r="X13">
            <v>110.595</v>
          </cell>
          <cell r="Y13">
            <v>120.94500000000001</v>
          </cell>
          <cell r="Z13">
            <v>61.915200000000006</v>
          </cell>
          <cell r="AA13">
            <v>136.8586</v>
          </cell>
          <cell r="AB13" t="str">
            <v>ТМА ПРОДОЛЖЕНИЕ Апрель</v>
          </cell>
        </row>
        <row r="14">
          <cell r="A14" t="str">
            <v xml:space="preserve"> 023  Колбаса Докторская ГОСТ, Вязанка вектор, 0,4 кг, ПОКОМ</v>
          </cell>
          <cell r="B14" t="str">
            <v>шт</v>
          </cell>
          <cell r="C14">
            <v>90</v>
          </cell>
          <cell r="E14">
            <v>3</v>
          </cell>
          <cell r="F14">
            <v>85</v>
          </cell>
          <cell r="G14">
            <v>0</v>
          </cell>
          <cell r="H14">
            <v>0.4</v>
          </cell>
          <cell r="I14" t="e">
            <v>#N/A</v>
          </cell>
          <cell r="J14" t="e">
            <v>#N/A</v>
          </cell>
          <cell r="L14">
            <v>41</v>
          </cell>
          <cell r="M14">
            <v>-38</v>
          </cell>
          <cell r="O14">
            <v>0</v>
          </cell>
          <cell r="P14">
            <v>0</v>
          </cell>
          <cell r="Q14">
            <v>0</v>
          </cell>
          <cell r="R14">
            <v>0.6</v>
          </cell>
          <cell r="U14">
            <v>0</v>
          </cell>
          <cell r="V14">
            <v>141.66666666666669</v>
          </cell>
          <cell r="W14">
            <v>141.66666666666669</v>
          </cell>
          <cell r="X14">
            <v>0</v>
          </cell>
          <cell r="Y14">
            <v>0</v>
          </cell>
          <cell r="Z14">
            <v>0</v>
          </cell>
          <cell r="AA14">
            <v>1</v>
          </cell>
          <cell r="AB14" t="e">
            <v>#N/A</v>
          </cell>
        </row>
        <row r="15">
          <cell r="A15" t="str">
            <v xml:space="preserve"> 030  Сосиски Вязанка Молочные, Вязанка вискофан МГС, 0.45кг, ПОКОМ</v>
          </cell>
          <cell r="B15" t="str">
            <v>шт</v>
          </cell>
          <cell r="C15">
            <v>296</v>
          </cell>
          <cell r="D15">
            <v>513</v>
          </cell>
          <cell r="E15">
            <v>298</v>
          </cell>
          <cell r="F15">
            <v>449</v>
          </cell>
          <cell r="G15" t="str">
            <v>P003985</v>
          </cell>
          <cell r="H15">
            <v>0.45</v>
          </cell>
          <cell r="I15">
            <v>0</v>
          </cell>
          <cell r="J15">
            <v>0</v>
          </cell>
          <cell r="L15">
            <v>349</v>
          </cell>
          <cell r="M15">
            <v>-51</v>
          </cell>
          <cell r="O15">
            <v>0</v>
          </cell>
          <cell r="P15">
            <v>0</v>
          </cell>
          <cell r="Q15">
            <v>200</v>
          </cell>
          <cell r="R15">
            <v>59.6</v>
          </cell>
          <cell r="S15">
            <v>200</v>
          </cell>
          <cell r="T15">
            <v>200</v>
          </cell>
          <cell r="U15">
            <v>0</v>
          </cell>
          <cell r="V15">
            <v>14.24496644295302</v>
          </cell>
          <cell r="W15">
            <v>7.5335570469798654</v>
          </cell>
          <cell r="X15">
            <v>48</v>
          </cell>
          <cell r="Y15">
            <v>12.8</v>
          </cell>
          <cell r="Z15">
            <v>-0.4</v>
          </cell>
          <cell r="AA15">
            <v>59.6</v>
          </cell>
          <cell r="AB15" t="str">
            <v>Мера</v>
          </cell>
        </row>
        <row r="16">
          <cell r="A16" t="str">
            <v xml:space="preserve"> 032  Сосиски Вязанка Сливочные, Вязанка амицел МГС, 0.45кг, ПОКОМ</v>
          </cell>
          <cell r="B16" t="str">
            <v>шт</v>
          </cell>
          <cell r="C16">
            <v>594</v>
          </cell>
          <cell r="D16">
            <v>15</v>
          </cell>
          <cell r="E16">
            <v>472</v>
          </cell>
          <cell r="F16">
            <v>87</v>
          </cell>
          <cell r="G16" t="str">
            <v>P003989</v>
          </cell>
          <cell r="H16">
            <v>0.45</v>
          </cell>
          <cell r="I16">
            <v>45</v>
          </cell>
          <cell r="J16" t="str">
            <v>матрица</v>
          </cell>
          <cell r="L16">
            <v>467</v>
          </cell>
          <cell r="M16">
            <v>5</v>
          </cell>
          <cell r="O16">
            <v>120</v>
          </cell>
          <cell r="P16">
            <v>0</v>
          </cell>
          <cell r="Q16">
            <v>270</v>
          </cell>
          <cell r="R16">
            <v>94.4</v>
          </cell>
          <cell r="S16">
            <v>1000</v>
          </cell>
          <cell r="T16">
            <v>1000</v>
          </cell>
          <cell r="U16" t="str">
            <v>Промо</v>
          </cell>
          <cell r="V16">
            <v>15.646186440677965</v>
          </cell>
          <cell r="W16">
            <v>0.92161016949152541</v>
          </cell>
          <cell r="X16">
            <v>77</v>
          </cell>
          <cell r="Y16">
            <v>75.599999999999994</v>
          </cell>
          <cell r="Z16">
            <v>39.799999999999997</v>
          </cell>
          <cell r="AA16">
            <v>64.8</v>
          </cell>
          <cell r="AB16" t="str">
            <v>зв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C17">
            <v>139</v>
          </cell>
          <cell r="D17">
            <v>6</v>
          </cell>
          <cell r="E17">
            <v>85</v>
          </cell>
          <cell r="F17">
            <v>17</v>
          </cell>
          <cell r="G17" t="str">
            <v>P002461</v>
          </cell>
          <cell r="H17">
            <v>0.3</v>
          </cell>
          <cell r="I17">
            <v>40</v>
          </cell>
          <cell r="J17" t="str">
            <v>матрица</v>
          </cell>
          <cell r="L17">
            <v>94</v>
          </cell>
          <cell r="M17">
            <v>-9</v>
          </cell>
          <cell r="O17">
            <v>0</v>
          </cell>
          <cell r="P17">
            <v>0</v>
          </cell>
          <cell r="Q17">
            <v>100</v>
          </cell>
          <cell r="R17">
            <v>17</v>
          </cell>
          <cell r="S17">
            <v>150</v>
          </cell>
          <cell r="T17">
            <v>150</v>
          </cell>
          <cell r="U17">
            <v>0</v>
          </cell>
          <cell r="V17">
            <v>15.705882352941176</v>
          </cell>
          <cell r="W17">
            <v>1</v>
          </cell>
          <cell r="X17">
            <v>11.4</v>
          </cell>
          <cell r="Y17">
            <v>17.2</v>
          </cell>
          <cell r="Z17">
            <v>8.6</v>
          </cell>
          <cell r="AA17">
            <v>16</v>
          </cell>
          <cell r="AB17" t="str">
            <v>увел продажи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97</v>
          </cell>
          <cell r="D18">
            <v>60</v>
          </cell>
          <cell r="E18">
            <v>96</v>
          </cell>
          <cell r="F18">
            <v>51</v>
          </cell>
          <cell r="G18" t="str">
            <v>P001909</v>
          </cell>
          <cell r="H18">
            <v>0.17</v>
          </cell>
          <cell r="I18">
            <v>180</v>
          </cell>
          <cell r="J18" t="str">
            <v>матрица</v>
          </cell>
          <cell r="L18">
            <v>104</v>
          </cell>
          <cell r="M18">
            <v>-8</v>
          </cell>
          <cell r="O18">
            <v>200</v>
          </cell>
          <cell r="P18">
            <v>0</v>
          </cell>
          <cell r="Q18">
            <v>0</v>
          </cell>
          <cell r="R18">
            <v>19.2</v>
          </cell>
          <cell r="S18">
            <v>150</v>
          </cell>
          <cell r="T18">
            <v>150</v>
          </cell>
          <cell r="U18">
            <v>0</v>
          </cell>
          <cell r="V18">
            <v>20.885416666666668</v>
          </cell>
          <cell r="W18">
            <v>2.65625</v>
          </cell>
          <cell r="X18">
            <v>10.4</v>
          </cell>
          <cell r="Y18">
            <v>12</v>
          </cell>
          <cell r="Z18">
            <v>14.8</v>
          </cell>
          <cell r="AA18">
            <v>25</v>
          </cell>
          <cell r="AB18" t="str">
            <v>Макс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470.072</v>
          </cell>
          <cell r="D19">
            <v>334.88799999999998</v>
          </cell>
          <cell r="E19">
            <v>452.07</v>
          </cell>
          <cell r="F19">
            <v>275.30099999999999</v>
          </cell>
          <cell r="G19" t="str">
            <v>P004460</v>
          </cell>
          <cell r="H19">
            <v>1</v>
          </cell>
          <cell r="I19">
            <v>55</v>
          </cell>
          <cell r="J19" t="str">
            <v>матрица</v>
          </cell>
          <cell r="L19">
            <v>429.29</v>
          </cell>
          <cell r="M19">
            <v>22.779999999999973</v>
          </cell>
          <cell r="O19">
            <v>0</v>
          </cell>
          <cell r="P19">
            <v>0</v>
          </cell>
          <cell r="Q19">
            <v>470</v>
          </cell>
          <cell r="R19">
            <v>90.414000000000001</v>
          </cell>
          <cell r="S19">
            <v>500</v>
          </cell>
          <cell r="T19">
            <v>500</v>
          </cell>
          <cell r="U19" t="str">
            <v>Промо</v>
          </cell>
          <cell r="V19">
            <v>13.773320503461852</v>
          </cell>
          <cell r="W19">
            <v>3.0448934899462472</v>
          </cell>
          <cell r="X19">
            <v>73.17</v>
          </cell>
          <cell r="Y19">
            <v>84.661199999999994</v>
          </cell>
          <cell r="Z19">
            <v>76.513199999999998</v>
          </cell>
          <cell r="AA19">
            <v>84.409599999999998</v>
          </cell>
          <cell r="AB19" t="str">
            <v>ТМА ПРОДОЛЖЕНИЕ Апрель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558.19200000000001</v>
          </cell>
          <cell r="D20">
            <v>2723.596</v>
          </cell>
          <cell r="E20">
            <v>1340.297</v>
          </cell>
          <cell r="F20">
            <v>1582.893</v>
          </cell>
          <cell r="G20" t="str">
            <v>P002555</v>
          </cell>
          <cell r="H20">
            <v>1</v>
          </cell>
          <cell r="I20">
            <v>50</v>
          </cell>
          <cell r="J20" t="str">
            <v>матрица</v>
          </cell>
          <cell r="L20">
            <v>1937.01</v>
          </cell>
          <cell r="M20">
            <v>-596.71299999999997</v>
          </cell>
          <cell r="O20">
            <v>500</v>
          </cell>
          <cell r="P20">
            <v>0</v>
          </cell>
          <cell r="Q20">
            <v>160</v>
          </cell>
          <cell r="R20">
            <v>268.05939999999998</v>
          </cell>
          <cell r="S20">
            <v>1000</v>
          </cell>
          <cell r="U20">
            <v>0</v>
          </cell>
          <cell r="V20">
            <v>12.097665666639559</v>
          </cell>
          <cell r="W20">
            <v>5.9050083675483869</v>
          </cell>
          <cell r="X20">
            <v>369.06460000000004</v>
          </cell>
          <cell r="Y20">
            <v>403.61199999999997</v>
          </cell>
          <cell r="Z20">
            <v>349.3664</v>
          </cell>
          <cell r="AA20">
            <v>273.9434</v>
          </cell>
          <cell r="AB20" t="str">
            <v>ТМА ПРОДОЛЖЕНИЕ Апрель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C21">
            <v>59.07</v>
          </cell>
          <cell r="D21">
            <v>135.833</v>
          </cell>
          <cell r="E21">
            <v>74.435000000000002</v>
          </cell>
          <cell r="F21">
            <v>74.725999999999999</v>
          </cell>
          <cell r="G21" t="str">
            <v>P004028</v>
          </cell>
          <cell r="H21">
            <v>1</v>
          </cell>
          <cell r="I21">
            <v>60</v>
          </cell>
          <cell r="J21" t="str">
            <v>матрица</v>
          </cell>
          <cell r="L21">
            <v>75.94</v>
          </cell>
          <cell r="M21">
            <v>-1.5049999999999955</v>
          </cell>
          <cell r="O21">
            <v>0</v>
          </cell>
          <cell r="P21">
            <v>0</v>
          </cell>
          <cell r="Q21">
            <v>110</v>
          </cell>
          <cell r="R21">
            <v>14.887</v>
          </cell>
          <cell r="U21">
            <v>0</v>
          </cell>
          <cell r="V21">
            <v>12.40854436756902</v>
          </cell>
          <cell r="W21">
            <v>5.019547255995163</v>
          </cell>
          <cell r="X21">
            <v>21.386600000000001</v>
          </cell>
          <cell r="Y21">
            <v>18.390999999999998</v>
          </cell>
          <cell r="Z21">
            <v>20.5778</v>
          </cell>
          <cell r="AA21">
            <v>21.4712</v>
          </cell>
          <cell r="AB21" t="str">
            <v>нужно увеличить продажи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1193.7329999999999</v>
          </cell>
          <cell r="D22">
            <v>1677.845</v>
          </cell>
          <cell r="E22">
            <v>1597.614</v>
          </cell>
          <cell r="F22">
            <v>969.99599999999998</v>
          </cell>
          <cell r="G22" t="str">
            <v>P005077</v>
          </cell>
          <cell r="H22">
            <v>1</v>
          </cell>
          <cell r="I22">
            <v>60</v>
          </cell>
          <cell r="J22" t="str">
            <v>матрица</v>
          </cell>
          <cell r="L22">
            <v>7.5</v>
          </cell>
          <cell r="M22">
            <v>1590.114</v>
          </cell>
          <cell r="O22">
            <v>100</v>
          </cell>
          <cell r="P22">
            <v>0</v>
          </cell>
          <cell r="Q22">
            <v>1600</v>
          </cell>
          <cell r="R22">
            <v>319.52280000000002</v>
          </cell>
          <cell r="S22">
            <v>850</v>
          </cell>
          <cell r="U22">
            <v>0</v>
          </cell>
          <cell r="V22">
            <v>11.016415729957298</v>
          </cell>
          <cell r="W22">
            <v>3.0357645839357938</v>
          </cell>
          <cell r="X22">
            <v>325.00940000000003</v>
          </cell>
          <cell r="Y22">
            <v>282.35140000000001</v>
          </cell>
          <cell r="Z22">
            <v>303.96140000000003</v>
          </cell>
          <cell r="AA22">
            <v>309.18420000000003</v>
          </cell>
          <cell r="AB22" t="str">
            <v>увел продажи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22.218</v>
          </cell>
          <cell r="E23">
            <v>15.946</v>
          </cell>
          <cell r="F23">
            <v>0.106</v>
          </cell>
          <cell r="G23" t="str">
            <v>P004406</v>
          </cell>
          <cell r="H23">
            <v>1</v>
          </cell>
          <cell r="I23">
            <v>0</v>
          </cell>
          <cell r="J23">
            <v>0</v>
          </cell>
          <cell r="L23">
            <v>23.36</v>
          </cell>
          <cell r="M23">
            <v>-7.4139999999999997</v>
          </cell>
          <cell r="O23">
            <v>0</v>
          </cell>
          <cell r="P23">
            <v>0</v>
          </cell>
          <cell r="Q23">
            <v>90</v>
          </cell>
          <cell r="R23">
            <v>3.1892</v>
          </cell>
          <cell r="U23">
            <v>0</v>
          </cell>
          <cell r="V23">
            <v>28.253480496676282</v>
          </cell>
          <cell r="W23">
            <v>3.3237175467201806E-2</v>
          </cell>
          <cell r="X23">
            <v>2.3202000000000003</v>
          </cell>
          <cell r="Y23">
            <v>3.9265999999999996</v>
          </cell>
          <cell r="Z23">
            <v>1.6039999999999999</v>
          </cell>
          <cell r="AA23">
            <v>7.9376000000000007</v>
          </cell>
          <cell r="AB23" t="e">
            <v>#N/A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21.774000000000001</v>
          </cell>
          <cell r="E24">
            <v>19.952000000000002</v>
          </cell>
          <cell r="F24">
            <v>6.2E-2</v>
          </cell>
          <cell r="G24" t="str">
            <v>P001900</v>
          </cell>
          <cell r="H24">
            <v>1</v>
          </cell>
          <cell r="I24">
            <v>180</v>
          </cell>
          <cell r="J24" t="str">
            <v>матрица</v>
          </cell>
          <cell r="L24">
            <v>21.85</v>
          </cell>
          <cell r="M24">
            <v>-1.8979999999999997</v>
          </cell>
          <cell r="O24">
            <v>0</v>
          </cell>
          <cell r="P24">
            <v>0</v>
          </cell>
          <cell r="Q24">
            <v>30</v>
          </cell>
          <cell r="R24">
            <v>3.9904000000000002</v>
          </cell>
          <cell r="S24">
            <v>30</v>
          </cell>
          <cell r="T24">
            <v>30</v>
          </cell>
          <cell r="U24">
            <v>0</v>
          </cell>
          <cell r="V24">
            <v>15.051623897353647</v>
          </cell>
          <cell r="W24">
            <v>1.553728949478749E-2</v>
          </cell>
          <cell r="X24">
            <v>3.6768000000000001</v>
          </cell>
          <cell r="Y24">
            <v>3.2548000000000004</v>
          </cell>
          <cell r="Z24">
            <v>1.7052</v>
          </cell>
          <cell r="AA24">
            <v>3.1155999999999997</v>
          </cell>
          <cell r="AB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527.73</v>
          </cell>
          <cell r="D25">
            <v>545.65300000000002</v>
          </cell>
          <cell r="E25">
            <v>514.27</v>
          </cell>
          <cell r="F25">
            <v>463.10300000000001</v>
          </cell>
          <cell r="G25" t="str">
            <v>P004030</v>
          </cell>
          <cell r="H25">
            <v>1</v>
          </cell>
          <cell r="I25">
            <v>60</v>
          </cell>
          <cell r="J25" t="str">
            <v>матрица</v>
          </cell>
          <cell r="L25">
            <v>488.34</v>
          </cell>
          <cell r="M25">
            <v>25.930000000000007</v>
          </cell>
          <cell r="O25">
            <v>0</v>
          </cell>
          <cell r="P25">
            <v>0</v>
          </cell>
          <cell r="Q25">
            <v>330</v>
          </cell>
          <cell r="R25">
            <v>102.854</v>
          </cell>
          <cell r="S25">
            <v>400</v>
          </cell>
          <cell r="T25">
            <v>400</v>
          </cell>
          <cell r="U25" t="str">
            <v>Промо</v>
          </cell>
          <cell r="V25">
            <v>11.599966943434383</v>
          </cell>
          <cell r="W25">
            <v>4.5025278550177923</v>
          </cell>
          <cell r="X25">
            <v>78.773400000000009</v>
          </cell>
          <cell r="Y25">
            <v>104.90519999999999</v>
          </cell>
          <cell r="Z25">
            <v>100.66679999999999</v>
          </cell>
          <cell r="AA25">
            <v>94.618399999999994</v>
          </cell>
          <cell r="AB25" t="str">
            <v>ТМА Апрель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31.99</v>
          </cell>
          <cell r="D26">
            <v>63.59</v>
          </cell>
          <cell r="E26">
            <v>39.543999999999997</v>
          </cell>
          <cell r="F26">
            <v>34.853999999999999</v>
          </cell>
          <cell r="G26" t="str">
            <v>P004465</v>
          </cell>
          <cell r="H26">
            <v>1</v>
          </cell>
          <cell r="I26">
            <v>60</v>
          </cell>
          <cell r="J26" t="str">
            <v>матрица</v>
          </cell>
          <cell r="L26">
            <v>54.06</v>
          </cell>
          <cell r="M26">
            <v>-14.516000000000005</v>
          </cell>
          <cell r="O26">
            <v>80</v>
          </cell>
          <cell r="P26">
            <v>0</v>
          </cell>
          <cell r="Q26">
            <v>20</v>
          </cell>
          <cell r="R26">
            <v>7.9087999999999994</v>
          </cell>
          <cell r="U26">
            <v>0</v>
          </cell>
          <cell r="V26">
            <v>17.051132915233662</v>
          </cell>
          <cell r="W26">
            <v>4.4069896823791224</v>
          </cell>
          <cell r="X26">
            <v>18.9848</v>
          </cell>
          <cell r="Y26">
            <v>12.1364</v>
          </cell>
          <cell r="Z26">
            <v>13.342599999999999</v>
          </cell>
          <cell r="AA26">
            <v>14.418000000000001</v>
          </cell>
          <cell r="AB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253.06</v>
          </cell>
          <cell r="D27">
            <v>199.14599999999999</v>
          </cell>
          <cell r="E27">
            <v>191.08199999999999</v>
          </cell>
          <cell r="F27">
            <v>223.24100000000001</v>
          </cell>
          <cell r="G27" t="str">
            <v>P004466</v>
          </cell>
          <cell r="H27">
            <v>1</v>
          </cell>
          <cell r="I27">
            <v>60</v>
          </cell>
          <cell r="J27" t="str">
            <v>матрица</v>
          </cell>
          <cell r="L27">
            <v>179.45</v>
          </cell>
          <cell r="M27">
            <v>11.632000000000005</v>
          </cell>
          <cell r="O27">
            <v>0</v>
          </cell>
          <cell r="P27">
            <v>0</v>
          </cell>
          <cell r="Q27">
            <v>180</v>
          </cell>
          <cell r="R27">
            <v>38.2164</v>
          </cell>
          <cell r="S27">
            <v>290</v>
          </cell>
          <cell r="T27">
            <v>290</v>
          </cell>
          <cell r="U27" t="str">
            <v>Промо</v>
          </cell>
          <cell r="V27">
            <v>18.139882354172553</v>
          </cell>
          <cell r="W27">
            <v>5.8414973676222779</v>
          </cell>
          <cell r="X27">
            <v>31.876799999999996</v>
          </cell>
          <cell r="Y27">
            <v>42.434199999999997</v>
          </cell>
          <cell r="Z27">
            <v>33.288400000000003</v>
          </cell>
          <cell r="AA27">
            <v>38.178800000000003</v>
          </cell>
          <cell r="AB27" t="str">
            <v>ТМА ПРОДОЛЖЕНИЕ Апрель</v>
          </cell>
        </row>
        <row r="28">
          <cell r="A28" t="str">
            <v xml:space="preserve"> 240  Колбаса Салями охотничья, ВЕС. ПОКОМ</v>
          </cell>
          <cell r="B28" t="str">
            <v>кг</v>
          </cell>
          <cell r="C28">
            <v>19.146000000000001</v>
          </cell>
          <cell r="E28">
            <v>17.498000000000001</v>
          </cell>
          <cell r="F28">
            <v>-0.17199999999999999</v>
          </cell>
          <cell r="G28" t="str">
            <v>P001916</v>
          </cell>
          <cell r="H28">
            <v>1</v>
          </cell>
          <cell r="I28">
            <v>180</v>
          </cell>
          <cell r="J28" t="str">
            <v>матрица</v>
          </cell>
          <cell r="L28">
            <v>17.12</v>
          </cell>
          <cell r="M28">
            <v>0.37800000000000011</v>
          </cell>
          <cell r="O28">
            <v>0</v>
          </cell>
          <cell r="P28">
            <v>0</v>
          </cell>
          <cell r="Q28">
            <v>30</v>
          </cell>
          <cell r="R28">
            <v>3.4996</v>
          </cell>
          <cell r="S28">
            <v>30</v>
          </cell>
          <cell r="T28">
            <v>30</v>
          </cell>
          <cell r="U28">
            <v>0</v>
          </cell>
          <cell r="V28">
            <v>17.095668076351583</v>
          </cell>
          <cell r="W28">
            <v>-4.9148474111327008E-2</v>
          </cell>
          <cell r="X28">
            <v>2.7141999999999999</v>
          </cell>
          <cell r="Y28">
            <v>1.7765999999999997</v>
          </cell>
          <cell r="Z28">
            <v>3.3464</v>
          </cell>
          <cell r="AA28">
            <v>3.0621999999999998</v>
          </cell>
          <cell r="AB28">
            <v>0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325.53199999999998</v>
          </cell>
          <cell r="D29">
            <v>39.712000000000003</v>
          </cell>
          <cell r="E29">
            <v>257.00099999999998</v>
          </cell>
          <cell r="F29">
            <v>52.996000000000002</v>
          </cell>
          <cell r="G29" t="str">
            <v>P004470</v>
          </cell>
          <cell r="H29">
            <v>1</v>
          </cell>
          <cell r="I29">
            <v>60</v>
          </cell>
          <cell r="J29" t="str">
            <v>матрица</v>
          </cell>
          <cell r="L29">
            <v>246.84</v>
          </cell>
          <cell r="M29">
            <v>10.160999999999973</v>
          </cell>
          <cell r="O29">
            <v>80</v>
          </cell>
          <cell r="P29">
            <v>0</v>
          </cell>
          <cell r="Q29">
            <v>330</v>
          </cell>
          <cell r="R29">
            <v>51.400199999999998</v>
          </cell>
          <cell r="S29">
            <v>400</v>
          </cell>
          <cell r="T29">
            <v>400</v>
          </cell>
          <cell r="U29" t="str">
            <v>Промо</v>
          </cell>
          <cell r="V29">
            <v>16.789740117742731</v>
          </cell>
          <cell r="W29">
            <v>1.0310465718032227</v>
          </cell>
          <cell r="X29">
            <v>42.601999999999997</v>
          </cell>
          <cell r="Y29">
            <v>52.986800000000002</v>
          </cell>
          <cell r="Z29">
            <v>39.368600000000001</v>
          </cell>
          <cell r="AA29">
            <v>52.990400000000001</v>
          </cell>
          <cell r="AB29" t="str">
            <v>ТМА ПРОДОЛЖЕНИЕ МАРТ</v>
          </cell>
        </row>
        <row r="30">
          <cell r="A30" t="str">
            <v xml:space="preserve"> 243  Колбаса Сервелат Зернистый, ВЕС.  ПОКОМ</v>
          </cell>
          <cell r="B30" t="str">
            <v>кг</v>
          </cell>
          <cell r="C30">
            <v>62.978999999999999</v>
          </cell>
          <cell r="D30">
            <v>5.641</v>
          </cell>
          <cell r="E30">
            <v>52.05</v>
          </cell>
          <cell r="F30">
            <v>3.88</v>
          </cell>
          <cell r="G30" t="str">
            <v>P001820</v>
          </cell>
          <cell r="H30">
            <v>1</v>
          </cell>
          <cell r="I30">
            <v>0</v>
          </cell>
          <cell r="J30">
            <v>0</v>
          </cell>
          <cell r="L30">
            <v>61.7</v>
          </cell>
          <cell r="M30">
            <v>-9.6500000000000057</v>
          </cell>
          <cell r="O30">
            <v>0</v>
          </cell>
          <cell r="P30">
            <v>0</v>
          </cell>
          <cell r="Q30">
            <v>60</v>
          </cell>
          <cell r="R30">
            <v>10.41</v>
          </cell>
          <cell r="U30">
            <v>0</v>
          </cell>
          <cell r="V30">
            <v>6.1364073006724302</v>
          </cell>
          <cell r="W30">
            <v>0.3727185398655139</v>
          </cell>
          <cell r="X30">
            <v>9.4819999999999993</v>
          </cell>
          <cell r="Y30">
            <v>3.4954000000000001</v>
          </cell>
          <cell r="Z30">
            <v>2.4500000000000002</v>
          </cell>
          <cell r="AA30">
            <v>8.168000000000001</v>
          </cell>
          <cell r="AB30" t="e">
            <v>#N/A</v>
          </cell>
        </row>
        <row r="31">
          <cell r="A31" t="str">
            <v xml:space="preserve"> 247  Сардельки Нежные, ВЕС.  ПОКОМ</v>
          </cell>
          <cell r="B31" t="str">
            <v>кг</v>
          </cell>
          <cell r="C31">
            <v>85.221000000000004</v>
          </cell>
          <cell r="D31">
            <v>5.8609999999999998</v>
          </cell>
          <cell r="E31">
            <v>78.552999999999997</v>
          </cell>
          <cell r="F31">
            <v>-9.4789999999999992</v>
          </cell>
          <cell r="G31" t="str">
            <v>P003997</v>
          </cell>
          <cell r="H31">
            <v>1</v>
          </cell>
          <cell r="I31">
            <v>30</v>
          </cell>
          <cell r="J31" t="str">
            <v>матрица</v>
          </cell>
          <cell r="L31">
            <v>82.2</v>
          </cell>
          <cell r="M31">
            <v>-3.6470000000000056</v>
          </cell>
          <cell r="O31">
            <v>0</v>
          </cell>
          <cell r="P31">
            <v>0</v>
          </cell>
          <cell r="Q31">
            <v>190</v>
          </cell>
          <cell r="R31">
            <v>15.710599999999999</v>
          </cell>
          <cell r="U31">
            <v>0</v>
          </cell>
          <cell r="V31">
            <v>11.490395019922856</v>
          </cell>
          <cell r="W31">
            <v>-0.60335060405076824</v>
          </cell>
          <cell r="X31">
            <v>21.001200000000001</v>
          </cell>
          <cell r="Y31">
            <v>19.634599999999999</v>
          </cell>
          <cell r="Z31">
            <v>5.8121999999999998</v>
          </cell>
          <cell r="AA31">
            <v>17.0366</v>
          </cell>
          <cell r="AB31">
            <v>0</v>
          </cell>
        </row>
        <row r="32">
          <cell r="A32" t="str">
            <v xml:space="preserve"> 248  Сардельки Сочные ТМ Особый рецепт,   ПОКОМ</v>
          </cell>
          <cell r="B32" t="str">
            <v>кг</v>
          </cell>
          <cell r="C32">
            <v>146.595</v>
          </cell>
          <cell r="D32">
            <v>323.88499999999999</v>
          </cell>
          <cell r="E32">
            <v>275.60899999999998</v>
          </cell>
          <cell r="F32">
            <v>170.297</v>
          </cell>
          <cell r="G32" t="str">
            <v>P005080</v>
          </cell>
          <cell r="H32">
            <v>1</v>
          </cell>
          <cell r="I32">
            <v>30</v>
          </cell>
          <cell r="J32" t="str">
            <v>матрица</v>
          </cell>
          <cell r="L32">
            <v>255.9</v>
          </cell>
          <cell r="M32">
            <v>19.708999999999975</v>
          </cell>
          <cell r="O32">
            <v>0</v>
          </cell>
          <cell r="P32">
            <v>0</v>
          </cell>
          <cell r="Q32">
            <v>230</v>
          </cell>
          <cell r="R32">
            <v>55.121799999999993</v>
          </cell>
          <cell r="S32">
            <v>200</v>
          </cell>
          <cell r="U32">
            <v>0</v>
          </cell>
          <cell r="V32">
            <v>10.890373681556119</v>
          </cell>
          <cell r="W32">
            <v>3.0894673250873526</v>
          </cell>
          <cell r="X32">
            <v>52.742200000000004</v>
          </cell>
          <cell r="Y32">
            <v>38.828800000000001</v>
          </cell>
          <cell r="Z32">
            <v>46.891800000000003</v>
          </cell>
          <cell r="AA32">
            <v>46.794799999999995</v>
          </cell>
          <cell r="AB32" t="str">
            <v>увел продажи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B33" t="str">
            <v>кг</v>
          </cell>
          <cell r="C33">
            <v>464.65199999999999</v>
          </cell>
          <cell r="D33">
            <v>311.71100000000001</v>
          </cell>
          <cell r="E33">
            <v>600.44899999999996</v>
          </cell>
          <cell r="F33">
            <v>98.78</v>
          </cell>
          <cell r="G33" t="str">
            <v>P002536</v>
          </cell>
          <cell r="H33">
            <v>1</v>
          </cell>
          <cell r="I33">
            <v>30</v>
          </cell>
          <cell r="J33" t="str">
            <v>матрица</v>
          </cell>
          <cell r="L33">
            <v>587.6</v>
          </cell>
          <cell r="M33">
            <v>12.848999999999933</v>
          </cell>
          <cell r="O33">
            <v>0</v>
          </cell>
          <cell r="P33">
            <v>0</v>
          </cell>
          <cell r="Q33">
            <v>900</v>
          </cell>
          <cell r="R33">
            <v>120.0898</v>
          </cell>
          <cell r="S33">
            <v>320</v>
          </cell>
          <cell r="U33">
            <v>0</v>
          </cell>
          <cell r="V33">
            <v>10.981615424457365</v>
          </cell>
          <cell r="W33">
            <v>0.82255112424202559</v>
          </cell>
          <cell r="X33">
            <v>88.993200000000002</v>
          </cell>
          <cell r="Y33">
            <v>86.483800000000002</v>
          </cell>
          <cell r="Z33">
            <v>73.176400000000001</v>
          </cell>
          <cell r="AA33">
            <v>111.14619999999999</v>
          </cell>
          <cell r="AB33" t="str">
            <v>ТМА ПРОДОЛЖЕНИЕ Апрель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B34" t="str">
            <v>кг</v>
          </cell>
          <cell r="C34">
            <v>871.5</v>
          </cell>
          <cell r="D34">
            <v>13.186999999999999</v>
          </cell>
          <cell r="E34">
            <v>742.32299999999998</v>
          </cell>
          <cell r="F34">
            <v>-0.67700000000000005</v>
          </cell>
          <cell r="G34" t="str">
            <v>P004844</v>
          </cell>
          <cell r="H34">
            <v>1</v>
          </cell>
          <cell r="I34" t="e">
            <v>#N/A</v>
          </cell>
          <cell r="J34" t="e">
            <v>#N/A</v>
          </cell>
          <cell r="L34">
            <v>922.75</v>
          </cell>
          <cell r="M34">
            <v>-180.42700000000002</v>
          </cell>
          <cell r="O34">
            <v>800</v>
          </cell>
          <cell r="P34">
            <v>1200</v>
          </cell>
          <cell r="Q34">
            <v>500</v>
          </cell>
          <cell r="R34">
            <v>148.46459999999999</v>
          </cell>
          <cell r="S34">
            <v>500</v>
          </cell>
          <cell r="T34">
            <v>500</v>
          </cell>
          <cell r="U34" t="str">
            <v>Промо</v>
          </cell>
          <cell r="V34">
            <v>20.20227717583855</v>
          </cell>
          <cell r="W34">
            <v>-4.5600095915120514E-3</v>
          </cell>
          <cell r="X34">
            <v>140.4692</v>
          </cell>
          <cell r="Y34">
            <v>144.97579999999999</v>
          </cell>
          <cell r="Z34">
            <v>80.849599999999995</v>
          </cell>
          <cell r="AA34">
            <v>218.88560000000001</v>
          </cell>
          <cell r="AB34" t="e">
            <v>#N/A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B35" t="str">
            <v>кг</v>
          </cell>
          <cell r="C35">
            <v>68.641999999999996</v>
          </cell>
          <cell r="D35">
            <v>65.063000000000002</v>
          </cell>
          <cell r="E35">
            <v>104.682</v>
          </cell>
          <cell r="F35">
            <v>13.912000000000001</v>
          </cell>
          <cell r="G35" t="str">
            <v>P004843</v>
          </cell>
          <cell r="H35">
            <v>1</v>
          </cell>
          <cell r="I35">
            <v>40</v>
          </cell>
          <cell r="J35" t="str">
            <v>матрица</v>
          </cell>
          <cell r="L35">
            <v>98.6</v>
          </cell>
          <cell r="M35">
            <v>6.0820000000000078</v>
          </cell>
          <cell r="O35">
            <v>0</v>
          </cell>
          <cell r="P35">
            <v>0</v>
          </cell>
          <cell r="Q35">
            <v>90</v>
          </cell>
          <cell r="R35">
            <v>20.936399999999999</v>
          </cell>
          <cell r="S35">
            <v>200</v>
          </cell>
          <cell r="T35">
            <v>200</v>
          </cell>
          <cell r="U35">
            <v>0</v>
          </cell>
          <cell r="V35">
            <v>14.515962629678457</v>
          </cell>
          <cell r="W35">
            <v>0.66448864179133005</v>
          </cell>
          <cell r="X35">
            <v>17.645800000000001</v>
          </cell>
          <cell r="Y35">
            <v>11.727399999999999</v>
          </cell>
          <cell r="Z35">
            <v>11.8508</v>
          </cell>
          <cell r="AA35">
            <v>15.133799999999999</v>
          </cell>
          <cell r="AB35">
            <v>0</v>
          </cell>
        </row>
        <row r="36">
          <cell r="A36" t="str">
            <v xml:space="preserve"> 263  Шпикачки Стародворские, ВЕС.  ПОКОМ</v>
          </cell>
          <cell r="B36" t="str">
            <v>кг</v>
          </cell>
          <cell r="C36">
            <v>-4.0880000000000001</v>
          </cell>
          <cell r="D36">
            <v>108.03</v>
          </cell>
          <cell r="E36">
            <v>43.503999999999998</v>
          </cell>
          <cell r="F36">
            <v>58.484000000000002</v>
          </cell>
          <cell r="G36" t="str">
            <v>P004913</v>
          </cell>
          <cell r="H36">
            <v>1</v>
          </cell>
          <cell r="I36">
            <v>30</v>
          </cell>
          <cell r="J36" t="str">
            <v>матрица</v>
          </cell>
          <cell r="L36">
            <v>45.9</v>
          </cell>
          <cell r="M36">
            <v>-2.3960000000000008</v>
          </cell>
          <cell r="O36">
            <v>0</v>
          </cell>
          <cell r="P36">
            <v>0</v>
          </cell>
          <cell r="Q36">
            <v>0</v>
          </cell>
          <cell r="R36">
            <v>8.7007999999999992</v>
          </cell>
          <cell r="S36">
            <v>30</v>
          </cell>
          <cell r="T36">
            <v>30</v>
          </cell>
          <cell r="U36">
            <v>0</v>
          </cell>
          <cell r="V36">
            <v>10.169639573372566</v>
          </cell>
          <cell r="W36">
            <v>6.7216807649871289</v>
          </cell>
          <cell r="X36">
            <v>11.0518</v>
          </cell>
          <cell r="Y36">
            <v>10.300799999999999</v>
          </cell>
          <cell r="Z36">
            <v>11.4916</v>
          </cell>
          <cell r="AA36">
            <v>2.2928000000000002</v>
          </cell>
          <cell r="AB36">
            <v>0</v>
          </cell>
        </row>
        <row r="37">
          <cell r="A37" t="str">
            <v xml:space="preserve"> 265  Колбаса Балыкбургская, ВЕС, ТМ Баварушка  ПОКОМ</v>
          </cell>
          <cell r="B37" t="str">
            <v>кг</v>
          </cell>
          <cell r="C37">
            <v>139.03399999999999</v>
          </cell>
          <cell r="D37">
            <v>1.802</v>
          </cell>
          <cell r="E37">
            <v>85.454999999999998</v>
          </cell>
          <cell r="F37">
            <v>34.527000000000001</v>
          </cell>
          <cell r="G37" t="str">
            <v>P004896</v>
          </cell>
          <cell r="H37">
            <v>1</v>
          </cell>
          <cell r="I37">
            <v>50</v>
          </cell>
          <cell r="J37" t="str">
            <v>матрица</v>
          </cell>
          <cell r="L37">
            <v>81</v>
          </cell>
          <cell r="M37">
            <v>4.4549999999999983</v>
          </cell>
          <cell r="O37">
            <v>0</v>
          </cell>
          <cell r="P37">
            <v>0</v>
          </cell>
          <cell r="Q37">
            <v>70</v>
          </cell>
          <cell r="R37">
            <v>17.091000000000001</v>
          </cell>
          <cell r="S37">
            <v>80</v>
          </cell>
          <cell r="U37">
            <v>0</v>
          </cell>
          <cell r="V37">
            <v>10.79673512374934</v>
          </cell>
          <cell r="W37">
            <v>2.0201860628400912</v>
          </cell>
          <cell r="X37">
            <v>11.792199999999999</v>
          </cell>
          <cell r="Y37">
            <v>17.146799999999999</v>
          </cell>
          <cell r="Z37">
            <v>11</v>
          </cell>
          <cell r="AA37">
            <v>13.347999999999999</v>
          </cell>
          <cell r="AB37">
            <v>0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B38" t="str">
            <v>кг</v>
          </cell>
          <cell r="C38">
            <v>75.168999999999997</v>
          </cell>
          <cell r="D38">
            <v>0.90200000000000002</v>
          </cell>
          <cell r="E38">
            <v>64.31</v>
          </cell>
          <cell r="F38">
            <v>-0.17</v>
          </cell>
          <cell r="G38" t="str">
            <v>P004895</v>
          </cell>
          <cell r="H38">
            <v>1</v>
          </cell>
          <cell r="I38">
            <v>0</v>
          </cell>
          <cell r="J38">
            <v>0</v>
          </cell>
          <cell r="L38">
            <v>78.099999999999994</v>
          </cell>
          <cell r="M38">
            <v>-13.789999999999992</v>
          </cell>
          <cell r="O38">
            <v>0</v>
          </cell>
          <cell r="P38">
            <v>0</v>
          </cell>
          <cell r="Q38">
            <v>110</v>
          </cell>
          <cell r="R38">
            <v>12.862</v>
          </cell>
          <cell r="U38">
            <v>0</v>
          </cell>
          <cell r="V38">
            <v>8.5391074482973099</v>
          </cell>
          <cell r="W38">
            <v>-1.3217229046804542E-2</v>
          </cell>
          <cell r="X38">
            <v>11.283199999999999</v>
          </cell>
          <cell r="Y38">
            <v>7.7528000000000006</v>
          </cell>
          <cell r="Z38">
            <v>6.7331999999999992</v>
          </cell>
          <cell r="AA38">
            <v>11.9902</v>
          </cell>
          <cell r="AB38" t="e">
            <v>#N/A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B39" t="str">
            <v>кг</v>
          </cell>
          <cell r="C39">
            <v>59.170999999999999</v>
          </cell>
          <cell r="D39">
            <v>0.90600000000000003</v>
          </cell>
          <cell r="E39">
            <v>42.423999999999999</v>
          </cell>
          <cell r="F39">
            <v>-0.58899999999999997</v>
          </cell>
          <cell r="G39" t="str">
            <v>P004898</v>
          </cell>
          <cell r="H39">
            <v>1</v>
          </cell>
          <cell r="I39">
            <v>50</v>
          </cell>
          <cell r="J39" t="str">
            <v>матрица</v>
          </cell>
          <cell r="L39">
            <v>40.299999999999997</v>
          </cell>
          <cell r="M39">
            <v>2.1240000000000023</v>
          </cell>
          <cell r="O39">
            <v>0</v>
          </cell>
          <cell r="P39">
            <v>0</v>
          </cell>
          <cell r="Q39">
            <v>90</v>
          </cell>
          <cell r="R39">
            <v>8.4847999999999999</v>
          </cell>
          <cell r="U39">
            <v>0</v>
          </cell>
          <cell r="V39">
            <v>10.53778521591552</v>
          </cell>
          <cell r="W39">
            <v>-6.9418253818593248E-2</v>
          </cell>
          <cell r="X39">
            <v>6.9379999999999997</v>
          </cell>
          <cell r="Y39">
            <v>8.8510000000000009</v>
          </cell>
          <cell r="Z39">
            <v>4.7031999999999998</v>
          </cell>
          <cell r="AA39">
            <v>9.5920000000000005</v>
          </cell>
          <cell r="AB39">
            <v>0</v>
          </cell>
        </row>
        <row r="40">
          <cell r="A40" t="str">
            <v xml:space="preserve"> 273  Сосиски Сочинки с сочной грудинкой, МГС 0.4кг,   ПОКОМ</v>
          </cell>
          <cell r="B40" t="str">
            <v>шт</v>
          </cell>
          <cell r="C40">
            <v>1719</v>
          </cell>
          <cell r="D40">
            <v>19</v>
          </cell>
          <cell r="E40">
            <v>1267</v>
          </cell>
          <cell r="F40">
            <v>324</v>
          </cell>
          <cell r="G40" t="str">
            <v>P003957</v>
          </cell>
          <cell r="H40">
            <v>0.4</v>
          </cell>
          <cell r="I40">
            <v>45</v>
          </cell>
          <cell r="J40" t="str">
            <v>матрица</v>
          </cell>
          <cell r="L40">
            <v>1254</v>
          </cell>
          <cell r="M40">
            <v>13</v>
          </cell>
          <cell r="O40">
            <v>0</v>
          </cell>
          <cell r="P40">
            <v>0</v>
          </cell>
          <cell r="Q40">
            <v>1200</v>
          </cell>
          <cell r="R40">
            <v>253.4</v>
          </cell>
          <cell r="S40">
            <v>1500</v>
          </cell>
          <cell r="T40">
            <v>1500</v>
          </cell>
          <cell r="U40" t="str">
            <v>Промо сети</v>
          </cell>
          <cell r="V40">
            <v>11.933701657458563</v>
          </cell>
          <cell r="W40">
            <v>1.2786108918705603</v>
          </cell>
          <cell r="X40">
            <v>161.80000000000001</v>
          </cell>
          <cell r="Y40">
            <v>215.4</v>
          </cell>
          <cell r="Z40">
            <v>91.4</v>
          </cell>
          <cell r="AA40">
            <v>197.2</v>
          </cell>
          <cell r="AB40" t="str">
            <v>ТМА ПРОДОЛЖЕНИЕ Апрель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B41" t="str">
            <v>шт</v>
          </cell>
          <cell r="C41">
            <v>106</v>
          </cell>
          <cell r="D41">
            <v>380</v>
          </cell>
          <cell r="E41">
            <v>221</v>
          </cell>
          <cell r="F41">
            <v>248</v>
          </cell>
          <cell r="G41" t="str">
            <v>P003103</v>
          </cell>
          <cell r="H41">
            <v>0.45</v>
          </cell>
          <cell r="I41">
            <v>50</v>
          </cell>
          <cell r="J41" t="str">
            <v>ВНИМАНИЕ / матрица</v>
          </cell>
          <cell r="L41">
            <v>272</v>
          </cell>
          <cell r="M41">
            <v>-51</v>
          </cell>
          <cell r="O41">
            <v>180</v>
          </cell>
          <cell r="P41">
            <v>0</v>
          </cell>
          <cell r="Q41">
            <v>200</v>
          </cell>
          <cell r="R41">
            <v>44.2</v>
          </cell>
          <cell r="S41">
            <v>150</v>
          </cell>
          <cell r="T41">
            <v>150</v>
          </cell>
          <cell r="U41" t="str">
            <v>Промо сети</v>
          </cell>
          <cell r="V41">
            <v>17.601809954751129</v>
          </cell>
          <cell r="W41">
            <v>5.6108597285067869</v>
          </cell>
          <cell r="X41">
            <v>54.6</v>
          </cell>
          <cell r="Y41">
            <v>33</v>
          </cell>
          <cell r="Z41">
            <v>47</v>
          </cell>
          <cell r="AA41">
            <v>32.6</v>
          </cell>
          <cell r="AB41" t="str">
            <v>Мера</v>
          </cell>
        </row>
        <row r="42">
          <cell r="A42" t="str">
            <v xml:space="preserve"> 278  Сосиски Сочинки с сочным окороком, МГС 0.4кг,   ПОКОМ</v>
          </cell>
          <cell r="B42" t="str">
            <v>шт</v>
          </cell>
          <cell r="C42">
            <v>214</v>
          </cell>
          <cell r="D42">
            <v>113</v>
          </cell>
          <cell r="E42">
            <v>259</v>
          </cell>
          <cell r="F42">
            <v>6</v>
          </cell>
          <cell r="G42" t="str">
            <v>P003958</v>
          </cell>
          <cell r="H42">
            <v>0.4</v>
          </cell>
          <cell r="I42">
            <v>45</v>
          </cell>
          <cell r="J42" t="str">
            <v>матрица</v>
          </cell>
          <cell r="L42">
            <v>427</v>
          </cell>
          <cell r="M42">
            <v>-168</v>
          </cell>
          <cell r="O42">
            <v>120</v>
          </cell>
          <cell r="P42">
            <v>0</v>
          </cell>
          <cell r="Q42">
            <v>380</v>
          </cell>
          <cell r="R42">
            <v>51.8</v>
          </cell>
          <cell r="S42">
            <v>100</v>
          </cell>
          <cell r="T42">
            <v>100</v>
          </cell>
          <cell r="U42" t="str">
            <v>Промо сети</v>
          </cell>
          <cell r="V42">
            <v>11.698841698841699</v>
          </cell>
          <cell r="W42">
            <v>0.11583011583011583</v>
          </cell>
          <cell r="X42">
            <v>65</v>
          </cell>
          <cell r="Y42">
            <v>36.6</v>
          </cell>
          <cell r="Z42">
            <v>24.8</v>
          </cell>
          <cell r="AA42">
            <v>54.6</v>
          </cell>
          <cell r="AB42">
            <v>0</v>
          </cell>
        </row>
        <row r="43">
          <cell r="A43" t="str">
            <v xml:space="preserve"> 281  Сосиски Молочные для завтрака ТМ Особый рецепт, 0,4кг  ПОКОМ</v>
          </cell>
          <cell r="B43" t="str">
            <v>шт</v>
          </cell>
          <cell r="C43">
            <v>1</v>
          </cell>
          <cell r="D43">
            <v>30</v>
          </cell>
          <cell r="E43">
            <v>1</v>
          </cell>
          <cell r="F43">
            <v>30</v>
          </cell>
          <cell r="G43" t="str">
            <v>P005198</v>
          </cell>
          <cell r="H43">
            <v>0.4</v>
          </cell>
          <cell r="I43">
            <v>40</v>
          </cell>
          <cell r="J43" t="str">
            <v>матрица</v>
          </cell>
          <cell r="L43">
            <v>15</v>
          </cell>
          <cell r="M43">
            <v>-14</v>
          </cell>
          <cell r="O43">
            <v>60</v>
          </cell>
          <cell r="P43">
            <v>0</v>
          </cell>
          <cell r="Q43">
            <v>30</v>
          </cell>
          <cell r="R43">
            <v>0.2</v>
          </cell>
          <cell r="U43">
            <v>0</v>
          </cell>
          <cell r="V43">
            <v>600</v>
          </cell>
          <cell r="W43">
            <v>150</v>
          </cell>
          <cell r="X43">
            <v>5.4</v>
          </cell>
          <cell r="Y43">
            <v>3</v>
          </cell>
          <cell r="Z43">
            <v>3.2</v>
          </cell>
          <cell r="AA43">
            <v>2.8</v>
          </cell>
          <cell r="AB43">
            <v>0</v>
          </cell>
        </row>
        <row r="44">
          <cell r="A44" t="str">
            <v xml:space="preserve"> 283  Сосиски Сочинки, ВЕС, ТМ Стародворье ПОКОМ</v>
          </cell>
          <cell r="B44" t="str">
            <v>кг</v>
          </cell>
          <cell r="C44">
            <v>22.486000000000001</v>
          </cell>
          <cell r="E44">
            <v>1.4</v>
          </cell>
          <cell r="F44">
            <v>6.8630000000000004</v>
          </cell>
          <cell r="G44" t="str">
            <v>P003959</v>
          </cell>
          <cell r="H44">
            <v>1</v>
          </cell>
          <cell r="I44">
            <v>0</v>
          </cell>
          <cell r="J44" t="e">
            <v>#N/A</v>
          </cell>
          <cell r="L44">
            <v>32.799999999999997</v>
          </cell>
          <cell r="M44">
            <v>-31.4</v>
          </cell>
          <cell r="O44">
            <v>0</v>
          </cell>
          <cell r="P44">
            <v>0</v>
          </cell>
          <cell r="Q44">
            <v>20</v>
          </cell>
          <cell r="R44">
            <v>0.27999999999999997</v>
          </cell>
          <cell r="U44">
            <v>0</v>
          </cell>
          <cell r="V44">
            <v>95.939285714285717</v>
          </cell>
          <cell r="W44">
            <v>24.51071428571429</v>
          </cell>
          <cell r="X44">
            <v>2.5696000000000003</v>
          </cell>
          <cell r="Y44">
            <v>3.1657999999999999</v>
          </cell>
          <cell r="Z44">
            <v>5.5179999999999998</v>
          </cell>
          <cell r="AA44">
            <v>1.9923999999999999</v>
          </cell>
          <cell r="AB44" t="e">
            <v>#N/A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B45" t="str">
            <v>шт</v>
          </cell>
          <cell r="C45">
            <v>335</v>
          </cell>
          <cell r="E45">
            <v>316</v>
          </cell>
          <cell r="F45">
            <v>2</v>
          </cell>
          <cell r="G45" t="str">
            <v>P002648</v>
          </cell>
          <cell r="H45">
            <v>0.1</v>
          </cell>
          <cell r="I45">
            <v>730</v>
          </cell>
          <cell r="J45" t="str">
            <v>матрица</v>
          </cell>
          <cell r="L45">
            <v>220</v>
          </cell>
          <cell r="M45">
            <v>96</v>
          </cell>
          <cell r="O45">
            <v>100</v>
          </cell>
          <cell r="P45">
            <v>0</v>
          </cell>
          <cell r="Q45">
            <v>650</v>
          </cell>
          <cell r="R45">
            <v>63.2</v>
          </cell>
          <cell r="U45">
            <v>0</v>
          </cell>
          <cell r="V45">
            <v>11.898734177215189</v>
          </cell>
          <cell r="W45">
            <v>3.164556962025316E-2</v>
          </cell>
          <cell r="X45">
            <v>43.4</v>
          </cell>
          <cell r="Y45">
            <v>20.8</v>
          </cell>
          <cell r="Z45">
            <v>32.4</v>
          </cell>
          <cell r="AA45">
            <v>77.599999999999994</v>
          </cell>
          <cell r="AB45">
            <v>0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B46" t="str">
            <v>шт</v>
          </cell>
          <cell r="C46">
            <v>221</v>
          </cell>
          <cell r="D46">
            <v>7</v>
          </cell>
          <cell r="E46">
            <v>174</v>
          </cell>
          <cell r="F46">
            <v>7</v>
          </cell>
          <cell r="G46" t="str">
            <v>P003256</v>
          </cell>
          <cell r="H46">
            <v>0.35</v>
          </cell>
          <cell r="I46">
            <v>40</v>
          </cell>
          <cell r="J46" t="str">
            <v>матрица</v>
          </cell>
          <cell r="L46">
            <v>193</v>
          </cell>
          <cell r="M46">
            <v>-19</v>
          </cell>
          <cell r="O46">
            <v>0</v>
          </cell>
          <cell r="P46">
            <v>0</v>
          </cell>
          <cell r="Q46">
            <v>200</v>
          </cell>
          <cell r="R46">
            <v>34.799999999999997</v>
          </cell>
          <cell r="S46">
            <v>190</v>
          </cell>
          <cell r="T46">
            <v>190</v>
          </cell>
          <cell r="U46">
            <v>0</v>
          </cell>
          <cell r="V46">
            <v>11.408045977011495</v>
          </cell>
          <cell r="W46">
            <v>0.20114942528735633</v>
          </cell>
          <cell r="X46">
            <v>23</v>
          </cell>
          <cell r="Y46">
            <v>25.4</v>
          </cell>
          <cell r="Z46">
            <v>18.2</v>
          </cell>
          <cell r="AA46">
            <v>27.2</v>
          </cell>
          <cell r="AB46" t="str">
            <v>Мера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B47" t="str">
            <v>кг</v>
          </cell>
          <cell r="C47">
            <v>128.624</v>
          </cell>
          <cell r="D47">
            <v>3.6150000000000002</v>
          </cell>
          <cell r="E47">
            <v>98.218999999999994</v>
          </cell>
          <cell r="F47">
            <v>11.478</v>
          </cell>
          <cell r="G47" t="str">
            <v>P003179</v>
          </cell>
          <cell r="H47">
            <v>1</v>
          </cell>
          <cell r="I47">
            <v>40</v>
          </cell>
          <cell r="J47" t="str">
            <v>матрица</v>
          </cell>
          <cell r="L47">
            <v>99</v>
          </cell>
          <cell r="M47">
            <v>-0.78100000000000591</v>
          </cell>
          <cell r="O47">
            <v>0</v>
          </cell>
          <cell r="P47">
            <v>0</v>
          </cell>
          <cell r="Q47">
            <v>140</v>
          </cell>
          <cell r="R47">
            <v>19.643799999999999</v>
          </cell>
          <cell r="S47">
            <v>60</v>
          </cell>
          <cell r="U47">
            <v>0</v>
          </cell>
          <cell r="V47">
            <v>10.765635976745845</v>
          </cell>
          <cell r="W47">
            <v>0.58430649874260587</v>
          </cell>
          <cell r="X47">
            <v>13.042199999999999</v>
          </cell>
          <cell r="Y47">
            <v>16.349600000000002</v>
          </cell>
          <cell r="Z47">
            <v>10.4474</v>
          </cell>
          <cell r="AA47">
            <v>17.3644</v>
          </cell>
          <cell r="AB47">
            <v>0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B48" t="str">
            <v>шт</v>
          </cell>
          <cell r="C48">
            <v>178</v>
          </cell>
          <cell r="D48">
            <v>252</v>
          </cell>
          <cell r="E48">
            <v>117</v>
          </cell>
          <cell r="F48">
            <v>293</v>
          </cell>
          <cell r="G48" t="str">
            <v>P003475</v>
          </cell>
          <cell r="H48">
            <v>0.4</v>
          </cell>
          <cell r="I48">
            <v>40</v>
          </cell>
          <cell r="J48" t="str">
            <v>матрица</v>
          </cell>
          <cell r="L48">
            <v>127</v>
          </cell>
          <cell r="M48">
            <v>-10</v>
          </cell>
          <cell r="O48">
            <v>0</v>
          </cell>
          <cell r="P48">
            <v>0</v>
          </cell>
          <cell r="Q48">
            <v>0</v>
          </cell>
          <cell r="R48">
            <v>23.4</v>
          </cell>
          <cell r="S48">
            <v>80</v>
          </cell>
          <cell r="T48">
            <v>80</v>
          </cell>
          <cell r="U48" t="str">
            <v>Промо сети</v>
          </cell>
          <cell r="V48">
            <v>15.94017094017094</v>
          </cell>
          <cell r="W48">
            <v>12.521367521367521</v>
          </cell>
          <cell r="X48">
            <v>30.2</v>
          </cell>
          <cell r="Y48">
            <v>21.8</v>
          </cell>
          <cell r="Z48">
            <v>15.6</v>
          </cell>
          <cell r="AA48">
            <v>18</v>
          </cell>
          <cell r="AB48">
            <v>0</v>
          </cell>
        </row>
        <row r="49">
          <cell r="A49" t="str">
            <v xml:space="preserve"> 302  Сосиски Сочинки по-баварски,  0.4кг, ТМ Стародворье  ПОКОМ</v>
          </cell>
          <cell r="B49" t="str">
            <v>шт</v>
          </cell>
          <cell r="C49">
            <v>84</v>
          </cell>
          <cell r="D49">
            <v>252</v>
          </cell>
          <cell r="E49">
            <v>98</v>
          </cell>
          <cell r="F49">
            <v>227</v>
          </cell>
          <cell r="G49" t="str">
            <v>P003217</v>
          </cell>
          <cell r="H49">
            <v>0.4</v>
          </cell>
          <cell r="I49">
            <v>45</v>
          </cell>
          <cell r="J49" t="str">
            <v>матрица</v>
          </cell>
          <cell r="L49">
            <v>224</v>
          </cell>
          <cell r="M49">
            <v>-126</v>
          </cell>
          <cell r="O49">
            <v>0</v>
          </cell>
          <cell r="P49">
            <v>0</v>
          </cell>
          <cell r="Q49">
            <v>100</v>
          </cell>
          <cell r="R49">
            <v>19.600000000000001</v>
          </cell>
          <cell r="S49">
            <v>80</v>
          </cell>
          <cell r="T49">
            <v>80</v>
          </cell>
          <cell r="U49" t="str">
            <v>Промо сети</v>
          </cell>
          <cell r="V49">
            <v>20.76530612244898</v>
          </cell>
          <cell r="W49">
            <v>11.581632653061224</v>
          </cell>
          <cell r="X49">
            <v>37.6</v>
          </cell>
          <cell r="Y49">
            <v>12.2</v>
          </cell>
          <cell r="Z49">
            <v>16</v>
          </cell>
          <cell r="AA49">
            <v>16.8</v>
          </cell>
          <cell r="AB49">
            <v>0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B50" t="str">
            <v>кг</v>
          </cell>
          <cell r="C50">
            <v>59.445999999999998</v>
          </cell>
          <cell r="D50">
            <v>2.907</v>
          </cell>
          <cell r="E50">
            <v>46.497</v>
          </cell>
          <cell r="F50">
            <v>4.2480000000000002</v>
          </cell>
          <cell r="G50" t="str">
            <v>P003276</v>
          </cell>
          <cell r="H50">
            <v>1</v>
          </cell>
          <cell r="I50">
            <v>0</v>
          </cell>
          <cell r="J50">
            <v>0</v>
          </cell>
          <cell r="L50">
            <v>76.8</v>
          </cell>
          <cell r="M50">
            <v>-30.302999999999997</v>
          </cell>
          <cell r="O50">
            <v>0</v>
          </cell>
          <cell r="P50">
            <v>0</v>
          </cell>
          <cell r="Q50">
            <v>100</v>
          </cell>
          <cell r="R50">
            <v>9.2994000000000003</v>
          </cell>
          <cell r="U50">
            <v>0</v>
          </cell>
          <cell r="V50">
            <v>11.210185603372262</v>
          </cell>
          <cell r="W50">
            <v>0.45680366475256468</v>
          </cell>
          <cell r="X50">
            <v>10.436199999999999</v>
          </cell>
          <cell r="Y50">
            <v>7.5105999999999993</v>
          </cell>
          <cell r="Z50">
            <v>6.6159999999999997</v>
          </cell>
          <cell r="AA50">
            <v>10.1592</v>
          </cell>
          <cell r="AB50" t="e">
            <v>#N/A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B51" t="str">
            <v>кг</v>
          </cell>
          <cell r="C51">
            <v>169.41200000000001</v>
          </cell>
          <cell r="D51">
            <v>5.8440000000000003</v>
          </cell>
          <cell r="E51">
            <v>116.746</v>
          </cell>
          <cell r="F51">
            <v>37.292000000000002</v>
          </cell>
          <cell r="G51" t="str">
            <v>P003259</v>
          </cell>
          <cell r="H51">
            <v>1</v>
          </cell>
          <cell r="I51">
            <v>40</v>
          </cell>
          <cell r="J51" t="str">
            <v>матрица</v>
          </cell>
          <cell r="L51">
            <v>119.2</v>
          </cell>
          <cell r="M51">
            <v>-2.4540000000000077</v>
          </cell>
          <cell r="O51">
            <v>0</v>
          </cell>
          <cell r="P51">
            <v>0</v>
          </cell>
          <cell r="Q51">
            <v>140</v>
          </cell>
          <cell r="R51">
            <v>23.3492</v>
          </cell>
          <cell r="S51">
            <v>80</v>
          </cell>
          <cell r="U51">
            <v>0</v>
          </cell>
          <cell r="V51">
            <v>11.019306871327499</v>
          </cell>
          <cell r="W51">
            <v>1.5971425145186988</v>
          </cell>
          <cell r="X51">
            <v>18.1004</v>
          </cell>
          <cell r="Y51">
            <v>18.5532</v>
          </cell>
          <cell r="Z51">
            <v>4.5293999999999999</v>
          </cell>
          <cell r="AA51">
            <v>20.315000000000001</v>
          </cell>
          <cell r="AB51">
            <v>0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B52" t="str">
            <v>шт</v>
          </cell>
          <cell r="C52">
            <v>398</v>
          </cell>
          <cell r="D52">
            <v>88</v>
          </cell>
          <cell r="E52">
            <v>443</v>
          </cell>
          <cell r="F52">
            <v>-28</v>
          </cell>
          <cell r="G52" t="str">
            <v>P003260</v>
          </cell>
          <cell r="H52">
            <v>0.35</v>
          </cell>
          <cell r="I52">
            <v>40</v>
          </cell>
          <cell r="J52" t="str">
            <v>матрица</v>
          </cell>
          <cell r="L52">
            <v>458</v>
          </cell>
          <cell r="M52">
            <v>-15</v>
          </cell>
          <cell r="O52">
            <v>0</v>
          </cell>
          <cell r="P52">
            <v>0</v>
          </cell>
          <cell r="Q52">
            <v>700</v>
          </cell>
          <cell r="R52">
            <v>88.6</v>
          </cell>
          <cell r="S52">
            <v>300</v>
          </cell>
          <cell r="U52">
            <v>0</v>
          </cell>
          <cell r="V52">
            <v>10.970654627539504</v>
          </cell>
          <cell r="W52">
            <v>-0.3160270880361174</v>
          </cell>
          <cell r="X52">
            <v>87.8</v>
          </cell>
          <cell r="Y52">
            <v>84.2</v>
          </cell>
          <cell r="Z52">
            <v>40</v>
          </cell>
          <cell r="AA52">
            <v>78</v>
          </cell>
          <cell r="AB52" t="str">
            <v>ТМА ПРОДОЛЖЕНИЕ Апрель</v>
          </cell>
        </row>
        <row r="53">
          <cell r="A53" t="str">
            <v xml:space="preserve"> 309  Сосиски Сочинки с сыром 0,4 кг ТМ Стародворье  ПОКОМ</v>
          </cell>
          <cell r="B53" t="str">
            <v>шт</v>
          </cell>
          <cell r="C53">
            <v>301</v>
          </cell>
          <cell r="D53">
            <v>159</v>
          </cell>
          <cell r="E53">
            <v>370</v>
          </cell>
          <cell r="F53">
            <v>33</v>
          </cell>
          <cell r="G53" t="str">
            <v>P004178</v>
          </cell>
          <cell r="H53">
            <v>0.4</v>
          </cell>
          <cell r="I53">
            <v>40</v>
          </cell>
          <cell r="J53" t="str">
            <v>матрица</v>
          </cell>
          <cell r="L53">
            <v>405</v>
          </cell>
          <cell r="M53">
            <v>-35</v>
          </cell>
          <cell r="O53">
            <v>210</v>
          </cell>
          <cell r="P53">
            <v>0</v>
          </cell>
          <cell r="Q53">
            <v>460</v>
          </cell>
          <cell r="R53">
            <v>74</v>
          </cell>
          <cell r="S53">
            <v>150</v>
          </cell>
          <cell r="T53">
            <v>150</v>
          </cell>
          <cell r="U53" t="str">
            <v>Промо сети</v>
          </cell>
          <cell r="V53">
            <v>11.527027027027026</v>
          </cell>
          <cell r="W53">
            <v>0.44594594594594594</v>
          </cell>
          <cell r="X53">
            <v>77</v>
          </cell>
          <cell r="Y53">
            <v>53</v>
          </cell>
          <cell r="Z53">
            <v>46.6</v>
          </cell>
          <cell r="AA53">
            <v>73.400000000000006</v>
          </cell>
          <cell r="AB53" t="str">
            <v>Мера</v>
          </cell>
        </row>
        <row r="54">
          <cell r="A54" t="str">
            <v xml:space="preserve"> 312  Ветчина Филейская ВЕС ТМ  Вязанка ТС Столичная  ПОКОМ</v>
          </cell>
          <cell r="B54" t="str">
            <v>кг</v>
          </cell>
          <cell r="C54">
            <v>51.087000000000003</v>
          </cell>
          <cell r="D54">
            <v>2.694</v>
          </cell>
          <cell r="E54">
            <v>35.01</v>
          </cell>
          <cell r="F54">
            <v>10.723000000000001</v>
          </cell>
          <cell r="G54" t="str">
            <v>P003234</v>
          </cell>
          <cell r="H54">
            <v>1</v>
          </cell>
          <cell r="I54">
            <v>50</v>
          </cell>
          <cell r="J54" t="str">
            <v>матрица</v>
          </cell>
          <cell r="L54">
            <v>36.35</v>
          </cell>
          <cell r="M54">
            <v>-1.3400000000000034</v>
          </cell>
          <cell r="O54">
            <v>0</v>
          </cell>
          <cell r="P54">
            <v>0</v>
          </cell>
          <cell r="Q54">
            <v>40</v>
          </cell>
          <cell r="R54">
            <v>7.0019999999999998</v>
          </cell>
          <cell r="U54">
            <v>0</v>
          </cell>
          <cell r="V54">
            <v>7.2440731219651529</v>
          </cell>
          <cell r="W54">
            <v>1.5314195944015998</v>
          </cell>
          <cell r="X54">
            <v>7.5367999999999995</v>
          </cell>
          <cell r="Y54">
            <v>7.5808000000000009</v>
          </cell>
          <cell r="Z54">
            <v>6.7715999999999994</v>
          </cell>
          <cell r="AA54">
            <v>6.4567999999999994</v>
          </cell>
          <cell r="AB54">
            <v>0</v>
          </cell>
        </row>
        <row r="55">
          <cell r="A55" t="str">
            <v xml:space="preserve"> 315  Колбаса вареная Молокуша ТМ Вязанка ВЕС, ПОКОМ</v>
          </cell>
          <cell r="B55" t="str">
            <v>кг</v>
          </cell>
          <cell r="C55">
            <v>137.32599999999999</v>
          </cell>
          <cell r="D55">
            <v>80.716999999999999</v>
          </cell>
          <cell r="E55">
            <v>112.349</v>
          </cell>
          <cell r="F55">
            <v>71.430000000000007</v>
          </cell>
          <cell r="G55" t="str">
            <v>P003239</v>
          </cell>
          <cell r="H55">
            <v>1</v>
          </cell>
          <cell r="I55">
            <v>50</v>
          </cell>
          <cell r="J55" t="str">
            <v>матрица</v>
          </cell>
          <cell r="L55">
            <v>107.8</v>
          </cell>
          <cell r="M55">
            <v>4.5490000000000066</v>
          </cell>
          <cell r="O55">
            <v>0</v>
          </cell>
          <cell r="P55">
            <v>0</v>
          </cell>
          <cell r="Q55">
            <v>170</v>
          </cell>
          <cell r="R55">
            <v>22.469799999999999</v>
          </cell>
          <cell r="S55">
            <v>100</v>
          </cell>
          <cell r="T55">
            <v>100</v>
          </cell>
          <cell r="U55" t="str">
            <v>Промо</v>
          </cell>
          <cell r="V55">
            <v>15.195061816304552</v>
          </cell>
          <cell r="W55">
            <v>3.1789335018558247</v>
          </cell>
          <cell r="X55">
            <v>15.2142</v>
          </cell>
          <cell r="Y55">
            <v>16.209600000000002</v>
          </cell>
          <cell r="Z55">
            <v>6.9251999999999994</v>
          </cell>
          <cell r="AA55">
            <v>25.757400000000001</v>
          </cell>
          <cell r="AB55">
            <v>0</v>
          </cell>
        </row>
        <row r="56">
          <cell r="A56" t="str">
            <v xml:space="preserve"> 317 Колбаса Сервелат Рижский ТМ Зареченские, ВЕС  ПОКОМ</v>
          </cell>
          <cell r="B56" t="str">
            <v>кг</v>
          </cell>
          <cell r="D56">
            <v>2.431</v>
          </cell>
          <cell r="E56">
            <v>2.4350000000000001</v>
          </cell>
          <cell r="F56">
            <v>-4.0000000000000001E-3</v>
          </cell>
          <cell r="G56" t="str">
            <v>P005250</v>
          </cell>
          <cell r="H56">
            <v>1</v>
          </cell>
          <cell r="I56">
            <v>0</v>
          </cell>
          <cell r="J56">
            <v>0</v>
          </cell>
          <cell r="L56">
            <v>2.4</v>
          </cell>
          <cell r="M56">
            <v>3.5000000000000142E-2</v>
          </cell>
          <cell r="O56">
            <v>0</v>
          </cell>
          <cell r="P56">
            <v>0</v>
          </cell>
          <cell r="Q56">
            <v>0</v>
          </cell>
          <cell r="R56">
            <v>0.48699999999999999</v>
          </cell>
          <cell r="U56">
            <v>0</v>
          </cell>
          <cell r="V56">
            <v>-8.2135523613963042E-3</v>
          </cell>
          <cell r="W56">
            <v>-8.2135523613963042E-3</v>
          </cell>
          <cell r="X56">
            <v>1.4636</v>
          </cell>
          <cell r="Y56">
            <v>2.5966</v>
          </cell>
          <cell r="Z56">
            <v>2.7557999999999998</v>
          </cell>
          <cell r="AA56">
            <v>0.48699999999999999</v>
          </cell>
          <cell r="AB56" t="e">
            <v>#N/A</v>
          </cell>
        </row>
        <row r="57">
          <cell r="A57" t="str">
            <v xml:space="preserve"> 318  Сосиски Датские ТМ Зареченские, ВЕС  ПОКОМ</v>
          </cell>
          <cell r="B57" t="str">
            <v>кг</v>
          </cell>
          <cell r="C57">
            <v>151.56100000000001</v>
          </cell>
          <cell r="E57">
            <v>134.05000000000001</v>
          </cell>
          <cell r="F57">
            <v>-0.39500000000000002</v>
          </cell>
          <cell r="G57" t="str">
            <v>P004991</v>
          </cell>
          <cell r="H57">
            <v>1</v>
          </cell>
          <cell r="I57">
            <v>40</v>
          </cell>
          <cell r="J57" t="str">
            <v>матрица</v>
          </cell>
          <cell r="L57">
            <v>142.6</v>
          </cell>
          <cell r="M57">
            <v>-8.5499999999999829</v>
          </cell>
          <cell r="O57">
            <v>0</v>
          </cell>
          <cell r="P57">
            <v>0</v>
          </cell>
          <cell r="Q57">
            <v>300</v>
          </cell>
          <cell r="R57">
            <v>26.810000000000002</v>
          </cell>
          <cell r="U57">
            <v>0</v>
          </cell>
          <cell r="V57">
            <v>11.175121223424096</v>
          </cell>
          <cell r="W57">
            <v>-1.4733308466989928E-2</v>
          </cell>
          <cell r="X57">
            <v>18.4956</v>
          </cell>
          <cell r="Y57">
            <v>14.295199999999999</v>
          </cell>
          <cell r="Z57">
            <v>3.2396000000000003</v>
          </cell>
          <cell r="AA57">
            <v>29.507799999999996</v>
          </cell>
          <cell r="AB57">
            <v>0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B58" t="str">
            <v>шт</v>
          </cell>
          <cell r="C58">
            <v>402</v>
          </cell>
          <cell r="D58">
            <v>2</v>
          </cell>
          <cell r="E58">
            <v>145</v>
          </cell>
          <cell r="F58">
            <v>247</v>
          </cell>
          <cell r="G58" t="str">
            <v>P003227</v>
          </cell>
          <cell r="H58">
            <v>0.45</v>
          </cell>
          <cell r="I58">
            <v>0</v>
          </cell>
          <cell r="J58" t="str">
            <v>матрица</v>
          </cell>
          <cell r="L58">
            <v>147</v>
          </cell>
          <cell r="M58">
            <v>-2</v>
          </cell>
          <cell r="O58">
            <v>0</v>
          </cell>
          <cell r="P58">
            <v>0</v>
          </cell>
          <cell r="Q58">
            <v>20</v>
          </cell>
          <cell r="R58">
            <v>29</v>
          </cell>
          <cell r="S58">
            <v>92</v>
          </cell>
          <cell r="T58">
            <v>92</v>
          </cell>
          <cell r="U58">
            <v>0</v>
          </cell>
          <cell r="V58">
            <v>12.379310344827585</v>
          </cell>
          <cell r="W58">
            <v>8.5172413793103452</v>
          </cell>
          <cell r="X58">
            <v>32</v>
          </cell>
          <cell r="Y58">
            <v>42.6</v>
          </cell>
          <cell r="Z58">
            <v>7.2</v>
          </cell>
          <cell r="AA58">
            <v>28</v>
          </cell>
          <cell r="AB58" t="str">
            <v>ТМА ПРОДОЛЖЕНИЕ Апрель</v>
          </cell>
        </row>
        <row r="59">
          <cell r="A59" t="str">
            <v xml:space="preserve"> 322  Колбаса вареная Молокуша 0,45кг ТМ Вязанка  ПОКОМ</v>
          </cell>
          <cell r="B59" t="str">
            <v>шт</v>
          </cell>
          <cell r="C59">
            <v>407</v>
          </cell>
          <cell r="D59">
            <v>2</v>
          </cell>
          <cell r="E59">
            <v>272</v>
          </cell>
          <cell r="F59">
            <v>131</v>
          </cell>
          <cell r="G59" t="str">
            <v>P003228</v>
          </cell>
          <cell r="H59">
            <v>0.45</v>
          </cell>
          <cell r="I59">
            <v>50</v>
          </cell>
          <cell r="J59" t="str">
            <v>матрица</v>
          </cell>
          <cell r="L59">
            <v>273</v>
          </cell>
          <cell r="M59">
            <v>-1</v>
          </cell>
          <cell r="O59">
            <v>0</v>
          </cell>
          <cell r="P59">
            <v>0</v>
          </cell>
          <cell r="Q59">
            <v>160</v>
          </cell>
          <cell r="R59">
            <v>54.4</v>
          </cell>
          <cell r="S59">
            <v>300</v>
          </cell>
          <cell r="U59">
            <v>0</v>
          </cell>
          <cell r="V59">
            <v>10.863970588235295</v>
          </cell>
          <cell r="W59">
            <v>2.4080882352941178</v>
          </cell>
          <cell r="X59">
            <v>34.799999999999997</v>
          </cell>
          <cell r="Y59">
            <v>35.200000000000003</v>
          </cell>
          <cell r="Z59">
            <v>23.4</v>
          </cell>
          <cell r="AA59">
            <v>37</v>
          </cell>
          <cell r="AB59" t="str">
            <v>увел продажи</v>
          </cell>
        </row>
        <row r="60">
          <cell r="A60" t="str">
            <v xml:space="preserve"> 328  Сардельки Сочинки Стародворье ТМ  0,4 кг ПОКОМ</v>
          </cell>
          <cell r="B60" t="str">
            <v>шт</v>
          </cell>
          <cell r="C60">
            <v>160</v>
          </cell>
          <cell r="E60">
            <v>88</v>
          </cell>
          <cell r="F60">
            <v>31</v>
          </cell>
          <cell r="G60" t="str">
            <v>P003960</v>
          </cell>
          <cell r="H60">
            <v>0.4</v>
          </cell>
          <cell r="I60">
            <v>40</v>
          </cell>
          <cell r="J60" t="str">
            <v>матрица</v>
          </cell>
          <cell r="L60">
            <v>107</v>
          </cell>
          <cell r="M60">
            <v>-19</v>
          </cell>
          <cell r="O60">
            <v>0</v>
          </cell>
          <cell r="P60">
            <v>0</v>
          </cell>
          <cell r="Q60">
            <v>120</v>
          </cell>
          <cell r="R60">
            <v>17.600000000000001</v>
          </cell>
          <cell r="U60">
            <v>0</v>
          </cell>
          <cell r="V60">
            <v>8.5795454545454533</v>
          </cell>
          <cell r="W60">
            <v>1.7613636363636362</v>
          </cell>
          <cell r="X60">
            <v>30.2</v>
          </cell>
          <cell r="Y60">
            <v>23.8</v>
          </cell>
          <cell r="Z60">
            <v>16.2</v>
          </cell>
          <cell r="AA60">
            <v>18.399999999999999</v>
          </cell>
          <cell r="AB60" t="str">
            <v>увел продажи</v>
          </cell>
        </row>
        <row r="61">
          <cell r="A61" t="str">
            <v xml:space="preserve"> 329  Сардельки Сочинки с сыром Стародворье ТМ, 0,4 кг. ПОКОМ</v>
          </cell>
          <cell r="B61" t="str">
            <v>шт</v>
          </cell>
          <cell r="C61">
            <v>200</v>
          </cell>
          <cell r="D61">
            <v>2</v>
          </cell>
          <cell r="E61">
            <v>85</v>
          </cell>
          <cell r="F61">
            <v>80</v>
          </cell>
          <cell r="G61" t="str">
            <v>P003961</v>
          </cell>
          <cell r="H61">
            <v>0.4</v>
          </cell>
          <cell r="I61">
            <v>40</v>
          </cell>
          <cell r="J61" t="str">
            <v>матрица</v>
          </cell>
          <cell r="L61">
            <v>105</v>
          </cell>
          <cell r="M61">
            <v>-20</v>
          </cell>
          <cell r="O61">
            <v>0</v>
          </cell>
          <cell r="P61">
            <v>0</v>
          </cell>
          <cell r="Q61">
            <v>50</v>
          </cell>
          <cell r="R61">
            <v>17</v>
          </cell>
          <cell r="S61">
            <v>50</v>
          </cell>
          <cell r="U61">
            <v>0</v>
          </cell>
          <cell r="V61">
            <v>10.588235294117647</v>
          </cell>
          <cell r="W61">
            <v>4.7058823529411766</v>
          </cell>
          <cell r="X61">
            <v>27.6</v>
          </cell>
          <cell r="Y61">
            <v>25.2</v>
          </cell>
          <cell r="Z61">
            <v>18</v>
          </cell>
          <cell r="AA61">
            <v>16.600000000000001</v>
          </cell>
          <cell r="AB61" t="str">
            <v>ТМА декабрь_январь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B62" t="str">
            <v>кг</v>
          </cell>
          <cell r="C62">
            <v>162.25399999999999</v>
          </cell>
          <cell r="D62">
            <v>6.7619999999999996</v>
          </cell>
          <cell r="E62">
            <v>142.78399999999999</v>
          </cell>
          <cell r="F62">
            <v>0.28000000000000003</v>
          </cell>
          <cell r="G62" t="str">
            <v>P003235</v>
          </cell>
          <cell r="H62">
            <v>1</v>
          </cell>
          <cell r="I62">
            <v>0</v>
          </cell>
          <cell r="J62">
            <v>0</v>
          </cell>
          <cell r="L62">
            <v>141.30000000000001</v>
          </cell>
          <cell r="M62">
            <v>1.4839999999999804</v>
          </cell>
          <cell r="O62">
            <v>0</v>
          </cell>
          <cell r="P62">
            <v>0</v>
          </cell>
          <cell r="Q62">
            <v>200</v>
          </cell>
          <cell r="R62">
            <v>28.556799999999999</v>
          </cell>
          <cell r="S62">
            <v>110</v>
          </cell>
          <cell r="U62">
            <v>0</v>
          </cell>
          <cell r="V62">
            <v>10.865363065889735</v>
          </cell>
          <cell r="W62">
            <v>9.8050201703272083E-3</v>
          </cell>
          <cell r="X62">
            <v>15.299600000000002</v>
          </cell>
          <cell r="Y62">
            <v>20.411799999999999</v>
          </cell>
          <cell r="Z62">
            <v>12.940999999999999</v>
          </cell>
          <cell r="AA62">
            <v>24.2422</v>
          </cell>
          <cell r="AB62" t="str">
            <v>ТМА ПРОДОЛЖЕНИЕ Апрель</v>
          </cell>
        </row>
        <row r="63">
          <cell r="A63" t="str">
            <v xml:space="preserve"> 334  Паштет Любительский ТМ Стародворье ламистер 0,1 кг  ПОКОМ</v>
          </cell>
          <cell r="B63" t="str">
            <v>шт</v>
          </cell>
          <cell r="C63">
            <v>72</v>
          </cell>
          <cell r="D63">
            <v>300</v>
          </cell>
          <cell r="E63">
            <v>139</v>
          </cell>
          <cell r="F63">
            <v>218</v>
          </cell>
          <cell r="G63" t="str">
            <v>P003253</v>
          </cell>
          <cell r="H63">
            <v>0.1</v>
          </cell>
          <cell r="I63">
            <v>730</v>
          </cell>
          <cell r="J63" t="str">
            <v>матрица</v>
          </cell>
          <cell r="L63">
            <v>161</v>
          </cell>
          <cell r="M63">
            <v>-22</v>
          </cell>
          <cell r="O63">
            <v>200</v>
          </cell>
          <cell r="P63">
            <v>0</v>
          </cell>
          <cell r="Q63">
            <v>0</v>
          </cell>
          <cell r="R63">
            <v>27.8</v>
          </cell>
          <cell r="U63">
            <v>0</v>
          </cell>
          <cell r="V63">
            <v>15.035971223021582</v>
          </cell>
          <cell r="W63">
            <v>7.8417266187050361</v>
          </cell>
          <cell r="X63">
            <v>28.4</v>
          </cell>
          <cell r="Y63">
            <v>19.2</v>
          </cell>
          <cell r="Z63">
            <v>34.6</v>
          </cell>
          <cell r="AA63">
            <v>24.6</v>
          </cell>
          <cell r="AB63">
            <v>0</v>
          </cell>
        </row>
        <row r="64">
          <cell r="A64" t="str">
            <v xml:space="preserve"> 335  Колбаса Сливушка ТМ Вязанка. ВЕС.  ПОКОМ </v>
          </cell>
          <cell r="B64" t="str">
            <v>кг</v>
          </cell>
          <cell r="C64">
            <v>1.2210000000000001</v>
          </cell>
          <cell r="D64">
            <v>246.9</v>
          </cell>
          <cell r="E64">
            <v>33.561999999999998</v>
          </cell>
          <cell r="F64">
            <v>214.559</v>
          </cell>
          <cell r="G64" t="str">
            <v>P003357</v>
          </cell>
          <cell r="H64">
            <v>1</v>
          </cell>
          <cell r="I64">
            <v>50</v>
          </cell>
          <cell r="J64" t="str">
            <v>матрица</v>
          </cell>
          <cell r="L64">
            <v>50.262999999999998</v>
          </cell>
          <cell r="M64">
            <v>-16.701000000000001</v>
          </cell>
          <cell r="O64">
            <v>0</v>
          </cell>
          <cell r="P64">
            <v>0</v>
          </cell>
          <cell r="Q64">
            <v>0</v>
          </cell>
          <cell r="R64">
            <v>6.7123999999999997</v>
          </cell>
          <cell r="U64">
            <v>0</v>
          </cell>
          <cell r="V64">
            <v>31.964573029020919</v>
          </cell>
          <cell r="W64">
            <v>31.964573029020919</v>
          </cell>
          <cell r="X64">
            <v>10.9678</v>
          </cell>
          <cell r="Y64">
            <v>9.4244000000000003</v>
          </cell>
          <cell r="Z64">
            <v>12.113200000000001</v>
          </cell>
          <cell r="AA64">
            <v>5.1243999999999996</v>
          </cell>
          <cell r="AB64">
            <v>0</v>
          </cell>
        </row>
        <row r="65">
          <cell r="A65" t="str">
            <v xml:space="preserve"> 336  Ветчина Сливушка с индейкой ТМ Вязанка. ВЕС  ПОКОМ</v>
          </cell>
          <cell r="B65" t="str">
            <v>кг</v>
          </cell>
          <cell r="C65">
            <v>23.167000000000002</v>
          </cell>
          <cell r="D65">
            <v>37.764000000000003</v>
          </cell>
          <cell r="E65">
            <v>25.78</v>
          </cell>
          <cell r="F65">
            <v>32.436999999999998</v>
          </cell>
          <cell r="G65" t="str">
            <v>P004607</v>
          </cell>
          <cell r="H65">
            <v>1</v>
          </cell>
          <cell r="I65">
            <v>50</v>
          </cell>
          <cell r="J65" t="str">
            <v>матрица</v>
          </cell>
          <cell r="L65">
            <v>25.35</v>
          </cell>
          <cell r="M65">
            <v>0.42999999999999972</v>
          </cell>
          <cell r="O65">
            <v>0</v>
          </cell>
          <cell r="P65">
            <v>0</v>
          </cell>
          <cell r="Q65">
            <v>0</v>
          </cell>
          <cell r="R65">
            <v>5.1560000000000006</v>
          </cell>
          <cell r="U65">
            <v>0</v>
          </cell>
          <cell r="V65">
            <v>6.2911171450736996</v>
          </cell>
          <cell r="W65">
            <v>6.2911171450736996</v>
          </cell>
          <cell r="X65">
            <v>5.1604000000000001</v>
          </cell>
          <cell r="Y65">
            <v>3.2518000000000002</v>
          </cell>
          <cell r="Z65">
            <v>3.25</v>
          </cell>
          <cell r="AA65">
            <v>3.774</v>
          </cell>
          <cell r="AB65">
            <v>0</v>
          </cell>
        </row>
        <row r="66">
          <cell r="A66" t="str">
            <v xml:space="preserve"> 338  Паштет печеночный с морковью ТМ Стародворье ламистер 0,1 кг.  ПОКОМ</v>
          </cell>
          <cell r="B66" t="str">
            <v>шт</v>
          </cell>
          <cell r="C66">
            <v>126</v>
          </cell>
          <cell r="D66">
            <v>120</v>
          </cell>
          <cell r="E66">
            <v>199</v>
          </cell>
          <cell r="F66">
            <v>32</v>
          </cell>
          <cell r="G66" t="str">
            <v>P003252</v>
          </cell>
          <cell r="H66">
            <v>0.1</v>
          </cell>
          <cell r="I66">
            <v>730</v>
          </cell>
          <cell r="J66" t="str">
            <v>матрица</v>
          </cell>
          <cell r="L66">
            <v>168</v>
          </cell>
          <cell r="M66">
            <v>31</v>
          </cell>
          <cell r="O66">
            <v>200</v>
          </cell>
          <cell r="P66">
            <v>0</v>
          </cell>
          <cell r="Q66">
            <v>50</v>
          </cell>
          <cell r="R66">
            <v>39.799999999999997</v>
          </cell>
          <cell r="S66">
            <v>150</v>
          </cell>
          <cell r="U66">
            <v>0</v>
          </cell>
          <cell r="V66">
            <v>10.85427135678392</v>
          </cell>
          <cell r="W66">
            <v>0.8040201005025126</v>
          </cell>
          <cell r="X66">
            <v>33.4</v>
          </cell>
          <cell r="Y66">
            <v>19.600000000000001</v>
          </cell>
          <cell r="Z66">
            <v>26.2</v>
          </cell>
          <cell r="AA66">
            <v>33</v>
          </cell>
          <cell r="AB66">
            <v>0</v>
          </cell>
        </row>
        <row r="67">
          <cell r="A67" t="str">
            <v xml:space="preserve"> 339  Колбаса вареная Филейская ТМ Вязанка ТС Классическая, 0,40 кг.  ПОКОМ</v>
          </cell>
          <cell r="B67" t="str">
            <v>шт</v>
          </cell>
          <cell r="C67">
            <v>46</v>
          </cell>
          <cell r="E67">
            <v>22</v>
          </cell>
          <cell r="F67">
            <v>19</v>
          </cell>
          <cell r="G67" t="str">
            <v>P003243</v>
          </cell>
          <cell r="H67">
            <v>0.4</v>
          </cell>
          <cell r="I67">
            <v>50</v>
          </cell>
          <cell r="J67" t="str">
            <v>матрица</v>
          </cell>
          <cell r="L67">
            <v>24</v>
          </cell>
          <cell r="M67">
            <v>-2</v>
          </cell>
          <cell r="O67">
            <v>0</v>
          </cell>
          <cell r="P67">
            <v>0</v>
          </cell>
          <cell r="Q67">
            <v>20</v>
          </cell>
          <cell r="R67">
            <v>4.4000000000000004</v>
          </cell>
          <cell r="S67">
            <v>10</v>
          </cell>
          <cell r="U67">
            <v>0</v>
          </cell>
          <cell r="V67">
            <v>11.136363636363635</v>
          </cell>
          <cell r="W67">
            <v>4.3181818181818175</v>
          </cell>
          <cell r="X67">
            <v>4</v>
          </cell>
          <cell r="Y67">
            <v>6.6</v>
          </cell>
          <cell r="Z67">
            <v>4.4000000000000004</v>
          </cell>
          <cell r="AA67">
            <v>4.2</v>
          </cell>
          <cell r="AB67" t="str">
            <v>увел продажи</v>
          </cell>
        </row>
        <row r="68">
          <cell r="A68" t="str">
            <v xml:space="preserve"> 340  Сосиски Сочинки Молочные ТМ Стародворье, ВЕС ПОКОМ</v>
          </cell>
          <cell r="B68" t="str">
            <v>кг</v>
          </cell>
          <cell r="C68">
            <v>9.6180000000000003</v>
          </cell>
          <cell r="D68">
            <v>17.420000000000002</v>
          </cell>
          <cell r="E68">
            <v>3.8690000000000002</v>
          </cell>
          <cell r="F68">
            <v>16.484999999999999</v>
          </cell>
          <cell r="G68" t="str">
            <v>P003263</v>
          </cell>
          <cell r="H68">
            <v>1</v>
          </cell>
          <cell r="I68">
            <v>40</v>
          </cell>
          <cell r="J68" t="str">
            <v>матрица</v>
          </cell>
          <cell r="L68">
            <v>9.1</v>
          </cell>
          <cell r="M68">
            <v>-5.2309999999999999</v>
          </cell>
          <cell r="O68">
            <v>0</v>
          </cell>
          <cell r="P68">
            <v>0</v>
          </cell>
          <cell r="Q68">
            <v>0</v>
          </cell>
          <cell r="R68">
            <v>0.77380000000000004</v>
          </cell>
          <cell r="U68">
            <v>0</v>
          </cell>
          <cell r="V68">
            <v>21.303954510209355</v>
          </cell>
          <cell r="W68">
            <v>21.303954510209355</v>
          </cell>
          <cell r="X68">
            <v>2.2618</v>
          </cell>
          <cell r="Y68">
            <v>3.5433999999999997</v>
          </cell>
          <cell r="Z68">
            <v>2.9758</v>
          </cell>
          <cell r="AA68">
            <v>1.5266</v>
          </cell>
          <cell r="AB68">
            <v>0</v>
          </cell>
        </row>
        <row r="69">
          <cell r="A69" t="str">
            <v xml:space="preserve"> 341 Сосиски Сочинки Сливочные ТМ Стародворье ВЕС ПОКОМ</v>
          </cell>
          <cell r="B69" t="str">
            <v>кг</v>
          </cell>
          <cell r="C69">
            <v>6.3179999999999996</v>
          </cell>
          <cell r="D69">
            <v>112.08799999999999</v>
          </cell>
          <cell r="E69">
            <v>21.084</v>
          </cell>
          <cell r="F69">
            <v>89.287000000000006</v>
          </cell>
          <cell r="G69" t="str">
            <v>P003266</v>
          </cell>
          <cell r="H69">
            <v>1</v>
          </cell>
          <cell r="I69">
            <v>40</v>
          </cell>
          <cell r="J69" t="str">
            <v>матрица</v>
          </cell>
          <cell r="L69">
            <v>30.5</v>
          </cell>
          <cell r="M69">
            <v>-9.4160000000000004</v>
          </cell>
          <cell r="O69">
            <v>0</v>
          </cell>
          <cell r="P69">
            <v>0</v>
          </cell>
          <cell r="Q69">
            <v>0</v>
          </cell>
          <cell r="R69">
            <v>4.2168000000000001</v>
          </cell>
          <cell r="U69">
            <v>0</v>
          </cell>
          <cell r="V69">
            <v>21.174113071523433</v>
          </cell>
          <cell r="W69">
            <v>21.174113071523433</v>
          </cell>
          <cell r="X69">
            <v>3.5118</v>
          </cell>
          <cell r="Y69">
            <v>2.1617999999999999</v>
          </cell>
          <cell r="Z69">
            <v>10.728199999999999</v>
          </cell>
          <cell r="AA69">
            <v>-6.1999999999999998E-3</v>
          </cell>
          <cell r="AB69">
            <v>0</v>
          </cell>
        </row>
        <row r="70">
          <cell r="A70" t="str">
            <v xml:space="preserve"> 342 Сосиски Сочинки Молочные ТМ Стародворье 0,4 кг ПОКОМ</v>
          </cell>
          <cell r="B70" t="str">
            <v>шт</v>
          </cell>
          <cell r="C70">
            <v>645</v>
          </cell>
          <cell r="D70">
            <v>17</v>
          </cell>
          <cell r="E70">
            <v>564</v>
          </cell>
          <cell r="F70">
            <v>1</v>
          </cell>
          <cell r="G70" t="str">
            <v>P003262</v>
          </cell>
          <cell r="H70">
            <v>0.4</v>
          </cell>
          <cell r="I70">
            <v>40</v>
          </cell>
          <cell r="J70" t="str">
            <v>матрица</v>
          </cell>
          <cell r="L70">
            <v>631</v>
          </cell>
          <cell r="M70">
            <v>-67</v>
          </cell>
          <cell r="O70">
            <v>100</v>
          </cell>
          <cell r="P70">
            <v>0</v>
          </cell>
          <cell r="Q70">
            <v>870</v>
          </cell>
          <cell r="R70">
            <v>112.8</v>
          </cell>
          <cell r="S70">
            <v>269.79999999999995</v>
          </cell>
          <cell r="U70">
            <v>0</v>
          </cell>
          <cell r="V70">
            <v>11</v>
          </cell>
          <cell r="W70">
            <v>8.8652482269503553E-3</v>
          </cell>
          <cell r="X70">
            <v>75.8</v>
          </cell>
          <cell r="Y70">
            <v>89</v>
          </cell>
          <cell r="Z70">
            <v>50.4</v>
          </cell>
          <cell r="AA70">
            <v>106.4</v>
          </cell>
          <cell r="AB70">
            <v>0</v>
          </cell>
        </row>
        <row r="71">
          <cell r="A71" t="str">
            <v xml:space="preserve"> 343 Сосиски Сочинки Сливочные ТМ Стародворье  0,4 кг ПОКОМ</v>
          </cell>
          <cell r="B71" t="str">
            <v>шт</v>
          </cell>
          <cell r="C71">
            <v>258</v>
          </cell>
          <cell r="D71">
            <v>2</v>
          </cell>
          <cell r="E71">
            <v>184</v>
          </cell>
          <cell r="G71" t="str">
            <v>P003265</v>
          </cell>
          <cell r="H71">
            <v>0.4</v>
          </cell>
          <cell r="I71" t="e">
            <v>#N/A</v>
          </cell>
          <cell r="J71" t="e">
            <v>#N/A</v>
          </cell>
          <cell r="L71">
            <v>395</v>
          </cell>
          <cell r="M71">
            <v>-211</v>
          </cell>
          <cell r="O71">
            <v>150</v>
          </cell>
          <cell r="P71">
            <v>0</v>
          </cell>
          <cell r="Q71">
            <v>500</v>
          </cell>
          <cell r="R71">
            <v>36.799999999999997</v>
          </cell>
          <cell r="U71">
            <v>0</v>
          </cell>
          <cell r="V71">
            <v>17.663043478260871</v>
          </cell>
          <cell r="W71">
            <v>0</v>
          </cell>
          <cell r="X71">
            <v>67.8</v>
          </cell>
          <cell r="Y71">
            <v>41</v>
          </cell>
          <cell r="Z71">
            <v>28.2</v>
          </cell>
          <cell r="AA71">
            <v>59.8</v>
          </cell>
          <cell r="AB71" t="e">
            <v>#N/A</v>
          </cell>
        </row>
        <row r="72">
          <cell r="A72" t="str">
            <v xml:space="preserve"> 344  Колбаса Сочинка по-европейски с сочной грудинкой ТМ Стародворье, ВЕС ПОКОМ</v>
          </cell>
          <cell r="B72" t="str">
            <v>кг</v>
          </cell>
          <cell r="C72">
            <v>114.271</v>
          </cell>
          <cell r="D72">
            <v>160.03100000000001</v>
          </cell>
          <cell r="E72">
            <v>124.148</v>
          </cell>
          <cell r="F72">
            <v>121.839</v>
          </cell>
          <cell r="G72" t="str">
            <v>P003387</v>
          </cell>
          <cell r="H72">
            <v>1</v>
          </cell>
          <cell r="I72">
            <v>40</v>
          </cell>
          <cell r="J72" t="str">
            <v>матрица</v>
          </cell>
          <cell r="L72">
            <v>155.69999999999999</v>
          </cell>
          <cell r="M72">
            <v>-31.551999999999992</v>
          </cell>
          <cell r="O72">
            <v>0</v>
          </cell>
          <cell r="P72">
            <v>0</v>
          </cell>
          <cell r="Q72">
            <v>105</v>
          </cell>
          <cell r="R72">
            <v>24.829599999999999</v>
          </cell>
          <cell r="U72">
            <v>0</v>
          </cell>
          <cell r="V72">
            <v>9.1358298160260336</v>
          </cell>
          <cell r="W72">
            <v>4.9070061539452912</v>
          </cell>
          <cell r="X72">
            <v>20.95</v>
          </cell>
          <cell r="Y72">
            <v>27.0808</v>
          </cell>
          <cell r="Z72">
            <v>29.851400000000002</v>
          </cell>
          <cell r="AA72">
            <v>27.379399999999997</v>
          </cell>
          <cell r="AB72" t="str">
            <v>увел продажи</v>
          </cell>
        </row>
        <row r="73">
          <cell r="A73" t="str">
            <v xml:space="preserve"> 345  Колбаса Сочинка по-фински с сочным окроком ТМ Стародворье ВЕС ПОКОМ</v>
          </cell>
          <cell r="B73" t="str">
            <v>кг</v>
          </cell>
          <cell r="C73">
            <v>131.642</v>
          </cell>
          <cell r="D73">
            <v>143.565</v>
          </cell>
          <cell r="E73">
            <v>125.536</v>
          </cell>
          <cell r="F73">
            <v>124.20099999999999</v>
          </cell>
          <cell r="G73" t="str">
            <v>P003401</v>
          </cell>
          <cell r="H73">
            <v>1</v>
          </cell>
          <cell r="I73">
            <v>40</v>
          </cell>
          <cell r="J73" t="str">
            <v>матрица</v>
          </cell>
          <cell r="L73">
            <v>122.9</v>
          </cell>
          <cell r="M73">
            <v>2.6359999999999957</v>
          </cell>
          <cell r="O73">
            <v>0</v>
          </cell>
          <cell r="P73">
            <v>0</v>
          </cell>
          <cell r="Q73">
            <v>160</v>
          </cell>
          <cell r="R73">
            <v>25.107199999999999</v>
          </cell>
          <cell r="U73">
            <v>0</v>
          </cell>
          <cell r="V73">
            <v>11.319501975528933</v>
          </cell>
          <cell r="W73">
            <v>4.9468280015294415</v>
          </cell>
          <cell r="X73">
            <v>23.049399999999999</v>
          </cell>
          <cell r="Y73">
            <v>24.2698</v>
          </cell>
          <cell r="Z73">
            <v>25.724400000000003</v>
          </cell>
          <cell r="AA73">
            <v>26.757999999999999</v>
          </cell>
          <cell r="AB73" t="str">
            <v>зв</v>
          </cell>
        </row>
        <row r="74">
          <cell r="A74" t="str">
            <v xml:space="preserve"> 346  Колбаса Сочинка зернистая с сочной грудинкой ТМ Стародворье.ВЕС ПОКОМ</v>
          </cell>
          <cell r="B74" t="str">
            <v>кг</v>
          </cell>
          <cell r="C74">
            <v>425.315</v>
          </cell>
          <cell r="D74">
            <v>307.40899999999999</v>
          </cell>
          <cell r="E74">
            <v>478.72899999999998</v>
          </cell>
          <cell r="F74">
            <v>176.33</v>
          </cell>
          <cell r="G74" t="str">
            <v>P003383</v>
          </cell>
          <cell r="H74">
            <v>1</v>
          </cell>
          <cell r="I74">
            <v>0</v>
          </cell>
          <cell r="J74" t="str">
            <v>матрица</v>
          </cell>
          <cell r="L74">
            <v>431.2</v>
          </cell>
          <cell r="M74">
            <v>47.528999999999996</v>
          </cell>
          <cell r="O74">
            <v>100</v>
          </cell>
          <cell r="P74">
            <v>0</v>
          </cell>
          <cell r="Q74">
            <v>480</v>
          </cell>
          <cell r="R74">
            <v>95.745800000000003</v>
          </cell>
          <cell r="S74">
            <v>300</v>
          </cell>
          <cell r="U74">
            <v>0</v>
          </cell>
          <cell r="V74">
            <v>11.032651040567837</v>
          </cell>
          <cell r="W74">
            <v>1.8416473620775011</v>
          </cell>
          <cell r="X74">
            <v>81.859200000000001</v>
          </cell>
          <cell r="Y74">
            <v>85.581600000000009</v>
          </cell>
          <cell r="Z74">
            <v>78.686999999999998</v>
          </cell>
          <cell r="AA74">
            <v>88.301000000000002</v>
          </cell>
          <cell r="AB74" t="str">
            <v xml:space="preserve"> ТМА ПРОДОЛЖЕНИЕ Апрель</v>
          </cell>
        </row>
        <row r="75">
          <cell r="A75" t="str">
            <v xml:space="preserve"> 347  Колбаса Сочинка рубленая с сочным окороком ТМ Стародворье ВЕС ПОКОМ</v>
          </cell>
          <cell r="B75" t="str">
            <v>кг</v>
          </cell>
          <cell r="C75">
            <v>42.624000000000002</v>
          </cell>
          <cell r="D75">
            <v>164.90199999999999</v>
          </cell>
          <cell r="E75">
            <v>31.731000000000002</v>
          </cell>
          <cell r="F75">
            <v>140.27600000000001</v>
          </cell>
          <cell r="G75" t="str">
            <v>P003384</v>
          </cell>
          <cell r="H75">
            <v>1</v>
          </cell>
          <cell r="I75">
            <v>40</v>
          </cell>
          <cell r="J75" t="str">
            <v>матрица</v>
          </cell>
          <cell r="L75">
            <v>96.6</v>
          </cell>
          <cell r="M75">
            <v>-64.869</v>
          </cell>
          <cell r="O75">
            <v>160</v>
          </cell>
          <cell r="P75">
            <v>0</v>
          </cell>
          <cell r="Q75">
            <v>0</v>
          </cell>
          <cell r="R75">
            <v>6.3462000000000005</v>
          </cell>
          <cell r="U75">
            <v>0</v>
          </cell>
          <cell r="V75">
            <v>47.315874066370426</v>
          </cell>
          <cell r="W75">
            <v>22.103936213797233</v>
          </cell>
          <cell r="X75">
            <v>28.153199999999998</v>
          </cell>
          <cell r="Y75">
            <v>22.261199999999999</v>
          </cell>
          <cell r="Z75">
            <v>26.0336</v>
          </cell>
          <cell r="AA75">
            <v>22.077199999999998</v>
          </cell>
          <cell r="AB75" t="str">
            <v>увел продажи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B76" t="str">
            <v>шт</v>
          </cell>
          <cell r="C76">
            <v>45</v>
          </cell>
          <cell r="E76">
            <v>16</v>
          </cell>
          <cell r="F76">
            <v>16</v>
          </cell>
          <cell r="G76" t="str">
            <v>P004929</v>
          </cell>
          <cell r="H76">
            <v>0.6</v>
          </cell>
          <cell r="I76">
            <v>0</v>
          </cell>
          <cell r="J76">
            <v>0</v>
          </cell>
          <cell r="L76">
            <v>17</v>
          </cell>
          <cell r="M76">
            <v>-1</v>
          </cell>
          <cell r="O76">
            <v>0</v>
          </cell>
          <cell r="P76">
            <v>0</v>
          </cell>
          <cell r="Q76">
            <v>30</v>
          </cell>
          <cell r="R76">
            <v>3.2</v>
          </cell>
          <cell r="U76">
            <v>0</v>
          </cell>
          <cell r="V76">
            <v>14.375</v>
          </cell>
          <cell r="W76">
            <v>5</v>
          </cell>
          <cell r="X76">
            <v>5</v>
          </cell>
          <cell r="Y76">
            <v>3.2</v>
          </cell>
          <cell r="Z76">
            <v>2.8</v>
          </cell>
          <cell r="AA76">
            <v>4.8</v>
          </cell>
          <cell r="AB76" t="str">
            <v>0 заявок</v>
          </cell>
        </row>
        <row r="77">
          <cell r="A77" t="str">
            <v xml:space="preserve"> 364  Сардельки Филейские Вязанка ВЕС NDX ТМ Вязанка  ПОКОМ</v>
          </cell>
          <cell r="B77" t="str">
            <v>кг</v>
          </cell>
          <cell r="C77">
            <v>146.006</v>
          </cell>
          <cell r="D77">
            <v>405.75799999999998</v>
          </cell>
          <cell r="E77">
            <v>306.30500000000001</v>
          </cell>
          <cell r="F77">
            <v>194.619</v>
          </cell>
          <cell r="G77" t="str">
            <v>P003883</v>
          </cell>
          <cell r="H77">
            <v>1</v>
          </cell>
          <cell r="I77">
            <v>30</v>
          </cell>
          <cell r="J77" t="str">
            <v>матрица</v>
          </cell>
          <cell r="L77">
            <v>342.1</v>
          </cell>
          <cell r="M77">
            <v>-35.795000000000016</v>
          </cell>
          <cell r="O77">
            <v>0</v>
          </cell>
          <cell r="P77">
            <v>0</v>
          </cell>
          <cell r="Q77">
            <v>70</v>
          </cell>
          <cell r="R77">
            <v>61.261000000000003</v>
          </cell>
          <cell r="S77">
            <v>410</v>
          </cell>
          <cell r="U77">
            <v>0</v>
          </cell>
          <cell r="V77">
            <v>11.01221005207228</v>
          </cell>
          <cell r="W77">
            <v>3.1768825190578016</v>
          </cell>
          <cell r="X77">
            <v>16.098800000000001</v>
          </cell>
          <cell r="Y77">
            <v>33.580399999999997</v>
          </cell>
          <cell r="Z77">
            <v>37.741399999999999</v>
          </cell>
          <cell r="AA77">
            <v>39.561799999999998</v>
          </cell>
          <cell r="AB77">
            <v>0</v>
          </cell>
        </row>
        <row r="78">
          <cell r="A78" t="str">
            <v xml:space="preserve"> 377  Колбаса Молочная Дугушка 0,6кг ТМ Стародворье  ПОКОМ</v>
          </cell>
          <cell r="B78" t="str">
            <v>шт</v>
          </cell>
          <cell r="C78">
            <v>141</v>
          </cell>
          <cell r="E78">
            <v>75</v>
          </cell>
          <cell r="F78">
            <v>62</v>
          </cell>
          <cell r="G78" t="str">
            <v>P004688</v>
          </cell>
          <cell r="H78">
            <v>0.6</v>
          </cell>
          <cell r="I78">
            <v>60</v>
          </cell>
          <cell r="J78" t="str">
            <v>матрица</v>
          </cell>
          <cell r="L78">
            <v>57</v>
          </cell>
          <cell r="M78">
            <v>18</v>
          </cell>
          <cell r="O78">
            <v>0</v>
          </cell>
          <cell r="P78">
            <v>0</v>
          </cell>
          <cell r="Q78">
            <v>80</v>
          </cell>
          <cell r="R78">
            <v>15</v>
          </cell>
          <cell r="U78">
            <v>0</v>
          </cell>
          <cell r="V78">
            <v>9.4666666666666668</v>
          </cell>
          <cell r="W78">
            <v>4.1333333333333337</v>
          </cell>
          <cell r="X78">
            <v>10</v>
          </cell>
          <cell r="Y78">
            <v>16.600000000000001</v>
          </cell>
          <cell r="Z78">
            <v>5.8</v>
          </cell>
          <cell r="AA78">
            <v>14.2</v>
          </cell>
          <cell r="AB78" t="str">
            <v>увел продажи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B79" t="str">
            <v>шт</v>
          </cell>
          <cell r="C79">
            <v>112</v>
          </cell>
          <cell r="D79">
            <v>2</v>
          </cell>
          <cell r="E79">
            <v>105</v>
          </cell>
          <cell r="G79" t="str">
            <v>P003437</v>
          </cell>
          <cell r="H79">
            <v>0.4</v>
          </cell>
          <cell r="I79">
            <v>0</v>
          </cell>
          <cell r="J79">
            <v>0</v>
          </cell>
          <cell r="L79">
            <v>117</v>
          </cell>
          <cell r="M79">
            <v>-12</v>
          </cell>
          <cell r="O79">
            <v>0</v>
          </cell>
          <cell r="P79">
            <v>0</v>
          </cell>
          <cell r="Q79">
            <v>150</v>
          </cell>
          <cell r="R79">
            <v>21</v>
          </cell>
          <cell r="S79">
            <v>200</v>
          </cell>
          <cell r="T79">
            <v>200</v>
          </cell>
          <cell r="U79">
            <v>0</v>
          </cell>
          <cell r="V79">
            <v>16.666666666666668</v>
          </cell>
          <cell r="W79">
            <v>0</v>
          </cell>
          <cell r="X79">
            <v>14.8</v>
          </cell>
          <cell r="Y79">
            <v>15.8</v>
          </cell>
          <cell r="Z79">
            <v>7</v>
          </cell>
          <cell r="AA79">
            <v>17.2</v>
          </cell>
          <cell r="AB79">
            <v>0</v>
          </cell>
        </row>
        <row r="80">
          <cell r="A80" t="str">
            <v xml:space="preserve"> 388  Сосиски Восточные Халяль ТМ Вязанка 0,33 кг АК. ПОКОМ</v>
          </cell>
          <cell r="B80" t="str">
            <v>шт</v>
          </cell>
          <cell r="C80">
            <v>153</v>
          </cell>
          <cell r="D80">
            <v>8</v>
          </cell>
          <cell r="E80">
            <v>118</v>
          </cell>
          <cell r="F80">
            <v>8</v>
          </cell>
          <cell r="G80" t="str">
            <v>P003438</v>
          </cell>
          <cell r="H80">
            <v>0.33</v>
          </cell>
          <cell r="I80">
            <v>0</v>
          </cell>
          <cell r="J80">
            <v>0</v>
          </cell>
          <cell r="L80">
            <v>129</v>
          </cell>
          <cell r="M80">
            <v>-11</v>
          </cell>
          <cell r="O80">
            <v>0</v>
          </cell>
          <cell r="P80">
            <v>0</v>
          </cell>
          <cell r="Q80">
            <v>120</v>
          </cell>
          <cell r="R80">
            <v>23.6</v>
          </cell>
          <cell r="S80">
            <v>200</v>
          </cell>
          <cell r="T80">
            <v>200</v>
          </cell>
          <cell r="U80">
            <v>0</v>
          </cell>
          <cell r="V80">
            <v>13.898305084745761</v>
          </cell>
          <cell r="W80">
            <v>0.33898305084745761</v>
          </cell>
          <cell r="X80">
            <v>21</v>
          </cell>
          <cell r="Y80">
            <v>21.6</v>
          </cell>
          <cell r="Z80">
            <v>12.4</v>
          </cell>
          <cell r="AA80">
            <v>18.399999999999999</v>
          </cell>
          <cell r="AB80">
            <v>0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B81" t="str">
            <v>шт</v>
          </cell>
          <cell r="C81">
            <v>122</v>
          </cell>
          <cell r="D81">
            <v>2</v>
          </cell>
          <cell r="E81">
            <v>86</v>
          </cell>
          <cell r="F81">
            <v>26</v>
          </cell>
          <cell r="G81" t="str">
            <v>P003442</v>
          </cell>
          <cell r="H81">
            <v>0.35</v>
          </cell>
          <cell r="I81">
            <v>0</v>
          </cell>
          <cell r="J81">
            <v>0</v>
          </cell>
          <cell r="L81">
            <v>1</v>
          </cell>
          <cell r="M81">
            <v>85</v>
          </cell>
          <cell r="O81">
            <v>0</v>
          </cell>
          <cell r="P81">
            <v>0</v>
          </cell>
          <cell r="Q81">
            <v>20</v>
          </cell>
          <cell r="R81">
            <v>17.2</v>
          </cell>
          <cell r="S81">
            <v>200</v>
          </cell>
          <cell r="T81">
            <v>200</v>
          </cell>
          <cell r="U81">
            <v>0</v>
          </cell>
          <cell r="V81">
            <v>14.302325581395349</v>
          </cell>
          <cell r="W81">
            <v>1.5116279069767442</v>
          </cell>
          <cell r="X81">
            <v>15.2</v>
          </cell>
          <cell r="Y81">
            <v>14</v>
          </cell>
          <cell r="Z81">
            <v>5.8</v>
          </cell>
          <cell r="AA81">
            <v>9</v>
          </cell>
          <cell r="AB81">
            <v>0</v>
          </cell>
        </row>
        <row r="82">
          <cell r="A82" t="str">
            <v xml:space="preserve"> 395  Колбаса Докторская ГОСТ ТМ Вязанка в оболочке полиамид 0,37 кг. ПОКОМ</v>
          </cell>
          <cell r="B82" t="str">
            <v>шт</v>
          </cell>
          <cell r="C82">
            <v>18</v>
          </cell>
          <cell r="D82">
            <v>320</v>
          </cell>
          <cell r="E82">
            <v>146</v>
          </cell>
          <cell r="F82">
            <v>185</v>
          </cell>
          <cell r="G82" t="str">
            <v>P003429</v>
          </cell>
          <cell r="H82">
            <v>0.37</v>
          </cell>
          <cell r="I82">
            <v>50</v>
          </cell>
          <cell r="J82" t="str">
            <v>ВНИМАНИЕ / матрица</v>
          </cell>
          <cell r="L82">
            <v>196</v>
          </cell>
          <cell r="M82">
            <v>-50</v>
          </cell>
          <cell r="O82">
            <v>120</v>
          </cell>
          <cell r="P82">
            <v>0</v>
          </cell>
          <cell r="Q82">
            <v>0</v>
          </cell>
          <cell r="R82">
            <v>29.2</v>
          </cell>
          <cell r="U82">
            <v>0</v>
          </cell>
          <cell r="V82">
            <v>10.445205479452055</v>
          </cell>
          <cell r="W82">
            <v>6.3356164383561646</v>
          </cell>
          <cell r="X82">
            <v>38.799999999999997</v>
          </cell>
          <cell r="Y82">
            <v>29.4</v>
          </cell>
          <cell r="Z82">
            <v>41.6</v>
          </cell>
          <cell r="AA82">
            <v>22.4</v>
          </cell>
          <cell r="AB82" t="str">
            <v>Мера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B83" t="str">
            <v>шт</v>
          </cell>
          <cell r="D83">
            <v>117</v>
          </cell>
          <cell r="E83">
            <v>8</v>
          </cell>
          <cell r="F83">
            <v>103</v>
          </cell>
          <cell r="G83" t="str">
            <v>P002644</v>
          </cell>
          <cell r="H83">
            <v>0.33</v>
          </cell>
          <cell r="I83">
            <v>0</v>
          </cell>
          <cell r="J83">
            <v>0</v>
          </cell>
          <cell r="L83">
            <v>25</v>
          </cell>
          <cell r="M83">
            <v>-17</v>
          </cell>
          <cell r="O83">
            <v>0</v>
          </cell>
          <cell r="P83">
            <v>0</v>
          </cell>
          <cell r="Q83">
            <v>0</v>
          </cell>
          <cell r="R83">
            <v>1.6</v>
          </cell>
          <cell r="U83">
            <v>0</v>
          </cell>
          <cell r="V83">
            <v>64.375</v>
          </cell>
          <cell r="W83">
            <v>64.375</v>
          </cell>
          <cell r="X83">
            <v>10.8</v>
          </cell>
          <cell r="Y83">
            <v>9.1999999999999993</v>
          </cell>
          <cell r="Z83">
            <v>11.6</v>
          </cell>
          <cell r="AA83">
            <v>1</v>
          </cell>
          <cell r="AB83" t="e">
            <v>#N/A</v>
          </cell>
        </row>
        <row r="84">
          <cell r="A84" t="str">
            <v xml:space="preserve"> 408  Ветчина Сливушка с индейкой ТМ Вязанка, 0,4кг  ПОКОМ</v>
          </cell>
          <cell r="B84" t="str">
            <v>шт</v>
          </cell>
          <cell r="C84">
            <v>202</v>
          </cell>
          <cell r="E84">
            <v>123</v>
          </cell>
          <cell r="F84">
            <v>73</v>
          </cell>
          <cell r="G84" t="str">
            <v>P004586</v>
          </cell>
          <cell r="H84">
            <v>0.4</v>
          </cell>
          <cell r="I84">
            <v>50</v>
          </cell>
          <cell r="J84" t="str">
            <v>матрица</v>
          </cell>
          <cell r="L84">
            <v>125</v>
          </cell>
          <cell r="M84">
            <v>-2</v>
          </cell>
          <cell r="O84">
            <v>0</v>
          </cell>
          <cell r="P84">
            <v>0</v>
          </cell>
          <cell r="Q84">
            <v>50</v>
          </cell>
          <cell r="R84">
            <v>24.6</v>
          </cell>
          <cell r="S84">
            <v>150</v>
          </cell>
          <cell r="U84">
            <v>0</v>
          </cell>
          <cell r="V84">
            <v>11.097560975609756</v>
          </cell>
          <cell r="W84">
            <v>2.9674796747967478</v>
          </cell>
          <cell r="X84">
            <v>18.600000000000001</v>
          </cell>
          <cell r="Y84">
            <v>13.4</v>
          </cell>
          <cell r="Z84">
            <v>8.4</v>
          </cell>
          <cell r="AA84">
            <v>16.2</v>
          </cell>
          <cell r="AB84">
            <v>0</v>
          </cell>
        </row>
        <row r="85">
          <cell r="A85" t="str">
            <v xml:space="preserve"> 410  Сосиски Баварские с сыром ТМ Стародворье 0,35 кг. ПОКОМ</v>
          </cell>
          <cell r="B85" t="str">
            <v>шт</v>
          </cell>
          <cell r="C85">
            <v>1</v>
          </cell>
          <cell r="D85">
            <v>114</v>
          </cell>
          <cell r="E85">
            <v>27</v>
          </cell>
          <cell r="F85">
            <v>88</v>
          </cell>
          <cell r="G85" t="str">
            <v>P003364</v>
          </cell>
          <cell r="H85">
            <v>0.35</v>
          </cell>
          <cell r="I85">
            <v>0</v>
          </cell>
          <cell r="J85" t="str">
            <v>матрица</v>
          </cell>
          <cell r="L85">
            <v>26</v>
          </cell>
          <cell r="M85">
            <v>1</v>
          </cell>
          <cell r="O85">
            <v>0</v>
          </cell>
          <cell r="P85">
            <v>0</v>
          </cell>
          <cell r="Q85">
            <v>0</v>
          </cell>
          <cell r="R85">
            <v>5.4</v>
          </cell>
          <cell r="U85">
            <v>0</v>
          </cell>
          <cell r="V85">
            <v>16.296296296296294</v>
          </cell>
          <cell r="W85">
            <v>16.296296296296294</v>
          </cell>
          <cell r="X85">
            <v>2.8</v>
          </cell>
          <cell r="Y85">
            <v>5.4</v>
          </cell>
          <cell r="Z85">
            <v>5.8</v>
          </cell>
          <cell r="AA85">
            <v>0.6</v>
          </cell>
          <cell r="AB85" t="str">
            <v>новинка / ТМА февраль</v>
          </cell>
        </row>
        <row r="86">
          <cell r="A86" t="str">
            <v xml:space="preserve"> 412  Сосиски Баварские ТМ Стародворье 0,35 кг ПОКОМ</v>
          </cell>
          <cell r="B86" t="str">
            <v>шт</v>
          </cell>
          <cell r="C86">
            <v>108</v>
          </cell>
          <cell r="E86">
            <v>34</v>
          </cell>
          <cell r="F86">
            <v>64</v>
          </cell>
          <cell r="G86" t="str">
            <v>P003363</v>
          </cell>
          <cell r="H86">
            <v>0.35</v>
          </cell>
          <cell r="I86">
            <v>0</v>
          </cell>
          <cell r="J86" t="str">
            <v>матрица</v>
          </cell>
          <cell r="L86">
            <v>34</v>
          </cell>
          <cell r="M86">
            <v>0</v>
          </cell>
          <cell r="O86">
            <v>0</v>
          </cell>
          <cell r="P86">
            <v>0</v>
          </cell>
          <cell r="Q86">
            <v>0</v>
          </cell>
          <cell r="R86">
            <v>6.8</v>
          </cell>
          <cell r="U86">
            <v>0</v>
          </cell>
          <cell r="V86">
            <v>9.4117647058823533</v>
          </cell>
          <cell r="W86">
            <v>9.4117647058823533</v>
          </cell>
          <cell r="X86">
            <v>8.6</v>
          </cell>
          <cell r="Y86">
            <v>10.8</v>
          </cell>
          <cell r="Z86">
            <v>-2.2000000000000002</v>
          </cell>
          <cell r="AA86">
            <v>4</v>
          </cell>
          <cell r="AB86" t="str">
            <v>ТМА ПРОДОЛЖЕНИЕ Апрель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B87" t="str">
            <v>шт</v>
          </cell>
          <cell r="C87">
            <v>121</v>
          </cell>
          <cell r="E87">
            <v>74</v>
          </cell>
          <cell r="F87">
            <v>36</v>
          </cell>
          <cell r="G87" t="str">
            <v>P004067</v>
          </cell>
          <cell r="H87">
            <v>0.4</v>
          </cell>
          <cell r="I87">
            <v>55</v>
          </cell>
          <cell r="J87" t="str">
            <v>матрица</v>
          </cell>
          <cell r="L87">
            <v>75</v>
          </cell>
          <cell r="M87">
            <v>-1</v>
          </cell>
          <cell r="O87">
            <v>0</v>
          </cell>
          <cell r="P87">
            <v>0</v>
          </cell>
          <cell r="Q87">
            <v>60</v>
          </cell>
          <cell r="R87">
            <v>14.8</v>
          </cell>
          <cell r="S87">
            <v>70</v>
          </cell>
          <cell r="U87">
            <v>0</v>
          </cell>
          <cell r="V87">
            <v>11.216216216216216</v>
          </cell>
          <cell r="W87">
            <v>2.4324324324324325</v>
          </cell>
          <cell r="X87">
            <v>17.600000000000001</v>
          </cell>
          <cell r="Y87">
            <v>11.8</v>
          </cell>
          <cell r="Z87">
            <v>6.6</v>
          </cell>
          <cell r="AA87">
            <v>11.4</v>
          </cell>
          <cell r="AB87" t="str">
            <v>увел продажи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B88" t="str">
            <v>кг</v>
          </cell>
          <cell r="C88">
            <v>28.911999999999999</v>
          </cell>
          <cell r="E88">
            <v>18.914000000000001</v>
          </cell>
          <cell r="F88">
            <v>4.2</v>
          </cell>
          <cell r="G88" t="str">
            <v>P004070</v>
          </cell>
          <cell r="H88">
            <v>1</v>
          </cell>
          <cell r="I88">
            <v>55</v>
          </cell>
          <cell r="J88" t="str">
            <v>матрица</v>
          </cell>
          <cell r="L88">
            <v>19.5</v>
          </cell>
          <cell r="M88">
            <v>-0.58599999999999852</v>
          </cell>
          <cell r="O88">
            <v>0</v>
          </cell>
          <cell r="P88">
            <v>0</v>
          </cell>
          <cell r="Q88">
            <v>10</v>
          </cell>
          <cell r="R88">
            <v>3.7828000000000004</v>
          </cell>
          <cell r="U88">
            <v>0</v>
          </cell>
          <cell r="V88">
            <v>3.7538331394734055</v>
          </cell>
          <cell r="W88">
            <v>1.1102886750555143</v>
          </cell>
          <cell r="X88">
            <v>3.7688000000000001</v>
          </cell>
          <cell r="Y88">
            <v>2.5911999999999997</v>
          </cell>
          <cell r="Z88">
            <v>1.4444000000000001</v>
          </cell>
          <cell r="AA88">
            <v>2.3452000000000002</v>
          </cell>
          <cell r="AB88" t="str">
            <v>увел продажи</v>
          </cell>
        </row>
        <row r="89">
          <cell r="A89" t="str">
            <v xml:space="preserve"> 449  Колбаса Дугушка Стародворская ВЕС ТС Дугушка ПОКОМ</v>
          </cell>
          <cell r="B89" t="str">
            <v>кг</v>
          </cell>
          <cell r="C89">
            <v>423.096</v>
          </cell>
          <cell r="D89">
            <v>72.13</v>
          </cell>
          <cell r="E89">
            <v>244.56</v>
          </cell>
          <cell r="F89">
            <v>216.23</v>
          </cell>
          <cell r="G89" t="str">
            <v>P002989</v>
          </cell>
          <cell r="H89">
            <v>1</v>
          </cell>
          <cell r="I89">
            <v>60</v>
          </cell>
          <cell r="J89" t="str">
            <v>матрица</v>
          </cell>
          <cell r="L89">
            <v>243.2</v>
          </cell>
          <cell r="M89">
            <v>1.3600000000000136</v>
          </cell>
          <cell r="O89">
            <v>0</v>
          </cell>
          <cell r="P89">
            <v>0</v>
          </cell>
          <cell r="Q89">
            <v>250</v>
          </cell>
          <cell r="R89">
            <v>48.911999999999999</v>
          </cell>
          <cell r="S89">
            <v>70</v>
          </cell>
          <cell r="U89">
            <v>0</v>
          </cell>
          <cell r="V89">
            <v>10.963158325155382</v>
          </cell>
          <cell r="W89">
            <v>4.4207965325482501</v>
          </cell>
          <cell r="X89">
            <v>40.016800000000003</v>
          </cell>
          <cell r="Y89">
            <v>60.118399999999994</v>
          </cell>
          <cell r="Z89">
            <v>37.101199999999999</v>
          </cell>
          <cell r="AA89">
            <v>50.4236</v>
          </cell>
          <cell r="AB89" t="str">
            <v>ТМА ПРОДОЛЖЕНИЕ МАРТ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1360.7349999999999</v>
          </cell>
          <cell r="D90">
            <v>1296.2760000000001</v>
          </cell>
          <cell r="E90">
            <v>1970.9639999999999</v>
          </cell>
          <cell r="F90">
            <v>390.85199999999998</v>
          </cell>
          <cell r="G90" t="str">
            <v>P004257</v>
          </cell>
          <cell r="H90">
            <v>1</v>
          </cell>
          <cell r="I90">
            <v>60</v>
          </cell>
          <cell r="J90" t="str">
            <v>матрица</v>
          </cell>
          <cell r="L90">
            <v>1936.5</v>
          </cell>
          <cell r="M90">
            <v>34.463999999999942</v>
          </cell>
          <cell r="O90">
            <v>700</v>
          </cell>
          <cell r="P90">
            <v>500</v>
          </cell>
          <cell r="Q90">
            <v>1500</v>
          </cell>
          <cell r="R90">
            <v>394.19279999999998</v>
          </cell>
          <cell r="S90">
            <v>1300</v>
          </cell>
          <cell r="U90">
            <v>0</v>
          </cell>
          <cell r="V90">
            <v>11.138843733320344</v>
          </cell>
          <cell r="W90">
            <v>0.9915249593599883</v>
          </cell>
          <cell r="X90">
            <v>315.7912</v>
          </cell>
          <cell r="Y90">
            <v>305.68600000000004</v>
          </cell>
          <cell r="Z90">
            <v>298.39520000000005</v>
          </cell>
          <cell r="AA90">
            <v>364.94259999999997</v>
          </cell>
          <cell r="AB90" t="str">
            <v>ТМА ПРОДОЛЖЕНИЕ Апрель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1017.05</v>
          </cell>
          <cell r="D91">
            <v>1448.729</v>
          </cell>
          <cell r="E91">
            <v>1502.8889999999999</v>
          </cell>
          <cell r="F91">
            <v>760.87400000000002</v>
          </cell>
          <cell r="G91" t="str">
            <v>P004252</v>
          </cell>
          <cell r="H91">
            <v>1</v>
          </cell>
          <cell r="I91">
            <v>60</v>
          </cell>
          <cell r="J91" t="str">
            <v>матрица</v>
          </cell>
          <cell r="L91">
            <v>2.5</v>
          </cell>
          <cell r="M91">
            <v>1500.3889999999999</v>
          </cell>
          <cell r="O91">
            <v>250</v>
          </cell>
          <cell r="P91">
            <v>500</v>
          </cell>
          <cell r="Q91">
            <v>600</v>
          </cell>
          <cell r="R91">
            <v>300.57779999999997</v>
          </cell>
          <cell r="S91">
            <v>1500</v>
          </cell>
          <cell r="U91">
            <v>0</v>
          </cell>
          <cell r="V91">
            <v>12.013109417927739</v>
          </cell>
          <cell r="W91">
            <v>2.5313712456475499</v>
          </cell>
          <cell r="X91">
            <v>195.42419999999998</v>
          </cell>
          <cell r="Y91">
            <v>215.18980000000002</v>
          </cell>
          <cell r="Z91">
            <v>199.94980000000001</v>
          </cell>
          <cell r="AA91">
            <v>259.17040000000003</v>
          </cell>
          <cell r="AB91" t="str">
            <v>ТМА ПРОДОЛЖЕНИЕ Апрель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2140.8609999999999</v>
          </cell>
          <cell r="D92">
            <v>2850.2689999999998</v>
          </cell>
          <cell r="E92">
            <v>2922.2109999999998</v>
          </cell>
          <cell r="F92">
            <v>1566.046</v>
          </cell>
          <cell r="G92" t="str">
            <v>P004256</v>
          </cell>
          <cell r="H92">
            <v>1</v>
          </cell>
          <cell r="I92">
            <v>60</v>
          </cell>
          <cell r="J92" t="str">
            <v>матрица</v>
          </cell>
          <cell r="L92">
            <v>7.5</v>
          </cell>
          <cell r="M92">
            <v>2914.7109999999998</v>
          </cell>
          <cell r="O92">
            <v>600</v>
          </cell>
          <cell r="P92">
            <v>500</v>
          </cell>
          <cell r="Q92">
            <v>1950</v>
          </cell>
          <cell r="R92">
            <v>584.44219999999996</v>
          </cell>
          <cell r="S92">
            <v>2200</v>
          </cell>
          <cell r="U92">
            <v>0</v>
          </cell>
          <cell r="V92">
            <v>11.662480909147218</v>
          </cell>
          <cell r="W92">
            <v>2.6795566781454183</v>
          </cell>
          <cell r="X92">
            <v>457.28120000000001</v>
          </cell>
          <cell r="Y92">
            <v>479.43520000000001</v>
          </cell>
          <cell r="Z92">
            <v>517.31659999999999</v>
          </cell>
          <cell r="AA92">
            <v>528.50659999999993</v>
          </cell>
          <cell r="AB92" t="str">
            <v>ТМА ПРОДОЛЖЕНИЕ Апрель</v>
          </cell>
        </row>
        <row r="93">
          <cell r="A93" t="str">
            <v xml:space="preserve"> 498  Колбаса Сочинка рубленая с сочным окороком 0,3кг ТМ Стародворье  ПОКОМ</v>
          </cell>
          <cell r="B93" t="str">
            <v>шт</v>
          </cell>
          <cell r="C93">
            <v>75</v>
          </cell>
          <cell r="D93">
            <v>162</v>
          </cell>
          <cell r="E93">
            <v>119</v>
          </cell>
          <cell r="F93">
            <v>90</v>
          </cell>
          <cell r="G93" t="str">
            <v>P003390</v>
          </cell>
          <cell r="H93">
            <v>0.3</v>
          </cell>
          <cell r="I93">
            <v>40</v>
          </cell>
          <cell r="J93" t="str">
            <v>матрица</v>
          </cell>
          <cell r="L93">
            <v>197.2</v>
          </cell>
          <cell r="M93">
            <v>-78.199999999999989</v>
          </cell>
          <cell r="O93">
            <v>0</v>
          </cell>
          <cell r="P93">
            <v>0</v>
          </cell>
          <cell r="Q93">
            <v>120</v>
          </cell>
          <cell r="R93">
            <v>23.8</v>
          </cell>
          <cell r="U93">
            <v>0</v>
          </cell>
          <cell r="V93">
            <v>8.8235294117647047</v>
          </cell>
          <cell r="W93">
            <v>3.7815126050420167</v>
          </cell>
          <cell r="X93">
            <v>29.6</v>
          </cell>
          <cell r="Y93">
            <v>24</v>
          </cell>
          <cell r="Z93">
            <v>24.4</v>
          </cell>
          <cell r="AA93">
            <v>24</v>
          </cell>
          <cell r="AB93" t="str">
            <v>ТМА февраль</v>
          </cell>
        </row>
        <row r="94">
          <cell r="A94" t="str">
            <v xml:space="preserve"> 523  Колбаса Сальчичон нарезка 0,07кг ТМ Стародворье  ПОКОМ </v>
          </cell>
          <cell r="B94" t="str">
            <v>шт</v>
          </cell>
          <cell r="C94">
            <v>95</v>
          </cell>
          <cell r="D94">
            <v>3</v>
          </cell>
          <cell r="E94">
            <v>63</v>
          </cell>
          <cell r="F94">
            <v>30</v>
          </cell>
          <cell r="G94" t="str">
            <v>P004978</v>
          </cell>
          <cell r="H94">
            <v>7.0000000000000007E-2</v>
          </cell>
          <cell r="I94">
            <v>90</v>
          </cell>
          <cell r="J94" t="str">
            <v>матрица</v>
          </cell>
          <cell r="L94">
            <v>64</v>
          </cell>
          <cell r="M94">
            <v>-1</v>
          </cell>
          <cell r="O94">
            <v>0</v>
          </cell>
          <cell r="P94">
            <v>0</v>
          </cell>
          <cell r="Q94">
            <v>30</v>
          </cell>
          <cell r="R94">
            <v>12.6</v>
          </cell>
          <cell r="S94">
            <v>100</v>
          </cell>
          <cell r="T94">
            <v>100</v>
          </cell>
          <cell r="U94">
            <v>0</v>
          </cell>
          <cell r="V94">
            <v>12.698412698412699</v>
          </cell>
          <cell r="W94">
            <v>2.3809523809523809</v>
          </cell>
          <cell r="X94">
            <v>17.600000000000001</v>
          </cell>
          <cell r="Y94">
            <v>9.1999999999999993</v>
          </cell>
          <cell r="Z94">
            <v>7.6</v>
          </cell>
          <cell r="AA94">
            <v>8.4</v>
          </cell>
          <cell r="AB94">
            <v>0</v>
          </cell>
        </row>
        <row r="95">
          <cell r="A95" t="str">
            <v xml:space="preserve"> 524  Колбаса Сервелат Ореховый нарезка 0,07кг ТМ Стародворье  ПОКОМ</v>
          </cell>
          <cell r="B95" t="str">
            <v>шт</v>
          </cell>
          <cell r="C95">
            <v>10</v>
          </cell>
          <cell r="E95">
            <v>3</v>
          </cell>
          <cell r="G95" t="str">
            <v>P004979</v>
          </cell>
          <cell r="H95">
            <v>7.0000000000000007E-2</v>
          </cell>
          <cell r="I95">
            <v>90</v>
          </cell>
          <cell r="J95" t="str">
            <v>матрица</v>
          </cell>
          <cell r="L95">
            <v>3</v>
          </cell>
          <cell r="M95">
            <v>0</v>
          </cell>
          <cell r="O95">
            <v>0</v>
          </cell>
          <cell r="P95">
            <v>0</v>
          </cell>
          <cell r="Q95">
            <v>80</v>
          </cell>
          <cell r="R95">
            <v>0.6</v>
          </cell>
          <cell r="S95">
            <v>20</v>
          </cell>
          <cell r="T95">
            <v>20</v>
          </cell>
          <cell r="U95">
            <v>0</v>
          </cell>
          <cell r="V95">
            <v>166.66666666666669</v>
          </cell>
          <cell r="W95">
            <v>0</v>
          </cell>
          <cell r="X95">
            <v>17.8</v>
          </cell>
          <cell r="Y95">
            <v>6.8</v>
          </cell>
          <cell r="Z95">
            <v>8</v>
          </cell>
          <cell r="AA95">
            <v>4.8</v>
          </cell>
          <cell r="AB95">
            <v>0</v>
          </cell>
        </row>
        <row r="96">
          <cell r="A96" t="str">
            <v xml:space="preserve"> 525  Колбаса Фуэт нарезка 0,07кг ТМ Стародворье  ПОКОМ</v>
          </cell>
          <cell r="B96" t="str">
            <v>шт</v>
          </cell>
          <cell r="C96">
            <v>82</v>
          </cell>
          <cell r="E96">
            <v>49</v>
          </cell>
          <cell r="F96">
            <v>29</v>
          </cell>
          <cell r="G96" t="str">
            <v>P004982</v>
          </cell>
          <cell r="H96">
            <v>7.0000000000000007E-2</v>
          </cell>
          <cell r="I96">
            <v>90</v>
          </cell>
          <cell r="J96" t="str">
            <v>матрица</v>
          </cell>
          <cell r="L96">
            <v>49</v>
          </cell>
          <cell r="M96">
            <v>0</v>
          </cell>
          <cell r="O96">
            <v>0</v>
          </cell>
          <cell r="P96">
            <v>0</v>
          </cell>
          <cell r="Q96">
            <v>30</v>
          </cell>
          <cell r="R96">
            <v>9.8000000000000007</v>
          </cell>
          <cell r="S96">
            <v>30</v>
          </cell>
          <cell r="T96">
            <v>30</v>
          </cell>
          <cell r="U96">
            <v>0</v>
          </cell>
          <cell r="V96">
            <v>9.0816326530612237</v>
          </cell>
          <cell r="W96">
            <v>2.9591836734693877</v>
          </cell>
          <cell r="X96">
            <v>11.6</v>
          </cell>
          <cell r="Y96">
            <v>7.6</v>
          </cell>
          <cell r="Z96">
            <v>7.4</v>
          </cell>
          <cell r="AA96">
            <v>6.8</v>
          </cell>
          <cell r="AB96" t="str">
            <v>увел продажи</v>
          </cell>
        </row>
        <row r="97">
          <cell r="A97" t="str">
            <v xml:space="preserve"> 526  Корейка вяленая выдержанная нарезка 0,05кг ТМ Стародворье  ПОКОМ</v>
          </cell>
          <cell r="B97" t="str">
            <v>шт</v>
          </cell>
          <cell r="C97">
            <v>64</v>
          </cell>
          <cell r="D97">
            <v>3</v>
          </cell>
          <cell r="E97">
            <v>53</v>
          </cell>
          <cell r="F97">
            <v>1</v>
          </cell>
          <cell r="G97" t="str">
            <v>P005023</v>
          </cell>
          <cell r="H97">
            <v>0.05</v>
          </cell>
          <cell r="I97">
            <v>90</v>
          </cell>
          <cell r="J97" t="str">
            <v>выв08,05,</v>
          </cell>
          <cell r="L97">
            <v>61</v>
          </cell>
          <cell r="M97">
            <v>-8</v>
          </cell>
          <cell r="O97">
            <v>0</v>
          </cell>
          <cell r="P97">
            <v>0</v>
          </cell>
          <cell r="Q97">
            <v>90</v>
          </cell>
          <cell r="R97">
            <v>10.6</v>
          </cell>
          <cell r="S97">
            <v>20</v>
          </cell>
          <cell r="T97">
            <v>20</v>
          </cell>
          <cell r="U97">
            <v>0</v>
          </cell>
          <cell r="V97">
            <v>10.471698113207548</v>
          </cell>
          <cell r="W97">
            <v>9.4339622641509441E-2</v>
          </cell>
          <cell r="X97">
            <v>10.6</v>
          </cell>
          <cell r="Y97">
            <v>9.4</v>
          </cell>
          <cell r="Z97">
            <v>6</v>
          </cell>
          <cell r="AA97">
            <v>10.4</v>
          </cell>
          <cell r="AB97" t="str">
            <v>увел продажи</v>
          </cell>
        </row>
        <row r="98">
          <cell r="A98" t="str">
            <v xml:space="preserve"> 527  Окорок Прошутто выдержанный нарезка 0,055кг ТМ Стародворье  ПОКОМ</v>
          </cell>
          <cell r="B98" t="str">
            <v>шт</v>
          </cell>
          <cell r="C98">
            <v>46</v>
          </cell>
          <cell r="D98">
            <v>72</v>
          </cell>
          <cell r="E98">
            <v>43</v>
          </cell>
          <cell r="F98">
            <v>68</v>
          </cell>
          <cell r="G98" t="str">
            <v>P005022</v>
          </cell>
          <cell r="H98">
            <v>5.5E-2</v>
          </cell>
          <cell r="I98">
            <v>90</v>
          </cell>
          <cell r="J98" t="str">
            <v>матрица</v>
          </cell>
          <cell r="L98">
            <v>44</v>
          </cell>
          <cell r="M98">
            <v>-1</v>
          </cell>
          <cell r="O98">
            <v>0</v>
          </cell>
          <cell r="P98">
            <v>0</v>
          </cell>
          <cell r="Q98">
            <v>0</v>
          </cell>
          <cell r="R98">
            <v>8.6</v>
          </cell>
          <cell r="U98">
            <v>0</v>
          </cell>
          <cell r="V98">
            <v>7.9069767441860472</v>
          </cell>
          <cell r="W98">
            <v>7.9069767441860472</v>
          </cell>
          <cell r="X98">
            <v>12.6</v>
          </cell>
          <cell r="Y98">
            <v>11.8</v>
          </cell>
          <cell r="Z98">
            <v>11</v>
          </cell>
          <cell r="AA98">
            <v>7</v>
          </cell>
          <cell r="AB98">
            <v>0</v>
          </cell>
        </row>
        <row r="99">
          <cell r="A99" t="str">
            <v xml:space="preserve"> 530  Окорок Хамон выдержанный нарезка 0,055кг ТМ Стародворье  ПОКОМ</v>
          </cell>
          <cell r="B99" t="str">
            <v>шт</v>
          </cell>
          <cell r="D99">
            <v>126</v>
          </cell>
          <cell r="E99">
            <v>0</v>
          </cell>
          <cell r="F99">
            <v>122</v>
          </cell>
          <cell r="G99" t="str">
            <v>P005021</v>
          </cell>
          <cell r="H99">
            <v>5.5E-2</v>
          </cell>
          <cell r="I99">
            <v>90</v>
          </cell>
          <cell r="J99" t="str">
            <v>выв08,05,</v>
          </cell>
          <cell r="L99">
            <v>4</v>
          </cell>
          <cell r="M99">
            <v>-4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U99">
            <v>0</v>
          </cell>
          <cell r="V99" t="e">
            <v>#DIV/0!</v>
          </cell>
          <cell r="W99" t="e">
            <v>#DIV/0!</v>
          </cell>
          <cell r="X99">
            <v>10.8</v>
          </cell>
          <cell r="Y99">
            <v>7.4</v>
          </cell>
          <cell r="Z99">
            <v>11.2</v>
          </cell>
          <cell r="AA99">
            <v>0.8</v>
          </cell>
          <cell r="AB99" t="str">
            <v>увел продажи</v>
          </cell>
        </row>
        <row r="100">
          <cell r="A100" t="str">
            <v xml:space="preserve"> 553  Ассорти колбас Мясорубская коллекция: Сервелат Делюкс, С балыком 0,08 кг нарезка  ПОКОМ</v>
          </cell>
          <cell r="B100" t="str">
            <v>шт</v>
          </cell>
          <cell r="C100">
            <v>7</v>
          </cell>
          <cell r="D100">
            <v>113</v>
          </cell>
          <cell r="E100">
            <v>24</v>
          </cell>
          <cell r="F100">
            <v>89</v>
          </cell>
          <cell r="G100" t="str">
            <v>P005155</v>
          </cell>
          <cell r="H100">
            <v>0.08</v>
          </cell>
          <cell r="I100">
            <v>0</v>
          </cell>
          <cell r="J100">
            <v>0</v>
          </cell>
          <cell r="L100">
            <v>35</v>
          </cell>
          <cell r="M100">
            <v>-11</v>
          </cell>
          <cell r="O100">
            <v>20</v>
          </cell>
          <cell r="P100">
            <v>0</v>
          </cell>
          <cell r="Q100">
            <v>0</v>
          </cell>
          <cell r="R100">
            <v>4.8</v>
          </cell>
          <cell r="U100">
            <v>0</v>
          </cell>
          <cell r="V100">
            <v>22.708333333333336</v>
          </cell>
          <cell r="W100">
            <v>18.541666666666668</v>
          </cell>
          <cell r="X100">
            <v>7.8</v>
          </cell>
          <cell r="Y100">
            <v>10.8</v>
          </cell>
          <cell r="Z100">
            <v>13.2</v>
          </cell>
          <cell r="AA100">
            <v>6.2</v>
          </cell>
          <cell r="AB100" t="str">
            <v>сроки</v>
          </cell>
        </row>
        <row r="101">
          <cell r="A101" t="str">
            <v xml:space="preserve"> 554  Колбаса Сервелат Мясорубский ТМ Стародворье в упаковке скин 0,08 кг нарезка  ПОКОМ</v>
          </cell>
          <cell r="B101" t="str">
            <v>шт</v>
          </cell>
          <cell r="C101">
            <v>13</v>
          </cell>
          <cell r="D101">
            <v>333</v>
          </cell>
          <cell r="E101">
            <v>49</v>
          </cell>
          <cell r="F101">
            <v>286</v>
          </cell>
          <cell r="G101" t="str">
            <v>P003837</v>
          </cell>
          <cell r="H101">
            <v>0.08</v>
          </cell>
          <cell r="I101">
            <v>0</v>
          </cell>
          <cell r="J101">
            <v>0</v>
          </cell>
          <cell r="L101">
            <v>51</v>
          </cell>
          <cell r="M101">
            <v>-2</v>
          </cell>
          <cell r="O101">
            <v>0</v>
          </cell>
          <cell r="P101">
            <v>0</v>
          </cell>
          <cell r="Q101">
            <v>0</v>
          </cell>
          <cell r="R101">
            <v>9.8000000000000007</v>
          </cell>
          <cell r="U101">
            <v>0</v>
          </cell>
          <cell r="V101">
            <v>29.183673469387752</v>
          </cell>
          <cell r="W101">
            <v>29.183673469387752</v>
          </cell>
          <cell r="X101">
            <v>11.2</v>
          </cell>
          <cell r="Y101">
            <v>10.6</v>
          </cell>
          <cell r="Z101">
            <v>16</v>
          </cell>
          <cell r="AA101">
            <v>6.4</v>
          </cell>
          <cell r="AB101" t="e">
            <v>#N/A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185.35599999999999</v>
          </cell>
          <cell r="D102">
            <v>137.023</v>
          </cell>
          <cell r="E102">
            <v>254.05799999999999</v>
          </cell>
          <cell r="F102">
            <v>32.195</v>
          </cell>
          <cell r="G102" t="str">
            <v>P005376</v>
          </cell>
          <cell r="H102">
            <v>1</v>
          </cell>
          <cell r="I102">
            <v>0</v>
          </cell>
          <cell r="J102" t="e">
            <v>#N/A</v>
          </cell>
          <cell r="L102">
            <v>253.3</v>
          </cell>
          <cell r="M102">
            <v>0.75799999999998136</v>
          </cell>
          <cell r="O102">
            <v>50</v>
          </cell>
          <cell r="P102">
            <v>0</v>
          </cell>
          <cell r="Q102">
            <v>300</v>
          </cell>
          <cell r="R102">
            <v>50.811599999999999</v>
          </cell>
          <cell r="S102">
            <v>240</v>
          </cell>
          <cell r="T102">
            <v>240</v>
          </cell>
          <cell r="U102" t="str">
            <v>Промо</v>
          </cell>
          <cell r="V102">
            <v>12.245136937234804</v>
          </cell>
          <cell r="W102">
            <v>0.63361515874327912</v>
          </cell>
          <cell r="X102">
            <v>33.325800000000001</v>
          </cell>
          <cell r="Y102">
            <v>26.247199999999999</v>
          </cell>
          <cell r="Z102">
            <v>31.838200000000001</v>
          </cell>
          <cell r="AA102">
            <v>41.034800000000004</v>
          </cell>
          <cell r="AB102" t="e">
            <v>#N/A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156.32400000000001</v>
          </cell>
          <cell r="D103">
            <v>333.65300000000002</v>
          </cell>
          <cell r="E103">
            <v>264.53800000000001</v>
          </cell>
          <cell r="F103">
            <v>189.185</v>
          </cell>
          <cell r="G103" t="str">
            <v>P005377</v>
          </cell>
          <cell r="H103">
            <v>1</v>
          </cell>
          <cell r="I103" t="e">
            <v>#N/A</v>
          </cell>
          <cell r="J103" t="e">
            <v>#N/A</v>
          </cell>
          <cell r="L103">
            <v>269.85000000000002</v>
          </cell>
          <cell r="M103">
            <v>-5.3120000000000118</v>
          </cell>
          <cell r="O103">
            <v>50</v>
          </cell>
          <cell r="P103">
            <v>0</v>
          </cell>
          <cell r="Q103">
            <v>300</v>
          </cell>
          <cell r="R103">
            <v>52.907600000000002</v>
          </cell>
          <cell r="S103">
            <v>80</v>
          </cell>
          <cell r="T103">
            <v>80</v>
          </cell>
          <cell r="U103" t="str">
            <v>Промо</v>
          </cell>
          <cell r="V103">
            <v>11.703139057526705</v>
          </cell>
          <cell r="W103">
            <v>3.5757622723389457</v>
          </cell>
          <cell r="X103">
            <v>0</v>
          </cell>
          <cell r="Y103">
            <v>18.970800000000001</v>
          </cell>
          <cell r="Z103">
            <v>20.991399999999999</v>
          </cell>
          <cell r="AA103">
            <v>41.221800000000002</v>
          </cell>
          <cell r="AB103" t="e">
            <v>#N/A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C104">
            <v>140.77799999999999</v>
          </cell>
          <cell r="D104">
            <v>284.72199999999998</v>
          </cell>
          <cell r="E104">
            <v>288.02600000000001</v>
          </cell>
          <cell r="F104">
            <v>90.796999999999997</v>
          </cell>
          <cell r="G104" t="str">
            <v>P005375</v>
          </cell>
          <cell r="H104">
            <v>1</v>
          </cell>
          <cell r="I104">
            <v>0</v>
          </cell>
          <cell r="J104" t="e">
            <v>#N/A</v>
          </cell>
          <cell r="L104">
            <v>298.81</v>
          </cell>
          <cell r="M104">
            <v>-10.783999999999992</v>
          </cell>
          <cell r="O104">
            <v>50</v>
          </cell>
          <cell r="P104">
            <v>0</v>
          </cell>
          <cell r="Q104">
            <v>380</v>
          </cell>
          <cell r="R104">
            <v>57.605200000000004</v>
          </cell>
          <cell r="S104">
            <v>110</v>
          </cell>
          <cell r="U104">
            <v>0</v>
          </cell>
          <cell r="V104">
            <v>10.950348232451237</v>
          </cell>
          <cell r="W104">
            <v>1.5761945102178274</v>
          </cell>
          <cell r="X104">
            <v>38.472799999999999</v>
          </cell>
          <cell r="Y104">
            <v>38.055599999999998</v>
          </cell>
          <cell r="Z104">
            <v>43.321600000000004</v>
          </cell>
          <cell r="AA104">
            <v>44.475000000000001</v>
          </cell>
          <cell r="AB104" t="e">
            <v>#N/A</v>
          </cell>
        </row>
        <row r="105">
          <cell r="A105" t="str">
            <v xml:space="preserve"> 569  Колбаса Балыковая ТМ Вязанка в оболочке фиброуз в вакуумной упаковке 0,28 кг срез.  ПОКОМ</v>
          </cell>
          <cell r="B105" t="str">
            <v>шт</v>
          </cell>
          <cell r="C105">
            <v>205</v>
          </cell>
          <cell r="D105">
            <v>2</v>
          </cell>
          <cell r="E105">
            <v>149</v>
          </cell>
          <cell r="F105">
            <v>-3</v>
          </cell>
          <cell r="G105" t="str">
            <v>P005163</v>
          </cell>
          <cell r="H105">
            <v>0.28000000000000003</v>
          </cell>
          <cell r="I105">
            <v>0</v>
          </cell>
          <cell r="J105" t="e">
            <v>#N/A</v>
          </cell>
          <cell r="L105">
            <v>193</v>
          </cell>
          <cell r="M105">
            <v>-44</v>
          </cell>
          <cell r="O105">
            <v>120</v>
          </cell>
          <cell r="P105">
            <v>0</v>
          </cell>
          <cell r="Q105">
            <v>400</v>
          </cell>
          <cell r="R105">
            <v>29.8</v>
          </cell>
          <cell r="U105">
            <v>0</v>
          </cell>
          <cell r="V105">
            <v>17.348993288590602</v>
          </cell>
          <cell r="W105">
            <v>-0.10067114093959731</v>
          </cell>
          <cell r="X105">
            <v>51.4</v>
          </cell>
          <cell r="Y105">
            <v>47.4</v>
          </cell>
          <cell r="Z105">
            <v>35.4</v>
          </cell>
          <cell r="AA105">
            <v>46.2</v>
          </cell>
          <cell r="AB105" t="e">
            <v>#N/A</v>
          </cell>
        </row>
        <row r="106">
          <cell r="A106" t="str">
            <v xml:space="preserve"> 571  Колбаса Сервелат Ореховый ТМ Вязанка в оболочке фиброуз в вак. упаковке 0,28 кг срез  ПОКОМ</v>
          </cell>
          <cell r="B106" t="str">
            <v>шт</v>
          </cell>
          <cell r="C106">
            <v>221</v>
          </cell>
          <cell r="D106">
            <v>75</v>
          </cell>
          <cell r="E106">
            <v>207</v>
          </cell>
          <cell r="F106">
            <v>38</v>
          </cell>
          <cell r="G106" t="str">
            <v>P005166</v>
          </cell>
          <cell r="H106">
            <v>0.28000000000000003</v>
          </cell>
          <cell r="I106">
            <v>0</v>
          </cell>
          <cell r="J106" t="e">
            <v>#N/A</v>
          </cell>
          <cell r="L106">
            <v>213</v>
          </cell>
          <cell r="M106">
            <v>-6</v>
          </cell>
          <cell r="O106">
            <v>100</v>
          </cell>
          <cell r="P106">
            <v>0</v>
          </cell>
          <cell r="Q106">
            <v>200</v>
          </cell>
          <cell r="R106">
            <v>41.4</v>
          </cell>
          <cell r="S106">
            <v>200</v>
          </cell>
          <cell r="T106">
            <v>200</v>
          </cell>
          <cell r="U106">
            <v>0</v>
          </cell>
          <cell r="V106">
            <v>12.995169082125605</v>
          </cell>
          <cell r="W106">
            <v>0.91787439613526578</v>
          </cell>
          <cell r="X106">
            <v>39.799999999999997</v>
          </cell>
          <cell r="Y106">
            <v>35.799999999999997</v>
          </cell>
          <cell r="Z106">
            <v>29</v>
          </cell>
          <cell r="AA106">
            <v>36.799999999999997</v>
          </cell>
          <cell r="AB106" t="e">
            <v>#N/A</v>
          </cell>
        </row>
        <row r="107">
          <cell r="A107" t="str">
            <v xml:space="preserve"> 579  Колбаса Ветчинно-рубленая ТМ Особый рецепт в оболочке полиамид.ВЕС  ПОКОМ</v>
          </cell>
          <cell r="B107" t="str">
            <v>кг</v>
          </cell>
          <cell r="C107">
            <v>211.83799999999999</v>
          </cell>
          <cell r="D107">
            <v>2.5099999999999998</v>
          </cell>
          <cell r="E107">
            <v>109.864</v>
          </cell>
          <cell r="F107">
            <v>83.822999999999993</v>
          </cell>
          <cell r="G107" t="str">
            <v>P005388</v>
          </cell>
          <cell r="H107">
            <v>1</v>
          </cell>
          <cell r="I107">
            <v>0</v>
          </cell>
          <cell r="J107" t="e">
            <v>#N/A</v>
          </cell>
          <cell r="L107">
            <v>140</v>
          </cell>
          <cell r="M107">
            <v>-30.135999999999996</v>
          </cell>
          <cell r="O107">
            <v>0</v>
          </cell>
          <cell r="P107">
            <v>0</v>
          </cell>
          <cell r="Q107">
            <v>100</v>
          </cell>
          <cell r="R107">
            <v>21.972799999999999</v>
          </cell>
          <cell r="S107">
            <v>60</v>
          </cell>
          <cell r="U107">
            <v>0</v>
          </cell>
          <cell r="V107">
            <v>11.096583048132235</v>
          </cell>
          <cell r="W107">
            <v>3.8148529090511905</v>
          </cell>
          <cell r="X107">
            <v>22.053999999999998</v>
          </cell>
          <cell r="Y107">
            <v>18.595199999999998</v>
          </cell>
          <cell r="Z107">
            <v>18.604199999999999</v>
          </cell>
          <cell r="AA107">
            <v>23.016399999999997</v>
          </cell>
          <cell r="AB107" t="e">
            <v>#N/A</v>
          </cell>
        </row>
        <row r="108">
          <cell r="A108" t="str">
            <v xml:space="preserve"> 580  Ветчина Нежная с индейкой ТМ Особый рецепт в оболочке полиамид.ВЕС  ПОКОМ</v>
          </cell>
          <cell r="B108" t="str">
            <v>кг</v>
          </cell>
          <cell r="C108">
            <v>162.422</v>
          </cell>
          <cell r="D108">
            <v>60.042999999999999</v>
          </cell>
          <cell r="E108">
            <v>79.911000000000001</v>
          </cell>
          <cell r="F108">
            <v>130.05799999999999</v>
          </cell>
          <cell r="G108" t="str">
            <v>P004675</v>
          </cell>
          <cell r="H108">
            <v>1</v>
          </cell>
          <cell r="I108">
            <v>0</v>
          </cell>
          <cell r="J108" t="e">
            <v>#N/A</v>
          </cell>
          <cell r="L108">
            <v>80</v>
          </cell>
          <cell r="M108">
            <v>-8.8999999999998636E-2</v>
          </cell>
          <cell r="O108">
            <v>0</v>
          </cell>
          <cell r="P108">
            <v>0</v>
          </cell>
          <cell r="Q108">
            <v>0</v>
          </cell>
          <cell r="R108">
            <v>15.982200000000001</v>
          </cell>
          <cell r="U108">
            <v>0</v>
          </cell>
          <cell r="V108">
            <v>8.1376781669607432</v>
          </cell>
          <cell r="W108">
            <v>8.1376781669607432</v>
          </cell>
          <cell r="X108">
            <v>13.941999999999998</v>
          </cell>
          <cell r="Y108">
            <v>17.496600000000001</v>
          </cell>
          <cell r="Z108">
            <v>14.0106</v>
          </cell>
          <cell r="AA108">
            <v>8.9923999999999999</v>
          </cell>
          <cell r="AB108" t="e">
            <v>#N/A</v>
          </cell>
        </row>
        <row r="109">
          <cell r="A109" t="str">
            <v xml:space="preserve"> 585  Колбаса Молочная ТМ Стародворье в оболочке вектор НД ВЕС.  ПОКОМ</v>
          </cell>
          <cell r="B109" t="str">
            <v>кг</v>
          </cell>
          <cell r="C109">
            <v>34.914000000000001</v>
          </cell>
          <cell r="D109">
            <v>2.75</v>
          </cell>
          <cell r="E109">
            <v>18.001999999999999</v>
          </cell>
          <cell r="F109">
            <v>-2.4420000000000002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L109">
            <v>45.3</v>
          </cell>
          <cell r="M109">
            <v>-27.297999999999998</v>
          </cell>
          <cell r="O109">
            <v>150</v>
          </cell>
          <cell r="P109">
            <v>0</v>
          </cell>
          <cell r="Q109">
            <v>100</v>
          </cell>
          <cell r="R109">
            <v>3.6003999999999996</v>
          </cell>
          <cell r="S109">
            <v>190</v>
          </cell>
          <cell r="T109">
            <v>190</v>
          </cell>
          <cell r="U109" t="str">
            <v>Промо</v>
          </cell>
          <cell r="V109">
            <v>121.53038551272083</v>
          </cell>
          <cell r="W109">
            <v>-0.67825797133651833</v>
          </cell>
          <cell r="X109">
            <v>0</v>
          </cell>
          <cell r="Y109">
            <v>11.8384</v>
          </cell>
          <cell r="Z109">
            <v>23.990600000000001</v>
          </cell>
          <cell r="AA109">
            <v>12.7134</v>
          </cell>
          <cell r="AB109">
            <v>0</v>
          </cell>
        </row>
        <row r="110">
          <cell r="A110" t="str">
            <v xml:space="preserve"> 586  Колбаса Мясная ТМ Стародворье в оболочке вектор НД ВЕС.  ПОКОМ</v>
          </cell>
          <cell r="B110" t="str">
            <v>кг</v>
          </cell>
          <cell r="C110">
            <v>177.75700000000001</v>
          </cell>
          <cell r="D110">
            <v>139.91800000000001</v>
          </cell>
          <cell r="E110">
            <v>194.80099999999999</v>
          </cell>
          <cell r="F110">
            <v>87.373000000000005</v>
          </cell>
          <cell r="G110" t="str">
            <v>P005361</v>
          </cell>
          <cell r="H110">
            <v>1</v>
          </cell>
          <cell r="I110">
            <v>0</v>
          </cell>
          <cell r="J110" t="e">
            <v>#N/A</v>
          </cell>
          <cell r="L110">
            <v>195.05</v>
          </cell>
          <cell r="M110">
            <v>-0.24900000000002365</v>
          </cell>
          <cell r="O110">
            <v>60</v>
          </cell>
          <cell r="P110">
            <v>0</v>
          </cell>
          <cell r="Q110">
            <v>80</v>
          </cell>
          <cell r="R110">
            <v>38.9602</v>
          </cell>
          <cell r="S110">
            <v>200</v>
          </cell>
          <cell r="U110">
            <v>0</v>
          </cell>
          <cell r="V110">
            <v>10.96947654272822</v>
          </cell>
          <cell r="W110">
            <v>2.2426219577928244</v>
          </cell>
          <cell r="X110">
            <v>0</v>
          </cell>
          <cell r="Y110">
            <v>8.9771999999999998</v>
          </cell>
          <cell r="Z110">
            <v>23.665399999999998</v>
          </cell>
          <cell r="AA110">
            <v>29.668400000000002</v>
          </cell>
          <cell r="AB110" t="e">
            <v>#N/A</v>
          </cell>
        </row>
        <row r="111">
          <cell r="A111" t="str">
            <v xml:space="preserve"> 588 Колбаса Со шпиком ТМ Стародворье в оболочке вектор ВЕС  ПОКОМ</v>
          </cell>
          <cell r="B111" t="str">
            <v>кг</v>
          </cell>
          <cell r="C111">
            <v>66.331999999999994</v>
          </cell>
          <cell r="E111">
            <v>56.253</v>
          </cell>
          <cell r="F111">
            <v>2.6749999999999998</v>
          </cell>
          <cell r="G111" t="str">
            <v>P005363</v>
          </cell>
          <cell r="H111">
            <v>1</v>
          </cell>
          <cell r="I111">
            <v>0</v>
          </cell>
          <cell r="J111" t="e">
            <v>#N/A</v>
          </cell>
          <cell r="L111">
            <v>52</v>
          </cell>
          <cell r="M111">
            <v>4.2530000000000001</v>
          </cell>
          <cell r="O111">
            <v>0</v>
          </cell>
          <cell r="P111">
            <v>0</v>
          </cell>
          <cell r="Q111">
            <v>60</v>
          </cell>
          <cell r="R111">
            <v>11.2506</v>
          </cell>
          <cell r="S111">
            <v>60</v>
          </cell>
          <cell r="U111">
            <v>0</v>
          </cell>
          <cell r="V111">
            <v>10.903862905089506</v>
          </cell>
          <cell r="W111">
            <v>0.23776509697260589</v>
          </cell>
          <cell r="X111">
            <v>4.8860000000000001</v>
          </cell>
          <cell r="Y111">
            <v>4.05</v>
          </cell>
          <cell r="Z111">
            <v>7.8569999999999993</v>
          </cell>
          <cell r="AA111">
            <v>7.8940000000000001</v>
          </cell>
          <cell r="AB111" t="e">
            <v>#N/A</v>
          </cell>
        </row>
        <row r="112">
          <cell r="A112" t="str">
            <v>495  Колбаса Сочинка по-европейски с сочной грудинкой 0,3кг ТМ Стародворье  ПОКОМ</v>
          </cell>
          <cell r="B112" t="str">
            <v>шт</v>
          </cell>
          <cell r="C112">
            <v>208</v>
          </cell>
          <cell r="D112">
            <v>93</v>
          </cell>
          <cell r="E112">
            <v>233</v>
          </cell>
          <cell r="F112">
            <v>40</v>
          </cell>
          <cell r="G112" t="str">
            <v>P003386</v>
          </cell>
          <cell r="H112">
            <v>0.3</v>
          </cell>
          <cell r="I112">
            <v>40</v>
          </cell>
          <cell r="J112" t="str">
            <v>матрица</v>
          </cell>
          <cell r="L112">
            <v>302</v>
          </cell>
          <cell r="M112">
            <v>-69</v>
          </cell>
          <cell r="O112">
            <v>100</v>
          </cell>
          <cell r="P112">
            <v>0</v>
          </cell>
          <cell r="Q112">
            <v>360</v>
          </cell>
          <cell r="R112">
            <v>46.6</v>
          </cell>
          <cell r="U112">
            <v>0</v>
          </cell>
          <cell r="V112">
            <v>10.729613733905579</v>
          </cell>
          <cell r="W112">
            <v>0.85836909871244638</v>
          </cell>
          <cell r="X112">
            <v>36.6</v>
          </cell>
          <cell r="Y112">
            <v>36.200000000000003</v>
          </cell>
          <cell r="Z112">
            <v>31.6</v>
          </cell>
          <cell r="AA112">
            <v>50.2</v>
          </cell>
          <cell r="AB112">
            <v>0</v>
          </cell>
        </row>
        <row r="113">
          <cell r="A113" t="str">
            <v>496  Колбаса Сочинка по-фински с сочным окроком 0,3кг ТМ Стародворье  ПОКОМ</v>
          </cell>
          <cell r="B113" t="str">
            <v>шт</v>
          </cell>
          <cell r="C113">
            <v>240</v>
          </cell>
          <cell r="D113">
            <v>32</v>
          </cell>
          <cell r="E113">
            <v>54</v>
          </cell>
          <cell r="F113">
            <v>160</v>
          </cell>
          <cell r="G113" t="str">
            <v>P003385</v>
          </cell>
          <cell r="H113">
            <v>0.3</v>
          </cell>
          <cell r="I113">
            <v>40</v>
          </cell>
          <cell r="J113" t="str">
            <v>матрица</v>
          </cell>
          <cell r="L113">
            <v>251</v>
          </cell>
          <cell r="M113">
            <v>-197</v>
          </cell>
          <cell r="O113">
            <v>0</v>
          </cell>
          <cell r="P113">
            <v>0</v>
          </cell>
          <cell r="Q113">
            <v>40</v>
          </cell>
          <cell r="R113">
            <v>10.8</v>
          </cell>
          <cell r="U113">
            <v>0</v>
          </cell>
          <cell r="V113">
            <v>18.518518518518519</v>
          </cell>
          <cell r="W113">
            <v>14.814814814814813</v>
          </cell>
          <cell r="X113">
            <v>15.2</v>
          </cell>
          <cell r="Y113">
            <v>29</v>
          </cell>
          <cell r="Z113">
            <v>27.2</v>
          </cell>
          <cell r="AA113">
            <v>20.399999999999999</v>
          </cell>
          <cell r="AB113" t="str">
            <v>23,01,25 в уценку 70шт.</v>
          </cell>
        </row>
        <row r="114">
          <cell r="A114" t="str">
            <v>503 Колбаса Филейская со шпиком ТМ Вязанка в оболочке полиамид.ПОКОМ</v>
          </cell>
          <cell r="B114" t="str">
            <v>кг</v>
          </cell>
          <cell r="C114">
            <v>12.287000000000001</v>
          </cell>
          <cell r="D114">
            <v>10.59</v>
          </cell>
          <cell r="E114">
            <v>10.98</v>
          </cell>
          <cell r="F114">
            <v>10.521000000000001</v>
          </cell>
          <cell r="G114" t="str">
            <v>P004621</v>
          </cell>
          <cell r="H114">
            <v>1</v>
          </cell>
          <cell r="I114">
            <v>50</v>
          </cell>
          <cell r="J114" t="str">
            <v>матрица</v>
          </cell>
          <cell r="L114">
            <v>13.15</v>
          </cell>
          <cell r="M114">
            <v>-2.17</v>
          </cell>
          <cell r="O114">
            <v>0</v>
          </cell>
          <cell r="P114">
            <v>0</v>
          </cell>
          <cell r="Q114">
            <v>30</v>
          </cell>
          <cell r="R114">
            <v>2.1960000000000002</v>
          </cell>
          <cell r="U114">
            <v>0</v>
          </cell>
          <cell r="V114">
            <v>18.452185792349727</v>
          </cell>
          <cell r="W114">
            <v>4.7909836065573774</v>
          </cell>
          <cell r="X114">
            <v>3.3012000000000001</v>
          </cell>
          <cell r="Y114">
            <v>1.1103999999999998</v>
          </cell>
          <cell r="Z114">
            <v>2.4927999999999999</v>
          </cell>
          <cell r="AA114">
            <v>3.0232000000000001</v>
          </cell>
          <cell r="AB114">
            <v>0</v>
          </cell>
        </row>
        <row r="115">
          <cell r="A115" t="str">
            <v>515  Колбаса Сервелат Мясорубский Делюкс 0,3кг ТМ Стародворье  ПОКОМ</v>
          </cell>
          <cell r="B115" t="str">
            <v>шт</v>
          </cell>
          <cell r="C115">
            <v>65</v>
          </cell>
          <cell r="D115">
            <v>85</v>
          </cell>
          <cell r="E115">
            <v>38</v>
          </cell>
          <cell r="F115">
            <v>73</v>
          </cell>
          <cell r="G115" t="str">
            <v>P004890</v>
          </cell>
          <cell r="H115">
            <v>0.3</v>
          </cell>
          <cell r="I115">
            <v>40</v>
          </cell>
          <cell r="J115" t="str">
            <v>матрица</v>
          </cell>
          <cell r="L115">
            <v>114</v>
          </cell>
          <cell r="M115">
            <v>-76</v>
          </cell>
          <cell r="O115">
            <v>0</v>
          </cell>
          <cell r="P115">
            <v>0</v>
          </cell>
          <cell r="Q115">
            <v>150</v>
          </cell>
          <cell r="R115">
            <v>7.6</v>
          </cell>
          <cell r="U115">
            <v>0</v>
          </cell>
          <cell r="V115">
            <v>29.342105263157897</v>
          </cell>
          <cell r="W115">
            <v>9.6052631578947381</v>
          </cell>
          <cell r="X115">
            <v>17.399999999999999</v>
          </cell>
          <cell r="Y115">
            <v>18.399999999999999</v>
          </cell>
          <cell r="Z115">
            <v>15.4</v>
          </cell>
          <cell r="AA115">
            <v>16</v>
          </cell>
          <cell r="AB115">
            <v>0</v>
          </cell>
        </row>
        <row r="116">
          <cell r="A116" t="str">
            <v>519  Грудинка 0,12 кг нарезка ТМ Стародворье  ПОКОМ</v>
          </cell>
          <cell r="B116" t="str">
            <v>шт</v>
          </cell>
          <cell r="C116">
            <v>37</v>
          </cell>
          <cell r="E116">
            <v>30</v>
          </cell>
          <cell r="F116">
            <v>1</v>
          </cell>
          <cell r="G116" t="str">
            <v>P005060</v>
          </cell>
          <cell r="H116">
            <v>0.12</v>
          </cell>
          <cell r="I116">
            <v>45</v>
          </cell>
          <cell r="J116" t="str">
            <v>матрица</v>
          </cell>
          <cell r="L116">
            <v>50</v>
          </cell>
          <cell r="M116">
            <v>-20</v>
          </cell>
          <cell r="O116">
            <v>0</v>
          </cell>
          <cell r="P116">
            <v>0</v>
          </cell>
          <cell r="Q116">
            <v>70</v>
          </cell>
          <cell r="R116">
            <v>6</v>
          </cell>
          <cell r="U116">
            <v>0</v>
          </cell>
          <cell r="V116">
            <v>11.833333333333334</v>
          </cell>
          <cell r="W116">
            <v>0.16666666666666666</v>
          </cell>
          <cell r="X116">
            <v>10</v>
          </cell>
          <cell r="Y116">
            <v>5</v>
          </cell>
          <cell r="Z116">
            <v>2.8</v>
          </cell>
          <cell r="AA116">
            <v>7.6</v>
          </cell>
          <cell r="AB11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АСП1 ЗПФ Мелитополь</v>
          </cell>
          <cell r="B7">
            <v>12753.4</v>
          </cell>
        </row>
        <row r="8">
          <cell r="A8" t="str">
            <v>ПОКОМ Логистический Партнер</v>
          </cell>
          <cell r="B8">
            <v>12753.4</v>
          </cell>
        </row>
        <row r="9">
          <cell r="A9" t="str">
            <v>Заморозка Зареченские Логистический партнер (кг)</v>
          </cell>
          <cell r="B9">
            <v>977.2</v>
          </cell>
        </row>
        <row r="10">
          <cell r="A10" t="str">
            <v>Мини-сосиски в тесте 5кг ВЕС ТМ Зареченские  ПОКОМ</v>
          </cell>
          <cell r="B10">
            <v>130</v>
          </cell>
        </row>
        <row r="11">
          <cell r="A11" t="str">
            <v>Мини-сосиски в тесте ТМ Зареченские . ВЕС  Поком</v>
          </cell>
          <cell r="B11">
            <v>3.7</v>
          </cell>
        </row>
        <row r="12">
          <cell r="A12" t="str">
            <v>Мини-шарики с курочкой и сыром ТМ Зареченские ВЕС ПОКОМ</v>
          </cell>
          <cell r="B12">
            <v>18</v>
          </cell>
        </row>
        <row r="13">
          <cell r="A13" t="str">
            <v>Наггетсы Хрустящие ТМ Зареченские ТС Зареченские продукты. Поком</v>
          </cell>
          <cell r="B13">
            <v>65</v>
          </cell>
        </row>
        <row r="14">
          <cell r="A14" t="str">
            <v>Пирожки с мясом 3,7кг ВЕС ТМ Зареченские  ПОКОМ</v>
          </cell>
          <cell r="B14">
            <v>7.4</v>
          </cell>
        </row>
        <row r="15">
          <cell r="A15" t="str">
            <v>Чебуреки Мясные вес 2,7 кг ТМ Зареченские ТС Зареченские продукты   Поком</v>
          </cell>
          <cell r="B15">
            <v>8.1</v>
          </cell>
        </row>
        <row r="16">
          <cell r="A16" t="str">
            <v>Чебуреки сочные ТМ Зареченские ТС Зареченские продукты.  Поком</v>
          </cell>
          <cell r="B16">
            <v>745</v>
          </cell>
        </row>
        <row r="17">
          <cell r="A17" t="str">
            <v>Заморозка Зареченские Логистический партнер (шт)</v>
          </cell>
          <cell r="B17">
            <v>62</v>
          </cell>
        </row>
        <row r="18">
          <cell r="A18" t="str">
            <v>Пельмени Домашние со сливочным маслом ТМ Зареченские  продукты флоу-пак сфера 0,7 кг.  Поком</v>
          </cell>
          <cell r="B18">
            <v>62</v>
          </cell>
        </row>
        <row r="19">
          <cell r="A19" t="str">
            <v>ПОКОМ Логистический Партнер Заморозка</v>
          </cell>
          <cell r="B19">
            <v>11714.2</v>
          </cell>
        </row>
        <row r="20">
          <cell r="A20" t="str">
            <v>БОНУС_Готовые чебупели сочные с мясом ТМ Горячая штучка флоу-пак 0,24 кг  ПОКОМ</v>
          </cell>
          <cell r="B20">
            <v>31</v>
          </cell>
        </row>
        <row r="21">
          <cell r="A21" t="str">
            <v>БОНУС_Пельмени Бульмени со сливочным маслом ТМ Горячая штучка флоу-пак сфера 0,7 кг .  Поком</v>
          </cell>
          <cell r="B21">
            <v>28</v>
          </cell>
        </row>
        <row r="22">
          <cell r="A22" t="str">
            <v>БОНУС_Чебупицца курочка по-итальянски Горячая штучка 0,25 кг зам  ПОКОМ</v>
          </cell>
          <cell r="B22">
            <v>33</v>
          </cell>
        </row>
        <row r="23">
          <cell r="A23" t="str">
            <v>Бульмени хрустящие с мясом ТМ Горячая штучка ТС Бульмени ГШ сфера 0,22 кг  Поком</v>
          </cell>
          <cell r="B23">
            <v>82</v>
          </cell>
        </row>
        <row r="24">
          <cell r="A24" t="str">
            <v>Готовые бельмеши сочные с мясом ТМ Горячая штучка 0,3кг зам  ПОКОМ</v>
          </cell>
          <cell r="B24">
            <v>94</v>
          </cell>
        </row>
        <row r="25">
          <cell r="A25" t="str">
            <v>Готовые чебуманы с говядиной ТМ горячая штучка 0,28 кг.  Поком</v>
          </cell>
          <cell r="B25">
            <v>241</v>
          </cell>
        </row>
        <row r="26">
          <cell r="A26" t="str">
            <v>Готовые чебупели острые с мясом ТМ Горячая штучка флоу-пак 0,24 кг  Поком</v>
          </cell>
          <cell r="B26">
            <v>257</v>
          </cell>
        </row>
        <row r="27">
          <cell r="A27" t="str">
            <v>Готовые чебупели с ветчиной и сыром ТМ Горячая штучка флоу-пак 0,24 кг.  ПОКОМ</v>
          </cell>
          <cell r="B27">
            <v>381</v>
          </cell>
        </row>
        <row r="28">
          <cell r="A28" t="str">
            <v>Готовые чебупели с мясом ТМ Горячая штучка 0,24 кг  ПОКОМ</v>
          </cell>
          <cell r="B28">
            <v>227</v>
          </cell>
        </row>
        <row r="29">
          <cell r="A29" t="str">
            <v>Готовые чебупели сочные с мясом ТМ Горячая штучка флоу-пак 0,24 кг  ПОКОМ</v>
          </cell>
          <cell r="B29">
            <v>489</v>
          </cell>
        </row>
        <row r="30">
          <cell r="A30" t="str">
            <v>Готовые чебупели сочные с мясом ТМ Горячая штучка флоу-пак 0,48 кг XXL  Поком</v>
          </cell>
          <cell r="B30">
            <v>49</v>
          </cell>
        </row>
        <row r="31">
          <cell r="A31" t="str">
            <v>Готовые чебуреки со свининой и говядиной ТМ Горячая штучка ТС Базовый ассортимент 0,36 кг  ПОКОМ</v>
          </cell>
          <cell r="B31">
            <v>287</v>
          </cell>
        </row>
        <row r="32">
          <cell r="A32" t="str">
            <v>Жареные вареники с картофелем и беконом ТМ Стародворье 0,2 кг  ПОКОМ</v>
          </cell>
          <cell r="B32">
            <v>62</v>
          </cell>
        </row>
        <row r="33">
          <cell r="A33" t="str">
            <v>Круггетсы с сырным соусом ТМ Горячая штучка ТС Круггетсы флоу-пак 0,2 кг  ПОКОМ</v>
          </cell>
          <cell r="B33">
            <v>213</v>
          </cell>
        </row>
        <row r="34">
          <cell r="A34" t="str">
            <v>Круггетсы сочные ТМ Горячая штучка ТС Круггетсы флоу-пак  0,2 кг.  ПОКОМ</v>
          </cell>
          <cell r="B34">
            <v>19</v>
          </cell>
        </row>
        <row r="35">
          <cell r="A35" t="str">
            <v>Мини-чебуреки с мясом ТМ Зареченские ТС Зареченские продукты ПОКОМ</v>
          </cell>
          <cell r="B35">
            <v>111.2</v>
          </cell>
        </row>
        <row r="36">
          <cell r="A36" t="str">
            <v>Наггетсы из печи 0,25кг ТМ Вязанка замор.  ПОКОМ</v>
          </cell>
          <cell r="B36">
            <v>275</v>
          </cell>
        </row>
        <row r="37">
          <cell r="A37" t="str">
            <v>Наггетсы Нагетосы Сочная курочка со сметаной и зеленью ТМ Горячая штучка флоу-пак 0,25 кг  Поком</v>
          </cell>
          <cell r="B37">
            <v>170</v>
          </cell>
        </row>
        <row r="38">
          <cell r="A38" t="str">
            <v>Наггетсы Нагетосы Сочная курочка ТМ Горячая штучка 0,25 кг зам  ПОКОМ</v>
          </cell>
          <cell r="B38">
            <v>308</v>
          </cell>
        </row>
        <row r="39">
          <cell r="A39" t="str">
            <v>Наггетсы с индейкой 0,25кг ТМ Вязанка ТС Из печи Сливушки ПОКОМ</v>
          </cell>
          <cell r="B39">
            <v>399</v>
          </cell>
        </row>
        <row r="40">
          <cell r="A40" t="str">
            <v>Наггетсы с куриным филе и сыром ТМ Вязанка ТС Из печи Сливушки 0,25 кг.  Поком</v>
          </cell>
          <cell r="B40">
            <v>476</v>
          </cell>
        </row>
        <row r="41">
          <cell r="A41" t="str">
            <v>Наггетсы хрустящие п/ф ВЕС ПОКОМ</v>
          </cell>
          <cell r="B41">
            <v>262</v>
          </cell>
        </row>
        <row r="42">
          <cell r="A42" t="str">
            <v>Наггетсы Хрустящие ТМ Стародворье с сочной курочкой 0,23 кг  ПОКОМ</v>
          </cell>
          <cell r="B42">
            <v>61</v>
          </cell>
        </row>
        <row r="43">
          <cell r="A43" t="str">
            <v>Пекерсы с индейкой в сливочном соусе ТМ Горячая штучка 0,25 кг зам  ПОКОМ</v>
          </cell>
          <cell r="B43">
            <v>3</v>
          </cell>
        </row>
        <row r="44">
          <cell r="A44" t="str">
            <v>Пельмени Grandmeni с говядиной и свининой ТМ Горячаяштучка флоу-па классическая форма 0,7 кг.  Поком</v>
          </cell>
          <cell r="B44">
            <v>182</v>
          </cell>
        </row>
        <row r="45">
          <cell r="A45" t="str">
            <v>Пельмени Grandmeni с говядиной ТМ Горячаяштучка флоу-пак сфера 0,7 кг.  Поком</v>
          </cell>
          <cell r="B45">
            <v>76</v>
          </cell>
        </row>
        <row r="46">
          <cell r="A46" t="str">
            <v>Пельмени Grandmeni со сливочным маслом  ТМ Горячая штучка флоу-пак сфера 0,7 кг.  Поком</v>
          </cell>
          <cell r="B46">
            <v>162</v>
          </cell>
        </row>
        <row r="47">
          <cell r="A47" t="str">
            <v>Пельмени Бигбули #МЕГАВКУСИЩЕ с сочной грудинкой  ТМ Горячая штучка  флоу-пак сфера 0,7 кг.  Поком</v>
          </cell>
          <cell r="B47">
            <v>381</v>
          </cell>
        </row>
        <row r="48">
          <cell r="A48" t="str">
            <v>Пельмени Бигбули с мясом ТМ Горячая штучка БУЛЬМЕНИ ТС Бигбули ГШ  флоу-пак сфера 0,7.   Поком</v>
          </cell>
          <cell r="B48">
            <v>144</v>
          </cell>
        </row>
        <row r="49">
          <cell r="A49" t="str">
            <v>Пельмени Бигбули со сливочным маслом  ТС Бигбули ГШ#МЕГАМАСЛИЩЕ флоу-пак сфера 0,7.  Поком</v>
          </cell>
          <cell r="B49">
            <v>391</v>
          </cell>
        </row>
        <row r="50">
          <cell r="A50" t="str">
            <v>Пельмени Бульмени мини с мясом и оливковым маслом  ТС Бульмени ГШ флоу-пак сфера 0,7кг  Поком</v>
          </cell>
          <cell r="B50">
            <v>155</v>
          </cell>
        </row>
        <row r="51">
          <cell r="A51" t="str">
            <v>Пельмени Бульмени с говядиной и свининой Наваристые Горячая штучка ВЕС  ПОКОМ</v>
          </cell>
          <cell r="B51">
            <v>555</v>
          </cell>
        </row>
        <row r="52">
          <cell r="A52" t="str">
            <v>Пельмени Бульмени с говядиной и свининой ТМ Горячая штучка  флоу-пак сфера 0,4 кг  Поком</v>
          </cell>
          <cell r="B52">
            <v>136</v>
          </cell>
        </row>
        <row r="53">
          <cell r="A53" t="str">
            <v>Пельмени Бульмени с говядиной и свининой ТМ Горячая штучка БУЛЬМЕНИ  флоу-пак сфера 0,7 кг.  Поком</v>
          </cell>
          <cell r="B53">
            <v>672</v>
          </cell>
        </row>
        <row r="54">
          <cell r="A54" t="str">
            <v>Пельмени Бульмени со сливочным маслом ТМ Горячая штучка  флоу-пак сфера 0,4 кг .  Поком</v>
          </cell>
          <cell r="B54">
            <v>331</v>
          </cell>
        </row>
        <row r="55">
          <cell r="A55" t="str">
            <v>Пельмени Бульмени со сливочным маслом ТМ Горячая штучка флоу-пак сфера 0,7 кг .  Поком</v>
          </cell>
          <cell r="B55">
            <v>970</v>
          </cell>
        </row>
        <row r="56">
          <cell r="A56" t="str">
            <v>Пельмени Мясные с говядиной ТМ Стародворье сфера флоу-пак 1 кг  ПОКОМ</v>
          </cell>
          <cell r="B56">
            <v>161</v>
          </cell>
        </row>
        <row r="57">
          <cell r="A57" t="str">
            <v>Пельмени Отборные из свинины и говядины 0,9 кг ТМ Стародворье ТС Медвежье ушко  ПОКОМ</v>
          </cell>
          <cell r="B57">
            <v>115</v>
          </cell>
        </row>
        <row r="58">
          <cell r="A58" t="str">
            <v>Пельмени Отборные с говядиной 0,9 кг НОВА ТМ Стародворье ТС Медвежье ушко  ПОКОМ</v>
          </cell>
          <cell r="B58">
            <v>125</v>
          </cell>
        </row>
        <row r="59">
          <cell r="A59" t="str">
            <v>Пельмени Со свининой и говядиной ТМ Особый рецепт Любимая ложка 1,0 кг  ПОКОМ</v>
          </cell>
          <cell r="B59">
            <v>144</v>
          </cell>
        </row>
        <row r="60">
          <cell r="A60" t="str">
            <v>Хотстеры Васаби-чили ТМ Горячая штучка ТС Хотстеры 0,23кг жареные ПОКОМ</v>
          </cell>
          <cell r="B60">
            <v>138</v>
          </cell>
        </row>
        <row r="61">
          <cell r="A61" t="str">
            <v>Хотстеры с сыром ТМ Горячая штучка ТС Хотстеры 0,25кг.  Поком</v>
          </cell>
          <cell r="B61">
            <v>194</v>
          </cell>
        </row>
        <row r="62">
          <cell r="A62" t="str">
            <v>Хотстеры ТМ Горячая штучка ТС Хотстеры 0,25 кг зам  ПОКОМ</v>
          </cell>
          <cell r="B62">
            <v>144</v>
          </cell>
        </row>
        <row r="63">
          <cell r="A63" t="str">
            <v>Хрустипай апельсин имбирь ТМ Горячая штучка 0,18 кг  ПОКОМ</v>
          </cell>
          <cell r="B63">
            <v>15</v>
          </cell>
        </row>
        <row r="64">
          <cell r="A64" t="str">
            <v>Хрустипай манго маракуйя ТМ Горячая штучка 0,18 кг  ПОКОМ</v>
          </cell>
          <cell r="B64">
            <v>15</v>
          </cell>
        </row>
        <row r="65">
          <cell r="A65" t="str">
            <v>Хрустипай манго чили ТМ Горячая штучка 0,18кг с начинкой ПОКОМ</v>
          </cell>
          <cell r="B65">
            <v>8</v>
          </cell>
        </row>
        <row r="66">
          <cell r="A66" t="str">
            <v>Хрустящие крылышки острые к пиву ТМ Горячая штучка 0,3кг зам  ПОКОМ</v>
          </cell>
          <cell r="B66">
            <v>355</v>
          </cell>
        </row>
        <row r="67">
          <cell r="A67" t="str">
            <v>Хрустящие крылышки ТМ Горячая штучка 0,3 кг зам  ПОКОМ</v>
          </cell>
          <cell r="B67">
            <v>90</v>
          </cell>
        </row>
        <row r="68">
          <cell r="A68" t="str">
            <v>Чебупели Курочка гриль Базовый ассортимент Фикс.вес 0,3 Пакет Горячая штучка  Поком</v>
          </cell>
          <cell r="B68">
            <v>47</v>
          </cell>
        </row>
        <row r="69">
          <cell r="A69" t="str">
            <v>Чебупицца курочка по-итальянски Горячая штучка 0,25 кг зам  ПОКОМ</v>
          </cell>
          <cell r="B69">
            <v>656</v>
          </cell>
        </row>
        <row r="70">
          <cell r="A70" t="str">
            <v>Чебупицца Пепперони ТМ Горячая штучка ТС Чебупицца 0.25кг зам  ПОКОМ</v>
          </cell>
          <cell r="B70">
            <v>586</v>
          </cell>
        </row>
        <row r="71">
          <cell r="A71" t="str">
            <v>Чебупицца со вкусом 4 сыра 0,2кг ТМ Горячая штучка ТС Foodgital  ПОКОМ</v>
          </cell>
          <cell r="B71">
            <v>116</v>
          </cell>
        </row>
        <row r="72">
          <cell r="A72" t="str">
            <v>Чебупицца со вкусом Том ям ТМ Горячая штучка ТС Чебупицца 0,23кг жареные ПОКОМ</v>
          </cell>
          <cell r="B72">
            <v>77</v>
          </cell>
        </row>
        <row r="73">
          <cell r="A73" t="str">
            <v>Чебуреки сочные, ВЕС, куриные жарен. зам  ПОКОМ</v>
          </cell>
          <cell r="B73">
            <v>15</v>
          </cell>
        </row>
        <row r="74">
          <cell r="A74" t="str">
            <v>АСП1 Мелитополь ПОКОМ</v>
          </cell>
          <cell r="B74">
            <v>29229.040000000001</v>
          </cell>
        </row>
        <row r="75">
          <cell r="A75" t="str">
            <v>ПОКОМ Логистический Партнер</v>
          </cell>
          <cell r="B75">
            <v>29229.040000000001</v>
          </cell>
        </row>
        <row r="76">
          <cell r="A76" t="str">
            <v>Вязанка Логистический Партнер(Кг)</v>
          </cell>
          <cell r="B76">
            <v>3030.87</v>
          </cell>
        </row>
        <row r="77">
          <cell r="A77" t="str">
            <v xml:space="preserve"> 005  Колбаса Докторская ГОСТ, Вязанка вектор,ВЕС. ПОКОМ</v>
          </cell>
          <cell r="B77">
            <v>380.3</v>
          </cell>
        </row>
        <row r="78">
          <cell r="A78" t="str">
            <v xml:space="preserve"> 016  Сосиски Вязанка Молочные, Вязанка вискофан  ВЕС.ПОКОМ</v>
          </cell>
          <cell r="B78">
            <v>840.9</v>
          </cell>
        </row>
        <row r="79">
          <cell r="A79" t="str">
            <v xml:space="preserve"> 017  Сосиски Вязанка Сливочные, Вязанка амицел ВЕС.ПОКОМ</v>
          </cell>
          <cell r="B79">
            <v>364.35</v>
          </cell>
        </row>
        <row r="80">
          <cell r="A80" t="str">
            <v xml:space="preserve"> 312  Ветчина Филейская ВЕС ТМ  Вязанка ТС Столичная  ПОКОМ</v>
          </cell>
          <cell r="B80">
            <v>35.700000000000003</v>
          </cell>
        </row>
        <row r="81">
          <cell r="A81" t="str">
            <v xml:space="preserve"> 315  Колбаса вареная Молокуша ТМ Вязанка ВЕС, ПОКОМ</v>
          </cell>
          <cell r="B81">
            <v>117.2</v>
          </cell>
        </row>
        <row r="82">
          <cell r="A82" t="str">
            <v xml:space="preserve"> 330  Колбаса вареная Филейская ТМ Вязанка ТС Классическая ВЕС  ПОКОМ</v>
          </cell>
          <cell r="B82">
            <v>132.80000000000001</v>
          </cell>
        </row>
        <row r="83">
          <cell r="A83" t="str">
            <v xml:space="preserve"> 335  Колбаса Сливушка ТМ Вязанка. ВЕС.  ПОКОМ </v>
          </cell>
          <cell r="B83">
            <v>87.1</v>
          </cell>
        </row>
        <row r="84">
          <cell r="A84" t="str">
            <v xml:space="preserve"> 336  Ветчина Сливушка с индейкой ТМ Вязанка. ВЕС  ПОКОМ</v>
          </cell>
          <cell r="B84">
            <v>33.6</v>
          </cell>
        </row>
        <row r="85">
          <cell r="A85" t="str">
            <v xml:space="preserve"> 364  Сардельки Филейские Вязанка ВЕС NDX ТМ Вязанка  ПОКОМ</v>
          </cell>
          <cell r="B85">
            <v>446.4</v>
          </cell>
        </row>
        <row r="86">
          <cell r="A86" t="str">
            <v xml:space="preserve"> 556  Колбаса Сервелат Ореховый ТМ Вязанка в оболочке фиброуз в вакуумной упаковке, ВЕС  ПОКОМ</v>
          </cell>
          <cell r="B86">
            <v>216.36</v>
          </cell>
        </row>
        <row r="87">
          <cell r="A87" t="str">
            <v xml:space="preserve"> 558  Колбаса Балыковая НОВАЯ ВЕС Вязанка фиброуз в/у ПОКОМ</v>
          </cell>
          <cell r="B87">
            <v>363.06</v>
          </cell>
        </row>
        <row r="88">
          <cell r="A88" t="str">
            <v>503 Колбаса Филейская со шпиком ТМ Вязанка в оболочке полиамид.ПОКОМ</v>
          </cell>
          <cell r="B88">
            <v>13.1</v>
          </cell>
        </row>
        <row r="89">
          <cell r="A89" t="str">
            <v>Вязанка Логистический Партнер(Шт)</v>
          </cell>
          <cell r="B89">
            <v>2330</v>
          </cell>
        </row>
        <row r="90">
          <cell r="A90" t="str">
            <v xml:space="preserve"> 023  Колбаса Докторская ГОСТ, Вязанка вектор, 0,4 кг, ПОКОМ</v>
          </cell>
          <cell r="B90">
            <v>36</v>
          </cell>
        </row>
        <row r="91">
          <cell r="A91" t="str">
            <v xml:space="preserve"> 030  Сосиски Вязанка Молочные, Вязанка вискофан МГС, 0.45кг, ПОКОМ</v>
          </cell>
          <cell r="B91">
            <v>273</v>
          </cell>
        </row>
        <row r="92">
          <cell r="A92" t="str">
            <v xml:space="preserve"> 032  Сосиски Вязанка Сливочные, Вязанка амицел МГС, 0.45кг, ПОКОМ</v>
          </cell>
          <cell r="B92">
            <v>471</v>
          </cell>
        </row>
        <row r="93">
          <cell r="A93" t="str">
            <v xml:space="preserve"> 276  Колбаса Сливушка ТМ Вязанка в оболочке полиамид 0,45 кг  ПОКОМ</v>
          </cell>
          <cell r="B93">
            <v>257</v>
          </cell>
        </row>
        <row r="94">
          <cell r="A94" t="str">
            <v xml:space="preserve"> 319  Колбаса вареная Филейская ТМ Вязанка ТС Классическая, 0,45 кг. ПОКОМ</v>
          </cell>
          <cell r="B94">
            <v>143</v>
          </cell>
        </row>
        <row r="95">
          <cell r="A95" t="str">
            <v xml:space="preserve"> 322  Колбаса вареная Молокуша 0,45кг ТМ Вязанка  ПОКОМ</v>
          </cell>
          <cell r="B95">
            <v>244</v>
          </cell>
        </row>
        <row r="96">
          <cell r="A96" t="str">
            <v xml:space="preserve"> 339  Колбаса вареная Филейская ТМ Вязанка ТС Классическая, 0,40 кг.  ПОКОМ</v>
          </cell>
          <cell r="B96">
            <v>31</v>
          </cell>
        </row>
        <row r="97">
          <cell r="A97" t="str">
            <v xml:space="preserve"> 355  Колбаса Сервелат запеченный ТМ Стародворье ТС Дугушка. 0,6 кг. ПОКОМ</v>
          </cell>
          <cell r="B97">
            <v>15</v>
          </cell>
        </row>
        <row r="98">
          <cell r="A98" t="str">
            <v xml:space="preserve"> 387  Колбаса вареная Мусульманская Халяль ТМ Вязанка, 0,4 кг ПОКОМ</v>
          </cell>
          <cell r="B98">
            <v>74</v>
          </cell>
        </row>
        <row r="99">
          <cell r="A99" t="str">
            <v xml:space="preserve"> 388  Сосиски Восточные Халяль ТМ Вязанка 0,33 кг АК. ПОКОМ</v>
          </cell>
          <cell r="B99">
            <v>136</v>
          </cell>
        </row>
        <row r="100">
          <cell r="A100" t="str">
            <v xml:space="preserve"> 395  Колбаса Докторская ГОСТ ТМ Вязанка в оболочке полиамид 0,37 кг. ПОКОМ</v>
          </cell>
          <cell r="B100">
            <v>179</v>
          </cell>
        </row>
        <row r="101">
          <cell r="A101" t="str">
            <v xml:space="preserve"> 403  Сосиски Сливушки с сыром ТМ Вязанка в оболочке амицел  0,3 кг. ПОКОМ</v>
          </cell>
          <cell r="B101">
            <v>3</v>
          </cell>
        </row>
        <row r="102">
          <cell r="A102" t="str">
            <v xml:space="preserve"> 405  Сардельки Сливушки ТМ Вязанка в оболочке айпил 0,33 кг. ПОКОМ</v>
          </cell>
          <cell r="B102">
            <v>51</v>
          </cell>
        </row>
        <row r="103">
          <cell r="A103" t="str">
            <v xml:space="preserve"> 408  Ветчина Сливушка с индейкой ТМ Вязанка, 0,4кг  ПОКОМ</v>
          </cell>
          <cell r="B103">
            <v>93</v>
          </cell>
        </row>
        <row r="104">
          <cell r="A104" t="str">
            <v xml:space="preserve"> 490  Колбаса Сервелат Филейский ТМ Вязанка  0,3 кг. срез  ПОКОМ</v>
          </cell>
          <cell r="B104">
            <v>4</v>
          </cell>
        </row>
        <row r="105">
          <cell r="A105" t="str">
            <v xml:space="preserve"> 491  Колбаса Филейская Рубленая ТМ Вязанка  0,3 кг. срез.  ПОКОМ</v>
          </cell>
          <cell r="B105">
            <v>2</v>
          </cell>
        </row>
        <row r="106">
          <cell r="A106" t="str">
            <v xml:space="preserve"> 569  Колбаса Балыковая ТМ Вязанка в оболочке фиброуз в вакуумной упаковке 0,28 кг срез.  ПОКОМ</v>
          </cell>
          <cell r="B106">
            <v>108</v>
          </cell>
        </row>
        <row r="107">
          <cell r="A107" t="str">
            <v xml:space="preserve"> 571  Колбаса Сервелат Ореховый ТМ Вязанка в оболочке фиброуз в вак. упаковке 0,28 кг срез  ПОКОМ</v>
          </cell>
          <cell r="B107">
            <v>210</v>
          </cell>
        </row>
        <row r="108">
          <cell r="A108" t="str">
            <v>Зареченские Логистический Партнер (кг)</v>
          </cell>
          <cell r="B108">
            <v>43.1</v>
          </cell>
        </row>
        <row r="109">
          <cell r="A109" t="str">
            <v xml:space="preserve"> 317 Колбаса Сервелат Рижский ТМ Зареченские, ВЕС  ПОКОМ</v>
          </cell>
          <cell r="B109">
            <v>1.6</v>
          </cell>
        </row>
        <row r="110">
          <cell r="A110" t="str">
            <v xml:space="preserve"> 318  Сосиски Датские ТМ Зареченские, ВЕС  ПОКОМ</v>
          </cell>
          <cell r="B110">
            <v>41.5</v>
          </cell>
        </row>
        <row r="111">
          <cell r="A111" t="str">
            <v>Логистический Партнер Кг</v>
          </cell>
          <cell r="B111">
            <v>17570.07</v>
          </cell>
        </row>
        <row r="112">
          <cell r="A112" t="str">
            <v xml:space="preserve"> 200  Ветчина Дугушка ТМ Стародворье, вектор в/у    ПОКОМ</v>
          </cell>
          <cell r="B112">
            <v>493.98</v>
          </cell>
        </row>
        <row r="113">
          <cell r="A113" t="str">
            <v xml:space="preserve"> 201  Ветчина Нежная ТМ Особый рецепт, (2,5кг), ПОКОМ</v>
          </cell>
          <cell r="B113">
            <v>2396.5</v>
          </cell>
        </row>
        <row r="114">
          <cell r="A114" t="str">
            <v xml:space="preserve"> 215  Колбаса Докторская ГОСТ Дугушка, ВЕС, ТМ Стародворье ПОКОМ</v>
          </cell>
          <cell r="B114">
            <v>94.06</v>
          </cell>
        </row>
        <row r="115">
          <cell r="A115" t="str">
            <v xml:space="preserve"> 219  Колбаса Докторская Особая ТМ Особый рецепт, ВЕС  ПОКОМ</v>
          </cell>
          <cell r="B115">
            <v>1854.5</v>
          </cell>
        </row>
        <row r="116">
          <cell r="A116" t="str">
            <v xml:space="preserve"> 225  Колбаса Дугушка со шпиком, ВЕС, ТМ Стародворье   ПОКОМ</v>
          </cell>
          <cell r="B116">
            <v>27.48</v>
          </cell>
        </row>
        <row r="117">
          <cell r="A117" t="str">
            <v xml:space="preserve"> 226  Колбаса Княжеская, с/к белков.обол в термоусад. пакете, ВЕС, ТМ Стародворье ПОКОМ</v>
          </cell>
          <cell r="B117">
            <v>16.399999999999999</v>
          </cell>
        </row>
        <row r="118">
          <cell r="A118" t="str">
            <v xml:space="preserve"> 229  Колбаса Молочная Дугушка, в/у, ВЕС, ТМ Стародворье   ПОКОМ</v>
          </cell>
          <cell r="B118">
            <v>521.34</v>
          </cell>
        </row>
        <row r="119">
          <cell r="A119" t="str">
            <v xml:space="preserve"> 236  Колбаса Рубленая ЗАПЕЧ. Дугушка ТМ Стародворье, вектор, в/к    ПОКОМ</v>
          </cell>
          <cell r="B119">
            <v>90.58</v>
          </cell>
        </row>
        <row r="120">
          <cell r="A120" t="str">
            <v xml:space="preserve"> 239  Колбаса Салями запеч Дугушка, оболочка вектор, ВЕС, ТМ Стародворье  ПОКОМ</v>
          </cell>
          <cell r="B120">
            <v>253.38</v>
          </cell>
        </row>
        <row r="121">
          <cell r="A121" t="str">
            <v xml:space="preserve"> 240  Колбаса Салями охотничья, ВЕС. ПОКОМ</v>
          </cell>
          <cell r="B121">
            <v>4.3</v>
          </cell>
        </row>
        <row r="122">
          <cell r="A122" t="str">
            <v xml:space="preserve"> 242  Колбаса Сервелат ЗАПЕЧ.Дугушка ТМ Стародворье, вектор, в/к     ПОКОМ</v>
          </cell>
          <cell r="B122">
            <v>286.74</v>
          </cell>
        </row>
        <row r="123">
          <cell r="A123" t="str">
            <v xml:space="preserve"> 243  Колбаса Сервелат Зернистый, ВЕС.  ПОКОМ</v>
          </cell>
          <cell r="B123">
            <v>31</v>
          </cell>
        </row>
        <row r="124">
          <cell r="A124" t="str">
            <v xml:space="preserve"> 247  Сардельки Нежные, ВЕС.  ПОКОМ</v>
          </cell>
          <cell r="B124">
            <v>13.8</v>
          </cell>
        </row>
        <row r="125">
          <cell r="A125" t="str">
            <v xml:space="preserve"> 248  Сардельки Сочные ТМ Особый рецепт,   ПОКОМ</v>
          </cell>
          <cell r="B125">
            <v>288.7</v>
          </cell>
        </row>
        <row r="126">
          <cell r="A126" t="str">
            <v xml:space="preserve"> 250  Сардельки стародворские с говядиной в обол. NDX, ВЕС. ПОКОМ</v>
          </cell>
          <cell r="B126">
            <v>526.45000000000005</v>
          </cell>
        </row>
        <row r="127">
          <cell r="A127" t="str">
            <v xml:space="preserve"> 255  Сосиски Молочные для завтрака ТМ Особый рецепт, п/а МГС, ВЕС, ТМ Стародворье  ПОКОМ</v>
          </cell>
          <cell r="B127">
            <v>629.5</v>
          </cell>
        </row>
        <row r="128">
          <cell r="A128" t="str">
            <v xml:space="preserve"> 257  Сосиски Молочные оригинальные ТМ Особый рецепт, ВЕС.   ПОКОМ</v>
          </cell>
          <cell r="B128">
            <v>82.5</v>
          </cell>
        </row>
        <row r="129">
          <cell r="A129" t="str">
            <v xml:space="preserve"> 263  Шпикачки Стародворские, ВЕС.  ПОКОМ</v>
          </cell>
          <cell r="B129">
            <v>89.8</v>
          </cell>
        </row>
        <row r="130">
          <cell r="A130" t="str">
            <v xml:space="preserve"> 265  Колбаса Балыкбургская, ВЕС, ТМ Баварушка  ПОКОМ</v>
          </cell>
          <cell r="B130">
            <v>106.2</v>
          </cell>
        </row>
        <row r="131">
          <cell r="A131" t="str">
            <v xml:space="preserve"> 266  Колбаса Филейбургская с сочным окороком, ВЕС, ТМ Баварушка  ПОКОМ</v>
          </cell>
          <cell r="B131">
            <v>44.9</v>
          </cell>
        </row>
        <row r="132">
          <cell r="A132" t="str">
            <v xml:space="preserve"> 267  Колбаса Салями Филейбургская зернистая, оболочка фиброуз, ВЕС, ТМ Баварушка  ПОКОМ</v>
          </cell>
          <cell r="B132">
            <v>12.6</v>
          </cell>
        </row>
        <row r="133">
          <cell r="A133" t="str">
            <v xml:space="preserve"> 283  Сосиски Сочинки, ВЕС, ТМ Стародворье ПОКОМ</v>
          </cell>
          <cell r="B133">
            <v>28.6</v>
          </cell>
        </row>
        <row r="134">
          <cell r="A134" t="str">
            <v xml:space="preserve"> 297  Колбаса Мясорубская с рубленой грудинкой ВЕС ТМ Стародворье  ПОКОМ</v>
          </cell>
          <cell r="B134">
            <v>113.1</v>
          </cell>
        </row>
        <row r="135">
          <cell r="A135" t="str">
            <v xml:space="preserve"> 304  Колбаса Салями Мясорубская с рубленным шпиком ВЕС ТМ Стародворье  ПОКОМ</v>
          </cell>
          <cell r="B135">
            <v>77</v>
          </cell>
        </row>
        <row r="136">
          <cell r="A136" t="str">
            <v xml:space="preserve"> 305  Колбаса Сервелат Мясорубский с мелкорубленным окороком в/у  ТМ Стародворье ВЕС   ПОКОМ</v>
          </cell>
          <cell r="B136">
            <v>107.1</v>
          </cell>
        </row>
        <row r="137">
          <cell r="A137" t="str">
            <v xml:space="preserve"> 340  Сосиски Сочинки Молочные ТМ Стародворье, ВЕС ПОКОМ</v>
          </cell>
          <cell r="B137">
            <v>18.8</v>
          </cell>
        </row>
        <row r="138">
          <cell r="A138" t="str">
            <v xml:space="preserve"> 341 Сосиски Сочинки Сливочные ТМ Стародворье ВЕС ПОКОМ</v>
          </cell>
          <cell r="B138">
            <v>103.8</v>
          </cell>
        </row>
        <row r="139">
          <cell r="A139" t="str">
            <v xml:space="preserve"> 344  Колбаса Сочинка по-европейски с сочной грудинкой ТМ Стародворье, ВЕС ПОКОМ</v>
          </cell>
          <cell r="B139">
            <v>187.4</v>
          </cell>
        </row>
        <row r="140">
          <cell r="A140" t="str">
            <v xml:space="preserve"> 345  Колбаса Сочинка по-фински с сочным окроком ТМ Стародворье ВЕС ПОКОМ</v>
          </cell>
          <cell r="B140">
            <v>134.1</v>
          </cell>
        </row>
        <row r="141">
          <cell r="A141" t="str">
            <v xml:space="preserve"> 346  Колбаса Сочинка зернистая с сочной грудинкой ТМ Стародворье.ВЕС ПОКОМ</v>
          </cell>
          <cell r="B141">
            <v>493.1</v>
          </cell>
        </row>
        <row r="142">
          <cell r="A142" t="str">
            <v xml:space="preserve"> 347  Колбаса Сочинка рубленая с сочным окороком ТМ Стародворье ВЕС ПОКОМ</v>
          </cell>
          <cell r="B142">
            <v>139.6</v>
          </cell>
        </row>
        <row r="143">
          <cell r="A143" t="str">
            <v xml:space="preserve"> 436  Колбаса Молочная стародворская с молоком, ВЕС, ТМ Стародворье  ПОКОМ</v>
          </cell>
          <cell r="B143">
            <v>17.100000000000001</v>
          </cell>
        </row>
        <row r="144">
          <cell r="A144" t="str">
            <v xml:space="preserve"> 449  Колбаса Дугушка Стародворская ВЕС ТС Дугушка ПОКОМ</v>
          </cell>
          <cell r="B144">
            <v>262.2</v>
          </cell>
        </row>
        <row r="145">
          <cell r="A145" t="str">
            <v xml:space="preserve"> 452  Колбаса Со шпиком ВЕС большой батон ТМ Особый рецепт  ПОКОМ</v>
          </cell>
          <cell r="B145">
            <v>2106</v>
          </cell>
        </row>
        <row r="146">
          <cell r="A146" t="str">
            <v xml:space="preserve"> 456  Колбаса Филейная ТМ Особый рецепт ВЕС большой батон  ПОКОМ</v>
          </cell>
          <cell r="B146">
            <v>1745</v>
          </cell>
        </row>
        <row r="147">
          <cell r="A147" t="str">
            <v xml:space="preserve"> 457  Колбаса Молочная ТМ Особый рецепт ВЕС большой батон  ПОКОМ</v>
          </cell>
          <cell r="B147">
            <v>3334.2</v>
          </cell>
        </row>
        <row r="148">
          <cell r="A148" t="str">
            <v xml:space="preserve"> 557  Колбаса Сервелат Финский ТМ Вязанка в оболочке фиброуз в вакуумной упаковке, ВЕС  ПОКОМ</v>
          </cell>
          <cell r="B148">
            <v>308.16000000000003</v>
          </cell>
        </row>
        <row r="149">
          <cell r="A149" t="str">
            <v xml:space="preserve"> 579  Колбаса Ветчинно-рубленая ТМ Особый рецепт в оболочке полиамид.ВЕС  ПОКОМ</v>
          </cell>
          <cell r="B149">
            <v>163.80000000000001</v>
          </cell>
        </row>
        <row r="150">
          <cell r="A150" t="str">
            <v xml:space="preserve"> 580  Ветчина Нежная с индейкой ТМ Особый рецепт в оболочке полиамид.ВЕС  ПОКОМ</v>
          </cell>
          <cell r="B150">
            <v>112.5</v>
          </cell>
        </row>
        <row r="151">
          <cell r="A151" t="str">
            <v xml:space="preserve"> 585  Колбаса Молочная ТМ Стародворье в оболочке вектор НД ВЕС.  ПОКОМ</v>
          </cell>
          <cell r="B151">
            <v>12.6</v>
          </cell>
        </row>
        <row r="152">
          <cell r="A152" t="str">
            <v xml:space="preserve"> 586  Колбаса Мясная ТМ Стародворье в оболочке вектор НД ВЕС.  ПОКОМ</v>
          </cell>
          <cell r="B152">
            <v>207.3</v>
          </cell>
        </row>
        <row r="153">
          <cell r="A153" t="str">
            <v xml:space="preserve"> 588 Колбаса Со шпиком ТМ Стародворье в оболочке вектор ВЕС  ПОКОМ</v>
          </cell>
          <cell r="B153">
            <v>33.9</v>
          </cell>
        </row>
        <row r="154">
          <cell r="A154" t="str">
            <v>Логистический Партнер Шт</v>
          </cell>
          <cell r="B154">
            <v>6255</v>
          </cell>
        </row>
        <row r="155">
          <cell r="A155" t="str">
            <v xml:space="preserve"> 062  Колбаса Кракушка пряная с сальцем, 0.3кг в/у п/к, БАВАРУШКА ПОКОМ</v>
          </cell>
          <cell r="B155">
            <v>90</v>
          </cell>
        </row>
        <row r="156">
          <cell r="A156" t="str">
            <v xml:space="preserve"> 083  Колбаса Швейцарская 0,17 кг., ШТ., сырокопченая   ПОКОМ</v>
          </cell>
          <cell r="B156">
            <v>115</v>
          </cell>
        </row>
        <row r="157">
          <cell r="A157" t="str">
            <v xml:space="preserve"> 273  Сосиски Сочинки с сочной грудинкой, МГС 0.4кг,   ПОКОМ</v>
          </cell>
          <cell r="B157">
            <v>1371</v>
          </cell>
        </row>
        <row r="158">
          <cell r="A158" t="str">
            <v xml:space="preserve"> 278  Сосиски Сочинки с сочным окороком, МГС 0.4кг,   ПОКОМ</v>
          </cell>
          <cell r="B158">
            <v>452</v>
          </cell>
        </row>
        <row r="159">
          <cell r="A159" t="str">
            <v xml:space="preserve"> 281  Сосиски Молочные для завтрака ТМ Особый рецепт, 0,4кг  ПОКОМ</v>
          </cell>
          <cell r="B159">
            <v>64</v>
          </cell>
        </row>
        <row r="160">
          <cell r="A160" t="str">
            <v xml:space="preserve"> 285  Паштет печеночный со слив.маслом ТМ Стародворье ламистер 0,1 кг  ПОКОМ</v>
          </cell>
          <cell r="B160">
            <v>97</v>
          </cell>
        </row>
        <row r="161">
          <cell r="A161" t="str">
            <v xml:space="preserve"> 296  Колбаса Мясорубская с рубленой грудинкой 0,35кг срез ТМ Стародворье  ПОКОМ</v>
          </cell>
          <cell r="B161">
            <v>166</v>
          </cell>
        </row>
        <row r="162">
          <cell r="A162" t="str">
            <v xml:space="preserve"> 301  Сосиски Сочинки по-баварски с сыром,  0.4кг, ТМ Стародворье  ПОКОМ</v>
          </cell>
          <cell r="B162">
            <v>156</v>
          </cell>
        </row>
        <row r="163">
          <cell r="A163" t="str">
            <v xml:space="preserve"> 302  Сосиски Сочинки по-баварски,  0.4кг, ТМ Стародворье  ПОКОМ</v>
          </cell>
          <cell r="B163">
            <v>178</v>
          </cell>
        </row>
        <row r="164">
          <cell r="A164" t="str">
            <v xml:space="preserve"> 307  Колбаса Сервелат Мясорубский с мелкорубленным окороком 0,35 кг срез ТМ Стародворье   Поком</v>
          </cell>
          <cell r="B164">
            <v>233</v>
          </cell>
        </row>
        <row r="165">
          <cell r="A165" t="str">
            <v xml:space="preserve"> 309  Сосиски Сочинки с сыром 0,4 кг ТМ Стародворье  ПОКОМ</v>
          </cell>
          <cell r="B165">
            <v>294</v>
          </cell>
        </row>
        <row r="166">
          <cell r="A166" t="str">
            <v xml:space="preserve"> 328  Сардельки Сочинки Стародворье ТМ  0,4 кг ПОКОМ</v>
          </cell>
          <cell r="B166">
            <v>92</v>
          </cell>
        </row>
        <row r="167">
          <cell r="A167" t="str">
            <v xml:space="preserve"> 329  Сардельки Сочинки с сыром Стародворье ТМ, 0,4 кг. ПОКОМ</v>
          </cell>
          <cell r="B167">
            <v>148</v>
          </cell>
        </row>
        <row r="168">
          <cell r="A168" t="str">
            <v xml:space="preserve"> 334  Паштет Любительский ТМ Стародворье ламистер 0,1 кг  ПОКОМ</v>
          </cell>
          <cell r="B168">
            <v>130</v>
          </cell>
        </row>
        <row r="169">
          <cell r="A169" t="str">
            <v xml:space="preserve"> 338  Паштет печеночный с морковью ТМ Стародворье ламистер 0,1 кг.  ПОКОМ</v>
          </cell>
          <cell r="B169">
            <v>127</v>
          </cell>
        </row>
        <row r="170">
          <cell r="A170" t="str">
            <v xml:space="preserve"> 342 Сосиски Сочинки Молочные ТМ Стародворье 0,4 кг ПОКОМ</v>
          </cell>
          <cell r="B170">
            <v>482</v>
          </cell>
        </row>
        <row r="171">
          <cell r="A171" t="str">
            <v xml:space="preserve"> 343 Сосиски Сочинки Сливочные ТМ Стародворье  0,4 кг ПОКОМ</v>
          </cell>
          <cell r="B171">
            <v>213</v>
          </cell>
        </row>
        <row r="172">
          <cell r="A172" t="str">
            <v xml:space="preserve"> 376  Колбаса Докторская Дугушка 0,6кг ГОСТ ТМ Стародворье  ПОКОМ </v>
          </cell>
          <cell r="B172">
            <v>6</v>
          </cell>
        </row>
        <row r="173">
          <cell r="A173" t="str">
            <v xml:space="preserve"> 377  Колбаса Молочная Дугушка 0,6кг ТМ Стародворье  ПОКОМ</v>
          </cell>
          <cell r="B173">
            <v>49</v>
          </cell>
        </row>
        <row r="174">
          <cell r="A174" t="str">
            <v xml:space="preserve"> 394 Колбаса полукопченая Аль-Ислами халяль ТМ Вязанка оболочка фиброуз в в/у 0,35 кг  ПОКОМ</v>
          </cell>
          <cell r="B174">
            <v>105</v>
          </cell>
        </row>
        <row r="175">
          <cell r="A175" t="str">
            <v xml:space="preserve"> 397  Ветчина Дугушка ТМ Стародворье ТС Дугушка в полиамидной оболочке 0,6 кг. ПОКОМ</v>
          </cell>
          <cell r="B175">
            <v>6</v>
          </cell>
        </row>
        <row r="176">
          <cell r="A176" t="str">
            <v xml:space="preserve"> 410  Сосиски Баварские с сыром ТМ Стародворье 0,35 кг. ПОКОМ</v>
          </cell>
          <cell r="B176">
            <v>63</v>
          </cell>
        </row>
        <row r="177">
          <cell r="A177" t="str">
            <v xml:space="preserve"> 412  Сосиски Баварские ТМ Стародворье 0,35 кг ПОКОМ</v>
          </cell>
          <cell r="B177">
            <v>59</v>
          </cell>
        </row>
        <row r="178">
          <cell r="A178" t="str">
            <v xml:space="preserve"> 435  Колбаса Молочная Стародворская  с молоком в оболочке полиамид 0,4 кг.ТМ Стародворье ПОКОМ</v>
          </cell>
          <cell r="B178">
            <v>82</v>
          </cell>
        </row>
        <row r="179">
          <cell r="A179" t="str">
            <v xml:space="preserve"> 441  Сосиски Сочинки ТМ Стародворье с сочной грудинкой 0,3 кг ПОКОМ</v>
          </cell>
          <cell r="B179">
            <v>6</v>
          </cell>
        </row>
        <row r="180">
          <cell r="A180" t="str">
            <v xml:space="preserve"> 498  Колбаса Сочинка рубленая с сочным окороком 0,3кг ТМ Стародворье  ПОКОМ</v>
          </cell>
          <cell r="B180">
            <v>230</v>
          </cell>
        </row>
        <row r="181">
          <cell r="A181" t="str">
            <v xml:space="preserve"> 523  Колбаса Сальчичон нарезка 0,07кг ТМ Стародворье  ПОКОМ </v>
          </cell>
          <cell r="B181">
            <v>80</v>
          </cell>
        </row>
        <row r="182">
          <cell r="A182" t="str">
            <v xml:space="preserve"> 525  Колбаса Фуэт нарезка 0,07кг ТМ Стародворье  ПОКОМ</v>
          </cell>
          <cell r="B182">
            <v>71</v>
          </cell>
        </row>
        <row r="183">
          <cell r="A183" t="str">
            <v xml:space="preserve"> 526  Корейка вяленая выдержанная нарезка 0,05кг ТМ Стародворье  ПОКОМ</v>
          </cell>
          <cell r="B183">
            <v>41</v>
          </cell>
        </row>
        <row r="184">
          <cell r="A184" t="str">
            <v xml:space="preserve"> 527  Окорок Прошутто выдержанный нарезка 0,055кг ТМ Стародворье  ПОКОМ</v>
          </cell>
          <cell r="B184">
            <v>70</v>
          </cell>
        </row>
        <row r="185">
          <cell r="A185" t="str">
            <v xml:space="preserve"> 530  Окорок Хамон выдержанный нарезка 0,055кг ТМ Стародворье  ПОКОМ</v>
          </cell>
          <cell r="B185">
            <v>40</v>
          </cell>
        </row>
        <row r="186">
          <cell r="A186" t="str">
            <v xml:space="preserve"> 553  Ассорти колбас Мясорубская коллекция: Сервелат Делюкс, С балыком 0,08 кг нарезка  ПОКОМ</v>
          </cell>
          <cell r="B186">
            <v>68</v>
          </cell>
        </row>
        <row r="187">
          <cell r="A187" t="str">
            <v xml:space="preserve"> 554  Колбаса Сервелат Мясорубский ТМ Стародворье в упаковке скин 0,08 кг нарезка  ПОКОМ</v>
          </cell>
          <cell r="B187">
            <v>107</v>
          </cell>
        </row>
        <row r="188">
          <cell r="A188" t="str">
            <v>495  Колбаса Сочинка по-европейски с сочной грудинкой 0,3кг ТМ Стародворье  ПОКОМ</v>
          </cell>
          <cell r="B188">
            <v>267</v>
          </cell>
        </row>
        <row r="189">
          <cell r="A189" t="str">
            <v>496  Колбаса Сочинка по-фински с сочным окроком 0,3кг ТМ Стародворье  ПОКОМ</v>
          </cell>
          <cell r="B189">
            <v>299</v>
          </cell>
        </row>
        <row r="190">
          <cell r="A190" t="str">
            <v>515  Колбаса Сервелат Мясорубский Делюкс 0,3кг ТМ Стародворье  ПОКОМ</v>
          </cell>
          <cell r="B190">
            <v>136</v>
          </cell>
        </row>
        <row r="191">
          <cell r="A191" t="str">
            <v>519  Грудинка 0,12 кг нарезка ТМ Стародворье  ПОКОМ</v>
          </cell>
          <cell r="B191">
            <v>60</v>
          </cell>
        </row>
        <row r="192">
          <cell r="A192" t="str">
            <v>А_ 302  Сосиски Сочинки по-баварски,  0.4кг, ТМ Стародворье  ПОКОМ</v>
          </cell>
          <cell r="B192">
            <v>2</v>
          </cell>
        </row>
        <row r="193">
          <cell r="A193" t="str">
            <v>Итого</v>
          </cell>
          <cell r="B193">
            <v>263332.16499999998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BE243"/>
  <sheetViews>
    <sheetView tabSelected="1" workbookViewId="0">
      <pane xSplit="1" ySplit="10" topLeftCell="B107" activePane="bottomRight" state="frozen"/>
      <selection pane="topRight" activeCell="B1" sqref="B1"/>
      <selection pane="bottomLeft" activeCell="A11" sqref="A11"/>
      <selection pane="bottomRight" activeCell="H115" sqref="H115"/>
    </sheetView>
  </sheetViews>
  <sheetFormatPr defaultColWidth="10.44140625" defaultRowHeight="11.4" customHeight="1" outlineLevelRow="1" x14ac:dyDescent="0.2"/>
  <cols>
    <col min="1" max="1" width="54.33203125" style="1" customWidth="1"/>
    <col min="2" max="2" width="5" style="1" customWidth="1"/>
    <col min="3" max="3" width="8" style="1" customWidth="1"/>
    <col min="4" max="5" width="9.109375" style="1" bestFit="1" customWidth="1"/>
    <col min="6" max="6" width="8.88671875" style="1" customWidth="1"/>
    <col min="7" max="15" width="6.109375" style="5" customWidth="1"/>
    <col min="16" max="16" width="8.33203125" style="5" customWidth="1"/>
    <col min="17" max="17" width="7.33203125" style="5" customWidth="1"/>
    <col min="18" max="28" width="6.109375" style="5" customWidth="1"/>
    <col min="29" max="29" width="8.44140625" style="5" customWidth="1"/>
    <col min="30" max="30" width="1.5546875" style="5" customWidth="1"/>
    <col min="31" max="16384" width="10.44140625" style="5"/>
  </cols>
  <sheetData>
    <row r="1" spans="1:57" s="1" customFormat="1" ht="9.9" customHeight="1" x14ac:dyDescent="0.2"/>
    <row r="2" spans="1:57" ht="24.9" customHeight="1" x14ac:dyDescent="0.2">
      <c r="A2" s="2" t="s">
        <v>0</v>
      </c>
    </row>
    <row r="3" spans="1:57" s="1" customFormat="1" ht="9.9" customHeight="1" x14ac:dyDescent="0.2"/>
    <row r="4" spans="1:57" ht="12.9" customHeight="1" outlineLevel="1" x14ac:dyDescent="0.2">
      <c r="A4" s="3" t="s">
        <v>1</v>
      </c>
      <c r="B4" s="3"/>
      <c r="C4" s="3"/>
    </row>
    <row r="5" spans="1:57" ht="12.9" customHeight="1" outlineLevel="1" x14ac:dyDescent="0.2">
      <c r="B5" s="3"/>
      <c r="C5" s="3"/>
    </row>
    <row r="6" spans="1:57" ht="26.15" customHeight="1" outlineLevel="1" x14ac:dyDescent="0.2">
      <c r="A6" s="3" t="s">
        <v>2</v>
      </c>
      <c r="B6" s="3"/>
      <c r="C6" s="3"/>
      <c r="D6" s="3"/>
      <c r="E6" s="3"/>
      <c r="F6" s="3"/>
    </row>
    <row r="7" spans="1:57" s="1" customFormat="1" ht="9.9" customHeight="1" x14ac:dyDescent="0.2"/>
    <row r="8" spans="1:57" ht="12.9" customHeight="1" x14ac:dyDescent="0.35">
      <c r="A8" s="6" t="s">
        <v>3</v>
      </c>
      <c r="B8" s="6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10"/>
      <c r="H8" s="11" t="s">
        <v>116</v>
      </c>
      <c r="I8" s="12" t="s">
        <v>117</v>
      </c>
      <c r="J8" s="12" t="s">
        <v>118</v>
      </c>
      <c r="K8" s="12" t="s">
        <v>119</v>
      </c>
      <c r="L8" s="12" t="s">
        <v>120</v>
      </c>
      <c r="M8" s="12" t="s">
        <v>121</v>
      </c>
      <c r="N8" s="12" t="s">
        <v>122</v>
      </c>
      <c r="O8" s="12" t="s">
        <v>123</v>
      </c>
      <c r="P8" s="12" t="s">
        <v>123</v>
      </c>
      <c r="Q8" s="12" t="s">
        <v>123</v>
      </c>
      <c r="R8" s="12" t="s">
        <v>124</v>
      </c>
      <c r="S8" s="13" t="s">
        <v>125</v>
      </c>
      <c r="T8" s="14" t="s">
        <v>126</v>
      </c>
      <c r="U8" s="14" t="s">
        <v>127</v>
      </c>
      <c r="V8" s="12" t="s">
        <v>128</v>
      </c>
      <c r="W8" s="12" t="s">
        <v>129</v>
      </c>
      <c r="X8" s="12" t="s">
        <v>130</v>
      </c>
      <c r="Y8" s="12" t="s">
        <v>130</v>
      </c>
      <c r="Z8" s="12" t="s">
        <v>130</v>
      </c>
      <c r="AA8" s="12" t="s">
        <v>130</v>
      </c>
      <c r="AB8" s="12" t="s">
        <v>131</v>
      </c>
      <c r="AC8" s="12" t="s">
        <v>132</v>
      </c>
    </row>
    <row r="9" spans="1:57" ht="12.9" customHeight="1" x14ac:dyDescent="0.2">
      <c r="A9" s="6"/>
      <c r="B9" s="6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 t="s">
        <v>133</v>
      </c>
      <c r="P9" s="4" t="s">
        <v>133</v>
      </c>
      <c r="Q9" s="4" t="s">
        <v>134</v>
      </c>
      <c r="R9" s="4" t="s">
        <v>135</v>
      </c>
      <c r="S9" s="15" t="s">
        <v>136</v>
      </c>
      <c r="T9" s="4"/>
      <c r="U9" s="4"/>
      <c r="V9" s="4"/>
      <c r="W9" s="4"/>
      <c r="X9" s="4" t="s">
        <v>137</v>
      </c>
      <c r="Y9" s="4" t="s">
        <v>138</v>
      </c>
      <c r="Z9" s="4" t="s">
        <v>139</v>
      </c>
      <c r="AA9" s="4" t="s">
        <v>140</v>
      </c>
      <c r="AB9" s="4"/>
      <c r="AC9" s="4" t="s">
        <v>136</v>
      </c>
    </row>
    <row r="10" spans="1:57" ht="12.9" customHeight="1" x14ac:dyDescent="0.25">
      <c r="A10" s="6"/>
      <c r="B10" s="6"/>
      <c r="C10" s="16">
        <f>SUM(C11:C416)</f>
        <v>12958.571000000002</v>
      </c>
      <c r="D10" s="16">
        <f t="shared" ref="D10:F10" si="0">SUM(D11:D416)</f>
        <v>17580.605000000003</v>
      </c>
      <c r="E10" s="16">
        <f t="shared" si="0"/>
        <v>24050.742999999991</v>
      </c>
      <c r="F10" s="16">
        <f t="shared" si="0"/>
        <v>5834.3340000000007</v>
      </c>
      <c r="G10" s="4"/>
      <c r="H10" s="4"/>
      <c r="I10" s="4"/>
      <c r="J10" s="4"/>
      <c r="K10" s="4"/>
      <c r="L10" s="16">
        <f t="shared" ref="L10:T10" si="1">SUM(L11:L416)</f>
        <v>29200.039999999997</v>
      </c>
      <c r="M10" s="16">
        <f t="shared" si="1"/>
        <v>-5149.2970000000005</v>
      </c>
      <c r="N10" s="16">
        <f t="shared" si="1"/>
        <v>0</v>
      </c>
      <c r="O10" s="16">
        <f t="shared" si="1"/>
        <v>4000</v>
      </c>
      <c r="P10" s="16">
        <f t="shared" si="1"/>
        <v>22725</v>
      </c>
      <c r="Q10" s="16">
        <f t="shared" si="1"/>
        <v>20491.8</v>
      </c>
      <c r="R10" s="16">
        <f t="shared" si="1"/>
        <v>4810.1486000000023</v>
      </c>
      <c r="S10" s="16">
        <f t="shared" si="1"/>
        <v>12677.9126</v>
      </c>
      <c r="T10" s="16">
        <f t="shared" si="1"/>
        <v>6550</v>
      </c>
      <c r="U10" s="4"/>
      <c r="V10" s="4"/>
      <c r="W10" s="4"/>
      <c r="X10" s="16">
        <f>SUM(X11:X416)</f>
        <v>4556.157000000002</v>
      </c>
      <c r="Y10" s="16">
        <f>SUM(Y11:Y416)</f>
        <v>4507.9129999999977</v>
      </c>
      <c r="Z10" s="16">
        <f>SUM(Z11:Z416)</f>
        <v>3849.490400000001</v>
      </c>
      <c r="AA10" s="16">
        <f>SUM(AA11:AA416)</f>
        <v>4879.3427999999994</v>
      </c>
      <c r="AB10" s="4"/>
      <c r="AC10" s="16">
        <f>SUM(AC11:AC416)</f>
        <v>11881.106599999997</v>
      </c>
    </row>
    <row r="11" spans="1:57" ht="11.15" customHeight="1" x14ac:dyDescent="0.25">
      <c r="A11" s="7" t="s">
        <v>9</v>
      </c>
      <c r="B11" s="19" t="s">
        <v>10</v>
      </c>
      <c r="C11" s="24">
        <v>202.822</v>
      </c>
      <c r="D11" s="24">
        <v>261.23899999999998</v>
      </c>
      <c r="E11" s="24">
        <v>405.71</v>
      </c>
      <c r="F11" s="24">
        <v>54.232999999999997</v>
      </c>
      <c r="G11" s="17" t="str">
        <f>VLOOKUP(A:A,[1]TDSheet!$A:$G,7,0)</f>
        <v>P003011</v>
      </c>
      <c r="H11" s="18">
        <f>VLOOKUP(A:A,[1]TDSheet!$A:$H,8,0)</f>
        <v>1</v>
      </c>
      <c r="I11" s="8">
        <f>VLOOKUP(A:A,[1]TDSheet!$A:$I,9,0)</f>
        <v>50</v>
      </c>
      <c r="J11" s="8" t="str">
        <f>VLOOKUP(A:A,[1]TDSheet!$A:$J,10,0)</f>
        <v>матрица</v>
      </c>
      <c r="K11" s="8"/>
      <c r="L11" s="8">
        <f>VLOOKUP(A:A,[2]TDSheet!$A:$B,2,0)</f>
        <v>380.3</v>
      </c>
      <c r="M11" s="17">
        <f>E11-L11</f>
        <v>25.409999999999968</v>
      </c>
      <c r="N11" s="17"/>
      <c r="O11" s="8">
        <f>VLOOKUP(A:A,[1]TDSheet!$A:$P,16,0)</f>
        <v>0</v>
      </c>
      <c r="P11" s="17">
        <f>VLOOKUP(A:A,[1]TDSheet!$A:$Q,17,0)</f>
        <v>170</v>
      </c>
      <c r="Q11" s="17">
        <f>VLOOKUP(A:A,[1]TDSheet!$A:$S,19,0)</f>
        <v>500</v>
      </c>
      <c r="R11" s="17">
        <f>E11/5</f>
        <v>81.141999999999996</v>
      </c>
      <c r="S11" s="20">
        <f>R11*11-F11-O11-P11-Q11</f>
        <v>168.32899999999995</v>
      </c>
      <c r="T11" s="29">
        <v>400</v>
      </c>
      <c r="U11" s="26" t="s">
        <v>141</v>
      </c>
      <c r="V11" s="17">
        <f>(F11+O11+P11+Q11+S11)/R11</f>
        <v>11</v>
      </c>
      <c r="W11" s="17">
        <f>F11/R11</f>
        <v>0.66837149688200936</v>
      </c>
      <c r="X11" s="17">
        <f>VLOOKUP(A:A,[1]TDSheet!$A:$X,24,0)</f>
        <v>59.230600000000003</v>
      </c>
      <c r="Y11" s="17">
        <f>VLOOKUP(A:A,[1]TDSheet!$A:$Y,25,0)</f>
        <v>58.592600000000004</v>
      </c>
      <c r="Z11" s="17">
        <f>VLOOKUP(A:A,[1]TDSheet!$A:$Z,26,0)</f>
        <v>56.728200000000001</v>
      </c>
      <c r="AA11" s="17">
        <f>VLOOKUP(A:A,[1]TDSheet!$A:$AA,27,0)</f>
        <v>56.725999999999999</v>
      </c>
      <c r="AB11" s="17" t="str">
        <f>VLOOKUP(A:A,[1]TDSheet!$A:$AB,28,0)</f>
        <v>ТМА ПРОДОЛЖЕНИЕ Апрель</v>
      </c>
      <c r="AC11" s="17">
        <f>S11*H11</f>
        <v>168.32899999999995</v>
      </c>
      <c r="AD11" s="17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</row>
    <row r="12" spans="1:57" ht="11.15" customHeight="1" x14ac:dyDescent="0.25">
      <c r="A12" s="7" t="s">
        <v>11</v>
      </c>
      <c r="B12" s="7" t="s">
        <v>10</v>
      </c>
      <c r="C12" s="24">
        <v>6.6310000000000002</v>
      </c>
      <c r="D12" s="24">
        <v>445.26600000000002</v>
      </c>
      <c r="E12" s="24">
        <v>425.65600000000001</v>
      </c>
      <c r="F12" s="24">
        <v>8.0079999999999991</v>
      </c>
      <c r="G12" s="17" t="str">
        <f>VLOOKUP(A:A,[1]TDSheet!$A:$G,7,0)</f>
        <v>P003986</v>
      </c>
      <c r="H12" s="18">
        <f>VLOOKUP(A:A,[1]TDSheet!$A:$H,8,0)</f>
        <v>1</v>
      </c>
      <c r="I12" s="8">
        <f>VLOOKUP(A:A,[1]TDSheet!$A:$I,9,0)</f>
        <v>45</v>
      </c>
      <c r="J12" s="8" t="str">
        <f>VLOOKUP(A:A,[1]TDSheet!$A:$J,10,0)</f>
        <v>матрица</v>
      </c>
      <c r="K12" s="8"/>
      <c r="L12" s="8">
        <f>VLOOKUP(A:A,[2]TDSheet!$A:$B,2,0)</f>
        <v>840.9</v>
      </c>
      <c r="M12" s="17">
        <f t="shared" ref="M12:M75" si="2">E12-L12</f>
        <v>-415.24399999999997</v>
      </c>
      <c r="N12" s="17"/>
      <c r="O12" s="8">
        <f>VLOOKUP(A:A,[1]TDSheet!$A:$P,16,0)</f>
        <v>600</v>
      </c>
      <c r="P12" s="17">
        <f>VLOOKUP(A:A,[1]TDSheet!$A:$Q,17,0)</f>
        <v>500</v>
      </c>
      <c r="Q12" s="17">
        <f>VLOOKUP(A:A,[1]TDSheet!$A:$S,19,0)</f>
        <v>1000</v>
      </c>
      <c r="R12" s="17">
        <f t="shared" ref="R12:R75" si="3">E12/5</f>
        <v>85.131200000000007</v>
      </c>
      <c r="S12" s="20"/>
      <c r="T12" s="20"/>
      <c r="U12" s="17"/>
      <c r="V12" s="17">
        <f t="shared" ref="V12:V75" si="4">(F12+O12+P12+Q12+S12)/R12</f>
        <v>24.76187343770556</v>
      </c>
      <c r="W12" s="17">
        <f t="shared" ref="W12:W75" si="5">F12/R12</f>
        <v>9.4066570188133122E-2</v>
      </c>
      <c r="X12" s="17">
        <f>VLOOKUP(A:A,[1]TDSheet!$A:$X,24,0)</f>
        <v>110.9192</v>
      </c>
      <c r="Y12" s="17">
        <f>VLOOKUP(A:A,[1]TDSheet!$A:$Y,25,0)</f>
        <v>103.55160000000001</v>
      </c>
      <c r="Z12" s="17">
        <f>VLOOKUP(A:A,[1]TDSheet!$A:$Z,26,0)</f>
        <v>53.919399999999996</v>
      </c>
      <c r="AA12" s="17">
        <f>VLOOKUP(A:A,[1]TDSheet!$A:$AA,27,0)</f>
        <v>120.83459999999999</v>
      </c>
      <c r="AB12" s="17" t="str">
        <f>VLOOKUP(A:A,[1]TDSheet!$A:$AB,28,0)</f>
        <v>ТМА ПРОДОЛЖЕНИЕ Апрель</v>
      </c>
      <c r="AC12" s="17">
        <f t="shared" ref="AC12:AC75" si="6">S12*H12</f>
        <v>0</v>
      </c>
      <c r="AD12" s="17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</row>
    <row r="13" spans="1:57" ht="11.15" customHeight="1" x14ac:dyDescent="0.25">
      <c r="A13" s="7" t="s">
        <v>12</v>
      </c>
      <c r="B13" s="7" t="s">
        <v>10</v>
      </c>
      <c r="C13" s="24">
        <v>66.891999999999996</v>
      </c>
      <c r="D13" s="24">
        <v>1.379</v>
      </c>
      <c r="E13" s="24">
        <v>96.174000000000007</v>
      </c>
      <c r="F13" s="24">
        <v>-32.56</v>
      </c>
      <c r="G13" s="17" t="str">
        <f>VLOOKUP(A:A,[1]TDSheet!$A:$G,7,0)</f>
        <v>P003988</v>
      </c>
      <c r="H13" s="18">
        <f>VLOOKUP(A:A,[1]TDSheet!$A:$H,8,0)</f>
        <v>1</v>
      </c>
      <c r="I13" s="8">
        <f>VLOOKUP(A:A,[1]TDSheet!$A:$I,9,0)</f>
        <v>45</v>
      </c>
      <c r="J13" s="8" t="str">
        <f>VLOOKUP(A:A,[1]TDSheet!$A:$J,10,0)</f>
        <v>матрица</v>
      </c>
      <c r="K13" s="8"/>
      <c r="L13" s="8">
        <f>VLOOKUP(A:A,[2]TDSheet!$A:$B,2,0)</f>
        <v>364.35</v>
      </c>
      <c r="M13" s="17">
        <f t="shared" si="2"/>
        <v>-268.17600000000004</v>
      </c>
      <c r="N13" s="17"/>
      <c r="O13" s="8">
        <f>VLOOKUP(A:A,[1]TDSheet!$A:$P,16,0)</f>
        <v>700</v>
      </c>
      <c r="P13" s="17">
        <f>VLOOKUP(A:A,[1]TDSheet!$A:$Q,17,0)</f>
        <v>600</v>
      </c>
      <c r="Q13" s="17">
        <f>VLOOKUP(A:A,[1]TDSheet!$A:$S,19,0)</f>
        <v>1000</v>
      </c>
      <c r="R13" s="17">
        <f t="shared" si="3"/>
        <v>19.2348</v>
      </c>
      <c r="S13" s="20"/>
      <c r="T13" s="20"/>
      <c r="U13" s="17"/>
      <c r="V13" s="17">
        <f t="shared" si="4"/>
        <v>117.88217189677044</v>
      </c>
      <c r="W13" s="17">
        <f t="shared" si="5"/>
        <v>-1.6927651964148316</v>
      </c>
      <c r="X13" s="17">
        <f>VLOOKUP(A:A,[1]TDSheet!$A:$X,24,0)</f>
        <v>110.595</v>
      </c>
      <c r="Y13" s="17">
        <f>VLOOKUP(A:A,[1]TDSheet!$A:$Y,25,0)</f>
        <v>120.94500000000001</v>
      </c>
      <c r="Z13" s="17">
        <f>VLOOKUP(A:A,[1]TDSheet!$A:$Z,26,0)</f>
        <v>61.915200000000006</v>
      </c>
      <c r="AA13" s="17">
        <f>VLOOKUP(A:A,[1]TDSheet!$A:$AA,27,0)</f>
        <v>136.8586</v>
      </c>
      <c r="AB13" s="17" t="str">
        <f>VLOOKUP(A:A,[1]TDSheet!$A:$AB,28,0)</f>
        <v>ТМА ПРОДОЛЖЕНИЕ Апрель</v>
      </c>
      <c r="AC13" s="17">
        <f t="shared" si="6"/>
        <v>0</v>
      </c>
      <c r="AD13" s="17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</row>
    <row r="14" spans="1:57" ht="11.15" customHeight="1" x14ac:dyDescent="0.25">
      <c r="A14" s="21" t="s">
        <v>13</v>
      </c>
      <c r="B14" s="21" t="s">
        <v>14</v>
      </c>
      <c r="C14" s="25">
        <v>85</v>
      </c>
      <c r="D14" s="25"/>
      <c r="E14" s="25">
        <v>6</v>
      </c>
      <c r="F14" s="25">
        <v>79</v>
      </c>
      <c r="G14" s="26">
        <f>VLOOKUP(A:A,[1]TDSheet!$A:$G,7,0)</f>
        <v>0</v>
      </c>
      <c r="H14" s="23">
        <f>VLOOKUP(A:A,[1]TDSheet!$A:$H,8,0)</f>
        <v>0.4</v>
      </c>
      <c r="I14" s="22" t="e">
        <f>VLOOKUP(A:A,[1]TDSheet!$A:$I,9,0)</f>
        <v>#N/A</v>
      </c>
      <c r="J14" s="22" t="e">
        <f>VLOOKUP(A:A,[1]TDSheet!$A:$J,10,0)</f>
        <v>#N/A</v>
      </c>
      <c r="K14" s="8"/>
      <c r="L14" s="8">
        <f>VLOOKUP(A:A,[2]TDSheet!$A:$B,2,0)</f>
        <v>36</v>
      </c>
      <c r="M14" s="17">
        <f t="shared" si="2"/>
        <v>-30</v>
      </c>
      <c r="N14" s="17"/>
      <c r="O14" s="8">
        <f>VLOOKUP(A:A,[1]TDSheet!$A:$P,16,0)</f>
        <v>0</v>
      </c>
      <c r="P14" s="17">
        <f>VLOOKUP(A:A,[1]TDSheet!$A:$Q,17,0)</f>
        <v>0</v>
      </c>
      <c r="Q14" s="17">
        <f>VLOOKUP(A:A,[1]TDSheet!$A:$S,19,0)</f>
        <v>0</v>
      </c>
      <c r="R14" s="17">
        <f t="shared" si="3"/>
        <v>1.2</v>
      </c>
      <c r="S14" s="20"/>
      <c r="T14" s="20"/>
      <c r="U14" s="17"/>
      <c r="V14" s="17">
        <f t="shared" si="4"/>
        <v>65.833333333333343</v>
      </c>
      <c r="W14" s="17">
        <f t="shared" si="5"/>
        <v>65.833333333333343</v>
      </c>
      <c r="X14" s="17">
        <f>VLOOKUP(A:A,[1]TDSheet!$A:$X,24,0)</f>
        <v>0</v>
      </c>
      <c r="Y14" s="17">
        <f>VLOOKUP(A:A,[1]TDSheet!$A:$Y,25,0)</f>
        <v>0</v>
      </c>
      <c r="Z14" s="17">
        <f>VLOOKUP(A:A,[1]TDSheet!$A:$Z,26,0)</f>
        <v>0</v>
      </c>
      <c r="AA14" s="17">
        <f>VLOOKUP(A:A,[1]TDSheet!$A:$AA,27,0)</f>
        <v>1</v>
      </c>
      <c r="AB14" s="17" t="e">
        <f>VLOOKUP(A:A,[1]TDSheet!$A:$AB,28,0)</f>
        <v>#N/A</v>
      </c>
      <c r="AC14" s="17">
        <f t="shared" si="6"/>
        <v>0</v>
      </c>
      <c r="AD14" s="17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</row>
    <row r="15" spans="1:57" ht="11.15" customHeight="1" x14ac:dyDescent="0.25">
      <c r="A15" s="7" t="s">
        <v>15</v>
      </c>
      <c r="B15" s="7" t="s">
        <v>14</v>
      </c>
      <c r="C15" s="27"/>
      <c r="D15" s="24">
        <v>504</v>
      </c>
      <c r="E15" s="24">
        <v>255</v>
      </c>
      <c r="F15" s="24">
        <v>246</v>
      </c>
      <c r="G15" s="17" t="str">
        <f>VLOOKUP(A:A,[1]TDSheet!$A:$G,7,0)</f>
        <v>P003985</v>
      </c>
      <c r="H15" s="18">
        <f>VLOOKUP(A:A,[1]TDSheet!$A:$H,8,0)</f>
        <v>0.45</v>
      </c>
      <c r="I15" s="8">
        <f>VLOOKUP(A:A,[1]TDSheet!$A:$I,9,0)</f>
        <v>0</v>
      </c>
      <c r="J15" s="8">
        <f>VLOOKUP(A:A,[1]TDSheet!$A:$J,10,0)</f>
        <v>0</v>
      </c>
      <c r="K15" s="8"/>
      <c r="L15" s="8">
        <f>VLOOKUP(A:A,[2]TDSheet!$A:$B,2,0)</f>
        <v>273</v>
      </c>
      <c r="M15" s="17">
        <f t="shared" si="2"/>
        <v>-18</v>
      </c>
      <c r="N15" s="17"/>
      <c r="O15" s="8">
        <f>VLOOKUP(A:A,[1]TDSheet!$A:$P,16,0)</f>
        <v>0</v>
      </c>
      <c r="P15" s="17">
        <f>VLOOKUP(A:A,[1]TDSheet!$A:$Q,17,0)</f>
        <v>200</v>
      </c>
      <c r="Q15" s="17">
        <f>VLOOKUP(A:A,[1]TDSheet!$A:$S,19,0)</f>
        <v>200</v>
      </c>
      <c r="R15" s="17">
        <f t="shared" si="3"/>
        <v>51</v>
      </c>
      <c r="S15" s="20"/>
      <c r="T15" s="29">
        <v>200</v>
      </c>
      <c r="U15" s="26" t="s">
        <v>141</v>
      </c>
      <c r="V15" s="17">
        <f t="shared" si="4"/>
        <v>12.666666666666666</v>
      </c>
      <c r="W15" s="17">
        <f t="shared" si="5"/>
        <v>4.8235294117647056</v>
      </c>
      <c r="X15" s="17">
        <f>VLOOKUP(A:A,[1]TDSheet!$A:$X,24,0)</f>
        <v>48</v>
      </c>
      <c r="Y15" s="17">
        <f>VLOOKUP(A:A,[1]TDSheet!$A:$Y,25,0)</f>
        <v>12.8</v>
      </c>
      <c r="Z15" s="17">
        <f>VLOOKUP(A:A,[1]TDSheet!$A:$Z,26,0)</f>
        <v>-0.4</v>
      </c>
      <c r="AA15" s="17">
        <f>VLOOKUP(A:A,[1]TDSheet!$A:$AA,27,0)</f>
        <v>59.6</v>
      </c>
      <c r="AB15" s="17" t="str">
        <f>VLOOKUP(A:A,[1]TDSheet!$A:$AB,28,0)</f>
        <v>Мера</v>
      </c>
      <c r="AC15" s="17">
        <f t="shared" si="6"/>
        <v>0</v>
      </c>
      <c r="AD15" s="17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</row>
    <row r="16" spans="1:57" ht="11.15" customHeight="1" x14ac:dyDescent="0.25">
      <c r="A16" s="7" t="s">
        <v>16</v>
      </c>
      <c r="B16" s="7" t="s">
        <v>14</v>
      </c>
      <c r="C16" s="24">
        <v>314</v>
      </c>
      <c r="D16" s="24">
        <v>125</v>
      </c>
      <c r="E16" s="24">
        <v>409</v>
      </c>
      <c r="F16" s="24">
        <v>22</v>
      </c>
      <c r="G16" s="17" t="str">
        <f>VLOOKUP(A:A,[1]TDSheet!$A:$G,7,0)</f>
        <v>P003989</v>
      </c>
      <c r="H16" s="18">
        <f>VLOOKUP(A:A,[1]TDSheet!$A:$H,8,0)</f>
        <v>0.45</v>
      </c>
      <c r="I16" s="8">
        <f>VLOOKUP(A:A,[1]TDSheet!$A:$I,9,0)</f>
        <v>45</v>
      </c>
      <c r="J16" s="8" t="str">
        <f>VLOOKUP(A:A,[1]TDSheet!$A:$J,10,0)</f>
        <v>матрица</v>
      </c>
      <c r="K16" s="8"/>
      <c r="L16" s="8">
        <f>VLOOKUP(A:A,[2]TDSheet!$A:$B,2,0)</f>
        <v>471</v>
      </c>
      <c r="M16" s="17">
        <f t="shared" si="2"/>
        <v>-62</v>
      </c>
      <c r="N16" s="17"/>
      <c r="O16" s="8">
        <f>VLOOKUP(A:A,[1]TDSheet!$A:$P,16,0)</f>
        <v>0</v>
      </c>
      <c r="P16" s="17">
        <f>VLOOKUP(A:A,[1]TDSheet!$A:$Q,17,0)</f>
        <v>270</v>
      </c>
      <c r="Q16" s="17">
        <f>VLOOKUP(A:A,[1]TDSheet!$A:$S,19,0)</f>
        <v>1000</v>
      </c>
      <c r="R16" s="17">
        <f t="shared" si="3"/>
        <v>81.8</v>
      </c>
      <c r="S16" s="20"/>
      <c r="T16" s="29">
        <v>250</v>
      </c>
      <c r="U16" s="26" t="s">
        <v>141</v>
      </c>
      <c r="V16" s="17">
        <f t="shared" si="4"/>
        <v>15.794621026894866</v>
      </c>
      <c r="W16" s="17">
        <f t="shared" si="5"/>
        <v>0.26894865525672373</v>
      </c>
      <c r="X16" s="17">
        <f>VLOOKUP(A:A,[1]TDSheet!$A:$X,24,0)</f>
        <v>77</v>
      </c>
      <c r="Y16" s="17">
        <f>VLOOKUP(A:A,[1]TDSheet!$A:$Y,25,0)</f>
        <v>75.599999999999994</v>
      </c>
      <c r="Z16" s="17">
        <f>VLOOKUP(A:A,[1]TDSheet!$A:$Z,26,0)</f>
        <v>39.799999999999997</v>
      </c>
      <c r="AA16" s="17">
        <f>VLOOKUP(A:A,[1]TDSheet!$A:$AA,27,0)</f>
        <v>64.8</v>
      </c>
      <c r="AB16" s="17" t="str">
        <f>VLOOKUP(A:A,[1]TDSheet!$A:$AB,28,0)</f>
        <v>зв</v>
      </c>
      <c r="AC16" s="17">
        <f t="shared" si="6"/>
        <v>0</v>
      </c>
      <c r="AD16" s="17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</row>
    <row r="17" spans="1:57" ht="11.15" customHeight="1" x14ac:dyDescent="0.25">
      <c r="A17" s="7" t="s">
        <v>17</v>
      </c>
      <c r="B17" s="7" t="s">
        <v>14</v>
      </c>
      <c r="C17" s="24">
        <v>69</v>
      </c>
      <c r="D17" s="24">
        <v>9</v>
      </c>
      <c r="E17" s="24">
        <v>58</v>
      </c>
      <c r="F17" s="24">
        <v>1</v>
      </c>
      <c r="G17" s="17" t="str">
        <f>VLOOKUP(A:A,[1]TDSheet!$A:$G,7,0)</f>
        <v>P002461</v>
      </c>
      <c r="H17" s="18">
        <f>VLOOKUP(A:A,[1]TDSheet!$A:$H,8,0)</f>
        <v>0.3</v>
      </c>
      <c r="I17" s="8">
        <f>VLOOKUP(A:A,[1]TDSheet!$A:$I,9,0)</f>
        <v>40</v>
      </c>
      <c r="J17" s="8" t="str">
        <f>VLOOKUP(A:A,[1]TDSheet!$A:$J,10,0)</f>
        <v>матрица</v>
      </c>
      <c r="K17" s="8"/>
      <c r="L17" s="8">
        <f>VLOOKUP(A:A,[2]TDSheet!$A:$B,2,0)</f>
        <v>90</v>
      </c>
      <c r="M17" s="17">
        <f t="shared" si="2"/>
        <v>-32</v>
      </c>
      <c r="N17" s="17"/>
      <c r="O17" s="8">
        <f>VLOOKUP(A:A,[1]TDSheet!$A:$P,16,0)</f>
        <v>0</v>
      </c>
      <c r="P17" s="17">
        <f>VLOOKUP(A:A,[1]TDSheet!$A:$Q,17,0)</f>
        <v>100</v>
      </c>
      <c r="Q17" s="17">
        <f>VLOOKUP(A:A,[1]TDSheet!$A:$S,19,0)</f>
        <v>150</v>
      </c>
      <c r="R17" s="17">
        <f t="shared" si="3"/>
        <v>11.6</v>
      </c>
      <c r="S17" s="20"/>
      <c r="T17" s="29">
        <v>50</v>
      </c>
      <c r="U17" s="26"/>
      <c r="V17" s="17">
        <f t="shared" si="4"/>
        <v>21.637931034482758</v>
      </c>
      <c r="W17" s="17">
        <f t="shared" si="5"/>
        <v>8.6206896551724144E-2</v>
      </c>
      <c r="X17" s="17">
        <f>VLOOKUP(A:A,[1]TDSheet!$A:$X,24,0)</f>
        <v>11.4</v>
      </c>
      <c r="Y17" s="17">
        <f>VLOOKUP(A:A,[1]TDSheet!$A:$Y,25,0)</f>
        <v>17.2</v>
      </c>
      <c r="Z17" s="17">
        <f>VLOOKUP(A:A,[1]TDSheet!$A:$Z,26,0)</f>
        <v>8.6</v>
      </c>
      <c r="AA17" s="17">
        <f>VLOOKUP(A:A,[1]TDSheet!$A:$AA,27,0)</f>
        <v>16</v>
      </c>
      <c r="AB17" s="17" t="str">
        <f>VLOOKUP(A:A,[1]TDSheet!$A:$AB,28,0)</f>
        <v>увел продажи</v>
      </c>
      <c r="AC17" s="17">
        <f t="shared" si="6"/>
        <v>0</v>
      </c>
      <c r="AD17" s="17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</row>
    <row r="18" spans="1:57" ht="11.15" customHeight="1" x14ac:dyDescent="0.25">
      <c r="A18" s="7" t="s">
        <v>18</v>
      </c>
      <c r="B18" s="7" t="s">
        <v>14</v>
      </c>
      <c r="C18" s="24">
        <v>13</v>
      </c>
      <c r="D18" s="24">
        <v>270</v>
      </c>
      <c r="E18" s="24">
        <v>113</v>
      </c>
      <c r="F18" s="24">
        <v>169</v>
      </c>
      <c r="G18" s="17" t="str">
        <f>VLOOKUP(A:A,[1]TDSheet!$A:$G,7,0)</f>
        <v>P001909</v>
      </c>
      <c r="H18" s="18">
        <f>VLOOKUP(A:A,[1]TDSheet!$A:$H,8,0)</f>
        <v>0.17</v>
      </c>
      <c r="I18" s="8">
        <f>VLOOKUP(A:A,[1]TDSheet!$A:$I,9,0)</f>
        <v>180</v>
      </c>
      <c r="J18" s="8" t="str">
        <f>VLOOKUP(A:A,[1]TDSheet!$A:$J,10,0)</f>
        <v>матрица</v>
      </c>
      <c r="K18" s="8"/>
      <c r="L18" s="8">
        <f>VLOOKUP(A:A,[2]TDSheet!$A:$B,2,0)</f>
        <v>115</v>
      </c>
      <c r="M18" s="17">
        <f t="shared" si="2"/>
        <v>-2</v>
      </c>
      <c r="N18" s="17"/>
      <c r="O18" s="8">
        <f>VLOOKUP(A:A,[1]TDSheet!$A:$P,16,0)</f>
        <v>0</v>
      </c>
      <c r="P18" s="17">
        <f>VLOOKUP(A:A,[1]TDSheet!$A:$Q,17,0)</f>
        <v>0</v>
      </c>
      <c r="Q18" s="17">
        <f>VLOOKUP(A:A,[1]TDSheet!$A:$S,19,0)</f>
        <v>150</v>
      </c>
      <c r="R18" s="17">
        <f t="shared" si="3"/>
        <v>22.6</v>
      </c>
      <c r="S18" s="20"/>
      <c r="T18" s="29">
        <v>300</v>
      </c>
      <c r="U18" s="26"/>
      <c r="V18" s="17">
        <f t="shared" si="4"/>
        <v>14.11504424778761</v>
      </c>
      <c r="W18" s="17">
        <f t="shared" si="5"/>
        <v>7.4778761061946897</v>
      </c>
      <c r="X18" s="17">
        <f>VLOOKUP(A:A,[1]TDSheet!$A:$X,24,0)</f>
        <v>10.4</v>
      </c>
      <c r="Y18" s="17">
        <f>VLOOKUP(A:A,[1]TDSheet!$A:$Y,25,0)</f>
        <v>12</v>
      </c>
      <c r="Z18" s="17">
        <f>VLOOKUP(A:A,[1]TDSheet!$A:$Z,26,0)</f>
        <v>14.8</v>
      </c>
      <c r="AA18" s="17">
        <f>VLOOKUP(A:A,[1]TDSheet!$A:$AA,27,0)</f>
        <v>25</v>
      </c>
      <c r="AB18" s="17" t="str">
        <f>VLOOKUP(A:A,[1]TDSheet!$A:$AB,28,0)</f>
        <v>Макс</v>
      </c>
      <c r="AC18" s="17">
        <f t="shared" si="6"/>
        <v>0</v>
      </c>
      <c r="AD18" s="17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</row>
    <row r="19" spans="1:57" ht="11.15" customHeight="1" x14ac:dyDescent="0.25">
      <c r="A19" s="7" t="s">
        <v>19</v>
      </c>
      <c r="B19" s="7" t="s">
        <v>10</v>
      </c>
      <c r="C19" s="24">
        <v>298.09500000000003</v>
      </c>
      <c r="D19" s="24">
        <v>164.86099999999999</v>
      </c>
      <c r="E19" s="24">
        <v>458.31200000000001</v>
      </c>
      <c r="F19" s="24">
        <v>2.8839999999999999</v>
      </c>
      <c r="G19" s="17" t="str">
        <f>VLOOKUP(A:A,[1]TDSheet!$A:$G,7,0)</f>
        <v>P004460</v>
      </c>
      <c r="H19" s="18">
        <f>VLOOKUP(A:A,[1]TDSheet!$A:$H,8,0)</f>
        <v>1</v>
      </c>
      <c r="I19" s="8">
        <f>VLOOKUP(A:A,[1]TDSheet!$A:$I,9,0)</f>
        <v>55</v>
      </c>
      <c r="J19" s="8" t="str">
        <f>VLOOKUP(A:A,[1]TDSheet!$A:$J,10,0)</f>
        <v>матрица</v>
      </c>
      <c r="K19" s="8"/>
      <c r="L19" s="8">
        <f>VLOOKUP(A:A,[2]TDSheet!$A:$B,2,0)</f>
        <v>493.98</v>
      </c>
      <c r="M19" s="17">
        <f t="shared" si="2"/>
        <v>-35.668000000000006</v>
      </c>
      <c r="N19" s="17"/>
      <c r="O19" s="8">
        <f>VLOOKUP(A:A,[1]TDSheet!$A:$P,16,0)</f>
        <v>0</v>
      </c>
      <c r="P19" s="17">
        <f>VLOOKUP(A:A,[1]TDSheet!$A:$Q,17,0)</f>
        <v>470</v>
      </c>
      <c r="Q19" s="17">
        <f>VLOOKUP(A:A,[1]TDSheet!$A:$S,19,0)</f>
        <v>500</v>
      </c>
      <c r="R19" s="17">
        <f t="shared" si="3"/>
        <v>91.662400000000005</v>
      </c>
      <c r="S19" s="20"/>
      <c r="T19" s="29">
        <v>300</v>
      </c>
      <c r="U19" s="26" t="s">
        <v>141</v>
      </c>
      <c r="V19" s="17">
        <f t="shared" si="4"/>
        <v>10.61377402293634</v>
      </c>
      <c r="W19" s="17">
        <f t="shared" si="5"/>
        <v>3.1463282654610833E-2</v>
      </c>
      <c r="X19" s="17">
        <f>VLOOKUP(A:A,[1]TDSheet!$A:$X,24,0)</f>
        <v>73.17</v>
      </c>
      <c r="Y19" s="17">
        <f>VLOOKUP(A:A,[1]TDSheet!$A:$Y,25,0)</f>
        <v>84.661199999999994</v>
      </c>
      <c r="Z19" s="17">
        <f>VLOOKUP(A:A,[1]TDSheet!$A:$Z,26,0)</f>
        <v>76.513199999999998</v>
      </c>
      <c r="AA19" s="17">
        <f>VLOOKUP(A:A,[1]TDSheet!$A:$AA,27,0)</f>
        <v>84.409599999999998</v>
      </c>
      <c r="AB19" s="17" t="str">
        <f>VLOOKUP(A:A,[1]TDSheet!$A:$AB,28,0)</f>
        <v>ТМА ПРОДОЛЖЕНИЕ Апрель</v>
      </c>
      <c r="AC19" s="17">
        <f t="shared" si="6"/>
        <v>0</v>
      </c>
      <c r="AD19" s="17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</row>
    <row r="20" spans="1:57" ht="11.15" customHeight="1" x14ac:dyDescent="0.25">
      <c r="A20" s="7" t="s">
        <v>20</v>
      </c>
      <c r="B20" s="7" t="s">
        <v>10</v>
      </c>
      <c r="C20" s="24">
        <v>350.435</v>
      </c>
      <c r="D20" s="24">
        <v>2546.0349999999999</v>
      </c>
      <c r="E20" s="24">
        <v>2203.5549999999998</v>
      </c>
      <c r="F20" s="24">
        <v>665.83</v>
      </c>
      <c r="G20" s="17" t="str">
        <f>VLOOKUP(A:A,[1]TDSheet!$A:$G,7,0)</f>
        <v>P002555</v>
      </c>
      <c r="H20" s="18">
        <f>VLOOKUP(A:A,[1]TDSheet!$A:$H,8,0)</f>
        <v>1</v>
      </c>
      <c r="I20" s="8">
        <f>VLOOKUP(A:A,[1]TDSheet!$A:$I,9,0)</f>
        <v>50</v>
      </c>
      <c r="J20" s="8" t="str">
        <f>VLOOKUP(A:A,[1]TDSheet!$A:$J,10,0)</f>
        <v>матрица</v>
      </c>
      <c r="K20" s="8"/>
      <c r="L20" s="8">
        <f>VLOOKUP(A:A,[2]TDSheet!$A:$B,2,0)</f>
        <v>2396.5</v>
      </c>
      <c r="M20" s="17">
        <f t="shared" si="2"/>
        <v>-192.94500000000016</v>
      </c>
      <c r="N20" s="17"/>
      <c r="O20" s="8">
        <f>VLOOKUP(A:A,[1]TDSheet!$A:$P,16,0)</f>
        <v>0</v>
      </c>
      <c r="P20" s="17">
        <f>VLOOKUP(A:A,[1]TDSheet!$A:$Q,17,0)</f>
        <v>160</v>
      </c>
      <c r="Q20" s="17">
        <f>VLOOKUP(A:A,[1]TDSheet!$A:$S,19,0)</f>
        <v>1000</v>
      </c>
      <c r="R20" s="17">
        <f t="shared" si="3"/>
        <v>440.71099999999996</v>
      </c>
      <c r="S20" s="20">
        <f t="shared" ref="S20:S75" si="7">R20*11-F20-O20-P20-Q20</f>
        <v>3021.991</v>
      </c>
      <c r="T20" s="29">
        <v>3500</v>
      </c>
      <c r="U20" s="26" t="s">
        <v>141</v>
      </c>
      <c r="V20" s="17">
        <f t="shared" si="4"/>
        <v>11.000000000000002</v>
      </c>
      <c r="W20" s="17">
        <f t="shared" si="5"/>
        <v>1.5108086705346591</v>
      </c>
      <c r="X20" s="17">
        <f>VLOOKUP(A:A,[1]TDSheet!$A:$X,24,0)</f>
        <v>369.06460000000004</v>
      </c>
      <c r="Y20" s="17">
        <f>VLOOKUP(A:A,[1]TDSheet!$A:$Y,25,0)</f>
        <v>403.61199999999997</v>
      </c>
      <c r="Z20" s="17">
        <f>VLOOKUP(A:A,[1]TDSheet!$A:$Z,26,0)</f>
        <v>349.3664</v>
      </c>
      <c r="AA20" s="17">
        <f>VLOOKUP(A:A,[1]TDSheet!$A:$AA,27,0)</f>
        <v>273.9434</v>
      </c>
      <c r="AB20" s="17" t="str">
        <f>VLOOKUP(A:A,[1]TDSheet!$A:$AB,28,0)</f>
        <v>ТМА ПРОДОЛЖЕНИЕ Апрель</v>
      </c>
      <c r="AC20" s="17">
        <f t="shared" si="6"/>
        <v>3021.991</v>
      </c>
      <c r="AD20" s="17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</row>
    <row r="21" spans="1:57" ht="11.15" customHeight="1" x14ac:dyDescent="0.25">
      <c r="A21" s="7" t="s">
        <v>21</v>
      </c>
      <c r="B21" s="7" t="s">
        <v>10</v>
      </c>
      <c r="C21" s="24">
        <v>121.789</v>
      </c>
      <c r="D21" s="24">
        <v>1.76</v>
      </c>
      <c r="E21" s="24">
        <v>103.872</v>
      </c>
      <c r="F21" s="24">
        <v>17.925000000000001</v>
      </c>
      <c r="G21" s="17" t="str">
        <f>VLOOKUP(A:A,[1]TDSheet!$A:$G,7,0)</f>
        <v>P004028</v>
      </c>
      <c r="H21" s="18">
        <f>VLOOKUP(A:A,[1]TDSheet!$A:$H,8,0)</f>
        <v>1</v>
      </c>
      <c r="I21" s="8">
        <f>VLOOKUP(A:A,[1]TDSheet!$A:$I,9,0)</f>
        <v>60</v>
      </c>
      <c r="J21" s="8" t="str">
        <f>VLOOKUP(A:A,[1]TDSheet!$A:$J,10,0)</f>
        <v>матрица</v>
      </c>
      <c r="K21" s="8"/>
      <c r="L21" s="8">
        <f>VLOOKUP(A:A,[2]TDSheet!$A:$B,2,0)</f>
        <v>94.06</v>
      </c>
      <c r="M21" s="17">
        <f t="shared" si="2"/>
        <v>9.8119999999999976</v>
      </c>
      <c r="N21" s="17"/>
      <c r="O21" s="8">
        <f>VLOOKUP(A:A,[1]TDSheet!$A:$P,16,0)</f>
        <v>0</v>
      </c>
      <c r="P21" s="17">
        <f>VLOOKUP(A:A,[1]TDSheet!$A:$Q,17,0)</f>
        <v>110</v>
      </c>
      <c r="Q21" s="17">
        <f>VLOOKUP(A:A,[1]TDSheet!$A:$S,19,0)</f>
        <v>0</v>
      </c>
      <c r="R21" s="17">
        <f t="shared" si="3"/>
        <v>20.7744</v>
      </c>
      <c r="S21" s="20">
        <f t="shared" si="7"/>
        <v>100.59339999999997</v>
      </c>
      <c r="T21" s="20"/>
      <c r="U21" s="17"/>
      <c r="V21" s="17">
        <f t="shared" si="4"/>
        <v>11</v>
      </c>
      <c r="W21" s="17">
        <f t="shared" si="5"/>
        <v>0.86284080406654351</v>
      </c>
      <c r="X21" s="17">
        <f>VLOOKUP(A:A,[1]TDSheet!$A:$X,24,0)</f>
        <v>21.386600000000001</v>
      </c>
      <c r="Y21" s="17">
        <f>VLOOKUP(A:A,[1]TDSheet!$A:$Y,25,0)</f>
        <v>18.390999999999998</v>
      </c>
      <c r="Z21" s="17">
        <f>VLOOKUP(A:A,[1]TDSheet!$A:$Z,26,0)</f>
        <v>20.5778</v>
      </c>
      <c r="AA21" s="17">
        <f>VLOOKUP(A:A,[1]TDSheet!$A:$AA,27,0)</f>
        <v>21.4712</v>
      </c>
      <c r="AB21" s="17" t="str">
        <f>VLOOKUP(A:A,[1]TDSheet!$A:$AB,28,0)</f>
        <v>нужно увеличить продажи</v>
      </c>
      <c r="AC21" s="17">
        <f t="shared" si="6"/>
        <v>100.59339999999997</v>
      </c>
      <c r="AD21" s="17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</row>
    <row r="22" spans="1:57" ht="11.15" customHeight="1" x14ac:dyDescent="0.25">
      <c r="A22" s="7" t="s">
        <v>22</v>
      </c>
      <c r="B22" s="7" t="s">
        <v>10</v>
      </c>
      <c r="C22" s="24">
        <v>385.14800000000002</v>
      </c>
      <c r="D22" s="24">
        <v>1436.7909999999999</v>
      </c>
      <c r="E22" s="24">
        <v>1800.866</v>
      </c>
      <c r="F22" s="24">
        <v>1.0469999999999999</v>
      </c>
      <c r="G22" s="17" t="str">
        <f>VLOOKUP(A:A,[1]TDSheet!$A:$G,7,0)</f>
        <v>P005077</v>
      </c>
      <c r="H22" s="18">
        <f>VLOOKUP(A:A,[1]TDSheet!$A:$H,8,0)</f>
        <v>1</v>
      </c>
      <c r="I22" s="8">
        <f>VLOOKUP(A:A,[1]TDSheet!$A:$I,9,0)</f>
        <v>60</v>
      </c>
      <c r="J22" s="8" t="str">
        <f>VLOOKUP(A:A,[1]TDSheet!$A:$J,10,0)</f>
        <v>матрица</v>
      </c>
      <c r="K22" s="8"/>
      <c r="L22" s="8">
        <f>VLOOKUP(A:A,[2]TDSheet!$A:$B,2,0)</f>
        <v>1854.5</v>
      </c>
      <c r="M22" s="17">
        <f t="shared" si="2"/>
        <v>-53.634000000000015</v>
      </c>
      <c r="N22" s="17"/>
      <c r="O22" s="8">
        <f>VLOOKUP(A:A,[1]TDSheet!$A:$P,16,0)</f>
        <v>0</v>
      </c>
      <c r="P22" s="17">
        <f>VLOOKUP(A:A,[1]TDSheet!$A:$Q,17,0)</f>
        <v>1600</v>
      </c>
      <c r="Q22" s="17">
        <f>VLOOKUP(A:A,[1]TDSheet!$A:$S,19,0)</f>
        <v>850</v>
      </c>
      <c r="R22" s="17">
        <f t="shared" si="3"/>
        <v>360.17320000000001</v>
      </c>
      <c r="S22" s="20">
        <f t="shared" si="7"/>
        <v>1510.8582000000001</v>
      </c>
      <c r="T22" s="20"/>
      <c r="U22" s="17"/>
      <c r="V22" s="17">
        <f t="shared" si="4"/>
        <v>11</v>
      </c>
      <c r="W22" s="17">
        <f t="shared" si="5"/>
        <v>2.9069347747139431E-3</v>
      </c>
      <c r="X22" s="17">
        <f>VLOOKUP(A:A,[1]TDSheet!$A:$X,24,0)</f>
        <v>325.00940000000003</v>
      </c>
      <c r="Y22" s="17">
        <f>VLOOKUP(A:A,[1]TDSheet!$A:$Y,25,0)</f>
        <v>282.35140000000001</v>
      </c>
      <c r="Z22" s="17">
        <f>VLOOKUP(A:A,[1]TDSheet!$A:$Z,26,0)</f>
        <v>303.96140000000003</v>
      </c>
      <c r="AA22" s="17">
        <f>VLOOKUP(A:A,[1]TDSheet!$A:$AA,27,0)</f>
        <v>309.18420000000003</v>
      </c>
      <c r="AB22" s="17" t="str">
        <f>VLOOKUP(A:A,[1]TDSheet!$A:$AB,28,0)</f>
        <v>увел продажи</v>
      </c>
      <c r="AC22" s="17">
        <f t="shared" si="6"/>
        <v>1510.8582000000001</v>
      </c>
      <c r="AD22" s="17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</row>
    <row r="23" spans="1:57" ht="11.15" customHeight="1" x14ac:dyDescent="0.25">
      <c r="A23" s="7" t="s">
        <v>23</v>
      </c>
      <c r="B23" s="7" t="s">
        <v>10</v>
      </c>
      <c r="C23" s="24">
        <v>0.106</v>
      </c>
      <c r="D23" s="24"/>
      <c r="E23" s="24">
        <v>0</v>
      </c>
      <c r="F23" s="24">
        <v>0.106</v>
      </c>
      <c r="G23" s="17" t="str">
        <f>VLOOKUP(A:A,[1]TDSheet!$A:$G,7,0)</f>
        <v>P004406</v>
      </c>
      <c r="H23" s="18">
        <f>VLOOKUP(A:A,[1]TDSheet!$A:$H,8,0)</f>
        <v>1</v>
      </c>
      <c r="I23" s="8">
        <f>VLOOKUP(A:A,[1]TDSheet!$A:$I,9,0)</f>
        <v>0</v>
      </c>
      <c r="J23" s="8">
        <f>VLOOKUP(A:A,[1]TDSheet!$A:$J,10,0)</f>
        <v>0</v>
      </c>
      <c r="K23" s="8"/>
      <c r="L23" s="8">
        <f>VLOOKUP(A:A,[2]TDSheet!$A:$B,2,0)</f>
        <v>27.48</v>
      </c>
      <c r="M23" s="17">
        <f t="shared" si="2"/>
        <v>-27.48</v>
      </c>
      <c r="N23" s="17"/>
      <c r="O23" s="8">
        <f>VLOOKUP(A:A,[1]TDSheet!$A:$P,16,0)</f>
        <v>0</v>
      </c>
      <c r="P23" s="17">
        <f>VLOOKUP(A:A,[1]TDSheet!$A:$Q,17,0)</f>
        <v>90</v>
      </c>
      <c r="Q23" s="17">
        <f>VLOOKUP(A:A,[1]TDSheet!$A:$S,19,0)</f>
        <v>0</v>
      </c>
      <c r="R23" s="17">
        <f t="shared" si="3"/>
        <v>0</v>
      </c>
      <c r="S23" s="20"/>
      <c r="T23" s="20"/>
      <c r="U23" s="17"/>
      <c r="V23" s="17" t="e">
        <f t="shared" si="4"/>
        <v>#DIV/0!</v>
      </c>
      <c r="W23" s="17" t="e">
        <f t="shared" si="5"/>
        <v>#DIV/0!</v>
      </c>
      <c r="X23" s="17">
        <f>VLOOKUP(A:A,[1]TDSheet!$A:$X,24,0)</f>
        <v>2.3202000000000003</v>
      </c>
      <c r="Y23" s="17">
        <f>VLOOKUP(A:A,[1]TDSheet!$A:$Y,25,0)</f>
        <v>3.9265999999999996</v>
      </c>
      <c r="Z23" s="17">
        <f>VLOOKUP(A:A,[1]TDSheet!$A:$Z,26,0)</f>
        <v>1.6039999999999999</v>
      </c>
      <c r="AA23" s="17">
        <f>VLOOKUP(A:A,[1]TDSheet!$A:$AA,27,0)</f>
        <v>7.9376000000000007</v>
      </c>
      <c r="AB23" s="17" t="e">
        <f>VLOOKUP(A:A,[1]TDSheet!$A:$AB,28,0)</f>
        <v>#N/A</v>
      </c>
      <c r="AC23" s="17">
        <f t="shared" si="6"/>
        <v>0</v>
      </c>
      <c r="AD23" s="17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</row>
    <row r="24" spans="1:57" ht="21.9" customHeight="1" x14ac:dyDescent="0.25">
      <c r="A24" s="7" t="s">
        <v>24</v>
      </c>
      <c r="B24" s="7" t="s">
        <v>10</v>
      </c>
      <c r="C24" s="24">
        <v>6.5460000000000003</v>
      </c>
      <c r="D24" s="24"/>
      <c r="E24" s="24">
        <v>6.484</v>
      </c>
      <c r="F24" s="24">
        <v>6.2E-2</v>
      </c>
      <c r="G24" s="17" t="str">
        <f>VLOOKUP(A:A,[1]TDSheet!$A:$G,7,0)</f>
        <v>P001900</v>
      </c>
      <c r="H24" s="18">
        <f>VLOOKUP(A:A,[1]TDSheet!$A:$H,8,0)</f>
        <v>1</v>
      </c>
      <c r="I24" s="8">
        <f>VLOOKUP(A:A,[1]TDSheet!$A:$I,9,0)</f>
        <v>180</v>
      </c>
      <c r="J24" s="8" t="str">
        <f>VLOOKUP(A:A,[1]TDSheet!$A:$J,10,0)</f>
        <v>матрица</v>
      </c>
      <c r="K24" s="8"/>
      <c r="L24" s="8">
        <f>VLOOKUP(A:A,[2]TDSheet!$A:$B,2,0)</f>
        <v>16.399999999999999</v>
      </c>
      <c r="M24" s="17">
        <f t="shared" si="2"/>
        <v>-9.9159999999999986</v>
      </c>
      <c r="N24" s="17"/>
      <c r="O24" s="8">
        <f>VLOOKUP(A:A,[1]TDSheet!$A:$P,16,0)</f>
        <v>0</v>
      </c>
      <c r="P24" s="17">
        <f>VLOOKUP(A:A,[1]TDSheet!$A:$Q,17,0)</f>
        <v>30</v>
      </c>
      <c r="Q24" s="17">
        <f>VLOOKUP(A:A,[1]TDSheet!$A:$S,19,0)</f>
        <v>30</v>
      </c>
      <c r="R24" s="17">
        <f t="shared" si="3"/>
        <v>1.2968</v>
      </c>
      <c r="S24" s="20"/>
      <c r="T24" s="20"/>
      <c r="U24" s="17"/>
      <c r="V24" s="17">
        <f t="shared" si="4"/>
        <v>46.315545959284393</v>
      </c>
      <c r="W24" s="17">
        <f t="shared" si="5"/>
        <v>4.7809993830968539E-2</v>
      </c>
      <c r="X24" s="17">
        <f>VLOOKUP(A:A,[1]TDSheet!$A:$X,24,0)</f>
        <v>3.6768000000000001</v>
      </c>
      <c r="Y24" s="17">
        <f>VLOOKUP(A:A,[1]TDSheet!$A:$Y,25,0)</f>
        <v>3.2548000000000004</v>
      </c>
      <c r="Z24" s="17">
        <f>VLOOKUP(A:A,[1]TDSheet!$A:$Z,26,0)</f>
        <v>1.7052</v>
      </c>
      <c r="AA24" s="17">
        <f>VLOOKUP(A:A,[1]TDSheet!$A:$AA,27,0)</f>
        <v>3.1155999999999997</v>
      </c>
      <c r="AB24" s="17">
        <f>VLOOKUP(A:A,[1]TDSheet!$A:$AB,28,0)</f>
        <v>0</v>
      </c>
      <c r="AC24" s="17">
        <f t="shared" si="6"/>
        <v>0</v>
      </c>
      <c r="AD24" s="17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</row>
    <row r="25" spans="1:57" ht="11.15" customHeight="1" x14ac:dyDescent="0.25">
      <c r="A25" s="7" t="s">
        <v>25</v>
      </c>
      <c r="B25" s="7" t="s">
        <v>10</v>
      </c>
      <c r="C25" s="24">
        <v>348.31700000000001</v>
      </c>
      <c r="D25" s="24">
        <v>369.72</v>
      </c>
      <c r="E25" s="24">
        <v>573.83199999999999</v>
      </c>
      <c r="F25" s="24">
        <v>142.44499999999999</v>
      </c>
      <c r="G25" s="17" t="str">
        <f>VLOOKUP(A:A,[1]TDSheet!$A:$G,7,0)</f>
        <v>P004030</v>
      </c>
      <c r="H25" s="18">
        <f>VLOOKUP(A:A,[1]TDSheet!$A:$H,8,0)</f>
        <v>1</v>
      </c>
      <c r="I25" s="8">
        <f>VLOOKUP(A:A,[1]TDSheet!$A:$I,9,0)</f>
        <v>60</v>
      </c>
      <c r="J25" s="8" t="str">
        <f>VLOOKUP(A:A,[1]TDSheet!$A:$J,10,0)</f>
        <v>матрица</v>
      </c>
      <c r="K25" s="8"/>
      <c r="L25" s="8">
        <f>VLOOKUP(A:A,[2]TDSheet!$A:$B,2,0)</f>
        <v>521.34</v>
      </c>
      <c r="M25" s="17">
        <f t="shared" si="2"/>
        <v>52.491999999999962</v>
      </c>
      <c r="N25" s="17"/>
      <c r="O25" s="8">
        <f>VLOOKUP(A:A,[1]TDSheet!$A:$P,16,0)</f>
        <v>0</v>
      </c>
      <c r="P25" s="17">
        <f>VLOOKUP(A:A,[1]TDSheet!$A:$Q,17,0)</f>
        <v>330</v>
      </c>
      <c r="Q25" s="17">
        <f>VLOOKUP(A:A,[1]TDSheet!$A:$S,19,0)</f>
        <v>400</v>
      </c>
      <c r="R25" s="17">
        <f t="shared" si="3"/>
        <v>114.7664</v>
      </c>
      <c r="S25" s="20">
        <f t="shared" si="7"/>
        <v>389.98540000000003</v>
      </c>
      <c r="T25" s="29">
        <v>500</v>
      </c>
      <c r="U25" s="26" t="s">
        <v>141</v>
      </c>
      <c r="V25" s="17">
        <f t="shared" si="4"/>
        <v>11</v>
      </c>
      <c r="W25" s="17">
        <f t="shared" si="5"/>
        <v>1.2411733747856515</v>
      </c>
      <c r="X25" s="17">
        <f>VLOOKUP(A:A,[1]TDSheet!$A:$X,24,0)</f>
        <v>78.773400000000009</v>
      </c>
      <c r="Y25" s="17">
        <f>VLOOKUP(A:A,[1]TDSheet!$A:$Y,25,0)</f>
        <v>104.90519999999999</v>
      </c>
      <c r="Z25" s="17">
        <f>VLOOKUP(A:A,[1]TDSheet!$A:$Z,26,0)</f>
        <v>100.66679999999999</v>
      </c>
      <c r="AA25" s="17">
        <f>VLOOKUP(A:A,[1]TDSheet!$A:$AA,27,0)</f>
        <v>94.618399999999994</v>
      </c>
      <c r="AB25" s="17" t="str">
        <f>VLOOKUP(A:A,[1]TDSheet!$A:$AB,28,0)</f>
        <v>ТМА Апрель</v>
      </c>
      <c r="AC25" s="17">
        <f t="shared" si="6"/>
        <v>389.98540000000003</v>
      </c>
      <c r="AD25" s="17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</row>
    <row r="26" spans="1:57" ht="11.15" customHeight="1" x14ac:dyDescent="0.25">
      <c r="A26" s="7" t="s">
        <v>26</v>
      </c>
      <c r="B26" s="7" t="s">
        <v>10</v>
      </c>
      <c r="C26" s="24">
        <v>58.655999999999999</v>
      </c>
      <c r="D26" s="24">
        <v>86.974000000000004</v>
      </c>
      <c r="E26" s="24">
        <v>81.965999999999994</v>
      </c>
      <c r="F26" s="24">
        <v>61.19</v>
      </c>
      <c r="G26" s="17" t="str">
        <f>VLOOKUP(A:A,[1]TDSheet!$A:$G,7,0)</f>
        <v>P004465</v>
      </c>
      <c r="H26" s="18">
        <f>VLOOKUP(A:A,[1]TDSheet!$A:$H,8,0)</f>
        <v>1</v>
      </c>
      <c r="I26" s="8">
        <f>VLOOKUP(A:A,[1]TDSheet!$A:$I,9,0)</f>
        <v>60</v>
      </c>
      <c r="J26" s="8" t="str">
        <f>VLOOKUP(A:A,[1]TDSheet!$A:$J,10,0)</f>
        <v>матрица</v>
      </c>
      <c r="K26" s="8"/>
      <c r="L26" s="8">
        <f>VLOOKUP(A:A,[2]TDSheet!$A:$B,2,0)</f>
        <v>90.58</v>
      </c>
      <c r="M26" s="17">
        <f t="shared" si="2"/>
        <v>-8.6140000000000043</v>
      </c>
      <c r="N26" s="17"/>
      <c r="O26" s="8">
        <f>VLOOKUP(A:A,[1]TDSheet!$A:$P,16,0)</f>
        <v>0</v>
      </c>
      <c r="P26" s="17">
        <f>VLOOKUP(A:A,[1]TDSheet!$A:$Q,17,0)</f>
        <v>20</v>
      </c>
      <c r="Q26" s="17">
        <f>VLOOKUP(A:A,[1]TDSheet!$A:$S,19,0)</f>
        <v>0</v>
      </c>
      <c r="R26" s="17">
        <f t="shared" si="3"/>
        <v>16.3932</v>
      </c>
      <c r="S26" s="20">
        <f t="shared" si="7"/>
        <v>99.135199999999998</v>
      </c>
      <c r="T26" s="20"/>
      <c r="U26" s="17"/>
      <c r="V26" s="17">
        <f t="shared" si="4"/>
        <v>11</v>
      </c>
      <c r="W26" s="17">
        <f t="shared" si="5"/>
        <v>3.7326452431495984</v>
      </c>
      <c r="X26" s="17">
        <f>VLOOKUP(A:A,[1]TDSheet!$A:$X,24,0)</f>
        <v>18.9848</v>
      </c>
      <c r="Y26" s="17">
        <f>VLOOKUP(A:A,[1]TDSheet!$A:$Y,25,0)</f>
        <v>12.1364</v>
      </c>
      <c r="Z26" s="17">
        <f>VLOOKUP(A:A,[1]TDSheet!$A:$Z,26,0)</f>
        <v>13.342599999999999</v>
      </c>
      <c r="AA26" s="17">
        <f>VLOOKUP(A:A,[1]TDSheet!$A:$AA,27,0)</f>
        <v>14.418000000000001</v>
      </c>
      <c r="AB26" s="17">
        <f>VLOOKUP(A:A,[1]TDSheet!$A:$AB,28,0)</f>
        <v>0</v>
      </c>
      <c r="AC26" s="17">
        <f t="shared" si="6"/>
        <v>99.135199999999998</v>
      </c>
      <c r="AD26" s="17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</row>
    <row r="27" spans="1:57" ht="21.9" customHeight="1" x14ac:dyDescent="0.25">
      <c r="A27" s="7" t="s">
        <v>27</v>
      </c>
      <c r="B27" s="7" t="s">
        <v>10</v>
      </c>
      <c r="C27" s="24">
        <v>215.477</v>
      </c>
      <c r="D27" s="24">
        <v>97.650999999999996</v>
      </c>
      <c r="E27" s="24">
        <v>272.55799999999999</v>
      </c>
      <c r="F27" s="24">
        <v>37.622999999999998</v>
      </c>
      <c r="G27" s="17" t="str">
        <f>VLOOKUP(A:A,[1]TDSheet!$A:$G,7,0)</f>
        <v>P004466</v>
      </c>
      <c r="H27" s="18">
        <f>VLOOKUP(A:A,[1]TDSheet!$A:$H,8,0)</f>
        <v>1</v>
      </c>
      <c r="I27" s="8">
        <f>VLOOKUP(A:A,[1]TDSheet!$A:$I,9,0)</f>
        <v>60</v>
      </c>
      <c r="J27" s="8" t="str">
        <f>VLOOKUP(A:A,[1]TDSheet!$A:$J,10,0)</f>
        <v>матрица</v>
      </c>
      <c r="K27" s="8"/>
      <c r="L27" s="8">
        <f>VLOOKUP(A:A,[2]TDSheet!$A:$B,2,0)</f>
        <v>253.38</v>
      </c>
      <c r="M27" s="17">
        <f t="shared" si="2"/>
        <v>19.177999999999997</v>
      </c>
      <c r="N27" s="17"/>
      <c r="O27" s="8">
        <f>VLOOKUP(A:A,[1]TDSheet!$A:$P,16,0)</f>
        <v>0</v>
      </c>
      <c r="P27" s="17">
        <f>VLOOKUP(A:A,[1]TDSheet!$A:$Q,17,0)</f>
        <v>180</v>
      </c>
      <c r="Q27" s="17">
        <f>VLOOKUP(A:A,[1]TDSheet!$A:$S,19,0)</f>
        <v>290</v>
      </c>
      <c r="R27" s="17">
        <f t="shared" si="3"/>
        <v>54.511600000000001</v>
      </c>
      <c r="S27" s="20">
        <f t="shared" si="7"/>
        <v>92.004599999999982</v>
      </c>
      <c r="T27" s="29">
        <v>150</v>
      </c>
      <c r="U27" s="26" t="s">
        <v>141</v>
      </c>
      <c r="V27" s="17">
        <f t="shared" si="4"/>
        <v>11</v>
      </c>
      <c r="W27" s="17">
        <f t="shared" si="5"/>
        <v>0.69018337381401385</v>
      </c>
      <c r="X27" s="17">
        <f>VLOOKUP(A:A,[1]TDSheet!$A:$X,24,0)</f>
        <v>31.876799999999996</v>
      </c>
      <c r="Y27" s="17">
        <f>VLOOKUP(A:A,[1]TDSheet!$A:$Y,25,0)</f>
        <v>42.434199999999997</v>
      </c>
      <c r="Z27" s="17">
        <f>VLOOKUP(A:A,[1]TDSheet!$A:$Z,26,0)</f>
        <v>33.288400000000003</v>
      </c>
      <c r="AA27" s="17">
        <f>VLOOKUP(A:A,[1]TDSheet!$A:$AA,27,0)</f>
        <v>38.178800000000003</v>
      </c>
      <c r="AB27" s="17" t="str">
        <f>VLOOKUP(A:A,[1]TDSheet!$A:$AB,28,0)</f>
        <v>ТМА ПРОДОЛЖЕНИЕ Апрель</v>
      </c>
      <c r="AC27" s="17">
        <f t="shared" si="6"/>
        <v>92.004599999999982</v>
      </c>
      <c r="AD27" s="17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</row>
    <row r="28" spans="1:57" ht="11.15" customHeight="1" x14ac:dyDescent="0.25">
      <c r="A28" s="7" t="s">
        <v>28</v>
      </c>
      <c r="B28" s="7" t="s">
        <v>10</v>
      </c>
      <c r="C28" s="24">
        <v>4.1950000000000003</v>
      </c>
      <c r="D28" s="24"/>
      <c r="E28" s="24">
        <v>4.367</v>
      </c>
      <c r="F28" s="24">
        <v>-0.17199999999999999</v>
      </c>
      <c r="G28" s="17" t="str">
        <f>VLOOKUP(A:A,[1]TDSheet!$A:$G,7,0)</f>
        <v>P001916</v>
      </c>
      <c r="H28" s="18">
        <f>VLOOKUP(A:A,[1]TDSheet!$A:$H,8,0)</f>
        <v>1</v>
      </c>
      <c r="I28" s="8">
        <f>VLOOKUP(A:A,[1]TDSheet!$A:$I,9,0)</f>
        <v>180</v>
      </c>
      <c r="J28" s="8" t="str">
        <f>VLOOKUP(A:A,[1]TDSheet!$A:$J,10,0)</f>
        <v>матрица</v>
      </c>
      <c r="K28" s="8"/>
      <c r="L28" s="8">
        <f>VLOOKUP(A:A,[2]TDSheet!$A:$B,2,0)</f>
        <v>4.3</v>
      </c>
      <c r="M28" s="17">
        <f t="shared" si="2"/>
        <v>6.7000000000000171E-2</v>
      </c>
      <c r="N28" s="17"/>
      <c r="O28" s="8">
        <f>VLOOKUP(A:A,[1]TDSheet!$A:$P,16,0)</f>
        <v>0</v>
      </c>
      <c r="P28" s="17">
        <f>VLOOKUP(A:A,[1]TDSheet!$A:$Q,17,0)</f>
        <v>30</v>
      </c>
      <c r="Q28" s="17">
        <f>VLOOKUP(A:A,[1]TDSheet!$A:$S,19,0)</f>
        <v>30</v>
      </c>
      <c r="R28" s="17">
        <f t="shared" si="3"/>
        <v>0.87339999999999995</v>
      </c>
      <c r="S28" s="20"/>
      <c r="T28" s="20"/>
      <c r="U28" s="17"/>
      <c r="V28" s="17">
        <f t="shared" si="4"/>
        <v>68.500114495076716</v>
      </c>
      <c r="W28" s="17">
        <f t="shared" si="5"/>
        <v>-0.19693153194412641</v>
      </c>
      <c r="X28" s="17">
        <f>VLOOKUP(A:A,[1]TDSheet!$A:$X,24,0)</f>
        <v>2.7141999999999999</v>
      </c>
      <c r="Y28" s="17">
        <f>VLOOKUP(A:A,[1]TDSheet!$A:$Y,25,0)</f>
        <v>1.7765999999999997</v>
      </c>
      <c r="Z28" s="17">
        <f>VLOOKUP(A:A,[1]TDSheet!$A:$Z,26,0)</f>
        <v>3.3464</v>
      </c>
      <c r="AA28" s="17">
        <f>VLOOKUP(A:A,[1]TDSheet!$A:$AA,27,0)</f>
        <v>3.0621999999999998</v>
      </c>
      <c r="AB28" s="17">
        <f>VLOOKUP(A:A,[1]TDSheet!$A:$AB,28,0)</f>
        <v>0</v>
      </c>
      <c r="AC28" s="17">
        <f t="shared" si="6"/>
        <v>0</v>
      </c>
      <c r="AD28" s="17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</row>
    <row r="29" spans="1:57" ht="11.15" customHeight="1" x14ac:dyDescent="0.25">
      <c r="A29" s="7" t="s">
        <v>29</v>
      </c>
      <c r="B29" s="7" t="s">
        <v>10</v>
      </c>
      <c r="C29" s="24">
        <v>163.53100000000001</v>
      </c>
      <c r="D29" s="24">
        <v>91.234999999999999</v>
      </c>
      <c r="E29" s="24">
        <v>249.44399999999999</v>
      </c>
      <c r="F29" s="24">
        <v>1.075</v>
      </c>
      <c r="G29" s="17" t="str">
        <f>VLOOKUP(A:A,[1]TDSheet!$A:$G,7,0)</f>
        <v>P004470</v>
      </c>
      <c r="H29" s="18">
        <f>VLOOKUP(A:A,[1]TDSheet!$A:$H,8,0)</f>
        <v>1</v>
      </c>
      <c r="I29" s="8">
        <f>VLOOKUP(A:A,[1]TDSheet!$A:$I,9,0)</f>
        <v>60</v>
      </c>
      <c r="J29" s="8" t="str">
        <f>VLOOKUP(A:A,[1]TDSheet!$A:$J,10,0)</f>
        <v>матрица</v>
      </c>
      <c r="K29" s="8"/>
      <c r="L29" s="8">
        <f>VLOOKUP(A:A,[2]TDSheet!$A:$B,2,0)</f>
        <v>286.74</v>
      </c>
      <c r="M29" s="17">
        <f t="shared" si="2"/>
        <v>-37.296000000000021</v>
      </c>
      <c r="N29" s="17"/>
      <c r="O29" s="8">
        <f>VLOOKUP(A:A,[1]TDSheet!$A:$P,16,0)</f>
        <v>0</v>
      </c>
      <c r="P29" s="17">
        <f>VLOOKUP(A:A,[1]TDSheet!$A:$Q,17,0)</f>
        <v>330</v>
      </c>
      <c r="Q29" s="17">
        <f>VLOOKUP(A:A,[1]TDSheet!$A:$S,19,0)</f>
        <v>400</v>
      </c>
      <c r="R29" s="17">
        <f t="shared" si="3"/>
        <v>49.888799999999996</v>
      </c>
      <c r="S29" s="20"/>
      <c r="T29" s="29">
        <v>150</v>
      </c>
      <c r="U29" s="26" t="s">
        <v>141</v>
      </c>
      <c r="V29" s="17">
        <f t="shared" si="4"/>
        <v>14.654090697711712</v>
      </c>
      <c r="W29" s="17">
        <f t="shared" si="5"/>
        <v>2.1547922579817514E-2</v>
      </c>
      <c r="X29" s="17">
        <f>VLOOKUP(A:A,[1]TDSheet!$A:$X,24,0)</f>
        <v>42.601999999999997</v>
      </c>
      <c r="Y29" s="17">
        <f>VLOOKUP(A:A,[1]TDSheet!$A:$Y,25,0)</f>
        <v>52.986800000000002</v>
      </c>
      <c r="Z29" s="17">
        <f>VLOOKUP(A:A,[1]TDSheet!$A:$Z,26,0)</f>
        <v>39.368600000000001</v>
      </c>
      <c r="AA29" s="17">
        <f>VLOOKUP(A:A,[1]TDSheet!$A:$AA,27,0)</f>
        <v>52.990400000000001</v>
      </c>
      <c r="AB29" s="17" t="str">
        <f>VLOOKUP(A:A,[1]TDSheet!$A:$AB,28,0)</f>
        <v>ТМА ПРОДОЛЖЕНИЕ МАРТ</v>
      </c>
      <c r="AC29" s="17">
        <f t="shared" si="6"/>
        <v>0</v>
      </c>
      <c r="AD29" s="17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</row>
    <row r="30" spans="1:57" ht="11.15" customHeight="1" x14ac:dyDescent="0.25">
      <c r="A30" s="7" t="s">
        <v>30</v>
      </c>
      <c r="B30" s="7" t="s">
        <v>10</v>
      </c>
      <c r="C30" s="24">
        <v>24.263000000000002</v>
      </c>
      <c r="D30" s="24">
        <v>3.528</v>
      </c>
      <c r="E30" s="24">
        <v>21.04</v>
      </c>
      <c r="F30" s="24">
        <v>-0.30199999999999999</v>
      </c>
      <c r="G30" s="17" t="str">
        <f>VLOOKUP(A:A,[1]TDSheet!$A:$G,7,0)</f>
        <v>P001820</v>
      </c>
      <c r="H30" s="18">
        <f>VLOOKUP(A:A,[1]TDSheet!$A:$H,8,0)</f>
        <v>1</v>
      </c>
      <c r="I30" s="8">
        <f>VLOOKUP(A:A,[1]TDSheet!$A:$I,9,0)</f>
        <v>0</v>
      </c>
      <c r="J30" s="8">
        <f>VLOOKUP(A:A,[1]TDSheet!$A:$J,10,0)</f>
        <v>0</v>
      </c>
      <c r="K30" s="8"/>
      <c r="L30" s="8">
        <f>VLOOKUP(A:A,[2]TDSheet!$A:$B,2,0)</f>
        <v>31</v>
      </c>
      <c r="M30" s="17">
        <f t="shared" si="2"/>
        <v>-9.9600000000000009</v>
      </c>
      <c r="N30" s="17"/>
      <c r="O30" s="8">
        <f>VLOOKUP(A:A,[1]TDSheet!$A:$P,16,0)</f>
        <v>0</v>
      </c>
      <c r="P30" s="17">
        <f>VLOOKUP(A:A,[1]TDSheet!$A:$Q,17,0)</f>
        <v>60</v>
      </c>
      <c r="Q30" s="17">
        <f>VLOOKUP(A:A,[1]TDSheet!$A:$S,19,0)</f>
        <v>0</v>
      </c>
      <c r="R30" s="17">
        <f t="shared" si="3"/>
        <v>4.2080000000000002</v>
      </c>
      <c r="S30" s="20"/>
      <c r="T30" s="20"/>
      <c r="U30" s="17"/>
      <c r="V30" s="17">
        <f t="shared" si="4"/>
        <v>14.186787072243346</v>
      </c>
      <c r="W30" s="17">
        <f t="shared" si="5"/>
        <v>-7.176806083650189E-2</v>
      </c>
      <c r="X30" s="17">
        <f>VLOOKUP(A:A,[1]TDSheet!$A:$X,24,0)</f>
        <v>9.4819999999999993</v>
      </c>
      <c r="Y30" s="17">
        <f>VLOOKUP(A:A,[1]TDSheet!$A:$Y,25,0)</f>
        <v>3.4954000000000001</v>
      </c>
      <c r="Z30" s="17">
        <f>VLOOKUP(A:A,[1]TDSheet!$A:$Z,26,0)</f>
        <v>2.4500000000000002</v>
      </c>
      <c r="AA30" s="17">
        <f>VLOOKUP(A:A,[1]TDSheet!$A:$AA,27,0)</f>
        <v>8.168000000000001</v>
      </c>
      <c r="AB30" s="17" t="e">
        <f>VLOOKUP(A:A,[1]TDSheet!$A:$AB,28,0)</f>
        <v>#N/A</v>
      </c>
      <c r="AC30" s="17">
        <f t="shared" si="6"/>
        <v>0</v>
      </c>
      <c r="AD30" s="17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</row>
    <row r="31" spans="1:57" ht="11.15" customHeight="1" x14ac:dyDescent="0.25">
      <c r="A31" s="7" t="s">
        <v>31</v>
      </c>
      <c r="B31" s="7" t="s">
        <v>10</v>
      </c>
      <c r="C31" s="24">
        <v>-5.1310000000000002</v>
      </c>
      <c r="D31" s="24"/>
      <c r="E31" s="24">
        <v>8.9819999999999993</v>
      </c>
      <c r="F31" s="24">
        <v>-19.632999999999999</v>
      </c>
      <c r="G31" s="17" t="str">
        <f>VLOOKUP(A:A,[1]TDSheet!$A:$G,7,0)</f>
        <v>P003997</v>
      </c>
      <c r="H31" s="18">
        <f>VLOOKUP(A:A,[1]TDSheet!$A:$H,8,0)</f>
        <v>1</v>
      </c>
      <c r="I31" s="8">
        <f>VLOOKUP(A:A,[1]TDSheet!$A:$I,9,0)</f>
        <v>30</v>
      </c>
      <c r="J31" s="8" t="str">
        <f>VLOOKUP(A:A,[1]TDSheet!$A:$J,10,0)</f>
        <v>матрица</v>
      </c>
      <c r="K31" s="8"/>
      <c r="L31" s="8">
        <f>VLOOKUP(A:A,[2]TDSheet!$A:$B,2,0)</f>
        <v>13.8</v>
      </c>
      <c r="M31" s="17">
        <f t="shared" si="2"/>
        <v>-4.8180000000000014</v>
      </c>
      <c r="N31" s="17"/>
      <c r="O31" s="8">
        <f>VLOOKUP(A:A,[1]TDSheet!$A:$P,16,0)</f>
        <v>0</v>
      </c>
      <c r="P31" s="17">
        <f>VLOOKUP(A:A,[1]TDSheet!$A:$Q,17,0)</f>
        <v>190</v>
      </c>
      <c r="Q31" s="17">
        <f>VLOOKUP(A:A,[1]TDSheet!$A:$S,19,0)</f>
        <v>0</v>
      </c>
      <c r="R31" s="17">
        <f t="shared" si="3"/>
        <v>1.7963999999999998</v>
      </c>
      <c r="S31" s="20"/>
      <c r="T31" s="29">
        <v>50</v>
      </c>
      <c r="U31" s="26"/>
      <c r="V31" s="17">
        <f t="shared" si="4"/>
        <v>94.838009352037417</v>
      </c>
      <c r="W31" s="17">
        <f t="shared" si="5"/>
        <v>-10.9290803829882</v>
      </c>
      <c r="X31" s="17">
        <f>VLOOKUP(A:A,[1]TDSheet!$A:$X,24,0)</f>
        <v>21.001200000000001</v>
      </c>
      <c r="Y31" s="17">
        <f>VLOOKUP(A:A,[1]TDSheet!$A:$Y,25,0)</f>
        <v>19.634599999999999</v>
      </c>
      <c r="Z31" s="17">
        <f>VLOOKUP(A:A,[1]TDSheet!$A:$Z,26,0)</f>
        <v>5.8121999999999998</v>
      </c>
      <c r="AA31" s="17">
        <f>VLOOKUP(A:A,[1]TDSheet!$A:$AA,27,0)</f>
        <v>17.0366</v>
      </c>
      <c r="AB31" s="17">
        <f>VLOOKUP(A:A,[1]TDSheet!$A:$AB,28,0)</f>
        <v>0</v>
      </c>
      <c r="AC31" s="17">
        <f t="shared" si="6"/>
        <v>0</v>
      </c>
      <c r="AD31" s="17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</row>
    <row r="32" spans="1:57" ht="11.15" customHeight="1" x14ac:dyDescent="0.25">
      <c r="A32" s="7" t="s">
        <v>32</v>
      </c>
      <c r="B32" s="7" t="s">
        <v>10</v>
      </c>
      <c r="C32" s="24">
        <v>78.423000000000002</v>
      </c>
      <c r="D32" s="24">
        <v>214.25700000000001</v>
      </c>
      <c r="E32" s="24">
        <v>280.63499999999999</v>
      </c>
      <c r="F32" s="24">
        <v>1.7210000000000001</v>
      </c>
      <c r="G32" s="17" t="str">
        <f>VLOOKUP(A:A,[1]TDSheet!$A:$G,7,0)</f>
        <v>P005080</v>
      </c>
      <c r="H32" s="18">
        <f>VLOOKUP(A:A,[1]TDSheet!$A:$H,8,0)</f>
        <v>1</v>
      </c>
      <c r="I32" s="8">
        <f>VLOOKUP(A:A,[1]TDSheet!$A:$I,9,0)</f>
        <v>30</v>
      </c>
      <c r="J32" s="8" t="str">
        <f>VLOOKUP(A:A,[1]TDSheet!$A:$J,10,0)</f>
        <v>матрица</v>
      </c>
      <c r="K32" s="8"/>
      <c r="L32" s="8">
        <f>VLOOKUP(A:A,[2]TDSheet!$A:$B,2,0)</f>
        <v>288.7</v>
      </c>
      <c r="M32" s="17">
        <f t="shared" si="2"/>
        <v>-8.0649999999999977</v>
      </c>
      <c r="N32" s="17"/>
      <c r="O32" s="8">
        <f>VLOOKUP(A:A,[1]TDSheet!$A:$P,16,0)</f>
        <v>0</v>
      </c>
      <c r="P32" s="17">
        <f>VLOOKUP(A:A,[1]TDSheet!$A:$Q,17,0)</f>
        <v>230</v>
      </c>
      <c r="Q32" s="17">
        <f>VLOOKUP(A:A,[1]TDSheet!$A:$S,19,0)</f>
        <v>200</v>
      </c>
      <c r="R32" s="17">
        <f t="shared" si="3"/>
        <v>56.126999999999995</v>
      </c>
      <c r="S32" s="20">
        <f t="shared" si="7"/>
        <v>185.67599999999993</v>
      </c>
      <c r="T32" s="20"/>
      <c r="U32" s="17"/>
      <c r="V32" s="17">
        <f t="shared" si="4"/>
        <v>11</v>
      </c>
      <c r="W32" s="17">
        <f t="shared" si="5"/>
        <v>3.0662604450620919E-2</v>
      </c>
      <c r="X32" s="17">
        <f>VLOOKUP(A:A,[1]TDSheet!$A:$X,24,0)</f>
        <v>52.742200000000004</v>
      </c>
      <c r="Y32" s="17">
        <f>VLOOKUP(A:A,[1]TDSheet!$A:$Y,25,0)</f>
        <v>38.828800000000001</v>
      </c>
      <c r="Z32" s="17">
        <f>VLOOKUP(A:A,[1]TDSheet!$A:$Z,26,0)</f>
        <v>46.891800000000003</v>
      </c>
      <c r="AA32" s="17">
        <f>VLOOKUP(A:A,[1]TDSheet!$A:$AA,27,0)</f>
        <v>46.794799999999995</v>
      </c>
      <c r="AB32" s="17" t="str">
        <f>VLOOKUP(A:A,[1]TDSheet!$A:$AB,28,0)</f>
        <v>увел продажи</v>
      </c>
      <c r="AC32" s="17">
        <f t="shared" si="6"/>
        <v>185.67599999999993</v>
      </c>
      <c r="AD32" s="17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</row>
    <row r="33" spans="1:57" ht="11.15" customHeight="1" x14ac:dyDescent="0.25">
      <c r="A33" s="7" t="s">
        <v>33</v>
      </c>
      <c r="B33" s="7" t="s">
        <v>10</v>
      </c>
      <c r="C33" s="24">
        <v>137.88800000000001</v>
      </c>
      <c r="D33" s="24">
        <v>206.685</v>
      </c>
      <c r="E33" s="24">
        <v>318.61200000000002</v>
      </c>
      <c r="F33" s="24">
        <v>3.8370000000000002</v>
      </c>
      <c r="G33" s="17" t="str">
        <f>VLOOKUP(A:A,[1]TDSheet!$A:$G,7,0)</f>
        <v>P002536</v>
      </c>
      <c r="H33" s="18">
        <f>VLOOKUP(A:A,[1]TDSheet!$A:$H,8,0)</f>
        <v>1</v>
      </c>
      <c r="I33" s="8">
        <f>VLOOKUP(A:A,[1]TDSheet!$A:$I,9,0)</f>
        <v>30</v>
      </c>
      <c r="J33" s="8" t="str">
        <f>VLOOKUP(A:A,[1]TDSheet!$A:$J,10,0)</f>
        <v>матрица</v>
      </c>
      <c r="K33" s="8"/>
      <c r="L33" s="8">
        <f>VLOOKUP(A:A,[2]TDSheet!$A:$B,2,0)</f>
        <v>526.45000000000005</v>
      </c>
      <c r="M33" s="17">
        <f t="shared" si="2"/>
        <v>-207.83800000000002</v>
      </c>
      <c r="N33" s="17"/>
      <c r="O33" s="8">
        <f>VLOOKUP(A:A,[1]TDSheet!$A:$P,16,0)</f>
        <v>0</v>
      </c>
      <c r="P33" s="17">
        <f>VLOOKUP(A:A,[1]TDSheet!$A:$Q,17,0)</f>
        <v>900</v>
      </c>
      <c r="Q33" s="17">
        <f>VLOOKUP(A:A,[1]TDSheet!$A:$S,19,0)</f>
        <v>320</v>
      </c>
      <c r="R33" s="17">
        <f t="shared" si="3"/>
        <v>63.722400000000007</v>
      </c>
      <c r="S33" s="20"/>
      <c r="T33" s="20"/>
      <c r="U33" s="17"/>
      <c r="V33" s="17">
        <f t="shared" si="4"/>
        <v>19.205758100762054</v>
      </c>
      <c r="W33" s="17">
        <f t="shared" si="5"/>
        <v>6.0214304545968135E-2</v>
      </c>
      <c r="X33" s="17">
        <f>VLOOKUP(A:A,[1]TDSheet!$A:$X,24,0)</f>
        <v>88.993200000000002</v>
      </c>
      <c r="Y33" s="17">
        <f>VLOOKUP(A:A,[1]TDSheet!$A:$Y,25,0)</f>
        <v>86.483800000000002</v>
      </c>
      <c r="Z33" s="17">
        <f>VLOOKUP(A:A,[1]TDSheet!$A:$Z,26,0)</f>
        <v>73.176400000000001</v>
      </c>
      <c r="AA33" s="17">
        <f>VLOOKUP(A:A,[1]TDSheet!$A:$AA,27,0)</f>
        <v>111.14619999999999</v>
      </c>
      <c r="AB33" s="17" t="str">
        <f>VLOOKUP(A:A,[1]TDSheet!$A:$AB,28,0)</f>
        <v>ТМА ПРОДОЛЖЕНИЕ Апрель</v>
      </c>
      <c r="AC33" s="17">
        <f t="shared" si="6"/>
        <v>0</v>
      </c>
      <c r="AD33" s="17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</row>
    <row r="34" spans="1:57" ht="21.9" customHeight="1" x14ac:dyDescent="0.25">
      <c r="A34" s="7" t="s">
        <v>34</v>
      </c>
      <c r="B34" s="7" t="s">
        <v>10</v>
      </c>
      <c r="C34" s="24">
        <v>104.12</v>
      </c>
      <c r="D34" s="24">
        <v>803.81600000000003</v>
      </c>
      <c r="E34" s="24">
        <v>356.09300000000002</v>
      </c>
      <c r="F34" s="24">
        <v>539.25</v>
      </c>
      <c r="G34" s="17" t="str">
        <f>VLOOKUP(A:A,[1]TDSheet!$A:$G,7,0)</f>
        <v>P004844</v>
      </c>
      <c r="H34" s="18">
        <f>VLOOKUP(A:A,[1]TDSheet!$A:$H,8,0)</f>
        <v>1</v>
      </c>
      <c r="I34" s="8" t="e">
        <f>VLOOKUP(A:A,[1]TDSheet!$A:$I,9,0)</f>
        <v>#N/A</v>
      </c>
      <c r="J34" s="8" t="e">
        <f>VLOOKUP(A:A,[1]TDSheet!$A:$J,10,0)</f>
        <v>#N/A</v>
      </c>
      <c r="K34" s="8"/>
      <c r="L34" s="8">
        <f>VLOOKUP(A:A,[2]TDSheet!$A:$B,2,0)</f>
        <v>629.5</v>
      </c>
      <c r="M34" s="17">
        <f t="shared" si="2"/>
        <v>-273.40699999999998</v>
      </c>
      <c r="N34" s="17"/>
      <c r="O34" s="8">
        <f>VLOOKUP(A:A,[1]TDSheet!$A:$P,16,0)</f>
        <v>1200</v>
      </c>
      <c r="P34" s="17">
        <f>VLOOKUP(A:A,[1]TDSheet!$A:$Q,17,0)</f>
        <v>500</v>
      </c>
      <c r="Q34" s="17">
        <f>VLOOKUP(A:A,[1]TDSheet!$A:$S,19,0)</f>
        <v>500</v>
      </c>
      <c r="R34" s="17">
        <f t="shared" si="3"/>
        <v>71.218600000000009</v>
      </c>
      <c r="S34" s="20"/>
      <c r="T34" s="20"/>
      <c r="U34" s="17"/>
      <c r="V34" s="17">
        <f t="shared" si="4"/>
        <v>38.46256455476518</v>
      </c>
      <c r="W34" s="17">
        <f t="shared" si="5"/>
        <v>7.5717579396393626</v>
      </c>
      <c r="X34" s="17">
        <f>VLOOKUP(A:A,[1]TDSheet!$A:$X,24,0)</f>
        <v>140.4692</v>
      </c>
      <c r="Y34" s="17">
        <f>VLOOKUP(A:A,[1]TDSheet!$A:$Y,25,0)</f>
        <v>144.97579999999999</v>
      </c>
      <c r="Z34" s="17">
        <f>VLOOKUP(A:A,[1]TDSheet!$A:$Z,26,0)</f>
        <v>80.849599999999995</v>
      </c>
      <c r="AA34" s="17">
        <f>VLOOKUP(A:A,[1]TDSheet!$A:$AA,27,0)</f>
        <v>218.88560000000001</v>
      </c>
      <c r="AB34" s="17" t="e">
        <f>VLOOKUP(A:A,[1]TDSheet!$A:$AB,28,0)</f>
        <v>#N/A</v>
      </c>
      <c r="AC34" s="17">
        <f t="shared" si="6"/>
        <v>0</v>
      </c>
      <c r="AD34" s="17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</row>
    <row r="35" spans="1:57" ht="11.15" customHeight="1" x14ac:dyDescent="0.25">
      <c r="A35" s="7" t="s">
        <v>35</v>
      </c>
      <c r="B35" s="7" t="s">
        <v>10</v>
      </c>
      <c r="C35" s="24">
        <v>73.063000000000002</v>
      </c>
      <c r="D35" s="24">
        <v>1.514</v>
      </c>
      <c r="E35" s="24">
        <v>81.406999999999996</v>
      </c>
      <c r="F35" s="24">
        <v>-11.816000000000001</v>
      </c>
      <c r="G35" s="17" t="str">
        <f>VLOOKUP(A:A,[1]TDSheet!$A:$G,7,0)</f>
        <v>P004843</v>
      </c>
      <c r="H35" s="18">
        <f>VLOOKUP(A:A,[1]TDSheet!$A:$H,8,0)</f>
        <v>1</v>
      </c>
      <c r="I35" s="8">
        <f>VLOOKUP(A:A,[1]TDSheet!$A:$I,9,0)</f>
        <v>40</v>
      </c>
      <c r="J35" s="8" t="str">
        <f>VLOOKUP(A:A,[1]TDSheet!$A:$J,10,0)</f>
        <v>матрица</v>
      </c>
      <c r="K35" s="8"/>
      <c r="L35" s="8">
        <f>VLOOKUP(A:A,[2]TDSheet!$A:$B,2,0)</f>
        <v>82.5</v>
      </c>
      <c r="M35" s="17">
        <f t="shared" si="2"/>
        <v>-1.0930000000000035</v>
      </c>
      <c r="N35" s="17"/>
      <c r="O35" s="8">
        <f>VLOOKUP(A:A,[1]TDSheet!$A:$P,16,0)</f>
        <v>0</v>
      </c>
      <c r="P35" s="17">
        <f>VLOOKUP(A:A,[1]TDSheet!$A:$Q,17,0)</f>
        <v>90</v>
      </c>
      <c r="Q35" s="17">
        <f>VLOOKUP(A:A,[1]TDSheet!$A:$S,19,0)</f>
        <v>200</v>
      </c>
      <c r="R35" s="17">
        <f t="shared" si="3"/>
        <v>16.281399999999998</v>
      </c>
      <c r="S35" s="20"/>
      <c r="T35" s="20"/>
      <c r="U35" s="17"/>
      <c r="V35" s="17">
        <f t="shared" si="4"/>
        <v>17.085999975432088</v>
      </c>
      <c r="W35" s="17">
        <f t="shared" si="5"/>
        <v>-0.72573611605881572</v>
      </c>
      <c r="X35" s="17">
        <f>VLOOKUP(A:A,[1]TDSheet!$A:$X,24,0)</f>
        <v>17.645800000000001</v>
      </c>
      <c r="Y35" s="17">
        <f>VLOOKUP(A:A,[1]TDSheet!$A:$Y,25,0)</f>
        <v>11.727399999999999</v>
      </c>
      <c r="Z35" s="17">
        <f>VLOOKUP(A:A,[1]TDSheet!$A:$Z,26,0)</f>
        <v>11.8508</v>
      </c>
      <c r="AA35" s="17">
        <f>VLOOKUP(A:A,[1]TDSheet!$A:$AA,27,0)</f>
        <v>15.133799999999999</v>
      </c>
      <c r="AB35" s="17">
        <f>VLOOKUP(A:A,[1]TDSheet!$A:$AB,28,0)</f>
        <v>0</v>
      </c>
      <c r="AC35" s="17">
        <f t="shared" si="6"/>
        <v>0</v>
      </c>
      <c r="AD35" s="17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</row>
    <row r="36" spans="1:57" ht="11.15" customHeight="1" x14ac:dyDescent="0.25">
      <c r="A36" s="7" t="s">
        <v>36</v>
      </c>
      <c r="B36" s="7" t="s">
        <v>10</v>
      </c>
      <c r="C36" s="24">
        <v>99.498000000000005</v>
      </c>
      <c r="D36" s="24">
        <v>4.5</v>
      </c>
      <c r="E36" s="24">
        <v>90.536000000000001</v>
      </c>
      <c r="F36" s="24">
        <v>7.008</v>
      </c>
      <c r="G36" s="17" t="str">
        <f>VLOOKUP(A:A,[1]TDSheet!$A:$G,7,0)</f>
        <v>P004913</v>
      </c>
      <c r="H36" s="18">
        <f>VLOOKUP(A:A,[1]TDSheet!$A:$H,8,0)</f>
        <v>1</v>
      </c>
      <c r="I36" s="8">
        <f>VLOOKUP(A:A,[1]TDSheet!$A:$I,9,0)</f>
        <v>30</v>
      </c>
      <c r="J36" s="8" t="str">
        <f>VLOOKUP(A:A,[1]TDSheet!$A:$J,10,0)</f>
        <v>матрица</v>
      </c>
      <c r="K36" s="8"/>
      <c r="L36" s="8">
        <f>VLOOKUP(A:A,[2]TDSheet!$A:$B,2,0)</f>
        <v>89.8</v>
      </c>
      <c r="M36" s="17">
        <f t="shared" si="2"/>
        <v>0.73600000000000421</v>
      </c>
      <c r="N36" s="17"/>
      <c r="O36" s="8">
        <f>VLOOKUP(A:A,[1]TDSheet!$A:$P,16,0)</f>
        <v>0</v>
      </c>
      <c r="P36" s="17">
        <f>VLOOKUP(A:A,[1]TDSheet!$A:$Q,17,0)</f>
        <v>0</v>
      </c>
      <c r="Q36" s="17">
        <f>VLOOKUP(A:A,[1]TDSheet!$A:$S,19,0)</f>
        <v>30</v>
      </c>
      <c r="R36" s="17">
        <f t="shared" si="3"/>
        <v>18.107199999999999</v>
      </c>
      <c r="S36" s="20">
        <f t="shared" si="7"/>
        <v>162.17119999999997</v>
      </c>
      <c r="T36" s="20"/>
      <c r="U36" s="17"/>
      <c r="V36" s="17">
        <f t="shared" si="4"/>
        <v>11</v>
      </c>
      <c r="W36" s="17">
        <f t="shared" si="5"/>
        <v>0.38702836440752852</v>
      </c>
      <c r="X36" s="17">
        <f>VLOOKUP(A:A,[1]TDSheet!$A:$X,24,0)</f>
        <v>11.0518</v>
      </c>
      <c r="Y36" s="17">
        <f>VLOOKUP(A:A,[1]TDSheet!$A:$Y,25,0)</f>
        <v>10.300799999999999</v>
      </c>
      <c r="Z36" s="17">
        <f>VLOOKUP(A:A,[1]TDSheet!$A:$Z,26,0)</f>
        <v>11.4916</v>
      </c>
      <c r="AA36" s="17">
        <f>VLOOKUP(A:A,[1]TDSheet!$A:$AA,27,0)</f>
        <v>2.2928000000000002</v>
      </c>
      <c r="AB36" s="17">
        <f>VLOOKUP(A:A,[1]TDSheet!$A:$AB,28,0)</f>
        <v>0</v>
      </c>
      <c r="AC36" s="17">
        <f t="shared" si="6"/>
        <v>162.17119999999997</v>
      </c>
      <c r="AD36" s="17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</row>
    <row r="37" spans="1:57" ht="11.15" customHeight="1" x14ac:dyDescent="0.25">
      <c r="A37" s="7" t="s">
        <v>37</v>
      </c>
      <c r="B37" s="7" t="s">
        <v>10</v>
      </c>
      <c r="C37" s="24">
        <v>74.988</v>
      </c>
      <c r="D37" s="24">
        <v>0.89500000000000002</v>
      </c>
      <c r="E37" s="24">
        <v>72.805999999999997</v>
      </c>
      <c r="F37" s="24">
        <v>0.378</v>
      </c>
      <c r="G37" s="17" t="str">
        <f>VLOOKUP(A:A,[1]TDSheet!$A:$G,7,0)</f>
        <v>P004896</v>
      </c>
      <c r="H37" s="18">
        <f>VLOOKUP(A:A,[1]TDSheet!$A:$H,8,0)</f>
        <v>1</v>
      </c>
      <c r="I37" s="8">
        <f>VLOOKUP(A:A,[1]TDSheet!$A:$I,9,0)</f>
        <v>50</v>
      </c>
      <c r="J37" s="8" t="str">
        <f>VLOOKUP(A:A,[1]TDSheet!$A:$J,10,0)</f>
        <v>матрица</v>
      </c>
      <c r="K37" s="8"/>
      <c r="L37" s="8">
        <f>VLOOKUP(A:A,[2]TDSheet!$A:$B,2,0)</f>
        <v>106.2</v>
      </c>
      <c r="M37" s="17">
        <f t="shared" si="2"/>
        <v>-33.394000000000005</v>
      </c>
      <c r="N37" s="17"/>
      <c r="O37" s="8">
        <f>VLOOKUP(A:A,[1]TDSheet!$A:$P,16,0)</f>
        <v>0</v>
      </c>
      <c r="P37" s="17">
        <f>VLOOKUP(A:A,[1]TDSheet!$A:$Q,17,0)</f>
        <v>70</v>
      </c>
      <c r="Q37" s="17">
        <f>VLOOKUP(A:A,[1]TDSheet!$A:$S,19,0)</f>
        <v>80</v>
      </c>
      <c r="R37" s="17">
        <f t="shared" si="3"/>
        <v>14.561199999999999</v>
      </c>
      <c r="S37" s="20"/>
      <c r="T37" s="20"/>
      <c r="U37" s="17"/>
      <c r="V37" s="17">
        <f t="shared" si="4"/>
        <v>10.327308188885532</v>
      </c>
      <c r="W37" s="17">
        <f t="shared" si="5"/>
        <v>2.5959398950635936E-2</v>
      </c>
      <c r="X37" s="17">
        <f>VLOOKUP(A:A,[1]TDSheet!$A:$X,24,0)</f>
        <v>11.792199999999999</v>
      </c>
      <c r="Y37" s="17">
        <f>VLOOKUP(A:A,[1]TDSheet!$A:$Y,25,0)</f>
        <v>17.146799999999999</v>
      </c>
      <c r="Z37" s="17">
        <f>VLOOKUP(A:A,[1]TDSheet!$A:$Z,26,0)</f>
        <v>11</v>
      </c>
      <c r="AA37" s="17">
        <f>VLOOKUP(A:A,[1]TDSheet!$A:$AA,27,0)</f>
        <v>13.347999999999999</v>
      </c>
      <c r="AB37" s="17">
        <f>VLOOKUP(A:A,[1]TDSheet!$A:$AB,28,0)</f>
        <v>0</v>
      </c>
      <c r="AC37" s="17">
        <f t="shared" si="6"/>
        <v>0</v>
      </c>
      <c r="AD37" s="17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</row>
    <row r="38" spans="1:57" ht="11.15" customHeight="1" x14ac:dyDescent="0.25">
      <c r="A38" s="7" t="s">
        <v>38</v>
      </c>
      <c r="B38" s="7" t="s">
        <v>10</v>
      </c>
      <c r="C38" s="24">
        <v>17.986999999999998</v>
      </c>
      <c r="D38" s="24"/>
      <c r="E38" s="24">
        <v>17.253</v>
      </c>
      <c r="F38" s="24">
        <v>-0.17</v>
      </c>
      <c r="G38" s="17" t="str">
        <f>VLOOKUP(A:A,[1]TDSheet!$A:$G,7,0)</f>
        <v>P004895</v>
      </c>
      <c r="H38" s="18">
        <f>VLOOKUP(A:A,[1]TDSheet!$A:$H,8,0)</f>
        <v>1</v>
      </c>
      <c r="I38" s="8">
        <f>VLOOKUP(A:A,[1]TDSheet!$A:$I,9,0)</f>
        <v>0</v>
      </c>
      <c r="J38" s="8">
        <f>VLOOKUP(A:A,[1]TDSheet!$A:$J,10,0)</f>
        <v>0</v>
      </c>
      <c r="K38" s="8"/>
      <c r="L38" s="8">
        <f>VLOOKUP(A:A,[2]TDSheet!$A:$B,2,0)</f>
        <v>44.9</v>
      </c>
      <c r="M38" s="17">
        <f t="shared" si="2"/>
        <v>-27.646999999999998</v>
      </c>
      <c r="N38" s="17"/>
      <c r="O38" s="8">
        <f>VLOOKUP(A:A,[1]TDSheet!$A:$P,16,0)</f>
        <v>0</v>
      </c>
      <c r="P38" s="17">
        <f>VLOOKUP(A:A,[1]TDSheet!$A:$Q,17,0)</f>
        <v>110</v>
      </c>
      <c r="Q38" s="17">
        <f>VLOOKUP(A:A,[1]TDSheet!$A:$S,19,0)</f>
        <v>0</v>
      </c>
      <c r="R38" s="17">
        <f t="shared" si="3"/>
        <v>3.4506000000000001</v>
      </c>
      <c r="S38" s="20"/>
      <c r="T38" s="20"/>
      <c r="U38" s="17"/>
      <c r="V38" s="17">
        <f t="shared" si="4"/>
        <v>31.829247087463049</v>
      </c>
      <c r="W38" s="17">
        <f t="shared" si="5"/>
        <v>-4.9266794180722197E-2</v>
      </c>
      <c r="X38" s="17">
        <f>VLOOKUP(A:A,[1]TDSheet!$A:$X,24,0)</f>
        <v>11.283199999999999</v>
      </c>
      <c r="Y38" s="17">
        <f>VLOOKUP(A:A,[1]TDSheet!$A:$Y,25,0)</f>
        <v>7.7528000000000006</v>
      </c>
      <c r="Z38" s="17">
        <f>VLOOKUP(A:A,[1]TDSheet!$A:$Z,26,0)</f>
        <v>6.7331999999999992</v>
      </c>
      <c r="AA38" s="17">
        <f>VLOOKUP(A:A,[1]TDSheet!$A:$AA,27,0)</f>
        <v>11.9902</v>
      </c>
      <c r="AB38" s="17" t="e">
        <f>VLOOKUP(A:A,[1]TDSheet!$A:$AB,28,0)</f>
        <v>#N/A</v>
      </c>
      <c r="AC38" s="17">
        <f t="shared" si="6"/>
        <v>0</v>
      </c>
      <c r="AD38" s="17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</row>
    <row r="39" spans="1:57" ht="21.9" customHeight="1" x14ac:dyDescent="0.25">
      <c r="A39" s="7" t="s">
        <v>39</v>
      </c>
      <c r="B39" s="7" t="s">
        <v>10</v>
      </c>
      <c r="C39" s="24">
        <v>9.3930000000000007</v>
      </c>
      <c r="D39" s="24"/>
      <c r="E39" s="24">
        <v>8.1289999999999996</v>
      </c>
      <c r="F39" s="24">
        <v>-0.58899999999999997</v>
      </c>
      <c r="G39" s="17" t="str">
        <f>VLOOKUP(A:A,[1]TDSheet!$A:$G,7,0)</f>
        <v>P004898</v>
      </c>
      <c r="H39" s="18">
        <f>VLOOKUP(A:A,[1]TDSheet!$A:$H,8,0)</f>
        <v>1</v>
      </c>
      <c r="I39" s="8">
        <f>VLOOKUP(A:A,[1]TDSheet!$A:$I,9,0)</f>
        <v>50</v>
      </c>
      <c r="J39" s="8" t="str">
        <f>VLOOKUP(A:A,[1]TDSheet!$A:$J,10,0)</f>
        <v>матрица</v>
      </c>
      <c r="K39" s="8"/>
      <c r="L39" s="8">
        <f>VLOOKUP(A:A,[2]TDSheet!$A:$B,2,0)</f>
        <v>12.6</v>
      </c>
      <c r="M39" s="17">
        <f t="shared" si="2"/>
        <v>-4.4710000000000001</v>
      </c>
      <c r="N39" s="17"/>
      <c r="O39" s="8">
        <f>VLOOKUP(A:A,[1]TDSheet!$A:$P,16,0)</f>
        <v>0</v>
      </c>
      <c r="P39" s="17">
        <f>VLOOKUP(A:A,[1]TDSheet!$A:$Q,17,0)</f>
        <v>90</v>
      </c>
      <c r="Q39" s="17">
        <f>VLOOKUP(A:A,[1]TDSheet!$A:$S,19,0)</f>
        <v>0</v>
      </c>
      <c r="R39" s="17">
        <f t="shared" si="3"/>
        <v>1.6257999999999999</v>
      </c>
      <c r="S39" s="20"/>
      <c r="T39" s="20"/>
      <c r="U39" s="17"/>
      <c r="V39" s="17">
        <f t="shared" si="4"/>
        <v>54.995079345552959</v>
      </c>
      <c r="W39" s="17">
        <f t="shared" si="5"/>
        <v>-0.36228318366342721</v>
      </c>
      <c r="X39" s="17">
        <f>VLOOKUP(A:A,[1]TDSheet!$A:$X,24,0)</f>
        <v>6.9379999999999997</v>
      </c>
      <c r="Y39" s="17">
        <f>VLOOKUP(A:A,[1]TDSheet!$A:$Y,25,0)</f>
        <v>8.8510000000000009</v>
      </c>
      <c r="Z39" s="17">
        <f>VLOOKUP(A:A,[1]TDSheet!$A:$Z,26,0)</f>
        <v>4.7031999999999998</v>
      </c>
      <c r="AA39" s="17">
        <f>VLOOKUP(A:A,[1]TDSheet!$A:$AA,27,0)</f>
        <v>9.5920000000000005</v>
      </c>
      <c r="AB39" s="17">
        <f>VLOOKUP(A:A,[1]TDSheet!$A:$AB,28,0)</f>
        <v>0</v>
      </c>
      <c r="AC39" s="17">
        <f t="shared" si="6"/>
        <v>0</v>
      </c>
      <c r="AD39" s="17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</row>
    <row r="40" spans="1:57" ht="11.15" customHeight="1" x14ac:dyDescent="0.25">
      <c r="A40" s="7" t="s">
        <v>40</v>
      </c>
      <c r="B40" s="7" t="s">
        <v>14</v>
      </c>
      <c r="C40" s="24">
        <v>913</v>
      </c>
      <c r="D40" s="24">
        <v>28</v>
      </c>
      <c r="E40" s="24">
        <v>912</v>
      </c>
      <c r="F40" s="24">
        <v>-1</v>
      </c>
      <c r="G40" s="17" t="str">
        <f>VLOOKUP(A:A,[1]TDSheet!$A:$G,7,0)</f>
        <v>P003957</v>
      </c>
      <c r="H40" s="18">
        <f>VLOOKUP(A:A,[1]TDSheet!$A:$H,8,0)</f>
        <v>0.4</v>
      </c>
      <c r="I40" s="8">
        <f>VLOOKUP(A:A,[1]TDSheet!$A:$I,9,0)</f>
        <v>45</v>
      </c>
      <c r="J40" s="8" t="str">
        <f>VLOOKUP(A:A,[1]TDSheet!$A:$J,10,0)</f>
        <v>матрица</v>
      </c>
      <c r="K40" s="8"/>
      <c r="L40" s="8">
        <f>VLOOKUP(A:A,[2]TDSheet!$A:$B,2,0)</f>
        <v>1371</v>
      </c>
      <c r="M40" s="17">
        <f t="shared" si="2"/>
        <v>-459</v>
      </c>
      <c r="N40" s="17"/>
      <c r="O40" s="8">
        <f>VLOOKUP(A:A,[1]TDSheet!$A:$P,16,0)</f>
        <v>0</v>
      </c>
      <c r="P40" s="17">
        <f>VLOOKUP(A:A,[1]TDSheet!$A:$Q,17,0)</f>
        <v>1200</v>
      </c>
      <c r="Q40" s="17">
        <f>VLOOKUP(A:A,[1]TDSheet!$A:$S,19,0)</f>
        <v>1500</v>
      </c>
      <c r="R40" s="17">
        <f t="shared" si="3"/>
        <v>182.4</v>
      </c>
      <c r="S40" s="20"/>
      <c r="T40" s="29">
        <v>300</v>
      </c>
      <c r="U40" s="26"/>
      <c r="V40" s="17">
        <f t="shared" si="4"/>
        <v>14.797149122807017</v>
      </c>
      <c r="W40" s="17">
        <f t="shared" si="5"/>
        <v>-5.4824561403508769E-3</v>
      </c>
      <c r="X40" s="17">
        <f>VLOOKUP(A:A,[1]TDSheet!$A:$X,24,0)</f>
        <v>161.80000000000001</v>
      </c>
      <c r="Y40" s="17">
        <f>VLOOKUP(A:A,[1]TDSheet!$A:$Y,25,0)</f>
        <v>215.4</v>
      </c>
      <c r="Z40" s="17">
        <f>VLOOKUP(A:A,[1]TDSheet!$A:$Z,26,0)</f>
        <v>91.4</v>
      </c>
      <c r="AA40" s="17">
        <f>VLOOKUP(A:A,[1]TDSheet!$A:$AA,27,0)</f>
        <v>197.2</v>
      </c>
      <c r="AB40" s="17" t="str">
        <f>VLOOKUP(A:A,[1]TDSheet!$A:$AB,28,0)</f>
        <v>ТМА ПРОДОЛЖЕНИЕ Апрель</v>
      </c>
      <c r="AC40" s="17">
        <f t="shared" si="6"/>
        <v>0</v>
      </c>
      <c r="AD40" s="17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</row>
    <row r="41" spans="1:57" ht="11.15" customHeight="1" x14ac:dyDescent="0.25">
      <c r="A41" s="7" t="s">
        <v>41</v>
      </c>
      <c r="B41" s="7" t="s">
        <v>14</v>
      </c>
      <c r="C41" s="24">
        <v>25</v>
      </c>
      <c r="D41" s="24">
        <v>510</v>
      </c>
      <c r="E41" s="24">
        <v>258</v>
      </c>
      <c r="F41" s="24">
        <v>271</v>
      </c>
      <c r="G41" s="17" t="str">
        <f>VLOOKUP(A:A,[1]TDSheet!$A:$G,7,0)</f>
        <v>P003103</v>
      </c>
      <c r="H41" s="18">
        <f>VLOOKUP(A:A,[1]TDSheet!$A:$H,8,0)</f>
        <v>0.45</v>
      </c>
      <c r="I41" s="8">
        <f>VLOOKUP(A:A,[1]TDSheet!$A:$I,9,0)</f>
        <v>50</v>
      </c>
      <c r="J41" s="8" t="str">
        <f>VLOOKUP(A:A,[1]TDSheet!$A:$J,10,0)</f>
        <v>ВНИМАНИЕ / матрица</v>
      </c>
      <c r="K41" s="8"/>
      <c r="L41" s="8">
        <f>VLOOKUP(A:A,[2]TDSheet!$A:$B,2,0)</f>
        <v>257</v>
      </c>
      <c r="M41" s="17">
        <f t="shared" si="2"/>
        <v>1</v>
      </c>
      <c r="N41" s="17"/>
      <c r="O41" s="8">
        <f>VLOOKUP(A:A,[1]TDSheet!$A:$P,16,0)</f>
        <v>0</v>
      </c>
      <c r="P41" s="17">
        <f>VLOOKUP(A:A,[1]TDSheet!$A:$Q,17,0)</f>
        <v>200</v>
      </c>
      <c r="Q41" s="17">
        <f>VLOOKUP(A:A,[1]TDSheet!$A:$S,19,0)</f>
        <v>150</v>
      </c>
      <c r="R41" s="17">
        <f t="shared" si="3"/>
        <v>51.6</v>
      </c>
      <c r="S41" s="20"/>
      <c r="T41" s="20"/>
      <c r="U41" s="17"/>
      <c r="V41" s="17">
        <f t="shared" si="4"/>
        <v>12.034883720930232</v>
      </c>
      <c r="W41" s="17">
        <f t="shared" si="5"/>
        <v>5.2519379844961236</v>
      </c>
      <c r="X41" s="17">
        <f>VLOOKUP(A:A,[1]TDSheet!$A:$X,24,0)</f>
        <v>54.6</v>
      </c>
      <c r="Y41" s="17">
        <f>VLOOKUP(A:A,[1]TDSheet!$A:$Y,25,0)</f>
        <v>33</v>
      </c>
      <c r="Z41" s="17">
        <f>VLOOKUP(A:A,[1]TDSheet!$A:$Z,26,0)</f>
        <v>47</v>
      </c>
      <c r="AA41" s="17">
        <f>VLOOKUP(A:A,[1]TDSheet!$A:$AA,27,0)</f>
        <v>32.6</v>
      </c>
      <c r="AB41" s="17" t="str">
        <f>VLOOKUP(A:A,[1]TDSheet!$A:$AB,28,0)</f>
        <v>Мера</v>
      </c>
      <c r="AC41" s="17">
        <f t="shared" si="6"/>
        <v>0</v>
      </c>
      <c r="AD41" s="17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</row>
    <row r="42" spans="1:57" ht="11.15" customHeight="1" x14ac:dyDescent="0.25">
      <c r="A42" s="7" t="s">
        <v>42</v>
      </c>
      <c r="B42" s="7" t="s">
        <v>14</v>
      </c>
      <c r="C42" s="24">
        <v>6</v>
      </c>
      <c r="D42" s="24">
        <v>221</v>
      </c>
      <c r="E42" s="24">
        <v>211</v>
      </c>
      <c r="F42" s="24">
        <v>8</v>
      </c>
      <c r="G42" s="17" t="str">
        <f>VLOOKUP(A:A,[1]TDSheet!$A:$G,7,0)</f>
        <v>P003958</v>
      </c>
      <c r="H42" s="18">
        <f>VLOOKUP(A:A,[1]TDSheet!$A:$H,8,0)</f>
        <v>0.4</v>
      </c>
      <c r="I42" s="8">
        <f>VLOOKUP(A:A,[1]TDSheet!$A:$I,9,0)</f>
        <v>45</v>
      </c>
      <c r="J42" s="8" t="str">
        <f>VLOOKUP(A:A,[1]TDSheet!$A:$J,10,0)</f>
        <v>матрица</v>
      </c>
      <c r="K42" s="8"/>
      <c r="L42" s="8">
        <f>VLOOKUP(A:A,[2]TDSheet!$A:$B,2,0)</f>
        <v>452</v>
      </c>
      <c r="M42" s="17">
        <f t="shared" si="2"/>
        <v>-241</v>
      </c>
      <c r="N42" s="17"/>
      <c r="O42" s="8">
        <f>VLOOKUP(A:A,[1]TDSheet!$A:$P,16,0)</f>
        <v>0</v>
      </c>
      <c r="P42" s="17">
        <f>VLOOKUP(A:A,[1]TDSheet!$A:$Q,17,0)</f>
        <v>380</v>
      </c>
      <c r="Q42" s="17">
        <f>VLOOKUP(A:A,[1]TDSheet!$A:$S,19,0)</f>
        <v>100</v>
      </c>
      <c r="R42" s="17">
        <f t="shared" si="3"/>
        <v>42.2</v>
      </c>
      <c r="S42" s="20"/>
      <c r="T42" s="20"/>
      <c r="U42" s="17"/>
      <c r="V42" s="17">
        <f t="shared" si="4"/>
        <v>11.563981042654028</v>
      </c>
      <c r="W42" s="17">
        <f t="shared" si="5"/>
        <v>0.1895734597156398</v>
      </c>
      <c r="X42" s="17">
        <f>VLOOKUP(A:A,[1]TDSheet!$A:$X,24,0)</f>
        <v>65</v>
      </c>
      <c r="Y42" s="17">
        <f>VLOOKUP(A:A,[1]TDSheet!$A:$Y,25,0)</f>
        <v>36.6</v>
      </c>
      <c r="Z42" s="17">
        <f>VLOOKUP(A:A,[1]TDSheet!$A:$Z,26,0)</f>
        <v>24.8</v>
      </c>
      <c r="AA42" s="17">
        <f>VLOOKUP(A:A,[1]TDSheet!$A:$AA,27,0)</f>
        <v>54.6</v>
      </c>
      <c r="AB42" s="17">
        <f>VLOOKUP(A:A,[1]TDSheet!$A:$AB,28,0)</f>
        <v>0</v>
      </c>
      <c r="AC42" s="17">
        <f t="shared" si="6"/>
        <v>0</v>
      </c>
      <c r="AD42" s="17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</row>
    <row r="43" spans="1:57" ht="11.15" customHeight="1" x14ac:dyDescent="0.25">
      <c r="A43" s="7" t="s">
        <v>43</v>
      </c>
      <c r="B43" s="7" t="s">
        <v>14</v>
      </c>
      <c r="C43" s="27"/>
      <c r="D43" s="24">
        <v>84</v>
      </c>
      <c r="E43" s="24">
        <v>56</v>
      </c>
      <c r="F43" s="24">
        <v>28</v>
      </c>
      <c r="G43" s="17" t="str">
        <f>VLOOKUP(A:A,[1]TDSheet!$A:$G,7,0)</f>
        <v>P005198</v>
      </c>
      <c r="H43" s="18">
        <f>VLOOKUP(A:A,[1]TDSheet!$A:$H,8,0)</f>
        <v>0.4</v>
      </c>
      <c r="I43" s="8">
        <f>VLOOKUP(A:A,[1]TDSheet!$A:$I,9,0)</f>
        <v>40</v>
      </c>
      <c r="J43" s="8" t="str">
        <f>VLOOKUP(A:A,[1]TDSheet!$A:$J,10,0)</f>
        <v>матрица</v>
      </c>
      <c r="K43" s="8"/>
      <c r="L43" s="8">
        <f>VLOOKUP(A:A,[2]TDSheet!$A:$B,2,0)</f>
        <v>64</v>
      </c>
      <c r="M43" s="17">
        <f t="shared" si="2"/>
        <v>-8</v>
      </c>
      <c r="N43" s="17"/>
      <c r="O43" s="8">
        <f>VLOOKUP(A:A,[1]TDSheet!$A:$P,16,0)</f>
        <v>0</v>
      </c>
      <c r="P43" s="17">
        <f>VLOOKUP(A:A,[1]TDSheet!$A:$Q,17,0)</f>
        <v>30</v>
      </c>
      <c r="Q43" s="17">
        <f>VLOOKUP(A:A,[1]TDSheet!$A:$S,19,0)</f>
        <v>0</v>
      </c>
      <c r="R43" s="17">
        <f t="shared" si="3"/>
        <v>11.2</v>
      </c>
      <c r="S43" s="20"/>
      <c r="T43" s="20"/>
      <c r="U43" s="17"/>
      <c r="V43" s="17">
        <f t="shared" si="4"/>
        <v>5.1785714285714288</v>
      </c>
      <c r="W43" s="17">
        <f t="shared" si="5"/>
        <v>2.5</v>
      </c>
      <c r="X43" s="17">
        <f>VLOOKUP(A:A,[1]TDSheet!$A:$X,24,0)</f>
        <v>5.4</v>
      </c>
      <c r="Y43" s="17">
        <f>VLOOKUP(A:A,[1]TDSheet!$A:$Y,25,0)</f>
        <v>3</v>
      </c>
      <c r="Z43" s="17">
        <f>VLOOKUP(A:A,[1]TDSheet!$A:$Z,26,0)</f>
        <v>3.2</v>
      </c>
      <c r="AA43" s="17">
        <f>VLOOKUP(A:A,[1]TDSheet!$A:$AA,27,0)</f>
        <v>2.8</v>
      </c>
      <c r="AB43" s="17">
        <f>VLOOKUP(A:A,[1]TDSheet!$A:$AB,28,0)</f>
        <v>0</v>
      </c>
      <c r="AC43" s="17">
        <f t="shared" si="6"/>
        <v>0</v>
      </c>
      <c r="AD43" s="17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</row>
    <row r="44" spans="1:57" ht="11.15" customHeight="1" x14ac:dyDescent="0.25">
      <c r="A44" s="7" t="s">
        <v>44</v>
      </c>
      <c r="B44" s="7" t="s">
        <v>10</v>
      </c>
      <c r="C44" s="24">
        <v>6.8630000000000004</v>
      </c>
      <c r="D44" s="24"/>
      <c r="E44" s="24">
        <v>0</v>
      </c>
      <c r="F44" s="24">
        <v>6.8630000000000004</v>
      </c>
      <c r="G44" s="17" t="str">
        <f>VLOOKUP(A:A,[1]TDSheet!$A:$G,7,0)</f>
        <v>P003959</v>
      </c>
      <c r="H44" s="18">
        <f>VLOOKUP(A:A,[1]TDSheet!$A:$H,8,0)</f>
        <v>1</v>
      </c>
      <c r="I44" s="8">
        <f>VLOOKUP(A:A,[1]TDSheet!$A:$I,9,0)</f>
        <v>0</v>
      </c>
      <c r="J44" s="8" t="e">
        <f>VLOOKUP(A:A,[1]TDSheet!$A:$J,10,0)</f>
        <v>#N/A</v>
      </c>
      <c r="K44" s="8"/>
      <c r="L44" s="8">
        <f>VLOOKUP(A:A,[2]TDSheet!$A:$B,2,0)</f>
        <v>28.6</v>
      </c>
      <c r="M44" s="17">
        <f t="shared" si="2"/>
        <v>-28.6</v>
      </c>
      <c r="N44" s="17"/>
      <c r="O44" s="8">
        <f>VLOOKUP(A:A,[1]TDSheet!$A:$P,16,0)</f>
        <v>0</v>
      </c>
      <c r="P44" s="17">
        <f>VLOOKUP(A:A,[1]TDSheet!$A:$Q,17,0)</f>
        <v>20</v>
      </c>
      <c r="Q44" s="17">
        <f>VLOOKUP(A:A,[1]TDSheet!$A:$S,19,0)</f>
        <v>0</v>
      </c>
      <c r="R44" s="17">
        <f t="shared" si="3"/>
        <v>0</v>
      </c>
      <c r="S44" s="20"/>
      <c r="T44" s="20"/>
      <c r="U44" s="17"/>
      <c r="V44" s="17" t="e">
        <f t="shared" si="4"/>
        <v>#DIV/0!</v>
      </c>
      <c r="W44" s="17" t="e">
        <f t="shared" si="5"/>
        <v>#DIV/0!</v>
      </c>
      <c r="X44" s="17">
        <f>VLOOKUP(A:A,[1]TDSheet!$A:$X,24,0)</f>
        <v>2.5696000000000003</v>
      </c>
      <c r="Y44" s="17">
        <f>VLOOKUP(A:A,[1]TDSheet!$A:$Y,25,0)</f>
        <v>3.1657999999999999</v>
      </c>
      <c r="Z44" s="17">
        <f>VLOOKUP(A:A,[1]TDSheet!$A:$Z,26,0)</f>
        <v>5.5179999999999998</v>
      </c>
      <c r="AA44" s="17">
        <f>VLOOKUP(A:A,[1]TDSheet!$A:$AA,27,0)</f>
        <v>1.9923999999999999</v>
      </c>
      <c r="AB44" s="17" t="e">
        <f>VLOOKUP(A:A,[1]TDSheet!$A:$AB,28,0)</f>
        <v>#N/A</v>
      </c>
      <c r="AC44" s="17">
        <f t="shared" si="6"/>
        <v>0</v>
      </c>
      <c r="AD44" s="17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</row>
    <row r="45" spans="1:57" ht="11.15" customHeight="1" x14ac:dyDescent="0.25">
      <c r="A45" s="7" t="s">
        <v>45</v>
      </c>
      <c r="B45" s="7" t="s">
        <v>14</v>
      </c>
      <c r="C45" s="24">
        <v>2</v>
      </c>
      <c r="D45" s="24">
        <v>100</v>
      </c>
      <c r="E45" s="24">
        <v>37</v>
      </c>
      <c r="F45" s="24">
        <v>65</v>
      </c>
      <c r="G45" s="17" t="str">
        <f>VLOOKUP(A:A,[1]TDSheet!$A:$G,7,0)</f>
        <v>P002648</v>
      </c>
      <c r="H45" s="18">
        <f>VLOOKUP(A:A,[1]TDSheet!$A:$H,8,0)</f>
        <v>0.1</v>
      </c>
      <c r="I45" s="8">
        <f>VLOOKUP(A:A,[1]TDSheet!$A:$I,9,0)</f>
        <v>730</v>
      </c>
      <c r="J45" s="8" t="str">
        <f>VLOOKUP(A:A,[1]TDSheet!$A:$J,10,0)</f>
        <v>матрица</v>
      </c>
      <c r="K45" s="8"/>
      <c r="L45" s="8">
        <f>VLOOKUP(A:A,[2]TDSheet!$A:$B,2,0)</f>
        <v>97</v>
      </c>
      <c r="M45" s="17">
        <f t="shared" si="2"/>
        <v>-60</v>
      </c>
      <c r="N45" s="17"/>
      <c r="O45" s="8">
        <f>VLOOKUP(A:A,[1]TDSheet!$A:$P,16,0)</f>
        <v>0</v>
      </c>
      <c r="P45" s="17">
        <f>VLOOKUP(A:A,[1]TDSheet!$A:$Q,17,0)</f>
        <v>650</v>
      </c>
      <c r="Q45" s="17">
        <f>VLOOKUP(A:A,[1]TDSheet!$A:$S,19,0)</f>
        <v>0</v>
      </c>
      <c r="R45" s="17">
        <f t="shared" si="3"/>
        <v>7.4</v>
      </c>
      <c r="S45" s="20"/>
      <c r="T45" s="20"/>
      <c r="U45" s="17"/>
      <c r="V45" s="17">
        <f t="shared" si="4"/>
        <v>96.621621621621614</v>
      </c>
      <c r="W45" s="17">
        <f t="shared" si="5"/>
        <v>8.7837837837837842</v>
      </c>
      <c r="X45" s="17">
        <f>VLOOKUP(A:A,[1]TDSheet!$A:$X,24,0)</f>
        <v>43.4</v>
      </c>
      <c r="Y45" s="17">
        <f>VLOOKUP(A:A,[1]TDSheet!$A:$Y,25,0)</f>
        <v>20.8</v>
      </c>
      <c r="Z45" s="17">
        <f>VLOOKUP(A:A,[1]TDSheet!$A:$Z,26,0)</f>
        <v>32.4</v>
      </c>
      <c r="AA45" s="17">
        <f>VLOOKUP(A:A,[1]TDSheet!$A:$AA,27,0)</f>
        <v>77.599999999999994</v>
      </c>
      <c r="AB45" s="17">
        <f>VLOOKUP(A:A,[1]TDSheet!$A:$AB,28,0)</f>
        <v>0</v>
      </c>
      <c r="AC45" s="17">
        <f t="shared" si="6"/>
        <v>0</v>
      </c>
      <c r="AD45" s="17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</row>
    <row r="46" spans="1:57" ht="21.9" customHeight="1" x14ac:dyDescent="0.25">
      <c r="A46" s="7" t="s">
        <v>46</v>
      </c>
      <c r="B46" s="7" t="s">
        <v>14</v>
      </c>
      <c r="C46" s="24">
        <v>98</v>
      </c>
      <c r="D46" s="24">
        <v>4</v>
      </c>
      <c r="E46" s="24">
        <v>68</v>
      </c>
      <c r="F46" s="24">
        <v>1</v>
      </c>
      <c r="G46" s="17" t="str">
        <f>VLOOKUP(A:A,[1]TDSheet!$A:$G,7,0)</f>
        <v>P003256</v>
      </c>
      <c r="H46" s="18">
        <f>VLOOKUP(A:A,[1]TDSheet!$A:$H,8,0)</f>
        <v>0.35</v>
      </c>
      <c r="I46" s="8">
        <f>VLOOKUP(A:A,[1]TDSheet!$A:$I,9,0)</f>
        <v>40</v>
      </c>
      <c r="J46" s="8" t="str">
        <f>VLOOKUP(A:A,[1]TDSheet!$A:$J,10,0)</f>
        <v>матрица</v>
      </c>
      <c r="K46" s="8"/>
      <c r="L46" s="8">
        <f>VLOOKUP(A:A,[2]TDSheet!$A:$B,2,0)</f>
        <v>166</v>
      </c>
      <c r="M46" s="17">
        <f t="shared" si="2"/>
        <v>-98</v>
      </c>
      <c r="N46" s="17"/>
      <c r="O46" s="8">
        <f>VLOOKUP(A:A,[1]TDSheet!$A:$P,16,0)</f>
        <v>0</v>
      </c>
      <c r="P46" s="17">
        <f>VLOOKUP(A:A,[1]TDSheet!$A:$Q,17,0)</f>
        <v>200</v>
      </c>
      <c r="Q46" s="17">
        <f>VLOOKUP(A:A,[1]TDSheet!$A:$S,19,0)</f>
        <v>190</v>
      </c>
      <c r="R46" s="17">
        <f t="shared" si="3"/>
        <v>13.6</v>
      </c>
      <c r="S46" s="20"/>
      <c r="T46" s="20"/>
      <c r="U46" s="17"/>
      <c r="V46" s="17">
        <f t="shared" si="4"/>
        <v>28.75</v>
      </c>
      <c r="W46" s="17">
        <f t="shared" si="5"/>
        <v>7.3529411764705885E-2</v>
      </c>
      <c r="X46" s="17">
        <f>VLOOKUP(A:A,[1]TDSheet!$A:$X,24,0)</f>
        <v>23</v>
      </c>
      <c r="Y46" s="17">
        <f>VLOOKUP(A:A,[1]TDSheet!$A:$Y,25,0)</f>
        <v>25.4</v>
      </c>
      <c r="Z46" s="17">
        <f>VLOOKUP(A:A,[1]TDSheet!$A:$Z,26,0)</f>
        <v>18.2</v>
      </c>
      <c r="AA46" s="17">
        <f>VLOOKUP(A:A,[1]TDSheet!$A:$AA,27,0)</f>
        <v>27.2</v>
      </c>
      <c r="AB46" s="17" t="str">
        <f>VLOOKUP(A:A,[1]TDSheet!$A:$AB,28,0)</f>
        <v>Мера</v>
      </c>
      <c r="AC46" s="17">
        <f t="shared" si="6"/>
        <v>0</v>
      </c>
      <c r="AD46" s="17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</row>
    <row r="47" spans="1:57" ht="11.15" customHeight="1" x14ac:dyDescent="0.25">
      <c r="A47" s="7" t="s">
        <v>47</v>
      </c>
      <c r="B47" s="7" t="s">
        <v>10</v>
      </c>
      <c r="C47" s="24">
        <v>48.289000000000001</v>
      </c>
      <c r="D47" s="24">
        <v>2.2410000000000001</v>
      </c>
      <c r="E47" s="24">
        <v>41.295000000000002</v>
      </c>
      <c r="F47" s="24">
        <v>2.121</v>
      </c>
      <c r="G47" s="17" t="str">
        <f>VLOOKUP(A:A,[1]TDSheet!$A:$G,7,0)</f>
        <v>P003179</v>
      </c>
      <c r="H47" s="18">
        <f>VLOOKUP(A:A,[1]TDSheet!$A:$H,8,0)</f>
        <v>1</v>
      </c>
      <c r="I47" s="8">
        <f>VLOOKUP(A:A,[1]TDSheet!$A:$I,9,0)</f>
        <v>40</v>
      </c>
      <c r="J47" s="8" t="str">
        <f>VLOOKUP(A:A,[1]TDSheet!$A:$J,10,0)</f>
        <v>матрица</v>
      </c>
      <c r="K47" s="8"/>
      <c r="L47" s="8">
        <f>VLOOKUP(A:A,[2]TDSheet!$A:$B,2,0)</f>
        <v>113.1</v>
      </c>
      <c r="M47" s="17">
        <f t="shared" si="2"/>
        <v>-71.804999999999993</v>
      </c>
      <c r="N47" s="17"/>
      <c r="O47" s="8">
        <f>VLOOKUP(A:A,[1]TDSheet!$A:$P,16,0)</f>
        <v>0</v>
      </c>
      <c r="P47" s="17">
        <f>VLOOKUP(A:A,[1]TDSheet!$A:$Q,17,0)</f>
        <v>140</v>
      </c>
      <c r="Q47" s="17">
        <f>VLOOKUP(A:A,[1]TDSheet!$A:$S,19,0)</f>
        <v>60</v>
      </c>
      <c r="R47" s="17">
        <f t="shared" si="3"/>
        <v>8.2590000000000003</v>
      </c>
      <c r="S47" s="20"/>
      <c r="T47" s="20"/>
      <c r="U47" s="17"/>
      <c r="V47" s="17">
        <f t="shared" si="4"/>
        <v>24.472817532388909</v>
      </c>
      <c r="W47" s="17">
        <f t="shared" si="5"/>
        <v>0.25681075190701053</v>
      </c>
      <c r="X47" s="17">
        <f>VLOOKUP(A:A,[1]TDSheet!$A:$X,24,0)</f>
        <v>13.042199999999999</v>
      </c>
      <c r="Y47" s="17">
        <f>VLOOKUP(A:A,[1]TDSheet!$A:$Y,25,0)</f>
        <v>16.349600000000002</v>
      </c>
      <c r="Z47" s="17">
        <f>VLOOKUP(A:A,[1]TDSheet!$A:$Z,26,0)</f>
        <v>10.4474</v>
      </c>
      <c r="AA47" s="17">
        <f>VLOOKUP(A:A,[1]TDSheet!$A:$AA,27,0)</f>
        <v>17.3644</v>
      </c>
      <c r="AB47" s="17">
        <f>VLOOKUP(A:A,[1]TDSheet!$A:$AB,28,0)</f>
        <v>0</v>
      </c>
      <c r="AC47" s="17">
        <f t="shared" si="6"/>
        <v>0</v>
      </c>
      <c r="AD47" s="17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</row>
    <row r="48" spans="1:57" ht="11.15" customHeight="1" x14ac:dyDescent="0.25">
      <c r="A48" s="7" t="s">
        <v>48</v>
      </c>
      <c r="B48" s="7" t="s">
        <v>14</v>
      </c>
      <c r="C48" s="24">
        <v>92</v>
      </c>
      <c r="D48" s="24">
        <v>252</v>
      </c>
      <c r="E48" s="24">
        <v>143.9</v>
      </c>
      <c r="F48" s="24">
        <v>188</v>
      </c>
      <c r="G48" s="17" t="str">
        <f>VLOOKUP(A:A,[1]TDSheet!$A:$G,7,0)</f>
        <v>P003475</v>
      </c>
      <c r="H48" s="18">
        <f>VLOOKUP(A:A,[1]TDSheet!$A:$H,8,0)</f>
        <v>0.4</v>
      </c>
      <c r="I48" s="8">
        <f>VLOOKUP(A:A,[1]TDSheet!$A:$I,9,0)</f>
        <v>40</v>
      </c>
      <c r="J48" s="8" t="str">
        <f>VLOOKUP(A:A,[1]TDSheet!$A:$J,10,0)</f>
        <v>матрица</v>
      </c>
      <c r="K48" s="8"/>
      <c r="L48" s="8">
        <f>VLOOKUP(A:A,[2]TDSheet!$A:$B,2,0)</f>
        <v>156</v>
      </c>
      <c r="M48" s="17">
        <f t="shared" si="2"/>
        <v>-12.099999999999994</v>
      </c>
      <c r="N48" s="17"/>
      <c r="O48" s="8">
        <f>VLOOKUP(A:A,[1]TDSheet!$A:$P,16,0)</f>
        <v>0</v>
      </c>
      <c r="P48" s="17">
        <f>VLOOKUP(A:A,[1]TDSheet!$A:$Q,17,0)</f>
        <v>0</v>
      </c>
      <c r="Q48" s="17">
        <f>VLOOKUP(A:A,[1]TDSheet!$A:$S,19,0)</f>
        <v>80</v>
      </c>
      <c r="R48" s="17">
        <f t="shared" si="3"/>
        <v>28.78</v>
      </c>
      <c r="S48" s="20"/>
      <c r="T48" s="20"/>
      <c r="U48" s="17"/>
      <c r="V48" s="17">
        <f t="shared" si="4"/>
        <v>9.3120222376650457</v>
      </c>
      <c r="W48" s="17">
        <f t="shared" si="5"/>
        <v>6.5323141070187631</v>
      </c>
      <c r="X48" s="17">
        <f>VLOOKUP(A:A,[1]TDSheet!$A:$X,24,0)</f>
        <v>30.2</v>
      </c>
      <c r="Y48" s="17">
        <f>VLOOKUP(A:A,[1]TDSheet!$A:$Y,25,0)</f>
        <v>21.8</v>
      </c>
      <c r="Z48" s="17">
        <f>VLOOKUP(A:A,[1]TDSheet!$A:$Z,26,0)</f>
        <v>15.6</v>
      </c>
      <c r="AA48" s="17">
        <f>VLOOKUP(A:A,[1]TDSheet!$A:$AA,27,0)</f>
        <v>18</v>
      </c>
      <c r="AB48" s="17">
        <f>VLOOKUP(A:A,[1]TDSheet!$A:$AB,28,0)</f>
        <v>0</v>
      </c>
      <c r="AC48" s="17">
        <f t="shared" si="6"/>
        <v>0</v>
      </c>
      <c r="AD48" s="17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</row>
    <row r="49" spans="1:57" ht="11.15" customHeight="1" x14ac:dyDescent="0.25">
      <c r="A49" s="7" t="s">
        <v>49</v>
      </c>
      <c r="B49" s="7" t="s">
        <v>14</v>
      </c>
      <c r="C49" s="27"/>
      <c r="D49" s="24">
        <v>252</v>
      </c>
      <c r="E49" s="24">
        <v>160</v>
      </c>
      <c r="F49" s="24">
        <v>89</v>
      </c>
      <c r="G49" s="17" t="str">
        <f>VLOOKUP(A:A,[1]TDSheet!$A:$G,7,0)</f>
        <v>P003217</v>
      </c>
      <c r="H49" s="18">
        <f>VLOOKUP(A:A,[1]TDSheet!$A:$H,8,0)</f>
        <v>0.4</v>
      </c>
      <c r="I49" s="8">
        <f>VLOOKUP(A:A,[1]TDSheet!$A:$I,9,0)</f>
        <v>45</v>
      </c>
      <c r="J49" s="8" t="str">
        <f>VLOOKUP(A:A,[1]TDSheet!$A:$J,10,0)</f>
        <v>матрица</v>
      </c>
      <c r="K49" s="8"/>
      <c r="L49" s="8">
        <f>VLOOKUP(A:A,[2]TDSheet!$A:$B,2,0)</f>
        <v>178</v>
      </c>
      <c r="M49" s="17">
        <f t="shared" si="2"/>
        <v>-18</v>
      </c>
      <c r="N49" s="17"/>
      <c r="O49" s="8">
        <f>VLOOKUP(A:A,[1]TDSheet!$A:$P,16,0)</f>
        <v>0</v>
      </c>
      <c r="P49" s="17">
        <f>VLOOKUP(A:A,[1]TDSheet!$A:$Q,17,0)</f>
        <v>100</v>
      </c>
      <c r="Q49" s="17">
        <f>VLOOKUP(A:A,[1]TDSheet!$A:$S,19,0)</f>
        <v>80</v>
      </c>
      <c r="R49" s="17">
        <f t="shared" si="3"/>
        <v>32</v>
      </c>
      <c r="S49" s="20">
        <f t="shared" si="7"/>
        <v>83</v>
      </c>
      <c r="T49" s="20"/>
      <c r="U49" s="17"/>
      <c r="V49" s="17">
        <f t="shared" si="4"/>
        <v>11</v>
      </c>
      <c r="W49" s="17">
        <f t="shared" si="5"/>
        <v>2.78125</v>
      </c>
      <c r="X49" s="17">
        <f>VLOOKUP(A:A,[1]TDSheet!$A:$X,24,0)</f>
        <v>37.6</v>
      </c>
      <c r="Y49" s="17">
        <f>VLOOKUP(A:A,[1]TDSheet!$A:$Y,25,0)</f>
        <v>12.2</v>
      </c>
      <c r="Z49" s="17">
        <f>VLOOKUP(A:A,[1]TDSheet!$A:$Z,26,0)</f>
        <v>16</v>
      </c>
      <c r="AA49" s="17">
        <f>VLOOKUP(A:A,[1]TDSheet!$A:$AA,27,0)</f>
        <v>16.8</v>
      </c>
      <c r="AB49" s="17">
        <f>VLOOKUP(A:A,[1]TDSheet!$A:$AB,28,0)</f>
        <v>0</v>
      </c>
      <c r="AC49" s="17">
        <f t="shared" si="6"/>
        <v>33.200000000000003</v>
      </c>
      <c r="AD49" s="17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</row>
    <row r="50" spans="1:57" ht="21.9" customHeight="1" x14ac:dyDescent="0.25">
      <c r="A50" s="7" t="s">
        <v>50</v>
      </c>
      <c r="B50" s="7" t="s">
        <v>10</v>
      </c>
      <c r="C50" s="24">
        <v>11.525</v>
      </c>
      <c r="D50" s="24">
        <v>0.8</v>
      </c>
      <c r="E50" s="24">
        <v>6.5529999999999999</v>
      </c>
      <c r="F50" s="24">
        <v>4.2480000000000002</v>
      </c>
      <c r="G50" s="17" t="str">
        <f>VLOOKUP(A:A,[1]TDSheet!$A:$G,7,0)</f>
        <v>P003276</v>
      </c>
      <c r="H50" s="18">
        <f>VLOOKUP(A:A,[1]TDSheet!$A:$H,8,0)</f>
        <v>1</v>
      </c>
      <c r="I50" s="8">
        <f>VLOOKUP(A:A,[1]TDSheet!$A:$I,9,0)</f>
        <v>0</v>
      </c>
      <c r="J50" s="8">
        <f>VLOOKUP(A:A,[1]TDSheet!$A:$J,10,0)</f>
        <v>0</v>
      </c>
      <c r="K50" s="8"/>
      <c r="L50" s="8">
        <f>VLOOKUP(A:A,[2]TDSheet!$A:$B,2,0)</f>
        <v>77</v>
      </c>
      <c r="M50" s="17">
        <f t="shared" si="2"/>
        <v>-70.447000000000003</v>
      </c>
      <c r="N50" s="17"/>
      <c r="O50" s="8">
        <f>VLOOKUP(A:A,[1]TDSheet!$A:$P,16,0)</f>
        <v>0</v>
      </c>
      <c r="P50" s="17">
        <f>VLOOKUP(A:A,[1]TDSheet!$A:$Q,17,0)</f>
        <v>100</v>
      </c>
      <c r="Q50" s="17">
        <f>VLOOKUP(A:A,[1]TDSheet!$A:$S,19,0)</f>
        <v>0</v>
      </c>
      <c r="R50" s="17">
        <f t="shared" si="3"/>
        <v>1.3106</v>
      </c>
      <c r="S50" s="20"/>
      <c r="T50" s="20"/>
      <c r="U50" s="17"/>
      <c r="V50" s="17">
        <f t="shared" si="4"/>
        <v>79.54219441477187</v>
      </c>
      <c r="W50" s="17">
        <f t="shared" si="5"/>
        <v>3.2412635434152297</v>
      </c>
      <c r="X50" s="17">
        <f>VLOOKUP(A:A,[1]TDSheet!$A:$X,24,0)</f>
        <v>10.436199999999999</v>
      </c>
      <c r="Y50" s="17">
        <f>VLOOKUP(A:A,[1]TDSheet!$A:$Y,25,0)</f>
        <v>7.5105999999999993</v>
      </c>
      <c r="Z50" s="17">
        <f>VLOOKUP(A:A,[1]TDSheet!$A:$Z,26,0)</f>
        <v>6.6159999999999997</v>
      </c>
      <c r="AA50" s="17">
        <f>VLOOKUP(A:A,[1]TDSheet!$A:$AA,27,0)</f>
        <v>10.1592</v>
      </c>
      <c r="AB50" s="17" t="e">
        <f>VLOOKUP(A:A,[1]TDSheet!$A:$AB,28,0)</f>
        <v>#N/A</v>
      </c>
      <c r="AC50" s="17">
        <f t="shared" si="6"/>
        <v>0</v>
      </c>
      <c r="AD50" s="17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</row>
    <row r="51" spans="1:57" ht="21.9" customHeight="1" x14ac:dyDescent="0.25">
      <c r="A51" s="7" t="s">
        <v>51</v>
      </c>
      <c r="B51" s="7" t="s">
        <v>10</v>
      </c>
      <c r="C51" s="24">
        <v>83.177000000000007</v>
      </c>
      <c r="D51" s="24">
        <v>2.9929999999999999</v>
      </c>
      <c r="E51" s="24">
        <v>87.207999999999998</v>
      </c>
      <c r="F51" s="24">
        <v>-5.492</v>
      </c>
      <c r="G51" s="17" t="str">
        <f>VLOOKUP(A:A,[1]TDSheet!$A:$G,7,0)</f>
        <v>P003259</v>
      </c>
      <c r="H51" s="18">
        <f>VLOOKUP(A:A,[1]TDSheet!$A:$H,8,0)</f>
        <v>1</v>
      </c>
      <c r="I51" s="8">
        <f>VLOOKUP(A:A,[1]TDSheet!$A:$I,9,0)</f>
        <v>40</v>
      </c>
      <c r="J51" s="8" t="str">
        <f>VLOOKUP(A:A,[1]TDSheet!$A:$J,10,0)</f>
        <v>матрица</v>
      </c>
      <c r="K51" s="8"/>
      <c r="L51" s="8">
        <f>VLOOKUP(A:A,[2]TDSheet!$A:$B,2,0)</f>
        <v>107.1</v>
      </c>
      <c r="M51" s="17">
        <f t="shared" si="2"/>
        <v>-19.891999999999996</v>
      </c>
      <c r="N51" s="17"/>
      <c r="O51" s="8">
        <f>VLOOKUP(A:A,[1]TDSheet!$A:$P,16,0)</f>
        <v>0</v>
      </c>
      <c r="P51" s="17">
        <f>VLOOKUP(A:A,[1]TDSheet!$A:$Q,17,0)</f>
        <v>140</v>
      </c>
      <c r="Q51" s="17">
        <f>VLOOKUP(A:A,[1]TDSheet!$A:$S,19,0)</f>
        <v>80</v>
      </c>
      <c r="R51" s="17">
        <f t="shared" si="3"/>
        <v>17.441600000000001</v>
      </c>
      <c r="S51" s="20"/>
      <c r="T51" s="20"/>
      <c r="U51" s="17"/>
      <c r="V51" s="17">
        <f t="shared" si="4"/>
        <v>12.298642326392073</v>
      </c>
      <c r="W51" s="17">
        <f t="shared" si="5"/>
        <v>-0.3148793688652417</v>
      </c>
      <c r="X51" s="17">
        <f>VLOOKUP(A:A,[1]TDSheet!$A:$X,24,0)</f>
        <v>18.1004</v>
      </c>
      <c r="Y51" s="17">
        <f>VLOOKUP(A:A,[1]TDSheet!$A:$Y,25,0)</f>
        <v>18.5532</v>
      </c>
      <c r="Z51" s="17">
        <f>VLOOKUP(A:A,[1]TDSheet!$A:$Z,26,0)</f>
        <v>4.5293999999999999</v>
      </c>
      <c r="AA51" s="17">
        <f>VLOOKUP(A:A,[1]TDSheet!$A:$AA,27,0)</f>
        <v>20.315000000000001</v>
      </c>
      <c r="AB51" s="17">
        <f>VLOOKUP(A:A,[1]TDSheet!$A:$AB,28,0)</f>
        <v>0</v>
      </c>
      <c r="AC51" s="17">
        <f t="shared" si="6"/>
        <v>0</v>
      </c>
      <c r="AD51" s="17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</row>
    <row r="52" spans="1:57" ht="21.9" customHeight="1" x14ac:dyDescent="0.25">
      <c r="A52" s="7" t="s">
        <v>52</v>
      </c>
      <c r="B52" s="7" t="s">
        <v>14</v>
      </c>
      <c r="C52" s="24">
        <v>159</v>
      </c>
      <c r="D52" s="24">
        <v>8</v>
      </c>
      <c r="E52" s="24">
        <v>187</v>
      </c>
      <c r="F52" s="24">
        <v>-27</v>
      </c>
      <c r="G52" s="17" t="str">
        <f>VLOOKUP(A:A,[1]TDSheet!$A:$G,7,0)</f>
        <v>P003260</v>
      </c>
      <c r="H52" s="18">
        <f>VLOOKUP(A:A,[1]TDSheet!$A:$H,8,0)</f>
        <v>0.35</v>
      </c>
      <c r="I52" s="8">
        <f>VLOOKUP(A:A,[1]TDSheet!$A:$I,9,0)</f>
        <v>40</v>
      </c>
      <c r="J52" s="8" t="str">
        <f>VLOOKUP(A:A,[1]TDSheet!$A:$J,10,0)</f>
        <v>матрица</v>
      </c>
      <c r="K52" s="8"/>
      <c r="L52" s="8">
        <f>VLOOKUP(A:A,[2]TDSheet!$A:$B,2,0)</f>
        <v>233</v>
      </c>
      <c r="M52" s="17">
        <f t="shared" si="2"/>
        <v>-46</v>
      </c>
      <c r="N52" s="17"/>
      <c r="O52" s="8">
        <f>VLOOKUP(A:A,[1]TDSheet!$A:$P,16,0)</f>
        <v>0</v>
      </c>
      <c r="P52" s="17">
        <f>VLOOKUP(A:A,[1]TDSheet!$A:$Q,17,0)</f>
        <v>700</v>
      </c>
      <c r="Q52" s="17">
        <f>VLOOKUP(A:A,[1]TDSheet!$A:$S,19,0)</f>
        <v>300</v>
      </c>
      <c r="R52" s="17">
        <f t="shared" si="3"/>
        <v>37.4</v>
      </c>
      <c r="S52" s="20"/>
      <c r="T52" s="20"/>
      <c r="U52" s="17"/>
      <c r="V52" s="17">
        <f t="shared" si="4"/>
        <v>26.016042780748663</v>
      </c>
      <c r="W52" s="17">
        <f t="shared" si="5"/>
        <v>-0.72192513368983957</v>
      </c>
      <c r="X52" s="17">
        <f>VLOOKUP(A:A,[1]TDSheet!$A:$X,24,0)</f>
        <v>87.8</v>
      </c>
      <c r="Y52" s="17">
        <f>VLOOKUP(A:A,[1]TDSheet!$A:$Y,25,0)</f>
        <v>84.2</v>
      </c>
      <c r="Z52" s="17">
        <f>VLOOKUP(A:A,[1]TDSheet!$A:$Z,26,0)</f>
        <v>40</v>
      </c>
      <c r="AA52" s="17">
        <f>VLOOKUP(A:A,[1]TDSheet!$A:$AA,27,0)</f>
        <v>78</v>
      </c>
      <c r="AB52" s="17" t="str">
        <f>VLOOKUP(A:A,[1]TDSheet!$A:$AB,28,0)</f>
        <v>ТМА ПРОДОЛЖЕНИЕ Апрель</v>
      </c>
      <c r="AC52" s="17">
        <f t="shared" si="6"/>
        <v>0</v>
      </c>
      <c r="AD52" s="17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</row>
    <row r="53" spans="1:57" ht="11.15" customHeight="1" x14ac:dyDescent="0.25">
      <c r="A53" s="7" t="s">
        <v>53</v>
      </c>
      <c r="B53" s="7" t="s">
        <v>14</v>
      </c>
      <c r="C53" s="24">
        <v>-12</v>
      </c>
      <c r="D53" s="24">
        <v>362</v>
      </c>
      <c r="E53" s="24">
        <v>257</v>
      </c>
      <c r="F53" s="24">
        <v>88</v>
      </c>
      <c r="G53" s="17" t="str">
        <f>VLOOKUP(A:A,[1]TDSheet!$A:$G,7,0)</f>
        <v>P004178</v>
      </c>
      <c r="H53" s="18">
        <f>VLOOKUP(A:A,[1]TDSheet!$A:$H,8,0)</f>
        <v>0.4</v>
      </c>
      <c r="I53" s="8">
        <f>VLOOKUP(A:A,[1]TDSheet!$A:$I,9,0)</f>
        <v>40</v>
      </c>
      <c r="J53" s="8" t="str">
        <f>VLOOKUP(A:A,[1]TDSheet!$A:$J,10,0)</f>
        <v>матрица</v>
      </c>
      <c r="K53" s="8"/>
      <c r="L53" s="8">
        <f>VLOOKUP(A:A,[2]TDSheet!$A:$B,2,0)</f>
        <v>294</v>
      </c>
      <c r="M53" s="17">
        <f t="shared" si="2"/>
        <v>-37</v>
      </c>
      <c r="N53" s="17"/>
      <c r="O53" s="8">
        <f>VLOOKUP(A:A,[1]TDSheet!$A:$P,16,0)</f>
        <v>0</v>
      </c>
      <c r="P53" s="17">
        <f>VLOOKUP(A:A,[1]TDSheet!$A:$Q,17,0)</f>
        <v>460</v>
      </c>
      <c r="Q53" s="17">
        <f>VLOOKUP(A:A,[1]TDSheet!$A:$S,19,0)</f>
        <v>150</v>
      </c>
      <c r="R53" s="17">
        <f t="shared" si="3"/>
        <v>51.4</v>
      </c>
      <c r="S53" s="20"/>
      <c r="T53" s="29">
        <v>100</v>
      </c>
      <c r="U53" s="26" t="s">
        <v>142</v>
      </c>
      <c r="V53" s="17">
        <f t="shared" si="4"/>
        <v>13.57976653696498</v>
      </c>
      <c r="W53" s="17">
        <f t="shared" si="5"/>
        <v>1.7120622568093387</v>
      </c>
      <c r="X53" s="17">
        <f>VLOOKUP(A:A,[1]TDSheet!$A:$X,24,0)</f>
        <v>77</v>
      </c>
      <c r="Y53" s="17">
        <f>VLOOKUP(A:A,[1]TDSheet!$A:$Y,25,0)</f>
        <v>53</v>
      </c>
      <c r="Z53" s="17">
        <f>VLOOKUP(A:A,[1]TDSheet!$A:$Z,26,0)</f>
        <v>46.6</v>
      </c>
      <c r="AA53" s="17">
        <f>VLOOKUP(A:A,[1]TDSheet!$A:$AA,27,0)</f>
        <v>73.400000000000006</v>
      </c>
      <c r="AB53" s="17" t="str">
        <f>VLOOKUP(A:A,[1]TDSheet!$A:$AB,28,0)</f>
        <v>Мера</v>
      </c>
      <c r="AC53" s="17">
        <f t="shared" si="6"/>
        <v>0</v>
      </c>
      <c r="AD53" s="17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</row>
    <row r="54" spans="1:57" ht="11.15" customHeight="1" x14ac:dyDescent="0.25">
      <c r="A54" s="7" t="s">
        <v>54</v>
      </c>
      <c r="B54" s="7" t="s">
        <v>10</v>
      </c>
      <c r="C54" s="24">
        <v>26.885000000000002</v>
      </c>
      <c r="D54" s="24">
        <v>2.694</v>
      </c>
      <c r="E54" s="24">
        <v>32.32</v>
      </c>
      <c r="F54" s="24">
        <v>-2.7410000000000001</v>
      </c>
      <c r="G54" s="17" t="str">
        <f>VLOOKUP(A:A,[1]TDSheet!$A:$G,7,0)</f>
        <v>P003234</v>
      </c>
      <c r="H54" s="18">
        <f>VLOOKUP(A:A,[1]TDSheet!$A:$H,8,0)</f>
        <v>1</v>
      </c>
      <c r="I54" s="8">
        <f>VLOOKUP(A:A,[1]TDSheet!$A:$I,9,0)</f>
        <v>50</v>
      </c>
      <c r="J54" s="8" t="str">
        <f>VLOOKUP(A:A,[1]TDSheet!$A:$J,10,0)</f>
        <v>матрица</v>
      </c>
      <c r="K54" s="8"/>
      <c r="L54" s="8">
        <f>VLOOKUP(A:A,[2]TDSheet!$A:$B,2,0)</f>
        <v>35.700000000000003</v>
      </c>
      <c r="M54" s="17">
        <f t="shared" si="2"/>
        <v>-3.3800000000000026</v>
      </c>
      <c r="N54" s="17"/>
      <c r="O54" s="8">
        <f>VLOOKUP(A:A,[1]TDSheet!$A:$P,16,0)</f>
        <v>0</v>
      </c>
      <c r="P54" s="17">
        <f>VLOOKUP(A:A,[1]TDSheet!$A:$Q,17,0)</f>
        <v>40</v>
      </c>
      <c r="Q54" s="17">
        <f>VLOOKUP(A:A,[1]TDSheet!$A:$S,19,0)</f>
        <v>0</v>
      </c>
      <c r="R54" s="17">
        <f t="shared" si="3"/>
        <v>6.4640000000000004</v>
      </c>
      <c r="S54" s="20"/>
      <c r="T54" s="20"/>
      <c r="U54" s="17"/>
      <c r="V54" s="17">
        <f t="shared" si="4"/>
        <v>5.7640779702970297</v>
      </c>
      <c r="W54" s="17">
        <f t="shared" si="5"/>
        <v>-0.42404084158415839</v>
      </c>
      <c r="X54" s="17">
        <f>VLOOKUP(A:A,[1]TDSheet!$A:$X,24,0)</f>
        <v>7.5367999999999995</v>
      </c>
      <c r="Y54" s="17">
        <f>VLOOKUP(A:A,[1]TDSheet!$A:$Y,25,0)</f>
        <v>7.5808000000000009</v>
      </c>
      <c r="Z54" s="17">
        <f>VLOOKUP(A:A,[1]TDSheet!$A:$Z,26,0)</f>
        <v>6.7715999999999994</v>
      </c>
      <c r="AA54" s="17">
        <f>VLOOKUP(A:A,[1]TDSheet!$A:$AA,27,0)</f>
        <v>6.4567999999999994</v>
      </c>
      <c r="AB54" s="17">
        <f>VLOOKUP(A:A,[1]TDSheet!$A:$AB,28,0)</f>
        <v>0</v>
      </c>
      <c r="AC54" s="17">
        <f t="shared" si="6"/>
        <v>0</v>
      </c>
      <c r="AD54" s="17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</row>
    <row r="55" spans="1:57" ht="11.15" customHeight="1" x14ac:dyDescent="0.25">
      <c r="A55" s="7" t="s">
        <v>55</v>
      </c>
      <c r="B55" s="7" t="s">
        <v>10</v>
      </c>
      <c r="C55" s="24">
        <v>110.666</v>
      </c>
      <c r="D55" s="24">
        <v>5.3970000000000002</v>
      </c>
      <c r="E55" s="24">
        <v>110.02500000000001</v>
      </c>
      <c r="F55" s="24">
        <v>1.617</v>
      </c>
      <c r="G55" s="17" t="str">
        <f>VLOOKUP(A:A,[1]TDSheet!$A:$G,7,0)</f>
        <v>P003239</v>
      </c>
      <c r="H55" s="18">
        <f>VLOOKUP(A:A,[1]TDSheet!$A:$H,8,0)</f>
        <v>1</v>
      </c>
      <c r="I55" s="8">
        <f>VLOOKUP(A:A,[1]TDSheet!$A:$I,9,0)</f>
        <v>50</v>
      </c>
      <c r="J55" s="8" t="str">
        <f>VLOOKUP(A:A,[1]TDSheet!$A:$J,10,0)</f>
        <v>матрица</v>
      </c>
      <c r="K55" s="8"/>
      <c r="L55" s="8">
        <f>VLOOKUP(A:A,[2]TDSheet!$A:$B,2,0)</f>
        <v>117.2</v>
      </c>
      <c r="M55" s="17">
        <f t="shared" si="2"/>
        <v>-7.1749999999999972</v>
      </c>
      <c r="N55" s="17"/>
      <c r="O55" s="8">
        <f>VLOOKUP(A:A,[1]TDSheet!$A:$P,16,0)</f>
        <v>0</v>
      </c>
      <c r="P55" s="17">
        <f>VLOOKUP(A:A,[1]TDSheet!$A:$Q,17,0)</f>
        <v>170</v>
      </c>
      <c r="Q55" s="17">
        <f>VLOOKUP(A:A,[1]TDSheet!$A:$S,19,0)</f>
        <v>100</v>
      </c>
      <c r="R55" s="17">
        <f t="shared" si="3"/>
        <v>22.005000000000003</v>
      </c>
      <c r="S55" s="20"/>
      <c r="T55" s="29">
        <v>50</v>
      </c>
      <c r="U55" s="26"/>
      <c r="V55" s="17">
        <f t="shared" si="4"/>
        <v>12.343421949556916</v>
      </c>
      <c r="W55" s="17">
        <f t="shared" si="5"/>
        <v>7.34832992501704E-2</v>
      </c>
      <c r="X55" s="17">
        <f>VLOOKUP(A:A,[1]TDSheet!$A:$X,24,0)</f>
        <v>15.2142</v>
      </c>
      <c r="Y55" s="17">
        <f>VLOOKUP(A:A,[1]TDSheet!$A:$Y,25,0)</f>
        <v>16.209600000000002</v>
      </c>
      <c r="Z55" s="17">
        <f>VLOOKUP(A:A,[1]TDSheet!$A:$Z,26,0)</f>
        <v>6.9251999999999994</v>
      </c>
      <c r="AA55" s="17">
        <f>VLOOKUP(A:A,[1]TDSheet!$A:$AA,27,0)</f>
        <v>25.757400000000001</v>
      </c>
      <c r="AB55" s="17">
        <f>VLOOKUP(A:A,[1]TDSheet!$A:$AB,28,0)</f>
        <v>0</v>
      </c>
      <c r="AC55" s="17">
        <f t="shared" si="6"/>
        <v>0</v>
      </c>
      <c r="AD55" s="17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</row>
    <row r="56" spans="1:57" ht="11.15" customHeight="1" x14ac:dyDescent="0.25">
      <c r="A56" s="7" t="s">
        <v>56</v>
      </c>
      <c r="B56" s="7" t="s">
        <v>10</v>
      </c>
      <c r="C56" s="24">
        <v>-4.0000000000000001E-3</v>
      </c>
      <c r="D56" s="24"/>
      <c r="E56" s="24">
        <v>0</v>
      </c>
      <c r="F56" s="24">
        <v>-4.0000000000000001E-3</v>
      </c>
      <c r="G56" s="17" t="str">
        <f>VLOOKUP(A:A,[1]TDSheet!$A:$G,7,0)</f>
        <v>P005250</v>
      </c>
      <c r="H56" s="18">
        <f>VLOOKUP(A:A,[1]TDSheet!$A:$H,8,0)</f>
        <v>1</v>
      </c>
      <c r="I56" s="8">
        <f>VLOOKUP(A:A,[1]TDSheet!$A:$I,9,0)</f>
        <v>0</v>
      </c>
      <c r="J56" s="8">
        <f>VLOOKUP(A:A,[1]TDSheet!$A:$J,10,0)</f>
        <v>0</v>
      </c>
      <c r="K56" s="8"/>
      <c r="L56" s="8">
        <f>VLOOKUP(A:A,[2]TDSheet!$A:$B,2,0)</f>
        <v>1.6</v>
      </c>
      <c r="M56" s="17">
        <f t="shared" si="2"/>
        <v>-1.6</v>
      </c>
      <c r="N56" s="17"/>
      <c r="O56" s="8">
        <f>VLOOKUP(A:A,[1]TDSheet!$A:$P,16,0)</f>
        <v>0</v>
      </c>
      <c r="P56" s="17">
        <f>VLOOKUP(A:A,[1]TDSheet!$A:$Q,17,0)</f>
        <v>0</v>
      </c>
      <c r="Q56" s="17">
        <f>VLOOKUP(A:A,[1]TDSheet!$A:$S,19,0)</f>
        <v>0</v>
      </c>
      <c r="R56" s="17">
        <f t="shared" si="3"/>
        <v>0</v>
      </c>
      <c r="S56" s="20"/>
      <c r="T56" s="20"/>
      <c r="U56" s="17"/>
      <c r="V56" s="17" t="e">
        <f t="shared" si="4"/>
        <v>#DIV/0!</v>
      </c>
      <c r="W56" s="17" t="e">
        <f t="shared" si="5"/>
        <v>#DIV/0!</v>
      </c>
      <c r="X56" s="17">
        <f>VLOOKUP(A:A,[1]TDSheet!$A:$X,24,0)</f>
        <v>1.4636</v>
      </c>
      <c r="Y56" s="17">
        <f>VLOOKUP(A:A,[1]TDSheet!$A:$Y,25,0)</f>
        <v>2.5966</v>
      </c>
      <c r="Z56" s="17">
        <f>VLOOKUP(A:A,[1]TDSheet!$A:$Z,26,0)</f>
        <v>2.7557999999999998</v>
      </c>
      <c r="AA56" s="17">
        <f>VLOOKUP(A:A,[1]TDSheet!$A:$AA,27,0)</f>
        <v>0.48699999999999999</v>
      </c>
      <c r="AB56" s="17" t="e">
        <f>VLOOKUP(A:A,[1]TDSheet!$A:$AB,28,0)</f>
        <v>#N/A</v>
      </c>
      <c r="AC56" s="17">
        <f t="shared" si="6"/>
        <v>0</v>
      </c>
      <c r="AD56" s="17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</row>
    <row r="57" spans="1:57" ht="11.15" customHeight="1" x14ac:dyDescent="0.25">
      <c r="A57" s="7" t="s">
        <v>57</v>
      </c>
      <c r="B57" s="7" t="s">
        <v>10</v>
      </c>
      <c r="C57" s="24">
        <v>11.366</v>
      </c>
      <c r="D57" s="24"/>
      <c r="E57" s="24">
        <v>10.243</v>
      </c>
      <c r="F57" s="24">
        <v>-0.39500000000000002</v>
      </c>
      <c r="G57" s="17" t="str">
        <f>VLOOKUP(A:A,[1]TDSheet!$A:$G,7,0)</f>
        <v>P004991</v>
      </c>
      <c r="H57" s="18">
        <f>VLOOKUP(A:A,[1]TDSheet!$A:$H,8,0)</f>
        <v>1</v>
      </c>
      <c r="I57" s="8">
        <f>VLOOKUP(A:A,[1]TDSheet!$A:$I,9,0)</f>
        <v>40</v>
      </c>
      <c r="J57" s="8" t="str">
        <f>VLOOKUP(A:A,[1]TDSheet!$A:$J,10,0)</f>
        <v>матрица</v>
      </c>
      <c r="K57" s="8"/>
      <c r="L57" s="8">
        <f>VLOOKUP(A:A,[2]TDSheet!$A:$B,2,0)</f>
        <v>41.5</v>
      </c>
      <c r="M57" s="17">
        <f t="shared" si="2"/>
        <v>-31.256999999999998</v>
      </c>
      <c r="N57" s="17"/>
      <c r="O57" s="8">
        <f>VLOOKUP(A:A,[1]TDSheet!$A:$P,16,0)</f>
        <v>0</v>
      </c>
      <c r="P57" s="17">
        <f>VLOOKUP(A:A,[1]TDSheet!$A:$Q,17,0)</f>
        <v>300</v>
      </c>
      <c r="Q57" s="17">
        <f>VLOOKUP(A:A,[1]TDSheet!$A:$S,19,0)</f>
        <v>0</v>
      </c>
      <c r="R57" s="17">
        <f t="shared" si="3"/>
        <v>2.0486</v>
      </c>
      <c r="S57" s="20"/>
      <c r="T57" s="20"/>
      <c r="U57" s="17"/>
      <c r="V57" s="17">
        <f t="shared" si="4"/>
        <v>146.24865761983796</v>
      </c>
      <c r="W57" s="17">
        <f t="shared" si="5"/>
        <v>-0.19281460509616324</v>
      </c>
      <c r="X57" s="17">
        <f>VLOOKUP(A:A,[1]TDSheet!$A:$X,24,0)</f>
        <v>18.4956</v>
      </c>
      <c r="Y57" s="17">
        <f>VLOOKUP(A:A,[1]TDSheet!$A:$Y,25,0)</f>
        <v>14.295199999999999</v>
      </c>
      <c r="Z57" s="17">
        <f>VLOOKUP(A:A,[1]TDSheet!$A:$Z,26,0)</f>
        <v>3.2396000000000003</v>
      </c>
      <c r="AA57" s="17">
        <f>VLOOKUP(A:A,[1]TDSheet!$A:$AA,27,0)</f>
        <v>29.507799999999996</v>
      </c>
      <c r="AB57" s="17">
        <f>VLOOKUP(A:A,[1]TDSheet!$A:$AB,28,0)</f>
        <v>0</v>
      </c>
      <c r="AC57" s="17">
        <f t="shared" si="6"/>
        <v>0</v>
      </c>
      <c r="AD57" s="17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</row>
    <row r="58" spans="1:57" ht="11.15" customHeight="1" x14ac:dyDescent="0.25">
      <c r="A58" s="7" t="s">
        <v>58</v>
      </c>
      <c r="B58" s="7" t="s">
        <v>14</v>
      </c>
      <c r="C58" s="24">
        <v>285</v>
      </c>
      <c r="D58" s="24">
        <v>2</v>
      </c>
      <c r="E58" s="24">
        <v>145</v>
      </c>
      <c r="F58" s="24">
        <v>138</v>
      </c>
      <c r="G58" s="17" t="str">
        <f>VLOOKUP(A:A,[1]TDSheet!$A:$G,7,0)</f>
        <v>P003227</v>
      </c>
      <c r="H58" s="18">
        <f>VLOOKUP(A:A,[1]TDSheet!$A:$H,8,0)</f>
        <v>0.45</v>
      </c>
      <c r="I58" s="8">
        <f>VLOOKUP(A:A,[1]TDSheet!$A:$I,9,0)</f>
        <v>0</v>
      </c>
      <c r="J58" s="8" t="str">
        <f>VLOOKUP(A:A,[1]TDSheet!$A:$J,10,0)</f>
        <v>матрица</v>
      </c>
      <c r="K58" s="8"/>
      <c r="L58" s="8">
        <f>VLOOKUP(A:A,[2]TDSheet!$A:$B,2,0)</f>
        <v>143</v>
      </c>
      <c r="M58" s="17">
        <f t="shared" si="2"/>
        <v>2</v>
      </c>
      <c r="N58" s="17"/>
      <c r="O58" s="8">
        <f>VLOOKUP(A:A,[1]TDSheet!$A:$P,16,0)</f>
        <v>0</v>
      </c>
      <c r="P58" s="17">
        <f>VLOOKUP(A:A,[1]TDSheet!$A:$Q,17,0)</f>
        <v>20</v>
      </c>
      <c r="Q58" s="17">
        <f>VLOOKUP(A:A,[1]TDSheet!$A:$S,19,0)</f>
        <v>92</v>
      </c>
      <c r="R58" s="17">
        <f t="shared" si="3"/>
        <v>29</v>
      </c>
      <c r="S58" s="20">
        <f t="shared" si="7"/>
        <v>69</v>
      </c>
      <c r="T58" s="20"/>
      <c r="U58" s="17"/>
      <c r="V58" s="17">
        <f t="shared" si="4"/>
        <v>11</v>
      </c>
      <c r="W58" s="17">
        <f t="shared" si="5"/>
        <v>4.7586206896551726</v>
      </c>
      <c r="X58" s="17">
        <f>VLOOKUP(A:A,[1]TDSheet!$A:$X,24,0)</f>
        <v>32</v>
      </c>
      <c r="Y58" s="17">
        <f>VLOOKUP(A:A,[1]TDSheet!$A:$Y,25,0)</f>
        <v>42.6</v>
      </c>
      <c r="Z58" s="17">
        <f>VLOOKUP(A:A,[1]TDSheet!$A:$Z,26,0)</f>
        <v>7.2</v>
      </c>
      <c r="AA58" s="17">
        <f>VLOOKUP(A:A,[1]TDSheet!$A:$AA,27,0)</f>
        <v>28</v>
      </c>
      <c r="AB58" s="17" t="str">
        <f>VLOOKUP(A:A,[1]TDSheet!$A:$AB,28,0)</f>
        <v>ТМА ПРОДОЛЖЕНИЕ Апрель</v>
      </c>
      <c r="AC58" s="17">
        <f t="shared" si="6"/>
        <v>31.05</v>
      </c>
      <c r="AD58" s="17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</row>
    <row r="59" spans="1:57" ht="11.15" customHeight="1" x14ac:dyDescent="0.25">
      <c r="A59" s="7" t="s">
        <v>59</v>
      </c>
      <c r="B59" s="7" t="s">
        <v>14</v>
      </c>
      <c r="C59" s="24">
        <v>247</v>
      </c>
      <c r="D59" s="24"/>
      <c r="E59" s="24">
        <v>246</v>
      </c>
      <c r="F59" s="24">
        <v>1</v>
      </c>
      <c r="G59" s="17" t="str">
        <f>VLOOKUP(A:A,[1]TDSheet!$A:$G,7,0)</f>
        <v>P003228</v>
      </c>
      <c r="H59" s="18">
        <f>VLOOKUP(A:A,[1]TDSheet!$A:$H,8,0)</f>
        <v>0.45</v>
      </c>
      <c r="I59" s="8">
        <f>VLOOKUP(A:A,[1]TDSheet!$A:$I,9,0)</f>
        <v>50</v>
      </c>
      <c r="J59" s="8" t="str">
        <f>VLOOKUP(A:A,[1]TDSheet!$A:$J,10,0)</f>
        <v>матрица</v>
      </c>
      <c r="K59" s="8"/>
      <c r="L59" s="8">
        <f>VLOOKUP(A:A,[2]TDSheet!$A:$B,2,0)</f>
        <v>244</v>
      </c>
      <c r="M59" s="17">
        <f t="shared" si="2"/>
        <v>2</v>
      </c>
      <c r="N59" s="17"/>
      <c r="O59" s="8">
        <f>VLOOKUP(A:A,[1]TDSheet!$A:$P,16,0)</f>
        <v>0</v>
      </c>
      <c r="P59" s="17">
        <f>VLOOKUP(A:A,[1]TDSheet!$A:$Q,17,0)</f>
        <v>160</v>
      </c>
      <c r="Q59" s="17">
        <f>VLOOKUP(A:A,[1]TDSheet!$A:$S,19,0)</f>
        <v>300</v>
      </c>
      <c r="R59" s="17">
        <f t="shared" si="3"/>
        <v>49.2</v>
      </c>
      <c r="S59" s="20">
        <f t="shared" si="7"/>
        <v>80.200000000000045</v>
      </c>
      <c r="T59" s="20"/>
      <c r="U59" s="17"/>
      <c r="V59" s="17">
        <f t="shared" si="4"/>
        <v>11</v>
      </c>
      <c r="W59" s="17">
        <f t="shared" si="5"/>
        <v>2.032520325203252E-2</v>
      </c>
      <c r="X59" s="17">
        <f>VLOOKUP(A:A,[1]TDSheet!$A:$X,24,0)</f>
        <v>34.799999999999997</v>
      </c>
      <c r="Y59" s="17">
        <f>VLOOKUP(A:A,[1]TDSheet!$A:$Y,25,0)</f>
        <v>35.200000000000003</v>
      </c>
      <c r="Z59" s="17">
        <f>VLOOKUP(A:A,[1]TDSheet!$A:$Z,26,0)</f>
        <v>23.4</v>
      </c>
      <c r="AA59" s="17">
        <f>VLOOKUP(A:A,[1]TDSheet!$A:$AA,27,0)</f>
        <v>37</v>
      </c>
      <c r="AB59" s="17" t="str">
        <f>VLOOKUP(A:A,[1]TDSheet!$A:$AB,28,0)</f>
        <v>увел продажи</v>
      </c>
      <c r="AC59" s="17">
        <f t="shared" si="6"/>
        <v>36.090000000000025</v>
      </c>
      <c r="AD59" s="17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</row>
    <row r="60" spans="1:57" ht="11.15" customHeight="1" x14ac:dyDescent="0.25">
      <c r="A60" s="7" t="s">
        <v>60</v>
      </c>
      <c r="B60" s="7" t="s">
        <v>14</v>
      </c>
      <c r="C60" s="24">
        <v>76</v>
      </c>
      <c r="D60" s="24"/>
      <c r="E60" s="24">
        <v>61</v>
      </c>
      <c r="F60" s="24">
        <v>-6</v>
      </c>
      <c r="G60" s="17" t="str">
        <f>VLOOKUP(A:A,[1]TDSheet!$A:$G,7,0)</f>
        <v>P003960</v>
      </c>
      <c r="H60" s="18">
        <f>VLOOKUP(A:A,[1]TDSheet!$A:$H,8,0)</f>
        <v>0.4</v>
      </c>
      <c r="I60" s="8">
        <f>VLOOKUP(A:A,[1]TDSheet!$A:$I,9,0)</f>
        <v>40</v>
      </c>
      <c r="J60" s="8" t="str">
        <f>VLOOKUP(A:A,[1]TDSheet!$A:$J,10,0)</f>
        <v>матрица</v>
      </c>
      <c r="K60" s="8"/>
      <c r="L60" s="8">
        <f>VLOOKUP(A:A,[2]TDSheet!$A:$B,2,0)</f>
        <v>92</v>
      </c>
      <c r="M60" s="17">
        <f t="shared" si="2"/>
        <v>-31</v>
      </c>
      <c r="N60" s="17"/>
      <c r="O60" s="8">
        <f>VLOOKUP(A:A,[1]TDSheet!$A:$P,16,0)</f>
        <v>0</v>
      </c>
      <c r="P60" s="17">
        <f>VLOOKUP(A:A,[1]TDSheet!$A:$Q,17,0)</f>
        <v>120</v>
      </c>
      <c r="Q60" s="17">
        <f>VLOOKUP(A:A,[1]TDSheet!$A:$S,19,0)</f>
        <v>0</v>
      </c>
      <c r="R60" s="17">
        <f t="shared" si="3"/>
        <v>12.2</v>
      </c>
      <c r="S60" s="20"/>
      <c r="T60" s="29">
        <v>30</v>
      </c>
      <c r="U60" s="26"/>
      <c r="V60" s="17">
        <f t="shared" si="4"/>
        <v>9.3442622950819683</v>
      </c>
      <c r="W60" s="17">
        <f t="shared" si="5"/>
        <v>-0.49180327868852464</v>
      </c>
      <c r="X60" s="17">
        <f>VLOOKUP(A:A,[1]TDSheet!$A:$X,24,0)</f>
        <v>30.2</v>
      </c>
      <c r="Y60" s="17">
        <f>VLOOKUP(A:A,[1]TDSheet!$A:$Y,25,0)</f>
        <v>23.8</v>
      </c>
      <c r="Z60" s="17">
        <f>VLOOKUP(A:A,[1]TDSheet!$A:$Z,26,0)</f>
        <v>16.2</v>
      </c>
      <c r="AA60" s="17">
        <f>VLOOKUP(A:A,[1]TDSheet!$A:$AA,27,0)</f>
        <v>18.399999999999999</v>
      </c>
      <c r="AB60" s="17" t="str">
        <f>VLOOKUP(A:A,[1]TDSheet!$A:$AB,28,0)</f>
        <v>увел продажи</v>
      </c>
      <c r="AC60" s="17">
        <f t="shared" si="6"/>
        <v>0</v>
      </c>
      <c r="AD60" s="17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</row>
    <row r="61" spans="1:57" ht="11.15" customHeight="1" x14ac:dyDescent="0.25">
      <c r="A61" s="7" t="s">
        <v>61</v>
      </c>
      <c r="B61" s="7" t="s">
        <v>14</v>
      </c>
      <c r="C61" s="24">
        <v>129</v>
      </c>
      <c r="D61" s="24"/>
      <c r="E61" s="24">
        <v>94</v>
      </c>
      <c r="F61" s="24">
        <v>10</v>
      </c>
      <c r="G61" s="17" t="str">
        <f>VLOOKUP(A:A,[1]TDSheet!$A:$G,7,0)</f>
        <v>P003961</v>
      </c>
      <c r="H61" s="18">
        <f>VLOOKUP(A:A,[1]TDSheet!$A:$H,8,0)</f>
        <v>0.4</v>
      </c>
      <c r="I61" s="8">
        <f>VLOOKUP(A:A,[1]TDSheet!$A:$I,9,0)</f>
        <v>40</v>
      </c>
      <c r="J61" s="8" t="str">
        <f>VLOOKUP(A:A,[1]TDSheet!$A:$J,10,0)</f>
        <v>матрица</v>
      </c>
      <c r="K61" s="8"/>
      <c r="L61" s="8">
        <f>VLOOKUP(A:A,[2]TDSheet!$A:$B,2,0)</f>
        <v>148</v>
      </c>
      <c r="M61" s="17">
        <f t="shared" si="2"/>
        <v>-54</v>
      </c>
      <c r="N61" s="17"/>
      <c r="O61" s="8">
        <f>VLOOKUP(A:A,[1]TDSheet!$A:$P,16,0)</f>
        <v>0</v>
      </c>
      <c r="P61" s="17">
        <f>VLOOKUP(A:A,[1]TDSheet!$A:$Q,17,0)</f>
        <v>50</v>
      </c>
      <c r="Q61" s="17">
        <f>VLOOKUP(A:A,[1]TDSheet!$A:$S,19,0)</f>
        <v>50</v>
      </c>
      <c r="R61" s="17">
        <f t="shared" si="3"/>
        <v>18.8</v>
      </c>
      <c r="S61" s="20">
        <f t="shared" si="7"/>
        <v>96.800000000000011</v>
      </c>
      <c r="T61" s="20"/>
      <c r="U61" s="17"/>
      <c r="V61" s="17">
        <f t="shared" si="4"/>
        <v>11</v>
      </c>
      <c r="W61" s="17">
        <f t="shared" si="5"/>
        <v>0.53191489361702127</v>
      </c>
      <c r="X61" s="17">
        <f>VLOOKUP(A:A,[1]TDSheet!$A:$X,24,0)</f>
        <v>27.6</v>
      </c>
      <c r="Y61" s="17">
        <f>VLOOKUP(A:A,[1]TDSheet!$A:$Y,25,0)</f>
        <v>25.2</v>
      </c>
      <c r="Z61" s="17">
        <f>VLOOKUP(A:A,[1]TDSheet!$A:$Z,26,0)</f>
        <v>18</v>
      </c>
      <c r="AA61" s="17">
        <f>VLOOKUP(A:A,[1]TDSheet!$A:$AA,27,0)</f>
        <v>16.600000000000001</v>
      </c>
      <c r="AB61" s="17" t="str">
        <f>VLOOKUP(A:A,[1]TDSheet!$A:$AB,28,0)</f>
        <v>ТМА декабрь_январь</v>
      </c>
      <c r="AC61" s="17">
        <f t="shared" si="6"/>
        <v>38.720000000000006</v>
      </c>
      <c r="AD61" s="17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</row>
    <row r="62" spans="1:57" ht="11.15" customHeight="1" x14ac:dyDescent="0.25">
      <c r="A62" s="7" t="s">
        <v>62</v>
      </c>
      <c r="B62" s="7" t="s">
        <v>10</v>
      </c>
      <c r="C62" s="24">
        <v>62.609000000000002</v>
      </c>
      <c r="D62" s="24">
        <v>9.5039999999999996</v>
      </c>
      <c r="E62" s="24">
        <v>57.953000000000003</v>
      </c>
      <c r="F62" s="24">
        <v>5.73</v>
      </c>
      <c r="G62" s="17" t="str">
        <f>VLOOKUP(A:A,[1]TDSheet!$A:$G,7,0)</f>
        <v>P003235</v>
      </c>
      <c r="H62" s="18">
        <f>VLOOKUP(A:A,[1]TDSheet!$A:$H,8,0)</f>
        <v>1</v>
      </c>
      <c r="I62" s="8">
        <f>VLOOKUP(A:A,[1]TDSheet!$A:$I,9,0)</f>
        <v>0</v>
      </c>
      <c r="J62" s="8">
        <f>VLOOKUP(A:A,[1]TDSheet!$A:$J,10,0)</f>
        <v>0</v>
      </c>
      <c r="K62" s="8"/>
      <c r="L62" s="8">
        <f>VLOOKUP(A:A,[2]TDSheet!$A:$B,2,0)</f>
        <v>132.80000000000001</v>
      </c>
      <c r="M62" s="17">
        <f t="shared" si="2"/>
        <v>-74.847000000000008</v>
      </c>
      <c r="N62" s="17"/>
      <c r="O62" s="8">
        <f>VLOOKUP(A:A,[1]TDSheet!$A:$P,16,0)</f>
        <v>0</v>
      </c>
      <c r="P62" s="17">
        <f>VLOOKUP(A:A,[1]TDSheet!$A:$Q,17,0)</f>
        <v>200</v>
      </c>
      <c r="Q62" s="17">
        <f>VLOOKUP(A:A,[1]TDSheet!$A:$S,19,0)</f>
        <v>110</v>
      </c>
      <c r="R62" s="17">
        <f t="shared" si="3"/>
        <v>11.5906</v>
      </c>
      <c r="S62" s="20"/>
      <c r="T62" s="20"/>
      <c r="U62" s="17"/>
      <c r="V62" s="17">
        <f t="shared" si="4"/>
        <v>27.240177385122429</v>
      </c>
      <c r="W62" s="17">
        <f t="shared" si="5"/>
        <v>0.49436612427311788</v>
      </c>
      <c r="X62" s="17">
        <f>VLOOKUP(A:A,[1]TDSheet!$A:$X,24,0)</f>
        <v>15.299600000000002</v>
      </c>
      <c r="Y62" s="17">
        <f>VLOOKUP(A:A,[1]TDSheet!$A:$Y,25,0)</f>
        <v>20.411799999999999</v>
      </c>
      <c r="Z62" s="17">
        <f>VLOOKUP(A:A,[1]TDSheet!$A:$Z,26,0)</f>
        <v>12.940999999999999</v>
      </c>
      <c r="AA62" s="17">
        <f>VLOOKUP(A:A,[1]TDSheet!$A:$AA,27,0)</f>
        <v>24.2422</v>
      </c>
      <c r="AB62" s="17" t="str">
        <f>VLOOKUP(A:A,[1]TDSheet!$A:$AB,28,0)</f>
        <v>ТМА ПРОДОЛЖЕНИЕ Апрель</v>
      </c>
      <c r="AC62" s="17">
        <f t="shared" si="6"/>
        <v>0</v>
      </c>
      <c r="AD62" s="17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</row>
    <row r="63" spans="1:57" ht="11.15" customHeight="1" x14ac:dyDescent="0.25">
      <c r="A63" s="7" t="s">
        <v>63</v>
      </c>
      <c r="B63" s="7" t="s">
        <v>14</v>
      </c>
      <c r="C63" s="24">
        <v>2</v>
      </c>
      <c r="D63" s="24">
        <v>513</v>
      </c>
      <c r="E63" s="24">
        <v>220</v>
      </c>
      <c r="F63" s="24">
        <v>295</v>
      </c>
      <c r="G63" s="17" t="str">
        <f>VLOOKUP(A:A,[1]TDSheet!$A:$G,7,0)</f>
        <v>P003253</v>
      </c>
      <c r="H63" s="18">
        <f>VLOOKUP(A:A,[1]TDSheet!$A:$H,8,0)</f>
        <v>0.1</v>
      </c>
      <c r="I63" s="8">
        <f>VLOOKUP(A:A,[1]TDSheet!$A:$I,9,0)</f>
        <v>730</v>
      </c>
      <c r="J63" s="8" t="str">
        <f>VLOOKUP(A:A,[1]TDSheet!$A:$J,10,0)</f>
        <v>матрица</v>
      </c>
      <c r="K63" s="8"/>
      <c r="L63" s="8">
        <f>VLOOKUP(A:A,[2]TDSheet!$A:$B,2,0)</f>
        <v>130</v>
      </c>
      <c r="M63" s="17">
        <f t="shared" si="2"/>
        <v>90</v>
      </c>
      <c r="N63" s="17"/>
      <c r="O63" s="8">
        <f>VLOOKUP(A:A,[1]TDSheet!$A:$P,16,0)</f>
        <v>0</v>
      </c>
      <c r="P63" s="17">
        <f>VLOOKUP(A:A,[1]TDSheet!$A:$Q,17,0)</f>
        <v>0</v>
      </c>
      <c r="Q63" s="17">
        <f>VLOOKUP(A:A,[1]TDSheet!$A:$S,19,0)</f>
        <v>0</v>
      </c>
      <c r="R63" s="17">
        <f t="shared" si="3"/>
        <v>44</v>
      </c>
      <c r="S63" s="20">
        <f t="shared" si="7"/>
        <v>189</v>
      </c>
      <c r="T63" s="20"/>
      <c r="U63" s="17"/>
      <c r="V63" s="17">
        <f t="shared" si="4"/>
        <v>11</v>
      </c>
      <c r="W63" s="17">
        <f t="shared" si="5"/>
        <v>6.7045454545454541</v>
      </c>
      <c r="X63" s="17">
        <f>VLOOKUP(A:A,[1]TDSheet!$A:$X,24,0)</f>
        <v>28.4</v>
      </c>
      <c r="Y63" s="17">
        <f>VLOOKUP(A:A,[1]TDSheet!$A:$Y,25,0)</f>
        <v>19.2</v>
      </c>
      <c r="Z63" s="17">
        <f>VLOOKUP(A:A,[1]TDSheet!$A:$Z,26,0)</f>
        <v>34.6</v>
      </c>
      <c r="AA63" s="17">
        <f>VLOOKUP(A:A,[1]TDSheet!$A:$AA,27,0)</f>
        <v>24.6</v>
      </c>
      <c r="AB63" s="17">
        <f>VLOOKUP(A:A,[1]TDSheet!$A:$AB,28,0)</f>
        <v>0</v>
      </c>
      <c r="AC63" s="17">
        <f t="shared" si="6"/>
        <v>18.900000000000002</v>
      </c>
      <c r="AD63" s="17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</row>
    <row r="64" spans="1:57" ht="11.15" customHeight="1" x14ac:dyDescent="0.25">
      <c r="A64" s="7" t="s">
        <v>64</v>
      </c>
      <c r="B64" s="7" t="s">
        <v>10</v>
      </c>
      <c r="C64" s="24">
        <v>156.48099999999999</v>
      </c>
      <c r="D64" s="24">
        <v>86.28</v>
      </c>
      <c r="E64" s="24">
        <v>92.58</v>
      </c>
      <c r="F64" s="24">
        <v>147.489</v>
      </c>
      <c r="G64" s="17" t="str">
        <f>VLOOKUP(A:A,[1]TDSheet!$A:$G,7,0)</f>
        <v>P003357</v>
      </c>
      <c r="H64" s="18">
        <f>VLOOKUP(A:A,[1]TDSheet!$A:$H,8,0)</f>
        <v>1</v>
      </c>
      <c r="I64" s="8">
        <f>VLOOKUP(A:A,[1]TDSheet!$A:$I,9,0)</f>
        <v>50</v>
      </c>
      <c r="J64" s="8" t="str">
        <f>VLOOKUP(A:A,[1]TDSheet!$A:$J,10,0)</f>
        <v>матрица</v>
      </c>
      <c r="K64" s="8"/>
      <c r="L64" s="8">
        <f>VLOOKUP(A:A,[2]TDSheet!$A:$B,2,0)</f>
        <v>87.1</v>
      </c>
      <c r="M64" s="17">
        <f t="shared" si="2"/>
        <v>5.480000000000004</v>
      </c>
      <c r="N64" s="17"/>
      <c r="O64" s="8">
        <f>VLOOKUP(A:A,[1]TDSheet!$A:$P,16,0)</f>
        <v>0</v>
      </c>
      <c r="P64" s="17">
        <f>VLOOKUP(A:A,[1]TDSheet!$A:$Q,17,0)</f>
        <v>0</v>
      </c>
      <c r="Q64" s="17">
        <f>VLOOKUP(A:A,[1]TDSheet!$A:$S,19,0)</f>
        <v>0</v>
      </c>
      <c r="R64" s="17">
        <f t="shared" si="3"/>
        <v>18.515999999999998</v>
      </c>
      <c r="S64" s="20">
        <f t="shared" si="7"/>
        <v>56.186999999999983</v>
      </c>
      <c r="T64" s="20"/>
      <c r="U64" s="17"/>
      <c r="V64" s="17">
        <f t="shared" si="4"/>
        <v>11</v>
      </c>
      <c r="W64" s="17">
        <f t="shared" si="5"/>
        <v>7.9654893065456909</v>
      </c>
      <c r="X64" s="17">
        <f>VLOOKUP(A:A,[1]TDSheet!$A:$X,24,0)</f>
        <v>10.9678</v>
      </c>
      <c r="Y64" s="17">
        <f>VLOOKUP(A:A,[1]TDSheet!$A:$Y,25,0)</f>
        <v>9.4244000000000003</v>
      </c>
      <c r="Z64" s="17">
        <f>VLOOKUP(A:A,[1]TDSheet!$A:$Z,26,0)</f>
        <v>12.113200000000001</v>
      </c>
      <c r="AA64" s="17">
        <f>VLOOKUP(A:A,[1]TDSheet!$A:$AA,27,0)</f>
        <v>5.1243999999999996</v>
      </c>
      <c r="AB64" s="17">
        <f>VLOOKUP(A:A,[1]TDSheet!$A:$AB,28,0)</f>
        <v>0</v>
      </c>
      <c r="AC64" s="17">
        <f t="shared" si="6"/>
        <v>56.186999999999983</v>
      </c>
      <c r="AD64" s="17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</row>
    <row r="65" spans="1:57" ht="11.15" customHeight="1" x14ac:dyDescent="0.25">
      <c r="A65" s="7" t="s">
        <v>65</v>
      </c>
      <c r="B65" s="7" t="s">
        <v>10</v>
      </c>
      <c r="C65" s="24">
        <v>44.680999999999997</v>
      </c>
      <c r="D65" s="24">
        <v>1.36</v>
      </c>
      <c r="E65" s="24">
        <v>33.81</v>
      </c>
      <c r="F65" s="24">
        <v>10.871</v>
      </c>
      <c r="G65" s="17" t="str">
        <f>VLOOKUP(A:A,[1]TDSheet!$A:$G,7,0)</f>
        <v>P004607</v>
      </c>
      <c r="H65" s="18">
        <f>VLOOKUP(A:A,[1]TDSheet!$A:$H,8,0)</f>
        <v>1</v>
      </c>
      <c r="I65" s="8">
        <f>VLOOKUP(A:A,[1]TDSheet!$A:$I,9,0)</f>
        <v>50</v>
      </c>
      <c r="J65" s="8" t="str">
        <f>VLOOKUP(A:A,[1]TDSheet!$A:$J,10,0)</f>
        <v>матрица</v>
      </c>
      <c r="K65" s="8"/>
      <c r="L65" s="8">
        <f>VLOOKUP(A:A,[2]TDSheet!$A:$B,2,0)</f>
        <v>33.6</v>
      </c>
      <c r="M65" s="17">
        <f t="shared" si="2"/>
        <v>0.21000000000000085</v>
      </c>
      <c r="N65" s="17"/>
      <c r="O65" s="8">
        <f>VLOOKUP(A:A,[1]TDSheet!$A:$P,16,0)</f>
        <v>0</v>
      </c>
      <c r="P65" s="17">
        <f>VLOOKUP(A:A,[1]TDSheet!$A:$Q,17,0)</f>
        <v>0</v>
      </c>
      <c r="Q65" s="17">
        <f>VLOOKUP(A:A,[1]TDSheet!$A:$S,19,0)</f>
        <v>0</v>
      </c>
      <c r="R65" s="17">
        <f t="shared" si="3"/>
        <v>6.7620000000000005</v>
      </c>
      <c r="S65" s="20">
        <f t="shared" si="7"/>
        <v>63.511000000000003</v>
      </c>
      <c r="T65" s="20"/>
      <c r="U65" s="17"/>
      <c r="V65" s="17">
        <f t="shared" si="4"/>
        <v>11</v>
      </c>
      <c r="W65" s="17">
        <f t="shared" si="5"/>
        <v>1.6076604554865424</v>
      </c>
      <c r="X65" s="17">
        <f>VLOOKUP(A:A,[1]TDSheet!$A:$X,24,0)</f>
        <v>5.1604000000000001</v>
      </c>
      <c r="Y65" s="17">
        <f>VLOOKUP(A:A,[1]TDSheet!$A:$Y,25,0)</f>
        <v>3.2518000000000002</v>
      </c>
      <c r="Z65" s="17">
        <f>VLOOKUP(A:A,[1]TDSheet!$A:$Z,26,0)</f>
        <v>3.25</v>
      </c>
      <c r="AA65" s="17">
        <f>VLOOKUP(A:A,[1]TDSheet!$A:$AA,27,0)</f>
        <v>3.774</v>
      </c>
      <c r="AB65" s="17">
        <f>VLOOKUP(A:A,[1]TDSheet!$A:$AB,28,0)</f>
        <v>0</v>
      </c>
      <c r="AC65" s="17">
        <f t="shared" si="6"/>
        <v>63.511000000000003</v>
      </c>
      <c r="AD65" s="17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</row>
    <row r="66" spans="1:57" ht="11.15" customHeight="1" x14ac:dyDescent="0.25">
      <c r="A66" s="7" t="s">
        <v>66</v>
      </c>
      <c r="B66" s="7" t="s">
        <v>14</v>
      </c>
      <c r="C66" s="24">
        <v>2</v>
      </c>
      <c r="D66" s="24">
        <v>333</v>
      </c>
      <c r="E66" s="24">
        <v>170</v>
      </c>
      <c r="F66" s="24">
        <v>165</v>
      </c>
      <c r="G66" s="17" t="str">
        <f>VLOOKUP(A:A,[1]TDSheet!$A:$G,7,0)</f>
        <v>P003252</v>
      </c>
      <c r="H66" s="18">
        <f>VLOOKUP(A:A,[1]TDSheet!$A:$H,8,0)</f>
        <v>0.1</v>
      </c>
      <c r="I66" s="8">
        <f>VLOOKUP(A:A,[1]TDSheet!$A:$I,9,0)</f>
        <v>730</v>
      </c>
      <c r="J66" s="8" t="str">
        <f>VLOOKUP(A:A,[1]TDSheet!$A:$J,10,0)</f>
        <v>матрица</v>
      </c>
      <c r="K66" s="8"/>
      <c r="L66" s="8">
        <f>VLOOKUP(A:A,[2]TDSheet!$A:$B,2,0)</f>
        <v>127</v>
      </c>
      <c r="M66" s="17">
        <f t="shared" si="2"/>
        <v>43</v>
      </c>
      <c r="N66" s="17"/>
      <c r="O66" s="8">
        <f>VLOOKUP(A:A,[1]TDSheet!$A:$P,16,0)</f>
        <v>0</v>
      </c>
      <c r="P66" s="17">
        <f>VLOOKUP(A:A,[1]TDSheet!$A:$Q,17,0)</f>
        <v>50</v>
      </c>
      <c r="Q66" s="17">
        <f>VLOOKUP(A:A,[1]TDSheet!$A:$S,19,0)</f>
        <v>150</v>
      </c>
      <c r="R66" s="17">
        <f t="shared" si="3"/>
        <v>34</v>
      </c>
      <c r="S66" s="20"/>
      <c r="T66" s="20"/>
      <c r="U66" s="17"/>
      <c r="V66" s="17">
        <f t="shared" si="4"/>
        <v>10.735294117647058</v>
      </c>
      <c r="W66" s="17">
        <f t="shared" si="5"/>
        <v>4.8529411764705879</v>
      </c>
      <c r="X66" s="17">
        <f>VLOOKUP(A:A,[1]TDSheet!$A:$X,24,0)</f>
        <v>33.4</v>
      </c>
      <c r="Y66" s="17">
        <f>VLOOKUP(A:A,[1]TDSheet!$A:$Y,25,0)</f>
        <v>19.600000000000001</v>
      </c>
      <c r="Z66" s="17">
        <f>VLOOKUP(A:A,[1]TDSheet!$A:$Z,26,0)</f>
        <v>26.2</v>
      </c>
      <c r="AA66" s="17">
        <f>VLOOKUP(A:A,[1]TDSheet!$A:$AA,27,0)</f>
        <v>33</v>
      </c>
      <c r="AB66" s="17">
        <f>VLOOKUP(A:A,[1]TDSheet!$A:$AB,28,0)</f>
        <v>0</v>
      </c>
      <c r="AC66" s="17">
        <f t="shared" si="6"/>
        <v>0</v>
      </c>
      <c r="AD66" s="17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</row>
    <row r="67" spans="1:57" ht="11.15" customHeight="1" x14ac:dyDescent="0.25">
      <c r="A67" s="7" t="s">
        <v>67</v>
      </c>
      <c r="B67" s="7" t="s">
        <v>14</v>
      </c>
      <c r="C67" s="24">
        <v>28</v>
      </c>
      <c r="D67" s="24"/>
      <c r="E67" s="24">
        <v>27</v>
      </c>
      <c r="F67" s="24"/>
      <c r="G67" s="17" t="str">
        <f>VLOOKUP(A:A,[1]TDSheet!$A:$G,7,0)</f>
        <v>P003243</v>
      </c>
      <c r="H67" s="18">
        <f>VLOOKUP(A:A,[1]TDSheet!$A:$H,8,0)</f>
        <v>0.4</v>
      </c>
      <c r="I67" s="8">
        <f>VLOOKUP(A:A,[1]TDSheet!$A:$I,9,0)</f>
        <v>50</v>
      </c>
      <c r="J67" s="8" t="str">
        <f>VLOOKUP(A:A,[1]TDSheet!$A:$J,10,0)</f>
        <v>матрица</v>
      </c>
      <c r="K67" s="8"/>
      <c r="L67" s="8">
        <f>VLOOKUP(A:A,[2]TDSheet!$A:$B,2,0)</f>
        <v>31</v>
      </c>
      <c r="M67" s="17">
        <f t="shared" si="2"/>
        <v>-4</v>
      </c>
      <c r="N67" s="17"/>
      <c r="O67" s="8">
        <f>VLOOKUP(A:A,[1]TDSheet!$A:$P,16,0)</f>
        <v>0</v>
      </c>
      <c r="P67" s="17">
        <f>VLOOKUP(A:A,[1]TDSheet!$A:$Q,17,0)</f>
        <v>20</v>
      </c>
      <c r="Q67" s="17">
        <f>VLOOKUP(A:A,[1]TDSheet!$A:$S,19,0)</f>
        <v>10</v>
      </c>
      <c r="R67" s="17">
        <f t="shared" si="3"/>
        <v>5.4</v>
      </c>
      <c r="S67" s="20"/>
      <c r="T67" s="20"/>
      <c r="U67" s="17"/>
      <c r="V67" s="17">
        <f t="shared" si="4"/>
        <v>5.5555555555555554</v>
      </c>
      <c r="W67" s="17">
        <f t="shared" si="5"/>
        <v>0</v>
      </c>
      <c r="X67" s="17">
        <f>VLOOKUP(A:A,[1]TDSheet!$A:$X,24,0)</f>
        <v>4</v>
      </c>
      <c r="Y67" s="17">
        <f>VLOOKUP(A:A,[1]TDSheet!$A:$Y,25,0)</f>
        <v>6.6</v>
      </c>
      <c r="Z67" s="17">
        <f>VLOOKUP(A:A,[1]TDSheet!$A:$Z,26,0)</f>
        <v>4.4000000000000004</v>
      </c>
      <c r="AA67" s="17">
        <f>VLOOKUP(A:A,[1]TDSheet!$A:$AA,27,0)</f>
        <v>4.2</v>
      </c>
      <c r="AB67" s="17" t="str">
        <f>VLOOKUP(A:A,[1]TDSheet!$A:$AB,28,0)</f>
        <v>увел продажи</v>
      </c>
      <c r="AC67" s="17">
        <f t="shared" si="6"/>
        <v>0</v>
      </c>
      <c r="AD67" s="17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</row>
    <row r="68" spans="1:57" ht="11.15" customHeight="1" x14ac:dyDescent="0.25">
      <c r="A68" s="7" t="s">
        <v>68</v>
      </c>
      <c r="B68" s="7" t="s">
        <v>10</v>
      </c>
      <c r="C68" s="24">
        <v>0.41699999999999998</v>
      </c>
      <c r="D68" s="24">
        <v>16.068000000000001</v>
      </c>
      <c r="E68" s="24">
        <v>16.068000000000001</v>
      </c>
      <c r="F68" s="24">
        <v>0.41699999999999998</v>
      </c>
      <c r="G68" s="17" t="str">
        <f>VLOOKUP(A:A,[1]TDSheet!$A:$G,7,0)</f>
        <v>P003263</v>
      </c>
      <c r="H68" s="18">
        <f>VLOOKUP(A:A,[1]TDSheet!$A:$H,8,0)</f>
        <v>1</v>
      </c>
      <c r="I68" s="8">
        <f>VLOOKUP(A:A,[1]TDSheet!$A:$I,9,0)</f>
        <v>40</v>
      </c>
      <c r="J68" s="8" t="str">
        <f>VLOOKUP(A:A,[1]TDSheet!$A:$J,10,0)</f>
        <v>матрица</v>
      </c>
      <c r="K68" s="8"/>
      <c r="L68" s="8">
        <f>VLOOKUP(A:A,[2]TDSheet!$A:$B,2,0)</f>
        <v>18.8</v>
      </c>
      <c r="M68" s="17">
        <f t="shared" si="2"/>
        <v>-2.7319999999999993</v>
      </c>
      <c r="N68" s="17"/>
      <c r="O68" s="8">
        <f>VLOOKUP(A:A,[1]TDSheet!$A:$P,16,0)</f>
        <v>0</v>
      </c>
      <c r="P68" s="17">
        <f>VLOOKUP(A:A,[1]TDSheet!$A:$Q,17,0)</f>
        <v>0</v>
      </c>
      <c r="Q68" s="17">
        <f>VLOOKUP(A:A,[1]TDSheet!$A:$S,19,0)</f>
        <v>0</v>
      </c>
      <c r="R68" s="17">
        <f t="shared" si="3"/>
        <v>3.2136000000000005</v>
      </c>
      <c r="S68" s="20"/>
      <c r="T68" s="29">
        <v>20</v>
      </c>
      <c r="U68" s="26"/>
      <c r="V68" s="17">
        <f t="shared" si="4"/>
        <v>0.12976101568334575</v>
      </c>
      <c r="W68" s="17">
        <f t="shared" si="5"/>
        <v>0.12976101568334575</v>
      </c>
      <c r="X68" s="17">
        <f>VLOOKUP(A:A,[1]TDSheet!$A:$X,24,0)</f>
        <v>2.2618</v>
      </c>
      <c r="Y68" s="17">
        <f>VLOOKUP(A:A,[1]TDSheet!$A:$Y,25,0)</f>
        <v>3.5433999999999997</v>
      </c>
      <c r="Z68" s="17">
        <f>VLOOKUP(A:A,[1]TDSheet!$A:$Z,26,0)</f>
        <v>2.9758</v>
      </c>
      <c r="AA68" s="17">
        <f>VLOOKUP(A:A,[1]TDSheet!$A:$AA,27,0)</f>
        <v>1.5266</v>
      </c>
      <c r="AB68" s="17">
        <f>VLOOKUP(A:A,[1]TDSheet!$A:$AB,28,0)</f>
        <v>0</v>
      </c>
      <c r="AC68" s="17">
        <f t="shared" si="6"/>
        <v>0</v>
      </c>
      <c r="AD68" s="17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</row>
    <row r="69" spans="1:57" ht="11.15" customHeight="1" x14ac:dyDescent="0.25">
      <c r="A69" s="7" t="s">
        <v>69</v>
      </c>
      <c r="B69" s="7" t="s">
        <v>10</v>
      </c>
      <c r="C69" s="24">
        <v>111.73399999999999</v>
      </c>
      <c r="D69" s="24"/>
      <c r="E69" s="24">
        <v>97.564999999999998</v>
      </c>
      <c r="F69" s="24">
        <v>12.837</v>
      </c>
      <c r="G69" s="17" t="str">
        <f>VLOOKUP(A:A,[1]TDSheet!$A:$G,7,0)</f>
        <v>P003266</v>
      </c>
      <c r="H69" s="18">
        <f>VLOOKUP(A:A,[1]TDSheet!$A:$H,8,0)</f>
        <v>1</v>
      </c>
      <c r="I69" s="8">
        <f>VLOOKUP(A:A,[1]TDSheet!$A:$I,9,0)</f>
        <v>40</v>
      </c>
      <c r="J69" s="8" t="str">
        <f>VLOOKUP(A:A,[1]TDSheet!$A:$J,10,0)</f>
        <v>матрица</v>
      </c>
      <c r="K69" s="8"/>
      <c r="L69" s="8">
        <f>VLOOKUP(A:A,[2]TDSheet!$A:$B,2,0)</f>
        <v>103.8</v>
      </c>
      <c r="M69" s="17">
        <f t="shared" si="2"/>
        <v>-6.2349999999999994</v>
      </c>
      <c r="N69" s="17"/>
      <c r="O69" s="8">
        <f>VLOOKUP(A:A,[1]TDSheet!$A:$P,16,0)</f>
        <v>0</v>
      </c>
      <c r="P69" s="17">
        <f>VLOOKUP(A:A,[1]TDSheet!$A:$Q,17,0)</f>
        <v>0</v>
      </c>
      <c r="Q69" s="17">
        <f>VLOOKUP(A:A,[1]TDSheet!$A:$S,19,0)</f>
        <v>0</v>
      </c>
      <c r="R69" s="17">
        <f t="shared" si="3"/>
        <v>19.512999999999998</v>
      </c>
      <c r="S69" s="20">
        <f t="shared" si="7"/>
        <v>201.80599999999998</v>
      </c>
      <c r="T69" s="20"/>
      <c r="U69" s="17"/>
      <c r="V69" s="17">
        <f t="shared" si="4"/>
        <v>11</v>
      </c>
      <c r="W69" s="17">
        <f t="shared" si="5"/>
        <v>0.657869112899093</v>
      </c>
      <c r="X69" s="17">
        <f>VLOOKUP(A:A,[1]TDSheet!$A:$X,24,0)</f>
        <v>3.5118</v>
      </c>
      <c r="Y69" s="17">
        <f>VLOOKUP(A:A,[1]TDSheet!$A:$Y,25,0)</f>
        <v>2.1617999999999999</v>
      </c>
      <c r="Z69" s="17">
        <f>VLOOKUP(A:A,[1]TDSheet!$A:$Z,26,0)</f>
        <v>10.728199999999999</v>
      </c>
      <c r="AA69" s="17">
        <f>VLOOKUP(A:A,[1]TDSheet!$A:$AA,27,0)</f>
        <v>-6.1999999999999998E-3</v>
      </c>
      <c r="AB69" s="17">
        <f>VLOOKUP(A:A,[1]TDSheet!$A:$AB,28,0)</f>
        <v>0</v>
      </c>
      <c r="AC69" s="17">
        <f t="shared" si="6"/>
        <v>201.80599999999998</v>
      </c>
      <c r="AD69" s="17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</row>
    <row r="70" spans="1:57" ht="11.15" customHeight="1" x14ac:dyDescent="0.25">
      <c r="A70" s="7" t="s">
        <v>70</v>
      </c>
      <c r="B70" s="7" t="s">
        <v>14</v>
      </c>
      <c r="C70" s="24">
        <v>200</v>
      </c>
      <c r="D70" s="24">
        <v>6</v>
      </c>
      <c r="E70" s="24">
        <v>200</v>
      </c>
      <c r="F70" s="24"/>
      <c r="G70" s="17" t="str">
        <f>VLOOKUP(A:A,[1]TDSheet!$A:$G,7,0)</f>
        <v>P003262</v>
      </c>
      <c r="H70" s="18">
        <f>VLOOKUP(A:A,[1]TDSheet!$A:$H,8,0)</f>
        <v>0.4</v>
      </c>
      <c r="I70" s="8">
        <f>VLOOKUP(A:A,[1]TDSheet!$A:$I,9,0)</f>
        <v>40</v>
      </c>
      <c r="J70" s="8" t="str">
        <f>VLOOKUP(A:A,[1]TDSheet!$A:$J,10,0)</f>
        <v>матрица</v>
      </c>
      <c r="K70" s="8"/>
      <c r="L70" s="8">
        <f>VLOOKUP(A:A,[2]TDSheet!$A:$B,2,0)</f>
        <v>482</v>
      </c>
      <c r="M70" s="17">
        <f t="shared" si="2"/>
        <v>-282</v>
      </c>
      <c r="N70" s="17"/>
      <c r="O70" s="8">
        <f>VLOOKUP(A:A,[1]TDSheet!$A:$P,16,0)</f>
        <v>0</v>
      </c>
      <c r="P70" s="17">
        <f>VLOOKUP(A:A,[1]TDSheet!$A:$Q,17,0)</f>
        <v>870</v>
      </c>
      <c r="Q70" s="17">
        <f>VLOOKUP(A:A,[1]TDSheet!$A:$S,19,0)</f>
        <v>269.79999999999995</v>
      </c>
      <c r="R70" s="17">
        <f t="shared" si="3"/>
        <v>40</v>
      </c>
      <c r="S70" s="20"/>
      <c r="T70" s="20"/>
      <c r="U70" s="17"/>
      <c r="V70" s="17">
        <f t="shared" si="4"/>
        <v>28.494999999999997</v>
      </c>
      <c r="W70" s="17">
        <f t="shared" si="5"/>
        <v>0</v>
      </c>
      <c r="X70" s="17">
        <f>VLOOKUP(A:A,[1]TDSheet!$A:$X,24,0)</f>
        <v>75.8</v>
      </c>
      <c r="Y70" s="17">
        <f>VLOOKUP(A:A,[1]TDSheet!$A:$Y,25,0)</f>
        <v>89</v>
      </c>
      <c r="Z70" s="17">
        <f>VLOOKUP(A:A,[1]TDSheet!$A:$Z,26,0)</f>
        <v>50.4</v>
      </c>
      <c r="AA70" s="17">
        <f>VLOOKUP(A:A,[1]TDSheet!$A:$AA,27,0)</f>
        <v>106.4</v>
      </c>
      <c r="AB70" s="17">
        <f>VLOOKUP(A:A,[1]TDSheet!$A:$AB,28,0)</f>
        <v>0</v>
      </c>
      <c r="AC70" s="17">
        <f t="shared" si="6"/>
        <v>0</v>
      </c>
      <c r="AD70" s="17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</row>
    <row r="71" spans="1:57" ht="11.15" customHeight="1" x14ac:dyDescent="0.25">
      <c r="A71" s="7" t="s">
        <v>71</v>
      </c>
      <c r="B71" s="7" t="s">
        <v>14</v>
      </c>
      <c r="C71" s="27"/>
      <c r="D71" s="24">
        <v>152</v>
      </c>
      <c r="E71" s="24">
        <v>120</v>
      </c>
      <c r="F71" s="24">
        <v>28</v>
      </c>
      <c r="G71" s="17" t="str">
        <f>VLOOKUP(A:A,[1]TDSheet!$A:$G,7,0)</f>
        <v>P003265</v>
      </c>
      <c r="H71" s="18">
        <f>VLOOKUP(A:A,[1]TDSheet!$A:$H,8,0)</f>
        <v>0.4</v>
      </c>
      <c r="I71" s="8" t="e">
        <f>VLOOKUP(A:A,[1]TDSheet!$A:$I,9,0)</f>
        <v>#N/A</v>
      </c>
      <c r="J71" s="8" t="e">
        <f>VLOOKUP(A:A,[1]TDSheet!$A:$J,10,0)</f>
        <v>#N/A</v>
      </c>
      <c r="K71" s="8"/>
      <c r="L71" s="8">
        <f>VLOOKUP(A:A,[2]TDSheet!$A:$B,2,0)</f>
        <v>213</v>
      </c>
      <c r="M71" s="17">
        <f t="shared" si="2"/>
        <v>-93</v>
      </c>
      <c r="N71" s="17"/>
      <c r="O71" s="8">
        <f>VLOOKUP(A:A,[1]TDSheet!$A:$P,16,0)</f>
        <v>0</v>
      </c>
      <c r="P71" s="17">
        <f>VLOOKUP(A:A,[1]TDSheet!$A:$Q,17,0)</f>
        <v>500</v>
      </c>
      <c r="Q71" s="17">
        <f>VLOOKUP(A:A,[1]TDSheet!$A:$S,19,0)</f>
        <v>0</v>
      </c>
      <c r="R71" s="17">
        <f t="shared" si="3"/>
        <v>24</v>
      </c>
      <c r="S71" s="20"/>
      <c r="T71" s="20"/>
      <c r="U71" s="17"/>
      <c r="V71" s="17">
        <f t="shared" si="4"/>
        <v>22</v>
      </c>
      <c r="W71" s="17">
        <f t="shared" si="5"/>
        <v>1.1666666666666667</v>
      </c>
      <c r="X71" s="17">
        <f>VLOOKUP(A:A,[1]TDSheet!$A:$X,24,0)</f>
        <v>67.8</v>
      </c>
      <c r="Y71" s="17">
        <f>VLOOKUP(A:A,[1]TDSheet!$A:$Y,25,0)</f>
        <v>41</v>
      </c>
      <c r="Z71" s="17">
        <f>VLOOKUP(A:A,[1]TDSheet!$A:$Z,26,0)</f>
        <v>28.2</v>
      </c>
      <c r="AA71" s="17">
        <f>VLOOKUP(A:A,[1]TDSheet!$A:$AA,27,0)</f>
        <v>59.8</v>
      </c>
      <c r="AB71" s="17" t="e">
        <f>VLOOKUP(A:A,[1]TDSheet!$A:$AB,28,0)</f>
        <v>#N/A</v>
      </c>
      <c r="AC71" s="17">
        <f t="shared" si="6"/>
        <v>0</v>
      </c>
      <c r="AD71" s="17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</row>
    <row r="72" spans="1:57" ht="21.9" customHeight="1" x14ac:dyDescent="0.25">
      <c r="A72" s="7" t="s">
        <v>72</v>
      </c>
      <c r="B72" s="7" t="s">
        <v>10</v>
      </c>
      <c r="C72" s="24">
        <v>0.76200000000000001</v>
      </c>
      <c r="D72" s="24">
        <v>160.024</v>
      </c>
      <c r="E72" s="24">
        <v>153.82599999999999</v>
      </c>
      <c r="F72" s="24">
        <v>0.61099999999999999</v>
      </c>
      <c r="G72" s="17" t="str">
        <f>VLOOKUP(A:A,[1]TDSheet!$A:$G,7,0)</f>
        <v>P003387</v>
      </c>
      <c r="H72" s="18">
        <f>VLOOKUP(A:A,[1]TDSheet!$A:$H,8,0)</f>
        <v>1</v>
      </c>
      <c r="I72" s="8">
        <f>VLOOKUP(A:A,[1]TDSheet!$A:$I,9,0)</f>
        <v>40</v>
      </c>
      <c r="J72" s="8" t="str">
        <f>VLOOKUP(A:A,[1]TDSheet!$A:$J,10,0)</f>
        <v>матрица</v>
      </c>
      <c r="K72" s="8"/>
      <c r="L72" s="8">
        <f>VLOOKUP(A:A,[2]TDSheet!$A:$B,2,0)</f>
        <v>187.4</v>
      </c>
      <c r="M72" s="17">
        <f t="shared" si="2"/>
        <v>-33.574000000000012</v>
      </c>
      <c r="N72" s="17"/>
      <c r="O72" s="8">
        <f>VLOOKUP(A:A,[1]TDSheet!$A:$P,16,0)</f>
        <v>0</v>
      </c>
      <c r="P72" s="17">
        <f>VLOOKUP(A:A,[1]TDSheet!$A:$Q,17,0)</f>
        <v>105</v>
      </c>
      <c r="Q72" s="17">
        <f>VLOOKUP(A:A,[1]TDSheet!$A:$S,19,0)</f>
        <v>0</v>
      </c>
      <c r="R72" s="17">
        <f t="shared" si="3"/>
        <v>30.7652</v>
      </c>
      <c r="S72" s="20">
        <f t="shared" si="7"/>
        <v>232.80619999999999</v>
      </c>
      <c r="T72" s="20"/>
      <c r="U72" s="17"/>
      <c r="V72" s="17">
        <f t="shared" si="4"/>
        <v>11</v>
      </c>
      <c r="W72" s="17">
        <f t="shared" si="5"/>
        <v>1.9860101673319204E-2</v>
      </c>
      <c r="X72" s="17">
        <f>VLOOKUP(A:A,[1]TDSheet!$A:$X,24,0)</f>
        <v>20.95</v>
      </c>
      <c r="Y72" s="17">
        <f>VLOOKUP(A:A,[1]TDSheet!$A:$Y,25,0)</f>
        <v>27.0808</v>
      </c>
      <c r="Z72" s="17">
        <f>VLOOKUP(A:A,[1]TDSheet!$A:$Z,26,0)</f>
        <v>29.851400000000002</v>
      </c>
      <c r="AA72" s="17">
        <f>VLOOKUP(A:A,[1]TDSheet!$A:$AA,27,0)</f>
        <v>27.379399999999997</v>
      </c>
      <c r="AB72" s="17" t="str">
        <f>VLOOKUP(A:A,[1]TDSheet!$A:$AB,28,0)</f>
        <v>увел продажи</v>
      </c>
      <c r="AC72" s="17">
        <f t="shared" si="6"/>
        <v>232.80619999999999</v>
      </c>
      <c r="AD72" s="17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</row>
    <row r="73" spans="1:57" ht="11.15" customHeight="1" x14ac:dyDescent="0.25">
      <c r="A73" s="7" t="s">
        <v>73</v>
      </c>
      <c r="B73" s="7" t="s">
        <v>10</v>
      </c>
      <c r="C73" s="24">
        <v>-0.34699999999999998</v>
      </c>
      <c r="D73" s="24">
        <v>141.74799999999999</v>
      </c>
      <c r="E73" s="24">
        <v>139.01</v>
      </c>
      <c r="F73" s="24">
        <v>-2.101</v>
      </c>
      <c r="G73" s="17" t="str">
        <f>VLOOKUP(A:A,[1]TDSheet!$A:$G,7,0)</f>
        <v>P003401</v>
      </c>
      <c r="H73" s="18">
        <f>VLOOKUP(A:A,[1]TDSheet!$A:$H,8,0)</f>
        <v>1</v>
      </c>
      <c r="I73" s="8">
        <f>VLOOKUP(A:A,[1]TDSheet!$A:$I,9,0)</f>
        <v>40</v>
      </c>
      <c r="J73" s="8" t="str">
        <f>VLOOKUP(A:A,[1]TDSheet!$A:$J,10,0)</f>
        <v>матрица</v>
      </c>
      <c r="K73" s="8"/>
      <c r="L73" s="8">
        <f>VLOOKUP(A:A,[2]TDSheet!$A:$B,2,0)</f>
        <v>134.1</v>
      </c>
      <c r="M73" s="17">
        <f t="shared" si="2"/>
        <v>4.9099999999999966</v>
      </c>
      <c r="N73" s="17"/>
      <c r="O73" s="8">
        <f>VLOOKUP(A:A,[1]TDSheet!$A:$P,16,0)</f>
        <v>0</v>
      </c>
      <c r="P73" s="17">
        <f>VLOOKUP(A:A,[1]TDSheet!$A:$Q,17,0)</f>
        <v>160</v>
      </c>
      <c r="Q73" s="17">
        <f>VLOOKUP(A:A,[1]TDSheet!$A:$S,19,0)</f>
        <v>0</v>
      </c>
      <c r="R73" s="17">
        <f t="shared" si="3"/>
        <v>27.802</v>
      </c>
      <c r="S73" s="20">
        <f t="shared" si="7"/>
        <v>147.923</v>
      </c>
      <c r="T73" s="20"/>
      <c r="U73" s="17"/>
      <c r="V73" s="17">
        <f t="shared" si="4"/>
        <v>11</v>
      </c>
      <c r="W73" s="17">
        <f t="shared" si="5"/>
        <v>-7.5570102870297098E-2</v>
      </c>
      <c r="X73" s="17">
        <f>VLOOKUP(A:A,[1]TDSheet!$A:$X,24,0)</f>
        <v>23.049399999999999</v>
      </c>
      <c r="Y73" s="17">
        <f>VLOOKUP(A:A,[1]TDSheet!$A:$Y,25,0)</f>
        <v>24.2698</v>
      </c>
      <c r="Z73" s="17">
        <f>VLOOKUP(A:A,[1]TDSheet!$A:$Z,26,0)</f>
        <v>25.724400000000003</v>
      </c>
      <c r="AA73" s="17">
        <f>VLOOKUP(A:A,[1]TDSheet!$A:$AA,27,0)</f>
        <v>26.757999999999999</v>
      </c>
      <c r="AB73" s="17" t="str">
        <f>VLOOKUP(A:A,[1]TDSheet!$A:$AB,28,0)</f>
        <v>зв</v>
      </c>
      <c r="AC73" s="17">
        <f t="shared" si="6"/>
        <v>147.923</v>
      </c>
      <c r="AD73" s="17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</row>
    <row r="74" spans="1:57" ht="11.15" customHeight="1" x14ac:dyDescent="0.25">
      <c r="A74" s="7" t="s">
        <v>74</v>
      </c>
      <c r="B74" s="7" t="s">
        <v>10</v>
      </c>
      <c r="C74" s="24">
        <v>195.54599999999999</v>
      </c>
      <c r="D74" s="24">
        <v>304.26600000000002</v>
      </c>
      <c r="E74" s="24">
        <v>482.435</v>
      </c>
      <c r="F74" s="24">
        <v>1.994</v>
      </c>
      <c r="G74" s="17" t="str">
        <f>VLOOKUP(A:A,[1]TDSheet!$A:$G,7,0)</f>
        <v>P003383</v>
      </c>
      <c r="H74" s="18">
        <f>VLOOKUP(A:A,[1]TDSheet!$A:$H,8,0)</f>
        <v>1</v>
      </c>
      <c r="I74" s="8">
        <f>VLOOKUP(A:A,[1]TDSheet!$A:$I,9,0)</f>
        <v>0</v>
      </c>
      <c r="J74" s="8" t="str">
        <f>VLOOKUP(A:A,[1]TDSheet!$A:$J,10,0)</f>
        <v>матрица</v>
      </c>
      <c r="K74" s="8"/>
      <c r="L74" s="8">
        <f>VLOOKUP(A:A,[2]TDSheet!$A:$B,2,0)</f>
        <v>493.1</v>
      </c>
      <c r="M74" s="17">
        <f t="shared" si="2"/>
        <v>-10.66500000000002</v>
      </c>
      <c r="N74" s="17"/>
      <c r="O74" s="8">
        <f>VLOOKUP(A:A,[1]TDSheet!$A:$P,16,0)</f>
        <v>0</v>
      </c>
      <c r="P74" s="17">
        <f>VLOOKUP(A:A,[1]TDSheet!$A:$Q,17,0)</f>
        <v>480</v>
      </c>
      <c r="Q74" s="17">
        <f>VLOOKUP(A:A,[1]TDSheet!$A:$S,19,0)</f>
        <v>300</v>
      </c>
      <c r="R74" s="17">
        <f t="shared" si="3"/>
        <v>96.486999999999995</v>
      </c>
      <c r="S74" s="20">
        <f t="shared" si="7"/>
        <v>279.36300000000006</v>
      </c>
      <c r="T74" s="20"/>
      <c r="U74" s="17"/>
      <c r="V74" s="17">
        <f t="shared" si="4"/>
        <v>11</v>
      </c>
      <c r="W74" s="17">
        <f t="shared" si="5"/>
        <v>2.0665996455481051E-2</v>
      </c>
      <c r="X74" s="17">
        <f>VLOOKUP(A:A,[1]TDSheet!$A:$X,24,0)</f>
        <v>81.859200000000001</v>
      </c>
      <c r="Y74" s="17">
        <f>VLOOKUP(A:A,[1]TDSheet!$A:$Y,25,0)</f>
        <v>85.581600000000009</v>
      </c>
      <c r="Z74" s="17">
        <f>VLOOKUP(A:A,[1]TDSheet!$A:$Z,26,0)</f>
        <v>78.686999999999998</v>
      </c>
      <c r="AA74" s="17">
        <f>VLOOKUP(A:A,[1]TDSheet!$A:$AA,27,0)</f>
        <v>88.301000000000002</v>
      </c>
      <c r="AB74" s="17" t="str">
        <f>VLOOKUP(A:A,[1]TDSheet!$A:$AB,28,0)</f>
        <v xml:space="preserve"> ТМА ПРОДОЛЖЕНИЕ Апрель</v>
      </c>
      <c r="AC74" s="17">
        <f t="shared" si="6"/>
        <v>279.36300000000006</v>
      </c>
      <c r="AD74" s="17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</row>
    <row r="75" spans="1:57" ht="11.15" customHeight="1" x14ac:dyDescent="0.25">
      <c r="A75" s="7" t="s">
        <v>75</v>
      </c>
      <c r="B75" s="7" t="s">
        <v>10</v>
      </c>
      <c r="C75" s="24">
        <v>-0.10299999999999999</v>
      </c>
      <c r="D75" s="24">
        <v>327.07799999999997</v>
      </c>
      <c r="E75" s="24">
        <v>151.39400000000001</v>
      </c>
      <c r="F75" s="24">
        <v>172.852</v>
      </c>
      <c r="G75" s="17" t="str">
        <f>VLOOKUP(A:A,[1]TDSheet!$A:$G,7,0)</f>
        <v>P003384</v>
      </c>
      <c r="H75" s="18">
        <f>VLOOKUP(A:A,[1]TDSheet!$A:$H,8,0)</f>
        <v>1</v>
      </c>
      <c r="I75" s="8">
        <f>VLOOKUP(A:A,[1]TDSheet!$A:$I,9,0)</f>
        <v>40</v>
      </c>
      <c r="J75" s="8" t="str">
        <f>VLOOKUP(A:A,[1]TDSheet!$A:$J,10,0)</f>
        <v>матрица</v>
      </c>
      <c r="K75" s="8"/>
      <c r="L75" s="8">
        <f>VLOOKUP(A:A,[2]TDSheet!$A:$B,2,0)</f>
        <v>139.6</v>
      </c>
      <c r="M75" s="17">
        <f t="shared" si="2"/>
        <v>11.794000000000011</v>
      </c>
      <c r="N75" s="17"/>
      <c r="O75" s="8">
        <f>VLOOKUP(A:A,[1]TDSheet!$A:$P,16,0)</f>
        <v>0</v>
      </c>
      <c r="P75" s="17">
        <f>VLOOKUP(A:A,[1]TDSheet!$A:$Q,17,0)</f>
        <v>0</v>
      </c>
      <c r="Q75" s="17">
        <f>VLOOKUP(A:A,[1]TDSheet!$A:$S,19,0)</f>
        <v>0</v>
      </c>
      <c r="R75" s="17">
        <f t="shared" si="3"/>
        <v>30.2788</v>
      </c>
      <c r="S75" s="20">
        <f t="shared" si="7"/>
        <v>160.2148</v>
      </c>
      <c r="T75" s="20"/>
      <c r="U75" s="17"/>
      <c r="V75" s="17">
        <f t="shared" si="4"/>
        <v>11</v>
      </c>
      <c r="W75" s="17">
        <f t="shared" si="5"/>
        <v>5.7086806610565812</v>
      </c>
      <c r="X75" s="17">
        <f>VLOOKUP(A:A,[1]TDSheet!$A:$X,24,0)</f>
        <v>28.153199999999998</v>
      </c>
      <c r="Y75" s="17">
        <f>VLOOKUP(A:A,[1]TDSheet!$A:$Y,25,0)</f>
        <v>22.261199999999999</v>
      </c>
      <c r="Z75" s="17">
        <f>VLOOKUP(A:A,[1]TDSheet!$A:$Z,26,0)</f>
        <v>26.0336</v>
      </c>
      <c r="AA75" s="17">
        <f>VLOOKUP(A:A,[1]TDSheet!$A:$AA,27,0)</f>
        <v>22.077199999999998</v>
      </c>
      <c r="AB75" s="17" t="str">
        <f>VLOOKUP(A:A,[1]TDSheet!$A:$AB,28,0)</f>
        <v>увел продажи</v>
      </c>
      <c r="AC75" s="17">
        <f t="shared" si="6"/>
        <v>160.2148</v>
      </c>
      <c r="AD75" s="17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</row>
    <row r="76" spans="1:57" ht="11.15" customHeight="1" x14ac:dyDescent="0.25">
      <c r="A76" s="7" t="s">
        <v>76</v>
      </c>
      <c r="B76" s="7" t="s">
        <v>14</v>
      </c>
      <c r="C76" s="24">
        <v>21</v>
      </c>
      <c r="D76" s="24"/>
      <c r="E76" s="24">
        <v>15</v>
      </c>
      <c r="F76" s="24">
        <v>5</v>
      </c>
      <c r="G76" s="17" t="str">
        <f>VLOOKUP(A:A,[1]TDSheet!$A:$G,7,0)</f>
        <v>P004929</v>
      </c>
      <c r="H76" s="18">
        <f>VLOOKUP(A:A,[1]TDSheet!$A:$H,8,0)</f>
        <v>0.6</v>
      </c>
      <c r="I76" s="8">
        <f>VLOOKUP(A:A,[1]TDSheet!$A:$I,9,0)</f>
        <v>0</v>
      </c>
      <c r="J76" s="8">
        <f>VLOOKUP(A:A,[1]TDSheet!$A:$J,10,0)</f>
        <v>0</v>
      </c>
      <c r="K76" s="8"/>
      <c r="L76" s="8">
        <f>VLOOKUP(A:A,[2]TDSheet!$A:$B,2,0)</f>
        <v>15</v>
      </c>
      <c r="M76" s="17">
        <f t="shared" ref="M76:M115" si="8">E76-L76</f>
        <v>0</v>
      </c>
      <c r="N76" s="17"/>
      <c r="O76" s="8">
        <f>VLOOKUP(A:A,[1]TDSheet!$A:$P,16,0)</f>
        <v>0</v>
      </c>
      <c r="P76" s="17">
        <f>VLOOKUP(A:A,[1]TDSheet!$A:$Q,17,0)</f>
        <v>30</v>
      </c>
      <c r="Q76" s="17">
        <f>VLOOKUP(A:A,[1]TDSheet!$A:$S,19,0)</f>
        <v>0</v>
      </c>
      <c r="R76" s="17">
        <f t="shared" ref="R76:R115" si="9">E76/5</f>
        <v>3</v>
      </c>
      <c r="S76" s="20"/>
      <c r="T76" s="20"/>
      <c r="U76" s="17"/>
      <c r="V76" s="17">
        <f t="shared" ref="V76:V115" si="10">(F76+O76+P76+Q76+S76)/R76</f>
        <v>11.666666666666666</v>
      </c>
      <c r="W76" s="17">
        <f t="shared" ref="W76:W115" si="11">F76/R76</f>
        <v>1.6666666666666667</v>
      </c>
      <c r="X76" s="17">
        <f>VLOOKUP(A:A,[1]TDSheet!$A:$X,24,0)</f>
        <v>5</v>
      </c>
      <c r="Y76" s="17">
        <f>VLOOKUP(A:A,[1]TDSheet!$A:$Y,25,0)</f>
        <v>3.2</v>
      </c>
      <c r="Z76" s="17">
        <f>VLOOKUP(A:A,[1]TDSheet!$A:$Z,26,0)</f>
        <v>2.8</v>
      </c>
      <c r="AA76" s="17">
        <f>VLOOKUP(A:A,[1]TDSheet!$A:$AA,27,0)</f>
        <v>4.8</v>
      </c>
      <c r="AB76" s="17" t="str">
        <f>VLOOKUP(A:A,[1]TDSheet!$A:$AB,28,0)</f>
        <v>0 заявок</v>
      </c>
      <c r="AC76" s="17">
        <f t="shared" ref="AC76:AC115" si="12">S76*H76</f>
        <v>0</v>
      </c>
      <c r="AD76" s="17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</row>
    <row r="77" spans="1:57" ht="11.15" customHeight="1" x14ac:dyDescent="0.25">
      <c r="A77" s="7" t="s">
        <v>77</v>
      </c>
      <c r="B77" s="7" t="s">
        <v>10</v>
      </c>
      <c r="C77" s="24">
        <v>117.494</v>
      </c>
      <c r="D77" s="24">
        <v>274.67399999999998</v>
      </c>
      <c r="E77" s="24">
        <v>381.90800000000002</v>
      </c>
      <c r="F77" s="24">
        <v>-4.7489999999999997</v>
      </c>
      <c r="G77" s="17" t="str">
        <f>VLOOKUP(A:A,[1]TDSheet!$A:$G,7,0)</f>
        <v>P003883</v>
      </c>
      <c r="H77" s="18">
        <f>VLOOKUP(A:A,[1]TDSheet!$A:$H,8,0)</f>
        <v>1</v>
      </c>
      <c r="I77" s="8">
        <f>VLOOKUP(A:A,[1]TDSheet!$A:$I,9,0)</f>
        <v>30</v>
      </c>
      <c r="J77" s="8" t="str">
        <f>VLOOKUP(A:A,[1]TDSheet!$A:$J,10,0)</f>
        <v>матрица</v>
      </c>
      <c r="K77" s="8"/>
      <c r="L77" s="8">
        <f>VLOOKUP(A:A,[2]TDSheet!$A:$B,2,0)</f>
        <v>446.4</v>
      </c>
      <c r="M77" s="17">
        <f t="shared" si="8"/>
        <v>-64.491999999999962</v>
      </c>
      <c r="N77" s="17"/>
      <c r="O77" s="8">
        <f>VLOOKUP(A:A,[1]TDSheet!$A:$P,16,0)</f>
        <v>0</v>
      </c>
      <c r="P77" s="17">
        <f>VLOOKUP(A:A,[1]TDSheet!$A:$Q,17,0)</f>
        <v>70</v>
      </c>
      <c r="Q77" s="17">
        <f>VLOOKUP(A:A,[1]TDSheet!$A:$S,19,0)</f>
        <v>410</v>
      </c>
      <c r="R77" s="17">
        <f t="shared" si="9"/>
        <v>76.381600000000006</v>
      </c>
      <c r="S77" s="20">
        <f t="shared" ref="S77:S109" si="13">R77*11-F77-O77-P77-Q77</f>
        <v>364.9466000000001</v>
      </c>
      <c r="T77" s="20"/>
      <c r="U77" s="17"/>
      <c r="V77" s="17">
        <f t="shared" si="10"/>
        <v>11</v>
      </c>
      <c r="W77" s="17">
        <f t="shared" si="11"/>
        <v>-6.2174659865726817E-2</v>
      </c>
      <c r="X77" s="17">
        <f>VLOOKUP(A:A,[1]TDSheet!$A:$X,24,0)</f>
        <v>16.098800000000001</v>
      </c>
      <c r="Y77" s="17">
        <f>VLOOKUP(A:A,[1]TDSheet!$A:$Y,25,0)</f>
        <v>33.580399999999997</v>
      </c>
      <c r="Z77" s="17">
        <f>VLOOKUP(A:A,[1]TDSheet!$A:$Z,26,0)</f>
        <v>37.741399999999999</v>
      </c>
      <c r="AA77" s="17">
        <f>VLOOKUP(A:A,[1]TDSheet!$A:$AA,27,0)</f>
        <v>39.561799999999998</v>
      </c>
      <c r="AB77" s="17">
        <f>VLOOKUP(A:A,[1]TDSheet!$A:$AB,28,0)</f>
        <v>0</v>
      </c>
      <c r="AC77" s="17">
        <f t="shared" si="12"/>
        <v>364.9466000000001</v>
      </c>
      <c r="AD77" s="17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</row>
    <row r="78" spans="1:57" ht="11.15" customHeight="1" x14ac:dyDescent="0.25">
      <c r="A78" s="7" t="s">
        <v>78</v>
      </c>
      <c r="B78" s="7" t="s">
        <v>14</v>
      </c>
      <c r="C78" s="24">
        <v>79</v>
      </c>
      <c r="D78" s="24"/>
      <c r="E78" s="24">
        <v>63</v>
      </c>
      <c r="F78" s="24">
        <v>16</v>
      </c>
      <c r="G78" s="17" t="str">
        <f>VLOOKUP(A:A,[1]TDSheet!$A:$G,7,0)</f>
        <v>P004688</v>
      </c>
      <c r="H78" s="18">
        <f>VLOOKUP(A:A,[1]TDSheet!$A:$H,8,0)</f>
        <v>0.6</v>
      </c>
      <c r="I78" s="8">
        <f>VLOOKUP(A:A,[1]TDSheet!$A:$I,9,0)</f>
        <v>60</v>
      </c>
      <c r="J78" s="8" t="str">
        <f>VLOOKUP(A:A,[1]TDSheet!$A:$J,10,0)</f>
        <v>матрица</v>
      </c>
      <c r="K78" s="8"/>
      <c r="L78" s="8">
        <f>VLOOKUP(A:A,[2]TDSheet!$A:$B,2,0)</f>
        <v>49</v>
      </c>
      <c r="M78" s="17">
        <f t="shared" si="8"/>
        <v>14</v>
      </c>
      <c r="N78" s="17"/>
      <c r="O78" s="8">
        <f>VLOOKUP(A:A,[1]TDSheet!$A:$P,16,0)</f>
        <v>0</v>
      </c>
      <c r="P78" s="17">
        <f>VLOOKUP(A:A,[1]TDSheet!$A:$Q,17,0)</f>
        <v>80</v>
      </c>
      <c r="Q78" s="17">
        <f>VLOOKUP(A:A,[1]TDSheet!$A:$S,19,0)</f>
        <v>0</v>
      </c>
      <c r="R78" s="17">
        <f t="shared" si="9"/>
        <v>12.6</v>
      </c>
      <c r="S78" s="20"/>
      <c r="T78" s="20"/>
      <c r="U78" s="17"/>
      <c r="V78" s="17">
        <f t="shared" si="10"/>
        <v>7.6190476190476195</v>
      </c>
      <c r="W78" s="17">
        <f t="shared" si="11"/>
        <v>1.2698412698412698</v>
      </c>
      <c r="X78" s="17">
        <f>VLOOKUP(A:A,[1]TDSheet!$A:$X,24,0)</f>
        <v>10</v>
      </c>
      <c r="Y78" s="17">
        <f>VLOOKUP(A:A,[1]TDSheet!$A:$Y,25,0)</f>
        <v>16.600000000000001</v>
      </c>
      <c r="Z78" s="17">
        <f>VLOOKUP(A:A,[1]TDSheet!$A:$Z,26,0)</f>
        <v>5.8</v>
      </c>
      <c r="AA78" s="17">
        <f>VLOOKUP(A:A,[1]TDSheet!$A:$AA,27,0)</f>
        <v>14.2</v>
      </c>
      <c r="AB78" s="17" t="str">
        <f>VLOOKUP(A:A,[1]TDSheet!$A:$AB,28,0)</f>
        <v>увел продажи</v>
      </c>
      <c r="AC78" s="17">
        <f t="shared" si="12"/>
        <v>0</v>
      </c>
      <c r="AD78" s="17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</row>
    <row r="79" spans="1:57" ht="11.15" customHeight="1" x14ac:dyDescent="0.25">
      <c r="A79" s="7" t="s">
        <v>79</v>
      </c>
      <c r="B79" s="7" t="s">
        <v>14</v>
      </c>
      <c r="C79" s="24">
        <v>38</v>
      </c>
      <c r="D79" s="24">
        <v>2</v>
      </c>
      <c r="E79" s="24">
        <v>38</v>
      </c>
      <c r="F79" s="24"/>
      <c r="G79" s="17" t="str">
        <f>VLOOKUP(A:A,[1]TDSheet!$A:$G,7,0)</f>
        <v>P003437</v>
      </c>
      <c r="H79" s="18">
        <f>VLOOKUP(A:A,[1]TDSheet!$A:$H,8,0)</f>
        <v>0.4</v>
      </c>
      <c r="I79" s="8">
        <f>VLOOKUP(A:A,[1]TDSheet!$A:$I,9,0)</f>
        <v>0</v>
      </c>
      <c r="J79" s="8">
        <f>VLOOKUP(A:A,[1]TDSheet!$A:$J,10,0)</f>
        <v>0</v>
      </c>
      <c r="K79" s="8"/>
      <c r="L79" s="8">
        <f>VLOOKUP(A:A,[2]TDSheet!$A:$B,2,0)</f>
        <v>74</v>
      </c>
      <c r="M79" s="17">
        <f t="shared" si="8"/>
        <v>-36</v>
      </c>
      <c r="N79" s="17"/>
      <c r="O79" s="8">
        <f>VLOOKUP(A:A,[1]TDSheet!$A:$P,16,0)</f>
        <v>0</v>
      </c>
      <c r="P79" s="17">
        <f>VLOOKUP(A:A,[1]TDSheet!$A:$Q,17,0)</f>
        <v>150</v>
      </c>
      <c r="Q79" s="17">
        <f>VLOOKUP(A:A,[1]TDSheet!$A:$S,19,0)</f>
        <v>200</v>
      </c>
      <c r="R79" s="17">
        <f t="shared" si="9"/>
        <v>7.6</v>
      </c>
      <c r="S79" s="20"/>
      <c r="T79" s="20"/>
      <c r="U79" s="17"/>
      <c r="V79" s="17">
        <f t="shared" si="10"/>
        <v>46.05263157894737</v>
      </c>
      <c r="W79" s="17">
        <f t="shared" si="11"/>
        <v>0</v>
      </c>
      <c r="X79" s="17">
        <f>VLOOKUP(A:A,[1]TDSheet!$A:$X,24,0)</f>
        <v>14.8</v>
      </c>
      <c r="Y79" s="17">
        <f>VLOOKUP(A:A,[1]TDSheet!$A:$Y,25,0)</f>
        <v>15.8</v>
      </c>
      <c r="Z79" s="17">
        <f>VLOOKUP(A:A,[1]TDSheet!$A:$Z,26,0)</f>
        <v>7</v>
      </c>
      <c r="AA79" s="17">
        <f>VLOOKUP(A:A,[1]TDSheet!$A:$AA,27,0)</f>
        <v>17.2</v>
      </c>
      <c r="AB79" s="17">
        <f>VLOOKUP(A:A,[1]TDSheet!$A:$AB,28,0)</f>
        <v>0</v>
      </c>
      <c r="AC79" s="17">
        <f t="shared" si="12"/>
        <v>0</v>
      </c>
      <c r="AD79" s="17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</row>
    <row r="80" spans="1:57" ht="11.15" customHeight="1" x14ac:dyDescent="0.25">
      <c r="A80" s="7" t="s">
        <v>80</v>
      </c>
      <c r="B80" s="7" t="s">
        <v>14</v>
      </c>
      <c r="C80" s="24">
        <v>84</v>
      </c>
      <c r="D80" s="24">
        <v>8</v>
      </c>
      <c r="E80" s="24">
        <v>70</v>
      </c>
      <c r="F80" s="24">
        <v>2</v>
      </c>
      <c r="G80" s="17" t="str">
        <f>VLOOKUP(A:A,[1]TDSheet!$A:$G,7,0)</f>
        <v>P003438</v>
      </c>
      <c r="H80" s="18">
        <f>VLOOKUP(A:A,[1]TDSheet!$A:$H,8,0)</f>
        <v>0.33</v>
      </c>
      <c r="I80" s="8">
        <f>VLOOKUP(A:A,[1]TDSheet!$A:$I,9,0)</f>
        <v>0</v>
      </c>
      <c r="J80" s="8">
        <f>VLOOKUP(A:A,[1]TDSheet!$A:$J,10,0)</f>
        <v>0</v>
      </c>
      <c r="K80" s="8"/>
      <c r="L80" s="8">
        <f>VLOOKUP(A:A,[2]TDSheet!$A:$B,2,0)</f>
        <v>136</v>
      </c>
      <c r="M80" s="17">
        <f t="shared" si="8"/>
        <v>-66</v>
      </c>
      <c r="N80" s="17"/>
      <c r="O80" s="8">
        <f>VLOOKUP(A:A,[1]TDSheet!$A:$P,16,0)</f>
        <v>0</v>
      </c>
      <c r="P80" s="17">
        <f>VLOOKUP(A:A,[1]TDSheet!$A:$Q,17,0)</f>
        <v>120</v>
      </c>
      <c r="Q80" s="17">
        <f>VLOOKUP(A:A,[1]TDSheet!$A:$S,19,0)</f>
        <v>200</v>
      </c>
      <c r="R80" s="17">
        <f t="shared" si="9"/>
        <v>14</v>
      </c>
      <c r="S80" s="20"/>
      <c r="T80" s="20"/>
      <c r="U80" s="17"/>
      <c r="V80" s="17">
        <f t="shared" si="10"/>
        <v>23</v>
      </c>
      <c r="W80" s="17">
        <f t="shared" si="11"/>
        <v>0.14285714285714285</v>
      </c>
      <c r="X80" s="17">
        <f>VLOOKUP(A:A,[1]TDSheet!$A:$X,24,0)</f>
        <v>21</v>
      </c>
      <c r="Y80" s="17">
        <f>VLOOKUP(A:A,[1]TDSheet!$A:$Y,25,0)</f>
        <v>21.6</v>
      </c>
      <c r="Z80" s="17">
        <f>VLOOKUP(A:A,[1]TDSheet!$A:$Z,26,0)</f>
        <v>12.4</v>
      </c>
      <c r="AA80" s="17">
        <f>VLOOKUP(A:A,[1]TDSheet!$A:$AA,27,0)</f>
        <v>18.399999999999999</v>
      </c>
      <c r="AB80" s="17">
        <f>VLOOKUP(A:A,[1]TDSheet!$A:$AB,28,0)</f>
        <v>0</v>
      </c>
      <c r="AC80" s="17">
        <f t="shared" si="12"/>
        <v>0</v>
      </c>
      <c r="AD80" s="17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</row>
    <row r="81" spans="1:57" ht="21.9" customHeight="1" x14ac:dyDescent="0.25">
      <c r="A81" s="7" t="s">
        <v>81</v>
      </c>
      <c r="B81" s="7" t="s">
        <v>14</v>
      </c>
      <c r="C81" s="24">
        <v>81</v>
      </c>
      <c r="D81" s="24">
        <v>2</v>
      </c>
      <c r="E81" s="24">
        <v>81</v>
      </c>
      <c r="F81" s="24">
        <v>-1</v>
      </c>
      <c r="G81" s="17" t="str">
        <f>VLOOKUP(A:A,[1]TDSheet!$A:$G,7,0)</f>
        <v>P003442</v>
      </c>
      <c r="H81" s="18">
        <f>VLOOKUP(A:A,[1]TDSheet!$A:$H,8,0)</f>
        <v>0.35</v>
      </c>
      <c r="I81" s="8">
        <f>VLOOKUP(A:A,[1]TDSheet!$A:$I,9,0)</f>
        <v>0</v>
      </c>
      <c r="J81" s="8">
        <f>VLOOKUP(A:A,[1]TDSheet!$A:$J,10,0)</f>
        <v>0</v>
      </c>
      <c r="K81" s="8"/>
      <c r="L81" s="8">
        <f>VLOOKUP(A:A,[2]TDSheet!$A:$B,2,0)</f>
        <v>105</v>
      </c>
      <c r="M81" s="17">
        <f t="shared" si="8"/>
        <v>-24</v>
      </c>
      <c r="N81" s="17"/>
      <c r="O81" s="8">
        <f>VLOOKUP(A:A,[1]TDSheet!$A:$P,16,0)</f>
        <v>0</v>
      </c>
      <c r="P81" s="17">
        <f>VLOOKUP(A:A,[1]TDSheet!$A:$Q,17,0)</f>
        <v>20</v>
      </c>
      <c r="Q81" s="17">
        <f>VLOOKUP(A:A,[1]TDSheet!$A:$S,19,0)</f>
        <v>200</v>
      </c>
      <c r="R81" s="17">
        <f t="shared" si="9"/>
        <v>16.2</v>
      </c>
      <c r="S81" s="20"/>
      <c r="T81" s="20"/>
      <c r="U81" s="17"/>
      <c r="V81" s="17">
        <f t="shared" si="10"/>
        <v>13.518518518518519</v>
      </c>
      <c r="W81" s="17">
        <f t="shared" si="11"/>
        <v>-6.1728395061728399E-2</v>
      </c>
      <c r="X81" s="17">
        <f>VLOOKUP(A:A,[1]TDSheet!$A:$X,24,0)</f>
        <v>15.2</v>
      </c>
      <c r="Y81" s="17">
        <f>VLOOKUP(A:A,[1]TDSheet!$A:$Y,25,0)</f>
        <v>14</v>
      </c>
      <c r="Z81" s="17">
        <f>VLOOKUP(A:A,[1]TDSheet!$A:$Z,26,0)</f>
        <v>5.8</v>
      </c>
      <c r="AA81" s="17">
        <f>VLOOKUP(A:A,[1]TDSheet!$A:$AA,27,0)</f>
        <v>9</v>
      </c>
      <c r="AB81" s="17">
        <f>VLOOKUP(A:A,[1]TDSheet!$A:$AB,28,0)</f>
        <v>0</v>
      </c>
      <c r="AC81" s="17">
        <f t="shared" si="12"/>
        <v>0</v>
      </c>
      <c r="AD81" s="17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</row>
    <row r="82" spans="1:57" ht="11.15" customHeight="1" x14ac:dyDescent="0.25">
      <c r="A82" s="7" t="s">
        <v>82</v>
      </c>
      <c r="B82" s="7" t="s">
        <v>14</v>
      </c>
      <c r="C82" s="24">
        <v>-85</v>
      </c>
      <c r="D82" s="24">
        <v>440</v>
      </c>
      <c r="E82" s="24">
        <v>170</v>
      </c>
      <c r="F82" s="24">
        <v>183</v>
      </c>
      <c r="G82" s="17" t="str">
        <f>VLOOKUP(A:A,[1]TDSheet!$A:$G,7,0)</f>
        <v>P003429</v>
      </c>
      <c r="H82" s="18">
        <f>VLOOKUP(A:A,[1]TDSheet!$A:$H,8,0)</f>
        <v>0.37</v>
      </c>
      <c r="I82" s="8">
        <f>VLOOKUP(A:A,[1]TDSheet!$A:$I,9,0)</f>
        <v>50</v>
      </c>
      <c r="J82" s="8" t="str">
        <f>VLOOKUP(A:A,[1]TDSheet!$A:$J,10,0)</f>
        <v>ВНИМАНИЕ / матрица</v>
      </c>
      <c r="K82" s="8"/>
      <c r="L82" s="8">
        <f>VLOOKUP(A:A,[2]TDSheet!$A:$B,2,0)</f>
        <v>179</v>
      </c>
      <c r="M82" s="17">
        <f t="shared" si="8"/>
        <v>-9</v>
      </c>
      <c r="N82" s="17"/>
      <c r="O82" s="8">
        <f>VLOOKUP(A:A,[1]TDSheet!$A:$P,16,0)</f>
        <v>0</v>
      </c>
      <c r="P82" s="17">
        <f>VLOOKUP(A:A,[1]TDSheet!$A:$Q,17,0)</f>
        <v>0</v>
      </c>
      <c r="Q82" s="17">
        <f>VLOOKUP(A:A,[1]TDSheet!$A:$S,19,0)</f>
        <v>0</v>
      </c>
      <c r="R82" s="17">
        <f t="shared" si="9"/>
        <v>34</v>
      </c>
      <c r="S82" s="20">
        <f t="shared" si="13"/>
        <v>191</v>
      </c>
      <c r="T82" s="20"/>
      <c r="U82" s="17"/>
      <c r="V82" s="17">
        <f t="shared" si="10"/>
        <v>11</v>
      </c>
      <c r="W82" s="17">
        <f t="shared" si="11"/>
        <v>5.382352941176471</v>
      </c>
      <c r="X82" s="17">
        <f>VLOOKUP(A:A,[1]TDSheet!$A:$X,24,0)</f>
        <v>38.799999999999997</v>
      </c>
      <c r="Y82" s="17">
        <f>VLOOKUP(A:A,[1]TDSheet!$A:$Y,25,0)</f>
        <v>29.4</v>
      </c>
      <c r="Z82" s="17">
        <f>VLOOKUP(A:A,[1]TDSheet!$A:$Z,26,0)</f>
        <v>41.6</v>
      </c>
      <c r="AA82" s="17">
        <f>VLOOKUP(A:A,[1]TDSheet!$A:$AA,27,0)</f>
        <v>22.4</v>
      </c>
      <c r="AB82" s="17" t="str">
        <f>VLOOKUP(A:A,[1]TDSheet!$A:$AB,28,0)</f>
        <v>Мера</v>
      </c>
      <c r="AC82" s="17">
        <f t="shared" si="12"/>
        <v>70.67</v>
      </c>
      <c r="AD82" s="17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</row>
    <row r="83" spans="1:57" ht="11.15" customHeight="1" x14ac:dyDescent="0.25">
      <c r="A83" s="7" t="s">
        <v>83</v>
      </c>
      <c r="B83" s="7" t="s">
        <v>14</v>
      </c>
      <c r="C83" s="27"/>
      <c r="D83" s="24">
        <v>114</v>
      </c>
      <c r="E83" s="24">
        <v>41</v>
      </c>
      <c r="F83" s="24">
        <v>66</v>
      </c>
      <c r="G83" s="17" t="str">
        <f>VLOOKUP(A:A,[1]TDSheet!$A:$G,7,0)</f>
        <v>P002644</v>
      </c>
      <c r="H83" s="18">
        <f>VLOOKUP(A:A,[1]TDSheet!$A:$H,8,0)</f>
        <v>0.33</v>
      </c>
      <c r="I83" s="8">
        <f>VLOOKUP(A:A,[1]TDSheet!$A:$I,9,0)</f>
        <v>0</v>
      </c>
      <c r="J83" s="8">
        <f>VLOOKUP(A:A,[1]TDSheet!$A:$J,10,0)</f>
        <v>0</v>
      </c>
      <c r="K83" s="8"/>
      <c r="L83" s="8">
        <f>VLOOKUP(A:A,[2]TDSheet!$A:$B,2,0)</f>
        <v>51</v>
      </c>
      <c r="M83" s="17">
        <f t="shared" si="8"/>
        <v>-10</v>
      </c>
      <c r="N83" s="17"/>
      <c r="O83" s="8">
        <f>VLOOKUP(A:A,[1]TDSheet!$A:$P,16,0)</f>
        <v>0</v>
      </c>
      <c r="P83" s="17">
        <f>VLOOKUP(A:A,[1]TDSheet!$A:$Q,17,0)</f>
        <v>0</v>
      </c>
      <c r="Q83" s="17">
        <f>VLOOKUP(A:A,[1]TDSheet!$A:$S,19,0)</f>
        <v>0</v>
      </c>
      <c r="R83" s="17">
        <f t="shared" si="9"/>
        <v>8.1999999999999993</v>
      </c>
      <c r="S83" s="20"/>
      <c r="T83" s="20"/>
      <c r="U83" s="17"/>
      <c r="V83" s="17">
        <f t="shared" si="10"/>
        <v>8.0487804878048781</v>
      </c>
      <c r="W83" s="17">
        <f t="shared" si="11"/>
        <v>8.0487804878048781</v>
      </c>
      <c r="X83" s="17">
        <f>VLOOKUP(A:A,[1]TDSheet!$A:$X,24,0)</f>
        <v>10.8</v>
      </c>
      <c r="Y83" s="17">
        <f>VLOOKUP(A:A,[1]TDSheet!$A:$Y,25,0)</f>
        <v>9.1999999999999993</v>
      </c>
      <c r="Z83" s="17">
        <f>VLOOKUP(A:A,[1]TDSheet!$A:$Z,26,0)</f>
        <v>11.6</v>
      </c>
      <c r="AA83" s="17">
        <f>VLOOKUP(A:A,[1]TDSheet!$A:$AA,27,0)</f>
        <v>1</v>
      </c>
      <c r="AB83" s="17" t="e">
        <f>VLOOKUP(A:A,[1]TDSheet!$A:$AB,28,0)</f>
        <v>#N/A</v>
      </c>
      <c r="AC83" s="17">
        <f t="shared" si="12"/>
        <v>0</v>
      </c>
      <c r="AD83" s="17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</row>
    <row r="84" spans="1:57" ht="11.15" customHeight="1" x14ac:dyDescent="0.25">
      <c r="A84" s="21" t="s">
        <v>84</v>
      </c>
      <c r="B84" s="21" t="s">
        <v>14</v>
      </c>
      <c r="C84" s="25">
        <v>124</v>
      </c>
      <c r="D84" s="25"/>
      <c r="E84" s="25">
        <v>57</v>
      </c>
      <c r="F84" s="25">
        <v>63</v>
      </c>
      <c r="G84" s="26" t="str">
        <f>VLOOKUP(A:A,[1]TDSheet!$A:$G,7,0)</f>
        <v>P004586</v>
      </c>
      <c r="H84" s="23">
        <f>VLOOKUP(A:A,[1]TDSheet!$A:$H,8,0)</f>
        <v>0.4</v>
      </c>
      <c r="I84" s="22">
        <f>VLOOKUP(A:A,[1]TDSheet!$A:$I,9,0)</f>
        <v>50</v>
      </c>
      <c r="J84" s="22" t="str">
        <f>VLOOKUP(A:A,[1]TDSheet!$A:$J,10,0)</f>
        <v>матрица</v>
      </c>
      <c r="K84" s="8"/>
      <c r="L84" s="8">
        <f>VLOOKUP(A:A,[2]TDSheet!$A:$B,2,0)</f>
        <v>93</v>
      </c>
      <c r="M84" s="17">
        <f t="shared" si="8"/>
        <v>-36</v>
      </c>
      <c r="N84" s="17"/>
      <c r="O84" s="8">
        <f>VLOOKUP(A:A,[1]TDSheet!$A:$P,16,0)</f>
        <v>0</v>
      </c>
      <c r="P84" s="17">
        <f>VLOOKUP(A:A,[1]TDSheet!$A:$Q,17,0)</f>
        <v>50</v>
      </c>
      <c r="Q84" s="17">
        <f>VLOOKUP(A:A,[1]TDSheet!$A:$S,19,0)</f>
        <v>150</v>
      </c>
      <c r="R84" s="17">
        <f t="shared" si="9"/>
        <v>11.4</v>
      </c>
      <c r="S84" s="20"/>
      <c r="T84" s="20"/>
      <c r="U84" s="17"/>
      <c r="V84" s="17">
        <f t="shared" si="10"/>
        <v>23.07017543859649</v>
      </c>
      <c r="W84" s="17">
        <f t="shared" si="11"/>
        <v>5.5263157894736841</v>
      </c>
      <c r="X84" s="17">
        <f>VLOOKUP(A:A,[1]TDSheet!$A:$X,24,0)</f>
        <v>18.600000000000001</v>
      </c>
      <c r="Y84" s="17">
        <f>VLOOKUP(A:A,[1]TDSheet!$A:$Y,25,0)</f>
        <v>13.4</v>
      </c>
      <c r="Z84" s="17">
        <f>VLOOKUP(A:A,[1]TDSheet!$A:$Z,26,0)</f>
        <v>8.4</v>
      </c>
      <c r="AA84" s="17">
        <f>VLOOKUP(A:A,[1]TDSheet!$A:$AA,27,0)</f>
        <v>16.2</v>
      </c>
      <c r="AB84" s="17">
        <f>VLOOKUP(A:A,[1]TDSheet!$A:$AB,28,0)</f>
        <v>0</v>
      </c>
      <c r="AC84" s="17">
        <f t="shared" si="12"/>
        <v>0</v>
      </c>
      <c r="AD84" s="17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</row>
    <row r="85" spans="1:57" ht="11.15" customHeight="1" x14ac:dyDescent="0.25">
      <c r="A85" s="7" t="s">
        <v>85</v>
      </c>
      <c r="B85" s="7" t="s">
        <v>14</v>
      </c>
      <c r="C85" s="24">
        <v>112</v>
      </c>
      <c r="D85" s="24"/>
      <c r="E85" s="24">
        <v>65</v>
      </c>
      <c r="F85" s="24">
        <v>47</v>
      </c>
      <c r="G85" s="17" t="str">
        <f>VLOOKUP(A:A,[1]TDSheet!$A:$G,7,0)</f>
        <v>P003364</v>
      </c>
      <c r="H85" s="18">
        <f>VLOOKUP(A:A,[1]TDSheet!$A:$H,8,0)</f>
        <v>0.35</v>
      </c>
      <c r="I85" s="8">
        <f>VLOOKUP(A:A,[1]TDSheet!$A:$I,9,0)</f>
        <v>0</v>
      </c>
      <c r="J85" s="8" t="str">
        <f>VLOOKUP(A:A,[1]TDSheet!$A:$J,10,0)</f>
        <v>матрица</v>
      </c>
      <c r="K85" s="8"/>
      <c r="L85" s="8">
        <f>VLOOKUP(A:A,[2]TDSheet!$A:$B,2,0)</f>
        <v>63</v>
      </c>
      <c r="M85" s="17">
        <f t="shared" si="8"/>
        <v>2</v>
      </c>
      <c r="N85" s="17"/>
      <c r="O85" s="8">
        <f>VLOOKUP(A:A,[1]TDSheet!$A:$P,16,0)</f>
        <v>0</v>
      </c>
      <c r="P85" s="17">
        <f>VLOOKUP(A:A,[1]TDSheet!$A:$Q,17,0)</f>
        <v>0</v>
      </c>
      <c r="Q85" s="17">
        <f>VLOOKUP(A:A,[1]TDSheet!$A:$S,19,0)</f>
        <v>0</v>
      </c>
      <c r="R85" s="17">
        <f t="shared" si="9"/>
        <v>13</v>
      </c>
      <c r="S85" s="20">
        <f t="shared" si="13"/>
        <v>96</v>
      </c>
      <c r="T85" s="20"/>
      <c r="U85" s="17"/>
      <c r="V85" s="17">
        <f t="shared" si="10"/>
        <v>11</v>
      </c>
      <c r="W85" s="17">
        <f t="shared" si="11"/>
        <v>3.6153846153846154</v>
      </c>
      <c r="X85" s="17">
        <f>VLOOKUP(A:A,[1]TDSheet!$A:$X,24,0)</f>
        <v>2.8</v>
      </c>
      <c r="Y85" s="17">
        <f>VLOOKUP(A:A,[1]TDSheet!$A:$Y,25,0)</f>
        <v>5.4</v>
      </c>
      <c r="Z85" s="17">
        <f>VLOOKUP(A:A,[1]TDSheet!$A:$Z,26,0)</f>
        <v>5.8</v>
      </c>
      <c r="AA85" s="17">
        <f>VLOOKUP(A:A,[1]TDSheet!$A:$AA,27,0)</f>
        <v>0.6</v>
      </c>
      <c r="AB85" s="17" t="str">
        <f>VLOOKUP(A:A,[1]TDSheet!$A:$AB,28,0)</f>
        <v>новинка / ТМА февраль</v>
      </c>
      <c r="AC85" s="17">
        <f t="shared" si="12"/>
        <v>33.599999999999994</v>
      </c>
      <c r="AD85" s="17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</row>
    <row r="86" spans="1:57" ht="11.15" customHeight="1" x14ac:dyDescent="0.25">
      <c r="A86" s="7" t="s">
        <v>86</v>
      </c>
      <c r="B86" s="7" t="s">
        <v>14</v>
      </c>
      <c r="C86" s="24">
        <v>89</v>
      </c>
      <c r="D86" s="24"/>
      <c r="E86" s="24">
        <v>59</v>
      </c>
      <c r="F86" s="24">
        <v>28</v>
      </c>
      <c r="G86" s="17" t="str">
        <f>VLOOKUP(A:A,[1]TDSheet!$A:$G,7,0)</f>
        <v>P003363</v>
      </c>
      <c r="H86" s="18">
        <f>VLOOKUP(A:A,[1]TDSheet!$A:$H,8,0)</f>
        <v>0.35</v>
      </c>
      <c r="I86" s="8">
        <f>VLOOKUP(A:A,[1]TDSheet!$A:$I,9,0)</f>
        <v>0</v>
      </c>
      <c r="J86" s="8" t="str">
        <f>VLOOKUP(A:A,[1]TDSheet!$A:$J,10,0)</f>
        <v>матрица</v>
      </c>
      <c r="K86" s="8"/>
      <c r="L86" s="8">
        <f>VLOOKUP(A:A,[2]TDSheet!$A:$B,2,0)</f>
        <v>59</v>
      </c>
      <c r="M86" s="17">
        <f t="shared" si="8"/>
        <v>0</v>
      </c>
      <c r="N86" s="17"/>
      <c r="O86" s="8">
        <f>VLOOKUP(A:A,[1]TDSheet!$A:$P,16,0)</f>
        <v>0</v>
      </c>
      <c r="P86" s="17">
        <f>VLOOKUP(A:A,[1]TDSheet!$A:$Q,17,0)</f>
        <v>0</v>
      </c>
      <c r="Q86" s="17">
        <f>VLOOKUP(A:A,[1]TDSheet!$A:$S,19,0)</f>
        <v>0</v>
      </c>
      <c r="R86" s="17">
        <f t="shared" si="9"/>
        <v>11.8</v>
      </c>
      <c r="S86" s="20">
        <f t="shared" si="13"/>
        <v>101.80000000000001</v>
      </c>
      <c r="T86" s="20"/>
      <c r="U86" s="17"/>
      <c r="V86" s="17">
        <f t="shared" si="10"/>
        <v>11</v>
      </c>
      <c r="W86" s="17">
        <f t="shared" si="11"/>
        <v>2.3728813559322033</v>
      </c>
      <c r="X86" s="17">
        <f>VLOOKUP(A:A,[1]TDSheet!$A:$X,24,0)</f>
        <v>8.6</v>
      </c>
      <c r="Y86" s="17">
        <f>VLOOKUP(A:A,[1]TDSheet!$A:$Y,25,0)</f>
        <v>10.8</v>
      </c>
      <c r="Z86" s="17">
        <f>VLOOKUP(A:A,[1]TDSheet!$A:$Z,26,0)</f>
        <v>-2.2000000000000002</v>
      </c>
      <c r="AA86" s="17">
        <f>VLOOKUP(A:A,[1]TDSheet!$A:$AA,27,0)</f>
        <v>4</v>
      </c>
      <c r="AB86" s="17" t="str">
        <f>VLOOKUP(A:A,[1]TDSheet!$A:$AB,28,0)</f>
        <v>ТМА ПРОДОЛЖЕНИЕ Апрель</v>
      </c>
      <c r="AC86" s="17">
        <f t="shared" si="12"/>
        <v>35.630000000000003</v>
      </c>
      <c r="AD86" s="17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</row>
    <row r="87" spans="1:57" ht="21.9" customHeight="1" x14ac:dyDescent="0.25">
      <c r="A87" s="7" t="s">
        <v>87</v>
      </c>
      <c r="B87" s="7" t="s">
        <v>14</v>
      </c>
      <c r="C87" s="24">
        <v>64</v>
      </c>
      <c r="D87" s="24"/>
      <c r="E87" s="24">
        <v>64</v>
      </c>
      <c r="F87" s="24"/>
      <c r="G87" s="17" t="str">
        <f>VLOOKUP(A:A,[1]TDSheet!$A:$G,7,0)</f>
        <v>P004067</v>
      </c>
      <c r="H87" s="18">
        <f>VLOOKUP(A:A,[1]TDSheet!$A:$H,8,0)</f>
        <v>0.4</v>
      </c>
      <c r="I87" s="8">
        <f>VLOOKUP(A:A,[1]TDSheet!$A:$I,9,0)</f>
        <v>55</v>
      </c>
      <c r="J87" s="8" t="str">
        <f>VLOOKUP(A:A,[1]TDSheet!$A:$J,10,0)</f>
        <v>матрица</v>
      </c>
      <c r="K87" s="8"/>
      <c r="L87" s="8">
        <f>VLOOKUP(A:A,[2]TDSheet!$A:$B,2,0)</f>
        <v>82</v>
      </c>
      <c r="M87" s="17">
        <f t="shared" si="8"/>
        <v>-18</v>
      </c>
      <c r="N87" s="17"/>
      <c r="O87" s="8">
        <f>VLOOKUP(A:A,[1]TDSheet!$A:$P,16,0)</f>
        <v>0</v>
      </c>
      <c r="P87" s="17">
        <f>VLOOKUP(A:A,[1]TDSheet!$A:$Q,17,0)</f>
        <v>60</v>
      </c>
      <c r="Q87" s="17">
        <f>VLOOKUP(A:A,[1]TDSheet!$A:$S,19,0)</f>
        <v>70</v>
      </c>
      <c r="R87" s="17">
        <f t="shared" si="9"/>
        <v>12.8</v>
      </c>
      <c r="S87" s="20"/>
      <c r="T87" s="20"/>
      <c r="U87" s="17"/>
      <c r="V87" s="17">
        <f t="shared" si="10"/>
        <v>10.15625</v>
      </c>
      <c r="W87" s="17">
        <f t="shared" si="11"/>
        <v>0</v>
      </c>
      <c r="X87" s="17">
        <f>VLOOKUP(A:A,[1]TDSheet!$A:$X,24,0)</f>
        <v>17.600000000000001</v>
      </c>
      <c r="Y87" s="17">
        <f>VLOOKUP(A:A,[1]TDSheet!$A:$Y,25,0)</f>
        <v>11.8</v>
      </c>
      <c r="Z87" s="17">
        <f>VLOOKUP(A:A,[1]TDSheet!$A:$Z,26,0)</f>
        <v>6.6</v>
      </c>
      <c r="AA87" s="17">
        <f>VLOOKUP(A:A,[1]TDSheet!$A:$AA,27,0)</f>
        <v>11.4</v>
      </c>
      <c r="AB87" s="17" t="str">
        <f>VLOOKUP(A:A,[1]TDSheet!$A:$AB,28,0)</f>
        <v>увел продажи</v>
      </c>
      <c r="AC87" s="17">
        <f t="shared" si="12"/>
        <v>0</v>
      </c>
      <c r="AD87" s="17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</row>
    <row r="88" spans="1:57" ht="11.15" customHeight="1" x14ac:dyDescent="0.25">
      <c r="A88" s="7" t="s">
        <v>88</v>
      </c>
      <c r="B88" s="7" t="s">
        <v>10</v>
      </c>
      <c r="C88" s="24">
        <v>17.186</v>
      </c>
      <c r="D88" s="24"/>
      <c r="E88" s="24">
        <v>11.55</v>
      </c>
      <c r="F88" s="24">
        <v>4.2</v>
      </c>
      <c r="G88" s="17" t="str">
        <f>VLOOKUP(A:A,[1]TDSheet!$A:$G,7,0)</f>
        <v>P004070</v>
      </c>
      <c r="H88" s="18">
        <f>VLOOKUP(A:A,[1]TDSheet!$A:$H,8,0)</f>
        <v>1</v>
      </c>
      <c r="I88" s="8">
        <f>VLOOKUP(A:A,[1]TDSheet!$A:$I,9,0)</f>
        <v>55</v>
      </c>
      <c r="J88" s="8" t="str">
        <f>VLOOKUP(A:A,[1]TDSheet!$A:$J,10,0)</f>
        <v>матрица</v>
      </c>
      <c r="K88" s="8"/>
      <c r="L88" s="8">
        <f>VLOOKUP(A:A,[2]TDSheet!$A:$B,2,0)</f>
        <v>17.100000000000001</v>
      </c>
      <c r="M88" s="17">
        <f t="shared" si="8"/>
        <v>-5.5500000000000007</v>
      </c>
      <c r="N88" s="17"/>
      <c r="O88" s="8">
        <f>VLOOKUP(A:A,[1]TDSheet!$A:$P,16,0)</f>
        <v>0</v>
      </c>
      <c r="P88" s="17">
        <f>VLOOKUP(A:A,[1]TDSheet!$A:$Q,17,0)</f>
        <v>10</v>
      </c>
      <c r="Q88" s="17">
        <f>VLOOKUP(A:A,[1]TDSheet!$A:$S,19,0)</f>
        <v>0</v>
      </c>
      <c r="R88" s="17">
        <f t="shared" si="9"/>
        <v>2.31</v>
      </c>
      <c r="S88" s="20"/>
      <c r="T88" s="20"/>
      <c r="U88" s="17"/>
      <c r="V88" s="17">
        <f t="shared" si="10"/>
        <v>6.1471861471861464</v>
      </c>
      <c r="W88" s="17">
        <f t="shared" si="11"/>
        <v>1.8181818181818181</v>
      </c>
      <c r="X88" s="17">
        <f>VLOOKUP(A:A,[1]TDSheet!$A:$X,24,0)</f>
        <v>3.7688000000000001</v>
      </c>
      <c r="Y88" s="17">
        <f>VLOOKUP(A:A,[1]TDSheet!$A:$Y,25,0)</f>
        <v>2.5911999999999997</v>
      </c>
      <c r="Z88" s="17">
        <f>VLOOKUP(A:A,[1]TDSheet!$A:$Z,26,0)</f>
        <v>1.4444000000000001</v>
      </c>
      <c r="AA88" s="17">
        <f>VLOOKUP(A:A,[1]TDSheet!$A:$AA,27,0)</f>
        <v>2.3452000000000002</v>
      </c>
      <c r="AB88" s="17" t="str">
        <f>VLOOKUP(A:A,[1]TDSheet!$A:$AB,28,0)</f>
        <v>увел продажи</v>
      </c>
      <c r="AC88" s="17">
        <f t="shared" si="12"/>
        <v>0</v>
      </c>
      <c r="AD88" s="17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</row>
    <row r="89" spans="1:57" ht="11.15" customHeight="1" x14ac:dyDescent="0.25">
      <c r="A89" s="7" t="s">
        <v>89</v>
      </c>
      <c r="B89" s="7" t="s">
        <v>10</v>
      </c>
      <c r="C89" s="24">
        <v>311.07400000000001</v>
      </c>
      <c r="D89" s="24">
        <v>0.86</v>
      </c>
      <c r="E89" s="24">
        <v>273.976</v>
      </c>
      <c r="F89" s="24">
        <v>37.097999999999999</v>
      </c>
      <c r="G89" s="17" t="str">
        <f>VLOOKUP(A:A,[1]TDSheet!$A:$G,7,0)</f>
        <v>P002989</v>
      </c>
      <c r="H89" s="18">
        <f>VLOOKUP(A:A,[1]TDSheet!$A:$H,8,0)</f>
        <v>1</v>
      </c>
      <c r="I89" s="8">
        <f>VLOOKUP(A:A,[1]TDSheet!$A:$I,9,0)</f>
        <v>60</v>
      </c>
      <c r="J89" s="8" t="str">
        <f>VLOOKUP(A:A,[1]TDSheet!$A:$J,10,0)</f>
        <v>матрица</v>
      </c>
      <c r="K89" s="8"/>
      <c r="L89" s="8">
        <f>VLOOKUP(A:A,[2]TDSheet!$A:$B,2,0)</f>
        <v>262.2</v>
      </c>
      <c r="M89" s="17">
        <f t="shared" si="8"/>
        <v>11.77600000000001</v>
      </c>
      <c r="N89" s="17"/>
      <c r="O89" s="8">
        <f>VLOOKUP(A:A,[1]TDSheet!$A:$P,16,0)</f>
        <v>0</v>
      </c>
      <c r="P89" s="17">
        <f>VLOOKUP(A:A,[1]TDSheet!$A:$Q,17,0)</f>
        <v>250</v>
      </c>
      <c r="Q89" s="17">
        <f>VLOOKUP(A:A,[1]TDSheet!$A:$S,19,0)</f>
        <v>70</v>
      </c>
      <c r="R89" s="17">
        <f t="shared" si="9"/>
        <v>54.795200000000001</v>
      </c>
      <c r="S89" s="20">
        <f t="shared" si="13"/>
        <v>245.64920000000006</v>
      </c>
      <c r="T89" s="20"/>
      <c r="U89" s="17"/>
      <c r="V89" s="17">
        <f t="shared" si="10"/>
        <v>11</v>
      </c>
      <c r="W89" s="17">
        <f t="shared" si="11"/>
        <v>0.67703010482670012</v>
      </c>
      <c r="X89" s="17">
        <f>VLOOKUP(A:A,[1]TDSheet!$A:$X,24,0)</f>
        <v>40.016800000000003</v>
      </c>
      <c r="Y89" s="17">
        <f>VLOOKUP(A:A,[1]TDSheet!$A:$Y,25,0)</f>
        <v>60.118399999999994</v>
      </c>
      <c r="Z89" s="17">
        <f>VLOOKUP(A:A,[1]TDSheet!$A:$Z,26,0)</f>
        <v>37.101199999999999</v>
      </c>
      <c r="AA89" s="17">
        <f>VLOOKUP(A:A,[1]TDSheet!$A:$AA,27,0)</f>
        <v>50.4236</v>
      </c>
      <c r="AB89" s="17" t="str">
        <f>VLOOKUP(A:A,[1]TDSheet!$A:$AB,28,0)</f>
        <v>ТМА ПРОДОЛЖЕНИЕ МАРТ</v>
      </c>
      <c r="AC89" s="17">
        <f t="shared" si="12"/>
        <v>245.64920000000006</v>
      </c>
      <c r="AD89" s="17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</row>
    <row r="90" spans="1:57" ht="11.15" customHeight="1" x14ac:dyDescent="0.25">
      <c r="A90" s="7" t="s">
        <v>90</v>
      </c>
      <c r="B90" s="7" t="s">
        <v>10</v>
      </c>
      <c r="C90" s="24">
        <v>968.17399999999998</v>
      </c>
      <c r="D90" s="24">
        <v>1094.0909999999999</v>
      </c>
      <c r="E90" s="24">
        <v>1829.181</v>
      </c>
      <c r="F90" s="24">
        <v>215.74799999999999</v>
      </c>
      <c r="G90" s="17" t="str">
        <f>VLOOKUP(A:A,[1]TDSheet!$A:$G,7,0)</f>
        <v>P004257</v>
      </c>
      <c r="H90" s="18">
        <f>VLOOKUP(A:A,[1]TDSheet!$A:$H,8,0)</f>
        <v>1</v>
      </c>
      <c r="I90" s="8">
        <f>VLOOKUP(A:A,[1]TDSheet!$A:$I,9,0)</f>
        <v>60</v>
      </c>
      <c r="J90" s="8" t="str">
        <f>VLOOKUP(A:A,[1]TDSheet!$A:$J,10,0)</f>
        <v>матрица</v>
      </c>
      <c r="K90" s="8"/>
      <c r="L90" s="8">
        <f>VLOOKUP(A:A,[2]TDSheet!$A:$B,2,0)</f>
        <v>2106</v>
      </c>
      <c r="M90" s="17">
        <f t="shared" si="8"/>
        <v>-276.81899999999996</v>
      </c>
      <c r="N90" s="17"/>
      <c r="O90" s="8">
        <f>VLOOKUP(A:A,[1]TDSheet!$A:$P,16,0)</f>
        <v>500</v>
      </c>
      <c r="P90" s="17">
        <f>VLOOKUP(A:A,[1]TDSheet!$A:$Q,17,0)</f>
        <v>1500</v>
      </c>
      <c r="Q90" s="17">
        <f>VLOOKUP(A:A,[1]TDSheet!$A:$S,19,0)</f>
        <v>1300</v>
      </c>
      <c r="R90" s="17">
        <f t="shared" si="9"/>
        <v>365.83620000000002</v>
      </c>
      <c r="S90" s="20">
        <f t="shared" si="13"/>
        <v>508.45020000000022</v>
      </c>
      <c r="T90" s="20"/>
      <c r="U90" s="17"/>
      <c r="V90" s="17">
        <f t="shared" si="10"/>
        <v>11</v>
      </c>
      <c r="W90" s="17">
        <f t="shared" si="11"/>
        <v>0.58973934236141745</v>
      </c>
      <c r="X90" s="17">
        <f>VLOOKUP(A:A,[1]TDSheet!$A:$X,24,0)</f>
        <v>315.7912</v>
      </c>
      <c r="Y90" s="17">
        <f>VLOOKUP(A:A,[1]TDSheet!$A:$Y,25,0)</f>
        <v>305.68600000000004</v>
      </c>
      <c r="Z90" s="17">
        <f>VLOOKUP(A:A,[1]TDSheet!$A:$Z,26,0)</f>
        <v>298.39520000000005</v>
      </c>
      <c r="AA90" s="17">
        <f>VLOOKUP(A:A,[1]TDSheet!$A:$AA,27,0)</f>
        <v>364.94259999999997</v>
      </c>
      <c r="AB90" s="17" t="str">
        <f>VLOOKUP(A:A,[1]TDSheet!$A:$AB,28,0)</f>
        <v>ТМА ПРОДОЛЖЕНИЕ Апрель</v>
      </c>
      <c r="AC90" s="17">
        <f t="shared" si="12"/>
        <v>508.45020000000022</v>
      </c>
      <c r="AD90" s="17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</row>
    <row r="91" spans="1:57" ht="11.15" customHeight="1" x14ac:dyDescent="0.25">
      <c r="A91" s="7" t="s">
        <v>91</v>
      </c>
      <c r="B91" s="7" t="s">
        <v>10</v>
      </c>
      <c r="C91" s="24">
        <v>1559.001</v>
      </c>
      <c r="D91" s="24">
        <v>275.00700000000001</v>
      </c>
      <c r="E91" s="24">
        <v>1759.2670000000001</v>
      </c>
      <c r="F91" s="24">
        <v>54.350999999999999</v>
      </c>
      <c r="G91" s="17" t="str">
        <f>VLOOKUP(A:A,[1]TDSheet!$A:$G,7,0)</f>
        <v>P004252</v>
      </c>
      <c r="H91" s="18">
        <f>VLOOKUP(A:A,[1]TDSheet!$A:$H,8,0)</f>
        <v>1</v>
      </c>
      <c r="I91" s="8">
        <f>VLOOKUP(A:A,[1]TDSheet!$A:$I,9,0)</f>
        <v>60</v>
      </c>
      <c r="J91" s="8" t="str">
        <f>VLOOKUP(A:A,[1]TDSheet!$A:$J,10,0)</f>
        <v>матрица</v>
      </c>
      <c r="K91" s="8"/>
      <c r="L91" s="8">
        <f>VLOOKUP(A:A,[2]TDSheet!$A:$B,2,0)</f>
        <v>1745</v>
      </c>
      <c r="M91" s="17">
        <f t="shared" si="8"/>
        <v>14.267000000000053</v>
      </c>
      <c r="N91" s="17"/>
      <c r="O91" s="8">
        <f>VLOOKUP(A:A,[1]TDSheet!$A:$P,16,0)</f>
        <v>500</v>
      </c>
      <c r="P91" s="17">
        <f>VLOOKUP(A:A,[1]TDSheet!$A:$Q,17,0)</f>
        <v>600</v>
      </c>
      <c r="Q91" s="17">
        <f>VLOOKUP(A:A,[1]TDSheet!$A:$S,19,0)</f>
        <v>1500</v>
      </c>
      <c r="R91" s="17">
        <f t="shared" si="9"/>
        <v>351.85340000000002</v>
      </c>
      <c r="S91" s="20">
        <f t="shared" si="13"/>
        <v>1216.0364</v>
      </c>
      <c r="T91" s="20"/>
      <c r="U91" s="17"/>
      <c r="V91" s="17">
        <f t="shared" si="10"/>
        <v>11</v>
      </c>
      <c r="W91" s="17">
        <f t="shared" si="11"/>
        <v>0.15447058348732737</v>
      </c>
      <c r="X91" s="17">
        <f>VLOOKUP(A:A,[1]TDSheet!$A:$X,24,0)</f>
        <v>195.42419999999998</v>
      </c>
      <c r="Y91" s="17">
        <f>VLOOKUP(A:A,[1]TDSheet!$A:$Y,25,0)</f>
        <v>215.18980000000002</v>
      </c>
      <c r="Z91" s="17">
        <f>VLOOKUP(A:A,[1]TDSheet!$A:$Z,26,0)</f>
        <v>199.94980000000001</v>
      </c>
      <c r="AA91" s="17">
        <f>VLOOKUP(A:A,[1]TDSheet!$A:$AA,27,0)</f>
        <v>259.17040000000003</v>
      </c>
      <c r="AB91" s="17" t="str">
        <f>VLOOKUP(A:A,[1]TDSheet!$A:$AB,28,0)</f>
        <v>ТМА ПРОДОЛЖЕНИЕ Апрель</v>
      </c>
      <c r="AC91" s="17">
        <f t="shared" si="12"/>
        <v>1216.0364</v>
      </c>
      <c r="AD91" s="17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</row>
    <row r="92" spans="1:57" ht="11.15" customHeight="1" x14ac:dyDescent="0.25">
      <c r="A92" s="7" t="s">
        <v>92</v>
      </c>
      <c r="B92" s="7" t="s">
        <v>10</v>
      </c>
      <c r="C92" s="24">
        <v>1436.01</v>
      </c>
      <c r="D92" s="24">
        <v>2039.19</v>
      </c>
      <c r="E92" s="24">
        <v>3030.8510000000001</v>
      </c>
      <c r="F92" s="24">
        <v>420.77300000000002</v>
      </c>
      <c r="G92" s="17" t="str">
        <f>VLOOKUP(A:A,[1]TDSheet!$A:$G,7,0)</f>
        <v>P004256</v>
      </c>
      <c r="H92" s="18">
        <f>VLOOKUP(A:A,[1]TDSheet!$A:$H,8,0)</f>
        <v>1</v>
      </c>
      <c r="I92" s="8">
        <f>VLOOKUP(A:A,[1]TDSheet!$A:$I,9,0)</f>
        <v>60</v>
      </c>
      <c r="J92" s="8" t="str">
        <f>VLOOKUP(A:A,[1]TDSheet!$A:$J,10,0)</f>
        <v>матрица</v>
      </c>
      <c r="K92" s="8"/>
      <c r="L92" s="8">
        <f>VLOOKUP(A:A,[2]TDSheet!$A:$B,2,0)</f>
        <v>3334.2</v>
      </c>
      <c r="M92" s="17">
        <f t="shared" si="8"/>
        <v>-303.34899999999971</v>
      </c>
      <c r="N92" s="17"/>
      <c r="O92" s="8">
        <f>VLOOKUP(A:A,[1]TDSheet!$A:$P,16,0)</f>
        <v>500</v>
      </c>
      <c r="P92" s="17">
        <f>VLOOKUP(A:A,[1]TDSheet!$A:$Q,17,0)</f>
        <v>1950</v>
      </c>
      <c r="Q92" s="17">
        <f>VLOOKUP(A:A,[1]TDSheet!$A:$S,19,0)</f>
        <v>2200</v>
      </c>
      <c r="R92" s="17">
        <f t="shared" si="9"/>
        <v>606.17020000000002</v>
      </c>
      <c r="S92" s="20">
        <f t="shared" si="13"/>
        <v>1597.0991999999997</v>
      </c>
      <c r="T92" s="20"/>
      <c r="U92" s="17"/>
      <c r="V92" s="17">
        <f t="shared" si="10"/>
        <v>11</v>
      </c>
      <c r="W92" s="17">
        <f t="shared" si="11"/>
        <v>0.69414992686872434</v>
      </c>
      <c r="X92" s="17">
        <f>VLOOKUP(A:A,[1]TDSheet!$A:$X,24,0)</f>
        <v>457.28120000000001</v>
      </c>
      <c r="Y92" s="17">
        <f>VLOOKUP(A:A,[1]TDSheet!$A:$Y,25,0)</f>
        <v>479.43520000000001</v>
      </c>
      <c r="Z92" s="17">
        <f>VLOOKUP(A:A,[1]TDSheet!$A:$Z,26,0)</f>
        <v>517.31659999999999</v>
      </c>
      <c r="AA92" s="17">
        <f>VLOOKUP(A:A,[1]TDSheet!$A:$AA,27,0)</f>
        <v>528.50659999999993</v>
      </c>
      <c r="AB92" s="17" t="str">
        <f>VLOOKUP(A:A,[1]TDSheet!$A:$AB,28,0)</f>
        <v>ТМА ПРОДОЛЖЕНИЕ Апрель</v>
      </c>
      <c r="AC92" s="17">
        <f t="shared" si="12"/>
        <v>1597.0991999999997</v>
      </c>
      <c r="AD92" s="17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</row>
    <row r="93" spans="1:57" ht="11.15" customHeight="1" x14ac:dyDescent="0.25">
      <c r="A93" s="7" t="s">
        <v>93</v>
      </c>
      <c r="B93" s="7" t="s">
        <v>14</v>
      </c>
      <c r="C93" s="24">
        <v>24</v>
      </c>
      <c r="D93" s="24">
        <v>124</v>
      </c>
      <c r="E93" s="24">
        <v>114</v>
      </c>
      <c r="F93" s="24">
        <v>12</v>
      </c>
      <c r="G93" s="17" t="str">
        <f>VLOOKUP(A:A,[1]TDSheet!$A:$G,7,0)</f>
        <v>P003390</v>
      </c>
      <c r="H93" s="18">
        <f>VLOOKUP(A:A,[1]TDSheet!$A:$H,8,0)</f>
        <v>0.3</v>
      </c>
      <c r="I93" s="8">
        <f>VLOOKUP(A:A,[1]TDSheet!$A:$I,9,0)</f>
        <v>40</v>
      </c>
      <c r="J93" s="8" t="str">
        <f>VLOOKUP(A:A,[1]TDSheet!$A:$J,10,0)</f>
        <v>матрица</v>
      </c>
      <c r="K93" s="8"/>
      <c r="L93" s="8">
        <f>VLOOKUP(A:A,[2]TDSheet!$A:$B,2,0)</f>
        <v>230</v>
      </c>
      <c r="M93" s="17">
        <f t="shared" si="8"/>
        <v>-116</v>
      </c>
      <c r="N93" s="17"/>
      <c r="O93" s="8">
        <f>VLOOKUP(A:A,[1]TDSheet!$A:$P,16,0)</f>
        <v>0</v>
      </c>
      <c r="P93" s="17">
        <f>VLOOKUP(A:A,[1]TDSheet!$A:$Q,17,0)</f>
        <v>120</v>
      </c>
      <c r="Q93" s="17">
        <f>VLOOKUP(A:A,[1]TDSheet!$A:$S,19,0)</f>
        <v>0</v>
      </c>
      <c r="R93" s="17">
        <f t="shared" si="9"/>
        <v>22.8</v>
      </c>
      <c r="S93" s="20">
        <f t="shared" si="13"/>
        <v>118.80000000000001</v>
      </c>
      <c r="T93" s="20"/>
      <c r="U93" s="17"/>
      <c r="V93" s="17">
        <f t="shared" si="10"/>
        <v>11</v>
      </c>
      <c r="W93" s="17">
        <f t="shared" si="11"/>
        <v>0.52631578947368418</v>
      </c>
      <c r="X93" s="17">
        <f>VLOOKUP(A:A,[1]TDSheet!$A:$X,24,0)</f>
        <v>29.6</v>
      </c>
      <c r="Y93" s="17">
        <f>VLOOKUP(A:A,[1]TDSheet!$A:$Y,25,0)</f>
        <v>24</v>
      </c>
      <c r="Z93" s="17">
        <f>VLOOKUP(A:A,[1]TDSheet!$A:$Z,26,0)</f>
        <v>24.4</v>
      </c>
      <c r="AA93" s="17">
        <f>VLOOKUP(A:A,[1]TDSheet!$A:$AA,27,0)</f>
        <v>24</v>
      </c>
      <c r="AB93" s="17" t="str">
        <f>VLOOKUP(A:A,[1]TDSheet!$A:$AB,28,0)</f>
        <v>ТМА февраль</v>
      </c>
      <c r="AC93" s="17">
        <f t="shared" si="12"/>
        <v>35.64</v>
      </c>
      <c r="AD93" s="17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</row>
    <row r="94" spans="1:57" ht="11.15" customHeight="1" x14ac:dyDescent="0.25">
      <c r="A94" s="7" t="s">
        <v>94</v>
      </c>
      <c r="B94" s="7" t="s">
        <v>14</v>
      </c>
      <c r="C94" s="24">
        <v>66</v>
      </c>
      <c r="D94" s="24">
        <v>1</v>
      </c>
      <c r="E94" s="24">
        <v>68</v>
      </c>
      <c r="F94" s="24">
        <v>-1</v>
      </c>
      <c r="G94" s="17" t="str">
        <f>VLOOKUP(A:A,[1]TDSheet!$A:$G,7,0)</f>
        <v>P004978</v>
      </c>
      <c r="H94" s="18">
        <f>VLOOKUP(A:A,[1]TDSheet!$A:$H,8,0)</f>
        <v>7.0000000000000007E-2</v>
      </c>
      <c r="I94" s="8">
        <f>VLOOKUP(A:A,[1]TDSheet!$A:$I,9,0)</f>
        <v>90</v>
      </c>
      <c r="J94" s="8" t="str">
        <f>VLOOKUP(A:A,[1]TDSheet!$A:$J,10,0)</f>
        <v>матрица</v>
      </c>
      <c r="K94" s="8"/>
      <c r="L94" s="8">
        <f>VLOOKUP(A:A,[2]TDSheet!$A:$B,2,0)</f>
        <v>80</v>
      </c>
      <c r="M94" s="17">
        <f t="shared" si="8"/>
        <v>-12</v>
      </c>
      <c r="N94" s="17"/>
      <c r="O94" s="8">
        <f>VLOOKUP(A:A,[1]TDSheet!$A:$P,16,0)</f>
        <v>0</v>
      </c>
      <c r="P94" s="17">
        <f>VLOOKUP(A:A,[1]TDSheet!$A:$Q,17,0)</f>
        <v>30</v>
      </c>
      <c r="Q94" s="17">
        <f>VLOOKUP(A:A,[1]TDSheet!$A:$S,19,0)</f>
        <v>100</v>
      </c>
      <c r="R94" s="17">
        <f t="shared" si="9"/>
        <v>13.6</v>
      </c>
      <c r="S94" s="20"/>
      <c r="T94" s="20"/>
      <c r="U94" s="17"/>
      <c r="V94" s="17">
        <f t="shared" si="10"/>
        <v>9.4852941176470598</v>
      </c>
      <c r="W94" s="17">
        <f t="shared" si="11"/>
        <v>-7.3529411764705885E-2</v>
      </c>
      <c r="X94" s="17">
        <f>VLOOKUP(A:A,[1]TDSheet!$A:$X,24,0)</f>
        <v>17.600000000000001</v>
      </c>
      <c r="Y94" s="17">
        <f>VLOOKUP(A:A,[1]TDSheet!$A:$Y,25,0)</f>
        <v>9.1999999999999993</v>
      </c>
      <c r="Z94" s="17">
        <f>VLOOKUP(A:A,[1]TDSheet!$A:$Z,26,0)</f>
        <v>7.6</v>
      </c>
      <c r="AA94" s="17">
        <f>VLOOKUP(A:A,[1]TDSheet!$A:$AA,27,0)</f>
        <v>8.4</v>
      </c>
      <c r="AB94" s="17">
        <f>VLOOKUP(A:A,[1]TDSheet!$A:$AB,28,0)</f>
        <v>0</v>
      </c>
      <c r="AC94" s="17">
        <f t="shared" si="12"/>
        <v>0</v>
      </c>
      <c r="AD94" s="17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</row>
    <row r="95" spans="1:57" ht="11.15" customHeight="1" x14ac:dyDescent="0.25">
      <c r="A95" s="7" t="s">
        <v>95</v>
      </c>
      <c r="B95" s="7" t="s">
        <v>14</v>
      </c>
      <c r="C95" s="24">
        <v>52</v>
      </c>
      <c r="D95" s="24">
        <v>2</v>
      </c>
      <c r="E95" s="24">
        <v>36</v>
      </c>
      <c r="F95" s="24">
        <v>18</v>
      </c>
      <c r="G95" s="17" t="str">
        <f>VLOOKUP(A:A,[1]TDSheet!$A:$G,7,0)</f>
        <v>P004982</v>
      </c>
      <c r="H95" s="18">
        <f>VLOOKUP(A:A,[1]TDSheet!$A:$H,8,0)</f>
        <v>7.0000000000000007E-2</v>
      </c>
      <c r="I95" s="8">
        <f>VLOOKUP(A:A,[1]TDSheet!$A:$I,9,0)</f>
        <v>90</v>
      </c>
      <c r="J95" s="8" t="str">
        <f>VLOOKUP(A:A,[1]TDSheet!$A:$J,10,0)</f>
        <v>матрица</v>
      </c>
      <c r="K95" s="8"/>
      <c r="L95" s="8">
        <f>VLOOKUP(A:A,[2]TDSheet!$A:$B,2,0)</f>
        <v>71</v>
      </c>
      <c r="M95" s="17">
        <f t="shared" si="8"/>
        <v>-35</v>
      </c>
      <c r="N95" s="17"/>
      <c r="O95" s="8">
        <f>VLOOKUP(A:A,[1]TDSheet!$A:$P,16,0)</f>
        <v>0</v>
      </c>
      <c r="P95" s="17">
        <f>VLOOKUP(A:A,[1]TDSheet!$A:$Q,17,0)</f>
        <v>30</v>
      </c>
      <c r="Q95" s="17">
        <f>VLOOKUP(A:A,[1]TDSheet!$A:$S,19,0)</f>
        <v>30</v>
      </c>
      <c r="R95" s="17">
        <f t="shared" si="9"/>
        <v>7.2</v>
      </c>
      <c r="S95" s="20"/>
      <c r="T95" s="20"/>
      <c r="U95" s="17"/>
      <c r="V95" s="17">
        <f t="shared" si="10"/>
        <v>10.833333333333334</v>
      </c>
      <c r="W95" s="17">
        <f t="shared" si="11"/>
        <v>2.5</v>
      </c>
      <c r="X95" s="17">
        <f>VLOOKUP(A:A,[1]TDSheet!$A:$X,24,0)</f>
        <v>11.6</v>
      </c>
      <c r="Y95" s="17">
        <f>VLOOKUP(A:A,[1]TDSheet!$A:$Y,25,0)</f>
        <v>7.6</v>
      </c>
      <c r="Z95" s="17">
        <f>VLOOKUP(A:A,[1]TDSheet!$A:$Z,26,0)</f>
        <v>7.4</v>
      </c>
      <c r="AA95" s="17">
        <f>VLOOKUP(A:A,[1]TDSheet!$A:$AA,27,0)</f>
        <v>6.8</v>
      </c>
      <c r="AB95" s="17" t="str">
        <f>VLOOKUP(A:A,[1]TDSheet!$A:$AB,28,0)</f>
        <v>увел продажи</v>
      </c>
      <c r="AC95" s="17">
        <f t="shared" si="12"/>
        <v>0</v>
      </c>
      <c r="AD95" s="17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</row>
    <row r="96" spans="1:57" ht="11.15" customHeight="1" x14ac:dyDescent="0.25">
      <c r="A96" s="7" t="s">
        <v>96</v>
      </c>
      <c r="B96" s="7" t="s">
        <v>14</v>
      </c>
      <c r="C96" s="24">
        <v>27</v>
      </c>
      <c r="D96" s="24">
        <v>1</v>
      </c>
      <c r="E96" s="24">
        <v>27</v>
      </c>
      <c r="F96" s="24"/>
      <c r="G96" s="17" t="str">
        <f>VLOOKUP(A:A,[1]TDSheet!$A:$G,7,0)</f>
        <v>P005023</v>
      </c>
      <c r="H96" s="18">
        <f>VLOOKUP(A:A,[1]TDSheet!$A:$H,8,0)</f>
        <v>0.05</v>
      </c>
      <c r="I96" s="8">
        <f>VLOOKUP(A:A,[1]TDSheet!$A:$I,9,0)</f>
        <v>90</v>
      </c>
      <c r="J96" s="8" t="str">
        <f>VLOOKUP(A:A,[1]TDSheet!$A:$J,10,0)</f>
        <v>выв08,05,</v>
      </c>
      <c r="K96" s="8"/>
      <c r="L96" s="8">
        <f>VLOOKUP(A:A,[2]TDSheet!$A:$B,2,0)</f>
        <v>41</v>
      </c>
      <c r="M96" s="17">
        <f t="shared" si="8"/>
        <v>-14</v>
      </c>
      <c r="N96" s="17"/>
      <c r="O96" s="8">
        <f>VLOOKUP(A:A,[1]TDSheet!$A:$P,16,0)</f>
        <v>0</v>
      </c>
      <c r="P96" s="17">
        <f>VLOOKUP(A:A,[1]TDSheet!$A:$Q,17,0)</f>
        <v>90</v>
      </c>
      <c r="Q96" s="17">
        <f>VLOOKUP(A:A,[1]TDSheet!$A:$S,19,0)</f>
        <v>20</v>
      </c>
      <c r="R96" s="17">
        <f t="shared" si="9"/>
        <v>5.4</v>
      </c>
      <c r="S96" s="20"/>
      <c r="T96" s="20"/>
      <c r="U96" s="17"/>
      <c r="V96" s="17">
        <f t="shared" si="10"/>
        <v>20.37037037037037</v>
      </c>
      <c r="W96" s="17">
        <f t="shared" si="11"/>
        <v>0</v>
      </c>
      <c r="X96" s="17">
        <f>VLOOKUP(A:A,[1]TDSheet!$A:$X,24,0)</f>
        <v>10.6</v>
      </c>
      <c r="Y96" s="17">
        <f>VLOOKUP(A:A,[1]TDSheet!$A:$Y,25,0)</f>
        <v>9.4</v>
      </c>
      <c r="Z96" s="17">
        <f>VLOOKUP(A:A,[1]TDSheet!$A:$Z,26,0)</f>
        <v>6</v>
      </c>
      <c r="AA96" s="17">
        <f>VLOOKUP(A:A,[1]TDSheet!$A:$AA,27,0)</f>
        <v>10.4</v>
      </c>
      <c r="AB96" s="17" t="str">
        <f>VLOOKUP(A:A,[1]TDSheet!$A:$AB,28,0)</f>
        <v>увел продажи</v>
      </c>
      <c r="AC96" s="17">
        <f t="shared" si="12"/>
        <v>0</v>
      </c>
      <c r="AD96" s="17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</row>
    <row r="97" spans="1:57" ht="11.15" customHeight="1" x14ac:dyDescent="0.25">
      <c r="A97" s="7" t="s">
        <v>97</v>
      </c>
      <c r="B97" s="7" t="s">
        <v>14</v>
      </c>
      <c r="C97" s="24">
        <v>93</v>
      </c>
      <c r="D97" s="24">
        <v>2</v>
      </c>
      <c r="E97" s="24">
        <v>64</v>
      </c>
      <c r="F97" s="24">
        <v>30</v>
      </c>
      <c r="G97" s="17" t="str">
        <f>VLOOKUP(A:A,[1]TDSheet!$A:$G,7,0)</f>
        <v>P005022</v>
      </c>
      <c r="H97" s="18">
        <f>VLOOKUP(A:A,[1]TDSheet!$A:$H,8,0)</f>
        <v>5.5E-2</v>
      </c>
      <c r="I97" s="8">
        <f>VLOOKUP(A:A,[1]TDSheet!$A:$I,9,0)</f>
        <v>90</v>
      </c>
      <c r="J97" s="8" t="str">
        <f>VLOOKUP(A:A,[1]TDSheet!$A:$J,10,0)</f>
        <v>матрица</v>
      </c>
      <c r="K97" s="8"/>
      <c r="L97" s="8">
        <f>VLOOKUP(A:A,[2]TDSheet!$A:$B,2,0)</f>
        <v>70</v>
      </c>
      <c r="M97" s="17">
        <f t="shared" si="8"/>
        <v>-6</v>
      </c>
      <c r="N97" s="17"/>
      <c r="O97" s="8">
        <f>VLOOKUP(A:A,[1]TDSheet!$A:$P,16,0)</f>
        <v>0</v>
      </c>
      <c r="P97" s="17">
        <f>VLOOKUP(A:A,[1]TDSheet!$A:$Q,17,0)</f>
        <v>0</v>
      </c>
      <c r="Q97" s="17">
        <f>VLOOKUP(A:A,[1]TDSheet!$A:$S,19,0)</f>
        <v>0</v>
      </c>
      <c r="R97" s="17">
        <f t="shared" si="9"/>
        <v>12.8</v>
      </c>
      <c r="S97" s="20">
        <f t="shared" si="13"/>
        <v>110.80000000000001</v>
      </c>
      <c r="T97" s="20"/>
      <c r="U97" s="17"/>
      <c r="V97" s="17">
        <f t="shared" si="10"/>
        <v>11</v>
      </c>
      <c r="W97" s="17">
        <f t="shared" si="11"/>
        <v>2.34375</v>
      </c>
      <c r="X97" s="17">
        <f>VLOOKUP(A:A,[1]TDSheet!$A:$X,24,0)</f>
        <v>12.6</v>
      </c>
      <c r="Y97" s="17">
        <f>VLOOKUP(A:A,[1]TDSheet!$A:$Y,25,0)</f>
        <v>11.8</v>
      </c>
      <c r="Z97" s="17">
        <f>VLOOKUP(A:A,[1]TDSheet!$A:$Z,26,0)</f>
        <v>11</v>
      </c>
      <c r="AA97" s="17">
        <f>VLOOKUP(A:A,[1]TDSheet!$A:$AA,27,0)</f>
        <v>7</v>
      </c>
      <c r="AB97" s="17">
        <f>VLOOKUP(A:A,[1]TDSheet!$A:$AB,28,0)</f>
        <v>0</v>
      </c>
      <c r="AC97" s="17">
        <f t="shared" si="12"/>
        <v>6.0940000000000003</v>
      </c>
      <c r="AD97" s="17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</row>
    <row r="98" spans="1:57" ht="11.15" customHeight="1" x14ac:dyDescent="0.25">
      <c r="A98" s="7" t="s">
        <v>98</v>
      </c>
      <c r="B98" s="7" t="s">
        <v>14</v>
      </c>
      <c r="C98" s="27"/>
      <c r="D98" s="24">
        <v>126</v>
      </c>
      <c r="E98" s="24">
        <v>39</v>
      </c>
      <c r="F98" s="24">
        <v>85</v>
      </c>
      <c r="G98" s="17" t="str">
        <f>VLOOKUP(A:A,[1]TDSheet!$A:$G,7,0)</f>
        <v>P005021</v>
      </c>
      <c r="H98" s="18">
        <f>VLOOKUP(A:A,[1]TDSheet!$A:$H,8,0)</f>
        <v>5.5E-2</v>
      </c>
      <c r="I98" s="8">
        <f>VLOOKUP(A:A,[1]TDSheet!$A:$I,9,0)</f>
        <v>90</v>
      </c>
      <c r="J98" s="8" t="str">
        <f>VLOOKUP(A:A,[1]TDSheet!$A:$J,10,0)</f>
        <v>выв08,05,</v>
      </c>
      <c r="K98" s="8"/>
      <c r="L98" s="8">
        <f>VLOOKUP(A:A,[2]TDSheet!$A:$B,2,0)</f>
        <v>40</v>
      </c>
      <c r="M98" s="17">
        <f t="shared" si="8"/>
        <v>-1</v>
      </c>
      <c r="N98" s="17"/>
      <c r="O98" s="8">
        <f>VLOOKUP(A:A,[1]TDSheet!$A:$P,16,0)</f>
        <v>0</v>
      </c>
      <c r="P98" s="17">
        <f>VLOOKUP(A:A,[1]TDSheet!$A:$Q,17,0)</f>
        <v>0</v>
      </c>
      <c r="Q98" s="17">
        <f>VLOOKUP(A:A,[1]TDSheet!$A:$S,19,0)</f>
        <v>0</v>
      </c>
      <c r="R98" s="17">
        <f t="shared" si="9"/>
        <v>7.8</v>
      </c>
      <c r="S98" s="20"/>
      <c r="T98" s="20"/>
      <c r="U98" s="17"/>
      <c r="V98" s="17">
        <f t="shared" si="10"/>
        <v>10.897435897435898</v>
      </c>
      <c r="W98" s="17">
        <f t="shared" si="11"/>
        <v>10.897435897435898</v>
      </c>
      <c r="X98" s="17">
        <f>VLOOKUP(A:A,[1]TDSheet!$A:$X,24,0)</f>
        <v>10.8</v>
      </c>
      <c r="Y98" s="17">
        <f>VLOOKUP(A:A,[1]TDSheet!$A:$Y,25,0)</f>
        <v>7.4</v>
      </c>
      <c r="Z98" s="17">
        <f>VLOOKUP(A:A,[1]TDSheet!$A:$Z,26,0)</f>
        <v>11.2</v>
      </c>
      <c r="AA98" s="17">
        <f>VLOOKUP(A:A,[1]TDSheet!$A:$AA,27,0)</f>
        <v>0.8</v>
      </c>
      <c r="AB98" s="17" t="str">
        <f>VLOOKUP(A:A,[1]TDSheet!$A:$AB,28,0)</f>
        <v>увел продажи</v>
      </c>
      <c r="AC98" s="17">
        <f t="shared" si="12"/>
        <v>0</v>
      </c>
      <c r="AD98" s="17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</row>
    <row r="99" spans="1:57" ht="21.9" customHeight="1" x14ac:dyDescent="0.25">
      <c r="A99" s="7" t="s">
        <v>99</v>
      </c>
      <c r="B99" s="7" t="s">
        <v>14</v>
      </c>
      <c r="C99" s="24">
        <v>37</v>
      </c>
      <c r="D99" s="24">
        <v>110</v>
      </c>
      <c r="E99" s="24">
        <v>58</v>
      </c>
      <c r="F99" s="24">
        <v>85</v>
      </c>
      <c r="G99" s="17" t="str">
        <f>VLOOKUP(A:A,[1]TDSheet!$A:$G,7,0)</f>
        <v>P005155</v>
      </c>
      <c r="H99" s="18">
        <f>VLOOKUP(A:A,[1]TDSheet!$A:$H,8,0)</f>
        <v>0.08</v>
      </c>
      <c r="I99" s="8">
        <f>VLOOKUP(A:A,[1]TDSheet!$A:$I,9,0)</f>
        <v>0</v>
      </c>
      <c r="J99" s="8">
        <f>VLOOKUP(A:A,[1]TDSheet!$A:$J,10,0)</f>
        <v>0</v>
      </c>
      <c r="K99" s="8"/>
      <c r="L99" s="8">
        <f>VLOOKUP(A:A,[2]TDSheet!$A:$B,2,0)</f>
        <v>68</v>
      </c>
      <c r="M99" s="17">
        <f t="shared" si="8"/>
        <v>-10</v>
      </c>
      <c r="N99" s="17"/>
      <c r="O99" s="8">
        <f>VLOOKUP(A:A,[1]TDSheet!$A:$P,16,0)</f>
        <v>0</v>
      </c>
      <c r="P99" s="17">
        <f>VLOOKUP(A:A,[1]TDSheet!$A:$Q,17,0)</f>
        <v>0</v>
      </c>
      <c r="Q99" s="17">
        <f>VLOOKUP(A:A,[1]TDSheet!$A:$S,19,0)</f>
        <v>0</v>
      </c>
      <c r="R99" s="17">
        <f t="shared" si="9"/>
        <v>11.6</v>
      </c>
      <c r="S99" s="20"/>
      <c r="T99" s="20"/>
      <c r="U99" s="17"/>
      <c r="V99" s="17">
        <f t="shared" si="10"/>
        <v>7.3275862068965516</v>
      </c>
      <c r="W99" s="17">
        <f t="shared" si="11"/>
        <v>7.3275862068965516</v>
      </c>
      <c r="X99" s="17">
        <f>VLOOKUP(A:A,[1]TDSheet!$A:$X,24,0)</f>
        <v>7.8</v>
      </c>
      <c r="Y99" s="17">
        <f>VLOOKUP(A:A,[1]TDSheet!$A:$Y,25,0)</f>
        <v>10.8</v>
      </c>
      <c r="Z99" s="17">
        <f>VLOOKUP(A:A,[1]TDSheet!$A:$Z,26,0)</f>
        <v>13.2</v>
      </c>
      <c r="AA99" s="17">
        <f>VLOOKUP(A:A,[1]TDSheet!$A:$AA,27,0)</f>
        <v>6.2</v>
      </c>
      <c r="AB99" s="17" t="str">
        <f>VLOOKUP(A:A,[1]TDSheet!$A:$AB,28,0)</f>
        <v>сроки</v>
      </c>
      <c r="AC99" s="17">
        <f t="shared" si="12"/>
        <v>0</v>
      </c>
      <c r="AD99" s="17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</row>
    <row r="100" spans="1:57" ht="21.9" customHeight="1" x14ac:dyDescent="0.25">
      <c r="A100" s="7" t="s">
        <v>100</v>
      </c>
      <c r="B100" s="7" t="s">
        <v>14</v>
      </c>
      <c r="C100" s="24">
        <v>123</v>
      </c>
      <c r="D100" s="24">
        <v>200</v>
      </c>
      <c r="E100" s="24">
        <v>104</v>
      </c>
      <c r="F100" s="24">
        <v>216</v>
      </c>
      <c r="G100" s="17" t="str">
        <f>VLOOKUP(A:A,[1]TDSheet!$A:$G,7,0)</f>
        <v>P003837</v>
      </c>
      <c r="H100" s="18">
        <f>VLOOKUP(A:A,[1]TDSheet!$A:$H,8,0)</f>
        <v>0.08</v>
      </c>
      <c r="I100" s="8">
        <f>VLOOKUP(A:A,[1]TDSheet!$A:$I,9,0)</f>
        <v>0</v>
      </c>
      <c r="J100" s="8">
        <f>VLOOKUP(A:A,[1]TDSheet!$A:$J,10,0)</f>
        <v>0</v>
      </c>
      <c r="K100" s="8"/>
      <c r="L100" s="8">
        <f>VLOOKUP(A:A,[2]TDSheet!$A:$B,2,0)</f>
        <v>107</v>
      </c>
      <c r="M100" s="17">
        <f t="shared" si="8"/>
        <v>-3</v>
      </c>
      <c r="N100" s="17"/>
      <c r="O100" s="8">
        <f>VLOOKUP(A:A,[1]TDSheet!$A:$P,16,0)</f>
        <v>0</v>
      </c>
      <c r="P100" s="17">
        <f>VLOOKUP(A:A,[1]TDSheet!$A:$Q,17,0)</f>
        <v>0</v>
      </c>
      <c r="Q100" s="17">
        <f>VLOOKUP(A:A,[1]TDSheet!$A:$S,19,0)</f>
        <v>0</v>
      </c>
      <c r="R100" s="17">
        <f t="shared" si="9"/>
        <v>20.8</v>
      </c>
      <c r="S100" s="20"/>
      <c r="T100" s="20"/>
      <c r="U100" s="17"/>
      <c r="V100" s="17">
        <f t="shared" si="10"/>
        <v>10.384615384615385</v>
      </c>
      <c r="W100" s="17">
        <f t="shared" si="11"/>
        <v>10.384615384615385</v>
      </c>
      <c r="X100" s="17">
        <f>VLOOKUP(A:A,[1]TDSheet!$A:$X,24,0)</f>
        <v>11.2</v>
      </c>
      <c r="Y100" s="17">
        <f>VLOOKUP(A:A,[1]TDSheet!$A:$Y,25,0)</f>
        <v>10.6</v>
      </c>
      <c r="Z100" s="17">
        <f>VLOOKUP(A:A,[1]TDSheet!$A:$Z,26,0)</f>
        <v>16</v>
      </c>
      <c r="AA100" s="17">
        <f>VLOOKUP(A:A,[1]TDSheet!$A:$AA,27,0)</f>
        <v>6.4</v>
      </c>
      <c r="AB100" s="17" t="e">
        <f>VLOOKUP(A:A,[1]TDSheet!$A:$AB,28,0)</f>
        <v>#N/A</v>
      </c>
      <c r="AC100" s="17">
        <f t="shared" si="12"/>
        <v>0</v>
      </c>
      <c r="AD100" s="17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</row>
    <row r="101" spans="1:57" ht="21.9" customHeight="1" x14ac:dyDescent="0.25">
      <c r="A101" s="7" t="s">
        <v>101</v>
      </c>
      <c r="B101" s="7" t="s">
        <v>10</v>
      </c>
      <c r="C101" s="24">
        <v>58.612000000000002</v>
      </c>
      <c r="D101" s="24">
        <v>138.50200000000001</v>
      </c>
      <c r="E101" s="24">
        <v>195.98599999999999</v>
      </c>
      <c r="F101" s="24">
        <v>-2.4670000000000001</v>
      </c>
      <c r="G101" s="17" t="str">
        <f>VLOOKUP(A:A,[1]TDSheet!$A:$G,7,0)</f>
        <v>P005376</v>
      </c>
      <c r="H101" s="18">
        <f>VLOOKUP(A:A,[1]TDSheet!$A:$H,8,0)</f>
        <v>1</v>
      </c>
      <c r="I101" s="8">
        <f>VLOOKUP(A:A,[1]TDSheet!$A:$I,9,0)</f>
        <v>0</v>
      </c>
      <c r="J101" s="8" t="e">
        <f>VLOOKUP(A:A,[1]TDSheet!$A:$J,10,0)</f>
        <v>#N/A</v>
      </c>
      <c r="K101" s="8"/>
      <c r="L101" s="8">
        <f>VLOOKUP(A:A,[2]TDSheet!$A:$B,2,0)</f>
        <v>216.36</v>
      </c>
      <c r="M101" s="17">
        <f t="shared" si="8"/>
        <v>-20.374000000000024</v>
      </c>
      <c r="N101" s="17"/>
      <c r="O101" s="8">
        <f>VLOOKUP(A:A,[1]TDSheet!$A:$P,16,0)</f>
        <v>0</v>
      </c>
      <c r="P101" s="17">
        <f>VLOOKUP(A:A,[1]TDSheet!$A:$Q,17,0)</f>
        <v>300</v>
      </c>
      <c r="Q101" s="17">
        <f>VLOOKUP(A:A,[1]TDSheet!$A:$S,19,0)</f>
        <v>240</v>
      </c>
      <c r="R101" s="17">
        <f t="shared" si="9"/>
        <v>39.197199999999995</v>
      </c>
      <c r="S101" s="20"/>
      <c r="T101" s="20"/>
      <c r="U101" s="17"/>
      <c r="V101" s="17">
        <f t="shared" si="10"/>
        <v>13.713556070331556</v>
      </c>
      <c r="W101" s="17">
        <f t="shared" si="11"/>
        <v>-6.2938169052891541E-2</v>
      </c>
      <c r="X101" s="17">
        <f>VLOOKUP(A:A,[1]TDSheet!$A:$X,24,0)</f>
        <v>33.325800000000001</v>
      </c>
      <c r="Y101" s="17">
        <f>VLOOKUP(A:A,[1]TDSheet!$A:$Y,25,0)</f>
        <v>26.247199999999999</v>
      </c>
      <c r="Z101" s="17">
        <f>VLOOKUP(A:A,[1]TDSheet!$A:$Z,26,0)</f>
        <v>31.838200000000001</v>
      </c>
      <c r="AA101" s="17">
        <f>VLOOKUP(A:A,[1]TDSheet!$A:$AA,27,0)</f>
        <v>41.034800000000004</v>
      </c>
      <c r="AB101" s="17" t="e">
        <f>VLOOKUP(A:A,[1]TDSheet!$A:$AB,28,0)</f>
        <v>#N/A</v>
      </c>
      <c r="AC101" s="17">
        <f t="shared" si="12"/>
        <v>0</v>
      </c>
      <c r="AD101" s="17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</row>
    <row r="102" spans="1:57" ht="21.9" customHeight="1" x14ac:dyDescent="0.25">
      <c r="A102" s="7" t="s">
        <v>102</v>
      </c>
      <c r="B102" s="7" t="s">
        <v>10</v>
      </c>
      <c r="C102" s="24">
        <v>171.91399999999999</v>
      </c>
      <c r="D102" s="24">
        <v>203.86600000000001</v>
      </c>
      <c r="E102" s="24">
        <v>305.56599999999997</v>
      </c>
      <c r="F102" s="24">
        <v>65.215000000000003</v>
      </c>
      <c r="G102" s="17" t="str">
        <f>VLOOKUP(A:A,[1]TDSheet!$A:$G,7,0)</f>
        <v>P005377</v>
      </c>
      <c r="H102" s="18">
        <f>VLOOKUP(A:A,[1]TDSheet!$A:$H,8,0)</f>
        <v>1</v>
      </c>
      <c r="I102" s="8" t="e">
        <f>VLOOKUP(A:A,[1]TDSheet!$A:$I,9,0)</f>
        <v>#N/A</v>
      </c>
      <c r="J102" s="8" t="e">
        <f>VLOOKUP(A:A,[1]TDSheet!$A:$J,10,0)</f>
        <v>#N/A</v>
      </c>
      <c r="K102" s="8"/>
      <c r="L102" s="8">
        <f>VLOOKUP(A:A,[2]TDSheet!$A:$B,2,0)</f>
        <v>308.16000000000003</v>
      </c>
      <c r="M102" s="17">
        <f t="shared" si="8"/>
        <v>-2.5940000000000509</v>
      </c>
      <c r="N102" s="17"/>
      <c r="O102" s="8">
        <f>VLOOKUP(A:A,[1]TDSheet!$A:$P,16,0)</f>
        <v>0</v>
      </c>
      <c r="P102" s="17">
        <f>VLOOKUP(A:A,[1]TDSheet!$A:$Q,17,0)</f>
        <v>300</v>
      </c>
      <c r="Q102" s="17">
        <f>VLOOKUP(A:A,[1]TDSheet!$A:$S,19,0)</f>
        <v>80</v>
      </c>
      <c r="R102" s="17">
        <f t="shared" si="9"/>
        <v>61.113199999999992</v>
      </c>
      <c r="S102" s="20">
        <f t="shared" si="13"/>
        <v>227.03019999999992</v>
      </c>
      <c r="T102" s="20"/>
      <c r="U102" s="17"/>
      <c r="V102" s="17">
        <f t="shared" si="10"/>
        <v>11</v>
      </c>
      <c r="W102" s="17">
        <f t="shared" si="11"/>
        <v>1.0671180694187183</v>
      </c>
      <c r="X102" s="17">
        <f>VLOOKUP(A:A,[1]TDSheet!$A:$X,24,0)</f>
        <v>0</v>
      </c>
      <c r="Y102" s="17">
        <f>VLOOKUP(A:A,[1]TDSheet!$A:$Y,25,0)</f>
        <v>18.970800000000001</v>
      </c>
      <c r="Z102" s="17">
        <f>VLOOKUP(A:A,[1]TDSheet!$A:$Z,26,0)</f>
        <v>20.991399999999999</v>
      </c>
      <c r="AA102" s="17">
        <f>VLOOKUP(A:A,[1]TDSheet!$A:$AA,27,0)</f>
        <v>41.221800000000002</v>
      </c>
      <c r="AB102" s="17" t="e">
        <f>VLOOKUP(A:A,[1]TDSheet!$A:$AB,28,0)</f>
        <v>#N/A</v>
      </c>
      <c r="AC102" s="17">
        <f t="shared" si="12"/>
        <v>227.03019999999992</v>
      </c>
      <c r="AD102" s="17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</row>
    <row r="103" spans="1:57" ht="11.15" customHeight="1" x14ac:dyDescent="0.25">
      <c r="A103" s="7" t="s">
        <v>103</v>
      </c>
      <c r="B103" s="7" t="s">
        <v>10</v>
      </c>
      <c r="C103" s="24">
        <v>194.74799999999999</v>
      </c>
      <c r="D103" s="24">
        <v>111.952</v>
      </c>
      <c r="E103" s="24">
        <v>301.49299999999999</v>
      </c>
      <c r="F103" s="24">
        <v>-2.4660000000000002</v>
      </c>
      <c r="G103" s="17" t="str">
        <f>VLOOKUP(A:A,[1]TDSheet!$A:$G,7,0)</f>
        <v>P005375</v>
      </c>
      <c r="H103" s="18">
        <f>VLOOKUP(A:A,[1]TDSheet!$A:$H,8,0)</f>
        <v>1</v>
      </c>
      <c r="I103" s="8">
        <f>VLOOKUP(A:A,[1]TDSheet!$A:$I,9,0)</f>
        <v>0</v>
      </c>
      <c r="J103" s="8" t="e">
        <f>VLOOKUP(A:A,[1]TDSheet!$A:$J,10,0)</f>
        <v>#N/A</v>
      </c>
      <c r="K103" s="8"/>
      <c r="L103" s="8">
        <f>VLOOKUP(A:A,[2]TDSheet!$A:$B,2,0)</f>
        <v>363.06</v>
      </c>
      <c r="M103" s="17">
        <f t="shared" si="8"/>
        <v>-61.567000000000007</v>
      </c>
      <c r="N103" s="17"/>
      <c r="O103" s="8">
        <f>VLOOKUP(A:A,[1]TDSheet!$A:$P,16,0)</f>
        <v>0</v>
      </c>
      <c r="P103" s="17">
        <f>VLOOKUP(A:A,[1]TDSheet!$A:$Q,17,0)</f>
        <v>380</v>
      </c>
      <c r="Q103" s="17">
        <f>VLOOKUP(A:A,[1]TDSheet!$A:$S,19,0)</f>
        <v>110</v>
      </c>
      <c r="R103" s="17">
        <f t="shared" si="9"/>
        <v>60.2986</v>
      </c>
      <c r="S103" s="20">
        <f t="shared" si="13"/>
        <v>175.75059999999996</v>
      </c>
      <c r="T103" s="29">
        <v>200</v>
      </c>
      <c r="U103" s="26" t="s">
        <v>141</v>
      </c>
      <c r="V103" s="17">
        <f t="shared" si="10"/>
        <v>11</v>
      </c>
      <c r="W103" s="17">
        <f t="shared" si="11"/>
        <v>-4.0896471891553043E-2</v>
      </c>
      <c r="X103" s="17">
        <f>VLOOKUP(A:A,[1]TDSheet!$A:$X,24,0)</f>
        <v>38.472799999999999</v>
      </c>
      <c r="Y103" s="17">
        <f>VLOOKUP(A:A,[1]TDSheet!$A:$Y,25,0)</f>
        <v>38.055599999999998</v>
      </c>
      <c r="Z103" s="17">
        <f>VLOOKUP(A:A,[1]TDSheet!$A:$Z,26,0)</f>
        <v>43.321600000000004</v>
      </c>
      <c r="AA103" s="17">
        <f>VLOOKUP(A:A,[1]TDSheet!$A:$AA,27,0)</f>
        <v>44.475000000000001</v>
      </c>
      <c r="AB103" s="17" t="e">
        <f>VLOOKUP(A:A,[1]TDSheet!$A:$AB,28,0)</f>
        <v>#N/A</v>
      </c>
      <c r="AC103" s="17">
        <f t="shared" si="12"/>
        <v>175.75059999999996</v>
      </c>
      <c r="AD103" s="17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</row>
    <row r="104" spans="1:57" ht="21.9" customHeight="1" x14ac:dyDescent="0.25">
      <c r="A104" s="7" t="s">
        <v>104</v>
      </c>
      <c r="B104" s="7" t="s">
        <v>14</v>
      </c>
      <c r="C104" s="24">
        <v>3</v>
      </c>
      <c r="D104" s="24">
        <v>128</v>
      </c>
      <c r="E104" s="24">
        <v>60</v>
      </c>
      <c r="F104" s="24">
        <v>66</v>
      </c>
      <c r="G104" s="17" t="str">
        <f>VLOOKUP(A:A,[1]TDSheet!$A:$G,7,0)</f>
        <v>P005163</v>
      </c>
      <c r="H104" s="18">
        <f>VLOOKUP(A:A,[1]TDSheet!$A:$H,8,0)</f>
        <v>0.28000000000000003</v>
      </c>
      <c r="I104" s="8">
        <f>VLOOKUP(A:A,[1]TDSheet!$A:$I,9,0)</f>
        <v>0</v>
      </c>
      <c r="J104" s="8" t="e">
        <f>VLOOKUP(A:A,[1]TDSheet!$A:$J,10,0)</f>
        <v>#N/A</v>
      </c>
      <c r="K104" s="8"/>
      <c r="L104" s="8">
        <f>VLOOKUP(A:A,[2]TDSheet!$A:$B,2,0)</f>
        <v>108</v>
      </c>
      <c r="M104" s="17">
        <f t="shared" si="8"/>
        <v>-48</v>
      </c>
      <c r="N104" s="17"/>
      <c r="O104" s="8">
        <f>VLOOKUP(A:A,[1]TDSheet!$A:$P,16,0)</f>
        <v>0</v>
      </c>
      <c r="P104" s="17">
        <f>VLOOKUP(A:A,[1]TDSheet!$A:$Q,17,0)</f>
        <v>400</v>
      </c>
      <c r="Q104" s="17">
        <f>VLOOKUP(A:A,[1]TDSheet!$A:$S,19,0)</f>
        <v>0</v>
      </c>
      <c r="R104" s="17">
        <f t="shared" si="9"/>
        <v>12</v>
      </c>
      <c r="S104" s="20"/>
      <c r="T104" s="20"/>
      <c r="U104" s="17"/>
      <c r="V104" s="17">
        <f t="shared" si="10"/>
        <v>38.833333333333336</v>
      </c>
      <c r="W104" s="17">
        <f t="shared" si="11"/>
        <v>5.5</v>
      </c>
      <c r="X104" s="17">
        <f>VLOOKUP(A:A,[1]TDSheet!$A:$X,24,0)</f>
        <v>51.4</v>
      </c>
      <c r="Y104" s="17">
        <f>VLOOKUP(A:A,[1]TDSheet!$A:$Y,25,0)</f>
        <v>47.4</v>
      </c>
      <c r="Z104" s="17">
        <f>VLOOKUP(A:A,[1]TDSheet!$A:$Z,26,0)</f>
        <v>35.4</v>
      </c>
      <c r="AA104" s="17">
        <f>VLOOKUP(A:A,[1]TDSheet!$A:$AA,27,0)</f>
        <v>46.2</v>
      </c>
      <c r="AB104" s="17" t="e">
        <f>VLOOKUP(A:A,[1]TDSheet!$A:$AB,28,0)</f>
        <v>#N/A</v>
      </c>
      <c r="AC104" s="17">
        <f t="shared" si="12"/>
        <v>0</v>
      </c>
      <c r="AD104" s="17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</row>
    <row r="105" spans="1:57" ht="21.9" customHeight="1" x14ac:dyDescent="0.25">
      <c r="A105" s="7" t="s">
        <v>105</v>
      </c>
      <c r="B105" s="7" t="s">
        <v>14</v>
      </c>
      <c r="C105" s="24">
        <v>52</v>
      </c>
      <c r="D105" s="24">
        <v>176</v>
      </c>
      <c r="E105" s="24">
        <v>171</v>
      </c>
      <c r="F105" s="24">
        <v>47</v>
      </c>
      <c r="G105" s="17" t="str">
        <f>VLOOKUP(A:A,[1]TDSheet!$A:$G,7,0)</f>
        <v>P005166</v>
      </c>
      <c r="H105" s="18">
        <f>VLOOKUP(A:A,[1]TDSheet!$A:$H,8,0)</f>
        <v>0.28000000000000003</v>
      </c>
      <c r="I105" s="8">
        <f>VLOOKUP(A:A,[1]TDSheet!$A:$I,9,0)</f>
        <v>0</v>
      </c>
      <c r="J105" s="8" t="e">
        <f>VLOOKUP(A:A,[1]TDSheet!$A:$J,10,0)</f>
        <v>#N/A</v>
      </c>
      <c r="K105" s="8"/>
      <c r="L105" s="8">
        <f>VLOOKUP(A:A,[2]TDSheet!$A:$B,2,0)</f>
        <v>210</v>
      </c>
      <c r="M105" s="17">
        <f t="shared" si="8"/>
        <v>-39</v>
      </c>
      <c r="N105" s="17"/>
      <c r="O105" s="8">
        <f>VLOOKUP(A:A,[1]TDSheet!$A:$P,16,0)</f>
        <v>0</v>
      </c>
      <c r="P105" s="17">
        <f>VLOOKUP(A:A,[1]TDSheet!$A:$Q,17,0)</f>
        <v>200</v>
      </c>
      <c r="Q105" s="17">
        <f>VLOOKUP(A:A,[1]TDSheet!$A:$S,19,0)</f>
        <v>200</v>
      </c>
      <c r="R105" s="17">
        <f t="shared" si="9"/>
        <v>34.200000000000003</v>
      </c>
      <c r="S105" s="20"/>
      <c r="T105" s="20"/>
      <c r="U105" s="17"/>
      <c r="V105" s="17">
        <f t="shared" si="10"/>
        <v>13.07017543859649</v>
      </c>
      <c r="W105" s="17">
        <f t="shared" si="11"/>
        <v>1.3742690058479532</v>
      </c>
      <c r="X105" s="17">
        <f>VLOOKUP(A:A,[1]TDSheet!$A:$X,24,0)</f>
        <v>39.799999999999997</v>
      </c>
      <c r="Y105" s="17">
        <f>VLOOKUP(A:A,[1]TDSheet!$A:$Y,25,0)</f>
        <v>35.799999999999997</v>
      </c>
      <c r="Z105" s="17">
        <f>VLOOKUP(A:A,[1]TDSheet!$A:$Z,26,0)</f>
        <v>29</v>
      </c>
      <c r="AA105" s="17">
        <f>VLOOKUP(A:A,[1]TDSheet!$A:$AA,27,0)</f>
        <v>36.799999999999997</v>
      </c>
      <c r="AB105" s="17" t="e">
        <f>VLOOKUP(A:A,[1]TDSheet!$A:$AB,28,0)</f>
        <v>#N/A</v>
      </c>
      <c r="AC105" s="17">
        <f t="shared" si="12"/>
        <v>0</v>
      </c>
      <c r="AD105" s="17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</row>
    <row r="106" spans="1:57" ht="21.9" customHeight="1" x14ac:dyDescent="0.25">
      <c r="A106" s="21" t="s">
        <v>106</v>
      </c>
      <c r="B106" s="21" t="s">
        <v>10</v>
      </c>
      <c r="C106" s="25">
        <v>101.319</v>
      </c>
      <c r="D106" s="25">
        <v>2.528</v>
      </c>
      <c r="E106" s="25">
        <v>17.492000000000001</v>
      </c>
      <c r="F106" s="25">
        <v>83.826999999999998</v>
      </c>
      <c r="G106" s="26" t="str">
        <f>VLOOKUP(A:A,[1]TDSheet!$A:$G,7,0)</f>
        <v>P005388</v>
      </c>
      <c r="H106" s="23">
        <f>VLOOKUP(A:A,[1]TDSheet!$A:$H,8,0)</f>
        <v>1</v>
      </c>
      <c r="I106" s="22">
        <f>VLOOKUP(A:A,[1]TDSheet!$A:$I,9,0)</f>
        <v>0</v>
      </c>
      <c r="J106" s="22" t="e">
        <f>VLOOKUP(A:A,[1]TDSheet!$A:$J,10,0)</f>
        <v>#N/A</v>
      </c>
      <c r="K106" s="8"/>
      <c r="L106" s="8">
        <f>VLOOKUP(A:A,[2]TDSheet!$A:$B,2,0)</f>
        <v>163.80000000000001</v>
      </c>
      <c r="M106" s="17">
        <f t="shared" si="8"/>
        <v>-146.30800000000002</v>
      </c>
      <c r="N106" s="17"/>
      <c r="O106" s="8">
        <f>VLOOKUP(A:A,[1]TDSheet!$A:$P,16,0)</f>
        <v>0</v>
      </c>
      <c r="P106" s="17">
        <f>VLOOKUP(A:A,[1]TDSheet!$A:$Q,17,0)</f>
        <v>100</v>
      </c>
      <c r="Q106" s="17">
        <f>VLOOKUP(A:A,[1]TDSheet!$A:$S,19,0)</f>
        <v>60</v>
      </c>
      <c r="R106" s="17">
        <f t="shared" si="9"/>
        <v>3.4984000000000002</v>
      </c>
      <c r="S106" s="20"/>
      <c r="T106" s="20"/>
      <c r="U106" s="17"/>
      <c r="V106" s="17">
        <f t="shared" si="10"/>
        <v>69.696718499885662</v>
      </c>
      <c r="W106" s="17">
        <f t="shared" si="11"/>
        <v>23.96152526869426</v>
      </c>
      <c r="X106" s="17">
        <f>VLOOKUP(A:A,[1]TDSheet!$A:$X,24,0)</f>
        <v>22.053999999999998</v>
      </c>
      <c r="Y106" s="17">
        <f>VLOOKUP(A:A,[1]TDSheet!$A:$Y,25,0)</f>
        <v>18.595199999999998</v>
      </c>
      <c r="Z106" s="17">
        <f>VLOOKUP(A:A,[1]TDSheet!$A:$Z,26,0)</f>
        <v>18.604199999999999</v>
      </c>
      <c r="AA106" s="17">
        <f>VLOOKUP(A:A,[1]TDSheet!$A:$AA,27,0)</f>
        <v>23.016399999999997</v>
      </c>
      <c r="AB106" s="17" t="e">
        <f>VLOOKUP(A:A,[1]TDSheet!$A:$AB,28,0)</f>
        <v>#N/A</v>
      </c>
      <c r="AC106" s="17">
        <f t="shared" si="12"/>
        <v>0</v>
      </c>
      <c r="AD106" s="17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</row>
    <row r="107" spans="1:57" ht="21.9" customHeight="1" x14ac:dyDescent="0.25">
      <c r="A107" s="7" t="s">
        <v>107</v>
      </c>
      <c r="B107" s="7" t="s">
        <v>10</v>
      </c>
      <c r="C107" s="24">
        <v>177.50299999999999</v>
      </c>
      <c r="D107" s="24">
        <v>7.5</v>
      </c>
      <c r="E107" s="24">
        <v>109.905</v>
      </c>
      <c r="F107" s="24">
        <v>67.597999999999999</v>
      </c>
      <c r="G107" s="17" t="str">
        <f>VLOOKUP(A:A,[1]TDSheet!$A:$G,7,0)</f>
        <v>P004675</v>
      </c>
      <c r="H107" s="18">
        <f>VLOOKUP(A:A,[1]TDSheet!$A:$H,8,0)</f>
        <v>1</v>
      </c>
      <c r="I107" s="8">
        <f>VLOOKUP(A:A,[1]TDSheet!$A:$I,9,0)</f>
        <v>0</v>
      </c>
      <c r="J107" s="8" t="e">
        <f>VLOOKUP(A:A,[1]TDSheet!$A:$J,10,0)</f>
        <v>#N/A</v>
      </c>
      <c r="K107" s="8"/>
      <c r="L107" s="8">
        <f>VLOOKUP(A:A,[2]TDSheet!$A:$B,2,0)</f>
        <v>112.5</v>
      </c>
      <c r="M107" s="17">
        <f t="shared" si="8"/>
        <v>-2.5949999999999989</v>
      </c>
      <c r="N107" s="17"/>
      <c r="O107" s="8">
        <f>VLOOKUP(A:A,[1]TDSheet!$A:$P,16,0)</f>
        <v>0</v>
      </c>
      <c r="P107" s="17">
        <f>VLOOKUP(A:A,[1]TDSheet!$A:$Q,17,0)</f>
        <v>0</v>
      </c>
      <c r="Q107" s="17">
        <f>VLOOKUP(A:A,[1]TDSheet!$A:$S,19,0)</f>
        <v>0</v>
      </c>
      <c r="R107" s="17">
        <f t="shared" si="9"/>
        <v>21.981000000000002</v>
      </c>
      <c r="S107" s="20">
        <f t="shared" si="13"/>
        <v>174.19300000000004</v>
      </c>
      <c r="T107" s="20"/>
      <c r="U107" s="17"/>
      <c r="V107" s="17">
        <f t="shared" si="10"/>
        <v>11.000000000000002</v>
      </c>
      <c r="W107" s="17">
        <f t="shared" si="11"/>
        <v>3.0752922978936352</v>
      </c>
      <c r="X107" s="17">
        <f>VLOOKUP(A:A,[1]TDSheet!$A:$X,24,0)</f>
        <v>13.941999999999998</v>
      </c>
      <c r="Y107" s="17">
        <f>VLOOKUP(A:A,[1]TDSheet!$A:$Y,25,0)</f>
        <v>17.496600000000001</v>
      </c>
      <c r="Z107" s="17">
        <f>VLOOKUP(A:A,[1]TDSheet!$A:$Z,26,0)</f>
        <v>14.0106</v>
      </c>
      <c r="AA107" s="17">
        <f>VLOOKUP(A:A,[1]TDSheet!$A:$AA,27,0)</f>
        <v>8.9923999999999999</v>
      </c>
      <c r="AB107" s="17" t="e">
        <f>VLOOKUP(A:A,[1]TDSheet!$A:$AB,28,0)</f>
        <v>#N/A</v>
      </c>
      <c r="AC107" s="17">
        <f t="shared" si="12"/>
        <v>174.19300000000004</v>
      </c>
      <c r="AD107" s="17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</row>
    <row r="108" spans="1:57" ht="11.15" customHeight="1" x14ac:dyDescent="0.25">
      <c r="A108" s="7" t="s">
        <v>108</v>
      </c>
      <c r="B108" s="7" t="s">
        <v>10</v>
      </c>
      <c r="C108" s="24">
        <v>-2.4420000000000002</v>
      </c>
      <c r="D108" s="24"/>
      <c r="E108" s="24">
        <v>0</v>
      </c>
      <c r="F108" s="24">
        <v>-2.4420000000000002</v>
      </c>
      <c r="G108" s="17">
        <f>VLOOKUP(A:A,[1]TDSheet!$A:$G,7,0)</f>
        <v>0</v>
      </c>
      <c r="H108" s="18">
        <f>VLOOKUP(A:A,[1]TDSheet!$A:$H,8,0)</f>
        <v>0</v>
      </c>
      <c r="I108" s="8">
        <f>VLOOKUP(A:A,[1]TDSheet!$A:$I,9,0)</f>
        <v>0</v>
      </c>
      <c r="J108" s="8">
        <f>VLOOKUP(A:A,[1]TDSheet!$A:$J,10,0)</f>
        <v>0</v>
      </c>
      <c r="K108" s="8"/>
      <c r="L108" s="8">
        <f>VLOOKUP(A:A,[2]TDSheet!$A:$B,2,0)</f>
        <v>12.6</v>
      </c>
      <c r="M108" s="17">
        <f t="shared" si="8"/>
        <v>-12.6</v>
      </c>
      <c r="N108" s="17"/>
      <c r="O108" s="8">
        <f>VLOOKUP(A:A,[1]TDSheet!$A:$P,16,0)</f>
        <v>0</v>
      </c>
      <c r="P108" s="17">
        <f>VLOOKUP(A:A,[1]TDSheet!$A:$Q,17,0)</f>
        <v>100</v>
      </c>
      <c r="Q108" s="17">
        <f>VLOOKUP(A:A,[1]TDSheet!$A:$S,19,0)</f>
        <v>190</v>
      </c>
      <c r="R108" s="17">
        <f t="shared" si="9"/>
        <v>0</v>
      </c>
      <c r="S108" s="20"/>
      <c r="T108" s="20"/>
      <c r="U108" s="17"/>
      <c r="V108" s="17" t="e">
        <f t="shared" si="10"/>
        <v>#DIV/0!</v>
      </c>
      <c r="W108" s="17" t="e">
        <f t="shared" si="11"/>
        <v>#DIV/0!</v>
      </c>
      <c r="X108" s="17">
        <f>VLOOKUP(A:A,[1]TDSheet!$A:$X,24,0)</f>
        <v>0</v>
      </c>
      <c r="Y108" s="17">
        <f>VLOOKUP(A:A,[1]TDSheet!$A:$Y,25,0)</f>
        <v>11.8384</v>
      </c>
      <c r="Z108" s="17">
        <f>VLOOKUP(A:A,[1]TDSheet!$A:$Z,26,0)</f>
        <v>23.990600000000001</v>
      </c>
      <c r="AA108" s="17">
        <f>VLOOKUP(A:A,[1]TDSheet!$A:$AA,27,0)</f>
        <v>12.7134</v>
      </c>
      <c r="AB108" s="17">
        <f>VLOOKUP(A:A,[1]TDSheet!$A:$AB,28,0)</f>
        <v>0</v>
      </c>
      <c r="AC108" s="17">
        <f t="shared" si="12"/>
        <v>0</v>
      </c>
      <c r="AD108" s="17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</row>
    <row r="109" spans="1:57" ht="11.15" customHeight="1" x14ac:dyDescent="0.25">
      <c r="A109" s="7" t="s">
        <v>109</v>
      </c>
      <c r="B109" s="7" t="s">
        <v>10</v>
      </c>
      <c r="C109" s="24">
        <v>112.629</v>
      </c>
      <c r="D109" s="24">
        <v>132.90600000000001</v>
      </c>
      <c r="E109" s="24">
        <v>213.74600000000001</v>
      </c>
      <c r="F109" s="24">
        <v>30.439</v>
      </c>
      <c r="G109" s="17" t="str">
        <f>VLOOKUP(A:A,[1]TDSheet!$A:$G,7,0)</f>
        <v>P005361</v>
      </c>
      <c r="H109" s="18">
        <f>VLOOKUP(A:A,[1]TDSheet!$A:$H,8,0)</f>
        <v>1</v>
      </c>
      <c r="I109" s="8">
        <f>VLOOKUP(A:A,[1]TDSheet!$A:$I,9,0)</f>
        <v>0</v>
      </c>
      <c r="J109" s="8" t="e">
        <f>VLOOKUP(A:A,[1]TDSheet!$A:$J,10,0)</f>
        <v>#N/A</v>
      </c>
      <c r="K109" s="8"/>
      <c r="L109" s="8">
        <f>VLOOKUP(A:A,[2]TDSheet!$A:$B,2,0)</f>
        <v>207.3</v>
      </c>
      <c r="M109" s="17">
        <f t="shared" si="8"/>
        <v>6.445999999999998</v>
      </c>
      <c r="N109" s="17"/>
      <c r="O109" s="8">
        <f>VLOOKUP(A:A,[1]TDSheet!$A:$P,16,0)</f>
        <v>0</v>
      </c>
      <c r="P109" s="17">
        <f>VLOOKUP(A:A,[1]TDSheet!$A:$Q,17,0)</f>
        <v>80</v>
      </c>
      <c r="Q109" s="17">
        <f>VLOOKUP(A:A,[1]TDSheet!$A:$S,19,0)</f>
        <v>200</v>
      </c>
      <c r="R109" s="17">
        <f t="shared" si="9"/>
        <v>42.749200000000002</v>
      </c>
      <c r="S109" s="20">
        <f t="shared" si="13"/>
        <v>159.80220000000003</v>
      </c>
      <c r="T109" s="20"/>
      <c r="U109" s="17"/>
      <c r="V109" s="17">
        <f t="shared" si="10"/>
        <v>11</v>
      </c>
      <c r="W109" s="17">
        <f t="shared" si="11"/>
        <v>0.71203671647656563</v>
      </c>
      <c r="X109" s="17">
        <f>VLOOKUP(A:A,[1]TDSheet!$A:$X,24,0)</f>
        <v>0</v>
      </c>
      <c r="Y109" s="17">
        <f>VLOOKUP(A:A,[1]TDSheet!$A:$Y,25,0)</f>
        <v>8.9771999999999998</v>
      </c>
      <c r="Z109" s="17">
        <f>VLOOKUP(A:A,[1]TDSheet!$A:$Z,26,0)</f>
        <v>23.665399999999998</v>
      </c>
      <c r="AA109" s="17">
        <f>VLOOKUP(A:A,[1]TDSheet!$A:$AA,27,0)</f>
        <v>29.668400000000002</v>
      </c>
      <c r="AB109" s="17" t="e">
        <f>VLOOKUP(A:A,[1]TDSheet!$A:$AB,28,0)</f>
        <v>#N/A</v>
      </c>
      <c r="AC109" s="17">
        <f t="shared" si="12"/>
        <v>159.80220000000003</v>
      </c>
      <c r="AD109" s="17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</row>
    <row r="110" spans="1:57" ht="11.15" customHeight="1" x14ac:dyDescent="0.25">
      <c r="A110" s="7" t="s">
        <v>110</v>
      </c>
      <c r="B110" s="7" t="s">
        <v>10</v>
      </c>
      <c r="C110" s="24">
        <v>29.739000000000001</v>
      </c>
      <c r="D110" s="24"/>
      <c r="E110" s="24">
        <v>29.748000000000001</v>
      </c>
      <c r="F110" s="24">
        <v>-8.9999999999999993E-3</v>
      </c>
      <c r="G110" s="17" t="str">
        <f>VLOOKUP(A:A,[1]TDSheet!$A:$G,7,0)</f>
        <v>P005363</v>
      </c>
      <c r="H110" s="18">
        <f>VLOOKUP(A:A,[1]TDSheet!$A:$H,8,0)</f>
        <v>1</v>
      </c>
      <c r="I110" s="8">
        <f>VLOOKUP(A:A,[1]TDSheet!$A:$I,9,0)</f>
        <v>0</v>
      </c>
      <c r="J110" s="8" t="e">
        <f>VLOOKUP(A:A,[1]TDSheet!$A:$J,10,0)</f>
        <v>#N/A</v>
      </c>
      <c r="K110" s="8"/>
      <c r="L110" s="8">
        <f>VLOOKUP(A:A,[2]TDSheet!$A:$B,2,0)</f>
        <v>33.9</v>
      </c>
      <c r="M110" s="17">
        <f t="shared" si="8"/>
        <v>-4.1519999999999975</v>
      </c>
      <c r="N110" s="17"/>
      <c r="O110" s="8">
        <f>VLOOKUP(A:A,[1]TDSheet!$A:$P,16,0)</f>
        <v>0</v>
      </c>
      <c r="P110" s="17">
        <f>VLOOKUP(A:A,[1]TDSheet!$A:$Q,17,0)</f>
        <v>60</v>
      </c>
      <c r="Q110" s="17">
        <f>VLOOKUP(A:A,[1]TDSheet!$A:$S,19,0)</f>
        <v>60</v>
      </c>
      <c r="R110" s="17">
        <f t="shared" si="9"/>
        <v>5.9496000000000002</v>
      </c>
      <c r="S110" s="20"/>
      <c r="T110" s="20"/>
      <c r="U110" s="17"/>
      <c r="V110" s="17">
        <f t="shared" si="10"/>
        <v>20.167910447761194</v>
      </c>
      <c r="W110" s="17">
        <f t="shared" si="11"/>
        <v>-1.5127067365873334E-3</v>
      </c>
      <c r="X110" s="17">
        <f>VLOOKUP(A:A,[1]TDSheet!$A:$X,24,0)</f>
        <v>4.8860000000000001</v>
      </c>
      <c r="Y110" s="17">
        <f>VLOOKUP(A:A,[1]TDSheet!$A:$Y,25,0)</f>
        <v>4.05</v>
      </c>
      <c r="Z110" s="17">
        <f>VLOOKUP(A:A,[1]TDSheet!$A:$Z,26,0)</f>
        <v>7.8569999999999993</v>
      </c>
      <c r="AA110" s="17">
        <f>VLOOKUP(A:A,[1]TDSheet!$A:$AA,27,0)</f>
        <v>7.8940000000000001</v>
      </c>
      <c r="AB110" s="17" t="e">
        <f>VLOOKUP(A:A,[1]TDSheet!$A:$AB,28,0)</f>
        <v>#N/A</v>
      </c>
      <c r="AC110" s="17">
        <f t="shared" si="12"/>
        <v>0</v>
      </c>
      <c r="AD110" s="17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</row>
    <row r="111" spans="1:57" ht="21.9" customHeight="1" x14ac:dyDescent="0.25">
      <c r="A111" s="7" t="s">
        <v>111</v>
      </c>
      <c r="B111" s="7" t="s">
        <v>14</v>
      </c>
      <c r="C111" s="24">
        <v>1</v>
      </c>
      <c r="D111" s="24">
        <v>195</v>
      </c>
      <c r="E111" s="24">
        <v>145</v>
      </c>
      <c r="F111" s="24">
        <v>43</v>
      </c>
      <c r="G111" s="17" t="str">
        <f>VLOOKUP(A:A,[1]TDSheet!$A:$G,7,0)</f>
        <v>P003386</v>
      </c>
      <c r="H111" s="18">
        <f>VLOOKUP(A:A,[1]TDSheet!$A:$H,8,0)</f>
        <v>0.3</v>
      </c>
      <c r="I111" s="8">
        <f>VLOOKUP(A:A,[1]TDSheet!$A:$I,9,0)</f>
        <v>40</v>
      </c>
      <c r="J111" s="8" t="str">
        <f>VLOOKUP(A:A,[1]TDSheet!$A:$J,10,0)</f>
        <v>матрица</v>
      </c>
      <c r="K111" s="8"/>
      <c r="L111" s="8">
        <f>VLOOKUP(A:A,[2]TDSheet!$A:$B,2,0)</f>
        <v>267</v>
      </c>
      <c r="M111" s="17">
        <f t="shared" si="8"/>
        <v>-122</v>
      </c>
      <c r="N111" s="17"/>
      <c r="O111" s="8">
        <f>VLOOKUP(A:A,[1]TDSheet!$A:$P,16,0)</f>
        <v>0</v>
      </c>
      <c r="P111" s="17">
        <f>VLOOKUP(A:A,[1]TDSheet!$A:$Q,17,0)</f>
        <v>360</v>
      </c>
      <c r="Q111" s="17">
        <f>VLOOKUP(A:A,[1]TDSheet!$A:$S,19,0)</f>
        <v>0</v>
      </c>
      <c r="R111" s="17">
        <f t="shared" si="9"/>
        <v>29</v>
      </c>
      <c r="S111" s="20"/>
      <c r="T111" s="20"/>
      <c r="U111" s="17"/>
      <c r="V111" s="17">
        <f t="shared" si="10"/>
        <v>13.896551724137931</v>
      </c>
      <c r="W111" s="17">
        <f t="shared" si="11"/>
        <v>1.4827586206896552</v>
      </c>
      <c r="X111" s="17">
        <f>VLOOKUP(A:A,[1]TDSheet!$A:$X,24,0)</f>
        <v>36.6</v>
      </c>
      <c r="Y111" s="17">
        <f>VLOOKUP(A:A,[1]TDSheet!$A:$Y,25,0)</f>
        <v>36.200000000000003</v>
      </c>
      <c r="Z111" s="17">
        <f>VLOOKUP(A:A,[1]TDSheet!$A:$Z,26,0)</f>
        <v>31.6</v>
      </c>
      <c r="AA111" s="17">
        <f>VLOOKUP(A:A,[1]TDSheet!$A:$AA,27,0)</f>
        <v>50.2</v>
      </c>
      <c r="AB111" s="17">
        <f>VLOOKUP(A:A,[1]TDSheet!$A:$AB,28,0)</f>
        <v>0</v>
      </c>
      <c r="AC111" s="17">
        <f t="shared" si="12"/>
        <v>0</v>
      </c>
      <c r="AD111" s="17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</row>
    <row r="112" spans="1:57" ht="11.15" customHeight="1" x14ac:dyDescent="0.25">
      <c r="A112" s="21" t="s">
        <v>112</v>
      </c>
      <c r="B112" s="21" t="s">
        <v>14</v>
      </c>
      <c r="C112" s="25">
        <v>162</v>
      </c>
      <c r="D112" s="25">
        <v>35</v>
      </c>
      <c r="E112" s="25">
        <v>14</v>
      </c>
      <c r="F112" s="25">
        <v>162</v>
      </c>
      <c r="G112" s="26" t="str">
        <f>VLOOKUP(A:A,[1]TDSheet!$A:$G,7,0)</f>
        <v>P003385</v>
      </c>
      <c r="H112" s="23">
        <f>VLOOKUP(A:A,[1]TDSheet!$A:$H,8,0)</f>
        <v>0.3</v>
      </c>
      <c r="I112" s="22">
        <f>VLOOKUP(A:A,[1]TDSheet!$A:$I,9,0)</f>
        <v>40</v>
      </c>
      <c r="J112" s="22" t="str">
        <f>VLOOKUP(A:A,[1]TDSheet!$A:$J,10,0)</f>
        <v>матрица</v>
      </c>
      <c r="K112" s="8"/>
      <c r="L112" s="8">
        <f>VLOOKUP(A:A,[2]TDSheet!$A:$B,2,0)</f>
        <v>299</v>
      </c>
      <c r="M112" s="17">
        <f t="shared" si="8"/>
        <v>-285</v>
      </c>
      <c r="N112" s="17"/>
      <c r="O112" s="8">
        <f>VLOOKUP(A:A,[1]TDSheet!$A:$P,16,0)</f>
        <v>0</v>
      </c>
      <c r="P112" s="17">
        <f>VLOOKUP(A:A,[1]TDSheet!$A:$Q,17,0)</f>
        <v>40</v>
      </c>
      <c r="Q112" s="17">
        <f>VLOOKUP(A:A,[1]TDSheet!$A:$S,19,0)</f>
        <v>0</v>
      </c>
      <c r="R112" s="17">
        <f t="shared" si="9"/>
        <v>2.8</v>
      </c>
      <c r="S112" s="20"/>
      <c r="T112" s="20"/>
      <c r="U112" s="17"/>
      <c r="V112" s="17">
        <f t="shared" si="10"/>
        <v>72.142857142857153</v>
      </c>
      <c r="W112" s="17">
        <f t="shared" si="11"/>
        <v>57.857142857142861</v>
      </c>
      <c r="X112" s="17">
        <f>VLOOKUP(A:A,[1]TDSheet!$A:$X,24,0)</f>
        <v>15.2</v>
      </c>
      <c r="Y112" s="17">
        <f>VLOOKUP(A:A,[1]TDSheet!$A:$Y,25,0)</f>
        <v>29</v>
      </c>
      <c r="Z112" s="17">
        <f>VLOOKUP(A:A,[1]TDSheet!$A:$Z,26,0)</f>
        <v>27.2</v>
      </c>
      <c r="AA112" s="17">
        <f>VLOOKUP(A:A,[1]TDSheet!$A:$AA,27,0)</f>
        <v>20.399999999999999</v>
      </c>
      <c r="AB112" s="17" t="str">
        <f>VLOOKUP(A:A,[1]TDSheet!$A:$AB,28,0)</f>
        <v>23,01,25 в уценку 70шт.</v>
      </c>
      <c r="AC112" s="17">
        <f t="shared" si="12"/>
        <v>0</v>
      </c>
      <c r="AD112" s="17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</row>
    <row r="113" spans="1:57" ht="11.15" customHeight="1" x14ac:dyDescent="0.25">
      <c r="A113" s="7" t="s">
        <v>113</v>
      </c>
      <c r="B113" s="7" t="s">
        <v>10</v>
      </c>
      <c r="C113" s="24">
        <v>-6.9000000000000006E-2</v>
      </c>
      <c r="D113" s="24">
        <v>11.97</v>
      </c>
      <c r="E113" s="24">
        <v>10.6</v>
      </c>
      <c r="F113" s="24">
        <v>-7.9000000000000001E-2</v>
      </c>
      <c r="G113" s="17" t="str">
        <f>VLOOKUP(A:A,[1]TDSheet!$A:$G,7,0)</f>
        <v>P004621</v>
      </c>
      <c r="H113" s="18">
        <f>VLOOKUP(A:A,[1]TDSheet!$A:$H,8,0)</f>
        <v>1</v>
      </c>
      <c r="I113" s="8">
        <f>VLOOKUP(A:A,[1]TDSheet!$A:$I,9,0)</f>
        <v>50</v>
      </c>
      <c r="J113" s="8" t="str">
        <f>VLOOKUP(A:A,[1]TDSheet!$A:$J,10,0)</f>
        <v>матрица</v>
      </c>
      <c r="K113" s="8"/>
      <c r="L113" s="8">
        <f>VLOOKUP(A:A,[2]TDSheet!$A:$B,2,0)</f>
        <v>13.1</v>
      </c>
      <c r="M113" s="17">
        <f t="shared" si="8"/>
        <v>-2.5</v>
      </c>
      <c r="N113" s="17"/>
      <c r="O113" s="8">
        <f>VLOOKUP(A:A,[1]TDSheet!$A:$P,16,0)</f>
        <v>0</v>
      </c>
      <c r="P113" s="17">
        <f>VLOOKUP(A:A,[1]TDSheet!$A:$Q,17,0)</f>
        <v>30</v>
      </c>
      <c r="Q113" s="17">
        <f>VLOOKUP(A:A,[1]TDSheet!$A:$S,19,0)</f>
        <v>0</v>
      </c>
      <c r="R113" s="17">
        <f t="shared" si="9"/>
        <v>2.12</v>
      </c>
      <c r="S113" s="20"/>
      <c r="T113" s="20"/>
      <c r="U113" s="17"/>
      <c r="V113" s="17">
        <f t="shared" si="10"/>
        <v>14.113679245283018</v>
      </c>
      <c r="W113" s="17">
        <f t="shared" si="11"/>
        <v>-3.7264150943396225E-2</v>
      </c>
      <c r="X113" s="17">
        <f>VLOOKUP(A:A,[1]TDSheet!$A:$X,24,0)</f>
        <v>3.3012000000000001</v>
      </c>
      <c r="Y113" s="17">
        <f>VLOOKUP(A:A,[1]TDSheet!$A:$Y,25,0)</f>
        <v>1.1103999999999998</v>
      </c>
      <c r="Z113" s="17">
        <f>VLOOKUP(A:A,[1]TDSheet!$A:$Z,26,0)</f>
        <v>2.4927999999999999</v>
      </c>
      <c r="AA113" s="17">
        <f>VLOOKUP(A:A,[1]TDSheet!$A:$AA,27,0)</f>
        <v>3.0232000000000001</v>
      </c>
      <c r="AB113" s="17">
        <f>VLOOKUP(A:A,[1]TDSheet!$A:$AB,28,0)</f>
        <v>0</v>
      </c>
      <c r="AC113" s="17">
        <f t="shared" si="12"/>
        <v>0</v>
      </c>
      <c r="AD113" s="17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</row>
    <row r="114" spans="1:57" ht="11.15" customHeight="1" x14ac:dyDescent="0.25">
      <c r="A114" s="7" t="s">
        <v>114</v>
      </c>
      <c r="B114" s="7" t="s">
        <v>14</v>
      </c>
      <c r="C114" s="27"/>
      <c r="D114" s="24">
        <v>88</v>
      </c>
      <c r="E114" s="24">
        <v>83</v>
      </c>
      <c r="F114" s="24"/>
      <c r="G114" s="17" t="str">
        <f>VLOOKUP(A:A,[1]TDSheet!$A:$G,7,0)</f>
        <v>P004890</v>
      </c>
      <c r="H114" s="18">
        <f>VLOOKUP(A:A,[1]TDSheet!$A:$H,8,0)</f>
        <v>0.3</v>
      </c>
      <c r="I114" s="8">
        <f>VLOOKUP(A:A,[1]TDSheet!$A:$I,9,0)</f>
        <v>40</v>
      </c>
      <c r="J114" s="8" t="str">
        <f>VLOOKUP(A:A,[1]TDSheet!$A:$J,10,0)</f>
        <v>матрица</v>
      </c>
      <c r="K114" s="8"/>
      <c r="L114" s="8">
        <f>VLOOKUP(A:A,[2]TDSheet!$A:$B,2,0)</f>
        <v>136</v>
      </c>
      <c r="M114" s="17">
        <f t="shared" si="8"/>
        <v>-53</v>
      </c>
      <c r="N114" s="17"/>
      <c r="O114" s="8">
        <f>VLOOKUP(A:A,[1]TDSheet!$A:$P,16,0)</f>
        <v>0</v>
      </c>
      <c r="P114" s="17">
        <f>VLOOKUP(A:A,[1]TDSheet!$A:$Q,17,0)</f>
        <v>150</v>
      </c>
      <c r="Q114" s="17">
        <f>VLOOKUP(A:A,[1]TDSheet!$A:$S,19,0)</f>
        <v>0</v>
      </c>
      <c r="R114" s="17">
        <f t="shared" si="9"/>
        <v>16.600000000000001</v>
      </c>
      <c r="S114" s="20"/>
      <c r="T114" s="20"/>
      <c r="U114" s="17"/>
      <c r="V114" s="17">
        <f t="shared" si="10"/>
        <v>9.0361445783132517</v>
      </c>
      <c r="W114" s="17">
        <f t="shared" si="11"/>
        <v>0</v>
      </c>
      <c r="X114" s="17">
        <f>VLOOKUP(A:A,[1]TDSheet!$A:$X,24,0)</f>
        <v>17.399999999999999</v>
      </c>
      <c r="Y114" s="17">
        <f>VLOOKUP(A:A,[1]TDSheet!$A:$Y,25,0)</f>
        <v>18.399999999999999</v>
      </c>
      <c r="Z114" s="17">
        <f>VLOOKUP(A:A,[1]TDSheet!$A:$Z,26,0)</f>
        <v>15.4</v>
      </c>
      <c r="AA114" s="17">
        <f>VLOOKUP(A:A,[1]TDSheet!$A:$AA,27,0)</f>
        <v>16</v>
      </c>
      <c r="AB114" s="17">
        <f>VLOOKUP(A:A,[1]TDSheet!$A:$AB,28,0)</f>
        <v>0</v>
      </c>
      <c r="AC114" s="17">
        <f t="shared" si="12"/>
        <v>0</v>
      </c>
      <c r="AD114" s="17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</row>
    <row r="115" spans="1:57" ht="11.15" customHeight="1" x14ac:dyDescent="0.25">
      <c r="A115" s="7" t="s">
        <v>115</v>
      </c>
      <c r="B115" s="7" t="s">
        <v>14</v>
      </c>
      <c r="C115" s="24">
        <v>12</v>
      </c>
      <c r="D115" s="24"/>
      <c r="E115" s="24">
        <v>9</v>
      </c>
      <c r="F115" s="24">
        <v>1</v>
      </c>
      <c r="G115" s="17" t="str">
        <f>VLOOKUP(A:A,[1]TDSheet!$A:$G,7,0)</f>
        <v>P005060</v>
      </c>
      <c r="H115" s="18">
        <f>VLOOKUP(A:A,[1]TDSheet!$A:$H,8,0)</f>
        <v>0.12</v>
      </c>
      <c r="I115" s="8">
        <f>VLOOKUP(A:A,[1]TDSheet!$A:$I,9,0)</f>
        <v>45</v>
      </c>
      <c r="J115" s="8" t="str">
        <f>VLOOKUP(A:A,[1]TDSheet!$A:$J,10,0)</f>
        <v>матрица</v>
      </c>
      <c r="K115" s="8"/>
      <c r="L115" s="8">
        <f>VLOOKUP(A:A,[2]TDSheet!$A:$B,2,0)</f>
        <v>60</v>
      </c>
      <c r="M115" s="17">
        <f t="shared" si="8"/>
        <v>-51</v>
      </c>
      <c r="N115" s="17"/>
      <c r="O115" s="8">
        <f>VLOOKUP(A:A,[1]TDSheet!$A:$P,16,0)</f>
        <v>0</v>
      </c>
      <c r="P115" s="17">
        <f>VLOOKUP(A:A,[1]TDSheet!$A:$Q,17,0)</f>
        <v>70</v>
      </c>
      <c r="Q115" s="17">
        <f>VLOOKUP(A:A,[1]TDSheet!$A:$S,19,0)</f>
        <v>0</v>
      </c>
      <c r="R115" s="17">
        <f t="shared" si="9"/>
        <v>1.8</v>
      </c>
      <c r="S115" s="20"/>
      <c r="T115" s="20"/>
      <c r="U115" s="17"/>
      <c r="V115" s="17">
        <f t="shared" si="10"/>
        <v>39.444444444444443</v>
      </c>
      <c r="W115" s="17">
        <f t="shared" si="11"/>
        <v>0.55555555555555558</v>
      </c>
      <c r="X115" s="17">
        <f>VLOOKUP(A:A,[1]TDSheet!$A:$X,24,0)</f>
        <v>10</v>
      </c>
      <c r="Y115" s="17">
        <f>VLOOKUP(A:A,[1]TDSheet!$A:$Y,25,0)</f>
        <v>5</v>
      </c>
      <c r="Z115" s="17">
        <f>VLOOKUP(A:A,[1]TDSheet!$A:$Z,26,0)</f>
        <v>2.8</v>
      </c>
      <c r="AA115" s="17">
        <f>VLOOKUP(A:A,[1]TDSheet!$A:$AA,27,0)</f>
        <v>7.6</v>
      </c>
      <c r="AB115" s="17">
        <f>VLOOKUP(A:A,[1]TDSheet!$A:$AB,28,0)</f>
        <v>0</v>
      </c>
      <c r="AC115" s="17">
        <f t="shared" si="12"/>
        <v>0</v>
      </c>
      <c r="AD115" s="17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</row>
    <row r="116" spans="1:57" ht="11.4" customHeight="1" x14ac:dyDescent="0.2">
      <c r="C116" s="28"/>
      <c r="D116" s="28"/>
      <c r="E116" s="28"/>
      <c r="F116" s="28"/>
      <c r="G116" s="17"/>
      <c r="H116" s="8"/>
      <c r="I116" s="8"/>
      <c r="J116" s="8"/>
      <c r="K116" s="8"/>
      <c r="L116" s="8"/>
      <c r="M116" s="17"/>
      <c r="N116" s="1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</row>
    <row r="117" spans="1:57" ht="11.4" customHeight="1" x14ac:dyDescent="0.2">
      <c r="C117" s="28"/>
      <c r="D117" s="28"/>
      <c r="E117" s="28"/>
      <c r="F117" s="28"/>
      <c r="G117" s="17"/>
      <c r="H117" s="8"/>
      <c r="I117" s="8"/>
      <c r="J117" s="8"/>
      <c r="K117" s="8"/>
      <c r="L117" s="8"/>
      <c r="M117" s="17"/>
      <c r="N117" s="1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</row>
    <row r="118" spans="1:57" ht="11.4" customHeight="1" x14ac:dyDescent="0.2">
      <c r="C118" s="28"/>
      <c r="D118" s="28"/>
      <c r="E118" s="28"/>
      <c r="F118" s="28"/>
      <c r="G118" s="1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</row>
    <row r="119" spans="1:57" ht="11.4" customHeight="1" x14ac:dyDescent="0.2">
      <c r="C119" s="28"/>
      <c r="D119" s="28"/>
      <c r="E119" s="28"/>
      <c r="F119" s="28"/>
      <c r="G119" s="1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</row>
    <row r="120" spans="1:57" ht="11.4" customHeight="1" x14ac:dyDescent="0.2">
      <c r="C120" s="28"/>
      <c r="D120" s="28"/>
      <c r="E120" s="28"/>
      <c r="F120" s="28"/>
      <c r="G120" s="1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</row>
    <row r="121" spans="1:57" ht="11.4" customHeight="1" x14ac:dyDescent="0.2">
      <c r="C121" s="28"/>
      <c r="D121" s="28"/>
      <c r="E121" s="28"/>
      <c r="F121" s="28"/>
      <c r="G121" s="1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</row>
    <row r="122" spans="1:57" ht="11.4" customHeight="1" x14ac:dyDescent="0.2">
      <c r="C122" s="28"/>
      <c r="D122" s="28"/>
      <c r="E122" s="28"/>
      <c r="F122" s="28"/>
      <c r="G122" s="1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</row>
    <row r="123" spans="1:57" ht="11.4" customHeight="1" x14ac:dyDescent="0.2">
      <c r="C123" s="28"/>
      <c r="D123" s="28"/>
      <c r="E123" s="28"/>
      <c r="F123" s="28"/>
      <c r="G123" s="1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</row>
    <row r="124" spans="1:57" ht="11.4" customHeight="1" x14ac:dyDescent="0.2">
      <c r="C124" s="28"/>
      <c r="D124" s="28"/>
      <c r="E124" s="28"/>
      <c r="F124" s="28"/>
      <c r="G124" s="1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</row>
    <row r="125" spans="1:57" ht="11.4" customHeight="1" x14ac:dyDescent="0.2">
      <c r="C125" s="28"/>
      <c r="D125" s="28"/>
      <c r="E125" s="28"/>
      <c r="F125" s="28"/>
      <c r="G125" s="1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</row>
    <row r="126" spans="1:57" ht="11.4" customHeight="1" x14ac:dyDescent="0.2">
      <c r="C126" s="28"/>
      <c r="D126" s="28"/>
      <c r="E126" s="28"/>
      <c r="F126" s="28"/>
      <c r="G126" s="1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</row>
    <row r="127" spans="1:57" ht="11.4" customHeight="1" x14ac:dyDescent="0.2">
      <c r="C127" s="28"/>
      <c r="D127" s="28"/>
      <c r="E127" s="28"/>
      <c r="F127" s="28"/>
      <c r="G127" s="1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</row>
    <row r="128" spans="1:57" ht="11.4" customHeight="1" x14ac:dyDescent="0.2">
      <c r="C128" s="28"/>
      <c r="D128" s="28"/>
      <c r="E128" s="28"/>
      <c r="F128" s="28"/>
      <c r="G128" s="1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</row>
    <row r="129" spans="3:57" ht="11.4" customHeight="1" x14ac:dyDescent="0.2">
      <c r="C129" s="28"/>
      <c r="D129" s="28"/>
      <c r="E129" s="28"/>
      <c r="F129" s="28"/>
      <c r="G129" s="1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</row>
    <row r="130" spans="3:57" ht="11.4" customHeight="1" x14ac:dyDescent="0.2">
      <c r="C130" s="28"/>
      <c r="D130" s="28"/>
      <c r="E130" s="28"/>
      <c r="F130" s="28"/>
      <c r="G130" s="1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</row>
    <row r="131" spans="3:57" ht="11.4" customHeight="1" x14ac:dyDescent="0.2">
      <c r="C131" s="28"/>
      <c r="D131" s="28"/>
      <c r="E131" s="28"/>
      <c r="F131" s="28"/>
      <c r="G131" s="1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</row>
    <row r="132" spans="3:57" ht="11.4" customHeight="1" x14ac:dyDescent="0.2">
      <c r="C132" s="28"/>
      <c r="D132" s="28"/>
      <c r="E132" s="28"/>
      <c r="F132" s="28"/>
      <c r="G132" s="1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</row>
    <row r="133" spans="3:57" ht="11.4" customHeight="1" x14ac:dyDescent="0.2">
      <c r="C133" s="28"/>
      <c r="D133" s="28"/>
      <c r="E133" s="28"/>
      <c r="F133" s="28"/>
      <c r="G133" s="1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</row>
    <row r="134" spans="3:57" ht="11.4" customHeight="1" x14ac:dyDescent="0.2">
      <c r="C134" s="28"/>
      <c r="D134" s="28"/>
      <c r="E134" s="28"/>
      <c r="F134" s="28"/>
      <c r="G134" s="1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</row>
    <row r="135" spans="3:57" ht="11.4" customHeight="1" x14ac:dyDescent="0.2">
      <c r="C135" s="28"/>
      <c r="D135" s="28"/>
      <c r="E135" s="28"/>
      <c r="F135" s="28"/>
      <c r="G135" s="1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</row>
    <row r="136" spans="3:57" ht="11.4" customHeight="1" x14ac:dyDescent="0.2">
      <c r="C136" s="28"/>
      <c r="D136" s="28"/>
      <c r="E136" s="28"/>
      <c r="F136" s="28"/>
      <c r="G136" s="1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</row>
    <row r="137" spans="3:57" ht="11.4" customHeight="1" x14ac:dyDescent="0.2">
      <c r="C137" s="28"/>
      <c r="D137" s="28"/>
      <c r="E137" s="28"/>
      <c r="F137" s="28"/>
      <c r="G137" s="1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</row>
    <row r="138" spans="3:57" ht="11.4" customHeight="1" x14ac:dyDescent="0.2">
      <c r="C138" s="28"/>
      <c r="D138" s="28"/>
      <c r="E138" s="28"/>
      <c r="F138" s="28"/>
      <c r="G138" s="1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</row>
    <row r="139" spans="3:57" ht="11.4" customHeight="1" x14ac:dyDescent="0.2">
      <c r="C139" s="28"/>
      <c r="D139" s="28"/>
      <c r="E139" s="28"/>
      <c r="F139" s="28"/>
      <c r="G139" s="1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</row>
    <row r="140" spans="3:57" ht="11.4" customHeight="1" x14ac:dyDescent="0.2">
      <c r="C140" s="28"/>
      <c r="D140" s="28"/>
      <c r="E140" s="28"/>
      <c r="F140" s="28"/>
      <c r="G140" s="1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</row>
    <row r="141" spans="3:57" ht="11.4" customHeight="1" x14ac:dyDescent="0.2">
      <c r="C141" s="28"/>
      <c r="D141" s="28"/>
      <c r="E141" s="28"/>
      <c r="F141" s="28"/>
      <c r="G141" s="1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</row>
    <row r="142" spans="3:57" ht="11.4" customHeight="1" x14ac:dyDescent="0.2">
      <c r="C142" s="28"/>
      <c r="D142" s="28"/>
      <c r="E142" s="28"/>
      <c r="F142" s="28"/>
      <c r="G142" s="1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</row>
    <row r="143" spans="3:57" ht="11.4" customHeight="1" x14ac:dyDescent="0.2">
      <c r="C143" s="28"/>
      <c r="D143" s="28"/>
      <c r="E143" s="28"/>
      <c r="F143" s="28"/>
      <c r="G143" s="1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</row>
    <row r="144" spans="3:57" ht="11.4" customHeight="1" x14ac:dyDescent="0.2">
      <c r="C144" s="28"/>
      <c r="D144" s="28"/>
      <c r="E144" s="28"/>
      <c r="F144" s="28"/>
      <c r="G144" s="1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</row>
    <row r="145" spans="3:57" ht="11.4" customHeight="1" x14ac:dyDescent="0.2">
      <c r="C145" s="28"/>
      <c r="D145" s="28"/>
      <c r="E145" s="28"/>
      <c r="F145" s="28"/>
      <c r="G145" s="1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</row>
    <row r="146" spans="3:57" ht="11.4" customHeight="1" x14ac:dyDescent="0.2">
      <c r="C146" s="28"/>
      <c r="D146" s="28"/>
      <c r="E146" s="28"/>
      <c r="F146" s="28"/>
      <c r="G146" s="1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</row>
    <row r="147" spans="3:57" ht="11.4" customHeight="1" x14ac:dyDescent="0.2">
      <c r="C147" s="28"/>
      <c r="D147" s="28"/>
      <c r="E147" s="28"/>
      <c r="F147" s="28"/>
      <c r="G147" s="1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</row>
    <row r="148" spans="3:57" ht="11.4" customHeight="1" x14ac:dyDescent="0.2">
      <c r="C148" s="28"/>
      <c r="D148" s="28"/>
      <c r="E148" s="28"/>
      <c r="F148" s="28"/>
      <c r="G148" s="1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</row>
    <row r="149" spans="3:57" ht="11.4" customHeight="1" x14ac:dyDescent="0.2">
      <c r="C149" s="28"/>
      <c r="D149" s="28"/>
      <c r="E149" s="28"/>
      <c r="F149" s="28"/>
      <c r="G149" s="1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</row>
    <row r="150" spans="3:57" ht="11.4" customHeight="1" x14ac:dyDescent="0.2">
      <c r="C150" s="28"/>
      <c r="D150" s="28"/>
      <c r="E150" s="28"/>
      <c r="F150" s="28"/>
      <c r="G150" s="1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</row>
    <row r="151" spans="3:57" ht="11.4" customHeight="1" x14ac:dyDescent="0.2">
      <c r="C151" s="28"/>
      <c r="D151" s="28"/>
      <c r="E151" s="28"/>
      <c r="F151" s="28"/>
      <c r="G151" s="1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</row>
    <row r="152" spans="3:57" ht="11.4" customHeight="1" x14ac:dyDescent="0.2">
      <c r="C152" s="28"/>
      <c r="D152" s="28"/>
      <c r="E152" s="28"/>
      <c r="F152" s="28"/>
      <c r="G152" s="1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</row>
    <row r="153" spans="3:57" ht="11.4" customHeight="1" x14ac:dyDescent="0.2">
      <c r="C153" s="28"/>
      <c r="D153" s="28"/>
      <c r="E153" s="28"/>
      <c r="F153" s="28"/>
      <c r="G153" s="1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</row>
    <row r="154" spans="3:57" ht="11.4" customHeight="1" x14ac:dyDescent="0.2">
      <c r="C154" s="28"/>
      <c r="D154" s="28"/>
      <c r="E154" s="28"/>
      <c r="F154" s="28"/>
      <c r="G154" s="1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</row>
    <row r="155" spans="3:57" ht="11.4" customHeight="1" x14ac:dyDescent="0.2">
      <c r="C155" s="28"/>
      <c r="D155" s="28"/>
      <c r="E155" s="28"/>
      <c r="F155" s="28"/>
      <c r="G155" s="1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</row>
    <row r="156" spans="3:57" ht="11.4" customHeight="1" x14ac:dyDescent="0.2">
      <c r="C156" s="28"/>
      <c r="D156" s="28"/>
      <c r="E156" s="28"/>
      <c r="F156" s="28"/>
      <c r="G156" s="1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</row>
    <row r="157" spans="3:57" ht="11.4" customHeight="1" x14ac:dyDescent="0.2">
      <c r="C157" s="28"/>
      <c r="D157" s="28"/>
      <c r="E157" s="28"/>
      <c r="F157" s="28"/>
      <c r="G157" s="1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</row>
    <row r="158" spans="3:57" ht="11.4" customHeight="1" x14ac:dyDescent="0.2">
      <c r="C158" s="28"/>
      <c r="D158" s="28"/>
      <c r="E158" s="28"/>
      <c r="F158" s="28"/>
      <c r="G158" s="1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</row>
    <row r="159" spans="3:57" ht="11.4" customHeight="1" x14ac:dyDescent="0.2">
      <c r="C159" s="28"/>
      <c r="D159" s="28"/>
      <c r="E159" s="28"/>
      <c r="F159" s="28"/>
      <c r="G159" s="1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</row>
    <row r="160" spans="3:57" ht="11.4" customHeight="1" x14ac:dyDescent="0.2">
      <c r="C160" s="28"/>
      <c r="D160" s="28"/>
      <c r="E160" s="28"/>
      <c r="F160" s="28"/>
      <c r="G160" s="1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</row>
    <row r="161" spans="3:57" ht="11.4" customHeight="1" x14ac:dyDescent="0.2">
      <c r="C161" s="28"/>
      <c r="D161" s="28"/>
      <c r="E161" s="28"/>
      <c r="F161" s="28"/>
      <c r="G161" s="1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</row>
    <row r="162" spans="3:57" ht="11.4" customHeight="1" x14ac:dyDescent="0.2">
      <c r="C162" s="28"/>
      <c r="D162" s="28"/>
      <c r="E162" s="28"/>
      <c r="F162" s="28"/>
      <c r="G162" s="1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</row>
    <row r="163" spans="3:57" ht="11.4" customHeight="1" x14ac:dyDescent="0.2">
      <c r="C163" s="28"/>
      <c r="D163" s="28"/>
      <c r="E163" s="28"/>
      <c r="F163" s="28"/>
      <c r="G163" s="1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</row>
    <row r="164" spans="3:57" ht="11.4" customHeight="1" x14ac:dyDescent="0.2">
      <c r="C164" s="28"/>
      <c r="D164" s="28"/>
      <c r="E164" s="28"/>
      <c r="F164" s="28"/>
      <c r="G164" s="1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</row>
    <row r="165" spans="3:57" ht="11.4" customHeight="1" x14ac:dyDescent="0.2">
      <c r="C165" s="28"/>
      <c r="D165" s="28"/>
      <c r="E165" s="28"/>
      <c r="F165" s="28"/>
      <c r="G165" s="1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</row>
    <row r="166" spans="3:57" ht="11.4" customHeight="1" x14ac:dyDescent="0.2">
      <c r="C166" s="28"/>
      <c r="D166" s="28"/>
      <c r="E166" s="28"/>
      <c r="F166" s="28"/>
      <c r="G166" s="1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</row>
    <row r="167" spans="3:57" ht="11.4" customHeight="1" x14ac:dyDescent="0.2">
      <c r="C167" s="28"/>
      <c r="D167" s="28"/>
      <c r="E167" s="28"/>
      <c r="F167" s="28"/>
      <c r="G167" s="1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</row>
    <row r="168" spans="3:57" ht="11.4" customHeight="1" x14ac:dyDescent="0.2">
      <c r="C168" s="28"/>
      <c r="D168" s="28"/>
      <c r="E168" s="28"/>
      <c r="F168" s="28"/>
      <c r="G168" s="1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</row>
    <row r="169" spans="3:57" ht="11.4" customHeight="1" x14ac:dyDescent="0.2">
      <c r="C169" s="28"/>
      <c r="D169" s="28"/>
      <c r="E169" s="28"/>
      <c r="F169" s="28"/>
      <c r="G169" s="1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</row>
    <row r="170" spans="3:57" ht="11.4" customHeight="1" x14ac:dyDescent="0.2">
      <c r="C170" s="28"/>
      <c r="D170" s="28"/>
      <c r="E170" s="28"/>
      <c r="F170" s="28"/>
      <c r="G170" s="1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</row>
    <row r="171" spans="3:57" ht="11.4" customHeight="1" x14ac:dyDescent="0.2">
      <c r="C171" s="28"/>
      <c r="D171" s="28"/>
      <c r="E171" s="28"/>
      <c r="F171" s="28"/>
      <c r="G171" s="1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</row>
    <row r="172" spans="3:57" ht="11.4" customHeight="1" x14ac:dyDescent="0.2">
      <c r="C172" s="28"/>
      <c r="D172" s="28"/>
      <c r="E172" s="28"/>
      <c r="F172" s="28"/>
      <c r="G172" s="1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</row>
    <row r="173" spans="3:57" ht="11.4" customHeight="1" x14ac:dyDescent="0.2">
      <c r="C173" s="28"/>
      <c r="D173" s="28"/>
      <c r="E173" s="28"/>
      <c r="F173" s="28"/>
      <c r="G173" s="1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</row>
    <row r="174" spans="3:57" ht="11.4" customHeight="1" x14ac:dyDescent="0.2">
      <c r="C174" s="28"/>
      <c r="D174" s="28"/>
      <c r="E174" s="28"/>
      <c r="F174" s="28"/>
      <c r="G174" s="1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</row>
    <row r="175" spans="3:57" ht="11.4" customHeight="1" x14ac:dyDescent="0.2">
      <c r="C175" s="28"/>
      <c r="D175" s="28"/>
      <c r="E175" s="28"/>
      <c r="F175" s="28"/>
      <c r="G175" s="1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</row>
    <row r="176" spans="3:57" ht="11.4" customHeight="1" x14ac:dyDescent="0.2">
      <c r="C176" s="28"/>
      <c r="D176" s="28"/>
      <c r="E176" s="28"/>
      <c r="F176" s="28"/>
      <c r="G176" s="1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</row>
    <row r="177" spans="3:57" ht="11.4" customHeight="1" x14ac:dyDescent="0.2">
      <c r="C177" s="28"/>
      <c r="D177" s="28"/>
      <c r="E177" s="28"/>
      <c r="F177" s="28"/>
      <c r="G177" s="1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</row>
    <row r="178" spans="3:57" ht="11.4" customHeight="1" x14ac:dyDescent="0.2">
      <c r="C178" s="28"/>
      <c r="D178" s="28"/>
      <c r="E178" s="28"/>
      <c r="F178" s="28"/>
      <c r="G178" s="1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</row>
    <row r="179" spans="3:57" ht="11.4" customHeight="1" x14ac:dyDescent="0.2">
      <c r="C179" s="28"/>
      <c r="D179" s="28"/>
      <c r="E179" s="28"/>
      <c r="F179" s="28"/>
      <c r="G179" s="1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</row>
    <row r="180" spans="3:57" ht="11.4" customHeight="1" x14ac:dyDescent="0.2">
      <c r="C180" s="28"/>
      <c r="D180" s="28"/>
      <c r="E180" s="28"/>
      <c r="F180" s="28"/>
      <c r="G180" s="1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</row>
    <row r="181" spans="3:57" ht="11.4" customHeight="1" x14ac:dyDescent="0.2">
      <c r="C181" s="28"/>
      <c r="D181" s="28"/>
      <c r="E181" s="28"/>
      <c r="F181" s="28"/>
      <c r="G181" s="1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</row>
    <row r="182" spans="3:57" ht="11.4" customHeight="1" x14ac:dyDescent="0.2">
      <c r="C182" s="28"/>
      <c r="D182" s="28"/>
      <c r="E182" s="28"/>
      <c r="F182" s="28"/>
      <c r="G182" s="1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</row>
    <row r="183" spans="3:57" ht="11.4" customHeight="1" x14ac:dyDescent="0.2">
      <c r="C183" s="28"/>
      <c r="D183" s="28"/>
      <c r="E183" s="28"/>
      <c r="F183" s="28"/>
      <c r="G183" s="1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</row>
    <row r="184" spans="3:57" ht="11.4" customHeight="1" x14ac:dyDescent="0.2">
      <c r="C184" s="28"/>
      <c r="D184" s="28"/>
      <c r="E184" s="28"/>
      <c r="F184" s="28"/>
      <c r="G184" s="1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</row>
    <row r="185" spans="3:57" ht="11.4" customHeight="1" x14ac:dyDescent="0.2">
      <c r="C185" s="28"/>
      <c r="D185" s="28"/>
      <c r="E185" s="28"/>
      <c r="F185" s="28"/>
      <c r="G185" s="1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</row>
    <row r="186" spans="3:57" ht="11.4" customHeight="1" x14ac:dyDescent="0.2">
      <c r="C186" s="28"/>
      <c r="D186" s="28"/>
      <c r="E186" s="28"/>
      <c r="F186" s="28"/>
      <c r="G186" s="1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</row>
    <row r="187" spans="3:57" ht="11.4" customHeight="1" x14ac:dyDescent="0.2">
      <c r="C187" s="28"/>
      <c r="D187" s="28"/>
      <c r="E187" s="28"/>
      <c r="F187" s="28"/>
      <c r="G187" s="1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</row>
    <row r="188" spans="3:57" ht="11.4" customHeight="1" x14ac:dyDescent="0.2">
      <c r="C188" s="28"/>
      <c r="D188" s="28"/>
      <c r="E188" s="28"/>
      <c r="F188" s="28"/>
      <c r="G188" s="1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</row>
    <row r="189" spans="3:57" ht="11.4" customHeight="1" x14ac:dyDescent="0.2">
      <c r="C189" s="28"/>
      <c r="D189" s="28"/>
      <c r="E189" s="28"/>
      <c r="F189" s="28"/>
      <c r="G189" s="1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</row>
    <row r="190" spans="3:57" ht="11.4" customHeight="1" x14ac:dyDescent="0.2">
      <c r="C190" s="28"/>
      <c r="D190" s="28"/>
      <c r="E190" s="28"/>
      <c r="F190" s="28"/>
      <c r="G190" s="1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</row>
    <row r="191" spans="3:57" ht="11.4" customHeight="1" x14ac:dyDescent="0.2">
      <c r="C191" s="28"/>
      <c r="D191" s="28"/>
      <c r="E191" s="28"/>
      <c r="F191" s="28"/>
      <c r="G191" s="1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</row>
    <row r="192" spans="3:57" ht="11.4" customHeight="1" x14ac:dyDescent="0.2">
      <c r="C192" s="28"/>
      <c r="D192" s="28"/>
      <c r="E192" s="28"/>
      <c r="F192" s="28"/>
      <c r="G192" s="1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</row>
    <row r="193" spans="3:57" ht="11.4" customHeight="1" x14ac:dyDescent="0.2">
      <c r="C193" s="28"/>
      <c r="D193" s="28"/>
      <c r="E193" s="28"/>
      <c r="F193" s="28"/>
      <c r="G193" s="1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</row>
    <row r="194" spans="3:57" ht="11.4" customHeight="1" x14ac:dyDescent="0.2">
      <c r="C194" s="28"/>
      <c r="D194" s="28"/>
      <c r="E194" s="28"/>
      <c r="F194" s="28"/>
      <c r="G194" s="1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</row>
    <row r="195" spans="3:57" ht="11.4" customHeight="1" x14ac:dyDescent="0.2">
      <c r="C195" s="28"/>
      <c r="D195" s="28"/>
      <c r="E195" s="28"/>
      <c r="F195" s="28"/>
      <c r="G195" s="1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</row>
    <row r="196" spans="3:57" ht="11.4" customHeight="1" x14ac:dyDescent="0.2">
      <c r="C196" s="28"/>
      <c r="D196" s="28"/>
      <c r="E196" s="28"/>
      <c r="F196" s="28"/>
      <c r="G196" s="1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</row>
    <row r="197" spans="3:57" ht="11.4" customHeight="1" x14ac:dyDescent="0.2">
      <c r="C197" s="28"/>
      <c r="D197" s="28"/>
      <c r="E197" s="28"/>
      <c r="F197" s="28"/>
      <c r="G197" s="1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</row>
    <row r="198" spans="3:57" ht="11.4" customHeight="1" x14ac:dyDescent="0.2">
      <c r="C198" s="28"/>
      <c r="D198" s="28"/>
      <c r="E198" s="28"/>
      <c r="F198" s="28"/>
      <c r="G198" s="1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</row>
    <row r="199" spans="3:57" ht="11.4" customHeight="1" x14ac:dyDescent="0.2">
      <c r="C199" s="28"/>
      <c r="D199" s="28"/>
      <c r="E199" s="28"/>
      <c r="F199" s="28"/>
      <c r="G199" s="1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</row>
    <row r="200" spans="3:57" ht="11.4" customHeight="1" x14ac:dyDescent="0.2">
      <c r="C200" s="28"/>
      <c r="D200" s="28"/>
      <c r="E200" s="28"/>
      <c r="F200" s="28"/>
      <c r="G200" s="1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</row>
    <row r="201" spans="3:57" ht="11.4" customHeight="1" x14ac:dyDescent="0.2">
      <c r="C201" s="28"/>
      <c r="D201" s="28"/>
      <c r="E201" s="28"/>
      <c r="F201" s="28"/>
      <c r="G201" s="1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</row>
    <row r="202" spans="3:57" ht="11.4" customHeight="1" x14ac:dyDescent="0.2">
      <c r="C202" s="28"/>
      <c r="D202" s="28"/>
      <c r="E202" s="28"/>
      <c r="F202" s="28"/>
      <c r="G202" s="1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</row>
    <row r="203" spans="3:57" ht="11.4" customHeight="1" x14ac:dyDescent="0.2">
      <c r="C203" s="28"/>
      <c r="D203" s="28"/>
      <c r="E203" s="28"/>
      <c r="F203" s="28"/>
      <c r="G203" s="1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</row>
    <row r="204" spans="3:57" ht="11.4" customHeight="1" x14ac:dyDescent="0.2">
      <c r="C204" s="28"/>
      <c r="D204" s="28"/>
      <c r="E204" s="28"/>
      <c r="F204" s="28"/>
      <c r="G204" s="1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</row>
    <row r="205" spans="3:57" ht="11.4" customHeight="1" x14ac:dyDescent="0.2">
      <c r="C205" s="28"/>
      <c r="D205" s="28"/>
      <c r="E205" s="28"/>
      <c r="F205" s="28"/>
      <c r="G205" s="1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</row>
    <row r="206" spans="3:57" ht="11.4" customHeight="1" x14ac:dyDescent="0.2">
      <c r="C206" s="28"/>
      <c r="D206" s="28"/>
      <c r="E206" s="28"/>
      <c r="F206" s="28"/>
      <c r="G206" s="1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</row>
    <row r="207" spans="3:57" ht="11.4" customHeight="1" x14ac:dyDescent="0.2">
      <c r="C207" s="28"/>
      <c r="D207" s="28"/>
      <c r="E207" s="28"/>
      <c r="F207" s="28"/>
      <c r="G207" s="1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</row>
    <row r="208" spans="3:57" ht="11.4" customHeight="1" x14ac:dyDescent="0.2">
      <c r="C208" s="28"/>
      <c r="D208" s="28"/>
      <c r="E208" s="28"/>
      <c r="F208" s="28"/>
      <c r="G208" s="1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</row>
    <row r="209" spans="3:57" ht="11.4" customHeight="1" x14ac:dyDescent="0.2">
      <c r="C209" s="28"/>
      <c r="D209" s="28"/>
      <c r="E209" s="28"/>
      <c r="F209" s="28"/>
      <c r="G209" s="1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</row>
    <row r="210" spans="3:57" ht="11.4" customHeight="1" x14ac:dyDescent="0.2">
      <c r="C210" s="28"/>
      <c r="D210" s="28"/>
      <c r="E210" s="28"/>
      <c r="F210" s="28"/>
      <c r="G210" s="17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</row>
    <row r="211" spans="3:57" ht="11.4" customHeight="1" x14ac:dyDescent="0.2">
      <c r="C211" s="28"/>
      <c r="D211" s="28"/>
      <c r="E211" s="28"/>
      <c r="F211" s="28"/>
      <c r="G211" s="17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</row>
    <row r="212" spans="3:57" ht="11.4" customHeight="1" x14ac:dyDescent="0.2">
      <c r="C212" s="28"/>
      <c r="D212" s="28"/>
      <c r="E212" s="28"/>
      <c r="F212" s="28"/>
      <c r="G212" s="17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</row>
    <row r="213" spans="3:57" ht="11.4" customHeight="1" x14ac:dyDescent="0.2">
      <c r="C213" s="28"/>
      <c r="D213" s="28"/>
      <c r="E213" s="28"/>
      <c r="F213" s="28"/>
      <c r="G213" s="17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</row>
    <row r="214" spans="3:57" ht="11.4" customHeight="1" x14ac:dyDescent="0.2">
      <c r="C214" s="28"/>
      <c r="D214" s="28"/>
      <c r="E214" s="28"/>
      <c r="F214" s="28"/>
      <c r="G214" s="17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</row>
    <row r="215" spans="3:57" ht="11.4" customHeight="1" x14ac:dyDescent="0.2">
      <c r="C215" s="28"/>
      <c r="D215" s="28"/>
      <c r="E215" s="28"/>
      <c r="F215" s="28"/>
      <c r="G215" s="17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</row>
    <row r="216" spans="3:57" ht="11.4" customHeight="1" x14ac:dyDescent="0.2">
      <c r="C216" s="28"/>
      <c r="D216" s="28"/>
      <c r="E216" s="28"/>
      <c r="F216" s="28"/>
      <c r="G216" s="17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</row>
    <row r="217" spans="3:57" ht="11.4" customHeight="1" x14ac:dyDescent="0.2">
      <c r="C217" s="28"/>
      <c r="D217" s="28"/>
      <c r="E217" s="28"/>
      <c r="F217" s="28"/>
      <c r="G217" s="17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</row>
    <row r="218" spans="3:57" ht="11.4" customHeight="1" x14ac:dyDescent="0.2">
      <c r="C218" s="28"/>
      <c r="D218" s="28"/>
      <c r="E218" s="28"/>
      <c r="F218" s="28"/>
      <c r="G218" s="17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</row>
    <row r="219" spans="3:57" ht="11.4" customHeight="1" x14ac:dyDescent="0.2">
      <c r="C219" s="28"/>
      <c r="D219" s="28"/>
      <c r="E219" s="28"/>
      <c r="F219" s="28"/>
      <c r="G219" s="17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</row>
    <row r="220" spans="3:57" ht="11.4" customHeight="1" x14ac:dyDescent="0.2">
      <c r="C220" s="28"/>
      <c r="D220" s="28"/>
      <c r="E220" s="28"/>
      <c r="F220" s="28"/>
      <c r="G220" s="17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</row>
    <row r="221" spans="3:57" ht="11.4" customHeight="1" x14ac:dyDescent="0.2">
      <c r="C221" s="28"/>
      <c r="D221" s="28"/>
      <c r="E221" s="28"/>
      <c r="F221" s="28"/>
      <c r="G221" s="17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</row>
    <row r="222" spans="3:57" ht="11.4" customHeight="1" x14ac:dyDescent="0.2">
      <c r="C222" s="28"/>
      <c r="D222" s="28"/>
      <c r="E222" s="28"/>
      <c r="F222" s="28"/>
      <c r="G222" s="17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</row>
    <row r="223" spans="3:57" ht="11.4" customHeight="1" x14ac:dyDescent="0.2">
      <c r="C223" s="28"/>
      <c r="D223" s="28"/>
      <c r="E223" s="28"/>
      <c r="F223" s="28"/>
      <c r="G223" s="17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</row>
    <row r="224" spans="3:57" ht="11.4" customHeight="1" x14ac:dyDescent="0.2">
      <c r="C224" s="28"/>
      <c r="D224" s="28"/>
      <c r="E224" s="28"/>
      <c r="F224" s="28"/>
      <c r="G224" s="17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</row>
    <row r="225" spans="3:57" ht="11.4" customHeight="1" x14ac:dyDescent="0.2">
      <c r="C225" s="28"/>
      <c r="D225" s="28"/>
      <c r="E225" s="28"/>
      <c r="F225" s="28"/>
      <c r="G225" s="17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</row>
    <row r="226" spans="3:57" ht="11.4" customHeight="1" x14ac:dyDescent="0.2">
      <c r="C226" s="28"/>
      <c r="D226" s="28"/>
      <c r="E226" s="28"/>
      <c r="F226" s="28"/>
      <c r="G226" s="17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</row>
    <row r="227" spans="3:57" ht="11.4" customHeight="1" x14ac:dyDescent="0.2">
      <c r="C227" s="28"/>
      <c r="D227" s="28"/>
      <c r="E227" s="28"/>
      <c r="F227" s="28"/>
      <c r="G227" s="17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</row>
    <row r="228" spans="3:57" ht="11.4" customHeight="1" x14ac:dyDescent="0.2">
      <c r="C228" s="28"/>
      <c r="D228" s="28"/>
      <c r="E228" s="28"/>
      <c r="F228" s="28"/>
      <c r="G228" s="17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</row>
    <row r="229" spans="3:57" ht="11.4" customHeight="1" x14ac:dyDescent="0.2">
      <c r="C229" s="28"/>
      <c r="D229" s="28"/>
      <c r="E229" s="28"/>
      <c r="F229" s="28"/>
      <c r="G229" s="17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</row>
    <row r="230" spans="3:57" ht="11.4" customHeight="1" x14ac:dyDescent="0.2">
      <c r="C230" s="28"/>
      <c r="D230" s="28"/>
      <c r="E230" s="28"/>
      <c r="F230" s="28"/>
      <c r="G230" s="17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</row>
    <row r="231" spans="3:57" ht="11.4" customHeight="1" x14ac:dyDescent="0.2">
      <c r="C231" s="28"/>
      <c r="D231" s="28"/>
      <c r="E231" s="28"/>
      <c r="F231" s="28"/>
      <c r="G231" s="17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</row>
    <row r="232" spans="3:57" ht="11.4" customHeight="1" x14ac:dyDescent="0.2">
      <c r="C232" s="28"/>
      <c r="D232" s="28"/>
      <c r="E232" s="28"/>
      <c r="F232" s="28"/>
      <c r="G232" s="17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</row>
    <row r="233" spans="3:57" ht="11.4" customHeight="1" x14ac:dyDescent="0.2">
      <c r="C233" s="28"/>
      <c r="D233" s="28"/>
      <c r="E233" s="28"/>
      <c r="F233" s="28"/>
      <c r="G233" s="17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</row>
    <row r="234" spans="3:57" ht="11.4" customHeight="1" x14ac:dyDescent="0.2">
      <c r="C234" s="28"/>
      <c r="D234" s="28"/>
      <c r="E234" s="28"/>
      <c r="F234" s="28"/>
      <c r="G234" s="17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</row>
    <row r="235" spans="3:57" ht="11.4" customHeight="1" x14ac:dyDescent="0.2">
      <c r="C235" s="28"/>
      <c r="D235" s="28"/>
      <c r="E235" s="28"/>
      <c r="F235" s="28"/>
      <c r="G235" s="17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</row>
    <row r="236" spans="3:57" ht="11.4" customHeight="1" x14ac:dyDescent="0.2">
      <c r="C236" s="28"/>
      <c r="D236" s="28"/>
      <c r="E236" s="28"/>
      <c r="F236" s="28"/>
      <c r="G236" s="17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</row>
    <row r="237" spans="3:57" ht="11.4" customHeight="1" x14ac:dyDescent="0.2">
      <c r="C237" s="28"/>
      <c r="D237" s="28"/>
      <c r="E237" s="28"/>
      <c r="F237" s="28"/>
      <c r="G237" s="17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</row>
    <row r="238" spans="3:57" ht="11.4" customHeight="1" x14ac:dyDescent="0.2">
      <c r="C238" s="9"/>
      <c r="D238" s="9"/>
      <c r="E238" s="9"/>
      <c r="F238" s="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</row>
    <row r="239" spans="3:57" ht="11.4" customHeight="1" x14ac:dyDescent="0.2">
      <c r="C239" s="9"/>
      <c r="D239" s="9"/>
      <c r="E239" s="9"/>
      <c r="F239" s="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</row>
    <row r="240" spans="3:57" ht="11.4" customHeight="1" x14ac:dyDescent="0.2">
      <c r="C240" s="9"/>
      <c r="D240" s="9"/>
      <c r="E240" s="9"/>
      <c r="F240" s="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</row>
    <row r="241" spans="3:57" ht="11.4" customHeight="1" x14ac:dyDescent="0.2">
      <c r="C241" s="9"/>
      <c r="D241" s="9"/>
      <c r="E241" s="9"/>
      <c r="F241" s="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</row>
    <row r="242" spans="3:57" ht="11.4" customHeight="1" x14ac:dyDescent="0.2">
      <c r="C242" s="9"/>
      <c r="D242" s="9"/>
      <c r="E242" s="9"/>
      <c r="F242" s="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</row>
    <row r="243" spans="3:57" ht="11.4" customHeight="1" x14ac:dyDescent="0.2">
      <c r="C243" s="9"/>
      <c r="D243" s="9"/>
      <c r="E243" s="9"/>
      <c r="F243" s="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Users</cp:lastModifiedBy>
  <dcterms:created xsi:type="dcterms:W3CDTF">2026-06-24T08:38:28Z</dcterms:created>
  <dcterms:modified xsi:type="dcterms:W3CDTF">2026-06-24T08:38:28Z</dcterms:modified>
</cp:coreProperties>
</file>